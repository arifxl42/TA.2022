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tables/table9.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4EB8F902-AE40-4869-A0AC-BFD7F028905C}" xr6:coauthVersionLast="47" xr6:coauthVersionMax="47" xr10:uidLastSave="{00000000-0000-0000-0000-000000000000}"/>
  <bookViews>
    <workbookView xWindow="-120" yWindow="-120" windowWidth="29040" windowHeight="15840" tabRatio="872" firstSheet="1" activeTab="2"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IPA2" sheetId="28" r:id="rId19"/>
    <sheet name="DENGAN GAJI" sheetId="27"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8">#REF!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8">#REF!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8">#REF!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8">#REF!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8">#REF!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8">#REF!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8">#REF!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8">#REF!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8">#REF!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8">#REF!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8">#REF!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8">#REF!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8">#REF!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8">#REF!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8">#REF!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8">#REF!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8">#REF!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8" hidden="1">DIPA2!$A$1:$Q$276</definedName>
    <definedName name="FILTER_LAP" localSheetId="18">'[1]DASHBOARD SP2D'!#REF!</definedName>
    <definedName name="FILTER_LAP">'[1]DASHBOARD SP2D'!#REF!</definedName>
    <definedName name="kegiatan" localSheetId="4">Cetak_Pusdik!#REF!</definedName>
    <definedName name="kegiatan" localSheetId="3">'Cetak_Pusdik (2)'!#REF!</definedName>
    <definedName name="kegiatan" localSheetId="18">[3]DIPA_AWAL!$T$2:$T$2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PERAKUN!$C$1:$H$246</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8">'[4]Tambahan Realisasi'!$C$2</definedName>
    <definedName name="rngSP2D">'[5]Tambahan Realisasi'!$C$2</definedName>
    <definedName name="rowEselon2" localSheetId="4">Cetak_Pusdik!#REF!</definedName>
    <definedName name="rowEselon2" localSheetId="3">'Cetak_Pusdik (2)'!#REF!</definedName>
    <definedName name="rowEselon2" localSheetId="18">#REF!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8">#REF!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8">#REF!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8">#REF!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8">[1]SSBP!#REF!</definedName>
    <definedName name="SSBP">[1]SSBP!#REF!</definedName>
    <definedName name="Start_Jadi" localSheetId="4">Cetak_Pusdik!$B$13</definedName>
    <definedName name="Start_Jadi" localSheetId="3">'Cetak_Pusdik (2)'!$B$13</definedName>
    <definedName name="Start_Jadi" localSheetId="18">#REF!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4" i="13" l="1"/>
  <c r="Y239" i="13"/>
  <c r="Y238" i="13"/>
  <c r="G57" i="35" a="1"/>
  <c r="G57" i="35" s="1"/>
  <c r="F57" i="35" a="1"/>
  <c r="F57" i="35" s="1"/>
  <c r="I57" i="35" s="1"/>
  <c r="J57" i="35" s="1"/>
  <c r="E57" i="35" a="1"/>
  <c r="E57" i="35" s="1"/>
  <c r="D57" i="35" a="1"/>
  <c r="D57" i="35" s="1"/>
  <c r="C57" i="35" a="1"/>
  <c r="C57" i="35" s="1"/>
  <c r="G56" i="35"/>
  <c r="G56" i="35" a="1"/>
  <c r="F56" i="35"/>
  <c r="F56" i="35" a="1"/>
  <c r="E56" i="35"/>
  <c r="E58" i="35" s="1"/>
  <c r="E56" i="35" a="1"/>
  <c r="D56" i="35"/>
  <c r="D58" i="35" s="1"/>
  <c r="D56" i="35" a="1"/>
  <c r="C56" i="35"/>
  <c r="C58" i="35" s="1"/>
  <c r="C56" i="35" a="1"/>
  <c r="H54" i="35"/>
  <c r="G54" i="35" a="1"/>
  <c r="G54" i="35" s="1"/>
  <c r="F54" i="35" a="1"/>
  <c r="F54" i="35" s="1"/>
  <c r="I54" i="35" s="1"/>
  <c r="J54" i="35" s="1"/>
  <c r="E54" i="35" a="1"/>
  <c r="E54" i="35" s="1"/>
  <c r="D54" i="35" a="1"/>
  <c r="D54" i="35" s="1"/>
  <c r="D55" i="35" s="1"/>
  <c r="C54" i="35" a="1"/>
  <c r="C54" i="35" s="1"/>
  <c r="I53" i="35"/>
  <c r="J53" i="35" s="1"/>
  <c r="G53" i="35"/>
  <c r="G55" i="35" s="1"/>
  <c r="G53" i="35" a="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c r="G50" i="35" a="1"/>
  <c r="F50" i="35"/>
  <c r="I50" i="35" s="1"/>
  <c r="J50" i="35" s="1"/>
  <c r="F50" i="35" a="1"/>
  <c r="E50" i="35"/>
  <c r="E50" i="35" a="1"/>
  <c r="D50" i="35"/>
  <c r="D52" i="35" s="1"/>
  <c r="D50" i="35" a="1"/>
  <c r="C50" i="35"/>
  <c r="C50" i="35" a="1"/>
  <c r="D49" i="35"/>
  <c r="G48" i="35" a="1"/>
  <c r="G48" i="35" s="1"/>
  <c r="H48" i="35" s="1"/>
  <c r="F48" i="35" a="1"/>
  <c r="F48" i="35" s="1"/>
  <c r="I48" i="35" s="1"/>
  <c r="J48" i="35" s="1"/>
  <c r="E48" i="35" a="1"/>
  <c r="E48" i="35" s="1"/>
  <c r="D48" i="35" a="1"/>
  <c r="D48" i="35" s="1"/>
  <c r="C48" i="35" a="1"/>
  <c r="C48" i="35" s="1"/>
  <c r="I47" i="35"/>
  <c r="J47" i="35" s="1"/>
  <c r="G47" i="35"/>
  <c r="G49" i="35" s="1"/>
  <c r="G47" i="35" a="1"/>
  <c r="F47" i="35"/>
  <c r="F47" i="35" a="1"/>
  <c r="E47" i="35"/>
  <c r="E49" i="35" s="1"/>
  <c r="E47" i="35" a="1"/>
  <c r="D47" i="35"/>
  <c r="D47" i="35" a="1"/>
  <c r="C47" i="35"/>
  <c r="C49" i="35" s="1"/>
  <c r="C47" i="35" a="1"/>
  <c r="G36" i="35"/>
  <c r="G36" i="35" a="1"/>
  <c r="F35" i="35"/>
  <c r="F35" i="35" a="1"/>
  <c r="E35" i="35"/>
  <c r="E35" i="35" a="1"/>
  <c r="D35" i="35"/>
  <c r="D35" i="35" a="1"/>
  <c r="C35" i="35"/>
  <c r="C35" i="35" a="1"/>
  <c r="H34" i="35"/>
  <c r="G34" i="35" a="1"/>
  <c r="G34" i="35" s="1"/>
  <c r="F34" i="35" a="1"/>
  <c r="F34" i="35" s="1"/>
  <c r="E34" i="35" a="1"/>
  <c r="E34" i="35" s="1"/>
  <c r="D34" i="35" a="1"/>
  <c r="D34" i="35" s="1"/>
  <c r="D33" i="35" s="1"/>
  <c r="C34" i="35" a="1"/>
  <c r="C34" i="35" s="1"/>
  <c r="E33" i="35"/>
  <c r="F23" i="35"/>
  <c r="G22" i="35" a="1"/>
  <c r="G22" i="35" s="1"/>
  <c r="F22" i="35" a="1"/>
  <c r="F22" i="35" s="1"/>
  <c r="I22" i="35" s="1"/>
  <c r="J22" i="35" s="1"/>
  <c r="E22" i="35" a="1"/>
  <c r="E22" i="35" s="1"/>
  <c r="D22" i="35" a="1"/>
  <c r="D22" i="35" s="1"/>
  <c r="C22" i="35" a="1"/>
  <c r="C22" i="35" s="1"/>
  <c r="G21" i="35"/>
  <c r="G21" i="35" a="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c r="G18" i="35" a="1"/>
  <c r="F18" i="35"/>
  <c r="F20" i="35" s="1"/>
  <c r="F18" i="35" a="1"/>
  <c r="E18" i="35"/>
  <c r="E20" i="35" s="1"/>
  <c r="E18" i="35" a="1"/>
  <c r="D18" i="35"/>
  <c r="D20" i="35" s="1"/>
  <c r="D18" i="35" a="1"/>
  <c r="C18" i="35"/>
  <c r="C18" i="35" a="1"/>
  <c r="G16" i="35" a="1"/>
  <c r="G16" i="35" s="1"/>
  <c r="F16" i="35" a="1"/>
  <c r="F16" i="35" s="1"/>
  <c r="I16" i="35" s="1"/>
  <c r="J16" i="35" s="1"/>
  <c r="E16" i="35" a="1"/>
  <c r="E16" i="35" s="1"/>
  <c r="D16" i="35" a="1"/>
  <c r="D16" i="35" s="1"/>
  <c r="C16" i="35" a="1"/>
  <c r="C16" i="35" s="1"/>
  <c r="G15" i="35"/>
  <c r="G15" i="35" a="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c r="G10" i="35" a="1"/>
  <c r="F10" i="35"/>
  <c r="F36" i="35" s="1"/>
  <c r="I36" i="35" s="1"/>
  <c r="J36" i="35" s="1"/>
  <c r="F10" i="35" a="1"/>
  <c r="E10" i="35"/>
  <c r="E36" i="35" s="1"/>
  <c r="E10" i="35" a="1"/>
  <c r="D10" i="35"/>
  <c r="D36" i="35" s="1"/>
  <c r="D10" i="35" a="1"/>
  <c r="C10" i="35"/>
  <c r="C36" i="35" s="1"/>
  <c r="C10" i="35" a="1"/>
  <c r="G9" i="35" a="1"/>
  <c r="G9" i="35" s="1"/>
  <c r="G8" i="35" s="1" a="1"/>
  <c r="F9" i="35" a="1"/>
  <c r="F9" i="35" s="1"/>
  <c r="E9" i="35" a="1"/>
  <c r="E9" i="35" s="1"/>
  <c r="E8" i="35" s="1" a="1"/>
  <c r="E8" i="35" s="1"/>
  <c r="E13" i="35" s="1"/>
  <c r="D9" i="35" a="1"/>
  <c r="D9" i="35" s="1"/>
  <c r="C9" i="35" a="1"/>
  <c r="C9" i="35" s="1"/>
  <c r="C8" i="35" s="1" a="1"/>
  <c r="G8" i="35"/>
  <c r="C8" i="35"/>
  <c r="C13" i="35" s="1"/>
  <c r="A2" i="35"/>
  <c r="A1" i="35"/>
  <c r="G53" i="34" a="1"/>
  <c r="G53" i="34" s="1"/>
  <c r="F53" i="34" a="1"/>
  <c r="F53" i="34" s="1"/>
  <c r="I53" i="34" s="1"/>
  <c r="J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I49" i="34" s="1"/>
  <c r="J49" i="34" s="1"/>
  <c r="E49" i="34"/>
  <c r="E51" i="34" s="1"/>
  <c r="E49" i="34" a="1"/>
  <c r="D49" i="34" a="1"/>
  <c r="D49" i="34" s="1"/>
  <c r="C49" i="34"/>
  <c r="C49" i="34" a="1"/>
  <c r="G47" i="34"/>
  <c r="G47" i="34" a="1"/>
  <c r="F47" i="34" a="1"/>
  <c r="F47" i="34" s="1"/>
  <c r="I47" i="34" s="1"/>
  <c r="J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c r="G43" i="34" a="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I21" i="34" s="1"/>
  <c r="J21" i="34" s="1"/>
  <c r="F21" i="34" a="1"/>
  <c r="E21" i="34"/>
  <c r="E21" i="34" a="1"/>
  <c r="D21" i="34" a="1"/>
  <c r="D21" i="34" s="1"/>
  <c r="D22" i="34" s="1"/>
  <c r="C21" i="34"/>
  <c r="C21" i="34" a="1"/>
  <c r="I20" i="34"/>
  <c r="J20" i="34" s="1"/>
  <c r="G20" i="34" a="1"/>
  <c r="G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c r="G17" i="34" a="1"/>
  <c r="F17" i="34" a="1"/>
  <c r="F17" i="34" s="1"/>
  <c r="I17" i="34" s="1"/>
  <c r="J17" i="34" s="1"/>
  <c r="E17" i="34"/>
  <c r="E17" i="34" a="1"/>
  <c r="D17" i="34" a="1"/>
  <c r="D17" i="34" s="1"/>
  <c r="D19" i="34" s="1"/>
  <c r="C17" i="34"/>
  <c r="C19" i="34" s="1"/>
  <c r="C17" i="34" a="1"/>
  <c r="G15" i="34"/>
  <c r="G15" i="34" a="1"/>
  <c r="F15" i="34"/>
  <c r="H15" i="34" s="1"/>
  <c r="F15" i="34" a="1"/>
  <c r="E15" i="34"/>
  <c r="E15" i="34" a="1"/>
  <c r="D15" i="34"/>
  <c r="D15" i="34" a="1"/>
  <c r="C15" i="34"/>
  <c r="C15" i="34" a="1"/>
  <c r="G14" i="34" a="1"/>
  <c r="G14" i="34" s="1"/>
  <c r="H14" i="34" s="1"/>
  <c r="F14" i="34"/>
  <c r="F13" i="34" s="1" a="1"/>
  <c r="F13" i="34" s="1"/>
  <c r="F14" i="34" a="1"/>
  <c r="E14" i="34" a="1"/>
  <c r="E14" i="34" s="1"/>
  <c r="D14" i="34"/>
  <c r="D16" i="34" s="1"/>
  <c r="D14" i="34" a="1"/>
  <c r="C14" i="34" a="1"/>
  <c r="C14" i="34" s="1"/>
  <c r="E13" i="34" a="1"/>
  <c r="E13" i="34" s="1"/>
  <c r="E16" i="34" s="1"/>
  <c r="D13" i="34"/>
  <c r="D13" i="34" a="1"/>
  <c r="C13" i="34" a="1"/>
  <c r="C13" i="34" s="1"/>
  <c r="C16" i="34" s="1"/>
  <c r="G11" i="34"/>
  <c r="G11" i="34" a="1"/>
  <c r="F11" i="34" a="1"/>
  <c r="F11" i="34" s="1"/>
  <c r="I11" i="34" s="1"/>
  <c r="J11" i="34" s="1"/>
  <c r="E11" i="34"/>
  <c r="E11" i="34" a="1"/>
  <c r="D11" i="34" a="1"/>
  <c r="D11" i="34" s="1"/>
  <c r="C11" i="34"/>
  <c r="C11" i="34" a="1"/>
  <c r="G10" i="34"/>
  <c r="H10" i="34" s="1"/>
  <c r="G10" i="34" a="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G8" i="34" a="1"/>
  <c r="G8" i="34" s="1"/>
  <c r="E8" i="34" a="1"/>
  <c r="E8" i="34" s="1"/>
  <c r="E12" i="34" s="1"/>
  <c r="A2" i="34"/>
  <c r="A1" i="34"/>
  <c r="A1" i="33"/>
  <c r="A1" i="14"/>
  <c r="I23" i="35" l="1"/>
  <c r="J23" i="35" s="1"/>
  <c r="H36" i="35"/>
  <c r="F8" i="35" a="1"/>
  <c r="F8" i="35" s="1"/>
  <c r="I9" i="35"/>
  <c r="J9" i="35" s="1"/>
  <c r="E23" i="35"/>
  <c r="E24" i="35" s="1"/>
  <c r="G23" i="35"/>
  <c r="H23" i="35" s="1"/>
  <c r="H21" i="35"/>
  <c r="H57" i="35"/>
  <c r="G14" i="35" a="1"/>
  <c r="G14" i="35" s="1"/>
  <c r="H15" i="35"/>
  <c r="I20" i="35"/>
  <c r="J20" i="35" s="1"/>
  <c r="H11" i="35"/>
  <c r="H16" i="35"/>
  <c r="H10" i="35"/>
  <c r="I15" i="35"/>
  <c r="J15" i="35" s="1"/>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I55" i="35" s="1"/>
  <c r="J55" i="35" s="1"/>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G32" i="34"/>
  <c r="I32" i="34" s="1"/>
  <c r="J32" i="34" s="1"/>
  <c r="G13" i="34" a="1"/>
  <c r="G13" i="34" s="1"/>
  <c r="I13" i="34" s="1"/>
  <c r="J13" i="34" s="1"/>
  <c r="F16" i="34"/>
  <c r="E19" i="34"/>
  <c r="E23" i="34" s="1"/>
  <c r="H17" i="34"/>
  <c r="I18" i="34"/>
  <c r="J18" i="34" s="1"/>
  <c r="G45" i="34"/>
  <c r="H43" i="34"/>
  <c r="D51" i="34"/>
  <c r="F51" i="34"/>
  <c r="D54" i="34"/>
  <c r="D55" i="34" s="1"/>
  <c r="D56" i="34" s="1"/>
  <c r="G54" i="34"/>
  <c r="H54" i="34" s="1"/>
  <c r="H52" i="34"/>
  <c r="D8" i="34" a="1"/>
  <c r="D8" i="34" s="1"/>
  <c r="D12" i="34" s="1"/>
  <c r="D23" i="34" s="1"/>
  <c r="H11" i="34"/>
  <c r="F19" i="34"/>
  <c r="I19" i="34" s="1"/>
  <c r="J19" i="34" s="1"/>
  <c r="F22" i="34"/>
  <c r="H33" i="34"/>
  <c r="E45" i="34"/>
  <c r="E55" i="34" s="1"/>
  <c r="G48" i="34"/>
  <c r="H48" i="34" s="1"/>
  <c r="H46" i="34"/>
  <c r="G51" i="34"/>
  <c r="H51" i="34" s="1"/>
  <c r="H49" i="34"/>
  <c r="I50" i="34"/>
  <c r="J50" i="34" s="1"/>
  <c r="I52" i="34"/>
  <c r="J52" i="34" s="1"/>
  <c r="I14" i="34"/>
  <c r="J14"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I53" i="14" s="1"/>
  <c r="J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AL15" i="32" s="1"/>
  <c r="W15" i="32"/>
  <c r="X15" i="32"/>
  <c r="Y15" i="32"/>
  <c r="Z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G17" i="35" l="1"/>
  <c r="H17" i="35" s="1"/>
  <c r="H14" i="35"/>
  <c r="H58" i="35"/>
  <c r="F40" i="35"/>
  <c r="I17" i="35"/>
  <c r="J17" i="35" s="1"/>
  <c r="D60" i="35"/>
  <c r="I52" i="35"/>
  <c r="J52" i="35" s="1"/>
  <c r="F13" i="35"/>
  <c r="I8" i="35"/>
  <c r="J8" i="35" s="1"/>
  <c r="G35" i="35"/>
  <c r="D24" i="35"/>
  <c r="D25" i="35" s="1"/>
  <c r="I14" i="35"/>
  <c r="J14" i="35" s="1"/>
  <c r="I49" i="35"/>
  <c r="J49" i="35" s="1"/>
  <c r="F59" i="35"/>
  <c r="G59" i="35"/>
  <c r="H8" i="35"/>
  <c r="H55" i="35"/>
  <c r="D24" i="34"/>
  <c r="I51" i="34"/>
  <c r="J51" i="34" s="1"/>
  <c r="G55" i="34"/>
  <c r="H45" i="34"/>
  <c r="I54" i="34"/>
  <c r="J54" i="34" s="1"/>
  <c r="I45" i="34"/>
  <c r="J45" i="34" s="1"/>
  <c r="F35" i="34"/>
  <c r="I30" i="34"/>
  <c r="J30" i="34" s="1"/>
  <c r="H32" i="34"/>
  <c r="G30" i="34"/>
  <c r="F56" i="34"/>
  <c r="I55" i="34"/>
  <c r="J55" i="34" s="1"/>
  <c r="I22" i="34"/>
  <c r="J22" i="34" s="1"/>
  <c r="H19" i="34"/>
  <c r="I48" i="34"/>
  <c r="J48" i="34" s="1"/>
  <c r="G16" i="34"/>
  <c r="H16" i="34" s="1"/>
  <c r="H13" i="34"/>
  <c r="F12" i="34"/>
  <c r="H12" i="34" s="1"/>
  <c r="I8" i="34"/>
  <c r="J8" i="34" s="1"/>
  <c r="E48" i="14"/>
  <c r="C48" i="14"/>
  <c r="C54" i="14"/>
  <c r="G52" i="33"/>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M15" i="32"/>
  <c r="AN15" i="32"/>
  <c r="AO15" i="32" s="1"/>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N5" i="32" l="1"/>
  <c r="AO5" i="32" s="1"/>
  <c r="AM4" i="32"/>
  <c r="G12" i="35" a="1"/>
  <c r="G12" i="35" s="1"/>
  <c r="G12" i="33" a="1"/>
  <c r="G12" i="33" s="1"/>
  <c r="H59" i="35"/>
  <c r="G60" i="35"/>
  <c r="F60" i="35"/>
  <c r="I60" i="35" s="1"/>
  <c r="J60" i="35" s="1"/>
  <c r="I59" i="35"/>
  <c r="J59" i="35" s="1"/>
  <c r="H35" i="35"/>
  <c r="G33" i="35"/>
  <c r="I35" i="35"/>
  <c r="J35" i="35" s="1"/>
  <c r="F24" i="35"/>
  <c r="I16" i="34"/>
  <c r="J16" i="34" s="1"/>
  <c r="F37" i="34"/>
  <c r="F23" i="34"/>
  <c r="I12" i="34"/>
  <c r="J12" i="34" s="1"/>
  <c r="G35" i="34"/>
  <c r="I35" i="34" s="1"/>
  <c r="J35" i="34" s="1"/>
  <c r="H30" i="34"/>
  <c r="H55" i="34"/>
  <c r="G56" i="34"/>
  <c r="H56" i="34" s="1"/>
  <c r="G23" i="34"/>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H12" i="33" l="1"/>
  <c r="G32" i="33"/>
  <c r="I12" i="33"/>
  <c r="J12" i="33" s="1"/>
  <c r="H12" i="35"/>
  <c r="G32" i="35"/>
  <c r="I12" i="35"/>
  <c r="J12" i="35" s="1"/>
  <c r="G13" i="35"/>
  <c r="G13" i="33"/>
  <c r="I13" i="33" s="1"/>
  <c r="J13" i="33" s="1"/>
  <c r="F25" i="35"/>
  <c r="H60" i="35"/>
  <c r="H33" i="35"/>
  <c r="I33" i="35"/>
  <c r="J33" i="35" s="1"/>
  <c r="G38" i="35"/>
  <c r="G24" i="34"/>
  <c r="H24" i="34" s="1"/>
  <c r="H23" i="34"/>
  <c r="F24" i="34"/>
  <c r="I24" i="34" s="1"/>
  <c r="J24" i="34" s="1"/>
  <c r="I23" i="34"/>
  <c r="J23" i="34" s="1"/>
  <c r="G37" i="34"/>
  <c r="H37" i="34" s="1"/>
  <c r="H35" i="34"/>
  <c r="I56" i="34"/>
  <c r="J56" i="34" s="1"/>
  <c r="F24" i="33"/>
  <c r="F25" i="33" s="1"/>
  <c r="F40" i="33"/>
  <c r="H59" i="33"/>
  <c r="G60" i="33"/>
  <c r="F60" i="33"/>
  <c r="I59" i="33"/>
  <c r="J59" i="33" s="1"/>
  <c r="D24" i="14"/>
  <c r="F56" i="14"/>
  <c r="F23" i="14"/>
  <c r="I61" i="13"/>
  <c r="I60" i="13" s="1"/>
  <c r="I14" i="13" s="1"/>
  <c r="G24" i="35" l="1"/>
  <c r="H13" i="35"/>
  <c r="I13" i="35"/>
  <c r="J13" i="35" s="1"/>
  <c r="H13" i="33"/>
  <c r="H32" i="35"/>
  <c r="I32" i="35"/>
  <c r="J32" i="35" s="1"/>
  <c r="G40" i="35"/>
  <c r="H38" i="35"/>
  <c r="I38" i="35"/>
  <c r="J38" i="35" s="1"/>
  <c r="I37" i="34"/>
  <c r="J37" i="34" s="1"/>
  <c r="H32" i="33"/>
  <c r="I32" i="33"/>
  <c r="J32" i="33" s="1"/>
  <c r="I60" i="33"/>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AT249" i="13" s="1"/>
  <c r="AU249" i="13" s="1"/>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H24" i="35" l="1"/>
  <c r="G25" i="35"/>
  <c r="I24" i="35"/>
  <c r="J24" i="35" s="1"/>
  <c r="H40" i="35"/>
  <c r="I40" i="35"/>
  <c r="J40" i="35"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H25" i="35" l="1"/>
  <c r="I25" i="35"/>
  <c r="J25" i="35" s="1"/>
  <c r="H67" i="13"/>
  <c r="H146" i="13"/>
  <c r="H61" i="13" s="1"/>
  <c r="H60" i="13" s="1"/>
  <c r="AT247" i="13" l="1"/>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142" i="16" l="1"/>
  <c r="G15" i="33" a="1"/>
  <c r="G15" i="33" s="1"/>
  <c r="G14" i="33"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5" i="33" l="1"/>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7" i="33" l="1"/>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I24" i="33" l="1"/>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G40" i="33" l="1"/>
  <c r="H38" i="33"/>
  <c r="I38" i="33"/>
  <c r="J38" i="33" s="1"/>
  <c r="H25" i="33"/>
  <c r="I25" i="33"/>
  <c r="J25" i="33" s="1"/>
  <c r="F17" i="13"/>
  <c r="F141" i="13"/>
  <c r="AU141" i="13" s="1"/>
  <c r="AV142" i="13"/>
  <c r="AW142" i="13" s="1"/>
  <c r="F146" i="13"/>
  <c r="F62" i="13"/>
  <c r="AU62" i="13" s="1"/>
  <c r="AV63" i="13"/>
  <c r="AW63" i="13" s="1"/>
  <c r="H40" i="33" l="1"/>
  <c r="I40" i="33"/>
  <c r="J40" i="33" s="1"/>
  <c r="F16" i="13"/>
  <c r="AU16" i="13" s="1"/>
  <c r="AU17" i="13"/>
  <c r="AV141" i="13"/>
  <c r="AW141" i="13" s="1"/>
  <c r="AV62" i="13"/>
  <c r="AW62" i="13" s="1"/>
  <c r="F61" i="13"/>
  <c r="F15" i="13" l="1"/>
  <c r="AU15" i="13" s="1"/>
  <c r="F60" i="13"/>
  <c r="A2" i="14"/>
  <c r="B2" i="27" s="1"/>
  <c r="F14" i="13" l="1"/>
  <c r="B2" i="17"/>
  <c r="C2" i="20"/>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<sst xmlns="http://schemas.openxmlformats.org/spreadsheetml/2006/main" count="22565" uniqueCount="5598">
  <si>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</si>
  <si>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</si>
  <si>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</si>
  <si>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</si>
  <si>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</si>
  <si>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</si>
  <si>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</si>
  <si>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</si>
  <si>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</si>
  <si>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</si>
  <si>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</si>
  <si>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</si>
  <si>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</si>
  <si>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</si>
  <si>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</si>
  <si>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</si>
  <si>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</si>
  <si>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</si>
  <si>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</si>
  <si>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</si>
  <si>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</si>
  <si>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</si>
  <si>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</si>
  <si>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</si>
  <si>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</si>
  <si>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</si>
  <si>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</si>
  <si>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</si>
  <si>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</si>
  <si>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</si>
  <si>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</si>
  <si>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</si>
  <si>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</si>
  <si>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</si>
  <si>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</si>
  <si>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</si>
  <si>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</si>
  <si>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</si>
  <si>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</si>
  <si>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</si>
  <si>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</si>
  <si>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</si>
  <si>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</si>
  <si>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</si>
  <si>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</si>
  <si>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</si>
  <si>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</si>
  <si>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</si>
  <si>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</si>
  <si>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</si>
  <si>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</si>
  <si>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</si>
  <si>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</si>
  <si>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</si>
  <si>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</si>
  <si>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</si>
  <si>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</si>
  <si>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</si>
  <si>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</si>
  <si>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</si>
  <si>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</si>
  <si>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</si>
  <si>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</si>
  <si>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</si>
  <si>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</si>
  <si>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</si>
  <si>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</si>
  <si>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</si>
  <si>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</si>
  <si>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</si>
  <si>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</si>
  <si>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</si>
  <si>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</si>
  <si>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</si>
  <si>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</si>
  <si>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</si>
  <si>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</si>
  <si>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</si>
  <si>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</si>
  <si>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</si>
  <si>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</si>
  <si>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</si>
  <si>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</si>
  <si>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</si>
  <si>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</si>
  <si>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</si>
  <si>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</si>
  <si>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</si>
  <si>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</si>
  <si>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</si>
  <si>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</si>
  <si>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</si>
  <si>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</si>
  <si>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</si>
  <si>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</si>
  <si>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</si>
  <si>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</si>
  <si>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</si>
  <si>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</si>
  <si>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</si>
  <si>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</si>
  <si>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</si>
  <si>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</si>
  <si>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</si>
  <si>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</si>
  <si>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</si>
  <si>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</si>
  <si>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</si>
  <si>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</si>
  <si>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</si>
  <si>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</si>
  <si>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</si>
  <si>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</si>
  <si>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</si>
  <si>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</si>
  <si>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</si>
  <si>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</si>
  <si>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</si>
  <si>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</si>
  <si>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</si>
  <si>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</si>
  <si>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</si>
  <si>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</si>
  <si>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</si>
  <si>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</si>
  <si>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</si>
  <si>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</si>
  <si>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</si>
  <si>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</si>
  <si>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</si>
  <si>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</si>
  <si>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</si>
  <si>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</si>
  <si>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</si>
  <si>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</si>
  <si>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</si>
  <si>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</si>
  <si>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</si>
  <si>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</si>
  <si>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</si>
  <si>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</si>
  <si>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</si>
  <si>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</si>
  <si>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</si>
  <si>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</si>
  <si>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</si>
  <si>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</si>
  <si>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</si>
  <si>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</si>
  <si>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</si>
  <si>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</si>
  <si>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</si>
  <si>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</si>
  <si>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</si>
  <si>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</si>
  <si>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</si>
  <si>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</si>
  <si>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</si>
  <si>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</si>
  <si>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</si>
  <si>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</si>
  <si>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</si>
  <si>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</si>
  <si>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</si>
  <si>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</si>
  <si>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</si>
  <si>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</si>
  <si>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</si>
  <si>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</si>
  <si>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</si>
  <si>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</si>
  <si>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</si>
  <si>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</si>
  <si>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</si>
  <si>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</si>
  <si>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</si>
  <si>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</si>
  <si>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</si>
  <si>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</si>
  <si>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</si>
  <si>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</si>
  <si>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</si>
  <si>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</si>
  <si>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</si>
  <si>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</si>
  <si>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</si>
  <si>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</si>
  <si>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</si>
  <si>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</si>
  <si>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</si>
  <si>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</si>
  <si>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</si>
  <si>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</si>
  <si>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</si>
  <si>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</si>
  <si>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</si>
  <si>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</si>
  <si>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</si>
  <si>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</si>
  <si>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</si>
  <si>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</si>
  <si>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</si>
  <si>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</si>
  <si>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</si>
  <si>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</si>
  <si>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</si>
  <si>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</si>
  <si>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</si>
  <si>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</si>
  <si>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</si>
  <si>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</si>
  <si>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</si>
  <si>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</si>
  <si>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</si>
  <si>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</si>
  <si>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</si>
  <si>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</si>
  <si>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</si>
  <si>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</si>
  <si>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</si>
  <si>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</si>
  <si>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</si>
  <si>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</si>
  <si>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</si>
  <si>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</si>
  <si>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</si>
  <si>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</si>
  <si>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</si>
  <si>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</si>
  <si>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</si>
  <si>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</si>
  <si>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</si>
  <si>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</si>
  <si>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</si>
  <si>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</si>
  <si>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</si>
  <si>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</si>
  <si>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</si>
  <si>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</si>
  <si>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</si>
  <si>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</si>
  <si>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</si>
  <si>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</si>
  <si>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</si>
  <si>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</si>
  <si>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</si>
  <si>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</si>
  <si>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</si>
  <si>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</si>
  <si>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</si>
  <si>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</si>
  <si>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</si>
  <si>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</si>
  <si>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</si>
  <si>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</si>
  <si>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</si>
  <si>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</si>
  <si>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</si>
  <si>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</si>
  <si>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</si>
  <si>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</si>
  <si>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</si>
  <si>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</si>
  <si>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</si>
  <si>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</si>
  <si>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</si>
  <si>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</si>
  <si>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</si>
  <si>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</si>
  <si>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</si>
  <si>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</si>
  <si>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</si>
  <si>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</si>
  <si>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</si>
  <si>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</si>
  <si>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</si>
  <si>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</si>
  <si>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</si>
  <si>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</si>
  <si>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</si>
  <si>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</si>
  <si>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</si>
  <si>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</si>
  <si>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</si>
  <si>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</si>
  <si>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</si>
  <si>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</si>
  <si>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</si>
  <si>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</si>
  <si>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</si>
  <si>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</si>
  <si>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</si>
  <si>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</si>
  <si>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</si>
  <si>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</si>
  <si>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</si>
  <si>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</si>
  <si>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</si>
  <si>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</si>
  <si>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</si>
  <si>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</si>
  <si>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</si>
  <si>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</si>
  <si>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</si>
  <si>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</si>
  <si>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</si>
  <si>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</si>
  <si>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</si>
  <si>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</si>
  <si>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</si>
  <si>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</si>
  <si>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</si>
  <si>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</si>
  <si>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</si>
  <si>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</si>
  <si>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</si>
  <si>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</si>
  <si>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</si>
  <si>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</si>
  <si>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</si>
  <si>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</si>
  <si>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</si>
  <si>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</si>
  <si>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</si>
  <si>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</si>
  <si>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</si>
  <si>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</si>
  <si>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</si>
  <si>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</si>
  <si>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</si>
  <si>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</si>
  <si>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</si>
  <si>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</si>
  <si>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</si>
  <si>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</si>
  <si>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</si>
  <si>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</si>
  <si>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</si>
  <si>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</si>
  <si>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</si>
  <si>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</si>
  <si>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</si>
  <si>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</si>
  <si>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</si>
  <si>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</si>
  <si>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</si>
  <si>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</si>
  <si>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</si>
  <si>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</si>
  <si>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</si>
  <si>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</si>
  <si>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</si>
  <si>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</si>
  <si>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</si>
  <si>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</si>
  <si>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</si>
  <si>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</si>
  <si>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</si>
  <si>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</si>
  <si>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</si>
  <si>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</si>
  <si>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</si>
  <si>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</si>
  <si>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</si>
  <si>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</si>
  <si>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</si>
  <si>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</si>
  <si>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</si>
  <si>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</si>
  <si>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</si>
  <si>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</si>
  <si>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</si>
  <si>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</si>
  <si>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</si>
  <si>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</si>
  <si>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</si>
  <si>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</si>
  <si>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</si>
  <si>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</si>
  <si>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</si>
  <si>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</si>
  <si>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</si>
  <si>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</si>
  <si>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</si>
  <si>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</si>
  <si>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</si>
  <si>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</si>
  <si>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</si>
  <si>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</si>
  <si>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</si>
  <si>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</si>
  <si>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</si>
  <si>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</si>
  <si>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</si>
  <si>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</si>
  <si>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</si>
  <si>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</si>
  <si>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</si>
  <si>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</si>
  <si>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</si>
  <si>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</si>
  <si>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</si>
  <si>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</si>
  <si>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</si>
  <si>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</si>
  <si>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</si>
  <si>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</si>
  <si>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</si>
  <si>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</si>
  <si>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</si>
  <si>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</si>
  <si>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</si>
  <si>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</si>
  <si>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</si>
  <si>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</si>
  <si>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</si>
  <si>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</si>
  <si>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</si>
  <si>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</si>
  <si>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</si>
  <si>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</si>
  <si>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</si>
  <si>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</si>
  <si>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</si>
  <si>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</si>
  <si>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</si>
  <si>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</si>
  <si>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</si>
  <si>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</si>
  <si>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</si>
  <si>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</si>
  <si>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</si>
  <si>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</si>
  <si>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</si>
  <si>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</si>
  <si>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</si>
  <si>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</si>
  <si>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</si>
  <si>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</si>
  <si>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</si>
  <si>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</si>
  <si>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</si>
  <si>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</si>
  <si>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</si>
  <si>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</si>
  <si>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</si>
  <si>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</si>
  <si>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</si>
  <si>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</si>
  <si>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</si>
  <si>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</si>
  <si>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</si>
  <si>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</si>
  <si>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</si>
  <si>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</si>
  <si>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</si>
  <si>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</si>
  <si>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</si>
  <si>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</si>
  <si>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</si>
  <si>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</si>
  <si>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</si>
  <si>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</si>
  <si>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</si>
  <si>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</si>
  <si>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</si>
  <si>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</si>
  <si>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</si>
  <si>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</si>
  <si>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</si>
  <si>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</si>
  <si>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</si>
  <si>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</si>
  <si>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</si>
  <si>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</si>
  <si>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</si>
  <si>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</si>
  <si>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</si>
  <si>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</si>
  <si>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</si>
  <si>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</si>
  <si>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</si>
  <si>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</si>
  <si>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</si>
  <si>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</si>
  <si>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</si>
  <si>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</si>
  <si>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</si>
  <si>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</si>
  <si>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</si>
  <si>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</si>
  <si>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</si>
  <si>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</si>
  <si>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</si>
  <si>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</si>
  <si>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</si>
  <si>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</si>
  <si>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</si>
  <si>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</si>
  <si>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</si>
  <si>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</si>
  <si>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</si>
  <si>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</si>
  <si>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</si>
  <si>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</si>
  <si>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</si>
  <si>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</si>
  <si>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</si>
  <si>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</si>
  <si>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</si>
  <si>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</si>
  <si>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</si>
  <si>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</si>
  <si>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</si>
  <si>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</si>
  <si>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</si>
  <si>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</si>
  <si>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</si>
  <si>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</si>
  <si>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</si>
  <si>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</si>
  <si>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</si>
  <si>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</si>
  <si>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</si>
  <si>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</si>
  <si>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</si>
  <si>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</si>
  <si>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</si>
  <si>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</si>
  <si>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</si>
  <si>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</si>
  <si>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</si>
  <si>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</si>
  <si>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</si>
  <si>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</si>
  <si>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</si>
  <si>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</si>
  <si>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</si>
  <si>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</si>
  <si>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</si>
  <si>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</si>
  <si>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</si>
  <si>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</si>
  <si>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</si>
  <si>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</si>
  <si>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</si>
  <si>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</si>
  <si>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</si>
  <si>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</si>
  <si>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</si>
  <si>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</si>
  <si>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</si>
  <si>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</si>
  <si>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</si>
  <si>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</si>
  <si>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</si>
  <si>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</si>
  <si>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</si>
  <si>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</si>
  <si>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</si>
  <si>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</si>
  <si>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</si>
  <si>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</si>
  <si>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</si>
  <si>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</si>
  <si>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</si>
  <si>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</si>
  <si>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</si>
  <si>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</si>
  <si>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</si>
  <si>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</si>
  <si>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</si>
  <si>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</si>
  <si>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</si>
  <si>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</si>
  <si>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</si>
  <si>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</si>
  <si>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</si>
  <si>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</si>
  <si>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</si>
  <si>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</si>
  <si>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</si>
  <si>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</si>
  <si>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</si>
  <si>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</si>
  <si>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</si>
  <si>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</si>
  <si>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</si>
  <si>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</si>
  <si>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</si>
  <si>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</si>
  <si>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</si>
  <si>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</si>
  <si>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</si>
  <si>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</si>
  <si>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</si>
  <si>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</si>
  <si>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</si>
  <si>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</si>
  <si>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</si>
  <si>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</si>
  <si>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</si>
  <si>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</si>
  <si>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</si>
  <si>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</si>
  <si>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</si>
  <si>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</si>
  <si>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</si>
  <si>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</si>
  <si>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</si>
  <si>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</si>
  <si>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</si>
  <si>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</si>
  <si>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</si>
  <si>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</si>
  <si>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</si>
  <si>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</si>
  <si>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</si>
  <si>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</si>
  <si>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</si>
  <si>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</si>
  <si>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</si>
  <si>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</si>
  <si>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</si>
  <si>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</si>
  <si>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</si>
  <si>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</si>
  <si>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</si>
  <si>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</si>
  <si>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</si>
  <si>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</si>
  <si>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</si>
  <si>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</si>
  <si>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</si>
  <si>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</si>
  <si>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</si>
  <si>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</si>
  <si>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</si>
  <si>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</si>
  <si>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</si>
  <si>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</si>
  <si>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</si>
  <si>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</si>
  <si>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</si>
  <si>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</si>
  <si>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</si>
  <si>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</si>
  <si>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</si>
  <si>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</si>
  <si>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</si>
  <si>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</si>
  <si>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</si>
  <si>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</si>
  <si>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</si>
  <si>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</si>
  <si>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</si>
  <si>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</si>
  <si>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</si>
  <si>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</si>
  <si>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</si>
  <si>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</si>
  <si>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</si>
  <si>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</si>
  <si>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</si>
  <si>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</si>
  <si>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</si>
  <si>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</si>
  <si>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</si>
  <si>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</si>
  <si>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</si>
  <si>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</si>
  <si>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</si>
  <si>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</si>
  <si>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</si>
  <si>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</si>
  <si>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</si>
  <si>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</si>
  <si>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</si>
  <si>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</si>
  <si>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</si>
  <si>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</si>
  <si>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</si>
  <si>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</si>
  <si>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</si>
  <si>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</si>
  <si>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</si>
  <si>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</si>
  <si>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</si>
  <si>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</si>
  <si>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</si>
  <si>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</si>
  <si>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</si>
  <si>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</si>
  <si>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</si>
  <si>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</si>
  <si>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</si>
  <si>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</si>
  <si>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</si>
  <si>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</si>
  <si>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</si>
  <si>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</si>
  <si>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</si>
  <si>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</si>
  <si>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</si>
  <si>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</si>
  <si>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</si>
  <si>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</si>
  <si>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</si>
  <si>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</si>
  <si>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</si>
  <si>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</si>
  <si>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</si>
  <si>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</si>
  <si>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</si>
  <si>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</si>
  <si>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</si>
  <si>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</si>
  <si>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</si>
  <si>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</si>
  <si>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</si>
  <si>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</si>
  <si>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</si>
  <si>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</si>
  <si>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</si>
  <si>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</si>
  <si>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</si>
  <si>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</si>
  <si>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</si>
  <si>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</si>
  <si>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</si>
  <si>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</si>
  <si>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</si>
  <si>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</si>
  <si>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</si>
  <si>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</si>
  <si>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</si>
  <si>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</si>
  <si>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</si>
  <si>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</si>
  <si>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</si>
  <si>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</si>
  <si>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</si>
  <si>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</si>
  <si>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</si>
  <si>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</si>
  <si>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</si>
  <si>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</si>
  <si>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</si>
  <si>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</si>
  <si>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</si>
  <si>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</si>
  <si>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</si>
  <si>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</si>
  <si>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</si>
  <si>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</si>
  <si>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</si>
  <si>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</si>
  <si>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</si>
  <si>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</si>
  <si>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</si>
  <si>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</si>
  <si>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</si>
  <si>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</si>
  <si>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</si>
  <si>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</si>
  <si>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</si>
  <si>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</si>
  <si>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</si>
  <si>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</si>
  <si>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</si>
  <si>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</si>
  <si>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</si>
  <si>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</si>
  <si>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</si>
  <si>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</si>
  <si>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</si>
  <si>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</si>
  <si>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</si>
  <si>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</si>
  <si>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</si>
  <si>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</si>
  <si>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</si>
  <si>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</si>
  <si>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</si>
  <si>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</si>
  <si>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</si>
  <si>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</si>
  <si>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</si>
  <si>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</si>
  <si>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</si>
  <si>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</si>
  <si>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</si>
  <si>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</si>
  <si>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</si>
  <si>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</si>
  <si>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</si>
  <si>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</si>
  <si>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</si>
  <si>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</si>
  <si>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</si>
  <si>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</si>
  <si>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</si>
  <si>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</si>
  <si>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</si>
  <si>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</si>
  <si>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</si>
  <si>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</si>
  <si>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</si>
  <si>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</si>
  <si>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</si>
  <si>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</si>
  <si>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</si>
  <si>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</si>
  <si>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</si>
  <si>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</si>
  <si>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</si>
  <si>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</si>
  <si>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</si>
  <si>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</si>
  <si>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</si>
  <si>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</si>
  <si>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</si>
  <si>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</si>
  <si>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</si>
  <si>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</si>
  <si>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</si>
  <si>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</si>
  <si>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</si>
  <si>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</si>
  <si>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</si>
  <si>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</si>
  <si>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</si>
  <si>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</si>
  <si>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</si>
  <si>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</si>
  <si>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</si>
  <si>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</si>
  <si>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</si>
  <si>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</si>
  <si>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</si>
  <si>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</si>
  <si>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</si>
  <si>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</si>
  <si>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</si>
  <si>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</si>
  <si>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</si>
  <si>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</si>
  <si>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</si>
  <si>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</si>
  <si>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</si>
  <si>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</si>
  <si>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</si>
  <si>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</si>
  <si>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</si>
  <si>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</si>
  <si>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</si>
  <si>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</si>
  <si>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</si>
  <si>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</si>
  <si>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</si>
  <si>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</si>
  <si>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</si>
  <si>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</si>
  <si>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</si>
  <si>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</si>
  <si>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</si>
  <si>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</si>
  <si>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</si>
  <si>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</si>
  <si>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</si>
  <si>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</si>
  <si>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</si>
  <si>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</si>
  <si>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</si>
  <si>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</si>
  <si>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</si>
  <si>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</si>
  <si>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</si>
  <si>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</si>
  <si>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</si>
  <si>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</si>
  <si>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</si>
  <si>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</si>
  <si>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</si>
  <si>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</si>
  <si>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</si>
  <si>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</si>
  <si>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</si>
  <si>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</si>
  <si>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</si>
  <si>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</si>
  <si>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</si>
  <si>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</si>
  <si>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</si>
  <si>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</si>
  <si>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</si>
  <si>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</si>
  <si>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</si>
  <si>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</si>
  <si>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</si>
  <si>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</si>
  <si>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</si>
  <si>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</si>
  <si>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</si>
  <si>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</si>
  <si>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</si>
  <si>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</si>
  <si>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</si>
  <si>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</si>
  <si>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</si>
  <si>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</si>
  <si>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</si>
  <si>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</si>
  <si>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</si>
  <si>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</si>
  <si>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</si>
  <si>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</si>
  <si>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</si>
  <si>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</si>
  <si>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</si>
  <si>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</si>
  <si>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</si>
  <si>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</si>
  <si>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</si>
  <si>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</si>
  <si>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</si>
  <si>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</si>
  <si>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</si>
  <si>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</si>
  <si>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</si>
  <si>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</si>
  <si>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</si>
  <si>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</si>
  <si>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</si>
  <si>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</si>
  <si>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</si>
  <si>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</si>
  <si>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</si>
  <si>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</si>
  <si>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</si>
  <si>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</si>
  <si>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</si>
  <si>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</si>
  <si>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</si>
  <si>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</si>
  <si>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</si>
  <si>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</si>
  <si>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</si>
  <si>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</si>
  <si>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</si>
  <si>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</si>
  <si>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</si>
  <si>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</si>
  <si>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</si>
  <si>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</si>
  <si>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</si>
  <si>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</si>
  <si>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</si>
  <si>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</si>
  <si>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</si>
  <si>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</si>
  <si>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</si>
  <si>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</si>
  <si>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</si>
  <si>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</si>
  <si>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</si>
  <si>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</si>
  <si>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</si>
  <si>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</si>
  <si>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</si>
  <si>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</si>
  <si>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</si>
  <si>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</si>
  <si>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</si>
  <si>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</si>
  <si>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</si>
  <si>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</si>
  <si>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</si>
  <si>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</si>
  <si>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</si>
  <si>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</si>
  <si>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</si>
  <si>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</si>
  <si>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</si>
  <si>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</si>
  <si>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</si>
  <si>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</si>
  <si>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</si>
  <si>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</si>
  <si>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</si>
  <si>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</si>
  <si>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</si>
  <si>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</si>
  <si>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</si>
  <si>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</si>
  <si>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</si>
  <si>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</si>
  <si>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</si>
  <si>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</si>
  <si>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</si>
  <si>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</si>
  <si>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</si>
  <si>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</si>
  <si>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</si>
  <si>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</si>
  <si>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</si>
  <si>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</si>
  <si>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</si>
  <si>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</si>
  <si>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</si>
  <si>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</si>
  <si>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</si>
  <si>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</si>
  <si>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</si>
  <si>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</si>
  <si>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</si>
  <si>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</si>
  <si>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</si>
  <si>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</si>
  <si>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</si>
  <si>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</si>
  <si>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</si>
  <si>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</si>
  <si>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</si>
  <si>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</si>
  <si>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</si>
  <si>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</si>
  <si>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</si>
  <si>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</si>
  <si>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</si>
  <si>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</si>
  <si>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</si>
  <si>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</si>
  <si>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</si>
  <si>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</si>
  <si>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</si>
  <si>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</si>
  <si>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</si>
  <si>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</si>
  <si>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</si>
  <si>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</si>
  <si>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</si>
  <si>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</si>
  <si>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</si>
  <si>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</si>
  <si>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</si>
  <si>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</si>
  <si>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</si>
  <si>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</si>
  <si>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</si>
  <si>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</si>
  <si>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</si>
  <si>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</si>
  <si>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</si>
  <si>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</si>
  <si>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</si>
  <si>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</si>
  <si>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</si>
  <si>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</si>
  <si>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</si>
  <si>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</si>
  <si>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</si>
  <si>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</si>
  <si>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</si>
  <si>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</si>
  <si>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</si>
  <si>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</si>
  <si>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</si>
  <si>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</si>
  <si>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</si>
  <si>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</si>
  <si>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</si>
  <si>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</si>
  <si>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</si>
  <si>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</si>
  <si>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</si>
  <si>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</si>
  <si>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</si>
  <si>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</si>
  <si>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</si>
  <si>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</si>
  <si>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</si>
  <si>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</si>
  <si>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</si>
  <si>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</si>
  <si>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</si>
  <si>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</si>
  <si>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</si>
  <si>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</si>
  <si>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</si>
  <si>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</si>
  <si>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</si>
  <si>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</si>
  <si>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</si>
  <si>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</si>
  <si>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</si>
  <si>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</si>
  <si>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</si>
  <si>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</si>
  <si>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</si>
  <si>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</si>
  <si>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</si>
  <si>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</si>
  <si>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</si>
  <si>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</si>
  <si>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</si>
  <si>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</si>
  <si>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</si>
  <si>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</si>
  <si>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</si>
  <si>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</si>
  <si>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</si>
  <si>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</si>
  <si>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</si>
  <si>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</si>
  <si>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</si>
  <si>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</si>
  <si>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</si>
  <si>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</si>
  <si>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</si>
  <si>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</si>
  <si>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</si>
  <si>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</si>
  <si>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</si>
  <si>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</si>
  <si>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</si>
  <si>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</si>
  <si>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</si>
  <si>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</si>
  <si>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</si>
  <si>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</si>
  <si>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</si>
  <si>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</si>
  <si>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</si>
  <si>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</si>
  <si>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</si>
  <si>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</si>
  <si>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</si>
  <si>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</si>
  <si>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</si>
  <si>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</si>
  <si>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</si>
  <si>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</si>
  <si>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</si>
  <si>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</si>
  <si>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</si>
  <si>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</si>
  <si>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</si>
  <si>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</si>
  <si>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</si>
  <si>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</si>
  <si>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</si>
  <si>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</si>
  <si>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</si>
  <si>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</si>
  <si>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</si>
  <si>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</si>
  <si>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</si>
  <si>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</si>
  <si>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</si>
  <si>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</si>
  <si>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</si>
  <si>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</si>
  <si>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</si>
  <si>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</si>
  <si>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</si>
  <si>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</si>
  <si>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</si>
  <si>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</si>
  <si>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</si>
  <si>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</si>
  <si>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</si>
  <si>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</si>
  <si>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</si>
  <si>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</si>
  <si>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</si>
  <si>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</si>
  <si>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</si>
  <si>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</si>
  <si>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</si>
  <si>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</si>
  <si>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</si>
  <si>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</si>
  <si>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</si>
  <si>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</si>
  <si>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</si>
  <si>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</si>
  <si>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</si>
  <si>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</si>
  <si>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</si>
  <si>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</si>
  <si>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</si>
  <si>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</si>
  <si>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</si>
  <si>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</si>
  <si>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</si>
  <si>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</si>
  <si>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</si>
  <si>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</si>
  <si>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</si>
  <si>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</si>
  <si>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</si>
  <si>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</si>
  <si>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</si>
  <si>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</si>
  <si>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</si>
  <si>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</si>
  <si>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</si>
  <si>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</si>
  <si>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</si>
  <si>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</si>
  <si>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</si>
  <si>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</si>
  <si>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</si>
  <si>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</si>
  <si>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</si>
  <si>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</si>
  <si>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</si>
  <si>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</si>
  <si>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</si>
  <si>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</si>
  <si>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</si>
  <si>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</si>
  <si>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</si>
  <si>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</si>
  <si>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</si>
  <si>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</si>
  <si>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</si>
  <si>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</si>
  <si>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</si>
  <si>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</si>
  <si>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</si>
  <si>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</si>
  <si>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</si>
  <si>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</si>
  <si>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</si>
  <si>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</si>
  <si>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</si>
  <si>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</si>
  <si>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</si>
  <si>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</si>
  <si>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</si>
  <si>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</si>
  <si>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</si>
  <si>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</si>
  <si>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</si>
  <si>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</si>
  <si>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</si>
  <si>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</si>
  <si>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</si>
  <si>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</si>
  <si>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</si>
  <si>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</si>
  <si>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</si>
  <si>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</si>
  <si>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</si>
  <si>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</si>
  <si>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</si>
  <si>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</si>
  <si>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</si>
  <si>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</si>
  <si>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</si>
  <si>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</si>
  <si>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</si>
  <si>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</si>
  <si>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</si>
  <si>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</si>
  <si>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</si>
  <si>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</si>
  <si>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</si>
  <si>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</si>
  <si>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</si>
  <si>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</si>
  <si>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</si>
  <si>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</si>
  <si>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</si>
  <si>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</si>
  <si>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</si>
  <si>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</si>
  <si>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</si>
  <si>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</si>
  <si>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</si>
  <si>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</si>
  <si>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</si>
  <si>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</si>
  <si>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</si>
  <si>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</si>
  <si>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</si>
  <si>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</si>
  <si>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</si>
  <si>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</si>
  <si>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</si>
  <si>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</si>
  <si>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</si>
  <si>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</si>
  <si>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</si>
  <si>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</si>
  <si>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</si>
  <si>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</si>
  <si>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</si>
  <si>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</si>
  <si>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</si>
  <si>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</si>
  <si>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</si>
  <si>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</si>
  <si>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</si>
  <si>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</si>
  <si>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</si>
  <si>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</si>
  <si>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</si>
  <si>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</si>
  <si>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</si>
  <si>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</si>
  <si>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</si>
  <si>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</si>
  <si>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</si>
  <si>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</si>
  <si>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</si>
  <si>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</si>
  <si>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</si>
  <si>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</si>
  <si>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</si>
  <si>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</si>
  <si>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</si>
  <si>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</si>
  <si>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</si>
  <si>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</si>
  <si>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</si>
  <si>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</si>
  <si>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</si>
  <si>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</si>
  <si>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</si>
  <si>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</si>
  <si>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</si>
  <si>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</si>
  <si>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</si>
  <si>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</si>
  <si>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</si>
  <si>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</si>
  <si>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</si>
  <si>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</si>
  <si>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</si>
  <si>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</si>
  <si>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</si>
  <si>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</si>
  <si>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</si>
  <si>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</si>
  <si>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</si>
  <si>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</si>
  <si>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</si>
  <si>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</si>
  <si>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</si>
  <si>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</si>
  <si>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</si>
  <si>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</si>
  <si>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</si>
  <si>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</si>
  <si>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</si>
  <si>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</si>
  <si>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</si>
  <si>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</si>
  <si>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</si>
  <si>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</si>
  <si>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</si>
  <si>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</si>
  <si>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</si>
  <si>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</si>
  <si>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</si>
  <si>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</si>
  <si>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</si>
  <si>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</si>
  <si>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</si>
  <si>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</si>
  <si>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</si>
  <si>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</si>
  <si>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</si>
  <si>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</si>
  <si>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</si>
  <si>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</si>
  <si>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</si>
  <si>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</si>
  <si>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</si>
  <si>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</si>
  <si>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</si>
  <si>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</si>
  <si>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</si>
  <si>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</si>
  <si>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</si>
  <si>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</si>
  <si>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</si>
  <si>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</si>
  <si>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</si>
  <si>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</si>
  <si>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</si>
  <si>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</si>
  <si>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</si>
  <si>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</si>
  <si>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</si>
  <si>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</si>
  <si>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</si>
  <si>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</si>
  <si>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</si>
  <si>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</si>
  <si>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</si>
  <si>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</si>
  <si>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</si>
  <si>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</si>
  <si>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</si>
  <si>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</si>
  <si>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</si>
  <si>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</si>
  <si>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</si>
  <si>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</si>
  <si>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</si>
  <si>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</si>
  <si>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</si>
  <si>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</si>
  <si>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</si>
  <si>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</si>
  <si>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</si>
  <si>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</si>
  <si>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</si>
  <si>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</si>
  <si>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</si>
  <si>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</si>
  <si>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</si>
  <si>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</si>
  <si>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</si>
  <si>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</si>
  <si>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</si>
  <si>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</si>
  <si>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</si>
  <si>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</si>
  <si>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</si>
  <si>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</si>
  <si>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</si>
  <si>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</si>
  <si>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</si>
  <si>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</si>
  <si>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</si>
  <si>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</si>
  <si>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</si>
  <si>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</si>
  <si>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</si>
  <si>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</si>
  <si>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</si>
  <si>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</si>
  <si>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</si>
  <si>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</si>
  <si>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</si>
  <si>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</si>
  <si>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</si>
  <si>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</si>
  <si>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</si>
  <si>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</si>
  <si>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</si>
  <si>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</si>
  <si>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</si>
  <si>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</si>
  <si>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</si>
  <si>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</si>
  <si>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</si>
  <si>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</si>
  <si>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</si>
  <si>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</si>
  <si>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</si>
  <si>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</si>
  <si>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</si>
  <si>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</si>
  <si>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</si>
  <si>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</si>
  <si>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</si>
  <si>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</si>
  <si>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</si>
  <si>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</si>
  <si>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</si>
  <si>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</si>
  <si>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</si>
  <si>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</si>
  <si>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</si>
  <si>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</si>
  <si>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</si>
  <si>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</si>
  <si>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</si>
  <si>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</si>
  <si>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</si>
  <si>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</si>
  <si>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</si>
  <si>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</si>
  <si>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</si>
  <si>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</si>
  <si>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</si>
  <si>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</si>
  <si>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</si>
  <si>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</si>
  <si>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</si>
  <si>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</si>
  <si>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</si>
  <si>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</si>
  <si>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</si>
  <si>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</si>
  <si>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</si>
  <si>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</si>
  <si>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</si>
  <si>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</si>
  <si>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</si>
  <si>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</si>
  <si>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</si>
  <si>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</si>
  <si>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</si>
  <si>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</si>
  <si>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</si>
  <si>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</si>
  <si>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</si>
  <si>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</si>
  <si>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</si>
  <si>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</si>
  <si>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</si>
  <si>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</si>
  <si>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</si>
  <si>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</si>
  <si>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</si>
  <si>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</si>
  <si>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</si>
  <si>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</si>
  <si>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</si>
  <si>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</si>
  <si>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</si>
  <si>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</si>
  <si>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</si>
  <si>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</si>
  <si>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</si>
  <si>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</si>
  <si>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</si>
  <si>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</si>
  <si>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</si>
  <si>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</si>
  <si>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</si>
  <si>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</si>
  <si>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</si>
  <si>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</si>
  <si>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</si>
  <si>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</si>
  <si>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</si>
  <si>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</si>
  <si>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</si>
  <si>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</si>
  <si>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</si>
  <si>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</si>
  <si>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</si>
  <si>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</si>
  <si>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</si>
  <si>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</si>
  <si>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</si>
  <si>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</si>
  <si>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</si>
  <si>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</si>
  <si>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</si>
  <si>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</si>
  <si>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</si>
  <si>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</si>
  <si>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</si>
  <si>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</si>
  <si>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</si>
  <si>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</si>
  <si>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</si>
  <si>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</si>
  <si>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</si>
  <si>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</si>
  <si>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</si>
  <si>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</si>
  <si>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</si>
  <si>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</si>
  <si>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</si>
  <si>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</si>
  <si>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</si>
  <si>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</si>
  <si>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</si>
  <si>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</si>
  <si>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</si>
  <si>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</si>
  <si>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</si>
  <si>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</si>
  <si>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</si>
  <si>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</si>
  <si>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</si>
  <si>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</si>
  <si>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</si>
  <si>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</si>
  <si>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</si>
  <si>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</si>
  <si>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</si>
  <si>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</si>
  <si>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</si>
  <si>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</si>
  <si>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</si>
  <si>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</si>
  <si>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</si>
  <si>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</si>
  <si>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</si>
  <si>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</si>
  <si>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</si>
  <si>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</si>
  <si>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</si>
  <si>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</si>
  <si>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</si>
  <si>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</si>
  <si>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</si>
  <si>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</si>
  <si>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</si>
  <si>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</si>
  <si>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</si>
  <si>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</si>
  <si>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</si>
  <si>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</si>
  <si>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</si>
  <si>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</si>
  <si>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</si>
  <si>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</si>
  <si>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</si>
  <si>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</si>
  <si>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</si>
  <si>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</si>
  <si>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</si>
  <si>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</si>
  <si>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</si>
  <si>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</si>
  <si>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</si>
  <si>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</si>
  <si>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</si>
  <si>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</si>
  <si>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</si>
  <si>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</si>
  <si>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</si>
  <si>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</si>
  <si>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</si>
  <si>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</si>
  <si>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</si>
  <si>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</si>
  <si>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</si>
  <si>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</si>
  <si>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</si>
  <si>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</si>
  <si>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</si>
  <si>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</si>
  <si>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</si>
  <si>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</si>
  <si>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</si>
  <si>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</si>
  <si>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</si>
  <si>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</si>
  <si>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</si>
  <si>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</si>
  <si>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</si>
  <si>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</si>
  <si>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</si>
  <si>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</si>
  <si>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</si>
  <si>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</si>
  <si>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</si>
  <si>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</si>
  <si>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</si>
  <si>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</si>
  <si>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</si>
  <si>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</si>
  <si>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</si>
  <si>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</si>
  <si>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</si>
  <si>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</si>
  <si>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</si>
  <si>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</si>
  <si>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</si>
  <si>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</si>
  <si>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</si>
  <si>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</si>
  <si>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</si>
  <si>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</si>
  <si>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</si>
  <si>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</si>
  <si>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</si>
  <si>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</si>
  <si>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</si>
  <si>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</si>
  <si>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</si>
  <si>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</si>
  <si>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</si>
  <si>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</si>
  <si>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</si>
  <si>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</si>
  <si>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</si>
  <si>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</si>
  <si>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</si>
  <si>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</si>
  <si>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</si>
  <si>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</si>
  <si>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</si>
  <si>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</si>
  <si>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</si>
  <si>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</si>
  <si>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</si>
  <si>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</si>
  <si>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</si>
  <si>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</si>
  <si>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</si>
  <si>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</si>
  <si>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</si>
  <si>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</si>
  <si>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</si>
  <si>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</si>
  <si>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</si>
  <si>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</si>
  <si>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</si>
  <si>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</si>
  <si>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</si>
  <si>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</si>
  <si>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</si>
  <si>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</si>
  <si>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</si>
  <si>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</si>
  <si>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</si>
  <si>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</si>
  <si>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</si>
  <si>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</si>
  <si>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</si>
  <si>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</si>
  <si>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</si>
  <si>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</si>
  <si>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</si>
  <si>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</si>
  <si>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</si>
  <si>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</si>
  <si>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</si>
  <si>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</si>
  <si>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</si>
  <si>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</si>
  <si>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</si>
  <si>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</si>
  <si>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</si>
  <si>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</si>
  <si>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</si>
  <si>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</si>
  <si>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</si>
  <si>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</si>
  <si>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</si>
  <si>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</si>
  <si>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</si>
  <si>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</si>
  <si>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</si>
  <si>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</si>
  <si>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</si>
  <si>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</si>
  <si>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</si>
  <si>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</si>
  <si>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</si>
  <si>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</si>
  <si>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</si>
  <si>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</si>
  <si>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</si>
  <si>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</si>
  <si>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</si>
  <si>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</si>
  <si>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</si>
  <si>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</si>
  <si>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</si>
  <si>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</si>
  <si>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</si>
  <si>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</si>
  <si>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</si>
  <si>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</si>
  <si>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</si>
  <si>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</si>
  <si>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</si>
  <si>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</si>
  <si>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</si>
  <si>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</si>
  <si>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</si>
  <si>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</si>
  <si>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</si>
  <si>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</si>
  <si>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</si>
  <si>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</si>
  <si>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</si>
  <si>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</si>
  <si>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</si>
  <si>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</si>
  <si>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</si>
  <si>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</si>
  <si>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</si>
  <si>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</si>
  <si>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</si>
  <si>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</si>
  <si>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</si>
  <si>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</si>
  <si>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</si>
  <si>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</si>
  <si>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</si>
  <si>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</si>
  <si>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</si>
  <si>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</si>
  <si>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</si>
  <si>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</si>
  <si>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</si>
  <si>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</si>
  <si>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</si>
  <si>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</si>
  <si>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</si>
  <si>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</si>
  <si>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</si>
  <si>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</si>
  <si>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</si>
  <si>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</si>
  <si>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</si>
  <si>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</si>
  <si>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</si>
  <si>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</si>
  <si>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</si>
  <si>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</si>
  <si>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</si>
  <si>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</si>
  <si>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</si>
  <si>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</si>
  <si>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</si>
  <si>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</si>
  <si>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</si>
  <si>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</si>
  <si>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</si>
  <si>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</si>
  <si>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</si>
  <si>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</si>
  <si>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</si>
  <si>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</si>
  <si>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</si>
  <si>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</si>
  <si>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</si>
  <si>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</si>
  <si>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</si>
  <si>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</si>
  <si>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</si>
  <si>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</si>
  <si>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</si>
  <si>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</si>
  <si>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</si>
  <si>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</si>
  <si>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</si>
  <si>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</si>
  <si>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</si>
  <si>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</si>
  <si>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</si>
  <si>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</si>
  <si>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</si>
  <si>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</si>
  <si>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</si>
  <si>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</si>
  <si>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</si>
  <si>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</si>
  <si>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</si>
  <si>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</si>
  <si>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</si>
  <si>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</si>
  <si>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</si>
  <si>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</si>
  <si>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</si>
  <si>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</si>
  <si>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</si>
  <si>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</si>
  <si>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</si>
  <si>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</si>
  <si>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</si>
  <si>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</si>
  <si>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</si>
  <si>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</si>
  <si>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</si>
  <si>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</si>
  <si>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</si>
  <si>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</si>
  <si>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</si>
  <si>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</si>
  <si>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</si>
  <si>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</si>
  <si>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</si>
  <si>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</si>
  <si>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</si>
  <si>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</si>
  <si>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</si>
  <si>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</si>
  <si>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</si>
  <si>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</si>
  <si>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</si>
  <si>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</si>
  <si>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</si>
  <si>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</si>
  <si>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</si>
  <si>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</si>
  <si>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</si>
  <si>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</si>
  <si>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</si>
  <si>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</si>
  <si>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</si>
  <si>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</si>
  <si>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</si>
  <si>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</si>
  <si>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</si>
  <si>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</si>
  <si>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</si>
  <si>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</si>
  <si>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</si>
  <si>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</si>
  <si>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</si>
  <si>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</si>
  <si>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</si>
  <si>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</si>
  <si>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</si>
  <si>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</si>
  <si>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</si>
  <si>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</si>
  <si>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</si>
  <si>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</si>
  <si>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</si>
  <si>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</si>
  <si>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</si>
  <si>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</si>
  <si>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</si>
  <si>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</si>
  <si>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</si>
  <si>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</si>
  <si>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</si>
  <si>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</si>
  <si>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</si>
  <si>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</si>
  <si>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</si>
  <si>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</si>
  <si>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</si>
  <si>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</si>
  <si>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</si>
  <si>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</si>
  <si>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</si>
  <si>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</si>
  <si>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</si>
  <si>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</si>
  <si>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</si>
  <si>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</si>
  <si>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</si>
  <si>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</si>
  <si>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</si>
  <si>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</si>
  <si>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</si>
  <si>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</si>
  <si>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</si>
  <si>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</si>
  <si>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</si>
  <si>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</si>
  <si>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</si>
  <si>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</si>
  <si>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</si>
  <si>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</si>
  <si>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</si>
  <si>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</si>
  <si>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</si>
  <si>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</si>
  <si>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</si>
  <si>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</si>
  <si>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</si>
  <si>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</si>
  <si>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</si>
  <si>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</si>
  <si>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</si>
  <si>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</si>
  <si>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</si>
  <si>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</si>
  <si>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</si>
  <si>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</si>
  <si>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</si>
  <si>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</si>
  <si>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</si>
  <si>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</si>
  <si>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</si>
  <si>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</si>
  <si>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</si>
  <si>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</si>
  <si>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</si>
  <si>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</si>
  <si>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</si>
  <si>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</si>
  <si>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</si>
  <si>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</si>
  <si>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</si>
  <si>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</si>
  <si>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</si>
  <si>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</si>
  <si>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</si>
  <si>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</si>
  <si>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</si>
  <si>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</si>
  <si>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</si>
  <si>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</si>
  <si>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</si>
  <si>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</si>
  <si>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</si>
  <si>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</si>
  <si>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</si>
  <si>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</si>
  <si>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</si>
  <si>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</si>
  <si>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</si>
  <si>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</si>
  <si>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</si>
  <si>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</si>
  <si>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</si>
  <si>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</si>
  <si>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</si>
  <si>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</si>
  <si>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</si>
  <si>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</si>
  <si>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</si>
  <si>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</si>
  <si>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</si>
  <si>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</si>
  <si>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</si>
  <si>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</si>
  <si>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</si>
  <si>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</si>
  <si>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</si>
  <si>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</si>
  <si>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</si>
  <si>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</si>
  <si>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</si>
  <si>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</si>
  <si>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</si>
  <si>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</si>
  <si>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</si>
  <si>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</si>
  <si>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</si>
  <si>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</si>
  <si>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</si>
  <si>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</si>
  <si>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</si>
  <si>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</si>
  <si>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</si>
  <si>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</si>
  <si>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</si>
  <si>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</si>
  <si>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</si>
  <si>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</si>
  <si>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</si>
  <si>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</si>
  <si>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</si>
  <si>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</si>
  <si>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</si>
  <si>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</si>
  <si>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</si>
  <si>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</si>
  <si>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</si>
  <si>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</si>
  <si>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</si>
  <si>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</si>
  <si>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</si>
  <si>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</si>
  <si>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</si>
  <si>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</si>
  <si>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</si>
  <si>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</si>
  <si>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</si>
  <si>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</si>
  <si>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</si>
  <si>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</si>
  <si>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</si>
  <si>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</si>
  <si>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</si>
  <si>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</si>
  <si>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</si>
  <si>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</si>
  <si>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</si>
  <si>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</si>
  <si>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</si>
  <si>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</si>
  <si>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</si>
  <si>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</si>
  <si>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</si>
  <si>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</si>
  <si>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</si>
  <si>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</si>
  <si>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</si>
  <si>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</si>
  <si>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</si>
  <si>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</si>
  <si>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</si>
  <si>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</si>
  <si>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</si>
  <si>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</si>
  <si>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</si>
  <si>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</si>
  <si>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</si>
  <si>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</si>
  <si>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</si>
  <si>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</si>
  <si>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</si>
  <si>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</si>
  <si>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</si>
  <si>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</si>
  <si>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</si>
  <si>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</si>
  <si>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</si>
  <si>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</si>
  <si>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</si>
  <si>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</si>
  <si>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</si>
  <si>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</si>
  <si>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</si>
  <si>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</si>
  <si>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</si>
  <si>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</si>
  <si>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</si>
  <si>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</si>
  <si>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</si>
  <si>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</si>
  <si>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</si>
  <si>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</si>
  <si>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</si>
  <si>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</si>
  <si>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</si>
  <si>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</si>
  <si>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</si>
  <si>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</si>
  <si>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</si>
  <si>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</si>
  <si>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</si>
  <si>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</si>
  <si>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</si>
  <si>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</si>
  <si>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</si>
  <si>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</si>
  <si>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</si>
  <si>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</si>
  <si>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</si>
  <si>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</si>
  <si>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</si>
  <si>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</si>
  <si>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</si>
  <si>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</si>
  <si>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</si>
  <si>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</si>
  <si>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</si>
  <si>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</si>
  <si>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</si>
  <si>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</si>
  <si>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</si>
  <si>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</si>
  <si>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</si>
  <si>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</si>
  <si>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</si>
  <si>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</si>
  <si>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</si>
  <si>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</si>
  <si>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</si>
  <si>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</si>
  <si>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</si>
  <si>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</si>
  <si>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</si>
  <si>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</si>
  <si>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</si>
  <si>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</si>
  <si>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</si>
  <si>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</si>
  <si>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</si>
  <si>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</si>
  <si>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</si>
  <si>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</si>
  <si>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</si>
  <si>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</si>
  <si>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</si>
  <si>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</si>
  <si>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</si>
  <si>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</si>
  <si>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</si>
  <si>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</si>
  <si>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</si>
  <si>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</si>
  <si>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</si>
  <si>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</si>
  <si>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</si>
  <si>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</si>
  <si>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</si>
  <si>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</si>
  <si>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</si>
  <si>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</si>
  <si>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</si>
  <si>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</si>
  <si>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</si>
  <si>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</si>
  <si>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</si>
  <si>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</si>
  <si>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</si>
  <si>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</si>
  <si>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</si>
  <si>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</si>
  <si>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</si>
  <si>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</si>
  <si>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</si>
  <si>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</si>
  <si>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</si>
  <si>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</si>
  <si>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</si>
  <si>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</si>
  <si>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</si>
  <si>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</si>
  <si>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</si>
  <si>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</si>
  <si>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</si>
  <si>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</si>
  <si>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</si>
  <si>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</si>
  <si>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</si>
  <si>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</si>
  <si>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</si>
  <si>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</si>
  <si>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</si>
  <si>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</si>
  <si>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</si>
  <si>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</si>
  <si>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</si>
  <si>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</si>
  <si>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</si>
  <si>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</si>
  <si>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</si>
  <si>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</si>
  <si>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</si>
  <si>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</si>
  <si>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</si>
  <si>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</si>
  <si>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</si>
  <si>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</si>
  <si>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</si>
  <si>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</si>
  <si>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</si>
  <si>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</si>
  <si>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</si>
  <si>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</si>
  <si>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</si>
  <si>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</si>
  <si>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</si>
  <si>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</si>
  <si>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</si>
  <si>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</si>
  <si>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</si>
  <si>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</si>
  <si>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</si>
  <si>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</si>
  <si>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</si>
  <si>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</si>
  <si>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</si>
  <si>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</si>
  <si>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</si>
  <si>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</si>
  <si>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</si>
  <si>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</si>
  <si>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</si>
  <si>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</si>
  <si>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</si>
  <si>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</si>
  <si>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</si>
  <si>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</si>
  <si>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</si>
  <si>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</si>
  <si>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</si>
  <si>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</si>
  <si>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</si>
  <si>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</si>
  <si>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</si>
  <si>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</si>
  <si>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</si>
  <si>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</si>
  <si>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</si>
  <si>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</si>
  <si>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</si>
  <si>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</si>
  <si>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</si>
  <si>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</si>
  <si>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</si>
  <si>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</si>
  <si>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</si>
  <si>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</si>
  <si>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</si>
  <si>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</si>
  <si>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</si>
  <si>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</si>
  <si>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</si>
  <si>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</si>
  <si>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</si>
  <si>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</si>
  <si>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</si>
  <si>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</si>
  <si>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</si>
  <si>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</si>
  <si>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</si>
  <si>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</si>
  <si>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</si>
  <si>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</si>
  <si>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</si>
  <si>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</si>
  <si>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</si>
  <si>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</si>
  <si>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</si>
  <si>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</si>
  <si>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</si>
  <si>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</si>
  <si>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</si>
  <si>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</si>
  <si>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</si>
  <si>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</si>
  <si>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</si>
  <si>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</si>
  <si>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</si>
  <si>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</si>
  <si>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</si>
  <si>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</si>
  <si>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</si>
  <si>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</si>
  <si>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</si>
  <si>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</si>
  <si>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</si>
  <si>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</si>
  <si>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</si>
  <si>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</si>
  <si>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</si>
  <si>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</si>
  <si>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</si>
  <si>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</si>
  <si>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</si>
  <si>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</si>
  <si>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</si>
  <si>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</si>
  <si>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</si>
  <si>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</si>
  <si>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</si>
  <si>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</si>
  <si>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</si>
  <si>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</si>
  <si>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</si>
  <si>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</si>
  <si>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</si>
  <si>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</si>
  <si>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</si>
  <si>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</si>
  <si>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</si>
  <si>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</si>
  <si>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</si>
  <si>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</si>
  <si>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</si>
  <si>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</si>
  <si>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</si>
  <si>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</si>
  <si>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</si>
  <si>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</si>
  <si>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</si>
  <si>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</si>
  <si>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</si>
  <si>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</si>
  <si>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</si>
  <si>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</si>
  <si>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</si>
  <si>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</si>
  <si>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</si>
  <si>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</si>
  <si>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</si>
  <si>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</si>
  <si>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</si>
  <si>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</si>
  <si>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</si>
  <si>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</si>
  <si>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</si>
  <si>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</si>
  <si>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</si>
  <si>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</si>
  <si>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</si>
  <si>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</si>
  <si>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</si>
  <si>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</si>
  <si>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</si>
  <si>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</si>
  <si>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</si>
  <si>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</si>
  <si>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</si>
  <si>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</si>
  <si>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</si>
  <si>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</si>
  <si>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</si>
  <si>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</si>
  <si>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</si>
  <si>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</si>
  <si>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</si>
  <si>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</si>
  <si>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</si>
  <si>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</si>
  <si>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</si>
  <si>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</si>
  <si>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</si>
  <si>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</si>
  <si>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</si>
  <si>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</si>
  <si>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</si>
  <si>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</si>
  <si>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</si>
  <si>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</si>
  <si>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</si>
  <si>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</si>
  <si>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</si>
  <si>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</si>
  <si>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</si>
  <si>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</si>
  <si>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</si>
  <si>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</si>
  <si>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</si>
  <si>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</si>
  <si>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</si>
  <si>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</si>
  <si>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</si>
  <si>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</si>
  <si>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</si>
  <si>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</si>
  <si>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</si>
  <si>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</si>
  <si>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</si>
  <si>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</si>
  <si>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</si>
  <si>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</si>
  <si>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</si>
  <si>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</si>
  <si>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</si>
  <si>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</si>
  <si>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</si>
  <si>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</si>
  <si>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</si>
  <si>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</si>
  <si>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</si>
  <si>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</si>
  <si>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</si>
  <si>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</si>
  <si>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</si>
  <si>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</si>
  <si>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</si>
  <si>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</si>
  <si>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</si>
  <si>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</si>
  <si>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</si>
  <si>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</si>
  <si>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</si>
  <si>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</si>
  <si>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</si>
  <si>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</si>
  <si>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</si>
  <si>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</si>
  <si>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</si>
  <si>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</si>
  <si>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</si>
  <si>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</si>
  <si>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</si>
  <si>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</si>
  <si>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</si>
  <si>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</si>
  <si>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</si>
  <si>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</si>
  <si>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</si>
  <si>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</si>
  <si>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</si>
  <si>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</si>
  <si>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</si>
  <si>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</si>
  <si>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</si>
  <si>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</si>
  <si>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</si>
  <si>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</si>
  <si>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</si>
  <si>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</si>
  <si>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</si>
  <si>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</si>
  <si>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</si>
  <si>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</si>
  <si>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</si>
  <si>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</si>
  <si>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</si>
  <si>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</si>
  <si>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</si>
  <si>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</si>
  <si>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</si>
  <si>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</si>
  <si>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</si>
  <si>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</si>
  <si>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</si>
  <si>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</si>
  <si>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</si>
  <si>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</si>
  <si>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</si>
  <si>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</si>
  <si>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</si>
  <si>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</si>
  <si>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</si>
  <si>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</si>
  <si>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</si>
  <si>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</si>
  <si>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</si>
  <si>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</si>
  <si>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</si>
  <si>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</si>
  <si>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</si>
  <si>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</si>
  <si>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</si>
  <si>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</si>
  <si>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</si>
  <si>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</si>
  <si>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</si>
  <si>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</si>
  <si>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</si>
  <si>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</si>
  <si>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</si>
  <si>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</si>
  <si>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</si>
  <si>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</si>
  <si>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</si>
  <si>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</si>
  <si>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</si>
  <si>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</si>
  <si>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</si>
  <si>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</si>
  <si>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</si>
  <si>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</si>
  <si>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</si>
  <si>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</si>
  <si>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</si>
  <si>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</si>
  <si>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</si>
  <si>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</si>
  <si>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</si>
  <si>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</si>
  <si>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</si>
  <si>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</si>
  <si>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</si>
  <si>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</si>
  <si>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</si>
  <si>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</si>
  <si>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</si>
  <si>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</si>
  <si>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</si>
  <si>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</si>
  <si>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</si>
  <si>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</si>
  <si>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</si>
  <si>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</si>
  <si>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</si>
  <si>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</si>
  <si>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</si>
  <si>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</si>
  <si>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</si>
  <si>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</si>
  <si>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</si>
  <si>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</si>
  <si>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</si>
  <si>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</si>
  <si>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</si>
  <si>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</si>
  <si>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</si>
  <si>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</si>
  <si>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</si>
  <si>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</si>
  <si>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</si>
  <si>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</si>
  <si>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</si>
  <si>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</si>
  <si>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</si>
  <si>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</si>
  <si>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</si>
  <si>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</si>
  <si>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</si>
  <si>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</si>
  <si>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</si>
  <si>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</si>
  <si>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</si>
  <si>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</si>
  <si>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</si>
  <si>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</si>
  <si>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</si>
  <si>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</si>
  <si>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</si>
  <si>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</si>
  <si>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</si>
  <si>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</si>
  <si>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</si>
  <si>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</si>
  <si>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</si>
  <si>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</si>
  <si>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</si>
  <si>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</si>
  <si>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</si>
  <si>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</si>
  <si>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</si>
  <si>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</si>
  <si>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</si>
  <si>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</si>
  <si>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</si>
  <si>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</si>
  <si>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</si>
  <si>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</si>
  <si>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</si>
  <si>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</si>
  <si>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</si>
  <si>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</si>
  <si>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</si>
  <si>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</si>
  <si>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</si>
  <si>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</si>
  <si>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</si>
  <si>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</si>
  <si>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</si>
  <si>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</si>
  <si>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</si>
  <si>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</si>
  <si>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</si>
  <si>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</si>
  <si>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</si>
  <si>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</si>
  <si>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</si>
  <si>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</si>
  <si>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</si>
  <si>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</si>
  <si>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</si>
  <si>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</si>
  <si>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</si>
  <si>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</si>
  <si>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</si>
  <si>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</si>
  <si>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</si>
  <si>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</si>
  <si>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</si>
  <si>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</si>
  <si>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</si>
  <si>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</si>
  <si>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</si>
  <si>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</si>
  <si>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</si>
  <si>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</si>
  <si>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</si>
  <si>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</si>
  <si>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</si>
  <si>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</si>
  <si>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</si>
  <si>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</si>
  <si>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</si>
  <si>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</si>
  <si>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</si>
  <si>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</si>
  <si>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</si>
  <si>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</si>
  <si>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</si>
  <si>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</si>
  <si>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</si>
  <si>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</si>
  <si>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</si>
  <si>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</si>
  <si>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</si>
  <si>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</si>
  <si>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</si>
  <si>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</si>
  <si>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</si>
  <si>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</si>
  <si>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</si>
  <si>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</si>
  <si>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</si>
  <si>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</si>
  <si>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</si>
  <si>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</si>
  <si>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</si>
  <si>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</si>
  <si>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</si>
  <si>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</si>
  <si>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</si>
  <si>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</si>
  <si>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</si>
  <si>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</si>
  <si>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</si>
  <si>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</si>
  <si>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</si>
  <si>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</si>
  <si>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</si>
  <si>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</si>
  <si>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</si>
  <si>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</si>
  <si>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</si>
  <si>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</si>
  <si>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</si>
  <si>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</si>
  <si>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</si>
  <si>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</si>
  <si>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</si>
  <si>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</si>
  <si>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</si>
  <si>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</si>
  <si>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</si>
  <si>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</si>
  <si>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</si>
  <si>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</si>
  <si>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</si>
  <si>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</si>
  <si>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</si>
  <si>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</si>
  <si>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</si>
  <si>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</si>
  <si>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</si>
  <si>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</si>
  <si>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</si>
  <si>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</si>
  <si>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</si>
  <si>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</si>
  <si>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</si>
  <si>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</si>
  <si>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</si>
  <si>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</si>
  <si>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</si>
  <si>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</si>
  <si>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</si>
  <si>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</si>
  <si>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</si>
  <si>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</si>
  <si>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</si>
  <si>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</si>
  <si>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</si>
  <si>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</si>
  <si>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</si>
  <si>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</si>
  <si>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</si>
  <si>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</si>
  <si>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</si>
  <si>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</si>
  <si>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</si>
  <si>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</si>
  <si>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</si>
  <si>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</si>
  <si>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</si>
  <si>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</si>
  <si>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</si>
  <si>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</si>
  <si>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</si>
  <si>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</si>
  <si>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</si>
  <si>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</si>
  <si>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</si>
  <si>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</si>
  <si>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</si>
  <si>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</si>
  <si>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</si>
  <si>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</si>
  <si>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</si>
  <si>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</si>
  <si>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</si>
  <si>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</si>
  <si>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</si>
  <si>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</si>
  <si>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</si>
  <si>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</si>
  <si>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</si>
  <si>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</si>
  <si>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</si>
  <si>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</si>
  <si>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</si>
  <si>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</si>
  <si>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</si>
  <si>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</si>
  <si>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</si>
  <si>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</si>
  <si>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</si>
  <si>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</si>
  <si>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</si>
  <si>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</si>
  <si>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</si>
  <si>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</si>
  <si>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</si>
  <si>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</si>
  <si>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</si>
  <si>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</si>
  <si>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</si>
  <si>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</si>
  <si>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</si>
  <si>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</si>
  <si>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</si>
  <si>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</si>
  <si>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</si>
  <si>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</si>
  <si>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</si>
  <si>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</si>
  <si>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</si>
  <si>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</si>
  <si>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</si>
  <si>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</si>
  <si>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</si>
  <si>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</si>
  <si>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</si>
  <si>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</si>
  <si>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</si>
  <si>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</si>
  <si>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</si>
  <si>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</si>
  <si>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</si>
  <si>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</si>
  <si>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</si>
  <si>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</si>
  <si>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</si>
  <si>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</si>
  <si>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</si>
  <si>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</si>
  <si>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</si>
  <si>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</si>
  <si>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</si>
  <si>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</si>
  <si>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</si>
  <si>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</si>
  <si>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</si>
  <si>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</si>
  <si>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</si>
  <si>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</si>
  <si>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</si>
  <si>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</si>
  <si>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</si>
  <si>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</si>
  <si>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</si>
  <si>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</si>
  <si>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</si>
  <si>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</si>
  <si>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</si>
  <si>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</si>
  <si>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</si>
  <si>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</si>
  <si>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</si>
  <si>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</si>
  <si>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</si>
  <si>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</si>
  <si>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</si>
  <si>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</si>
  <si>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</si>
  <si>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</si>
  <si>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</si>
  <si>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</si>
  <si>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</si>
  <si>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</si>
  <si>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</si>
  <si>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</si>
  <si>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</si>
  <si>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</si>
  <si>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</si>
  <si>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</si>
  <si>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</si>
  <si>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</si>
  <si>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</si>
  <si>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</si>
  <si>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</si>
  <si>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</si>
  <si>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</si>
  <si>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</si>
  <si>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</si>
  <si>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</si>
  <si>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</si>
  <si>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</si>
  <si>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</si>
  <si>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</si>
  <si>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</si>
  <si>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</si>
  <si>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</si>
  <si>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</si>
  <si>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</si>
  <si>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</si>
  <si>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</si>
  <si>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</si>
  <si>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</si>
  <si>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</si>
  <si>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</si>
  <si>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</si>
  <si>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</si>
  <si>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</si>
  <si>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</si>
  <si>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</si>
  <si>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</si>
  <si>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</si>
  <si>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</si>
  <si>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</si>
  <si>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</si>
  <si>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</si>
  <si>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</si>
  <si>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</si>
  <si>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</si>
  <si>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</si>
  <si>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</si>
  <si>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</si>
  <si>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</si>
  <si>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</si>
  <si>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</si>
  <si>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</si>
  <si>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</si>
  <si>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</si>
  <si>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</si>
  <si>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</si>
  <si>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</si>
  <si>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</si>
  <si>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</si>
  <si>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</si>
  <si>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</si>
  <si>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</si>
  <si>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</si>
  <si>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</si>
  <si>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</si>
  <si>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</si>
  <si>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</si>
  <si>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</si>
  <si>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</si>
  <si>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</si>
  <si>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</si>
  <si>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</si>
  <si>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</si>
  <si>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</si>
  <si>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</si>
  <si>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</si>
  <si>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</si>
  <si>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</si>
  <si>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</si>
  <si>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</si>
  <si>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</si>
  <si>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</si>
  <si>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</si>
  <si>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</si>
  <si>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</si>
  <si>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</si>
  <si>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</si>
  <si>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</si>
  <si>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</si>
  <si>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</si>
  <si>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</si>
  <si>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</si>
  <si>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</si>
  <si>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</si>
  <si>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</si>
  <si>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</si>
  <si>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</si>
  <si>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</si>
  <si>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</si>
  <si>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</si>
  <si>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</si>
  <si>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</si>
  <si>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</si>
  <si>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</si>
  <si>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</si>
  <si>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</si>
  <si>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</si>
  <si>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</si>
  <si>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</si>
  <si>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</si>
  <si>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</si>
  <si>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</si>
  <si>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</si>
  <si>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</si>
  <si>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</si>
  <si>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</si>
  <si>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</si>
  <si>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</si>
  <si>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</si>
  <si>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</si>
  <si>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</si>
  <si>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</si>
  <si>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</si>
  <si>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</si>
  <si>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</si>
  <si>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</si>
  <si>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</si>
  <si>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</si>
  <si>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</si>
  <si>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</si>
  <si>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</si>
  <si>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</si>
  <si>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</si>
  <si>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</si>
  <si>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</si>
  <si>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</si>
  <si>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</si>
  <si>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</si>
  <si>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</si>
  <si>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</si>
  <si>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</si>
  <si>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</si>
  <si>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</si>
  <si>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</si>
  <si>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</si>
  <si>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</si>
  <si>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</si>
  <si>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</si>
  <si>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</si>
  <si>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</si>
  <si>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</si>
  <si>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</si>
  <si>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</si>
  <si>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</si>
  <si>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</si>
  <si>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</si>
  <si>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</si>
  <si>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</si>
  <si>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</si>
  <si>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</si>
  <si>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</si>
  <si>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</si>
  <si>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</si>
  <si>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</si>
  <si>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</si>
  <si>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</si>
  <si>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</si>
  <si>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</si>
  <si>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</si>
  <si>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</si>
  <si>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</si>
  <si>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</si>
  <si>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</si>
  <si>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</si>
  <si>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</si>
  <si>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</si>
  <si>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</si>
  <si>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</si>
  <si>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</si>
  <si>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</si>
  <si>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</si>
  <si>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</si>
  <si>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</si>
  <si>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</si>
  <si>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</si>
  <si>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</si>
  <si>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</si>
  <si>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</si>
  <si>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</si>
  <si>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</si>
  <si>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</si>
  <si>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</si>
  <si>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</si>
  <si>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</si>
  <si>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</si>
  <si>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</si>
  <si>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</si>
  <si>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</si>
  <si>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</si>
  <si>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</si>
  <si>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</si>
  <si>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</si>
  <si>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</si>
  <si>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</si>
  <si>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</si>
  <si>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</si>
  <si>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</si>
  <si>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</si>
  <si>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</si>
  <si>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</si>
  <si>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</si>
  <si>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</si>
  <si>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</si>
  <si>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</si>
  <si>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</si>
  <si>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</si>
  <si>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</si>
  <si>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</si>
  <si>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</si>
  <si>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</si>
  <si>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</si>
  <si>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</si>
  <si>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</si>
  <si>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</si>
  <si>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</si>
  <si>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</si>
  <si>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</si>
  <si>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</si>
  <si>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</si>
  <si>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</si>
  <si>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</si>
  <si>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</si>
  <si>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</si>
  <si>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</si>
  <si>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</si>
  <si>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</si>
  <si>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</si>
  <si>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</si>
  <si>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</si>
  <si>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</si>
  <si>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</si>
  <si>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</si>
  <si>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</si>
  <si>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</si>
  <si>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</si>
  <si>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</si>
  <si>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</si>
  <si>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</si>
  <si>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</si>
  <si>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</si>
  <si>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</si>
  <si>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</si>
  <si>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</si>
  <si>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</si>
  <si>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</si>
  <si>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</si>
  <si>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</si>
  <si>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</si>
  <si>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</si>
  <si>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</si>
  <si>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</si>
  <si>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</si>
  <si>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</si>
  <si>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</si>
  <si>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</si>
  <si>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</si>
  <si>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</si>
  <si>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</si>
  <si>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</si>
  <si>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</si>
  <si>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</si>
  <si>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</si>
  <si>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</si>
  <si>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</si>
  <si>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</si>
  <si>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</si>
  <si>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</si>
  <si>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</si>
  <si>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</si>
  <si>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</si>
  <si>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</si>
  <si>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</si>
  <si>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</si>
  <si>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</si>
  <si>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</si>
  <si>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</si>
  <si>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</si>
  <si>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</si>
  <si>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</si>
  <si>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</si>
  <si>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</si>
  <si>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</si>
  <si>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</si>
  <si>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</si>
  <si>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</si>
  <si>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</si>
  <si>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</si>
  <si>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</si>
  <si>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</si>
  <si>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</si>
  <si>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</si>
  <si>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</si>
  <si>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</si>
  <si>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</si>
  <si>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</si>
  <si>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</si>
  <si>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</si>
  <si>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</si>
  <si>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</si>
  <si>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</si>
  <si>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</si>
  <si>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</si>
  <si>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</si>
  <si>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</si>
  <si>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</si>
  <si>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</si>
  <si>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</si>
  <si>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</si>
  <si>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</si>
  <si>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</si>
  <si>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</si>
  <si>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</si>
  <si>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</si>
  <si>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</si>
  <si>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</si>
  <si>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</si>
  <si>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</si>
  <si>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</si>
  <si>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</si>
  <si>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</si>
  <si>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</si>
  <si>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</si>
  <si>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</si>
  <si>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</si>
  <si>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</si>
  <si>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</si>
  <si>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</si>
  <si>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</si>
  <si>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</si>
  <si>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</si>
  <si>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</si>
  <si>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</si>
  <si>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</si>
  <si>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</si>
  <si>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</si>
  <si>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</si>
  <si>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</si>
  <si>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</si>
  <si>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</si>
  <si>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</si>
  <si>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</si>
  <si>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</si>
  <si>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</si>
  <si>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</si>
  <si>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</si>
  <si>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</si>
  <si>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</si>
  <si>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</si>
  <si>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</si>
  <si>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</si>
  <si>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</si>
  <si>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</si>
  <si>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</si>
  <si>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</si>
  <si>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</si>
  <si>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</si>
  <si>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</si>
  <si>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</si>
  <si>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</si>
  <si>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</si>
  <si>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</si>
  <si>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</si>
  <si>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</si>
  <si>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</si>
  <si>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</si>
  <si>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</si>
  <si>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</si>
  <si>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</si>
  <si>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</si>
  <si>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</si>
  <si>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</si>
  <si>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</si>
  <si>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</si>
  <si>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</si>
  <si>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</si>
  <si>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</si>
  <si>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</si>
  <si>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</si>
  <si>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</si>
  <si>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</si>
  <si>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</si>
  <si>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</si>
  <si>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</si>
  <si>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</si>
  <si>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</si>
  <si>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</si>
  <si>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</si>
  <si>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</si>
  <si>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</si>
  <si>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</si>
  <si>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</si>
  <si>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</si>
  <si>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</si>
  <si>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</si>
  <si>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</si>
  <si>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</si>
  <si>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</si>
  <si>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</si>
  <si>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</si>
  <si>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</si>
  <si>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</si>
  <si>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</si>
  <si>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</si>
  <si>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</si>
  <si>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</si>
  <si>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</si>
  <si>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</si>
  <si>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</si>
  <si>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</si>
  <si>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</si>
  <si>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</si>
  <si>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</si>
  <si>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</si>
  <si>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</si>
  <si>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</si>
  <si>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</si>
  <si>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</si>
  <si>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</si>
  <si>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</si>
  <si>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</si>
  <si>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</si>
  <si>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</si>
  <si>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</si>
  <si>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</si>
  <si>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</si>
  <si>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</si>
  <si>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</si>
  <si>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</si>
  <si>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</si>
  <si>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</si>
  <si>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</si>
  <si>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</si>
  <si>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</si>
  <si>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</si>
  <si>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</si>
  <si>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</si>
  <si>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</si>
  <si>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</si>
  <si>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</si>
  <si>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</si>
  <si>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</si>
  <si>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</si>
  <si>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</si>
  <si>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</si>
  <si>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</si>
  <si>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</si>
  <si>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</si>
  <si>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</si>
  <si>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</si>
  <si>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</si>
  <si>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</si>
  <si>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</si>
  <si>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</si>
  <si>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</si>
  <si>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</si>
  <si>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</si>
  <si>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</si>
  <si>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</si>
  <si>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</si>
  <si>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</si>
  <si>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</si>
  <si>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</si>
  <si>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</si>
  <si>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</si>
  <si>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</si>
  <si>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</si>
  <si>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</si>
  <si>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</si>
  <si>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</si>
  <si>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</si>
  <si>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</si>
  <si>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</si>
  <si>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</si>
  <si>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</si>
  <si>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</si>
  <si>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</si>
  <si>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</si>
  <si>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</si>
  <si>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</si>
  <si>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</si>
  <si>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</si>
  <si>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</si>
  <si>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</si>
  <si>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</si>
  <si>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</si>
  <si>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</si>
  <si>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</si>
  <si>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</si>
  <si>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</si>
  <si>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</si>
  <si>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</si>
  <si>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</si>
  <si>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</si>
  <si>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</si>
  <si>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</si>
  <si>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</si>
  <si>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</si>
  <si>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</si>
  <si>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</si>
  <si>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</si>
  <si>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</si>
  <si>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</si>
  <si>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</si>
  <si>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</si>
  <si>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</si>
  <si>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</si>
  <si>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</si>
  <si>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</si>
  <si>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</si>
  <si>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</si>
  <si>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</si>
  <si>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</si>
  <si>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</si>
  <si>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</si>
  <si>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</si>
  <si>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</si>
  <si>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</si>
  <si>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</si>
  <si>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</si>
  <si>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</si>
  <si>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</si>
  <si>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</si>
  <si>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</si>
  <si>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</si>
  <si>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</si>
  <si>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</si>
  <si>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</si>
  <si>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</si>
  <si>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</si>
  <si>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</si>
  <si>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</si>
  <si>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</si>
  <si>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</si>
  <si>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</si>
  <si>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</si>
  <si>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</si>
  <si>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</si>
  <si>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</si>
  <si>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</si>
  <si>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</si>
  <si>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</si>
  <si>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</si>
  <si>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</si>
  <si>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</si>
  <si>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</si>
  <si>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</si>
  <si>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</si>
  <si>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</si>
  <si>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</si>
  <si>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</si>
  <si>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</si>
  <si>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</si>
  <si>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</si>
  <si>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</si>
  <si>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</si>
  <si>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</si>
  <si>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</si>
  <si>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</si>
  <si>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</si>
  <si>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</si>
  <si>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</si>
  <si>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</si>
  <si>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</si>
  <si>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</si>
  <si>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</si>
  <si>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</si>
  <si>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</si>
  <si>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</si>
  <si>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</si>
  <si>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</si>
  <si>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</si>
  <si>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</si>
  <si>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</si>
  <si>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</si>
  <si>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</si>
  <si>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</si>
  <si>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</si>
  <si>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</si>
  <si>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</si>
  <si>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</si>
  <si>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</si>
  <si>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</si>
  <si>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</si>
  <si>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</si>
  <si>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</si>
  <si>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</si>
  <si>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</si>
  <si>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</si>
  <si>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</si>
  <si>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</si>
  <si>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</si>
  <si>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</si>
  <si>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</si>
  <si>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</si>
  <si>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</si>
  <si>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</si>
  <si>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</si>
  <si>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</si>
  <si>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</si>
  <si>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</si>
  <si>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</si>
  <si>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</si>
  <si>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</si>
  <si>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</si>
  <si>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</si>
  <si>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</si>
  <si>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</si>
  <si>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</si>
  <si>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</si>
  <si>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</si>
  <si>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</si>
  <si>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</si>
  <si>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</si>
  <si>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</si>
  <si>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</si>
  <si>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</si>
  <si>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</si>
  <si>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</si>
  <si>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</si>
  <si>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</si>
  <si>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</si>
  <si>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</si>
  <si>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</si>
  <si>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</si>
  <si>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</si>
  <si>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</si>
  <si>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</si>
  <si>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</si>
  <si>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</si>
  <si>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</si>
  <si>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</si>
  <si>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</si>
  <si>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</si>
  <si>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</si>
  <si>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</si>
  <si>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</si>
  <si>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</si>
  <si>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</si>
  <si>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</si>
  <si>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</si>
  <si>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</si>
  <si>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</si>
  <si>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</si>
  <si>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</si>
  <si>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</si>
  <si>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</si>
  <si>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</si>
  <si>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</si>
  <si>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</si>
  <si>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</si>
  <si>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</si>
  <si>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</si>
  <si>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</si>
  <si>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</si>
  <si>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</si>
  <si>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</si>
  <si>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</si>
  <si>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</si>
  <si>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</si>
  <si>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</si>
  <si>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</si>
  <si>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</si>
  <si>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</si>
  <si>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</si>
  <si>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</si>
  <si>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</si>
  <si>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</si>
  <si>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</si>
  <si>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</si>
  <si>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</si>
  <si>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</si>
  <si>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</si>
  <si>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</si>
  <si>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</si>
  <si>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</si>
  <si>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</si>
  <si>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</si>
  <si>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</si>
  <si>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</si>
  <si>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</si>
  <si>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</si>
  <si>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</si>
  <si>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</si>
  <si>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</si>
  <si>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</si>
  <si>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</si>
  <si>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</si>
  <si>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</si>
  <si>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</si>
  <si>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</si>
  <si>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</si>
  <si>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</si>
  <si>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</si>
  <si>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</si>
  <si>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</si>
  <si>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</si>
  <si>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</si>
  <si>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</si>
  <si>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</si>
  <si>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</si>
  <si>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</si>
  <si>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</si>
  <si>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</si>
  <si>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</si>
  <si>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</si>
  <si>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</si>
  <si>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</si>
  <si>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</si>
  <si>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</si>
  <si>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</si>
  <si>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</si>
  <si>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</si>
  <si>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</si>
  <si>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</si>
  <si>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</si>
  <si>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</si>
  <si>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</si>
  <si>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</si>
  <si>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</si>
  <si>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</si>
  <si>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</si>
  <si>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</si>
  <si>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</si>
  <si>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</si>
  <si>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</si>
  <si>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</si>
  <si>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</si>
  <si>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</si>
  <si>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</si>
  <si>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</si>
  <si>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</si>
  <si>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</si>
  <si>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</si>
  <si>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</si>
  <si>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</si>
  <si>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</si>
  <si>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</si>
  <si>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</si>
  <si>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</si>
  <si>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</si>
  <si>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</si>
  <si>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</si>
  <si>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</si>
  <si>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</si>
  <si>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</si>
  <si>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</si>
  <si>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</si>
  <si>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</si>
  <si>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</si>
  <si>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</si>
  <si>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</si>
  <si>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</si>
  <si>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</si>
  <si>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</si>
  <si>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</si>
  <si>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</si>
  <si>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</si>
  <si>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</si>
  <si>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</si>
  <si>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</si>
  <si>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</si>
  <si>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</si>
  <si>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</si>
  <si>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</si>
  <si>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</si>
  <si>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</si>
  <si>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</si>
  <si>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</si>
  <si>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</si>
  <si>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</si>
  <si>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</si>
  <si>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</si>
  <si>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</si>
  <si>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</si>
  <si>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</si>
  <si>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</si>
  <si>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</si>
  <si>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</si>
  <si>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</si>
  <si>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</si>
  <si>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</si>
  <si>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</si>
  <si>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</si>
  <si>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</si>
  <si>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</si>
  <si>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</si>
  <si>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</si>
  <si>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</si>
  <si>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</si>
  <si>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</si>
  <si>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</si>
  <si>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</si>
  <si>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</si>
  <si>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</si>
  <si>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</si>
  <si>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</si>
  <si>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</si>
  <si>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</si>
  <si>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</si>
  <si>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</si>
  <si>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</si>
  <si>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</si>
  <si>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</si>
  <si>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</si>
  <si>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</si>
  <si>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</si>
  <si>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</si>
  <si>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</si>
  <si>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</si>
  <si>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</si>
  <si>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</si>
  <si>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</si>
  <si>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</si>
  <si>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</si>
  <si>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</si>
  <si>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</si>
  <si>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</si>
  <si>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</si>
  <si>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</si>
  <si>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</si>
  <si>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</si>
  <si>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</si>
  <si>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</si>
  <si>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</si>
  <si>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</si>
  <si>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</si>
  <si>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</si>
  <si>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</si>
  <si>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</si>
  <si>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</si>
  <si>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</si>
  <si>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</si>
  <si>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</si>
  <si>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</si>
  <si>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</si>
  <si>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</si>
  <si>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</si>
  <si>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</si>
  <si>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</si>
  <si>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</si>
  <si>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</si>
  <si>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</si>
  <si>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</si>
  <si>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</si>
  <si>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</si>
  <si>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</si>
  <si>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</si>
  <si>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</si>
  <si>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</si>
  <si>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</si>
  <si>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</si>
  <si>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</si>
  <si>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</si>
  <si>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</si>
  <si>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</si>
  <si>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</si>
  <si>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</si>
  <si>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</si>
  <si>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</si>
  <si>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</si>
  <si>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</si>
  <si>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</si>
  <si>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</si>
  <si>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</si>
  <si>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</si>
  <si>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</si>
  <si>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</si>
  <si>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</si>
  <si>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</si>
  <si>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</si>
  <si>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</si>
  <si>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</si>
  <si>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</si>
  <si>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</si>
  <si>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</si>
  <si>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</si>
  <si>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</si>
  <si>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</si>
  <si>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</si>
  <si>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</si>
  <si>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</si>
  <si>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</si>
  <si>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</si>
  <si>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</si>
  <si>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</si>
  <si>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</si>
  <si>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</si>
  <si>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</si>
  <si>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</si>
  <si>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</si>
  <si>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</si>
  <si>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</si>
  <si>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</si>
  <si>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</si>
  <si>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</si>
  <si>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</si>
  <si>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</si>
  <si>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</si>
  <si>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</si>
  <si>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</si>
  <si>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</si>
  <si>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</si>
  <si>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</si>
  <si>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</si>
  <si>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</si>
  <si>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</si>
  <si>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</si>
  <si>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</si>
  <si>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</si>
  <si>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</si>
  <si>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</si>
  <si>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</si>
  <si>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</si>
  <si>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</si>
  <si>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</si>
  <si>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</si>
  <si>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</si>
  <si>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</si>
  <si>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</si>
  <si>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</si>
  <si>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</si>
  <si>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</si>
  <si>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</si>
  <si>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</si>
  <si>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</si>
  <si>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</si>
  <si>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</si>
  <si>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</si>
  <si>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</si>
  <si>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</si>
  <si>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</si>
  <si>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</si>
  <si>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</si>
  <si>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</si>
  <si>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</si>
  <si>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</si>
  <si>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</si>
  <si>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</si>
  <si>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</si>
  <si>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</si>
  <si>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</si>
  <si>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</si>
  <si>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</si>
  <si>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</si>
  <si>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</si>
  <si>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</si>
  <si>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</si>
  <si>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</si>
  <si>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</si>
  <si>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</si>
  <si>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</si>
  <si>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</si>
  <si>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</si>
  <si>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</si>
  <si>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</si>
  <si>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</si>
  <si>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</si>
  <si>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</si>
  <si>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</si>
  <si>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</si>
  <si>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</si>
  <si>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</si>
  <si>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</si>
  <si>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</si>
  <si>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</si>
  <si>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</si>
  <si>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</si>
  <si>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</si>
  <si>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</si>
  <si>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</si>
  <si>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</si>
  <si>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</si>
  <si>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</si>
  <si>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</si>
  <si>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</si>
  <si>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</si>
  <si>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</si>
  <si>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</si>
  <si>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</si>
  <si>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</si>
  <si>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</si>
  <si>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</si>
  <si>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</si>
  <si>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</si>
  <si>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</si>
  <si>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</si>
  <si>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</si>
  <si>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</si>
  <si>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</si>
  <si>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</si>
  <si>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</si>
  <si>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</si>
  <si>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</si>
  <si>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</si>
  <si>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</si>
  <si>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</si>
  <si>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</si>
  <si>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</si>
  <si>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</si>
  <si>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</si>
  <si>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</si>
  <si>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</si>
  <si>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</si>
  <si>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</si>
  <si>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</si>
  <si>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</si>
  <si>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</si>
  <si>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</si>
  <si>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</si>
  <si>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</si>
  <si>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</si>
  <si>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</si>
  <si>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</si>
  <si>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</si>
  <si>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</si>
  <si>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</si>
  <si>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</si>
  <si>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</si>
  <si>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</si>
  <si>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</si>
  <si>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</si>
  <si>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</si>
  <si>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</si>
  <si>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</si>
  <si>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</si>
  <si>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</si>
  <si>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</si>
  <si>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</si>
  <si>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</si>
  <si>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</si>
  <si>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</si>
  <si>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</si>
  <si>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</si>
  <si>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</si>
  <si>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</si>
  <si>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</si>
  <si>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</si>
  <si>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</si>
  <si>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</si>
  <si>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</si>
  <si>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</si>
  <si>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</si>
  <si>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</si>
  <si>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</si>
  <si>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</si>
  <si>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</si>
  <si>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</si>
  <si>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</si>
  <si>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</si>
  <si>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</si>
  <si>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</si>
  <si>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</si>
  <si>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</si>
  <si>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</si>
  <si>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</si>
  <si>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</si>
  <si>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</si>
  <si>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</si>
  <si>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</si>
  <si>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</si>
  <si>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</si>
  <si>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</si>
  <si>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</si>
  <si>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</si>
  <si>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</si>
  <si>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</si>
  <si>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</si>
  <si>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</si>
  <si>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</si>
  <si>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</si>
  <si>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</si>
  <si>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</si>
  <si>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</si>
  <si>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</si>
  <si>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</si>
  <si>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</si>
  <si>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</si>
  <si>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</si>
  <si>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</si>
  <si>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</si>
  <si>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</si>
  <si>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</si>
  <si>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</si>
  <si>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</si>
  <si>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</si>
  <si>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</si>
  <si>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</si>
  <si>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</si>
  <si>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</si>
  <si>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</si>
  <si>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</si>
  <si>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</si>
  <si>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</si>
  <si>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</si>
  <si>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</si>
  <si>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</si>
  <si>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</si>
  <si>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</si>
  <si>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</si>
  <si>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</si>
  <si>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</si>
  <si>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</si>
  <si>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</si>
  <si>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</si>
  <si>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</si>
  <si>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</si>
  <si>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</si>
  <si>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</si>
  <si>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</si>
  <si>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</si>
  <si>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</si>
  <si>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</si>
  <si>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</si>
  <si>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</si>
  <si>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</si>
  <si>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</si>
  <si>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</si>
  <si>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</si>
  <si>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</si>
  <si>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</si>
  <si>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</si>
  <si>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</si>
  <si>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</si>
  <si>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</si>
  <si>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</si>
  <si>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</si>
  <si>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</si>
  <si>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</si>
  <si>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</si>
  <si>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</si>
  <si>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</si>
  <si>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</si>
  <si>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</si>
  <si>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</si>
  <si>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</si>
  <si>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</si>
  <si>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</si>
  <si>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</si>
  <si>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</si>
  <si>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</si>
  <si>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</si>
  <si>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</si>
  <si>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</si>
  <si>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</si>
  <si>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</si>
  <si>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</si>
  <si>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</si>
  <si>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</si>
  <si>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</si>
  <si>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</si>
  <si>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</si>
  <si>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</si>
  <si>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</si>
  <si>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</si>
  <si>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</si>
  <si>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</si>
  <si>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</si>
  <si>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</si>
  <si>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</si>
  <si>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</si>
  <si>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</si>
  <si>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</si>
  <si>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</si>
  <si>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</si>
  <si>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</si>
  <si>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</si>
  <si>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</si>
  <si>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</si>
  <si>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</si>
  <si>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</si>
  <si>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</si>
  <si>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</si>
  <si>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</si>
  <si>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</si>
  <si>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</si>
  <si>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</si>
  <si>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</si>
  <si>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</si>
  <si>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</si>
  <si>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</si>
  <si>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</si>
  <si>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</si>
  <si>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</si>
  <si>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</si>
  <si>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</si>
  <si>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</si>
  <si>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</si>
  <si>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</si>
  <si>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</si>
  <si>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</si>
  <si>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</si>
  <si>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</si>
  <si>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</si>
  <si>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</si>
  <si>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</si>
  <si>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</si>
  <si>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</si>
  <si>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</si>
  <si>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</si>
  <si>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</si>
  <si>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</si>
  <si>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</si>
  <si>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</si>
  <si>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</si>
  <si>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</si>
  <si>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</si>
  <si>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</si>
  <si>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</si>
  <si>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</si>
  <si>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</si>
  <si>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</si>
  <si>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</si>
  <si>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</si>
  <si>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</si>
  <si>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</si>
  <si>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</si>
  <si>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</si>
  <si>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</si>
  <si>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</si>
  <si>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</si>
  <si>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</si>
  <si>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</si>
  <si>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</si>
  <si>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</si>
  <si>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</si>
  <si>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</si>
  <si>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</si>
  <si>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</si>
  <si>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</si>
  <si>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</si>
  <si>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</si>
  <si>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</si>
  <si>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</si>
  <si>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</si>
  <si>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</si>
  <si>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</si>
  <si>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</si>
  <si>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</si>
  <si>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</si>
  <si>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</si>
  <si>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</si>
  <si>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</si>
  <si>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</si>
  <si>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</si>
  <si>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</si>
  <si>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</si>
  <si>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</si>
  <si>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</si>
  <si>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</si>
  <si>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</si>
  <si>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</si>
  <si>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</si>
  <si>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</si>
  <si>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</si>
  <si>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</si>
  <si>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</si>
  <si>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</si>
  <si>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</si>
  <si>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</si>
  <si>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</si>
  <si>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</si>
  <si>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</si>
  <si>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</si>
  <si>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</si>
  <si>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</si>
  <si>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</si>
  <si>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</si>
  <si>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</si>
  <si>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</si>
  <si>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</si>
  <si>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</si>
  <si>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</si>
  <si>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</si>
  <si>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</si>
  <si>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</si>
  <si>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</si>
  <si>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</si>
  <si>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</si>
  <si>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</si>
  <si>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</si>
  <si>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</si>
  <si>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</si>
  <si>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</si>
  <si>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</si>
  <si>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</si>
  <si>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</si>
  <si>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</si>
  <si>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</si>
  <si>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</si>
  <si>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</si>
  <si>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</si>
  <si>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</si>
  <si>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</si>
  <si>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</si>
  <si>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</si>
  <si>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</si>
  <si>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</si>
  <si>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</si>
  <si>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</si>
  <si>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</si>
  <si>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</si>
  <si>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</si>
  <si>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</si>
  <si>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</si>
  <si>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</si>
  <si>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</si>
  <si>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</si>
  <si>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</si>
  <si>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</si>
  <si>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</si>
  <si>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</si>
  <si>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</si>
  <si>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</si>
  <si>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</si>
  <si>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</si>
  <si>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</si>
  <si>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</si>
  <si>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</si>
  <si>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</si>
  <si>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</si>
  <si>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</si>
  <si>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</si>
  <si>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</si>
  <si>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</si>
  <si>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</si>
  <si>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</si>
  <si>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</si>
  <si>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</si>
  <si>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</si>
  <si>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</si>
  <si>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</si>
  <si>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</si>
  <si>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</si>
  <si>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</si>
  <si>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</si>
  <si>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</si>
  <si>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</si>
  <si>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</si>
  <si>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</si>
  <si>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</si>
  <si>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</si>
  <si>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</si>
  <si>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</si>
  <si>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</si>
  <si>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</si>
  <si>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</si>
  <si>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</si>
  <si>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</si>
  <si>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</si>
  <si>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</si>
  <si>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</si>
  <si>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</si>
  <si>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</si>
  <si>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</si>
  <si>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</si>
  <si>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</si>
  <si>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</si>
  <si>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</si>
  <si>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</si>
  <si>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</si>
  <si>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</si>
  <si>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</si>
  <si>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</si>
  <si>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</si>
  <si>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</si>
  <si>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</si>
  <si>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</si>
  <si>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</si>
  <si>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</si>
  <si>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</si>
  <si>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</si>
  <si>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</si>
  <si>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</si>
  <si>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</si>
  <si>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</si>
  <si>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</si>
  <si>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</si>
  <si>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</si>
  <si>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</si>
  <si>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</si>
  <si>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</si>
  <si>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</si>
  <si>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</si>
  <si>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</si>
  <si>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</si>
  <si>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</si>
  <si>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</si>
  <si>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</si>
  <si>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</si>
  <si>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</si>
  <si>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</si>
  <si>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</si>
  <si>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</si>
  <si>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</si>
  <si>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</si>
  <si>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</si>
  <si>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</si>
  <si>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</si>
  <si>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</si>
  <si>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</si>
  <si>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</si>
  <si>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</si>
  <si>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</si>
  <si>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</si>
  <si>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</si>
  <si>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</si>
  <si>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</si>
  <si>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</si>
  <si>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</si>
  <si>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</si>
  <si>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</si>
  <si>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</si>
  <si>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</si>
  <si>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</si>
  <si>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</si>
  <si>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</si>
  <si>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</si>
  <si>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</si>
  <si>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</si>
  <si>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</si>
  <si>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</si>
  <si>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</si>
  <si>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</si>
  <si>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</si>
  <si>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</si>
  <si>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</si>
  <si>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</si>
  <si>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</si>
  <si>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</si>
  <si>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</si>
  <si>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</si>
  <si>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</si>
  <si>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</si>
  <si>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</si>
  <si>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</si>
  <si>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</si>
  <si>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</si>
  <si>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</si>
  <si>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</si>
  <si>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</si>
  <si>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</si>
  <si>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</si>
  <si>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</si>
  <si>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</si>
  <si>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</si>
  <si>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</si>
  <si>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</si>
  <si>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</si>
  <si>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</si>
  <si>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</si>
  <si>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</si>
  <si>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</si>
  <si>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</si>
  <si>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</si>
  <si>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</si>
  <si>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</si>
  <si>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</si>
  <si>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</si>
  <si>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</si>
  <si>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</si>
  <si>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</si>
  <si>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</si>
  <si>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</si>
  <si>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</si>
  <si>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</si>
  <si>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</si>
  <si>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</si>
  <si>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</si>
  <si>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</si>
  <si>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</si>
  <si>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</si>
  <si>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</si>
  <si>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</si>
  <si>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</si>
  <si>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</si>
  <si>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</si>
  <si>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</si>
  <si>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</si>
  <si>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</si>
  <si>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</si>
  <si>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</si>
  <si>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</si>
  <si>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</si>
  <si>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</si>
  <si>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</si>
  <si>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</si>
  <si>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</si>
  <si>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</si>
  <si>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</si>
  <si>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</si>
  <si>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</si>
  <si>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</si>
  <si>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</si>
  <si>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</si>
  <si>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</si>
  <si>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</si>
  <si>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</si>
  <si>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</si>
  <si>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</si>
  <si>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</si>
  <si>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</si>
  <si>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</si>
  <si>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</si>
  <si>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</si>
  <si>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</si>
  <si>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</si>
  <si>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</si>
  <si>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</si>
  <si>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</si>
  <si>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</si>
  <si>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</si>
  <si>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</si>
  <si>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</si>
  <si>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</si>
  <si>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</si>
  <si>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</si>
  <si>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</si>
  <si>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</si>
  <si>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</si>
  <si>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</si>
  <si>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</si>
  <si>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</si>
  <si>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</si>
  <si>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</si>
  <si>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</si>
  <si>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</si>
  <si>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</si>
  <si>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</si>
  <si>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</si>
  <si>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</si>
  <si>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</si>
  <si>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</si>
  <si>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</si>
  <si>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</si>
  <si>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</si>
  <si>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</si>
  <si>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</si>
  <si>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</si>
  <si>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</si>
  <si>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</si>
  <si>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</si>
  <si>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</si>
  <si>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</si>
  <si>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</si>
  <si>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</si>
  <si>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</si>
  <si>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</si>
  <si>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</si>
  <si>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</si>
  <si>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</si>
  <si>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</si>
  <si>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</si>
  <si>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</si>
  <si>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</si>
  <si>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</si>
  <si>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</si>
  <si>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</si>
  <si>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</si>
  <si>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</si>
  <si>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</si>
  <si>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</si>
  <si>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</si>
  <si>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</si>
  <si>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</si>
  <si>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</si>
  <si>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</si>
  <si>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</si>
  <si>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</si>
  <si>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</si>
  <si>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</si>
  <si>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</si>
  <si>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</si>
  <si>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</si>
  <si>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</si>
  <si>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</si>
  <si>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</si>
  <si>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</si>
  <si>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</si>
  <si>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</si>
  <si>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</si>
  <si>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</si>
  <si>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</si>
  <si>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</si>
  <si>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</si>
  <si>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</si>
  <si>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</si>
  <si>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</si>
  <si>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</si>
  <si>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</si>
  <si>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</si>
  <si>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</si>
  <si>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</si>
  <si>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</si>
  <si>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</si>
  <si>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</si>
  <si>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</si>
  <si>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</si>
  <si>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</si>
  <si>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</si>
  <si>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</si>
  <si>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</si>
  <si>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</si>
  <si>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</si>
  <si>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</si>
  <si>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</si>
  <si>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</si>
  <si>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</si>
  <si>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</si>
  <si>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</si>
  <si>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</si>
  <si>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</si>
  <si>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</si>
  <si>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</si>
  <si>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</si>
  <si>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</si>
  <si>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</si>
  <si>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</si>
  <si>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</si>
  <si>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</si>
  <si>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</si>
  <si>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</si>
  <si>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</si>
  <si>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</si>
  <si>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</si>
  <si>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</si>
  <si>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</si>
  <si>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</si>
  <si>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</si>
  <si>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</si>
  <si>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</si>
  <si>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</si>
  <si>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</si>
  <si>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</si>
  <si>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</si>
  <si>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</si>
  <si>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</si>
  <si>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</si>
  <si>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</si>
  <si>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</si>
  <si>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</si>
  <si>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</si>
  <si>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</si>
  <si>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</si>
  <si>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</si>
  <si>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</si>
  <si>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</si>
  <si>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</si>
  <si>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</si>
  <si>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</si>
  <si>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</si>
  <si>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</si>
  <si>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</si>
  <si>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</si>
  <si>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</si>
  <si>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</si>
  <si>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</si>
  <si>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</si>
  <si>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</si>
  <si>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</si>
  <si>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</si>
  <si>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</si>
  <si>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</si>
  <si>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</si>
  <si>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</si>
  <si>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</si>
  <si>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</si>
  <si>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</si>
  <si>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</si>
  <si>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</si>
  <si>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</si>
  <si>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</si>
  <si>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</si>
  <si>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</si>
  <si>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</si>
  <si>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</si>
  <si>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</si>
  <si>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</si>
  <si>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</si>
  <si>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</si>
  <si>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</si>
  <si>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</si>
  <si>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</si>
  <si>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</si>
  <si>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</si>
  <si>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</si>
  <si>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</si>
  <si>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</si>
  <si>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</si>
  <si>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</si>
  <si>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</si>
  <si>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</si>
  <si>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</si>
  <si>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</si>
  <si>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</si>
  <si>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</si>
  <si>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</si>
  <si>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</si>
  <si>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</si>
  <si>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</si>
  <si>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</si>
  <si>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</si>
  <si>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</si>
  <si>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</si>
  <si>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</si>
  <si>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</si>
  <si>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</si>
  <si>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</si>
  <si>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</si>
  <si>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</si>
  <si>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</si>
  <si>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</si>
  <si>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</si>
  <si>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</si>
  <si>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</si>
  <si>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</si>
  <si>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</si>
  <si>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</si>
  <si>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</si>
  <si>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</si>
  <si>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</si>
  <si>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</si>
  <si>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</si>
  <si>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</si>
  <si>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</si>
  <si>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</si>
  <si>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</si>
  <si>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</si>
  <si>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</si>
  <si>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</si>
  <si>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</si>
  <si>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</si>
  <si>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</si>
  <si>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</si>
  <si>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</si>
  <si>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</si>
  <si>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</si>
  <si>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</si>
  <si>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</si>
  <si>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</si>
  <si>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</si>
  <si>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</si>
  <si>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</si>
  <si>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</si>
  <si>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</si>
  <si>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</si>
  <si>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</si>
  <si>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</si>
  <si>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</si>
  <si>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</si>
  <si>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</si>
  <si>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</si>
  <si>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</si>
  <si>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</si>
  <si>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</si>
  <si>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</si>
  <si>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</si>
  <si>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</si>
  <si>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</si>
  <si>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</si>
  <si>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</si>
  <si>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</si>
  <si>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</si>
  <si>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</si>
  <si>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</si>
  <si>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</si>
  <si>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</si>
  <si>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</si>
  <si>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</si>
  <si>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</si>
  <si>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</si>
  <si>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</si>
  <si>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</si>
  <si>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</si>
  <si>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</si>
  <si>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</si>
  <si>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</si>
  <si>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</si>
  <si>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</si>
  <si>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</si>
  <si>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</si>
  <si>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</si>
  <si>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</si>
  <si>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</si>
  <si>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</si>
  <si>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</si>
  <si>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</si>
  <si>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</si>
  <si>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</si>
  <si>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</si>
  <si>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</si>
  <si>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</si>
  <si>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</si>
  <si>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</si>
  <si>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</si>
  <si>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</si>
  <si>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</si>
  <si>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</si>
  <si>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</si>
  <si>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</si>
  <si>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</si>
  <si>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</si>
  <si>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</si>
  <si>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</si>
  <si>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</si>
  <si>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</si>
  <si>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</si>
  <si>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</si>
  <si>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</si>
  <si>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</si>
  <si>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</si>
  <si>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</si>
  <si>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</si>
  <si>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</si>
  <si>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</si>
  <si>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</si>
  <si>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</si>
  <si>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</si>
  <si>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</si>
  <si>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</si>
  <si>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</si>
  <si>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</si>
  <si>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</si>
  <si>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</si>
  <si>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</si>
  <si>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</si>
  <si>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</si>
  <si>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</si>
  <si>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</si>
  <si>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</si>
  <si>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</si>
  <si>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</si>
  <si>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</si>
  <si>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</si>
  <si>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</si>
  <si>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</si>
  <si>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</si>
  <si>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</si>
  <si>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</si>
  <si>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</si>
  <si>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</si>
  <si>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</si>
  <si>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</si>
  <si>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</si>
  <si>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</si>
  <si>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</si>
  <si>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</si>
  <si>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</si>
  <si>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</si>
  <si>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</si>
  <si>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</si>
  <si>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</si>
  <si>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</si>
  <si>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</si>
  <si>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</si>
  <si>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</si>
  <si>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</si>
  <si>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</si>
  <si>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</si>
  <si>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</si>
  <si>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</si>
  <si>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</si>
  <si>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</si>
  <si>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</si>
  <si>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</si>
  <si>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</si>
  <si>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</si>
  <si>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</si>
  <si>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</si>
  <si>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</si>
  <si>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</si>
  <si>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</si>
  <si>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</si>
  <si>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</si>
  <si>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</si>
  <si>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</si>
  <si>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</si>
  <si>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</si>
  <si>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</si>
  <si>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</si>
  <si>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</si>
  <si>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</si>
  <si>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</si>
  <si>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</si>
  <si>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</si>
  <si>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</si>
  <si>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</si>
  <si>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</si>
  <si>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</si>
  <si>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</si>
  <si>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</si>
  <si>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</si>
  <si>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</si>
  <si>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</si>
  <si>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</si>
  <si>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</si>
  <si>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</si>
  <si>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</si>
  <si>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</si>
  <si>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</si>
  <si>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</si>
  <si>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</si>
  <si>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</si>
  <si>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</si>
  <si>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</si>
  <si>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</si>
  <si>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</si>
  <si>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</si>
  <si>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</si>
  <si>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</si>
  <si>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</si>
  <si>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</si>
  <si>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</si>
  <si>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</si>
  <si>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</si>
  <si>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</si>
  <si>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</si>
  <si>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</si>
  <si>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</si>
  <si>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</si>
  <si>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</si>
  <si>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</si>
  <si>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</si>
  <si>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</si>
  <si>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</si>
  <si>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</si>
  <si>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</si>
  <si>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</si>
  <si>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</si>
  <si>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</si>
  <si>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</si>
  <si>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</si>
  <si>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</si>
  <si>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</si>
  <si>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</si>
  <si>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</si>
  <si>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</si>
  <si>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</si>
  <si>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</si>
  <si>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</si>
  <si>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</si>
  <si>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</si>
  <si>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</si>
  <si>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</si>
  <si>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</si>
  <si>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</si>
  <si>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</si>
  <si>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</si>
  <si>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</si>
  <si>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</si>
  <si>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</si>
  <si>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</si>
  <si>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</si>
  <si>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</si>
  <si>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</si>
  <si>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</si>
  <si>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</si>
  <si>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</si>
  <si>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</si>
  <si>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</si>
  <si>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</si>
  <si>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</si>
  <si>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</si>
  <si>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</si>
  <si>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</si>
  <si>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</si>
  <si>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</si>
  <si>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</si>
  <si>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</si>
  <si>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</si>
  <si>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</si>
  <si>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</si>
  <si>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</si>
  <si>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</si>
  <si>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</si>
  <si>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</si>
  <si>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</si>
  <si>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</si>
  <si>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</si>
  <si>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</si>
  <si>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</si>
  <si>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</si>
  <si>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</si>
  <si>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</si>
  <si>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</si>
  <si>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</si>
  <si>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</si>
  <si>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</si>
  <si>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</si>
  <si>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</si>
  <si>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</si>
  <si>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</si>
  <si>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</si>
  <si>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</si>
  <si>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</si>
  <si>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</si>
  <si>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</si>
  <si>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</si>
  <si>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</si>
  <si>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</si>
  <si>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</si>
  <si>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</si>
  <si>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</si>
  <si>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</si>
  <si>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</si>
  <si>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</si>
  <si>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</si>
  <si>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</si>
  <si>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</si>
  <si>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</si>
  <si>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</si>
  <si>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</si>
  <si>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</si>
  <si>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</si>
  <si>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</si>
  <si>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</si>
  <si>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</si>
  <si>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</si>
  <si>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</si>
  <si>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</si>
  <si>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</si>
  <si>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</si>
  <si>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</si>
  <si>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</si>
  <si>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</si>
  <si>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</si>
  <si>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</si>
  <si>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</si>
  <si>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</si>
  <si>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</si>
  <si>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</si>
  <si>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</si>
  <si>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</si>
  <si>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</si>
  <si>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</si>
  <si>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</si>
  <si>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</si>
  <si>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</si>
  <si>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</si>
  <si>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</si>
  <si>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</si>
  <si>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</si>
  <si>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</si>
  <si>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</si>
  <si>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</si>
  <si>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</si>
  <si>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</si>
  <si>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</si>
  <si>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</si>
  <si>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</si>
  <si>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</si>
  <si>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</si>
  <si>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</si>
  <si>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</si>
  <si>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</si>
  <si>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</si>
  <si>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</si>
  <si>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</si>
  <si>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</si>
  <si>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</si>
  <si>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</si>
  <si>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</si>
  <si>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</si>
  <si>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</si>
  <si>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</si>
  <si>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</si>
  <si>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</si>
  <si>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</si>
  <si>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</si>
  <si>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</si>
  <si>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</si>
  <si>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</si>
  <si>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</si>
  <si>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</si>
  <si>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</si>
  <si>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</si>
  <si>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</si>
  <si>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</si>
  <si>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</si>
  <si>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</si>
  <si>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</si>
  <si>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</si>
  <si>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</si>
  <si>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</si>
  <si>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</si>
  <si>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</si>
  <si>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</si>
  <si>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</si>
  <si>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</si>
  <si>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</si>
  <si>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</si>
  <si>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</si>
  <si>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</si>
  <si>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</si>
  <si>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</si>
  <si>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</si>
  <si>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</si>
  <si>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</si>
  <si>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</si>
  <si>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</si>
  <si>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</si>
  <si>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</si>
  <si>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</si>
  <si>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</si>
  <si>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</si>
  <si>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</si>
  <si>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</si>
  <si>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</si>
  <si>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</si>
  <si>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</si>
  <si>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</si>
  <si>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</si>
  <si>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</si>
  <si>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</si>
  <si>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</si>
  <si>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</si>
  <si>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</si>
  <si>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</si>
  <si>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</si>
  <si>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</si>
  <si>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</si>
  <si>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</si>
  <si>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</si>
  <si>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</si>
  <si>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</si>
  <si>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</si>
  <si>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</si>
  <si>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</si>
  <si>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</si>
  <si>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</si>
  <si>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</si>
  <si>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</si>
  <si>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</si>
  <si>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</si>
  <si>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</si>
  <si>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</si>
  <si>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</si>
  <si>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</si>
  <si>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</si>
  <si>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</si>
  <si>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</si>
  <si>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</si>
  <si>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</si>
  <si>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</si>
  <si>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</si>
  <si>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</si>
  <si>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</si>
  <si>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</si>
  <si>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</si>
  <si>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</si>
  <si>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</si>
  <si>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</si>
  <si>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</si>
  <si>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</si>
  <si>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</si>
  <si>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</si>
  <si>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</si>
  <si>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</si>
  <si>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</si>
  <si>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</si>
  <si>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</si>
  <si>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</si>
  <si>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</si>
  <si>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</si>
  <si>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</si>
  <si>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</si>
  <si>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</si>
  <si>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</si>
  <si>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</si>
  <si>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</si>
  <si>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</si>
  <si>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</si>
  <si>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</si>
  <si>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</si>
  <si>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</si>
  <si>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</si>
  <si>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</si>
  <si>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</si>
  <si>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</si>
  <si>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</si>
  <si>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</si>
  <si>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</si>
  <si>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</si>
  <si>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</si>
  <si>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</si>
  <si>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</si>
  <si>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</si>
  <si>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</si>
  <si>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</si>
  <si>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</si>
  <si>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</si>
  <si>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</si>
  <si>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</si>
  <si>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</si>
  <si>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</si>
  <si>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</si>
  <si>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</si>
  <si>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</si>
  <si>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</si>
  <si>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</si>
  <si>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</si>
  <si>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</si>
  <si>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</si>
  <si>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</si>
  <si>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</si>
  <si>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</si>
  <si>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</si>
  <si>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</si>
  <si>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</si>
  <si>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</si>
  <si>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</si>
  <si>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</si>
  <si>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</si>
  <si>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</si>
  <si>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</si>
  <si>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</si>
  <si>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</si>
  <si>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</si>
  <si>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</si>
  <si>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</si>
  <si>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</si>
  <si>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</si>
  <si>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</si>
  <si>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</si>
  <si>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</si>
  <si>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</si>
  <si>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</si>
  <si>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</si>
  <si>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</si>
  <si>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</si>
  <si>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</si>
  <si>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</si>
  <si>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</si>
  <si>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</si>
  <si>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</si>
  <si>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</si>
  <si>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</si>
  <si>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</si>
  <si>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</si>
  <si>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</si>
  <si>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</si>
  <si>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</si>
  <si>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</si>
  <si>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</si>
  <si>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</si>
  <si>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</si>
  <si>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</si>
  <si>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</si>
  <si>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</si>
  <si>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</si>
  <si>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</si>
  <si>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</si>
  <si>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</si>
  <si>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</si>
  <si>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</si>
  <si>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</si>
  <si>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</si>
  <si>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</si>
  <si>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</si>
  <si>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</si>
  <si>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</si>
  <si>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</si>
  <si>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</si>
  <si>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</si>
  <si>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</si>
  <si>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</si>
  <si>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</si>
  <si>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</si>
  <si>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</si>
  <si>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</si>
  <si>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</si>
  <si>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</si>
  <si>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</si>
  <si>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</si>
  <si>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</si>
  <si>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</si>
  <si>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</si>
  <si>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</si>
  <si>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</si>
  <si>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</si>
  <si>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</si>
  <si>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</si>
  <si>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</si>
  <si>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</si>
  <si>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</si>
  <si>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</si>
  <si>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</si>
  <si>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</si>
  <si>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</si>
  <si>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</si>
  <si>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</si>
  <si>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</si>
  <si>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</si>
  <si>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</si>
  <si>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</si>
  <si>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</si>
  <si>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</si>
  <si>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</si>
  <si>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</si>
  <si>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</si>
  <si>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</si>
  <si>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</si>
  <si>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</si>
  <si>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</si>
  <si>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</si>
  <si>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</si>
  <si>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</si>
  <si>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</si>
  <si>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</si>
  <si>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</si>
  <si>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</si>
  <si>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</si>
  <si>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</si>
  <si>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</si>
  <si>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</si>
  <si>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</si>
  <si>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</si>
  <si>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</si>
  <si>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</si>
  <si>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</si>
  <si>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</si>
  <si>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</si>
  <si>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</si>
  <si>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</si>
  <si>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</si>
  <si>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</si>
  <si>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</si>
  <si>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</si>
  <si>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</si>
  <si>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</si>
  <si>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</si>
  <si>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</si>
  <si>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</si>
  <si>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</si>
  <si>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</si>
  <si>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</si>
  <si>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</si>
  <si>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</si>
  <si>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</si>
  <si>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</si>
  <si>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</si>
  <si>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</si>
  <si>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</si>
  <si>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</si>
  <si>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</si>
  <si>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</si>
  <si>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</si>
  <si>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</si>
  <si>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</si>
  <si>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</si>
  <si>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</si>
  <si>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</si>
  <si>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</si>
  <si>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</si>
  <si>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</si>
  <si>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</si>
  <si>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</si>
  <si>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</si>
  <si>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</si>
  <si>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</si>
  <si>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</si>
  <si>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</si>
  <si>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</si>
  <si>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</si>
  <si>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</si>
  <si>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</si>
  <si>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</si>
  <si>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</si>
  <si>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</si>
  <si>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</si>
  <si>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</si>
  <si>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</si>
  <si>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</si>
  <si>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</si>
  <si>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</si>
  <si>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</si>
  <si>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</si>
  <si>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</si>
  <si>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</si>
  <si>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</si>
  <si>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</si>
  <si>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</si>
  <si>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</si>
  <si>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</si>
  <si>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</si>
  <si>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</si>
  <si>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</si>
  <si>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</si>
  <si>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</si>
  <si>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</si>
  <si>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</si>
  <si>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</si>
  <si>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</si>
  <si>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</si>
  <si>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</si>
  <si>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</si>
  <si>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</si>
  <si>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</si>
  <si>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</si>
  <si>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</si>
  <si>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</si>
  <si>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</si>
  <si>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</si>
  <si>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</si>
  <si>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</si>
  <si>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</si>
  <si>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</si>
  <si>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</si>
  <si>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</si>
  <si>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</si>
  <si>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</si>
  <si>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</si>
  <si>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</si>
  <si>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</si>
  <si>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</si>
  <si>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</si>
  <si>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</si>
  <si>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</si>
  <si>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</si>
  <si>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</si>
  <si>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</si>
  <si>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</si>
  <si>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</si>
  <si>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</si>
  <si>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</si>
  <si>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</si>
  <si>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</si>
  <si>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</si>
  <si>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</si>
  <si>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</si>
  <si>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</si>
  <si>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</si>
  <si>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</si>
  <si>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</si>
  <si>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</si>
  <si>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</si>
  <si>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</si>
  <si>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</si>
  <si>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</si>
  <si>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</si>
  <si>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</si>
  <si>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</si>
  <si>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</si>
  <si>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</si>
  <si>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</si>
  <si>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</si>
  <si>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</si>
  <si>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</si>
  <si>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</si>
  <si>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</si>
  <si>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</si>
  <si>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</si>
  <si>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</si>
  <si>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</si>
  <si>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</si>
  <si>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</si>
  <si>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</si>
  <si>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</si>
  <si>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</si>
  <si>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</si>
  <si>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</si>
  <si>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</si>
  <si>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</si>
  <si>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</si>
  <si>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</si>
  <si>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</si>
  <si>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</si>
  <si>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</si>
  <si>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</si>
  <si>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</si>
  <si>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</si>
  <si>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</si>
  <si>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</si>
  <si>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</si>
  <si>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</si>
  <si>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</si>
  <si>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</si>
  <si>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</si>
  <si>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</si>
  <si>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</si>
  <si>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</si>
  <si>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</si>
  <si>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</si>
  <si>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</si>
  <si>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</si>
  <si>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</si>
  <si>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</si>
  <si>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</si>
  <si>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</si>
  <si>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</si>
  <si>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</si>
  <si>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</si>
  <si>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</si>
  <si>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</si>
  <si>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</si>
  <si>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</si>
  <si>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</si>
  <si>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</si>
  <si>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</si>
  <si>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</si>
  <si>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</si>
  <si>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</si>
  <si>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</si>
  <si>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</si>
  <si>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</si>
  <si>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</si>
  <si>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</si>
  <si>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</si>
  <si>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</si>
  <si>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</si>
  <si>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</si>
  <si>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</si>
  <si>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</si>
  <si>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</si>
  <si>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</si>
  <si>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</si>
  <si>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</si>
  <si>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</si>
  <si>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</si>
  <si>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</si>
  <si>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</si>
  <si>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</si>
  <si>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</si>
  <si>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</si>
  <si>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</si>
  <si>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</si>
  <si>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</si>
  <si>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</si>
  <si>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</si>
  <si>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</si>
  <si>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</si>
  <si>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</si>
  <si>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</si>
  <si>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</si>
  <si>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</si>
  <si>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</si>
  <si>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</si>
  <si>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</si>
  <si>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</si>
  <si>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</si>
  <si>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</si>
  <si>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</si>
  <si>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</si>
  <si>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</si>
  <si>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</si>
  <si>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</si>
  <si>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</si>
  <si>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</si>
  <si>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</si>
  <si>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</si>
  <si>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</si>
  <si>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</si>
  <si>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</si>
  <si>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</si>
  <si>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</si>
  <si>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</si>
  <si>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</si>
  <si>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</si>
  <si>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</si>
  <si>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</si>
  <si>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</si>
  <si>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</si>
  <si>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</si>
  <si>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</si>
  <si>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</si>
  <si>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</si>
  <si>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</si>
  <si>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</si>
  <si>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</si>
  <si>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</si>
  <si>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</si>
  <si>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</si>
  <si>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</si>
  <si>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</si>
  <si>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</si>
  <si>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</si>
  <si>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</si>
  <si>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</si>
  <si>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</si>
  <si>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</si>
  <si>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</si>
  <si>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</si>
  <si>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</si>
  <si>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</si>
  <si>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</si>
  <si>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</si>
  <si>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</si>
  <si>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</si>
  <si>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</si>
  <si>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</si>
  <si>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</si>
  <si>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</si>
  <si>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</si>
  <si>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</si>
  <si>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</si>
  <si>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</si>
  <si>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</si>
  <si>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</si>
  <si>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</si>
  <si>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</si>
  <si>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</si>
  <si>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</si>
  <si>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</si>
  <si>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</si>
  <si>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</si>
  <si>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</si>
  <si>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</si>
  <si>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</si>
  <si>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</si>
  <si>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</si>
  <si>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</si>
  <si>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</si>
  <si>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</si>
  <si>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</si>
  <si>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</si>
  <si>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</si>
  <si>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</si>
  <si>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</si>
  <si>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</si>
  <si>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</si>
  <si>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</si>
  <si>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</si>
  <si>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</si>
  <si>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</si>
  <si>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</si>
  <si>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</si>
  <si>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</si>
  <si>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</si>
  <si>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</si>
  <si>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</si>
  <si>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</si>
  <si>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</si>
  <si>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</si>
  <si>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</si>
  <si>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</si>
  <si>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</si>
  <si>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</si>
  <si>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</si>
  <si>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</si>
  <si>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</si>
  <si>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</si>
  <si>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</si>
  <si>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</si>
  <si>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</si>
  <si>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</si>
  <si>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</si>
  <si>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</si>
  <si>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</si>
  <si>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</si>
  <si>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</si>
  <si>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</si>
  <si>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</si>
  <si>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</si>
  <si>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</si>
  <si>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</si>
  <si>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</si>
  <si>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</si>
  <si>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</si>
  <si>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</si>
  <si>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</si>
  <si>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</si>
  <si>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</si>
  <si>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</si>
  <si>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</si>
  <si>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</si>
  <si>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</si>
  <si>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</si>
  <si>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</si>
  <si>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</si>
  <si>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</si>
  <si>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</si>
  <si>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</si>
  <si>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</si>
  <si>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</si>
  <si>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</si>
  <si>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</si>
  <si>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</si>
  <si>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</si>
  <si>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</si>
  <si>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</si>
  <si>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</si>
  <si>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</si>
  <si>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</si>
  <si>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</si>
  <si>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</si>
  <si>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</si>
  <si>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</si>
  <si>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</si>
  <si>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</si>
  <si>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</si>
  <si>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</si>
  <si>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</si>
  <si>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</si>
  <si>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</si>
  <si>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</si>
  <si>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</si>
  <si>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</si>
  <si>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</si>
  <si>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</si>
  <si>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</si>
  <si>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</si>
  <si>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</si>
  <si>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</si>
  <si>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</si>
  <si>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</si>
  <si>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</si>
  <si>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</si>
  <si>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</si>
  <si>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</si>
  <si>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</si>
  <si>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</si>
  <si>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</si>
  <si>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</si>
  <si>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</si>
  <si>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</si>
  <si>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</si>
  <si>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</si>
  <si>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</si>
  <si>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</si>
  <si>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</si>
  <si>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</si>
  <si>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</si>
  <si>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</si>
  <si>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</si>
  <si>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</si>
  <si>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</si>
  <si>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</si>
  <si>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</si>
  <si>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</si>
  <si>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</si>
  <si>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</si>
  <si>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</si>
  <si>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</si>
  <si>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</si>
  <si>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</si>
  <si>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</si>
  <si>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</si>
  <si>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</si>
  <si>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</si>
  <si>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</si>
  <si>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</si>
  <si>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Berdasarkan DIPA Revisi 2 TA. 2022 (Tanggal 10 Juni 2022)</t>
  </si>
  <si>
    <t>SAMPAI DENGAN 20 JUNI 2022</t>
  </si>
  <si>
    <t xml:space="preserve"> 221751303012599</t>
  </si>
  <si>
    <t>17-06-2022</t>
  </si>
  <si>
    <t>00516T/626402/2022</t>
  </si>
  <si>
    <t>16-06-2022</t>
  </si>
  <si>
    <t>Pembayaran belanja pegawai ( Pembayaran Kekurangan gaji Pangkat pegawai PNS Pusdik bulan Maret 2022 untuk 1 pegawai / 1 Jiwa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</si>
</sst>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7">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7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09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424"/>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9.81168298611"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2">
    <format dxfId="1711">
      <pivotArea outline="0" collapsedLevelsAreSubtotals="1" fieldPosition="0">
        <references count="1">
          <reference field="4294967294" count="1" selected="0">
            <x v="2"/>
          </reference>
        </references>
      </pivotArea>
    </format>
    <format dxfId="1710">
      <pivotArea outline="0" collapsedLevelsAreSubtotals="1" fieldPosition="0">
        <references count="1">
          <reference field="4294967294" count="1" selected="0">
            <x v="4"/>
          </reference>
        </references>
      </pivotArea>
    </format>
    <format dxfId="1709">
      <pivotArea outline="0" collapsedLevelsAreSubtotals="1" fieldPosition="0">
        <references count="1">
          <reference field="4294967294" count="1" selected="0">
            <x v="3"/>
          </reference>
        </references>
      </pivotArea>
    </format>
    <format dxfId="1708">
      <pivotArea outline="0" collapsedLevelsAreSubtotals="1" fieldPosition="0">
        <references count="1">
          <reference field="4294967294" count="1" selected="0">
            <x v="1"/>
          </reference>
        </references>
      </pivotArea>
    </format>
    <format dxfId="1707">
      <pivotArea outline="0" collapsedLevelsAreSubtotals="1" fieldPosition="0">
        <references count="1">
          <reference field="4294967294" count="1" selected="0">
            <x v="0"/>
          </reference>
        </references>
      </pivotArea>
    </format>
    <format dxfId="1706">
      <pivotArea dataOnly="0" labelOnly="1" fieldPosition="0">
        <references count="1">
          <reference field="3" count="0"/>
        </references>
      </pivotArea>
    </format>
    <format dxfId="1705">
      <pivotArea dataOnly="0" labelOnly="1" fieldPosition="0">
        <references count="1">
          <reference field="5" count="0"/>
        </references>
      </pivotArea>
    </format>
    <format dxfId="1704">
      <pivotArea dataOnly="0" labelOnly="1" fieldPosition="0">
        <references count="1">
          <reference field="9" count="0"/>
        </references>
      </pivotArea>
    </format>
    <format dxfId="1703">
      <pivotArea dataOnly="0" labelOnly="1" fieldPosition="0">
        <references count="1">
          <reference field="11" count="0"/>
        </references>
      </pivotArea>
    </format>
    <format dxfId="1702">
      <pivotArea dataOnly="0" labelOnly="1" fieldPosition="0">
        <references count="1">
          <reference field="13" count="0"/>
        </references>
      </pivotArea>
    </format>
    <format dxfId="1701">
      <pivotArea dataOnly="0" labelOnly="1" outline="0" fieldPosition="0">
        <references count="1">
          <reference field="4294967294" count="5">
            <x v="0"/>
            <x v="1"/>
            <x v="2"/>
            <x v="3"/>
            <x v="4"/>
          </reference>
        </references>
      </pivotArea>
    </format>
    <format dxfId="1700">
      <pivotArea type="all" dataOnly="0" outline="0" fieldPosition="0"/>
    </format>
    <format dxfId="1699">
      <pivotArea outline="0" collapsedLevelsAreSubtotals="1" fieldPosition="0"/>
    </format>
    <format dxfId="1698">
      <pivotArea field="3" type="button" dataOnly="0" labelOnly="1" outline="0" axis="axisRow" fieldPosition="1"/>
    </format>
    <format dxfId="1697">
      <pivotArea dataOnly="0" labelOnly="1" fieldPosition="0">
        <references count="1">
          <reference field="3" count="0"/>
        </references>
      </pivotArea>
    </format>
    <format dxfId="1696">
      <pivotArea dataOnly="0" labelOnly="1" grandRow="1" outline="0" fieldPosition="0"/>
    </format>
    <format dxfId="1695">
      <pivotArea dataOnly="0" labelOnly="1" fieldPosition="0">
        <references count="2">
          <reference field="3" count="1" selected="0">
            <x v="0"/>
          </reference>
          <reference field="5" count="1">
            <x v="0"/>
          </reference>
        </references>
      </pivotArea>
    </format>
    <format dxfId="1694">
      <pivotArea dataOnly="0" labelOnly="1" fieldPosition="0">
        <references count="2">
          <reference field="3" count="1" selected="0">
            <x v="1"/>
          </reference>
          <reference field="5" count="2">
            <x v="1"/>
            <x v="2"/>
          </reference>
        </references>
      </pivotArea>
    </format>
    <format dxfId="1693">
      <pivotArea dataOnly="0" labelOnly="1" fieldPosition="0">
        <references count="3">
          <reference field="3" count="1" selected="0">
            <x v="0"/>
          </reference>
          <reference field="5" count="1" selected="0">
            <x v="0"/>
          </reference>
          <reference field="9" count="1">
            <x v="0"/>
          </reference>
        </references>
      </pivotArea>
    </format>
    <format dxfId="1692">
      <pivotArea dataOnly="0" labelOnly="1" fieldPosition="0">
        <references count="3">
          <reference field="3" count="1" selected="0">
            <x v="1"/>
          </reference>
          <reference field="5" count="1" selected="0">
            <x v="1"/>
          </reference>
          <reference field="9" count="8">
            <x v="1"/>
            <x v="2"/>
            <x v="3"/>
            <x v="4"/>
            <x v="5"/>
            <x v="6"/>
            <x v="7"/>
            <x v="8"/>
          </reference>
        </references>
      </pivotArea>
    </format>
    <format dxfId="1691">
      <pivotArea dataOnly="0" labelOnly="1" fieldPosition="0">
        <references count="3">
          <reference field="3" count="1" selected="0">
            <x v="1"/>
          </reference>
          <reference field="5" count="1" selected="0">
            <x v="2"/>
          </reference>
          <reference field="9" count="1">
            <x v="9"/>
          </reference>
        </references>
      </pivotArea>
    </format>
    <format dxfId="169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8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8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68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68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68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68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68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68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68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68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67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67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67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67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67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67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67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67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67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67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66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66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66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66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665">
      <pivotArea dataOnly="0" labelOnly="1" outline="0" fieldPosition="0">
        <references count="1">
          <reference field="4294967294" count="5">
            <x v="0"/>
            <x v="1"/>
            <x v="2"/>
            <x v="3"/>
            <x v="4"/>
          </reference>
        </references>
      </pivotArea>
    </format>
    <format dxfId="1664">
      <pivotArea type="all" dataOnly="0" outline="0" fieldPosition="0"/>
    </format>
    <format dxfId="1663">
      <pivotArea outline="0" collapsedLevelsAreSubtotals="1" fieldPosition="0"/>
    </format>
    <format dxfId="1662">
      <pivotArea field="3" type="button" dataOnly="0" labelOnly="1" outline="0" axis="axisRow" fieldPosition="1"/>
    </format>
    <format dxfId="1661">
      <pivotArea dataOnly="0" labelOnly="1" fieldPosition="0">
        <references count="1">
          <reference field="3" count="0"/>
        </references>
      </pivotArea>
    </format>
    <format dxfId="1660">
      <pivotArea dataOnly="0" labelOnly="1" grandRow="1" outline="0" fieldPosition="0"/>
    </format>
    <format dxfId="1659">
      <pivotArea dataOnly="0" labelOnly="1" fieldPosition="0">
        <references count="2">
          <reference field="3" count="1" selected="0">
            <x v="0"/>
          </reference>
          <reference field="5" count="1">
            <x v="0"/>
          </reference>
        </references>
      </pivotArea>
    </format>
    <format dxfId="1658">
      <pivotArea dataOnly="0" labelOnly="1" fieldPosition="0">
        <references count="2">
          <reference field="3" count="1" selected="0">
            <x v="1"/>
          </reference>
          <reference field="5" count="2">
            <x v="1"/>
            <x v="2"/>
          </reference>
        </references>
      </pivotArea>
    </format>
    <format dxfId="1657">
      <pivotArea dataOnly="0" labelOnly="1" fieldPosition="0">
        <references count="3">
          <reference field="3" count="1" selected="0">
            <x v="0"/>
          </reference>
          <reference field="5" count="1" selected="0">
            <x v="0"/>
          </reference>
          <reference field="9" count="1">
            <x v="0"/>
          </reference>
        </references>
      </pivotArea>
    </format>
    <format dxfId="1656">
      <pivotArea dataOnly="0" labelOnly="1" fieldPosition="0">
        <references count="3">
          <reference field="3" count="1" selected="0">
            <x v="1"/>
          </reference>
          <reference field="5" count="1" selected="0">
            <x v="1"/>
          </reference>
          <reference field="9" count="8">
            <x v="1"/>
            <x v="2"/>
            <x v="3"/>
            <x v="4"/>
            <x v="5"/>
            <x v="6"/>
            <x v="7"/>
            <x v="8"/>
          </reference>
        </references>
      </pivotArea>
    </format>
    <format dxfId="1655">
      <pivotArea dataOnly="0" labelOnly="1" fieldPosition="0">
        <references count="3">
          <reference field="3" count="1" selected="0">
            <x v="1"/>
          </reference>
          <reference field="5" count="1" selected="0">
            <x v="2"/>
          </reference>
          <reference field="9" count="1">
            <x v="9"/>
          </reference>
        </references>
      </pivotArea>
    </format>
    <format dxfId="165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5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5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65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65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64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64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64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64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64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64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64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64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64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64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63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63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63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63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63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63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63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63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63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63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629">
      <pivotArea dataOnly="0" labelOnly="1" outline="0" fieldPosition="0">
        <references count="1">
          <reference field="4294967294" count="5">
            <x v="0"/>
            <x v="1"/>
            <x v="2"/>
            <x v="3"/>
            <x v="4"/>
          </reference>
        </references>
      </pivotArea>
    </format>
    <format dxfId="1628">
      <pivotArea collapsedLevelsAreSubtotals="1" fieldPosition="0">
        <references count="1">
          <reference field="3" count="1">
            <x v="0"/>
          </reference>
        </references>
      </pivotArea>
    </format>
    <format dxfId="1627">
      <pivotArea collapsedLevelsAreSubtotals="1" fieldPosition="0">
        <references count="1">
          <reference field="3" count="1">
            <x v="1"/>
          </reference>
        </references>
      </pivotArea>
    </format>
    <format dxfId="1626">
      <pivotArea collapsedLevelsAreSubtotals="1" fieldPosition="0">
        <references count="3">
          <reference field="3" count="1" selected="0">
            <x v="0"/>
          </reference>
          <reference field="5" count="1" selected="0">
            <x v="0"/>
          </reference>
          <reference field="9" count="1">
            <x v="0"/>
          </reference>
        </references>
      </pivotArea>
    </format>
    <format dxfId="1625">
      <pivotArea collapsedLevelsAreSubtotals="1" fieldPosition="0">
        <references count="3">
          <reference field="3" count="1" selected="0">
            <x v="1"/>
          </reference>
          <reference field="5" count="1" selected="0">
            <x v="1"/>
          </reference>
          <reference field="9" count="1">
            <x v="1"/>
          </reference>
        </references>
      </pivotArea>
    </format>
    <format dxfId="1624">
      <pivotArea collapsedLevelsAreSubtotals="1" fieldPosition="0">
        <references count="3">
          <reference field="3" count="1" selected="0">
            <x v="1"/>
          </reference>
          <reference field="5" count="1" selected="0">
            <x v="1"/>
          </reference>
          <reference field="9" count="1">
            <x v="2"/>
          </reference>
        </references>
      </pivotArea>
    </format>
    <format dxfId="1623">
      <pivotArea collapsedLevelsAreSubtotals="1" fieldPosition="0">
        <references count="3">
          <reference field="3" count="1" selected="0">
            <x v="1"/>
          </reference>
          <reference field="5" count="1" selected="0">
            <x v="1"/>
          </reference>
          <reference field="9" count="1">
            <x v="3"/>
          </reference>
        </references>
      </pivotArea>
    </format>
    <format dxfId="1622">
      <pivotArea collapsedLevelsAreSubtotals="1" fieldPosition="0">
        <references count="3">
          <reference field="3" count="1" selected="0">
            <x v="1"/>
          </reference>
          <reference field="5" count="1" selected="0">
            <x v="1"/>
          </reference>
          <reference field="9" count="1">
            <x v="4"/>
          </reference>
        </references>
      </pivotArea>
    </format>
    <format dxfId="1621">
      <pivotArea collapsedLevelsAreSubtotals="1" fieldPosition="0">
        <references count="3">
          <reference field="3" count="1" selected="0">
            <x v="1"/>
          </reference>
          <reference field="5" count="1" selected="0">
            <x v="1"/>
          </reference>
          <reference field="9" count="1">
            <x v="5"/>
          </reference>
        </references>
      </pivotArea>
    </format>
    <format dxfId="1620">
      <pivotArea collapsedLevelsAreSubtotals="1" fieldPosition="0">
        <references count="3">
          <reference field="3" count="1" selected="0">
            <x v="1"/>
          </reference>
          <reference field="5" count="1" selected="0">
            <x v="1"/>
          </reference>
          <reference field="9" count="1">
            <x v="6"/>
          </reference>
        </references>
      </pivotArea>
    </format>
    <format dxfId="1619">
      <pivotArea collapsedLevelsAreSubtotals="1" fieldPosition="0">
        <references count="3">
          <reference field="3" count="1" selected="0">
            <x v="1"/>
          </reference>
          <reference field="5" count="1" selected="0">
            <x v="1"/>
          </reference>
          <reference field="9" count="1">
            <x v="7"/>
          </reference>
        </references>
      </pivotArea>
    </format>
    <format dxfId="1618">
      <pivotArea collapsedLevelsAreSubtotals="1" fieldPosition="0">
        <references count="3">
          <reference field="3" count="1" selected="0">
            <x v="1"/>
          </reference>
          <reference field="5" count="1" selected="0">
            <x v="1"/>
          </reference>
          <reference field="9" count="1">
            <x v="8"/>
          </reference>
        </references>
      </pivotArea>
    </format>
    <format dxfId="1617">
      <pivotArea collapsedLevelsAreSubtotals="1" fieldPosition="0">
        <references count="3">
          <reference field="3" count="1" selected="0">
            <x v="1"/>
          </reference>
          <reference field="5" count="1" selected="0">
            <x v="2"/>
          </reference>
          <reference field="9" count="1">
            <x v="9"/>
          </reference>
        </references>
      </pivotArea>
    </format>
    <format dxfId="1616">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615">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614">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61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612">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611">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610">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609">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60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607">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606">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605">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604">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60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602">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60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60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599">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59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59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59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595">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594">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59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59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59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59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58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58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58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58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58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58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58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58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58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58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57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57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57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57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57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57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57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572">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57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57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56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56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56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56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56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56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56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56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561">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560">
      <pivotArea collapsedLevelsAreSubtotals="1" fieldPosition="0">
        <references count="2">
          <reference field="3" count="1" selected="0">
            <x v="1"/>
          </reference>
          <reference field="5" count="1">
            <x v="1"/>
          </reference>
        </references>
      </pivotArea>
    </format>
    <format dxfId="1559">
      <pivotArea field="3" type="button" dataOnly="0" labelOnly="1" outline="0" axis="axisRow" fieldPosition="1"/>
    </format>
    <format dxfId="1558">
      <pivotArea collapsedLevelsAreSubtotals="1" fieldPosition="0">
        <references count="2">
          <reference field="3" count="1" selected="0">
            <x v="1"/>
          </reference>
          <reference field="5" count="1">
            <x v="2"/>
          </reference>
        </references>
      </pivotArea>
    </format>
    <format dxfId="1557">
      <pivotArea collapsedLevelsAreSubtotals="1" fieldPosition="0">
        <references count="2">
          <reference field="3" count="1" selected="0">
            <x v="0"/>
          </reference>
          <reference field="5" count="1">
            <x v="0"/>
          </reference>
        </references>
      </pivotArea>
    </format>
    <format dxfId="1556">
      <pivotArea field="3" type="button" dataOnly="0" labelOnly="1" outline="0" axis="axisRow" fieldPosition="1"/>
    </format>
    <format dxfId="1555">
      <pivotArea dataOnly="0" labelOnly="1" outline="0" fieldPosition="0">
        <references count="1">
          <reference field="4294967294" count="5">
            <x v="0"/>
            <x v="1"/>
            <x v="2"/>
            <x v="3"/>
            <x v="4"/>
          </reference>
        </references>
      </pivotArea>
    </format>
    <format dxfId="1554">
      <pivotArea field="3" type="button" dataOnly="0" labelOnly="1" outline="0" axis="axisRow" fieldPosition="1"/>
    </format>
    <format dxfId="1553">
      <pivotArea dataOnly="0" labelOnly="1" outline="0" fieldPosition="0">
        <references count="1">
          <reference field="4294967294" count="5">
            <x v="0"/>
            <x v="1"/>
            <x v="2"/>
            <x v="3"/>
            <x v="4"/>
          </reference>
        </references>
      </pivotArea>
    </format>
    <format dxfId="1552">
      <pivotArea field="3" type="button" dataOnly="0" labelOnly="1" outline="0" axis="axisRow" fieldPosition="1"/>
    </format>
    <format dxfId="1551">
      <pivotArea dataOnly="0" labelOnly="1" fieldPosition="0">
        <references count="1">
          <reference field="3" count="0"/>
        </references>
      </pivotArea>
    </format>
    <format dxfId="1550">
      <pivotArea dataOnly="0" labelOnly="1" grandRow="1" outline="0" fieldPosition="0"/>
    </format>
    <format dxfId="1549">
      <pivotArea dataOnly="0" labelOnly="1" fieldPosition="0">
        <references count="2">
          <reference field="3" count="1" selected="0">
            <x v="0"/>
          </reference>
          <reference field="5" count="1">
            <x v="0"/>
          </reference>
        </references>
      </pivotArea>
    </format>
    <format dxfId="1548">
      <pivotArea dataOnly="0" labelOnly="1" fieldPosition="0">
        <references count="2">
          <reference field="3" count="1" selected="0">
            <x v="1"/>
          </reference>
          <reference field="5" count="2">
            <x v="1"/>
            <x v="2"/>
          </reference>
        </references>
      </pivotArea>
    </format>
    <format dxfId="1547">
      <pivotArea dataOnly="0" labelOnly="1" fieldPosition="0">
        <references count="3">
          <reference field="3" count="1" selected="0">
            <x v="0"/>
          </reference>
          <reference field="5" count="1" selected="0">
            <x v="0"/>
          </reference>
          <reference field="9" count="1">
            <x v="0"/>
          </reference>
        </references>
      </pivotArea>
    </format>
    <format dxfId="1546">
      <pivotArea dataOnly="0" labelOnly="1" fieldPosition="0">
        <references count="3">
          <reference field="3" count="1" selected="0">
            <x v="1"/>
          </reference>
          <reference field="5" count="1" selected="0">
            <x v="1"/>
          </reference>
          <reference field="9" count="8">
            <x v="1"/>
            <x v="2"/>
            <x v="3"/>
            <x v="4"/>
            <x v="5"/>
            <x v="6"/>
            <x v="7"/>
            <x v="8"/>
          </reference>
        </references>
      </pivotArea>
    </format>
    <format dxfId="1545">
      <pivotArea dataOnly="0" labelOnly="1" fieldPosition="0">
        <references count="3">
          <reference field="3" count="1" selected="0">
            <x v="1"/>
          </reference>
          <reference field="5" count="1" selected="0">
            <x v="2"/>
          </reference>
          <reference field="9" count="1">
            <x v="9"/>
          </reference>
        </references>
      </pivotArea>
    </format>
    <format dxfId="154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54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54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54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54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53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53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53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53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53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53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53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53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53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53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52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52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52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52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52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52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52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52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52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52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519">
      <pivotArea dataOnly="0" labelOnly="1" fieldPosition="0">
        <references count="1">
          <reference field="13" count="0"/>
        </references>
      </pivotArea>
    </format>
    <format dxfId="1518">
      <pivotArea dataOnly="0" labelOnly="1" fieldPosition="0">
        <references count="1">
          <reference field="13" count="0"/>
        </references>
      </pivotArea>
    </format>
    <format dxfId="1517">
      <pivotArea type="all" dataOnly="0" outline="0" fieldPosition="0"/>
    </format>
    <format dxfId="1516">
      <pivotArea outline="0" collapsedLevelsAreSubtotals="1" fieldPosition="0"/>
    </format>
    <format dxfId="1515">
      <pivotArea field="32" type="button" dataOnly="0" labelOnly="1" outline="0" axis="axisRow" fieldPosition="0"/>
    </format>
    <format dxfId="1514">
      <pivotArea dataOnly="0" labelOnly="1" grandRow="1" outline="0" fieldPosition="0"/>
    </format>
    <format dxfId="1513">
      <pivotArea dataOnly="0" labelOnly="1" fieldPosition="0">
        <references count="2">
          <reference field="3" count="0"/>
          <reference field="32" count="0" selected="0"/>
        </references>
      </pivotArea>
    </format>
    <format dxfId="1512">
      <pivotArea dataOnly="0" labelOnly="1" fieldPosition="0">
        <references count="3">
          <reference field="3" count="1" selected="0">
            <x v="0"/>
          </reference>
          <reference field="5" count="1">
            <x v="0"/>
          </reference>
          <reference field="32" count="0" selected="0"/>
        </references>
      </pivotArea>
    </format>
    <format dxfId="1511">
      <pivotArea dataOnly="0" labelOnly="1" fieldPosition="0">
        <references count="3">
          <reference field="3" count="1" selected="0">
            <x v="1"/>
          </reference>
          <reference field="5" count="2">
            <x v="1"/>
            <x v="2"/>
          </reference>
          <reference field="32" count="0" selected="0"/>
        </references>
      </pivotArea>
    </format>
    <format dxfId="1510">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1509">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1508">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1507">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1506">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1505">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1504">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1503">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1502">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1501">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1500">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1499">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149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49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49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49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49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49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49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491">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149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48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48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48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48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485">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148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483">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1482">
      <pivotArea dataOnly="0" labelOnly="1" outline="0" fieldPosition="0">
        <references count="1">
          <reference field="4294967294" count="5">
            <x v="0"/>
            <x v="1"/>
            <x v="2"/>
            <x v="3"/>
            <x v="4"/>
          </reference>
        </references>
      </pivotArea>
    </format>
    <format dxfId="1481">
      <pivotArea dataOnly="0" labelOnly="1" fieldPosition="0">
        <references count="1">
          <reference field="33" count="0"/>
        </references>
      </pivotArea>
    </format>
    <format dxfId="1480">
      <pivotArea dataOnly="0" labelOnly="1" fieldPosition="0">
        <references count="1">
          <reference field="34" count="0"/>
        </references>
      </pivotArea>
    </format>
    <format dxfId="1479">
      <pivotArea dataOnly="0" labelOnly="1" fieldPosition="0">
        <references count="1">
          <reference field="34" count="0"/>
        </references>
      </pivotArea>
    </format>
    <format dxfId="1478">
      <pivotArea dataOnly="0" labelOnly="1" fieldPosition="0">
        <references count="1">
          <reference field="34" count="0"/>
        </references>
      </pivotArea>
    </format>
    <format dxfId="1477">
      <pivotArea dataOnly="0" labelOnly="1" fieldPosition="0">
        <references count="1">
          <reference field="34" count="0"/>
        </references>
      </pivotArea>
    </format>
    <format dxfId="1476">
      <pivotArea dataOnly="0" labelOnly="1" fieldPosition="0">
        <references count="1">
          <reference field="33" count="0"/>
        </references>
      </pivotArea>
    </format>
    <format dxfId="1475">
      <pivotArea dataOnly="0" labelOnly="1" fieldPosition="0">
        <references count="1">
          <reference field="33" count="0"/>
        </references>
      </pivotArea>
    </format>
    <format dxfId="1474">
      <pivotArea dataOnly="0" labelOnly="1" fieldPosition="0">
        <references count="1">
          <reference field="33" count="0"/>
        </references>
      </pivotArea>
    </format>
    <format dxfId="1473">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1472">
      <pivotArea dataOnly="0" labelOnly="1" fieldPosition="0">
        <references count="4">
          <reference field="3" count="1" selected="0">
            <x v="0"/>
          </reference>
          <reference field="5" count="1" selected="0">
            <x v="0"/>
          </reference>
          <reference field="32" count="0" selected="0"/>
          <reference field="33" count="1">
            <x v="0"/>
          </reference>
        </references>
      </pivotArea>
    </format>
    <format dxfId="1471">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1470">
      <pivotArea dataOnly="0" labelOnly="1" fieldPosition="0">
        <references count="4">
          <reference field="3" count="1" selected="0">
            <x v="0"/>
          </reference>
          <reference field="5" count="1" selected="0">
            <x v="0"/>
          </reference>
          <reference field="32" count="0" selected="0"/>
          <reference field="33" count="1">
            <x v="1"/>
          </reference>
        </references>
      </pivotArea>
    </format>
    <format dxfId="1469">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1468">
      <pivotArea dataOnly="0" labelOnly="1" fieldPosition="0">
        <references count="4">
          <reference field="3" count="1" selected="0">
            <x v="1"/>
          </reference>
          <reference field="5" count="1" selected="0">
            <x v="1"/>
          </reference>
          <reference field="32" count="0" selected="0"/>
          <reference field="33" count="1">
            <x v="0"/>
          </reference>
        </references>
      </pivotArea>
    </format>
    <format dxfId="1467">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1466">
      <pivotArea dataOnly="0" labelOnly="1" fieldPosition="0">
        <references count="4">
          <reference field="3" count="1" selected="0">
            <x v="1"/>
          </reference>
          <reference field="5" count="1" selected="0">
            <x v="1"/>
          </reference>
          <reference field="32" count="0" selected="0"/>
          <reference field="33" count="1">
            <x v="1"/>
          </reference>
        </references>
      </pivotArea>
    </format>
    <format dxfId="1465">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1464">
      <pivotArea dataOnly="0" labelOnly="1" fieldPosition="0">
        <references count="4">
          <reference field="3" count="1" selected="0">
            <x v="1"/>
          </reference>
          <reference field="5" count="1" selected="0">
            <x v="1"/>
          </reference>
          <reference field="32" count="0" selected="0"/>
          <reference field="33" count="1">
            <x v="2"/>
          </reference>
        </references>
      </pivotArea>
    </format>
    <format dxfId="1463">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1462">
      <pivotArea dataOnly="0" labelOnly="1" fieldPosition="0">
        <references count="4">
          <reference field="3" count="1" selected="0">
            <x v="1"/>
          </reference>
          <reference field="5" count="1" selected="0">
            <x v="1"/>
          </reference>
          <reference field="32" count="0" selected="0"/>
          <reference field="33" count="1">
            <x v="3"/>
          </reference>
        </references>
      </pivotArea>
    </format>
    <format dxfId="1461">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1460">
      <pivotArea dataOnly="0" labelOnly="1" fieldPosition="0">
        <references count="4">
          <reference field="3" count="1" selected="0">
            <x v="1"/>
          </reference>
          <reference field="5" count="1" selected="0">
            <x v="2"/>
          </reference>
          <reference field="32" count="0" selected="0"/>
          <reference field="33" count="1">
            <x v="2"/>
          </reference>
        </references>
      </pivotArea>
    </format>
    <format dxfId="1459">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458">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45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456">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455">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454">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45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452">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451">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450">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449">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448">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44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446">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445">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444">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44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442">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441">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440">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439">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438">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437">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436">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435">
      <pivotArea dataOnly="0" labelOnly="1" fieldPosition="0">
        <references count="1">
          <reference field="32" count="0"/>
        </references>
      </pivotArea>
    </format>
    <format dxfId="1434">
      <pivotArea collapsedLevelsAreSubtotals="1" fieldPosition="0">
        <references count="1">
          <reference field="32" count="0"/>
        </references>
      </pivotArea>
    </format>
    <format dxfId="1433">
      <pivotArea dataOnly="0" labelOnly="1" fieldPosition="0">
        <references count="1">
          <reference field="32" count="0"/>
        </references>
      </pivotArea>
    </format>
    <format dxfId="1432">
      <pivotArea dataOnly="0" labelOnly="1" fieldPosition="0">
        <references count="1">
          <reference field="13" count="0"/>
        </references>
      </pivotArea>
    </format>
    <format dxfId="143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43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42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42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42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42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425">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42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42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42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42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42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419">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41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41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4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41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4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41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4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41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4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40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40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40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40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405">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40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40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40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40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40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39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39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39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39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39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39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39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39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39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39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38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38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38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38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38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38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38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38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3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3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37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3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37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3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37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37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37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3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37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37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36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36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36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36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36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36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36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36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361">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36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35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35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35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35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35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35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35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35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351">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35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349">
      <pivotArea dataOnly="0" labelOnly="1" fieldPosition="0">
        <references count="1">
          <reference field="11" count="0"/>
        </references>
      </pivotArea>
    </format>
    <format dxfId="1348">
      <pivotArea dataOnly="0" labelOnly="1" fieldPosition="0">
        <references count="1">
          <reference field="11" count="0"/>
        </references>
      </pivotArea>
    </format>
    <format dxfId="1347">
      <pivotArea dataOnly="0" labelOnly="1" fieldPosition="0">
        <references count="1">
          <reference field="13" count="0"/>
        </references>
      </pivotArea>
    </format>
    <format dxfId="1346">
      <pivotArea dataOnly="0" labelOnly="1" fieldPosition="0">
        <references count="1">
          <reference field="13" count="0"/>
        </references>
      </pivotArea>
    </format>
    <format dxfId="1345">
      <pivotArea dataOnly="0" labelOnly="1" fieldPosition="0">
        <references count="1">
          <reference field="34" count="0"/>
        </references>
      </pivotArea>
    </format>
    <format dxfId="1344">
      <pivotArea dataOnly="0" labelOnly="1" fieldPosition="0">
        <references count="1">
          <reference field="34" count="0"/>
        </references>
      </pivotArea>
    </format>
    <format dxfId="13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0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30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30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30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30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30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30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130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130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129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129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1297">
      <pivotArea dataOnly="0" labelOnly="1" fieldPosition="0">
        <references count="1">
          <reference field="11" count="0"/>
        </references>
      </pivotArea>
    </format>
    <format dxfId="129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9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94">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9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92">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9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90">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8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8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8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8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8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8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8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82">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8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80">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79">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7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7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7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7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74">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7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72">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7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7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6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6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6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6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65">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64">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6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62">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6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6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5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5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5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5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5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5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5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5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5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5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4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4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4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4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4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4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4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4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4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4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3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3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3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3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3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3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3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3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3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3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2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2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2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2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2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24">
      <pivotArea outline="0" collapsedLevelsAreSubtotals="1" fieldPosition="0"/>
    </format>
    <format dxfId="6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6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6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223">
      <pivotArea outline="0" collapsedLevelsAreSubtotals="1" fieldPosition="0"/>
    </format>
    <format dxfId="1222">
      <pivotArea type="all" dataOnly="0" outline="0" fieldPosition="0"/>
    </format>
    <format dxfId="1221">
      <pivotArea outline="0" collapsedLevelsAreSubtotals="1" fieldPosition="0"/>
    </format>
    <format dxfId="1220">
      <pivotArea field="30" type="button" dataOnly="0" labelOnly="1" outline="0" axis="axisRow" fieldPosition="0"/>
    </format>
    <format dxfId="1219">
      <pivotArea dataOnly="0" labelOnly="1" grandRow="1" outline="0" fieldPosition="0"/>
    </format>
    <format dxfId="1218">
      <pivotArea dataOnly="0" labelOnly="1" outline="0" fieldPosition="0">
        <references count="1">
          <reference field="4294967294" count="4">
            <x v="0"/>
            <x v="1"/>
            <x v="2"/>
            <x v="3"/>
          </reference>
        </references>
      </pivotArea>
    </format>
    <format dxfId="1217">
      <pivotArea dataOnly="0" labelOnly="1" fieldPosition="0">
        <references count="1">
          <reference field="30" count="0"/>
        </references>
      </pivotArea>
    </format>
    <format dxfId="1216">
      <pivotArea collapsedLevelsAreSubtotals="1" fieldPosition="0">
        <references count="1">
          <reference field="30" count="1">
            <x v="0"/>
          </reference>
        </references>
      </pivotArea>
    </format>
    <format dxfId="1215">
      <pivotArea dataOnly="0" labelOnly="1" fieldPosition="0">
        <references count="1">
          <reference field="30" count="1">
            <x v="0"/>
          </reference>
        </references>
      </pivotArea>
    </format>
    <format dxfId="1214">
      <pivotArea collapsedLevelsAreSubtotals="1" fieldPosition="0">
        <references count="1">
          <reference field="30" count="1">
            <x v="1"/>
          </reference>
        </references>
      </pivotArea>
    </format>
    <format dxfId="1213">
      <pivotArea dataOnly="0" labelOnly="1" fieldPosition="0">
        <references count="1">
          <reference field="30" count="1">
            <x v="1"/>
          </reference>
        </references>
      </pivotArea>
    </format>
    <format dxfId="1212">
      <pivotArea collapsedLevelsAreSubtotals="1" fieldPosition="0">
        <references count="1">
          <reference field="30" count="1">
            <x v="2"/>
          </reference>
        </references>
      </pivotArea>
    </format>
    <format dxfId="1211">
      <pivotArea dataOnly="0" labelOnly="1" fieldPosition="0">
        <references count="1">
          <reference field="30" count="1">
            <x v="2"/>
          </reference>
        </references>
      </pivotArea>
    </format>
    <format dxfId="1210">
      <pivotArea collapsedLevelsAreSubtotals="1" fieldPosition="0">
        <references count="1">
          <reference field="30" count="1">
            <x v="3"/>
          </reference>
        </references>
      </pivotArea>
    </format>
    <format dxfId="1209">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745">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744">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743">
      <calculatedColumnFormula>_xlfn.TEXTJOIN(" - ",TRUE,Subkoord[[#This Row],[id]],Subkoord[[#This Row],[skrdklpk]])</calculatedColumnFormula>
    </tableColumn>
    <tableColumn id="7" xr3:uid="{BB0E08D1-7433-45E1-9A8E-F09478BEE345}" name="Koordinator" dataDxfId="1742">
      <calculatedColumnFormula array="1">INDEX(Koord[Koordinator],MATCH(1,(Subkoord[[#This Row],[id2]]=Koord[id2])*(Subkoord[[#This Row],[id3]]=Koord[id]),0))</calculatedColumnFormula>
    </tableColumn>
    <tableColumn id="8" xr3:uid="{CE9A8D26-5115-4AB0-A0D6-173532BAC073}" name="Eselon2" dataDxfId="1741">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1" totalsRowShown="0" headerRowDxfId="1740" dataDxfId="1739" tableBorderDxfId="1738">
  <autoFilter ref="B10:O171" xr:uid="{5439E600-4AE6-4A9C-BF96-1F8B4649EF5E}"/>
  <sortState xmlns:xlrd2="http://schemas.microsoft.com/office/spreadsheetml/2017/richdata2" ref="B16:O171">
    <sortCondition ref="C10:C171"/>
  </sortState>
  <tableColumns count="14">
    <tableColumn id="1" xr3:uid="{EA3EA993-E9B8-4175-AE78-56C2DE826084}" name="No" dataDxfId="1737" totalsRowDxfId="1736" dataCellStyle="Normal 4" totalsRowCellStyle="Normal 4"/>
    <tableColumn id="14" xr3:uid="{39BE1E11-4C0D-43C9-A7CF-CFD7B6D88EC1}" name="Urut" dataDxfId="1735" totalsRowDxfId="1734" dataCellStyle="Normal 4" totalsRowCellStyle="Normal 4"/>
    <tableColumn id="2" xr3:uid="{55765DF9-9B2D-49B2-8C10-51C6F4795A2B}" name="Nomor SP2D" dataDxfId="1733" totalsRowDxfId="1732" totalsRowCellStyle="Normal 4"/>
    <tableColumn id="3" xr3:uid="{95F2A4A6-178D-4D09-BEC2-A35DA9DD284C}" name="Tanggal SP2D" dataDxfId="1731" totalsRowDxfId="1730" totalsRowCellStyle="Normal 4"/>
    <tableColumn id="4" xr3:uid="{1BFC6E15-B107-44FC-880F-0FA398A70437}" name="Nilai SP2D" dataDxfId="1729" totalsRowDxfId="1728" dataCellStyle="Comma [0]" totalsRowCellStyle="Comma [0]"/>
    <tableColumn id="5" xr3:uid="{BA79B4B6-6D4D-4C40-A794-FBA956D546A8}" name="Jenis SPM" dataDxfId="1727" totalsRowDxfId="1726" totalsRowCellStyle="Normal 4"/>
    <tableColumn id="6" xr3:uid="{0728F6B3-877B-4801-849D-78A7FD394756}" name="Nomor Invoice" dataDxfId="1725" totalsRowDxfId="1724" totalsRowCellStyle="Normal 4"/>
    <tableColumn id="7" xr3:uid="{BC8C9A9E-906E-4F73-AA7C-36C21228DCD0}" name="Tanggal Invoice" dataDxfId="1723" totalsRowDxfId="1722" totalsRowCellStyle="Normal 4"/>
    <tableColumn id="8" xr3:uid="{4F370E97-CC92-41D4-B70A-C2C397F13E5F}" name="Jenis SP2D" dataDxfId="1721" totalsRowDxfId="1720" totalsRowCellStyle="Normal 4"/>
    <tableColumn id="9" xr3:uid="{5AB0F2BB-729E-4A36-99C2-531506F2E0D4}" name="Deskripsi" dataDxfId="1719" totalsRowDxfId="1718" totalsRowCellStyle="Normal 4"/>
    <tableColumn id="10" xr3:uid="{E9855FB4-726E-4E0F-A40E-89C5AF4CAAE7}" name="Bagian / Bidang" dataDxfId="1717" totalsRowDxfId="1716" dataCellStyle="Normal 4" totalsRowCellStyle="Normal 4"/>
    <tableColumn id="11" xr3:uid="{07CEE088-AC9A-406D-AECA-D9F23626D4D5}" name="Subbagian / Subbidang" dataDxfId="1715" totalsRowDxfId="1714" dataCellStyle="Normal 4" totalsRowCellStyle="Normal 4"/>
    <tableColumn id="13" xr3:uid="{7D701C80-B1AD-4D78-B3C3-525A71261916}" name="Status Realisasi" dataDxfId="1713" dataCellStyle="Normal 4"/>
    <tableColumn id="12" xr3:uid="{BE916C21-2F59-4DE9-9BDF-707A1C1956B2}" name="all" dataDxfId="171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208" dataDxfId="1207">
  <autoFilter ref="A3:BA143" xr:uid="{0C46C9EE-53F2-428C-9BE4-AA19FA2987DF}"/>
  <tableColumns count="53">
    <tableColumn id="1" xr3:uid="{A2BC3788-B1CE-4A3F-B6F3-D1D27F201210}" name="kddept" dataDxfId="1206"/>
    <tableColumn id="2" xr3:uid="{2DB0BCF7-353A-4057-BFD0-5A9AFD7AD377}" name="kdunit" dataDxfId="1205"/>
    <tableColumn id="3" xr3:uid="{6BCC3689-465C-41AB-AA41-B61148952378}" name="kdprogram" dataDxfId="1204"/>
    <tableColumn id="4" xr3:uid="{2A5A7B58-839E-4216-A115-BA31451747CC}" name="Program" dataDxfId="1203"/>
    <tableColumn id="5" xr3:uid="{B90B5CFD-D8F4-48C4-81DF-60CCA43D8B33}" name="kdgiat" dataDxfId="1202"/>
    <tableColumn id="6" xr3:uid="{665306DE-5004-4796-BA54-AF3E581B23DE}" name="Kegiatan" dataDxfId="1201"/>
    <tableColumn id="7" xr3:uid="{896282BA-49FB-4172-920C-20AE0DBD436D}" name="kdoutput" dataDxfId="1200"/>
    <tableColumn id="8" xr3:uid="{81ACE6BC-C81E-44B5-AC16-FA7339E6C95D}" name="Output" dataDxfId="1199"/>
    <tableColumn id="9" xr3:uid="{B9A79FBA-908D-418C-864B-733536EBB6AD}" name="kdsoutput" dataDxfId="1198"/>
    <tableColumn id="10" xr3:uid="{8730A0E5-24CD-4DD0-97C9-7EB5897F6937}" name="SubOutput" dataDxfId="1197"/>
    <tableColumn id="11" xr3:uid="{A1213678-0772-43DE-9A68-4CCAC2CAB97F}" name="kdkmpnen" dataDxfId="1196"/>
    <tableColumn id="12" xr3:uid="{13F01672-806F-47CD-8E7B-DBEF02211C49}" name="Komponen" dataDxfId="1195"/>
    <tableColumn id="13" xr3:uid="{EE24777D-4C50-49CF-9D51-B1D10E6B59C5}" name="kdskmpnen" dataDxfId="1194"/>
    <tableColumn id="14" xr3:uid="{6B16732C-65AB-40BC-9BE7-38F27B545CA4}" name="SubKomponen" dataDxfId="1193"/>
    <tableColumn id="15" xr3:uid="{9DE11426-CAD6-4307-AF79-5BA31FE425C4}" name="kdakun" dataDxfId="1192"/>
    <tableColumn id="16" xr3:uid="{95D2AD80-8C0A-4582-9C73-FCD7148568BD}" name="Akun" dataDxfId="1191"/>
    <tableColumn id="17" xr3:uid="{1099A73B-6EFE-4758-9112-C98BE9AF6233}" name="Pagu" dataDxfId="1190" dataCellStyle="Comma [0]">
      <calculatedColumnFormula array="1">SUM(_xlfn._xlws.FILTER(DIPA2[PaguRevisi],DIPA2[Akun]=SP2D[[#This Row],[Kode Akun]],0))</calculatedColumnFormula>
    </tableColumn>
    <tableColumn id="18" xr3:uid="{F5761B11-9E81-4F7C-BD95-CB52A5BA049C}" name="Pagu Semula" dataDxfId="1189" dataCellStyle="Comma [0]"/>
    <tableColumn id="52" xr3:uid="{756AF1CD-7E6D-49D5-9982-55502306D24E}" name="Blokir AA ke 1" dataDxfId="1188" dataCellStyle="Comma [0]"/>
    <tableColumn id="53" xr3:uid="{6DF30DE6-28F7-4458-802A-BCB387ECC2BB}" name="Blokir AA ke 2" dataDxfId="1187" dataCellStyle="Comma [0]">
      <calculatedColumnFormula>SP2D[[#This Row],[Pagu Semula]]-SP2D[[#This Row],[Pagu]]</calculatedColumnFormula>
    </tableColumn>
    <tableColumn id="19" xr3:uid="{D85464D1-34A4-4D62-B202-AA5B44380AE8}" name="Jan" dataDxfId="1186">
      <calculatedColumnFormula>SUM('PER BULAN'!J92:L92)</calculatedColumnFormula>
    </tableColumn>
    <tableColumn id="20" xr3:uid="{59AFB7C3-9561-4F72-BA75-233CA8574E0E}" name="Feb" dataDxfId="1185"/>
    <tableColumn id="21" xr3:uid="{339941D9-EB6A-4D9E-AAFD-8BC87914D9CD}" name="Mar" dataDxfId="1184"/>
    <tableColumn id="22" xr3:uid="{4DB8271D-A562-4BDB-AF86-6803F5A0D6B6}" name="Apr" dataDxfId="1183"/>
    <tableColumn id="23" xr3:uid="{A6296B83-2C3A-4B7B-B349-C7B81EF82E20}" name="Mei" dataDxfId="1182"/>
    <tableColumn id="24" xr3:uid="{E35B9BB8-2C59-4938-BD17-AB6DA6D49836}" name="Jun" dataDxfId="1181"/>
    <tableColumn id="25" xr3:uid="{0B56CE2F-22F5-4935-B179-82B908FFA45C}" name="Jul" dataDxfId="1180"/>
    <tableColumn id="26" xr3:uid="{C5C2C340-1544-4521-9059-33AEBE3423A8}" name="Ags" dataDxfId="1179"/>
    <tableColumn id="27" xr3:uid="{86511B91-6FBB-44C6-BFE0-FC75035E6D40}" name="Sep" dataDxfId="1178"/>
    <tableColumn id="28" xr3:uid="{2C0763CA-B0D1-4434-BD74-3778A7A332E6}" name="Okt" dataDxfId="1177"/>
    <tableColumn id="29" xr3:uid="{1D2AE206-2433-4713-B023-179D69FA3E25}" name="Nov" dataDxfId="1176"/>
    <tableColumn id="30" xr3:uid="{C1E5584B-01F1-4175-8FA8-D285D3701F44}" name="Des" dataDxfId="1175"/>
    <tableColumn id="31" xr3:uid="{3BEE2055-AE9D-40FE-AE62-8E331B1816BF}" name="eselon2" dataDxfId="1174"/>
    <tableColumn id="32" xr3:uid="{A002471B-4101-4577-BC3A-704405B733FB}" name="koordinator" dataDxfId="1173"/>
    <tableColumn id="33" xr3:uid="{D023DF90-D6C9-428C-971B-7DDF8C7D5F03}" name="Subkoordinator" dataDxfId="1172"/>
    <tableColumn id="34" xr3:uid="{FE48F7A1-0956-4644-89C0-EA36C183F595}" name="Jns_Belanja" dataDxfId="1171"/>
    <tableColumn id="35" xr3:uid="{BE3FC102-4A2C-4D3D-B515-5052A70FFDEB}" name="satker" dataDxfId="1170"/>
    <tableColumn id="36" xr3:uid="{C44DBFA7-2D15-465C-8D00-F06B638B5ED4}" name="Realisasi" dataDxfId="1169" dataCellStyle="Comma [0]">
      <calculatedColumnFormula>SUM(U4:AF4)</calculatedColumnFormula>
    </tableColumn>
    <tableColumn id="37" xr3:uid="{DE361282-2992-4D2B-992E-4096AF6D8E40}" name="Real %" dataDxfId="1168">
      <calculatedColumnFormula>IFERROR(AL4/Q4*100,0)</calculatedColumnFormula>
    </tableColumn>
    <tableColumn id="38" xr3:uid="{EEF961EF-FF6A-40D5-A0B6-ED634EBADFBC}" name="Sisa" dataDxfId="1167" dataCellStyle="Comma [0]">
      <calculatedColumnFormula>Q4-AL4</calculatedColumnFormula>
    </tableColumn>
    <tableColumn id="39" xr3:uid="{85643851-7A65-42C2-A08E-B6A7A8DA03F0}" name="Real %2" dataDxfId="1166">
      <calculatedColumnFormula>IFERROR(AN4/Q4*100,0)</calculatedColumnFormula>
    </tableColumn>
    <tableColumn id="40" xr3:uid="{9E4F31F6-8A80-4410-976A-8EEA7368EA20}" name="Kode Akun" dataDxfId="1165">
      <calculatedColumnFormula>_xlfn.TEXTJOIN(".",TRUE,C4,E4,G4,I4,K4,M4,O4)</calculatedColumnFormula>
    </tableColumn>
    <tableColumn id="41" xr3:uid="{0FDDBC90-1CC8-4C07-8122-50D2362EF739}" name="Status Covid" dataDxfId="1164">
      <calculatedColumnFormula>IF(ISNUMBER(SEARCH("COVID",SP2D[[#This Row],[Akun]])),"COVID","Non COVID")</calculatedColumnFormula>
    </tableColumn>
    <tableColumn id="42" xr3:uid="{3D9BDB80-A0C7-4422-BA12-733AF91AF0E5}" name="Status Realisasi" dataDxfId="1163">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162">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161"/>
    <tableColumn id="45" xr3:uid="{4B827D21-BED7-493A-98C2-BF92D20ACB6E}" name="TUP 1" dataDxfId="1160"/>
    <tableColumn id="46" xr3:uid="{1A108E85-F9A8-4C5A-B9B2-E8E733C3D3EB}" name="GUP 2" dataDxfId="1159"/>
    <tableColumn id="47" xr3:uid="{197D7FA7-EA56-478F-AC63-0B5D47D9765B}" name="GUP 3" dataDxfId="1158"/>
    <tableColumn id="48" xr3:uid="{4614C9FA-2AB0-4D2D-AA55-13680C8EE8C5}" name="GUP 4" dataDxfId="1157"/>
    <tableColumn id="49" xr3:uid="{9B9C7D3C-BD3B-413C-9633-5B1476894793}" name="GUP 5" dataDxfId="1156"/>
    <tableColumn id="50" xr3:uid="{7F81D278-F155-4728-BD7E-4DD553D05EAC}" name="TUP 2 (1)" dataDxfId="1155"/>
    <tableColumn id="51" xr3:uid="{40F6E74E-B62F-4684-A934-E1FBCD0EDECE}" name="TUP 2 (2)" dataDxfId="11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53" dataDxfId="1152">
  <autoFilter ref="A3:BA15" xr:uid="{0218787B-FAFB-4E31-BAF7-C07090CCABB5}"/>
  <tableColumns count="53">
    <tableColumn id="1" xr3:uid="{80105D8C-B6CC-4C67-A0D5-A51108634790}" name="kddept" dataDxfId="1151"/>
    <tableColumn id="2" xr3:uid="{79F788C4-BE24-4442-B4A5-787846FC3242}" name="kdunit" dataDxfId="1150"/>
    <tableColumn id="3" xr3:uid="{F5607343-B1C5-442F-9F62-66DAB70DF978}" name="kdprogram" dataDxfId="1149"/>
    <tableColumn id="4" xr3:uid="{67275D4D-383A-492A-9FB0-586605819489}" name="Program" dataDxfId="1148"/>
    <tableColumn id="5" xr3:uid="{7E089115-5279-4639-B5C8-B5B142691A5E}" name="kdgiat" dataDxfId="1147"/>
    <tableColumn id="6" xr3:uid="{86B452FA-0999-4C13-97B6-34303305E62C}" name="Kegiatan" dataDxfId="1146"/>
    <tableColumn id="7" xr3:uid="{098073A3-0D75-44F5-98F3-9D58ABD0F494}" name="kdoutput" dataDxfId="1145"/>
    <tableColumn id="8" xr3:uid="{DD29FD42-F6B4-48DB-ABD5-0B9035D7350B}" name="Output" dataDxfId="1144"/>
    <tableColumn id="9" xr3:uid="{DD7BECAC-0FA2-4D83-AFED-EA1423BBAE3B}" name="kdsoutput" dataDxfId="1143"/>
    <tableColumn id="10" xr3:uid="{41EDA2EB-4FE5-485A-9A85-BC1CF6F808E6}" name="SubOutput" dataDxfId="1142"/>
    <tableColumn id="11" xr3:uid="{0C0092F1-3B9A-4262-87F2-DF8809ADB48A}" name="kdkmpnen" dataDxfId="1141"/>
    <tableColumn id="12" xr3:uid="{7F02E6EE-4073-428C-A01E-C7F9404E22AB}" name="Komponen" dataDxfId="1140"/>
    <tableColumn id="13" xr3:uid="{D5E22675-8A73-40C8-BA6D-4D22AD4BD880}" name="kdskmpnen" dataDxfId="1139"/>
    <tableColumn id="14" xr3:uid="{21C5F2BB-4B18-41F3-8B47-CA7C999E1D95}" name="SubKomponen" dataDxfId="1138"/>
    <tableColumn id="15" xr3:uid="{7EF6CEAB-DE31-4DEA-B8DF-BDD5AD5C3604}" name="kdakun" dataDxfId="1137"/>
    <tableColumn id="16" xr3:uid="{897A6630-15AA-4E92-AF17-989B50249F0B}" name="Akun" dataDxfId="1136"/>
    <tableColumn id="17" xr3:uid="{F469B670-C97B-4C45-BFA1-11EC2F3BBE30}" name="Pagu" dataDxfId="1135" dataCellStyle="Comma [0]">
      <calculatedColumnFormula array="1">SUM(_xlfn._xlws.FILTER(DIPA2[PaguRevisi],DIPA2[Akun]=SP2D_GAJI[[#This Row],[Kode Akun]],0))</calculatedColumnFormula>
    </tableColumn>
    <tableColumn id="18" xr3:uid="{331F462C-70B7-43E1-8F2C-778E95ACAEA1}" name="Pagu Semula" dataDxfId="1134" dataCellStyle="Comma [0]"/>
    <tableColumn id="52" xr3:uid="{2F016D06-D133-47D7-B695-4667F3490729}" name="Blokir AA ke 1" dataDxfId="1133" dataCellStyle="Comma [0]"/>
    <tableColumn id="53" xr3:uid="{165EF6BA-1776-4571-B8AD-920C3A030766}" name="Blokir AA ke 2" dataDxfId="1132" dataCellStyle="Comma [0]"/>
    <tableColumn id="19" xr3:uid="{D0C2276A-7026-4576-85D7-919441521A6C}" name="Jan" dataDxfId="1131">
      <calculatedColumnFormula>SUM('PER BULAN'!J238:L238)</calculatedColumnFormula>
    </tableColumn>
    <tableColumn id="20" xr3:uid="{A9EF8502-8C6E-4766-AD68-658B4D1E747D}" name="Feb" dataDxfId="1130">
      <calculatedColumnFormula>SUM('PER BULAN'!M238:O238)</calculatedColumnFormula>
    </tableColumn>
    <tableColumn id="21" xr3:uid="{746DC00C-C89E-4DDA-BBC9-1D134830D029}" name="Mar" dataDxfId="1129">
      <calculatedColumnFormula>SUM('PER BULAN'!P238:R238)</calculatedColumnFormula>
    </tableColumn>
    <tableColumn id="22" xr3:uid="{05F5FC17-0CBB-4151-889F-60CFCD7C34DD}" name="Apr" dataDxfId="1128">
      <calculatedColumnFormula>SUM('PER BULAN'!S238:U238)</calculatedColumnFormula>
    </tableColumn>
    <tableColumn id="23" xr3:uid="{C42FB8F4-7097-4474-A778-F18CBF2B07B1}" name="Mei" dataDxfId="1127">
      <calculatedColumnFormula>SUM('PER BULAN'!V238:X238)</calculatedColumnFormula>
    </tableColumn>
    <tableColumn id="24" xr3:uid="{F4454E89-E22D-410A-82EB-5F0DC627F170}" name="Jun" dataDxfId="1126">
      <calculatedColumnFormula>SUM('PER BULAN'!Y238:AA238)</calculatedColumnFormula>
    </tableColumn>
    <tableColumn id="25" xr3:uid="{2AA6CCE9-FDEE-48C4-8B21-D75DF41DA271}" name="Jul" dataDxfId="1125">
      <calculatedColumnFormula>SUM('PER BULAN'!AB238:AD238)</calculatedColumnFormula>
    </tableColumn>
    <tableColumn id="26" xr3:uid="{7FACB806-C5A3-48BA-9D07-F51AF74D0E09}" name="Ags" dataDxfId="1124">
      <calculatedColumnFormula>SUM('PER BULAN'!AE238:AG238)</calculatedColumnFormula>
    </tableColumn>
    <tableColumn id="27" xr3:uid="{C4B9A446-705C-463E-B7DA-7A0740B8C905}" name="Sep" dataDxfId="1123">
      <calculatedColumnFormula>SUM('PER BULAN'!AH238:AJ238)</calculatedColumnFormula>
    </tableColumn>
    <tableColumn id="28" xr3:uid="{5AAFBEBC-03FC-4E4A-83F9-E67BEB3D5981}" name="Okt" dataDxfId="1122">
      <calculatedColumnFormula>SUM('PER BULAN'!AK238:AM238)</calculatedColumnFormula>
    </tableColumn>
    <tableColumn id="29" xr3:uid="{4906B5CD-CEE5-4A98-B22E-AC637B561A64}" name="Nov" dataDxfId="1121">
      <calculatedColumnFormula>SUM('PER BULAN'!AN238:AP238)</calculatedColumnFormula>
    </tableColumn>
    <tableColumn id="30" xr3:uid="{CE67CAFB-1501-4D81-9EF9-85B2D20132C0}" name="Des" dataDxfId="1120">
      <calculatedColumnFormula>SUM('PER BULAN'!AQ238:AS238)</calculatedColumnFormula>
    </tableColumn>
    <tableColumn id="31" xr3:uid="{68D2BC5B-AA42-4205-92C2-22EE6E2A455F}" name="eselon2" dataDxfId="1119"/>
    <tableColumn id="32" xr3:uid="{BA84A518-BE39-4F09-B013-2F165F75B2C4}" name="koordinator" dataDxfId="1118"/>
    <tableColumn id="33" xr3:uid="{056A603E-AF28-4BB5-BFC3-BCB9B9C999CA}" name="Subkoordinator" dataDxfId="1117"/>
    <tableColumn id="34" xr3:uid="{D4673DE9-E399-427A-A7FA-55224584489E}" name="Jns_Belanja" dataDxfId="1116"/>
    <tableColumn id="35" xr3:uid="{A8855799-45D2-43E8-83A2-AA11614A2AB5}" name="satker" dataDxfId="1115"/>
    <tableColumn id="36" xr3:uid="{7FE40A5B-7697-4CF3-B532-E8DEA6942EA1}" name="Realisasi" dataDxfId="1114" dataCellStyle="Comma [0]">
      <calculatedColumnFormula>SUM(U4:AF4)</calculatedColumnFormula>
    </tableColumn>
    <tableColumn id="37" xr3:uid="{485221C0-0D00-438E-BDE5-343CD7B9DEA0}" name="Real %" dataDxfId="1113">
      <calculatedColumnFormula>IFERROR(AL4/Q4*100,0)</calculatedColumnFormula>
    </tableColumn>
    <tableColumn id="38" xr3:uid="{8B93FCA3-495B-49BB-8273-31AF01368B83}" name="Sisa" dataDxfId="1112" dataCellStyle="Comma [0]">
      <calculatedColumnFormula>Q4-AL4</calculatedColumnFormula>
    </tableColumn>
    <tableColumn id="39" xr3:uid="{E92777FB-21B0-4FEC-B74B-99E5CBE0B3F9}" name="Real %2" dataDxfId="1111">
      <calculatedColumnFormula>IFERROR(AN4/Q4*100,0)</calculatedColumnFormula>
    </tableColumn>
    <tableColumn id="40" xr3:uid="{AF8769F5-B4D9-4C85-9DA8-FD27BDBB1A6C}" name="Kode Akun" dataDxfId="1110">
      <calculatedColumnFormula>_xlfn.TEXTJOIN(".",TRUE,C4,E4,G4,I4,K4,M4,O4)</calculatedColumnFormula>
    </tableColumn>
    <tableColumn id="41" xr3:uid="{3D3B549A-EABA-490D-9DA6-37523724BE61}" name="Status Covid" dataDxfId="1109">
      <calculatedColumnFormula>IF(ISNUMBER(SEARCH("COVID",SP2D_GAJI[[#This Row],[Akun]])),"COVID","Non COVID")</calculatedColumnFormula>
    </tableColumn>
    <tableColumn id="42" xr3:uid="{184FBB69-68B1-4E38-891F-51917E4DC587}" name="Status Realisasi" dataDxfId="1108">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07">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06"/>
    <tableColumn id="45" xr3:uid="{9C1934D8-99CF-4988-9800-1BFA557120E5}" name="TUP 1" dataDxfId="1105"/>
    <tableColumn id="46" xr3:uid="{A4CF8F3D-CD3D-44F3-9820-88903E09EF80}" name="GUP 2" dataDxfId="1104"/>
    <tableColumn id="47" xr3:uid="{099E42CD-67D0-44DB-B845-55EC12EB7D6E}" name="GUP 3" dataDxfId="1103"/>
    <tableColumn id="48" xr3:uid="{B5E0BACE-F6DB-4087-90C7-B2D17ED966B6}" name="GUP 4" dataDxfId="1102"/>
    <tableColumn id="49" xr3:uid="{BDAA27ED-0F52-48FE-B061-0279E351DC40}" name="GUP 5" dataDxfId="1101"/>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100" headerRowBorderDxfId="1099" tableBorderDxfId="1098">
  <autoFilter ref="B234:BH250" xr:uid="{A3F03F6D-6A59-461B-A929-C35C787407F3}"/>
  <tableColumns count="59">
    <tableColumn id="1" xr3:uid="{006731C9-F32D-4A40-8CDB-A1548E10C0D4}" name="KODE" dataDxfId="1097"/>
    <tableColumn id="2" xr3:uid="{A9307D7A-2701-4752-B274-B25BEF4C5078}" name="URAIAN" dataDxfId="1096"/>
    <tableColumn id="3" xr3:uid="{FCCF3154-C285-471C-AC86-6DCF2BB5907D}" name="VOL" dataDxfId="1095"/>
    <tableColumn id="4" xr3:uid="{C6A127B2-6CDD-4E0C-AF9D-730F6DDD09BC}" name="SATUAN" dataDxfId="1094"/>
    <tableColumn id="5" xr3:uid="{3F90CE26-DF36-4D37-9C47-12A1CEB8D773}" name="Pagu Revisi" dataDxfId="1093" dataCellStyle="Comma [0]"/>
    <tableColumn id="6" xr3:uid="{A2F11568-8A8E-4AFC-9F99-BFB17EAEEC9C}" name="Pagu Semula" dataDxfId="1092" dataCellStyle="Comma [0]"/>
    <tableColumn id="7" xr3:uid="{B7EE8BCB-D0ED-4450-8EBB-6FD673560D7C}" name="Blokir AA ke 1" dataDxfId="1091" dataCellStyle="Comma [0]"/>
    <tableColumn id="8" xr3:uid="{9EDAF3A8-6D97-400A-848D-D47BF571F43E}" name="Blokir AA ke 2" dataDxfId="1090" dataCellStyle="Comma [0]">
      <calculatedColumnFormula>G235-F235</calculatedColumnFormula>
    </tableColumn>
    <tableColumn id="9" xr3:uid="{63315451-3A2B-4613-A63E-C9450FC73D6C}" name="JANUARI" dataDxfId="1089" dataCellStyle="Comma [0]"/>
    <tableColumn id="10" xr3:uid="{16EC35FF-13CF-4870-920C-AAB913E770C7}" name="Column4" dataDxfId="1088" dataCellStyle="Comma [0]"/>
    <tableColumn id="11" xr3:uid="{729D99E3-0A52-4B2E-A9C0-DE02E05ED840}" name="Column5" dataDxfId="1087" dataCellStyle="Comma [0]"/>
    <tableColumn id="12" xr3:uid="{AB374DB6-7598-4C30-A85F-F63F132B7BA1}" name="FEBRUARI" dataDxfId="1086" dataCellStyle="Normal 5"/>
    <tableColumn id="13" xr3:uid="{2D1151EC-AD11-4F11-9D1D-698FBA569F26}" name="Column6" dataDxfId="1085" dataCellStyle="Comma [0]"/>
    <tableColumn id="14" xr3:uid="{C25F446B-37CA-4C46-8DE3-5CBDF83F99DF}" name="Column7" dataDxfId="1084" dataCellStyle="Comma [0]"/>
    <tableColumn id="15" xr3:uid="{2B771376-C41A-4F53-BC5F-03146D6453D2}" name="MARET" dataDxfId="1083" dataCellStyle="Normal 5"/>
    <tableColumn id="16" xr3:uid="{26AE15C1-AF2B-46A7-ADBC-F20B8677DE0D}" name="Column8" dataDxfId="1082" dataCellStyle="Comma [0]"/>
    <tableColumn id="17" xr3:uid="{DFBDA772-EF7F-41E6-9DFB-E477C75E4388}" name="Column9" dataDxfId="1081" dataCellStyle="Comma [0]"/>
    <tableColumn id="18" xr3:uid="{041FDBBB-13D6-40FC-B497-A1E84A4034E8}" name="APRIL" dataDxfId="1080" dataCellStyle="Normal 5"/>
    <tableColumn id="19" xr3:uid="{6168E056-C134-418C-BAA8-73541257F097}" name="Column10" dataDxfId="1079" dataCellStyle="Comma [0]"/>
    <tableColumn id="20" xr3:uid="{ECE7E801-4FE3-4CB0-B83E-AEDB75DF320F}" name="Column11" dataDxfId="1078" dataCellStyle="Comma [0]"/>
    <tableColumn id="21" xr3:uid="{44FEDD28-091B-4680-A5C6-30F0F745EBBE}" name="MEI" dataDxfId="1077"/>
    <tableColumn id="22" xr3:uid="{34244EC1-125A-49F5-8D4B-77C41595EB78}" name="Column12" dataDxfId="1076" dataCellStyle="Comma [0]"/>
    <tableColumn id="23" xr3:uid="{695AAE0C-3DE2-4C12-A556-529DF387A4B7}" name="Column13" dataDxfId="1075" dataCellStyle="Comma [0]"/>
    <tableColumn id="24" xr3:uid="{EE45409D-1AE3-4403-87A9-813634308CF5}" name="JUNI" dataDxfId="1074" dataCellStyle="Comma [0]"/>
    <tableColumn id="25" xr3:uid="{5F933D02-7432-46D2-889E-A346FBEB81C1}" name="Column14" dataDxfId="1073" dataCellStyle="Comma [0]"/>
    <tableColumn id="26" xr3:uid="{E340073A-FA27-4696-9028-62785F671D51}" name="Column15" dataDxfId="1072" dataCellStyle="Comma [0]"/>
    <tableColumn id="27" xr3:uid="{3C80F9B3-4335-4BCB-A2DB-8F873DB578A1}" name="JULI" dataDxfId="1071" dataCellStyle="Comma [0]"/>
    <tableColumn id="28" xr3:uid="{0B52D128-430F-4AE8-AF42-C77BCC1DE967}" name="Column16" dataDxfId="1070" dataCellStyle="Comma [0]"/>
    <tableColumn id="29" xr3:uid="{9AA400AA-D217-47D3-8A29-9AD35366E1E5}" name="Column17" dataDxfId="1069" dataCellStyle="Comma [0]"/>
    <tableColumn id="30" xr3:uid="{7A16243F-CC4F-4632-957C-54DF727D1493}" name="AGUSTUS" dataDxfId="1068" dataCellStyle="Comma [0]"/>
    <tableColumn id="31" xr3:uid="{F53FA9C1-6878-4D23-96E5-3E23407112F3}" name="Column18" dataDxfId="1067" dataCellStyle="Comma [0]"/>
    <tableColumn id="32" xr3:uid="{56226304-FD99-45E9-B47F-4A0989BC4182}" name="Column19" dataDxfId="1066" dataCellStyle="Comma [0]"/>
    <tableColumn id="33" xr3:uid="{918328DE-54FE-4538-8A7A-0C76AA1E939A}" name="SEPTEMBER" dataDxfId="1065" dataCellStyle="Comma [0]"/>
    <tableColumn id="34" xr3:uid="{D961E510-3ED4-4CF9-A7AF-9649B976EA3E}" name="Column20" dataDxfId="1064" dataCellStyle="Comma [0]"/>
    <tableColumn id="35" xr3:uid="{91DB1DE3-8092-461D-A09A-AE460872B6BA}" name="Column21" dataDxfId="1063" dataCellStyle="Comma [0]"/>
    <tableColumn id="36" xr3:uid="{CE58699D-2136-4257-BAD1-7398B982526B}" name="OKTOBER" dataDxfId="1062" dataCellStyle="Comma [0]"/>
    <tableColumn id="37" xr3:uid="{1F4E6F0B-F4F1-4921-A7D5-72862BF6A622}" name="Column22" dataDxfId="1061" dataCellStyle="Comma [0]"/>
    <tableColumn id="38" xr3:uid="{B76BAD65-739D-4E3A-852D-D26916987757}" name="Column23" dataDxfId="1060" dataCellStyle="Comma [0]"/>
    <tableColumn id="39" xr3:uid="{12105BE2-33F4-4402-9A97-62E8F6987E7A}" name="NOVEMBER" dataDxfId="1059" dataCellStyle="Comma [0]"/>
    <tableColumn id="40" xr3:uid="{C58384D0-120F-4BEC-B941-E06587266945}" name="Column24" dataDxfId="1058" dataCellStyle="Comma [0]"/>
    <tableColumn id="41" xr3:uid="{A058820D-F058-4589-9874-D1A00D172D60}" name="Column25" dataDxfId="1057" dataCellStyle="Comma [0]"/>
    <tableColumn id="42" xr3:uid="{CE32C95C-C534-407E-B4B0-C5BE507ACC7B}" name="DESEMBER" dataDxfId="1056" dataCellStyle="Comma [0]"/>
    <tableColumn id="43" xr3:uid="{4AA20C6C-166D-40D3-B153-84B32F3DA47E}" name="Column26" dataDxfId="1055" dataCellStyle="Comma [0]"/>
    <tableColumn id="44" xr3:uid="{B6199075-DD1D-4379-9C80-D5E0E5D4086B}" name="Column27" dataDxfId="1054" dataCellStyle="Comma [0]"/>
    <tableColumn id="45" xr3:uid="{025D8148-41D1-493D-8F91-43A4491832E5}" name="REALISASI" dataDxfId="1053" dataCellStyle="Comma [0]">
      <calculatedColumnFormula>SUM(J235:AS235)</calculatedColumnFormula>
    </tableColumn>
    <tableColumn id="46" xr3:uid="{EB91123A-1AE6-419C-99DE-3A8BFD669434}" name="%" dataDxfId="1052">
      <calculatedColumnFormula>IFERROR(AT235/F235*100,0)</calculatedColumnFormula>
    </tableColumn>
    <tableColumn id="47" xr3:uid="{B367B8B8-4A10-4559-8042-C79AD776D92F}" name="SISA PAGU" dataDxfId="1051">
      <calculatedColumnFormula>F235-AT235</calculatedColumnFormula>
    </tableColumn>
    <tableColumn id="48" xr3:uid="{4447787F-4DC2-4E59-B3FB-02DC54A3FEB4}" name="%28" dataDxfId="1050">
      <calculatedColumnFormula>AV235/F235*100</calculatedColumnFormula>
    </tableColumn>
    <tableColumn id="49" xr3:uid="{C7CC6506-6ABE-4181-9F4B-FEC5B702B017}" name="KOORDINATOR" dataDxfId="1049"/>
    <tableColumn id="50" xr3:uid="{048FA016-E7FA-4ECE-BABA-429AD0AEF890}" name="Subkoordinator"/>
    <tableColumn id="51" xr3:uid="{B38F358A-82BF-496A-A23D-71F2B98B29E5}" name="Jenis Belanja Barang"/>
    <tableColumn id="52" xr3:uid="{DB80BE10-1DFD-4F7D-BB32-35C9FE353EFD}" name="SPBy" dataDxfId="1048" dataCellStyle="Comma [0]"/>
    <tableColumn id="53" xr3:uid="{078C675B-A0F3-404E-848C-5D5DFFD077BC}" name="Column29"/>
    <tableColumn id="54" xr3:uid="{434FFD64-27FE-4383-9669-FEE5F6BE4180}" name="Column30" dataDxfId="1047"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046" totalsRowDxfId="1045"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4" t="s">
        <v>598</v>
      </c>
      <c r="C1" s="444"/>
      <c r="D1" s="444"/>
      <c r="E1" s="444"/>
      <c r="F1" s="444"/>
      <c r="G1" s="444"/>
      <c r="I1" s="9"/>
    </row>
    <row r="2" spans="1:10" ht="15" x14ac:dyDescent="0.25">
      <c r="B2" s="445" t="s">
        <v>614</v>
      </c>
      <c r="C2" s="445"/>
      <c r="D2" s="445"/>
      <c r="E2" s="445"/>
      <c r="F2" s="445"/>
      <c r="G2" s="445"/>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6" t="s">
        <v>606</v>
      </c>
      <c r="C9" s="448" t="s">
        <v>607</v>
      </c>
      <c r="D9" s="449" t="s">
        <v>608</v>
      </c>
      <c r="E9" s="446" t="s">
        <v>609</v>
      </c>
      <c r="F9" s="449" t="s">
        <v>610</v>
      </c>
      <c r="G9" s="449" t="s">
        <v>611</v>
      </c>
      <c r="I9" s="14"/>
    </row>
    <row r="10" spans="1:10" s="16" customFormat="1" ht="15" x14ac:dyDescent="0.25">
      <c r="A10" s="15" t="s">
        <v>499</v>
      </c>
      <c r="B10" s="447"/>
      <c r="C10" s="447"/>
      <c r="D10" s="447"/>
      <c r="E10" s="450"/>
      <c r="F10" s="447"/>
      <c r="G10" s="447"/>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1" t="s">
        <v>596</v>
      </c>
      <c r="J13" s="442" t="s">
        <v>597</v>
      </c>
    </row>
    <row r="14" spans="1:10" x14ac:dyDescent="0.2">
      <c r="A14" s="7" t="s">
        <v>199</v>
      </c>
      <c r="B14" s="25" t="s">
        <v>194</v>
      </c>
      <c r="C14" s="26" t="s">
        <v>2</v>
      </c>
      <c r="D14" s="25"/>
      <c r="E14" s="55"/>
      <c r="F14" s="27"/>
      <c r="G14" s="27">
        <v>1500000000</v>
      </c>
      <c r="I14" s="441"/>
      <c r="J14" s="442"/>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3"/>
      <c r="J22" s="443"/>
    </row>
    <row r="23" spans="1:10" x14ac:dyDescent="0.2">
      <c r="A23" s="7" t="s">
        <v>208</v>
      </c>
      <c r="B23" s="43" t="s">
        <v>195</v>
      </c>
      <c r="C23" s="44" t="s">
        <v>620</v>
      </c>
      <c r="D23" s="47">
        <v>1</v>
      </c>
      <c r="E23" s="61" t="s">
        <v>9</v>
      </c>
      <c r="F23" s="45">
        <v>1000000</v>
      </c>
      <c r="G23" s="45">
        <v>1000000</v>
      </c>
      <c r="I23" s="443"/>
      <c r="J23" s="443"/>
    </row>
    <row r="24" spans="1:10" x14ac:dyDescent="0.2">
      <c r="A24" s="7" t="s">
        <v>209</v>
      </c>
      <c r="B24" s="40" t="s">
        <v>516</v>
      </c>
      <c r="C24" s="41" t="s">
        <v>11</v>
      </c>
      <c r="D24" s="40"/>
      <c r="E24" s="60"/>
      <c r="F24" s="42"/>
      <c r="G24" s="42">
        <v>9000000</v>
      </c>
      <c r="I24" s="443"/>
      <c r="J24" s="443"/>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4" t="s">
        <v>598</v>
      </c>
      <c r="C1" s="444"/>
      <c r="D1" s="444"/>
      <c r="E1" s="444"/>
      <c r="F1" s="444"/>
      <c r="G1" s="452"/>
      <c r="H1" s="269"/>
      <c r="I1" s="269"/>
      <c r="J1" s="269"/>
      <c r="K1" s="269"/>
    </row>
    <row r="2" spans="1:13" ht="15.75" x14ac:dyDescent="0.25">
      <c r="B2" s="453" t="s">
        <v>4186</v>
      </c>
      <c r="C2" s="453"/>
      <c r="D2" s="453"/>
      <c r="E2" s="453"/>
      <c r="F2" s="453"/>
      <c r="G2" s="454"/>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5" t="s">
        <v>606</v>
      </c>
      <c r="C9" s="456" t="s">
        <v>607</v>
      </c>
      <c r="D9" s="457" t="s">
        <v>608</v>
      </c>
      <c r="E9" s="455" t="s">
        <v>609</v>
      </c>
      <c r="F9" s="457" t="s">
        <v>610</v>
      </c>
      <c r="G9" s="451" t="s">
        <v>3848</v>
      </c>
      <c r="H9" s="451" t="s">
        <v>3849</v>
      </c>
      <c r="I9" s="451" t="s">
        <v>3846</v>
      </c>
      <c r="J9" s="451" t="s">
        <v>3850</v>
      </c>
      <c r="K9" s="451" t="s">
        <v>3846</v>
      </c>
    </row>
    <row r="10" spans="1:13" s="133" customFormat="1" ht="14.25" customHeight="1" x14ac:dyDescent="0.2">
      <c r="A10" s="132" t="s">
        <v>499</v>
      </c>
      <c r="B10" s="447"/>
      <c r="C10" s="447"/>
      <c r="D10" s="450"/>
      <c r="E10" s="450"/>
      <c r="F10" s="447"/>
      <c r="G10" s="447"/>
      <c r="H10" s="451"/>
      <c r="I10" s="451"/>
      <c r="J10" s="451"/>
      <c r="K10" s="451"/>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4" priority="18">
      <formula>NOT(_xlfn.ISFORMULA(G12))</formula>
    </cfRule>
  </conditionalFormatting>
  <conditionalFormatting sqref="B11:K12 K56:K57">
    <cfRule type="expression" dxfId="63" priority="19">
      <formula>AND(#REF!="Ya",#REF!=ROW())</formula>
    </cfRule>
  </conditionalFormatting>
  <conditionalFormatting sqref="B13:J57">
    <cfRule type="expression" dxfId="62" priority="22">
      <formula>AND(#REF!="Ya",#REF!=ROW())</formula>
    </cfRule>
  </conditionalFormatting>
  <conditionalFormatting sqref="K13:K56">
    <cfRule type="expression" dxfId="61" priority="4">
      <formula>AND(#REF!="Ya",#REF!=ROW())</formula>
    </cfRule>
  </conditionalFormatting>
  <conditionalFormatting sqref="I55:I56 I53 I49 I47 I45 I41 I37 I33 I29 I25 I21 I13:I17">
    <cfRule type="expression" dxfId="60" priority="3">
      <formula>AND(#REF!="Ya",#REF!=ROW())</formula>
    </cfRule>
  </conditionalFormatting>
  <conditionalFormatting sqref="J55:J56 J53 J49 J47 J45 J41 J37 J33 J29 J25 J21 J13:J17">
    <cfRule type="expression" dxfId="59" priority="2">
      <formula>AND(#REF!="Ya",#REF!=ROW())</formula>
    </cfRule>
  </conditionalFormatting>
  <conditionalFormatting sqref="K55 K53 K49 K47 K45 K41 K37 K33 K29 K25 K21 K13:K17">
    <cfRule type="expression" dxfId="5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tabSelected="1" view="pageBreakPreview" zoomScaleNormal="100" zoomScaleSheetLayoutView="100" workbookViewId="0">
      <pane xSplit="3" ySplit="11" topLeftCell="D94" activePane="bottomRight" state="frozen"/>
      <selection activeCell="B1" sqref="B1"/>
      <selection pane="topRight" activeCell="D1" sqref="D1"/>
      <selection pane="bottomLeft" activeCell="B12" sqref="B12"/>
      <selection pane="bottomRight" activeCell="E107" sqref="E107"/>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4" t="s">
        <v>598</v>
      </c>
      <c r="C1" s="444"/>
      <c r="D1" s="444"/>
      <c r="E1" s="444"/>
      <c r="F1" s="444"/>
      <c r="G1" s="452"/>
      <c r="H1" s="234"/>
      <c r="I1" s="234"/>
      <c r="J1" s="234"/>
    </row>
    <row r="2" spans="1:24" ht="15.75" x14ac:dyDescent="0.25">
      <c r="B2" s="453" t="s">
        <v>4012</v>
      </c>
      <c r="C2" s="453"/>
      <c r="D2" s="453"/>
      <c r="E2" s="453"/>
      <c r="F2" s="453"/>
      <c r="G2" s="454"/>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5" t="s">
        <v>606</v>
      </c>
      <c r="C9" s="456" t="s">
        <v>607</v>
      </c>
      <c r="D9" s="457" t="s">
        <v>608</v>
      </c>
      <c r="E9" s="455" t="s">
        <v>609</v>
      </c>
      <c r="F9" s="457" t="s">
        <v>610</v>
      </c>
      <c r="G9" s="451" t="s">
        <v>611</v>
      </c>
      <c r="H9" s="152"/>
      <c r="I9" s="152"/>
      <c r="J9" s="152"/>
      <c r="K9" s="458" t="s">
        <v>3827</v>
      </c>
      <c r="L9" s="458"/>
      <c r="M9" s="458"/>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7"/>
      <c r="C10" s="447"/>
      <c r="D10" s="450"/>
      <c r="E10" s="450"/>
      <c r="F10" s="447"/>
      <c r="G10" s="447"/>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14.2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57" priority="14">
      <formula>NOT(_xlfn.ISFORMULA(G12))</formula>
    </cfRule>
  </conditionalFormatting>
  <conditionalFormatting sqref="B11:J12 H13:J545">
    <cfRule type="expression" dxfId="56" priority="15">
      <formula>AND(#REF!="Ya",#REF!=ROW())</formula>
    </cfRule>
  </conditionalFormatting>
  <conditionalFormatting sqref="B517:F517 G542:G543 G539:G540 G535 G532 G530 G526:G528 G522:G523 G520 G517:G518 B13:G516">
    <cfRule type="expression" dxfId="55" priority="13">
      <formula>AND($R$4="Ya",$Q$2=ROW())</formula>
    </cfRule>
  </conditionalFormatting>
  <conditionalFormatting sqref="G545">
    <cfRule type="expression" dxfId="54" priority="12">
      <formula>AND($R$4="Ya",$Q$2=ROW())</formula>
    </cfRule>
  </conditionalFormatting>
  <conditionalFormatting sqref="G545 G542:G543 G539:G540 G535 G532 G530 G526:G528 G522:G523 G520 G517:G518">
    <cfRule type="expression" dxfId="53" priority="11">
      <formula>NOT(_xlfn.ISFORMULA(G517))</formula>
    </cfRule>
  </conditionalFormatting>
  <conditionalFormatting sqref="G529">
    <cfRule type="expression" dxfId="52" priority="10">
      <formula>NOT(_xlfn.ISFORMULA(G529))</formula>
    </cfRule>
  </conditionalFormatting>
  <conditionalFormatting sqref="G529">
    <cfRule type="expression" dxfId="51" priority="9">
      <formula>AND($R$4="Ya",$Q$2=ROW())</formula>
    </cfRule>
  </conditionalFormatting>
  <conditionalFormatting sqref="G519">
    <cfRule type="expression" dxfId="50" priority="8">
      <formula>NOT(_xlfn.ISFORMULA(G519))</formula>
    </cfRule>
  </conditionalFormatting>
  <conditionalFormatting sqref="G519">
    <cfRule type="expression" dxfId="49" priority="7">
      <formula>AND($R$4="Ya",$Q$2=ROW())</formula>
    </cfRule>
  </conditionalFormatting>
  <conditionalFormatting sqref="G544">
    <cfRule type="expression" dxfId="48" priority="6">
      <formula>NOT(_xlfn.ISFORMULA(G544))</formula>
    </cfRule>
  </conditionalFormatting>
  <conditionalFormatting sqref="G544">
    <cfRule type="expression" dxfId="47" priority="5">
      <formula>AND($R$4="Ya",$Q$2=ROW())</formula>
    </cfRule>
  </conditionalFormatting>
  <conditionalFormatting sqref="G541">
    <cfRule type="expression" dxfId="46" priority="4">
      <formula>NOT(_xlfn.ISFORMULA(G541))</formula>
    </cfRule>
  </conditionalFormatting>
  <conditionalFormatting sqref="G541">
    <cfRule type="expression" dxfId="45" priority="3">
      <formula>AND($R$4="Ya",$Q$2=ROW())</formula>
    </cfRule>
  </conditionalFormatting>
  <conditionalFormatting sqref="G538">
    <cfRule type="expression" dxfId="44" priority="2">
      <formula>NOT(_xlfn.ISFORMULA(G538))</formula>
    </cfRule>
  </conditionalFormatting>
  <conditionalFormatting sqref="G538">
    <cfRule type="expression" dxfId="4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4" t="s">
        <v>598</v>
      </c>
      <c r="C1" s="444"/>
      <c r="D1" s="444"/>
      <c r="E1" s="444"/>
      <c r="F1" s="444"/>
      <c r="G1" s="452"/>
      <c r="H1" s="158"/>
      <c r="I1" s="177"/>
      <c r="J1" s="177"/>
    </row>
    <row r="2" spans="1:24" ht="15.75" x14ac:dyDescent="0.25">
      <c r="B2" s="453" t="s">
        <v>3826</v>
      </c>
      <c r="C2" s="453"/>
      <c r="D2" s="453"/>
      <c r="E2" s="453"/>
      <c r="F2" s="453"/>
      <c r="G2" s="454"/>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5" t="s">
        <v>606</v>
      </c>
      <c r="C9" s="456" t="s">
        <v>607</v>
      </c>
      <c r="D9" s="457" t="s">
        <v>608</v>
      </c>
      <c r="E9" s="455" t="s">
        <v>609</v>
      </c>
      <c r="F9" s="457" t="s">
        <v>610</v>
      </c>
      <c r="G9" s="451" t="s">
        <v>611</v>
      </c>
      <c r="H9" s="152"/>
      <c r="I9" s="152"/>
      <c r="J9" s="152"/>
      <c r="K9" s="458" t="s">
        <v>3827</v>
      </c>
      <c r="L9" s="458"/>
      <c r="M9" s="458"/>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7"/>
      <c r="C10" s="447"/>
      <c r="D10" s="450"/>
      <c r="E10" s="450"/>
      <c r="F10" s="447"/>
      <c r="G10" s="447"/>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42" priority="14">
      <formula>NOT(_xlfn.ISFORMULA(G12))</formula>
    </cfRule>
  </conditionalFormatting>
  <conditionalFormatting sqref="B11:J12 H13:J589">
    <cfRule type="expression" dxfId="41" priority="15">
      <formula>AND(#REF!="Ya",#REF!=ROW())</formula>
    </cfRule>
  </conditionalFormatting>
  <conditionalFormatting sqref="B561:F561 G586:G587 G583:G584 G579 G576 G574 G570:G572 G566:G567 G564 G561:G562 B13:G560">
    <cfRule type="expression" dxfId="40" priority="13">
      <formula>AND($R$4="Ya",$Q$2=ROW())</formula>
    </cfRule>
  </conditionalFormatting>
  <conditionalFormatting sqref="G589">
    <cfRule type="expression" dxfId="39" priority="12">
      <formula>AND($R$4="Ya",$Q$2=ROW())</formula>
    </cfRule>
  </conditionalFormatting>
  <conditionalFormatting sqref="G589 G586:G587 G583:G584 G579 G576 G574 G570:G572 G566:G567 G564 G561:G562">
    <cfRule type="expression" dxfId="38" priority="11">
      <formula>NOT(_xlfn.ISFORMULA(G561))</formula>
    </cfRule>
  </conditionalFormatting>
  <conditionalFormatting sqref="G573">
    <cfRule type="expression" dxfId="37" priority="10">
      <formula>NOT(_xlfn.ISFORMULA(G573))</formula>
    </cfRule>
  </conditionalFormatting>
  <conditionalFormatting sqref="G573">
    <cfRule type="expression" dxfId="36" priority="9">
      <formula>AND($R$4="Ya",$Q$2=ROW())</formula>
    </cfRule>
  </conditionalFormatting>
  <conditionalFormatting sqref="G563">
    <cfRule type="expression" dxfId="35" priority="8">
      <formula>NOT(_xlfn.ISFORMULA(G563))</formula>
    </cfRule>
  </conditionalFormatting>
  <conditionalFormatting sqref="G563">
    <cfRule type="expression" dxfId="34" priority="7">
      <formula>AND($R$4="Ya",$Q$2=ROW())</formula>
    </cfRule>
  </conditionalFormatting>
  <conditionalFormatting sqref="G588">
    <cfRule type="expression" dxfId="33" priority="6">
      <formula>NOT(_xlfn.ISFORMULA(G588))</formula>
    </cfRule>
  </conditionalFormatting>
  <conditionalFormatting sqref="G588">
    <cfRule type="expression" dxfId="32" priority="5">
      <formula>AND($R$4="Ya",$Q$2=ROW())</formula>
    </cfRule>
  </conditionalFormatting>
  <conditionalFormatting sqref="G585">
    <cfRule type="expression" dxfId="31" priority="4">
      <formula>NOT(_xlfn.ISFORMULA(G585))</formula>
    </cfRule>
  </conditionalFormatting>
  <conditionalFormatting sqref="G585">
    <cfRule type="expression" dxfId="30" priority="3">
      <formula>AND($R$4="Ya",$Q$2=ROW())</formula>
    </cfRule>
  </conditionalFormatting>
  <conditionalFormatting sqref="G582">
    <cfRule type="expression" dxfId="29" priority="2">
      <formula>NOT(_xlfn.ISFORMULA(G582))</formula>
    </cfRule>
  </conditionalFormatting>
  <conditionalFormatting sqref="G582">
    <cfRule type="expression" dxfId="2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4" t="s">
        <v>598</v>
      </c>
      <c r="C1" s="444"/>
      <c r="D1" s="444"/>
      <c r="E1" s="444"/>
      <c r="F1" s="444"/>
      <c r="G1" s="452"/>
      <c r="H1" s="150"/>
    </row>
    <row r="2" spans="1:22" ht="15.75" x14ac:dyDescent="0.25">
      <c r="B2" s="453" t="s">
        <v>3826</v>
      </c>
      <c r="C2" s="453"/>
      <c r="D2" s="453"/>
      <c r="E2" s="453"/>
      <c r="F2" s="453"/>
      <c r="G2" s="454"/>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5" t="s">
        <v>606</v>
      </c>
      <c r="C9" s="456" t="s">
        <v>607</v>
      </c>
      <c r="D9" s="457" t="s">
        <v>608</v>
      </c>
      <c r="E9" s="455" t="s">
        <v>609</v>
      </c>
      <c r="F9" s="457" t="s">
        <v>610</v>
      </c>
      <c r="G9" s="451" t="s">
        <v>611</v>
      </c>
      <c r="H9" s="152"/>
      <c r="I9" s="458" t="s">
        <v>3827</v>
      </c>
      <c r="J9" s="458"/>
      <c r="K9" s="458"/>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7"/>
      <c r="C10" s="447"/>
      <c r="D10" s="450"/>
      <c r="E10" s="450"/>
      <c r="F10" s="447"/>
      <c r="G10" s="447"/>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 priority="15">
      <formula>NOT(_xlfn.ISFORMULA(G12))</formula>
    </cfRule>
  </conditionalFormatting>
  <conditionalFormatting sqref="B11:H12 H13:H589">
    <cfRule type="expression" dxfId="26" priority="17">
      <formula>AND(#REF!="Ya",#REF!=ROW())</formula>
    </cfRule>
  </conditionalFormatting>
  <conditionalFormatting sqref="B561:F561 G586:G587 G583:G584 G579 G576 G574 G570:G572 G566:G567 G564 G561:G562 B13:G560">
    <cfRule type="expression" dxfId="25" priority="14">
      <formula>AND($P$4="Ya",$O$2=ROW())</formula>
    </cfRule>
  </conditionalFormatting>
  <conditionalFormatting sqref="G589">
    <cfRule type="expression" dxfId="24" priority="12">
      <formula>AND($P$4="Ya",$O$2=ROW())</formula>
    </cfRule>
  </conditionalFormatting>
  <conditionalFormatting sqref="G589 G586:G587 G583:G584 G579 G576 G574 G570:G572 G566:G567 G564 G561:G562">
    <cfRule type="expression" dxfId="23" priority="11">
      <formula>NOT(_xlfn.ISFORMULA(G561))</formula>
    </cfRule>
  </conditionalFormatting>
  <conditionalFormatting sqref="G573">
    <cfRule type="expression" dxfId="22" priority="10">
      <formula>NOT(_xlfn.ISFORMULA(G573))</formula>
    </cfRule>
  </conditionalFormatting>
  <conditionalFormatting sqref="G573">
    <cfRule type="expression" dxfId="21" priority="9">
      <formula>AND($P$4="Ya",$O$2=ROW())</formula>
    </cfRule>
  </conditionalFormatting>
  <conditionalFormatting sqref="G563">
    <cfRule type="expression" dxfId="20" priority="8">
      <formula>NOT(_xlfn.ISFORMULA(G563))</formula>
    </cfRule>
  </conditionalFormatting>
  <conditionalFormatting sqref="G563">
    <cfRule type="expression" dxfId="19" priority="7">
      <formula>AND($P$4="Ya",$O$2=ROW())</formula>
    </cfRule>
  </conditionalFormatting>
  <conditionalFormatting sqref="G588">
    <cfRule type="expression" dxfId="18" priority="6">
      <formula>NOT(_xlfn.ISFORMULA(G588))</formula>
    </cfRule>
  </conditionalFormatting>
  <conditionalFormatting sqref="G588">
    <cfRule type="expression" dxfId="17" priority="5">
      <formula>AND($P$4="Ya",$O$2=ROW())</formula>
    </cfRule>
  </conditionalFormatting>
  <conditionalFormatting sqref="G585">
    <cfRule type="expression" dxfId="16" priority="4">
      <formula>NOT(_xlfn.ISFORMULA(G585))</formula>
    </cfRule>
  </conditionalFormatting>
  <conditionalFormatting sqref="G585">
    <cfRule type="expression" dxfId="15" priority="3">
      <formula>AND($P$4="Ya",$O$2=ROW())</formula>
    </cfRule>
  </conditionalFormatting>
  <conditionalFormatting sqref="G582">
    <cfRule type="expression" dxfId="14" priority="2">
      <formula>NOT(_xlfn.ISFORMULA(G582))</formula>
    </cfRule>
  </conditionalFormatting>
  <conditionalFormatting sqref="G582">
    <cfRule type="expression" dxfId="1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70" zoomScaleNormal="70" workbookViewId="0">
      <pane ySplit="10" topLeftCell="A116" activePane="bottomLeft" state="frozen"/>
      <selection pane="bottomLeft" activeCell="K8" sqref="K8"/>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5413122932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56" t="s">
        <v>4269</v>
      </c>
      <c r="E12" s="292" t="s">
        <v>4270</v>
      </c>
      <c r="F12" s="257">
        <v>203627955</v>
      </c>
      <c r="G12" s="305" t="s">
        <v>4191</v>
      </c>
      <c r="H12" s="287" t="s">
        <v>4271</v>
      </c>
      <c r="I12" s="256" t="s">
        <v>4272</v>
      </c>
      <c r="J12" s="256" t="s">
        <v>4053</v>
      </c>
      <c r="K12" s="259" t="s">
        <v>4273</v>
      </c>
      <c r="L12" s="321" t="s">
        <v>576</v>
      </c>
      <c r="M12" s="321" t="s">
        <v>4340</v>
      </c>
      <c r="N12" s="334" t="s">
        <v>4529</v>
      </c>
      <c r="O12" s="260">
        <v>51</v>
      </c>
    </row>
    <row r="13" spans="2:20" ht="69.95" customHeight="1" x14ac:dyDescent="0.2">
      <c r="B13" s="260">
        <v>3</v>
      </c>
      <c r="C13" s="260">
        <v>2</v>
      </c>
      <c r="D13" s="256" t="s">
        <v>4265</v>
      </c>
      <c r="E13" s="292" t="s">
        <v>4266</v>
      </c>
      <c r="F13" s="257">
        <v>233065910</v>
      </c>
      <c r="G13" s="305" t="s">
        <v>4039</v>
      </c>
      <c r="H13" s="287" t="s">
        <v>4267</v>
      </c>
      <c r="I13" s="256" t="s">
        <v>4266</v>
      </c>
      <c r="J13" s="256" t="s">
        <v>4039</v>
      </c>
      <c r="K13" s="259" t="s">
        <v>4268</v>
      </c>
      <c r="L13" s="321" t="s">
        <v>576</v>
      </c>
      <c r="M13" s="321" t="s">
        <v>4340</v>
      </c>
      <c r="N13" s="334" t="s">
        <v>4529</v>
      </c>
      <c r="O13" s="260">
        <v>51</v>
      </c>
    </row>
    <row r="14" spans="2:20" ht="69.95" customHeight="1" x14ac:dyDescent="0.2">
      <c r="B14" s="260">
        <v>4</v>
      </c>
      <c r="C14" s="260">
        <v>2</v>
      </c>
      <c r="D14" s="256" t="s">
        <v>4259</v>
      </c>
      <c r="E14" s="292" t="s">
        <v>4255</v>
      </c>
      <c r="F14" s="257">
        <v>3208063</v>
      </c>
      <c r="G14" s="305" t="s">
        <v>4223</v>
      </c>
      <c r="H14" s="287" t="s">
        <v>4260</v>
      </c>
      <c r="I14" s="256" t="s">
        <v>4257</v>
      </c>
      <c r="J14" s="256" t="s">
        <v>4039</v>
      </c>
      <c r="K14" s="259" t="s">
        <v>4261</v>
      </c>
      <c r="L14" s="321" t="s">
        <v>576</v>
      </c>
      <c r="M14" s="321" t="s">
        <v>4340</v>
      </c>
      <c r="N14" s="334" t="s">
        <v>4529</v>
      </c>
      <c r="O14" s="260">
        <v>51</v>
      </c>
    </row>
    <row r="15" spans="2:20" ht="69.95" customHeight="1" x14ac:dyDescent="0.2">
      <c r="B15" s="260">
        <v>5</v>
      </c>
      <c r="C15" s="260">
        <v>2</v>
      </c>
      <c r="D15" s="256" t="s">
        <v>4262</v>
      </c>
      <c r="E15" s="292" t="s">
        <v>4255</v>
      </c>
      <c r="F15" s="257">
        <v>31515000</v>
      </c>
      <c r="G15" s="305" t="s">
        <v>4207</v>
      </c>
      <c r="H15" s="287" t="s">
        <v>4263</v>
      </c>
      <c r="I15" s="256" t="s">
        <v>4257</v>
      </c>
      <c r="J15" s="256" t="s">
        <v>4039</v>
      </c>
      <c r="K15" s="259" t="s">
        <v>4264</v>
      </c>
      <c r="L15" s="321" t="s">
        <v>576</v>
      </c>
      <c r="M15" s="321" t="s">
        <v>4340</v>
      </c>
      <c r="N15" s="334" t="s">
        <v>4529</v>
      </c>
      <c r="O15" s="260">
        <v>51</v>
      </c>
    </row>
    <row r="16" spans="2:20" ht="69.95" customHeight="1" x14ac:dyDescent="0.2">
      <c r="B16" s="260">
        <v>6</v>
      </c>
      <c r="C16" s="260">
        <v>2</v>
      </c>
      <c r="D16" s="260" t="s">
        <v>4034</v>
      </c>
      <c r="E16" s="291" t="s">
        <v>4035</v>
      </c>
      <c r="F16" s="288">
        <v>63640000</v>
      </c>
      <c r="G16" s="300" t="s">
        <v>4036</v>
      </c>
      <c r="H16" s="261" t="s">
        <v>4037</v>
      </c>
      <c r="I16" s="260" t="s">
        <v>4038</v>
      </c>
      <c r="J16" s="260" t="s">
        <v>4039</v>
      </c>
      <c r="K16" s="262" t="s">
        <v>4040</v>
      </c>
      <c r="L16" s="321" t="s">
        <v>576</v>
      </c>
      <c r="M16" s="321" t="s">
        <v>4338</v>
      </c>
      <c r="N16" s="334" t="s">
        <v>4530</v>
      </c>
      <c r="O16" s="260">
        <v>52</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56" t="s">
        <v>4254</v>
      </c>
      <c r="E19" s="292" t="s">
        <v>4049</v>
      </c>
      <c r="F19" s="257">
        <v>211929456</v>
      </c>
      <c r="G19" s="305" t="s">
        <v>4191</v>
      </c>
      <c r="H19" s="287" t="s">
        <v>4256</v>
      </c>
      <c r="I19" s="256" t="s">
        <v>4257</v>
      </c>
      <c r="J19" s="256" t="s">
        <v>4053</v>
      </c>
      <c r="K19" s="259" t="s">
        <v>4258</v>
      </c>
      <c r="L19" s="321" t="s">
        <v>576</v>
      </c>
      <c r="M19" s="321" t="s">
        <v>4340</v>
      </c>
      <c r="N19" s="334" t="s">
        <v>4529</v>
      </c>
      <c r="O19" s="260">
        <v>51</v>
      </c>
    </row>
    <row r="20" spans="2:15" ht="69.95" customHeight="1" x14ac:dyDescent="0.2">
      <c r="B20" s="260">
        <v>10</v>
      </c>
      <c r="C20" s="260">
        <v>3</v>
      </c>
      <c r="D20" s="256" t="s">
        <v>4251</v>
      </c>
      <c r="E20" s="292" t="s">
        <v>4056</v>
      </c>
      <c r="F20" s="257">
        <v>8028903</v>
      </c>
      <c r="G20" s="305" t="s">
        <v>4039</v>
      </c>
      <c r="H20" s="287" t="s">
        <v>4252</v>
      </c>
      <c r="I20" s="256" t="s">
        <v>4059</v>
      </c>
      <c r="J20" s="256" t="s">
        <v>4039</v>
      </c>
      <c r="K20" s="259" t="s">
        <v>4253</v>
      </c>
      <c r="L20" s="321" t="s">
        <v>576</v>
      </c>
      <c r="M20" s="321" t="s">
        <v>4340</v>
      </c>
      <c r="N20" s="334" t="s">
        <v>4529</v>
      </c>
      <c r="O20" s="260">
        <v>51</v>
      </c>
    </row>
    <row r="21" spans="2:15" ht="69.95" customHeight="1" x14ac:dyDescent="0.2">
      <c r="B21" s="260">
        <v>11</v>
      </c>
      <c r="C21" s="260">
        <v>3</v>
      </c>
      <c r="D21" s="256" t="s">
        <v>4243</v>
      </c>
      <c r="E21" s="292" t="s">
        <v>4244</v>
      </c>
      <c r="F21" s="257">
        <v>237145862</v>
      </c>
      <c r="G21" s="305" t="s">
        <v>4039</v>
      </c>
      <c r="H21" s="287" t="s">
        <v>4245</v>
      </c>
      <c r="I21" s="256" t="s">
        <v>4246</v>
      </c>
      <c r="J21" s="256" t="s">
        <v>4039</v>
      </c>
      <c r="K21" s="259" t="s">
        <v>4247</v>
      </c>
      <c r="L21" s="321" t="s">
        <v>576</v>
      </c>
      <c r="M21" s="321" t="s">
        <v>4340</v>
      </c>
      <c r="N21" s="334" t="s">
        <v>4529</v>
      </c>
      <c r="O21" s="260">
        <v>51</v>
      </c>
    </row>
    <row r="22" spans="2:15" ht="69.95" customHeight="1" x14ac:dyDescent="0.2">
      <c r="B22" s="260">
        <v>12</v>
      </c>
      <c r="C22" s="260">
        <v>3</v>
      </c>
      <c r="D22" s="256" t="s">
        <v>4248</v>
      </c>
      <c r="E22" s="292" t="s">
        <v>4244</v>
      </c>
      <c r="F22" s="257">
        <v>24572000</v>
      </c>
      <c r="G22" s="305" t="s">
        <v>4207</v>
      </c>
      <c r="H22" s="287" t="s">
        <v>4249</v>
      </c>
      <c r="I22" s="256" t="s">
        <v>4246</v>
      </c>
      <c r="J22" s="256" t="s">
        <v>4039</v>
      </c>
      <c r="K22" s="259" t="s">
        <v>4250</v>
      </c>
      <c r="L22" s="321" t="s">
        <v>576</v>
      </c>
      <c r="M22" s="321" t="s">
        <v>4340</v>
      </c>
      <c r="N22" s="334" t="s">
        <v>4529</v>
      </c>
      <c r="O22" s="260">
        <v>51</v>
      </c>
    </row>
    <row r="23" spans="2:15" ht="69.95" customHeight="1" x14ac:dyDescent="0.2">
      <c r="B23" s="260">
        <v>13</v>
      </c>
      <c r="C23" s="260">
        <v>3</v>
      </c>
      <c r="D23" s="256" t="s">
        <v>4233</v>
      </c>
      <c r="E23" s="292" t="s">
        <v>4069</v>
      </c>
      <c r="F23" s="257">
        <v>7294465</v>
      </c>
      <c r="G23" s="305" t="s">
        <v>4223</v>
      </c>
      <c r="H23" s="287" t="s">
        <v>4234</v>
      </c>
      <c r="I23" s="256" t="s">
        <v>4228</v>
      </c>
      <c r="J23" s="256" t="s">
        <v>4039</v>
      </c>
      <c r="K23" s="259" t="s">
        <v>4235</v>
      </c>
      <c r="L23" s="321" t="s">
        <v>576</v>
      </c>
      <c r="M23" s="321" t="s">
        <v>4340</v>
      </c>
      <c r="N23" s="334" t="s">
        <v>4529</v>
      </c>
      <c r="O23" s="260">
        <v>51</v>
      </c>
    </row>
    <row r="24" spans="2:15" ht="69.95" customHeight="1" x14ac:dyDescent="0.2">
      <c r="B24" s="260">
        <v>14</v>
      </c>
      <c r="C24" s="260">
        <v>3</v>
      </c>
      <c r="D24" s="256" t="s">
        <v>4230</v>
      </c>
      <c r="E24" s="292" t="s">
        <v>4069</v>
      </c>
      <c r="F24" s="257">
        <v>257904</v>
      </c>
      <c r="G24" s="305" t="s">
        <v>4219</v>
      </c>
      <c r="H24" s="287" t="s">
        <v>4231</v>
      </c>
      <c r="I24" s="256" t="s">
        <v>4228</v>
      </c>
      <c r="J24" s="256" t="s">
        <v>4039</v>
      </c>
      <c r="K24" s="259" t="s">
        <v>4232</v>
      </c>
      <c r="L24" s="321" t="s">
        <v>576</v>
      </c>
      <c r="M24" s="321" t="s">
        <v>4340</v>
      </c>
      <c r="N24" s="334" t="s">
        <v>4529</v>
      </c>
      <c r="O24" s="260">
        <v>51</v>
      </c>
    </row>
    <row r="25" spans="2:15" ht="69.95" customHeight="1" x14ac:dyDescent="0.2">
      <c r="B25" s="260">
        <v>15</v>
      </c>
      <c r="C25" s="260">
        <v>3</v>
      </c>
      <c r="D25" s="256" t="s">
        <v>4236</v>
      </c>
      <c r="E25" s="292" t="s">
        <v>4069</v>
      </c>
      <c r="F25" s="257">
        <v>595396</v>
      </c>
      <c r="G25" s="305" t="s">
        <v>4219</v>
      </c>
      <c r="H25" s="287" t="s">
        <v>4237</v>
      </c>
      <c r="I25" s="256" t="s">
        <v>4228</v>
      </c>
      <c r="J25" s="256" t="s">
        <v>4039</v>
      </c>
      <c r="K25" s="259" t="s">
        <v>4238</v>
      </c>
      <c r="L25" s="321" t="s">
        <v>576</v>
      </c>
      <c r="M25" s="321" t="s">
        <v>4340</v>
      </c>
      <c r="N25" s="334" t="s">
        <v>4529</v>
      </c>
      <c r="O25" s="260">
        <v>51</v>
      </c>
    </row>
    <row r="26" spans="2:15" ht="69.95" customHeight="1" x14ac:dyDescent="0.2">
      <c r="B26" s="260">
        <v>16</v>
      </c>
      <c r="C26" s="260">
        <v>3</v>
      </c>
      <c r="D26" s="256" t="s">
        <v>4226</v>
      </c>
      <c r="E26" s="292" t="s">
        <v>4069</v>
      </c>
      <c r="F26" s="257">
        <v>3422128</v>
      </c>
      <c r="G26" s="305" t="s">
        <v>4219</v>
      </c>
      <c r="H26" s="287" t="s">
        <v>4227</v>
      </c>
      <c r="I26" s="256" t="s">
        <v>4228</v>
      </c>
      <c r="J26" s="256" t="s">
        <v>4039</v>
      </c>
      <c r="K26" s="259" t="s">
        <v>4229</v>
      </c>
      <c r="L26" s="321" t="s">
        <v>576</v>
      </c>
      <c r="M26" s="321" t="s">
        <v>4340</v>
      </c>
      <c r="N26" s="334" t="s">
        <v>4529</v>
      </c>
      <c r="O26" s="260">
        <v>51</v>
      </c>
    </row>
    <row r="27" spans="2:15" ht="69.95" customHeight="1" x14ac:dyDescent="0.2">
      <c r="B27" s="260">
        <v>17</v>
      </c>
      <c r="C27" s="260">
        <v>3</v>
      </c>
      <c r="D27" s="286" t="s">
        <v>4168</v>
      </c>
      <c r="E27" s="291" t="s">
        <v>4049</v>
      </c>
      <c r="F27" s="288">
        <v>63640000</v>
      </c>
      <c r="G27" s="300" t="s">
        <v>4050</v>
      </c>
      <c r="H27" s="261" t="s">
        <v>4051</v>
      </c>
      <c r="I27" s="260" t="s">
        <v>4052</v>
      </c>
      <c r="J27" s="260" t="s">
        <v>4053</v>
      </c>
      <c r="K27" s="262" t="s">
        <v>4054</v>
      </c>
      <c r="L27" s="321" t="s">
        <v>576</v>
      </c>
      <c r="M27" s="321" t="s">
        <v>4338</v>
      </c>
      <c r="N27" s="334" t="s">
        <v>4530</v>
      </c>
      <c r="O27" s="260">
        <v>52</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4109</v>
      </c>
      <c r="E45" s="291" t="s">
        <v>4110</v>
      </c>
      <c r="F45" s="288">
        <v>830060208</v>
      </c>
      <c r="G45" s="304" t="s">
        <v>4039</v>
      </c>
      <c r="H45" s="261" t="s">
        <v>4111</v>
      </c>
      <c r="I45" s="260" t="s">
        <v>4112</v>
      </c>
      <c r="J45" s="260" t="s">
        <v>4039</v>
      </c>
      <c r="K45" s="262" t="s">
        <v>4113</v>
      </c>
      <c r="L45" s="321" t="s">
        <v>542</v>
      </c>
      <c r="M45" s="321" t="s">
        <v>4339</v>
      </c>
      <c r="N45" s="334" t="s">
        <v>4528</v>
      </c>
      <c r="O45" s="260">
        <v>52</v>
      </c>
    </row>
    <row r="46" spans="2:15" ht="69.95" customHeight="1" x14ac:dyDescent="0.2">
      <c r="B46" s="260">
        <v>36</v>
      </c>
      <c r="C46" s="260">
        <v>4</v>
      </c>
      <c r="D46" s="260" t="s">
        <v>4114</v>
      </c>
      <c r="E46" s="291" t="s">
        <v>4115</v>
      </c>
      <c r="F46" s="288">
        <v>5925000</v>
      </c>
      <c r="G46" s="304" t="s">
        <v>4039</v>
      </c>
      <c r="H46" s="261" t="s">
        <v>4116</v>
      </c>
      <c r="I46" s="260" t="s">
        <v>4110</v>
      </c>
      <c r="J46" s="260" t="s">
        <v>4039</v>
      </c>
      <c r="K46" s="262" t="s">
        <v>4117</v>
      </c>
      <c r="L46" s="321" t="s">
        <v>542</v>
      </c>
      <c r="M46" s="321" t="s">
        <v>4339</v>
      </c>
      <c r="N46" s="334" t="s">
        <v>4528</v>
      </c>
      <c r="O46" s="260">
        <v>52</v>
      </c>
    </row>
    <row r="47" spans="2:15" ht="69.95" customHeight="1" x14ac:dyDescent="0.2">
      <c r="B47" s="260">
        <v>37</v>
      </c>
      <c r="C47" s="260">
        <v>4</v>
      </c>
      <c r="D47" s="260" t="s">
        <v>4118</v>
      </c>
      <c r="E47" s="291" t="s">
        <v>4115</v>
      </c>
      <c r="F47" s="288">
        <v>5925000</v>
      </c>
      <c r="G47" s="304" t="s">
        <v>4039</v>
      </c>
      <c r="H47" s="261" t="s">
        <v>4119</v>
      </c>
      <c r="I47" s="260" t="s">
        <v>4110</v>
      </c>
      <c r="J47" s="260" t="s">
        <v>4039</v>
      </c>
      <c r="K47" s="262" t="s">
        <v>4120</v>
      </c>
      <c r="L47" s="321" t="s">
        <v>542</v>
      </c>
      <c r="M47" s="321" t="s">
        <v>4339</v>
      </c>
      <c r="N47" s="334" t="s">
        <v>4528</v>
      </c>
      <c r="O47" s="260">
        <v>52</v>
      </c>
    </row>
    <row r="48" spans="2:15" ht="69.95" customHeight="1" x14ac:dyDescent="0.2">
      <c r="B48" s="260">
        <v>38</v>
      </c>
      <c r="C48" s="260">
        <v>4</v>
      </c>
      <c r="D48" s="256" t="s">
        <v>4139</v>
      </c>
      <c r="E48" s="292" t="s">
        <v>4138</v>
      </c>
      <c r="F48" s="257">
        <v>577980144</v>
      </c>
      <c r="G48" s="304" t="s">
        <v>4039</v>
      </c>
      <c r="H48" s="256" t="s">
        <v>4148</v>
      </c>
      <c r="I48" s="256" t="s">
        <v>4137</v>
      </c>
      <c r="J48" s="256" t="s">
        <v>4039</v>
      </c>
      <c r="K48" s="259" t="s">
        <v>4149</v>
      </c>
      <c r="L48" s="321" t="s">
        <v>542</v>
      </c>
      <c r="M48" s="321" t="s">
        <v>4339</v>
      </c>
      <c r="N48" s="334" t="s">
        <v>4528</v>
      </c>
      <c r="O48" s="260">
        <v>52</v>
      </c>
    </row>
    <row r="49" spans="2:15" ht="69.95" customHeight="1" x14ac:dyDescent="0.2">
      <c r="B49" s="260">
        <v>39</v>
      </c>
      <c r="C49" s="260">
        <v>4</v>
      </c>
      <c r="D49" s="287" t="s">
        <v>4169</v>
      </c>
      <c r="E49" s="293" t="s">
        <v>4170</v>
      </c>
      <c r="F49" s="288">
        <v>11850000</v>
      </c>
      <c r="G49" s="304" t="s">
        <v>4039</v>
      </c>
      <c r="H49" s="287" t="s">
        <v>4171</v>
      </c>
      <c r="I49" s="287" t="s">
        <v>4172</v>
      </c>
      <c r="J49" s="287" t="s">
        <v>4039</v>
      </c>
      <c r="K49" s="289" t="s">
        <v>4173</v>
      </c>
      <c r="L49" s="321" t="s">
        <v>542</v>
      </c>
      <c r="M49" s="321" t="s">
        <v>4339</v>
      </c>
      <c r="N49" s="334" t="s">
        <v>4528</v>
      </c>
      <c r="O49" s="260">
        <v>52</v>
      </c>
    </row>
    <row r="50" spans="2:15" ht="69.95" customHeight="1" x14ac:dyDescent="0.2">
      <c r="B50" s="260">
        <v>40</v>
      </c>
      <c r="C50" s="260">
        <v>4</v>
      </c>
      <c r="D50" s="287" t="s">
        <v>4180</v>
      </c>
      <c r="E50" s="293" t="s">
        <v>4170</v>
      </c>
      <c r="F50" s="288">
        <v>11850000</v>
      </c>
      <c r="G50" s="304" t="s">
        <v>4039</v>
      </c>
      <c r="H50" s="287" t="s">
        <v>4181</v>
      </c>
      <c r="I50" s="287" t="s">
        <v>4172</v>
      </c>
      <c r="J50" s="287" t="s">
        <v>4039</v>
      </c>
      <c r="K50" s="289" t="s">
        <v>4182</v>
      </c>
      <c r="L50" s="321" t="s">
        <v>542</v>
      </c>
      <c r="M50" s="321" t="s">
        <v>4339</v>
      </c>
      <c r="N50" s="334" t="s">
        <v>4528</v>
      </c>
      <c r="O50" s="260">
        <v>52</v>
      </c>
    </row>
    <row r="51" spans="2:15" ht="69.95" customHeight="1" x14ac:dyDescent="0.2">
      <c r="B51" s="260">
        <v>41</v>
      </c>
      <c r="C51" s="260">
        <v>4</v>
      </c>
      <c r="D51" s="256" t="s">
        <v>4292</v>
      </c>
      <c r="E51" s="292" t="s">
        <v>4279</v>
      </c>
      <c r="F51" s="257">
        <v>5925000</v>
      </c>
      <c r="G51" s="304" t="s">
        <v>4039</v>
      </c>
      <c r="H51" s="256" t="s">
        <v>4293</v>
      </c>
      <c r="I51" s="256" t="s">
        <v>4281</v>
      </c>
      <c r="J51" s="256" t="s">
        <v>4039</v>
      </c>
      <c r="K51" s="259" t="s">
        <v>4294</v>
      </c>
      <c r="L51" s="321" t="s">
        <v>542</v>
      </c>
      <c r="M51" s="321" t="s">
        <v>4339</v>
      </c>
      <c r="N51" s="334" t="s">
        <v>4528</v>
      </c>
      <c r="O51" s="260">
        <v>52</v>
      </c>
    </row>
    <row r="52" spans="2:15" ht="69.95" customHeight="1" x14ac:dyDescent="0.2">
      <c r="B52" s="260">
        <v>42</v>
      </c>
      <c r="C52" s="260">
        <v>4</v>
      </c>
      <c r="D52" s="287" t="s">
        <v>4177</v>
      </c>
      <c r="E52" s="293" t="s">
        <v>4170</v>
      </c>
      <c r="F52" s="288">
        <v>17775000</v>
      </c>
      <c r="G52" s="304" t="s">
        <v>4039</v>
      </c>
      <c r="H52" s="287" t="s">
        <v>4178</v>
      </c>
      <c r="I52" s="287" t="s">
        <v>4172</v>
      </c>
      <c r="J52" s="287" t="s">
        <v>4039</v>
      </c>
      <c r="K52" s="289" t="s">
        <v>4179</v>
      </c>
      <c r="L52" s="321" t="s">
        <v>542</v>
      </c>
      <c r="M52" s="321" t="s">
        <v>4339</v>
      </c>
      <c r="N52" s="334" t="s">
        <v>4528</v>
      </c>
      <c r="O52" s="260">
        <v>52</v>
      </c>
    </row>
    <row r="53" spans="2:15" ht="69.95" customHeight="1" x14ac:dyDescent="0.2">
      <c r="B53" s="260">
        <v>43</v>
      </c>
      <c r="C53" s="260">
        <v>4</v>
      </c>
      <c r="D53" s="287" t="s">
        <v>4174</v>
      </c>
      <c r="E53" s="293" t="s">
        <v>4170</v>
      </c>
      <c r="F53" s="288">
        <v>11850000</v>
      </c>
      <c r="G53" s="304" t="s">
        <v>4039</v>
      </c>
      <c r="H53" s="287" t="s">
        <v>4175</v>
      </c>
      <c r="I53" s="287" t="s">
        <v>4172</v>
      </c>
      <c r="J53" s="287" t="s">
        <v>4039</v>
      </c>
      <c r="K53" s="289" t="s">
        <v>4176</v>
      </c>
      <c r="L53" s="321" t="s">
        <v>542</v>
      </c>
      <c r="M53" s="321" t="s">
        <v>4339</v>
      </c>
      <c r="N53" s="334" t="s">
        <v>4528</v>
      </c>
      <c r="O53" s="260">
        <v>52</v>
      </c>
    </row>
    <row r="54" spans="2:15" ht="69.95" customHeight="1" x14ac:dyDescent="0.2">
      <c r="B54" s="260">
        <v>44</v>
      </c>
      <c r="C54" s="260">
        <v>4</v>
      </c>
      <c r="D54" s="287" t="s">
        <v>4183</v>
      </c>
      <c r="E54" s="293" t="s">
        <v>4170</v>
      </c>
      <c r="F54" s="288">
        <v>58805004</v>
      </c>
      <c r="G54" s="304" t="s">
        <v>4039</v>
      </c>
      <c r="H54" s="287" t="s">
        <v>4184</v>
      </c>
      <c r="I54" s="287" t="s">
        <v>4172</v>
      </c>
      <c r="J54" s="287" t="s">
        <v>4039</v>
      </c>
      <c r="K54" s="289" t="s">
        <v>4185</v>
      </c>
      <c r="L54" s="321" t="s">
        <v>542</v>
      </c>
      <c r="M54" s="321" t="s">
        <v>4339</v>
      </c>
      <c r="N54" s="334" t="s">
        <v>4528</v>
      </c>
      <c r="O54" s="260">
        <v>52</v>
      </c>
    </row>
    <row r="55" spans="2:15" ht="69.95" customHeight="1" x14ac:dyDescent="0.2">
      <c r="B55" s="260">
        <v>45</v>
      </c>
      <c r="C55" s="260">
        <v>4</v>
      </c>
      <c r="D55" s="256" t="s">
        <v>4295</v>
      </c>
      <c r="E55" s="292" t="s">
        <v>4279</v>
      </c>
      <c r="F55" s="257">
        <v>11850000</v>
      </c>
      <c r="G55" s="304" t="s">
        <v>4039</v>
      </c>
      <c r="H55" s="256" t="s">
        <v>4296</v>
      </c>
      <c r="I55" s="256" t="s">
        <v>4281</v>
      </c>
      <c r="J55" s="256" t="s">
        <v>4039</v>
      </c>
      <c r="K55" s="259" t="s">
        <v>4297</v>
      </c>
      <c r="L55" s="321" t="s">
        <v>542</v>
      </c>
      <c r="M55" s="321" t="s">
        <v>4339</v>
      </c>
      <c r="N55" s="334" t="s">
        <v>4528</v>
      </c>
      <c r="O55" s="260">
        <v>52</v>
      </c>
    </row>
    <row r="56" spans="2:15" ht="69.95" customHeight="1" x14ac:dyDescent="0.2">
      <c r="B56" s="260">
        <v>46</v>
      </c>
      <c r="C56" s="260">
        <v>4</v>
      </c>
      <c r="D56" s="256" t="s">
        <v>4239</v>
      </c>
      <c r="E56" s="292" t="s">
        <v>4240</v>
      </c>
      <c r="F56" s="257">
        <v>206653906</v>
      </c>
      <c r="G56" s="305" t="s">
        <v>4191</v>
      </c>
      <c r="H56" s="287" t="s">
        <v>4241</v>
      </c>
      <c r="I56" s="256" t="s">
        <v>4065</v>
      </c>
      <c r="J56" s="256" t="s">
        <v>4053</v>
      </c>
      <c r="K56" s="259" t="s">
        <v>4242</v>
      </c>
      <c r="L56" s="321" t="s">
        <v>576</v>
      </c>
      <c r="M56" s="321" t="s">
        <v>4340</v>
      </c>
      <c r="N56" s="334" t="s">
        <v>4529</v>
      </c>
      <c r="O56" s="260">
        <v>51</v>
      </c>
    </row>
    <row r="57" spans="2:15" ht="69.95" customHeight="1" x14ac:dyDescent="0.2">
      <c r="B57" s="260">
        <v>47</v>
      </c>
      <c r="C57" s="260">
        <v>4</v>
      </c>
      <c r="D57" s="256" t="s">
        <v>4217</v>
      </c>
      <c r="E57" s="292" t="s">
        <v>4218</v>
      </c>
      <c r="F57" s="257">
        <v>633328</v>
      </c>
      <c r="G57" s="305" t="s">
        <v>4219</v>
      </c>
      <c r="H57" s="287" t="s">
        <v>4220</v>
      </c>
      <c r="I57" s="256" t="s">
        <v>4218</v>
      </c>
      <c r="J57" s="256" t="s">
        <v>4039</v>
      </c>
      <c r="K57" s="259" t="s">
        <v>4221</v>
      </c>
      <c r="L57" s="321" t="s">
        <v>576</v>
      </c>
      <c r="M57" s="321" t="s">
        <v>4340</v>
      </c>
      <c r="N57" s="334" t="s">
        <v>4529</v>
      </c>
      <c r="O57" s="260">
        <v>51</v>
      </c>
    </row>
    <row r="58" spans="2:15" ht="69.95" customHeight="1" x14ac:dyDescent="0.2">
      <c r="B58" s="260">
        <v>48</v>
      </c>
      <c r="C58" s="260">
        <v>4</v>
      </c>
      <c r="D58" s="256" t="s">
        <v>4222</v>
      </c>
      <c r="E58" s="292" t="s">
        <v>4218</v>
      </c>
      <c r="F58" s="257">
        <v>3233276</v>
      </c>
      <c r="G58" s="305" t="s">
        <v>4223</v>
      </c>
      <c r="H58" s="287" t="s">
        <v>4224</v>
      </c>
      <c r="I58" s="256" t="s">
        <v>4218</v>
      </c>
      <c r="J58" s="256" t="s">
        <v>4039</v>
      </c>
      <c r="K58" s="259" t="s">
        <v>4225</v>
      </c>
      <c r="L58" s="321" t="s">
        <v>576</v>
      </c>
      <c r="M58" s="321" t="s">
        <v>4340</v>
      </c>
      <c r="N58" s="334" t="s">
        <v>4529</v>
      </c>
      <c r="O58" s="260">
        <v>51</v>
      </c>
    </row>
    <row r="59" spans="2:15" ht="69.95" customHeight="1" x14ac:dyDescent="0.2">
      <c r="B59" s="260">
        <v>49</v>
      </c>
      <c r="C59" s="260">
        <v>4</v>
      </c>
      <c r="D59" s="256" t="s">
        <v>4211</v>
      </c>
      <c r="E59" s="292" t="s">
        <v>4206</v>
      </c>
      <c r="F59" s="257">
        <v>595000</v>
      </c>
      <c r="G59" s="305" t="s">
        <v>4207</v>
      </c>
      <c r="H59" s="287" t="s">
        <v>4212</v>
      </c>
      <c r="I59" s="256" t="s">
        <v>4209</v>
      </c>
      <c r="J59" s="256" t="s">
        <v>4039</v>
      </c>
      <c r="K59" s="259" t="s">
        <v>4213</v>
      </c>
      <c r="L59" s="321" t="s">
        <v>576</v>
      </c>
      <c r="M59" s="321" t="s">
        <v>4340</v>
      </c>
      <c r="N59" s="334" t="s">
        <v>4529</v>
      </c>
      <c r="O59" s="260">
        <v>51</v>
      </c>
    </row>
    <row r="60" spans="2:15" ht="69.95" customHeight="1" x14ac:dyDescent="0.2">
      <c r="B60" s="260">
        <v>50</v>
      </c>
      <c r="C60" s="260">
        <v>4</v>
      </c>
      <c r="D60" s="256" t="s">
        <v>4214</v>
      </c>
      <c r="E60" s="292" t="s">
        <v>4206</v>
      </c>
      <c r="F60" s="257">
        <v>239665141</v>
      </c>
      <c r="G60" s="305" t="s">
        <v>4039</v>
      </c>
      <c r="H60" s="287" t="s">
        <v>4215</v>
      </c>
      <c r="I60" s="256" t="s">
        <v>4209</v>
      </c>
      <c r="J60" s="256" t="s">
        <v>4039</v>
      </c>
      <c r="K60" s="259" t="s">
        <v>4216</v>
      </c>
      <c r="L60" s="321" t="s">
        <v>576</v>
      </c>
      <c r="M60" s="321" t="s">
        <v>4340</v>
      </c>
      <c r="N60" s="334" t="s">
        <v>4529</v>
      </c>
      <c r="O60" s="260">
        <v>51</v>
      </c>
    </row>
    <row r="61" spans="2:15" ht="69.95" customHeight="1" x14ac:dyDescent="0.2">
      <c r="B61" s="260">
        <v>51</v>
      </c>
      <c r="C61" s="260">
        <v>4</v>
      </c>
      <c r="D61" s="256" t="s">
        <v>4205</v>
      </c>
      <c r="E61" s="292" t="s">
        <v>4206</v>
      </c>
      <c r="F61" s="257">
        <v>26735000</v>
      </c>
      <c r="G61" s="305" t="s">
        <v>4207</v>
      </c>
      <c r="H61" s="287" t="s">
        <v>4208</v>
      </c>
      <c r="I61" s="256" t="s">
        <v>4209</v>
      </c>
      <c r="J61" s="256" t="s">
        <v>4039</v>
      </c>
      <c r="K61" s="259" t="s">
        <v>4210</v>
      </c>
      <c r="L61" s="321" t="s">
        <v>576</v>
      </c>
      <c r="M61" s="321" t="s">
        <v>4340</v>
      </c>
      <c r="N61" s="334" t="s">
        <v>4529</v>
      </c>
      <c r="O61" s="260">
        <v>51</v>
      </c>
    </row>
    <row r="62" spans="2:15" ht="69.95" customHeight="1" x14ac:dyDescent="0.2">
      <c r="B62" s="260">
        <v>52</v>
      </c>
      <c r="C62" s="260">
        <v>4</v>
      </c>
      <c r="D62" s="256" t="s">
        <v>4202</v>
      </c>
      <c r="E62" s="292" t="s">
        <v>4138</v>
      </c>
      <c r="F62" s="257">
        <v>208979992</v>
      </c>
      <c r="G62" s="305" t="s">
        <v>4199</v>
      </c>
      <c r="H62" s="287" t="s">
        <v>4203</v>
      </c>
      <c r="I62" s="256" t="s">
        <v>4137</v>
      </c>
      <c r="J62" s="256" t="s">
        <v>4053</v>
      </c>
      <c r="K62" s="259" t="s">
        <v>4204</v>
      </c>
      <c r="L62" s="321" t="s">
        <v>576</v>
      </c>
      <c r="M62" s="321" t="s">
        <v>4340</v>
      </c>
      <c r="N62" s="334" t="s">
        <v>4529</v>
      </c>
      <c r="O62" s="260">
        <v>51</v>
      </c>
    </row>
    <row r="63" spans="2:15" ht="69.95" customHeight="1" x14ac:dyDescent="0.2">
      <c r="B63" s="260">
        <v>53</v>
      </c>
      <c r="C63" s="260">
        <v>4</v>
      </c>
      <c r="D63" s="256" t="s">
        <v>4198</v>
      </c>
      <c r="E63" s="292" t="s">
        <v>4138</v>
      </c>
      <c r="F63" s="257">
        <v>3233300</v>
      </c>
      <c r="G63" s="305" t="s">
        <v>4199</v>
      </c>
      <c r="H63" s="287" t="s">
        <v>4200</v>
      </c>
      <c r="I63" s="256" t="s">
        <v>4137</v>
      </c>
      <c r="J63" s="256" t="s">
        <v>4053</v>
      </c>
      <c r="K63" s="259" t="s">
        <v>4201</v>
      </c>
      <c r="L63" s="321" t="s">
        <v>576</v>
      </c>
      <c r="M63" s="321" t="s">
        <v>4340</v>
      </c>
      <c r="N63" s="334" t="s">
        <v>4529</v>
      </c>
      <c r="O63" s="260">
        <v>51</v>
      </c>
    </row>
    <row r="64" spans="2:15" ht="69.95" customHeight="1" x14ac:dyDescent="0.2">
      <c r="B64" s="260">
        <v>54</v>
      </c>
      <c r="C64" s="260">
        <v>4</v>
      </c>
      <c r="D64" s="256" t="s">
        <v>4194</v>
      </c>
      <c r="E64" s="292" t="s">
        <v>4172</v>
      </c>
      <c r="F64" s="257">
        <v>121465086</v>
      </c>
      <c r="G64" s="305" t="s">
        <v>4195</v>
      </c>
      <c r="H64" s="287" t="s">
        <v>4196</v>
      </c>
      <c r="I64" s="256" t="s">
        <v>4138</v>
      </c>
      <c r="J64" s="256" t="s">
        <v>4039</v>
      </c>
      <c r="K64" s="259" t="s">
        <v>4197</v>
      </c>
      <c r="L64" s="321" t="s">
        <v>576</v>
      </c>
      <c r="M64" s="321" t="s">
        <v>4340</v>
      </c>
      <c r="N64" s="334" t="s">
        <v>4529</v>
      </c>
      <c r="O64" s="260">
        <v>51</v>
      </c>
    </row>
    <row r="65" spans="2:15" ht="69.95" customHeight="1" x14ac:dyDescent="0.2">
      <c r="B65" s="260">
        <v>55</v>
      </c>
      <c r="C65" s="260">
        <v>4</v>
      </c>
      <c r="D65" s="260" t="s">
        <v>4083</v>
      </c>
      <c r="E65" s="291" t="s">
        <v>4084</v>
      </c>
      <c r="F65" s="288">
        <f>6840000+360000</f>
        <v>7200000</v>
      </c>
      <c r="G65" s="301" t="s">
        <v>4039</v>
      </c>
      <c r="H65" s="260" t="s">
        <v>4085</v>
      </c>
      <c r="I65" s="260" t="s">
        <v>4084</v>
      </c>
      <c r="J65" s="260" t="s">
        <v>4039</v>
      </c>
      <c r="K65" s="262" t="s">
        <v>4086</v>
      </c>
      <c r="L65" s="321" t="s">
        <v>535</v>
      </c>
      <c r="M65" s="321" t="s">
        <v>4372</v>
      </c>
      <c r="N65" s="334"/>
      <c r="O65" s="260">
        <v>52</v>
      </c>
    </row>
    <row r="66" spans="2:15" ht="69.95" customHeight="1" x14ac:dyDescent="0.2">
      <c r="B66" s="260">
        <v>56</v>
      </c>
      <c r="C66" s="260">
        <v>4</v>
      </c>
      <c r="D66" s="260" t="s">
        <v>4106</v>
      </c>
      <c r="E66" s="291" t="s">
        <v>4084</v>
      </c>
      <c r="F66" s="288">
        <v>63640000</v>
      </c>
      <c r="G66" s="300" t="s">
        <v>4036</v>
      </c>
      <c r="H66" s="261" t="s">
        <v>4107</v>
      </c>
      <c r="I66" s="260" t="s">
        <v>4084</v>
      </c>
      <c r="J66" s="260" t="s">
        <v>4039</v>
      </c>
      <c r="K66" s="262" t="s">
        <v>4108</v>
      </c>
      <c r="L66" s="321" t="s">
        <v>576</v>
      </c>
      <c r="M66" s="321" t="s">
        <v>4338</v>
      </c>
      <c r="N66" s="334" t="s">
        <v>4530</v>
      </c>
      <c r="O66" s="260">
        <v>52</v>
      </c>
    </row>
    <row r="67" spans="2:15" ht="69.95" customHeight="1" x14ac:dyDescent="0.2">
      <c r="B67" s="260">
        <v>57</v>
      </c>
      <c r="C67" s="260">
        <v>4</v>
      </c>
      <c r="D67" s="260" t="s">
        <v>4121</v>
      </c>
      <c r="E67" s="291" t="s">
        <v>4115</v>
      </c>
      <c r="F67" s="288">
        <v>6060000</v>
      </c>
      <c r="G67" s="301" t="s">
        <v>4039</v>
      </c>
      <c r="H67" s="261" t="s">
        <v>4122</v>
      </c>
      <c r="I67" s="260" t="s">
        <v>4110</v>
      </c>
      <c r="J67" s="260" t="s">
        <v>4039</v>
      </c>
      <c r="K67" s="262" t="s">
        <v>4123</v>
      </c>
      <c r="L67" s="321" t="s">
        <v>531</v>
      </c>
      <c r="M67" s="321" t="s">
        <v>4373</v>
      </c>
      <c r="N67" s="334"/>
      <c r="O67" s="260">
        <v>52</v>
      </c>
    </row>
    <row r="68" spans="2:15" ht="69.95" customHeight="1" x14ac:dyDescent="0.2">
      <c r="B68" s="260">
        <v>58</v>
      </c>
      <c r="C68" s="260">
        <v>4</v>
      </c>
      <c r="D68" s="260" t="s">
        <v>4124</v>
      </c>
      <c r="E68" s="291" t="s">
        <v>4115</v>
      </c>
      <c r="F68" s="288">
        <v>1800000</v>
      </c>
      <c r="G68" s="301" t="s">
        <v>4039</v>
      </c>
      <c r="H68" s="261" t="s">
        <v>4125</v>
      </c>
      <c r="I68" s="260" t="s">
        <v>4110</v>
      </c>
      <c r="J68" s="260" t="s">
        <v>4039</v>
      </c>
      <c r="K68" s="262" t="s">
        <v>4126</v>
      </c>
      <c r="L68" s="321" t="s">
        <v>531</v>
      </c>
      <c r="M68" s="321" t="s">
        <v>4374</v>
      </c>
      <c r="N68" s="334"/>
      <c r="O68" s="260">
        <v>52</v>
      </c>
    </row>
    <row r="69" spans="2:15" ht="69.95" customHeight="1" x14ac:dyDescent="0.2">
      <c r="B69" s="260">
        <v>59</v>
      </c>
      <c r="C69" s="260">
        <v>4</v>
      </c>
      <c r="D69" s="260" t="s">
        <v>4127</v>
      </c>
      <c r="E69" s="291" t="s">
        <v>4115</v>
      </c>
      <c r="F69" s="288">
        <v>6320000</v>
      </c>
      <c r="G69" s="301" t="s">
        <v>4039</v>
      </c>
      <c r="H69" s="261" t="s">
        <v>4128</v>
      </c>
      <c r="I69" s="260" t="s">
        <v>4110</v>
      </c>
      <c r="J69" s="260" t="s">
        <v>4039</v>
      </c>
      <c r="K69" s="262" t="s">
        <v>4129</v>
      </c>
      <c r="L69" s="321" t="s">
        <v>535</v>
      </c>
      <c r="M69" s="321" t="s">
        <v>4375</v>
      </c>
      <c r="N69" s="334"/>
      <c r="O69" s="260">
        <v>52</v>
      </c>
    </row>
    <row r="70" spans="2:15" ht="69.95" customHeight="1" x14ac:dyDescent="0.2">
      <c r="B70" s="260">
        <v>60</v>
      </c>
      <c r="C70" s="260">
        <v>4</v>
      </c>
      <c r="D70" s="260" t="s">
        <v>4130</v>
      </c>
      <c r="E70" s="291" t="s">
        <v>4115</v>
      </c>
      <c r="F70" s="288">
        <v>3570000</v>
      </c>
      <c r="G70" s="301" t="s">
        <v>4039</v>
      </c>
      <c r="H70" s="261" t="s">
        <v>4131</v>
      </c>
      <c r="I70" s="260" t="s">
        <v>4110</v>
      </c>
      <c r="J70" s="260" t="s">
        <v>4039</v>
      </c>
      <c r="K70" s="262" t="s">
        <v>4132</v>
      </c>
      <c r="L70" s="321" t="s">
        <v>542</v>
      </c>
      <c r="M70" s="321" t="s">
        <v>4339</v>
      </c>
      <c r="N70" s="334"/>
      <c r="O70" s="260">
        <v>52</v>
      </c>
    </row>
    <row r="71" spans="2:15" ht="69.95" customHeight="1" x14ac:dyDescent="0.2">
      <c r="B71" s="260">
        <v>61</v>
      </c>
      <c r="C71" s="260">
        <v>4</v>
      </c>
      <c r="D71" s="260" t="s">
        <v>4133</v>
      </c>
      <c r="E71" s="291" t="s">
        <v>4115</v>
      </c>
      <c r="F71" s="288">
        <v>1040000</v>
      </c>
      <c r="G71" s="301" t="s">
        <v>4039</v>
      </c>
      <c r="H71" s="261" t="s">
        <v>4134</v>
      </c>
      <c r="I71" s="260" t="s">
        <v>4110</v>
      </c>
      <c r="J71" s="260" t="s">
        <v>4039</v>
      </c>
      <c r="K71" s="262" t="s">
        <v>4135</v>
      </c>
      <c r="L71" s="321" t="s">
        <v>531</v>
      </c>
      <c r="M71" s="321" t="s">
        <v>4374</v>
      </c>
      <c r="N71" s="334"/>
      <c r="O71" s="260">
        <v>52</v>
      </c>
    </row>
    <row r="72" spans="2:15" ht="69.95" customHeight="1" x14ac:dyDescent="0.2">
      <c r="B72" s="260">
        <v>62</v>
      </c>
      <c r="C72" s="260">
        <v>4</v>
      </c>
      <c r="D72" s="256" t="s">
        <v>4136</v>
      </c>
      <c r="E72" s="292" t="s">
        <v>4138</v>
      </c>
      <c r="F72" s="257">
        <v>8760000</v>
      </c>
      <c r="G72" s="301" t="s">
        <v>4039</v>
      </c>
      <c r="H72" s="256" t="s">
        <v>4146</v>
      </c>
      <c r="I72" s="256" t="s">
        <v>4137</v>
      </c>
      <c r="J72" s="256" t="s">
        <v>4039</v>
      </c>
      <c r="K72" s="259" t="s">
        <v>4147</v>
      </c>
      <c r="L72" s="321" t="s">
        <v>542</v>
      </c>
      <c r="M72" s="321" t="s">
        <v>4376</v>
      </c>
      <c r="N72" s="334"/>
      <c r="O72" s="260">
        <v>52</v>
      </c>
    </row>
    <row r="73" spans="2:15" ht="69.95" customHeight="1" x14ac:dyDescent="0.2">
      <c r="B73" s="260">
        <v>63</v>
      </c>
      <c r="C73" s="260">
        <v>4</v>
      </c>
      <c r="D73" s="256" t="s">
        <v>4143</v>
      </c>
      <c r="E73" s="292" t="s">
        <v>4138</v>
      </c>
      <c r="F73" s="257">
        <v>4980000</v>
      </c>
      <c r="G73" s="301" t="s">
        <v>4039</v>
      </c>
      <c r="H73" s="256" t="s">
        <v>4156</v>
      </c>
      <c r="I73" s="256" t="s">
        <v>4137</v>
      </c>
      <c r="J73" s="256" t="s">
        <v>4039</v>
      </c>
      <c r="K73" s="259" t="s">
        <v>4157</v>
      </c>
      <c r="L73" s="321" t="s">
        <v>542</v>
      </c>
      <c r="M73" s="321" t="s">
        <v>4376</v>
      </c>
      <c r="N73" s="334"/>
      <c r="O73" s="260">
        <v>52</v>
      </c>
    </row>
    <row r="74" spans="2:15" ht="69.95" customHeight="1" x14ac:dyDescent="0.2">
      <c r="B74" s="260">
        <v>64</v>
      </c>
      <c r="C74" s="260">
        <v>4</v>
      </c>
      <c r="D74" s="256" t="s">
        <v>4140</v>
      </c>
      <c r="E74" s="292" t="s">
        <v>4138</v>
      </c>
      <c r="F74" s="257">
        <v>34977460</v>
      </c>
      <c r="G74" s="301" t="s">
        <v>4039</v>
      </c>
      <c r="H74" s="256" t="s">
        <v>4150</v>
      </c>
      <c r="I74" s="256" t="s">
        <v>4137</v>
      </c>
      <c r="J74" s="256" t="s">
        <v>4039</v>
      </c>
      <c r="K74" s="259" t="s">
        <v>4151</v>
      </c>
      <c r="L74" s="321" t="s">
        <v>576</v>
      </c>
      <c r="M74" s="321" t="s">
        <v>4338</v>
      </c>
      <c r="N74" s="334"/>
      <c r="O74" s="260">
        <v>52</v>
      </c>
    </row>
    <row r="75" spans="2:15" ht="69.95" customHeight="1" x14ac:dyDescent="0.2">
      <c r="B75" s="260">
        <v>65</v>
      </c>
      <c r="C75" s="260">
        <v>4</v>
      </c>
      <c r="D75" s="256" t="s">
        <v>4141</v>
      </c>
      <c r="E75" s="292" t="s">
        <v>4138</v>
      </c>
      <c r="F75" s="257">
        <v>5656000</v>
      </c>
      <c r="G75" s="301" t="s">
        <v>4039</v>
      </c>
      <c r="H75" s="256" t="s">
        <v>4152</v>
      </c>
      <c r="I75" s="256" t="s">
        <v>4137</v>
      </c>
      <c r="J75" s="256" t="s">
        <v>4039</v>
      </c>
      <c r="K75" s="259" t="s">
        <v>4153</v>
      </c>
      <c r="L75" s="321" t="s">
        <v>531</v>
      </c>
      <c r="M75" s="321" t="s">
        <v>4373</v>
      </c>
      <c r="N75" s="334"/>
      <c r="O75" s="260">
        <v>52</v>
      </c>
    </row>
    <row r="76" spans="2:15" ht="69.95" customHeight="1" x14ac:dyDescent="0.2">
      <c r="B76" s="260">
        <v>66</v>
      </c>
      <c r="C76" s="260">
        <v>4</v>
      </c>
      <c r="D76" s="256" t="s">
        <v>4162</v>
      </c>
      <c r="E76" s="292" t="s">
        <v>4138</v>
      </c>
      <c r="F76" s="257">
        <v>6180000</v>
      </c>
      <c r="G76" s="301" t="s">
        <v>4039</v>
      </c>
      <c r="H76" s="256" t="s">
        <v>4164</v>
      </c>
      <c r="I76" s="256" t="s">
        <v>4137</v>
      </c>
      <c r="J76" s="256" t="s">
        <v>4039</v>
      </c>
      <c r="K76" s="259" t="s">
        <v>4165</v>
      </c>
      <c r="L76" s="321" t="s">
        <v>535</v>
      </c>
      <c r="M76" s="321" t="s">
        <v>4372</v>
      </c>
      <c r="N76" s="334"/>
      <c r="O76" s="260">
        <v>52</v>
      </c>
    </row>
    <row r="77" spans="2:15" ht="69.95" customHeight="1" x14ac:dyDescent="0.2">
      <c r="B77" s="260">
        <v>67</v>
      </c>
      <c r="C77" s="260">
        <v>4</v>
      </c>
      <c r="D77" s="256" t="s">
        <v>4142</v>
      </c>
      <c r="E77" s="292" t="s">
        <v>4138</v>
      </c>
      <c r="F77" s="257">
        <v>5900000</v>
      </c>
      <c r="G77" s="301" t="s">
        <v>4039</v>
      </c>
      <c r="H77" s="256" t="s">
        <v>4154</v>
      </c>
      <c r="I77" s="256" t="s">
        <v>4137</v>
      </c>
      <c r="J77" s="256" t="s">
        <v>4039</v>
      </c>
      <c r="K77" s="259" t="s">
        <v>4155</v>
      </c>
      <c r="L77" s="321" t="s">
        <v>542</v>
      </c>
      <c r="M77" s="321" t="s">
        <v>4339</v>
      </c>
      <c r="N77" s="334"/>
      <c r="O77" s="260">
        <v>52</v>
      </c>
    </row>
    <row r="78" spans="2:15" ht="69.95" customHeight="1" x14ac:dyDescent="0.2">
      <c r="B78" s="260">
        <v>68</v>
      </c>
      <c r="C78" s="260">
        <v>4</v>
      </c>
      <c r="D78" s="256" t="s">
        <v>4144</v>
      </c>
      <c r="E78" s="292" t="s">
        <v>4138</v>
      </c>
      <c r="F78" s="257">
        <v>6330000</v>
      </c>
      <c r="G78" s="301" t="s">
        <v>4039</v>
      </c>
      <c r="H78" s="256" t="s">
        <v>4158</v>
      </c>
      <c r="I78" s="256" t="s">
        <v>4137</v>
      </c>
      <c r="J78" s="256" t="s">
        <v>4039</v>
      </c>
      <c r="K78" s="259" t="s">
        <v>4159</v>
      </c>
      <c r="L78" s="321" t="s">
        <v>542</v>
      </c>
      <c r="M78" s="321" t="s">
        <v>4339</v>
      </c>
      <c r="N78" s="334"/>
      <c r="O78" s="260">
        <v>52</v>
      </c>
    </row>
    <row r="79" spans="2:15" ht="69.95" customHeight="1" x14ac:dyDescent="0.2">
      <c r="B79" s="260">
        <v>69</v>
      </c>
      <c r="C79" s="260">
        <v>4</v>
      </c>
      <c r="D79" s="256" t="s">
        <v>4145</v>
      </c>
      <c r="E79" s="292" t="s">
        <v>4138</v>
      </c>
      <c r="F79" s="257">
        <v>75325796</v>
      </c>
      <c r="G79" s="302" t="s">
        <v>3839</v>
      </c>
      <c r="H79" s="256" t="s">
        <v>4160</v>
      </c>
      <c r="I79" s="256" t="s">
        <v>4137</v>
      </c>
      <c r="J79" s="256" t="s">
        <v>4039</v>
      </c>
      <c r="K79" s="259" t="s">
        <v>4161</v>
      </c>
      <c r="L79" s="321"/>
      <c r="M79" s="321"/>
      <c r="N79" s="334"/>
      <c r="O79" s="260">
        <v>52</v>
      </c>
    </row>
    <row r="80" spans="2:15" ht="69.95" customHeight="1" x14ac:dyDescent="0.2">
      <c r="B80" s="260">
        <v>70</v>
      </c>
      <c r="C80" s="260">
        <v>4</v>
      </c>
      <c r="D80" s="256" t="s">
        <v>4163</v>
      </c>
      <c r="E80" s="292" t="s">
        <v>4138</v>
      </c>
      <c r="F80" s="257">
        <v>19929200</v>
      </c>
      <c r="G80" s="302" t="s">
        <v>3839</v>
      </c>
      <c r="H80" s="256" t="s">
        <v>4166</v>
      </c>
      <c r="I80" s="256" t="s">
        <v>4137</v>
      </c>
      <c r="J80" s="256" t="s">
        <v>4039</v>
      </c>
      <c r="K80" s="259" t="s">
        <v>4167</v>
      </c>
      <c r="L80" s="321"/>
      <c r="M80" s="321"/>
      <c r="N80" s="334"/>
      <c r="O80" s="260">
        <v>52</v>
      </c>
    </row>
    <row r="81" spans="2:15" ht="69.95" customHeight="1" x14ac:dyDescent="0.2">
      <c r="B81" s="260">
        <v>71</v>
      </c>
      <c r="C81" s="260">
        <v>4</v>
      </c>
      <c r="D81" s="256" t="s">
        <v>4330</v>
      </c>
      <c r="E81" s="292" t="s">
        <v>4300</v>
      </c>
      <c r="F81" s="288">
        <v>63640000</v>
      </c>
      <c r="G81" s="300" t="s">
        <v>4331</v>
      </c>
      <c r="H81" s="256" t="s">
        <v>4332</v>
      </c>
      <c r="I81" s="256" t="s">
        <v>4172</v>
      </c>
      <c r="J81" s="256" t="s">
        <v>4053</v>
      </c>
      <c r="K81" s="259" t="s">
        <v>4333</v>
      </c>
      <c r="L81" s="321" t="s">
        <v>576</v>
      </c>
      <c r="M81" s="321" t="s">
        <v>4338</v>
      </c>
      <c r="N81" s="334" t="s">
        <v>4530</v>
      </c>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4189</v>
      </c>
      <c r="E88" s="292" t="s">
        <v>4190</v>
      </c>
      <c r="F88" s="257">
        <v>210863345</v>
      </c>
      <c r="G88" s="305" t="s">
        <v>4191</v>
      </c>
      <c r="H88" s="287" t="s">
        <v>4192</v>
      </c>
      <c r="I88" s="256" t="s">
        <v>4110</v>
      </c>
      <c r="J88" s="256" t="s">
        <v>4053</v>
      </c>
      <c r="K88" s="259" t="s">
        <v>4193</v>
      </c>
      <c r="L88" s="321" t="s">
        <v>576</v>
      </c>
      <c r="M88" s="321" t="s">
        <v>4340</v>
      </c>
      <c r="N88" s="334" t="s">
        <v>4529</v>
      </c>
      <c r="O88" s="260">
        <v>51</v>
      </c>
    </row>
    <row r="89" spans="2:15" ht="69.95" customHeight="1" x14ac:dyDescent="0.2">
      <c r="B89" s="260">
        <v>79</v>
      </c>
      <c r="C89" s="260">
        <v>5</v>
      </c>
      <c r="D89" s="256" t="s">
        <v>4335</v>
      </c>
      <c r="E89" s="292" t="s">
        <v>4334</v>
      </c>
      <c r="F89" s="257">
        <v>236089382</v>
      </c>
      <c r="G89" s="305" t="s">
        <v>4039</v>
      </c>
      <c r="H89" s="317" t="s">
        <v>4336</v>
      </c>
      <c r="I89" s="256" t="s">
        <v>4306</v>
      </c>
      <c r="J89" s="256" t="s">
        <v>4039</v>
      </c>
      <c r="K89" s="259" t="s">
        <v>4337</v>
      </c>
      <c r="L89" s="321" t="s">
        <v>576</v>
      </c>
      <c r="M89" s="321" t="s">
        <v>4340</v>
      </c>
      <c r="N89" s="334" t="s">
        <v>4529</v>
      </c>
      <c r="O89" s="260">
        <v>51</v>
      </c>
    </row>
    <row r="90" spans="2:15" ht="69.95" customHeight="1" x14ac:dyDescent="0.2">
      <c r="B90" s="260">
        <v>80</v>
      </c>
      <c r="C90" s="260">
        <v>5</v>
      </c>
      <c r="D90" s="256" t="s">
        <v>4358</v>
      </c>
      <c r="E90" s="292" t="s">
        <v>4359</v>
      </c>
      <c r="F90" s="257">
        <v>26312000</v>
      </c>
      <c r="G90" s="305" t="s">
        <v>4207</v>
      </c>
      <c r="H90" s="287" t="s">
        <v>4360</v>
      </c>
      <c r="I90" s="256" t="s">
        <v>4359</v>
      </c>
      <c r="J90" s="256" t="s">
        <v>4039</v>
      </c>
      <c r="K90" s="259" t="s">
        <v>4361</v>
      </c>
      <c r="L90" s="321" t="s">
        <v>576</v>
      </c>
      <c r="M90" s="321" t="s">
        <v>4340</v>
      </c>
      <c r="N90" s="334" t="s">
        <v>4529</v>
      </c>
      <c r="O90" s="260">
        <v>51</v>
      </c>
    </row>
    <row r="91" spans="2:15" ht="69.95" customHeight="1" x14ac:dyDescent="0.2">
      <c r="B91" s="260">
        <v>81</v>
      </c>
      <c r="C91" s="260">
        <v>5</v>
      </c>
      <c r="D91" s="256" t="s">
        <v>4362</v>
      </c>
      <c r="E91" s="292" t="s">
        <v>4363</v>
      </c>
      <c r="F91" s="257">
        <v>4745975</v>
      </c>
      <c r="G91" s="305" t="s">
        <v>4039</v>
      </c>
      <c r="H91" s="256" t="s">
        <v>4364</v>
      </c>
      <c r="I91" s="256" t="s">
        <v>4365</v>
      </c>
      <c r="J91" s="256" t="s">
        <v>4039</v>
      </c>
      <c r="K91" s="259" t="s">
        <v>4366</v>
      </c>
      <c r="L91" s="321" t="s">
        <v>576</v>
      </c>
      <c r="M91" s="321" t="s">
        <v>4340</v>
      </c>
      <c r="N91" s="334" t="s">
        <v>4529</v>
      </c>
      <c r="O91" s="260">
        <v>51</v>
      </c>
    </row>
    <row r="92" spans="2:15" ht="69.95" customHeight="1" x14ac:dyDescent="0.2">
      <c r="B92" s="260">
        <v>82</v>
      </c>
      <c r="C92" s="260">
        <v>5</v>
      </c>
      <c r="D92" s="256" t="s">
        <v>4367</v>
      </c>
      <c r="E92" s="292" t="s">
        <v>4363</v>
      </c>
      <c r="F92" s="257">
        <v>221543</v>
      </c>
      <c r="G92" s="305" t="s">
        <v>4219</v>
      </c>
      <c r="H92" s="256" t="s">
        <v>4368</v>
      </c>
      <c r="I92" s="256" t="s">
        <v>4365</v>
      </c>
      <c r="J92" s="256" t="s">
        <v>4039</v>
      </c>
      <c r="K92" s="259" t="s">
        <v>4369</v>
      </c>
      <c r="L92" s="321" t="s">
        <v>576</v>
      </c>
      <c r="M92" s="321" t="s">
        <v>4340</v>
      </c>
      <c r="N92" s="334" t="s">
        <v>4529</v>
      </c>
      <c r="O92" s="260">
        <v>51</v>
      </c>
    </row>
    <row r="93" spans="2:15" ht="69.95" customHeight="1" x14ac:dyDescent="0.2">
      <c r="B93" s="260">
        <v>83</v>
      </c>
      <c r="C93" s="260">
        <v>5</v>
      </c>
      <c r="D93" s="256" t="s">
        <v>4401</v>
      </c>
      <c r="E93" s="292" t="s">
        <v>4380</v>
      </c>
      <c r="F93" s="257">
        <v>2372988</v>
      </c>
      <c r="G93" s="305" t="s">
        <v>4195</v>
      </c>
      <c r="H93" s="256" t="s">
        <v>4402</v>
      </c>
      <c r="I93" s="256" t="s">
        <v>4382</v>
      </c>
      <c r="J93" s="256" t="s">
        <v>4039</v>
      </c>
      <c r="K93" s="259" t="s">
        <v>4201</v>
      </c>
      <c r="L93" s="313" t="s">
        <v>576</v>
      </c>
      <c r="M93" s="313" t="s">
        <v>4340</v>
      </c>
      <c r="N93" s="334" t="s">
        <v>4529</v>
      </c>
      <c r="O93" s="260">
        <v>51</v>
      </c>
    </row>
    <row r="94" spans="2:15" ht="69.95" customHeight="1" x14ac:dyDescent="0.2">
      <c r="B94" s="260">
        <v>84</v>
      </c>
      <c r="C94" s="260">
        <v>5</v>
      </c>
      <c r="D94" s="256" t="s">
        <v>4327</v>
      </c>
      <c r="E94" s="292" t="s">
        <v>4190</v>
      </c>
      <c r="F94" s="288">
        <v>63640000</v>
      </c>
      <c r="G94" s="300" t="s">
        <v>4050</v>
      </c>
      <c r="H94" s="256" t="s">
        <v>4328</v>
      </c>
      <c r="I94" s="256" t="s">
        <v>4172</v>
      </c>
      <c r="J94" s="256" t="s">
        <v>4053</v>
      </c>
      <c r="K94" s="259" t="s">
        <v>4329</v>
      </c>
      <c r="L94" s="321" t="s">
        <v>576</v>
      </c>
      <c r="M94" s="321" t="s">
        <v>4338</v>
      </c>
      <c r="N94" s="334" t="s">
        <v>4530</v>
      </c>
      <c r="O94" s="260">
        <v>52</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4425</v>
      </c>
      <c r="E114" s="292" t="s">
        <v>4427</v>
      </c>
      <c r="F114" s="257">
        <v>11850000</v>
      </c>
      <c r="G114" s="319" t="s">
        <v>4039</v>
      </c>
      <c r="H114" s="258" t="s">
        <v>4428</v>
      </c>
      <c r="I114" s="256" t="s">
        <v>4426</v>
      </c>
      <c r="J114" s="256" t="s">
        <v>4039</v>
      </c>
      <c r="K114" s="259" t="s">
        <v>4429</v>
      </c>
      <c r="L114" s="313" t="s">
        <v>542</v>
      </c>
      <c r="M114" s="313" t="s">
        <v>4339</v>
      </c>
      <c r="N114" s="334" t="s">
        <v>4528</v>
      </c>
      <c r="O114" s="260">
        <v>52</v>
      </c>
    </row>
    <row r="115" spans="2:15" ht="69.95" customHeight="1" x14ac:dyDescent="0.2">
      <c r="B115" s="260">
        <v>105</v>
      </c>
      <c r="C115" s="260">
        <v>6</v>
      </c>
      <c r="D115" s="256" t="s">
        <v>4445</v>
      </c>
      <c r="E115" s="292" t="s">
        <v>4427</v>
      </c>
      <c r="F115" s="257">
        <v>8750000</v>
      </c>
      <c r="G115" s="319" t="s">
        <v>4307</v>
      </c>
      <c r="H115" s="258" t="s">
        <v>4446</v>
      </c>
      <c r="I115" s="256" t="s">
        <v>4426</v>
      </c>
      <c r="J115" s="256" t="s">
        <v>4039</v>
      </c>
      <c r="K115" s="259" t="s">
        <v>4447</v>
      </c>
      <c r="L115" s="313" t="s">
        <v>542</v>
      </c>
      <c r="M115" s="313" t="s">
        <v>4339</v>
      </c>
      <c r="N115" s="334" t="s">
        <v>4528</v>
      </c>
      <c r="O115" s="260">
        <v>52</v>
      </c>
    </row>
    <row r="116" spans="2:15" ht="69.95" customHeight="1" x14ac:dyDescent="0.2">
      <c r="B116" s="260">
        <v>106</v>
      </c>
      <c r="C116" s="260">
        <v>6</v>
      </c>
      <c r="D116" s="256" t="s">
        <v>4442</v>
      </c>
      <c r="E116" s="292" t="s">
        <v>4427</v>
      </c>
      <c r="F116" s="257">
        <v>136000000</v>
      </c>
      <c r="G116" s="319" t="s">
        <v>4307</v>
      </c>
      <c r="H116" s="258" t="s">
        <v>4443</v>
      </c>
      <c r="I116" s="256" t="s">
        <v>4426</v>
      </c>
      <c r="J116" s="256" t="s">
        <v>4039</v>
      </c>
      <c r="K116" s="259" t="s">
        <v>4444</v>
      </c>
      <c r="L116" s="313" t="s">
        <v>542</v>
      </c>
      <c r="M116" s="313" t="s">
        <v>4339</v>
      </c>
      <c r="N116" s="334" t="s">
        <v>4528</v>
      </c>
      <c r="O116" s="260">
        <v>52</v>
      </c>
    </row>
    <row r="117" spans="2:15" ht="69.95" customHeight="1" x14ac:dyDescent="0.2">
      <c r="B117" s="260">
        <v>107</v>
      </c>
      <c r="C117" s="260">
        <v>6</v>
      </c>
      <c r="D117" s="256" t="s">
        <v>4457</v>
      </c>
      <c r="E117" s="292" t="s">
        <v>4427</v>
      </c>
      <c r="F117" s="257">
        <v>202275000</v>
      </c>
      <c r="G117" s="319" t="s">
        <v>4307</v>
      </c>
      <c r="H117" s="258" t="s">
        <v>4458</v>
      </c>
      <c r="I117" s="256" t="s">
        <v>4426</v>
      </c>
      <c r="J117" s="256" t="s">
        <v>4039</v>
      </c>
      <c r="K117" s="259" t="s">
        <v>4459</v>
      </c>
      <c r="L117" s="313" t="s">
        <v>542</v>
      </c>
      <c r="M117" s="313" t="s">
        <v>4339</v>
      </c>
      <c r="N117" s="334" t="s">
        <v>4528</v>
      </c>
      <c r="O117" s="260">
        <v>52</v>
      </c>
    </row>
    <row r="118" spans="2:15" ht="69.95" customHeight="1" x14ac:dyDescent="0.2">
      <c r="B118" s="260">
        <v>108</v>
      </c>
      <c r="C118" s="260">
        <v>6</v>
      </c>
      <c r="D118" s="256" t="s">
        <v>4430</v>
      </c>
      <c r="E118" s="292" t="s">
        <v>4427</v>
      </c>
      <c r="F118" s="257">
        <v>32800000</v>
      </c>
      <c r="G118" s="319" t="s">
        <v>4307</v>
      </c>
      <c r="H118" s="258" t="s">
        <v>4431</v>
      </c>
      <c r="I118" s="256" t="s">
        <v>4426</v>
      </c>
      <c r="J118" s="256" t="s">
        <v>4039</v>
      </c>
      <c r="K118" s="259" t="s">
        <v>4432</v>
      </c>
      <c r="L118" s="313" t="s">
        <v>542</v>
      </c>
      <c r="M118" s="313" t="s">
        <v>4339</v>
      </c>
      <c r="N118" s="334" t="s">
        <v>4528</v>
      </c>
      <c r="O118" s="260">
        <v>52</v>
      </c>
    </row>
    <row r="119" spans="2:15" ht="69.95" customHeight="1" x14ac:dyDescent="0.2">
      <c r="B119" s="260">
        <v>109</v>
      </c>
      <c r="C119" s="260">
        <v>6</v>
      </c>
      <c r="D119" s="256" t="s">
        <v>4448</v>
      </c>
      <c r="E119" s="292" t="s">
        <v>4427</v>
      </c>
      <c r="F119" s="257">
        <v>39150000</v>
      </c>
      <c r="G119" s="319" t="s">
        <v>4307</v>
      </c>
      <c r="H119" s="258" t="s">
        <v>4449</v>
      </c>
      <c r="I119" s="256" t="s">
        <v>4426</v>
      </c>
      <c r="J119" s="256" t="s">
        <v>4039</v>
      </c>
      <c r="K119" s="259" t="s">
        <v>4450</v>
      </c>
      <c r="L119" s="313" t="s">
        <v>542</v>
      </c>
      <c r="M119" s="313" t="s">
        <v>4339</v>
      </c>
      <c r="N119" s="334" t="s">
        <v>4528</v>
      </c>
      <c r="O119" s="260">
        <v>52</v>
      </c>
    </row>
    <row r="120" spans="2:15" ht="69.95" customHeight="1" x14ac:dyDescent="0.2">
      <c r="B120" s="260">
        <v>110</v>
      </c>
      <c r="C120" s="260">
        <v>6</v>
      </c>
      <c r="D120" s="287" t="s">
        <v>4463</v>
      </c>
      <c r="E120" s="293" t="s">
        <v>4464</v>
      </c>
      <c r="F120" s="288">
        <v>180000000</v>
      </c>
      <c r="G120" s="323" t="s">
        <v>4039</v>
      </c>
      <c r="H120" s="287" t="s">
        <v>4465</v>
      </c>
      <c r="I120" s="287" t="s">
        <v>4427</v>
      </c>
      <c r="J120" s="287" t="s">
        <v>4039</v>
      </c>
      <c r="K120" s="289" t="s">
        <v>4466</v>
      </c>
      <c r="L120" s="313" t="s">
        <v>542</v>
      </c>
      <c r="M120" s="313" t="s">
        <v>4339</v>
      </c>
      <c r="N120" s="334" t="s">
        <v>4528</v>
      </c>
      <c r="O120" s="260">
        <v>52</v>
      </c>
    </row>
    <row r="121" spans="2:15" ht="69.95" customHeight="1" x14ac:dyDescent="0.2">
      <c r="B121" s="260">
        <v>111</v>
      </c>
      <c r="C121" s="260">
        <v>6</v>
      </c>
      <c r="D121" s="287" t="s">
        <v>4485</v>
      </c>
      <c r="E121" s="293" t="s">
        <v>4464</v>
      </c>
      <c r="F121" s="288">
        <v>30000000</v>
      </c>
      <c r="G121" s="319" t="s">
        <v>4039</v>
      </c>
      <c r="H121" s="287" t="s">
        <v>4486</v>
      </c>
      <c r="I121" s="287" t="s">
        <v>4427</v>
      </c>
      <c r="J121" s="287" t="s">
        <v>4039</v>
      </c>
      <c r="K121" s="289" t="s">
        <v>4487</v>
      </c>
      <c r="L121" s="313" t="s">
        <v>542</v>
      </c>
      <c r="M121" s="313" t="s">
        <v>4339</v>
      </c>
      <c r="N121" s="334" t="s">
        <v>4528</v>
      </c>
      <c r="O121" s="260">
        <v>52</v>
      </c>
    </row>
    <row r="122" spans="2:15" ht="69.95" customHeight="1" x14ac:dyDescent="0.2">
      <c r="B122" s="260">
        <v>112</v>
      </c>
      <c r="C122" s="260">
        <v>6</v>
      </c>
      <c r="D122" s="256" t="s">
        <v>4494</v>
      </c>
      <c r="E122" s="292" t="s">
        <v>4495</v>
      </c>
      <c r="F122" s="257">
        <v>6750000</v>
      </c>
      <c r="G122" s="319" t="s">
        <v>4307</v>
      </c>
      <c r="H122" s="256" t="s">
        <v>4496</v>
      </c>
      <c r="I122" s="256" t="s">
        <v>4427</v>
      </c>
      <c r="J122" s="256" t="s">
        <v>4039</v>
      </c>
      <c r="K122" s="289" t="s">
        <v>4497</v>
      </c>
      <c r="L122" s="313" t="s">
        <v>542</v>
      </c>
      <c r="M122" s="313" t="s">
        <v>4339</v>
      </c>
      <c r="N122" s="334" t="s">
        <v>4528</v>
      </c>
      <c r="O122" s="260">
        <v>52</v>
      </c>
    </row>
    <row r="123" spans="2:15" ht="69.95" customHeight="1" x14ac:dyDescent="0.2">
      <c r="B123" s="260">
        <v>113</v>
      </c>
      <c r="C123" s="260">
        <v>6</v>
      </c>
      <c r="D123" s="256" t="s">
        <v>4498</v>
      </c>
      <c r="E123" s="292" t="s">
        <v>4495</v>
      </c>
      <c r="F123" s="257">
        <v>14000000</v>
      </c>
      <c r="G123" s="319" t="s">
        <v>4307</v>
      </c>
      <c r="H123" s="256" t="s">
        <v>4499</v>
      </c>
      <c r="I123" s="256" t="s">
        <v>4427</v>
      </c>
      <c r="J123" s="256" t="s">
        <v>4039</v>
      </c>
      <c r="K123" s="289" t="s">
        <v>4500</v>
      </c>
      <c r="L123" s="313" t="s">
        <v>542</v>
      </c>
      <c r="M123" s="313" t="s">
        <v>4339</v>
      </c>
      <c r="N123" s="334" t="s">
        <v>4528</v>
      </c>
      <c r="O123" s="260">
        <v>52</v>
      </c>
    </row>
    <row r="124" spans="2:15" ht="69.95" customHeight="1" x14ac:dyDescent="0.2">
      <c r="B124" s="260">
        <v>114</v>
      </c>
      <c r="C124" s="260">
        <v>6</v>
      </c>
      <c r="D124" s="256" t="s">
        <v>4510</v>
      </c>
      <c r="E124" s="292" t="s">
        <v>4495</v>
      </c>
      <c r="F124" s="257">
        <v>185225000</v>
      </c>
      <c r="G124" s="319" t="s">
        <v>4307</v>
      </c>
      <c r="H124" s="256" t="s">
        <v>4511</v>
      </c>
      <c r="I124" s="256" t="s">
        <v>4427</v>
      </c>
      <c r="J124" s="256" t="s">
        <v>4039</v>
      </c>
      <c r="K124" s="289" t="s">
        <v>4512</v>
      </c>
      <c r="L124" s="313" t="s">
        <v>542</v>
      </c>
      <c r="M124" s="313" t="s">
        <v>4339</v>
      </c>
      <c r="N124" s="334" t="s">
        <v>4528</v>
      </c>
      <c r="O124" s="260">
        <v>52</v>
      </c>
    </row>
    <row r="125" spans="2:15" ht="69.95" customHeight="1" x14ac:dyDescent="0.2">
      <c r="B125" s="260">
        <v>115</v>
      </c>
      <c r="C125" s="260">
        <v>6</v>
      </c>
      <c r="D125" s="256" t="s">
        <v>4504</v>
      </c>
      <c r="E125" s="292" t="s">
        <v>4495</v>
      </c>
      <c r="F125" s="257">
        <v>436225000</v>
      </c>
      <c r="G125" s="319" t="s">
        <v>4307</v>
      </c>
      <c r="H125" s="256" t="s">
        <v>4505</v>
      </c>
      <c r="I125" s="256" t="s">
        <v>4427</v>
      </c>
      <c r="J125" s="256" t="s">
        <v>4039</v>
      </c>
      <c r="K125" s="289" t="s">
        <v>4506</v>
      </c>
      <c r="L125" s="313" t="s">
        <v>542</v>
      </c>
      <c r="M125" s="313" t="s">
        <v>4339</v>
      </c>
      <c r="N125" s="334" t="s">
        <v>4528</v>
      </c>
      <c r="O125" s="260">
        <v>52</v>
      </c>
    </row>
    <row r="126" spans="2:15" ht="69.95" customHeight="1" x14ac:dyDescent="0.2">
      <c r="B126" s="260">
        <v>116</v>
      </c>
      <c r="C126" s="260">
        <v>6</v>
      </c>
      <c r="D126" s="256" t="s">
        <v>4525</v>
      </c>
      <c r="E126" s="292" t="s">
        <v>4495</v>
      </c>
      <c r="F126" s="257">
        <v>9000000</v>
      </c>
      <c r="G126" s="319" t="s">
        <v>4307</v>
      </c>
      <c r="H126" s="256" t="s">
        <v>4526</v>
      </c>
      <c r="I126" s="256" t="s">
        <v>4464</v>
      </c>
      <c r="J126" s="256" t="s">
        <v>4039</v>
      </c>
      <c r="K126" s="289" t="s">
        <v>4527</v>
      </c>
      <c r="L126" s="313" t="s">
        <v>542</v>
      </c>
      <c r="M126" s="313" t="s">
        <v>4339</v>
      </c>
      <c r="N126" s="334" t="s">
        <v>4528</v>
      </c>
      <c r="O126" s="260">
        <v>52</v>
      </c>
    </row>
    <row r="127" spans="2:15" ht="69.95" customHeight="1" x14ac:dyDescent="0.2">
      <c r="B127" s="260">
        <v>117</v>
      </c>
      <c r="C127" s="260">
        <v>6</v>
      </c>
      <c r="D127" s="256" t="s">
        <v>4516</v>
      </c>
      <c r="E127" s="292" t="s">
        <v>4495</v>
      </c>
      <c r="F127" s="257">
        <v>36000000</v>
      </c>
      <c r="G127" s="319" t="s">
        <v>4307</v>
      </c>
      <c r="H127" s="256" t="s">
        <v>4517</v>
      </c>
      <c r="I127" s="256" t="s">
        <v>4464</v>
      </c>
      <c r="J127" s="256" t="s">
        <v>4039</v>
      </c>
      <c r="K127" s="289" t="s">
        <v>4518</v>
      </c>
      <c r="L127" s="313" t="s">
        <v>542</v>
      </c>
      <c r="M127" s="313" t="s">
        <v>4339</v>
      </c>
      <c r="N127" s="334" t="s">
        <v>4528</v>
      </c>
      <c r="O127" s="260">
        <v>52</v>
      </c>
    </row>
    <row r="128" spans="2:15" ht="69.95" customHeight="1" x14ac:dyDescent="0.2">
      <c r="B128" s="260">
        <v>118</v>
      </c>
      <c r="C128" s="260">
        <v>6</v>
      </c>
      <c r="D128" s="256" t="s">
        <v>4513</v>
      </c>
      <c r="E128" s="292" t="s">
        <v>4495</v>
      </c>
      <c r="F128" s="257">
        <v>46500000</v>
      </c>
      <c r="G128" s="319" t="s">
        <v>4307</v>
      </c>
      <c r="H128" s="256" t="s">
        <v>4514</v>
      </c>
      <c r="I128" s="256" t="s">
        <v>4464</v>
      </c>
      <c r="J128" s="256" t="s">
        <v>4039</v>
      </c>
      <c r="K128" s="289" t="s">
        <v>4515</v>
      </c>
      <c r="L128" s="313" t="s">
        <v>542</v>
      </c>
      <c r="M128" s="313" t="s">
        <v>4339</v>
      </c>
      <c r="N128" s="334" t="s">
        <v>4528</v>
      </c>
      <c r="O128" s="260">
        <v>52</v>
      </c>
    </row>
    <row r="129" spans="2:15" ht="69.95" customHeight="1" x14ac:dyDescent="0.2">
      <c r="B129" s="260">
        <v>119</v>
      </c>
      <c r="C129" s="260">
        <v>6</v>
      </c>
      <c r="D129" s="256" t="s">
        <v>4507</v>
      </c>
      <c r="E129" s="292" t="s">
        <v>4495</v>
      </c>
      <c r="F129" s="257">
        <v>10000000</v>
      </c>
      <c r="G129" s="319" t="s">
        <v>4307</v>
      </c>
      <c r="H129" s="256" t="s">
        <v>4508</v>
      </c>
      <c r="I129" s="256" t="s">
        <v>4464</v>
      </c>
      <c r="J129" s="256" t="s">
        <v>4039</v>
      </c>
      <c r="K129" s="289" t="s">
        <v>4509</v>
      </c>
      <c r="L129" s="313" t="s">
        <v>542</v>
      </c>
      <c r="M129" s="313" t="s">
        <v>4339</v>
      </c>
      <c r="N129" s="334" t="s">
        <v>4528</v>
      </c>
      <c r="O129" s="260">
        <v>52</v>
      </c>
    </row>
    <row r="130" spans="2:15" ht="69.95" customHeight="1" x14ac:dyDescent="0.2">
      <c r="B130" s="260">
        <v>120</v>
      </c>
      <c r="C130" s="260">
        <v>6</v>
      </c>
      <c r="D130" s="256" t="s">
        <v>4522</v>
      </c>
      <c r="E130" s="292" t="s">
        <v>4495</v>
      </c>
      <c r="F130" s="257">
        <v>15500000</v>
      </c>
      <c r="G130" s="319" t="s">
        <v>4307</v>
      </c>
      <c r="H130" s="256" t="s">
        <v>4523</v>
      </c>
      <c r="I130" s="256" t="s">
        <v>4464</v>
      </c>
      <c r="J130" s="256" t="s">
        <v>4039</v>
      </c>
      <c r="K130" s="289" t="s">
        <v>4524</v>
      </c>
      <c r="L130" s="313" t="s">
        <v>542</v>
      </c>
      <c r="M130" s="313" t="s">
        <v>4339</v>
      </c>
      <c r="N130" s="334" t="s">
        <v>4528</v>
      </c>
      <c r="O130" s="260">
        <v>52</v>
      </c>
    </row>
    <row r="131" spans="2:15" ht="69.95" customHeight="1" x14ac:dyDescent="0.2">
      <c r="B131" s="260">
        <v>121</v>
      </c>
      <c r="C131" s="260">
        <v>6</v>
      </c>
      <c r="D131" s="256" t="s">
        <v>4501</v>
      </c>
      <c r="E131" s="292" t="s">
        <v>4495</v>
      </c>
      <c r="F131" s="257">
        <v>25000000</v>
      </c>
      <c r="G131" s="319" t="s">
        <v>4307</v>
      </c>
      <c r="H131" s="256" t="s">
        <v>4502</v>
      </c>
      <c r="I131" s="256" t="s">
        <v>4464</v>
      </c>
      <c r="J131" s="256" t="s">
        <v>4039</v>
      </c>
      <c r="K131" s="289" t="s">
        <v>4503</v>
      </c>
      <c r="L131" s="313" t="s">
        <v>542</v>
      </c>
      <c r="M131" s="313" t="s">
        <v>4339</v>
      </c>
      <c r="N131" s="334" t="s">
        <v>4528</v>
      </c>
      <c r="O131" s="260">
        <v>52</v>
      </c>
    </row>
    <row r="132" spans="2:15" ht="69.95" customHeight="1" x14ac:dyDescent="0.2">
      <c r="B132" s="260">
        <v>122</v>
      </c>
      <c r="C132" s="260">
        <v>6</v>
      </c>
      <c r="D132" s="256" t="s">
        <v>4538</v>
      </c>
      <c r="E132" s="292" t="s">
        <v>4535</v>
      </c>
      <c r="F132" s="257">
        <v>30000000</v>
      </c>
      <c r="G132" s="319" t="s">
        <v>4039</v>
      </c>
      <c r="H132" s="256" t="s">
        <v>4539</v>
      </c>
      <c r="I132" s="256" t="s">
        <v>4427</v>
      </c>
      <c r="J132" s="256" t="s">
        <v>4039</v>
      </c>
      <c r="K132" s="259" t="s">
        <v>4540</v>
      </c>
      <c r="L132" s="313" t="s">
        <v>542</v>
      </c>
      <c r="M132" s="313" t="s">
        <v>4339</v>
      </c>
      <c r="N132" s="334" t="s">
        <v>4528</v>
      </c>
      <c r="O132" s="260">
        <v>52</v>
      </c>
    </row>
    <row r="133" spans="2:15" ht="69.95" customHeight="1" x14ac:dyDescent="0.2">
      <c r="B133" s="260">
        <v>123</v>
      </c>
      <c r="C133" s="260">
        <v>6</v>
      </c>
      <c r="D133" s="256" t="s">
        <v>4543</v>
      </c>
      <c r="E133" s="292" t="s">
        <v>4535</v>
      </c>
      <c r="F133" s="257">
        <v>55500000</v>
      </c>
      <c r="G133" s="319" t="s">
        <v>4307</v>
      </c>
      <c r="H133" s="256" t="s">
        <v>4544</v>
      </c>
      <c r="I133" s="256" t="s">
        <v>4427</v>
      </c>
      <c r="J133" s="256" t="s">
        <v>4039</v>
      </c>
      <c r="K133" s="259" t="s">
        <v>4545</v>
      </c>
      <c r="L133" s="313" t="s">
        <v>542</v>
      </c>
      <c r="M133" s="313" t="s">
        <v>4339</v>
      </c>
      <c r="N133" s="334" t="s">
        <v>4528</v>
      </c>
      <c r="O133" s="260">
        <v>52</v>
      </c>
    </row>
    <row r="134" spans="2:15" ht="69.95" customHeight="1" x14ac:dyDescent="0.2">
      <c r="B134" s="260">
        <v>124</v>
      </c>
      <c r="C134" s="260">
        <v>6</v>
      </c>
      <c r="D134" s="256" t="s">
        <v>4546</v>
      </c>
      <c r="E134" s="292" t="s">
        <v>4535</v>
      </c>
      <c r="F134" s="257">
        <v>152000000</v>
      </c>
      <c r="G134" s="319" t="s">
        <v>4307</v>
      </c>
      <c r="H134" s="256" t="s">
        <v>4547</v>
      </c>
      <c r="I134" s="256" t="s">
        <v>4427</v>
      </c>
      <c r="J134" s="256" t="s">
        <v>4039</v>
      </c>
      <c r="K134" s="259" t="s">
        <v>4548</v>
      </c>
      <c r="L134" s="313" t="s">
        <v>542</v>
      </c>
      <c r="M134" s="313" t="s">
        <v>4339</v>
      </c>
      <c r="N134" s="334" t="s">
        <v>4528</v>
      </c>
      <c r="O134" s="260">
        <v>52</v>
      </c>
    </row>
    <row r="135" spans="2:15" ht="69.95" customHeight="1" x14ac:dyDescent="0.2">
      <c r="B135" s="260">
        <v>125</v>
      </c>
      <c r="C135" s="260">
        <v>6</v>
      </c>
      <c r="D135" s="256" t="s">
        <v>4549</v>
      </c>
      <c r="E135" s="292" t="s">
        <v>4535</v>
      </c>
      <c r="F135" s="257">
        <v>16250000</v>
      </c>
      <c r="G135" s="319" t="s">
        <v>4307</v>
      </c>
      <c r="H135" s="256" t="s">
        <v>4550</v>
      </c>
      <c r="I135" s="256" t="s">
        <v>4427</v>
      </c>
      <c r="J135" s="256" t="s">
        <v>4039</v>
      </c>
      <c r="K135" s="259" t="s">
        <v>4551</v>
      </c>
      <c r="L135" s="313" t="s">
        <v>542</v>
      </c>
      <c r="M135" s="313" t="s">
        <v>4339</v>
      </c>
      <c r="N135" s="334" t="s">
        <v>4528</v>
      </c>
      <c r="O135" s="260">
        <v>52</v>
      </c>
    </row>
    <row r="136" spans="2:15" ht="69.95" customHeight="1" x14ac:dyDescent="0.2">
      <c r="B136" s="260">
        <v>126</v>
      </c>
      <c r="C136" s="260">
        <v>6</v>
      </c>
      <c r="D136" s="256" t="s">
        <v>4415</v>
      </c>
      <c r="E136" s="292" t="s">
        <v>4416</v>
      </c>
      <c r="F136" s="288">
        <v>210863345</v>
      </c>
      <c r="G136" s="305" t="s">
        <v>4191</v>
      </c>
      <c r="H136" s="331" t="s">
        <v>4417</v>
      </c>
      <c r="I136" s="256" t="s">
        <v>4351</v>
      </c>
      <c r="J136" s="256" t="s">
        <v>4053</v>
      </c>
      <c r="K136" s="259" t="s">
        <v>4418</v>
      </c>
      <c r="L136" s="313" t="s">
        <v>576</v>
      </c>
      <c r="M136" s="313" t="s">
        <v>4340</v>
      </c>
      <c r="N136" s="334" t="s">
        <v>4529</v>
      </c>
      <c r="O136" s="260">
        <v>51</v>
      </c>
    </row>
    <row r="137" spans="2:15" ht="69.95" customHeight="1" x14ac:dyDescent="0.2">
      <c r="B137" s="260">
        <v>127</v>
      </c>
      <c r="C137" s="260">
        <v>6</v>
      </c>
      <c r="D137" s="256" t="s">
        <v>4419</v>
      </c>
      <c r="E137" s="292" t="s">
        <v>4416</v>
      </c>
      <c r="F137" s="288">
        <v>4697567</v>
      </c>
      <c r="G137" s="305" t="s">
        <v>4191</v>
      </c>
      <c r="H137" s="331" t="s">
        <v>4420</v>
      </c>
      <c r="I137" s="256" t="s">
        <v>4351</v>
      </c>
      <c r="J137" s="256" t="s">
        <v>4053</v>
      </c>
      <c r="K137" s="259" t="s">
        <v>4421</v>
      </c>
      <c r="L137" s="313" t="s">
        <v>576</v>
      </c>
      <c r="M137" s="313" t="s">
        <v>4340</v>
      </c>
      <c r="N137" s="334" t="s">
        <v>4529</v>
      </c>
      <c r="O137" s="260">
        <v>51</v>
      </c>
    </row>
    <row r="138" spans="2:15" ht="69.95" customHeight="1" x14ac:dyDescent="0.2">
      <c r="B138" s="260">
        <v>128</v>
      </c>
      <c r="C138" s="260">
        <v>6</v>
      </c>
      <c r="D138" s="256" t="s">
        <v>4534</v>
      </c>
      <c r="E138" s="292" t="s">
        <v>4535</v>
      </c>
      <c r="F138" s="257">
        <v>241668914</v>
      </c>
      <c r="G138" s="305" t="s">
        <v>4039</v>
      </c>
      <c r="H138" s="256" t="s">
        <v>4536</v>
      </c>
      <c r="I138" s="256" t="s">
        <v>4495</v>
      </c>
      <c r="J138" s="256" t="s">
        <v>4039</v>
      </c>
      <c r="K138" s="259" t="s">
        <v>4537</v>
      </c>
      <c r="L138" s="313" t="s">
        <v>576</v>
      </c>
      <c r="M138" s="313" t="s">
        <v>4340</v>
      </c>
      <c r="N138" s="333" t="s">
        <v>4529</v>
      </c>
      <c r="O138" s="260">
        <v>51</v>
      </c>
    </row>
    <row r="139" spans="2:15" ht="69.95" customHeight="1" x14ac:dyDescent="0.2">
      <c r="B139" s="260">
        <v>129</v>
      </c>
      <c r="C139" s="260">
        <v>6</v>
      </c>
      <c r="D139" s="256" t="s">
        <v>4422</v>
      </c>
      <c r="E139" s="292" t="s">
        <v>4416</v>
      </c>
      <c r="F139" s="288">
        <v>63640000</v>
      </c>
      <c r="G139" s="300" t="s">
        <v>4050</v>
      </c>
      <c r="H139" s="331" t="s">
        <v>4423</v>
      </c>
      <c r="I139" s="256" t="s">
        <v>4365</v>
      </c>
      <c r="J139" s="256" t="s">
        <v>4053</v>
      </c>
      <c r="K139" s="259" t="s">
        <v>4424</v>
      </c>
      <c r="L139" s="313" t="s">
        <v>576</v>
      </c>
      <c r="M139" s="313" t="s">
        <v>4338</v>
      </c>
      <c r="N139" s="334" t="s">
        <v>4530</v>
      </c>
      <c r="O139" s="260">
        <v>52</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260">
        <v>161</v>
      </c>
      <c r="C171" s="335">
        <v>6</v>
      </c>
      <c r="D171" s="336" t="s">
        <v>5593</v>
      </c>
      <c r="E171" s="337" t="s">
        <v>5594</v>
      </c>
      <c r="F171" s="338">
        <v>618347</v>
      </c>
      <c r="G171" s="437" t="s">
        <v>4219</v>
      </c>
      <c r="H171" s="336" t="s">
        <v>5595</v>
      </c>
      <c r="I171" s="336" t="s">
        <v>5596</v>
      </c>
      <c r="J171" s="336" t="s">
        <v>4039</v>
      </c>
      <c r="K171" s="341" t="s">
        <v>5597</v>
      </c>
      <c r="L171" s="339" t="s">
        <v>576</v>
      </c>
      <c r="M171" s="339" t="s">
        <v>4340</v>
      </c>
      <c r="N171" s="335" t="s">
        <v>4529</v>
      </c>
      <c r="O171" s="335">
        <v>51</v>
      </c>
    </row>
    <row r="172" spans="2:15" ht="69.95" customHeight="1" x14ac:dyDescent="0.2">
      <c r="N172" s="329" t="s">
        <v>3842</v>
      </c>
    </row>
  </sheetData>
  <sortState xmlns:xlrd2="http://schemas.microsoft.com/office/spreadsheetml/2017/richdata2" ref="B11:K51">
    <sortCondition ref="H11:H51"/>
  </sortState>
  <conditionalFormatting sqref="D113:D116">
    <cfRule type="duplicateValues" dxfId="12" priority="3"/>
  </conditionalFormatting>
  <conditionalFormatting sqref="D11:D171">
    <cfRule type="duplicateValues" dxfId="11" priority="28"/>
    <cfRule type="duplicateValues" dxfId="10"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L11:L171</xm:sqref>
        </x14:dataValidation>
        <x14:dataValidation type="list" allowBlank="1" showInputMessage="1" showErrorMessage="1" xr:uid="{1D7AA939-12B2-4A2A-99CA-5C400ED59A4C}">
          <x14:formula1>
            <xm:f>Eselon2!$R$2:$R$9</xm:f>
          </x14:formula1>
          <xm:sqref>M11:M171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zoomScale="70" zoomScaleNormal="70" zoomScaleSheetLayoutView="70" workbookViewId="0">
      <selection activeCell="O34" sqref="O34"/>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59" t="str">
        <f>'PERSUBBID - Gaji'!A1</f>
        <v>REALISASI TANPA GAJI (BERDASARKAN PAGU SETELAH BLOKIR)</v>
      </c>
      <c r="D1" s="459"/>
      <c r="E1" s="459"/>
      <c r="F1" s="459"/>
      <c r="G1" s="459"/>
      <c r="H1" s="459"/>
    </row>
    <row r="2" spans="3:18" ht="19.5" x14ac:dyDescent="0.4">
      <c r="C2" s="459" t="str">
        <f>'PERSUBBID - Gaji'!A2</f>
        <v>Berdasarkan DIPA Revisi 2 TA. 2022 (Tanggal 10 Juni 2022)</v>
      </c>
      <c r="D2" s="459"/>
      <c r="E2" s="459"/>
      <c r="F2" s="459"/>
      <c r="G2" s="459"/>
      <c r="H2" s="459"/>
    </row>
    <row r="3" spans="3:18" ht="19.5" x14ac:dyDescent="0.4">
      <c r="C3" s="459" t="s">
        <v>5592</v>
      </c>
      <c r="D3" s="459"/>
      <c r="E3" s="459"/>
      <c r="F3" s="459"/>
      <c r="G3" s="459"/>
      <c r="H3" s="459"/>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6067322932</v>
      </c>
      <c r="F6" s="350">
        <v>53.33533288724032</v>
      </c>
      <c r="G6" s="349">
        <v>5308481068</v>
      </c>
      <c r="H6" s="350">
        <v>46.66466711275968</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5698800832</v>
      </c>
      <c r="F60" s="352">
        <v>54.923944515528632</v>
      </c>
      <c r="G60" s="351">
        <v>4677003168</v>
      </c>
      <c r="H60" s="352">
        <v>45.076055484471375</v>
      </c>
    </row>
    <row r="61" spans="3:8" x14ac:dyDescent="0.25">
      <c r="C61" s="309" t="s">
        <v>3914</v>
      </c>
      <c r="D61" s="351">
        <v>4293304000</v>
      </c>
      <c r="E61" s="351">
        <v>2222086920</v>
      </c>
      <c r="F61" s="352">
        <v>51.75703653875896</v>
      </c>
      <c r="G61" s="351">
        <v>2071217080</v>
      </c>
      <c r="H61" s="352">
        <v>48.24296346124104</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236473592</v>
      </c>
      <c r="F87" s="354">
        <v>50.995348877330095</v>
      </c>
      <c r="G87" s="353">
        <v>227242408</v>
      </c>
      <c r="H87" s="354">
        <v>49.004651122669912</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130677295</v>
      </c>
      <c r="F104" s="356">
        <v>44.460460060288924</v>
      </c>
      <c r="G104" s="355">
        <v>163240705</v>
      </c>
      <c r="H104" s="356">
        <v>55.539539939711076</v>
      </c>
    </row>
    <row r="105" spans="3:8" x14ac:dyDescent="0.25">
      <c r="C105" s="309" t="s">
        <v>3933</v>
      </c>
      <c r="D105" s="351">
        <v>113346000</v>
      </c>
      <c r="E105" s="351">
        <v>28697850</v>
      </c>
      <c r="F105" s="352">
        <v>25.318802604414802</v>
      </c>
      <c r="G105" s="351">
        <v>84648150</v>
      </c>
      <c r="H105" s="352">
        <v>74.681197395585201</v>
      </c>
    </row>
    <row r="106" spans="3:8" x14ac:dyDescent="0.25">
      <c r="C106" s="325" t="s">
        <v>3932</v>
      </c>
      <c r="D106" s="357">
        <v>113346000</v>
      </c>
      <c r="E106" s="357">
        <v>28697850</v>
      </c>
      <c r="F106" s="358">
        <v>25.318802604414802</v>
      </c>
      <c r="G106" s="357">
        <v>84648150</v>
      </c>
      <c r="H106" s="358">
        <v>74.681197395585201</v>
      </c>
    </row>
    <row r="107" spans="3:8" x14ac:dyDescent="0.25">
      <c r="C107" s="311" t="s">
        <v>3931</v>
      </c>
      <c r="D107" s="359">
        <v>113346000</v>
      </c>
      <c r="E107" s="359">
        <v>28697850</v>
      </c>
      <c r="F107" s="360">
        <v>25.318802604414802</v>
      </c>
      <c r="G107" s="359">
        <v>84648150</v>
      </c>
      <c r="H107" s="360">
        <v>74.681197395585201</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18370600</v>
      </c>
      <c r="F110" s="352">
        <v>20.199459019638027</v>
      </c>
      <c r="G110" s="351">
        <v>72575400</v>
      </c>
      <c r="H110" s="352">
        <v>79.800540980361973</v>
      </c>
    </row>
    <row r="111" spans="3:8" x14ac:dyDescent="0.25">
      <c r="C111" s="309" t="s">
        <v>3961</v>
      </c>
      <c r="D111" s="351">
        <v>180572000</v>
      </c>
      <c r="E111" s="351">
        <v>101979445</v>
      </c>
      <c r="F111" s="352">
        <v>56.475779744367891</v>
      </c>
      <c r="G111" s="351">
        <v>78592555</v>
      </c>
      <c r="H111" s="352">
        <v>43.524220255632102</v>
      </c>
    </row>
    <row r="112" spans="3:8" x14ac:dyDescent="0.25">
      <c r="C112" s="325" t="s">
        <v>3962</v>
      </c>
      <c r="D112" s="357">
        <v>180572000</v>
      </c>
      <c r="E112" s="357">
        <v>101979445</v>
      </c>
      <c r="F112" s="358">
        <v>56.475779744367891</v>
      </c>
      <c r="G112" s="357">
        <v>78592555</v>
      </c>
      <c r="H112" s="358">
        <v>43.524220255632102</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20151000</v>
      </c>
      <c r="F118" s="360">
        <v>25.834615384615383</v>
      </c>
      <c r="G118" s="359">
        <v>57849000</v>
      </c>
      <c r="H118" s="360">
        <v>74.16538461538461</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4429000</v>
      </c>
      <c r="F122" s="352">
        <v>9.8422222222222224</v>
      </c>
      <c r="G122" s="351">
        <v>40571000</v>
      </c>
      <c r="H122" s="352">
        <v>90.157777777777781</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5430</v>
      </c>
      <c r="D181" s="351">
        <v>2095658000</v>
      </c>
      <c r="E181" s="351">
        <v>663321641</v>
      </c>
      <c r="F181" s="352">
        <v>31.652189479390241</v>
      </c>
      <c r="G181" s="351">
        <v>1432336359</v>
      </c>
      <c r="H181" s="352">
        <v>68.347810520609755</v>
      </c>
    </row>
    <row r="182" spans="3:8" ht="17.100000000000001" customHeight="1" x14ac:dyDescent="0.25">
      <c r="C182" s="440" t="s">
        <v>3851</v>
      </c>
      <c r="D182" s="351">
        <v>2095658000</v>
      </c>
      <c r="E182" s="351">
        <v>663321641</v>
      </c>
      <c r="F182" s="352">
        <v>31.652189479390241</v>
      </c>
      <c r="G182" s="351">
        <v>1432336359</v>
      </c>
      <c r="H182" s="352">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3476713912</v>
      </c>
      <c r="F195" s="352">
        <v>57.159291607069463</v>
      </c>
      <c r="G195" s="351">
        <v>2605786088</v>
      </c>
      <c r="H195" s="352">
        <v>42.840708392930537</v>
      </c>
    </row>
    <row r="196" spans="3:8" x14ac:dyDescent="0.25">
      <c r="C196" s="310" t="s">
        <v>542</v>
      </c>
      <c r="D196" s="353">
        <v>6082500000</v>
      </c>
      <c r="E196" s="353">
        <v>3476713912</v>
      </c>
      <c r="F196" s="354">
        <v>57.159291607069463</v>
      </c>
      <c r="G196" s="353">
        <v>2605786088</v>
      </c>
      <c r="H196" s="354">
        <v>42.840708392930537</v>
      </c>
    </row>
    <row r="197" spans="3:8" x14ac:dyDescent="0.25">
      <c r="C197" s="170" t="s">
        <v>543</v>
      </c>
      <c r="D197" s="355">
        <v>6082500000</v>
      </c>
      <c r="E197" s="355">
        <v>3476713912</v>
      </c>
      <c r="F197" s="356">
        <v>57.159291607069463</v>
      </c>
      <c r="G197" s="355">
        <v>2605786088</v>
      </c>
      <c r="H197" s="356">
        <v>42.840708392930537</v>
      </c>
    </row>
    <row r="198" spans="3:8" x14ac:dyDescent="0.25">
      <c r="C198" s="309" t="s">
        <v>3980</v>
      </c>
      <c r="D198" s="351">
        <v>6082500000</v>
      </c>
      <c r="E198" s="351">
        <v>3476713912</v>
      </c>
      <c r="F198" s="352">
        <v>57.159291607069463</v>
      </c>
      <c r="G198" s="351">
        <v>2605786088</v>
      </c>
      <c r="H198" s="352">
        <v>42.840708392930537</v>
      </c>
    </row>
    <row r="199" spans="3:8" x14ac:dyDescent="0.25">
      <c r="C199" s="325" t="s">
        <v>3981</v>
      </c>
      <c r="D199" s="357">
        <v>5973300000</v>
      </c>
      <c r="E199" s="357">
        <v>3468907912</v>
      </c>
      <c r="F199" s="358">
        <v>58.073559205129484</v>
      </c>
      <c r="G199" s="357">
        <v>2504392088</v>
      </c>
      <c r="H199" s="358">
        <v>41.926440794870508</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3443517912</v>
      </c>
      <c r="F207" s="360">
        <v>84.282304773116934</v>
      </c>
      <c r="G207" s="359">
        <v>642177088</v>
      </c>
      <c r="H207" s="360">
        <v>15.717695226883063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3393066206</v>
      </c>
      <c r="F209" s="352">
        <v>89.087369978430928</v>
      </c>
      <c r="G209" s="351">
        <v>415628794</v>
      </c>
      <c r="H209" s="352">
        <v>10.912630021569068</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6067322932</v>
      </c>
      <c r="F222" s="352">
        <v>53.33533288724032</v>
      </c>
      <c r="G222" s="351">
        <v>5308481068</v>
      </c>
      <c r="H222" s="352">
        <v>46.66466711275968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761479826</v>
      </c>
    </row>
    <row r="247" spans="3:10" x14ac:dyDescent="0.25">
      <c r="C247"/>
      <c r="J247" s="217">
        <f>GETPIVOTDATA("Realisasi ",$C$5)-J246</f>
        <v>5305843106</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5415</v>
      </c>
      <c r="S3" s="347" t="s">
        <v>5544</v>
      </c>
      <c r="T3" s="347" t="s">
        <v>5545</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5429</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18370600</v>
      </c>
      <c r="AM39" s="231">
        <f t="shared" si="1"/>
        <v>20.199459019638027</v>
      </c>
      <c r="AN39" s="380">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5430</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5430</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5430</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5430</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5430</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5430</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5430</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5430</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5430</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5430</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5430</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4429000</v>
      </c>
      <c r="AM96" s="231">
        <f t="shared" si="8"/>
        <v>9.8422222222222224</v>
      </c>
      <c r="AN96" s="380">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3393066206</v>
      </c>
      <c r="AM133" s="231">
        <f t="shared" ref="AM133:AM143" si="14">IFERROR(AL133/Q133*100,0)</f>
        <v>89.087369978430928</v>
      </c>
      <c r="AN133" s="380">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AK1" zoomScale="85" zoomScaleNormal="85" workbookViewId="0">
      <pane ySplit="1" topLeftCell="A2" activePane="bottomLeft" state="frozen"/>
      <selection activeCell="N1" sqref="N1"/>
      <selection pane="bottomLeft" activeCell="AL4" sqref="AL4:AL14"/>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5415</v>
      </c>
      <c r="S3" s="347" t="s">
        <v>5544</v>
      </c>
      <c r="T3" s="347" t="s">
        <v>5545</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5429</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5543</v>
      </c>
      <c r="O4" s="218">
        <v>511111</v>
      </c>
      <c r="P4" s="218" t="s">
        <v>5532</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5543</v>
      </c>
      <c r="O5" s="218">
        <v>511119</v>
      </c>
      <c r="P5" s="218" t="s">
        <v>5533</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5543</v>
      </c>
      <c r="O6" s="218">
        <v>511121</v>
      </c>
      <c r="P6" s="218" t="s">
        <v>5534</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5543</v>
      </c>
      <c r="O7" s="218">
        <v>511122</v>
      </c>
      <c r="P7" s="218" t="s">
        <v>5535</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5543</v>
      </c>
      <c r="O8" s="218">
        <v>511123</v>
      </c>
      <c r="P8" s="218" t="s">
        <v>5536</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5543</v>
      </c>
      <c r="O9" s="218">
        <v>511124</v>
      </c>
      <c r="P9" s="218" t="s">
        <v>5537</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5543</v>
      </c>
      <c r="O10" s="218">
        <v>511125</v>
      </c>
      <c r="P10" s="218" t="s">
        <v>5538</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5543</v>
      </c>
      <c r="O11" s="218">
        <v>511126</v>
      </c>
      <c r="P11" s="218" t="s">
        <v>5539</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5543</v>
      </c>
      <c r="O12" s="218">
        <v>511129</v>
      </c>
      <c r="P12" s="218" t="s">
        <v>5540</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5543</v>
      </c>
      <c r="O13" s="218">
        <v>511151</v>
      </c>
      <c r="P13" s="218" t="s">
        <v>5541</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5543</v>
      </c>
      <c r="O14" s="218">
        <v>512411</v>
      </c>
      <c r="P14" s="218" t="s">
        <v>5542</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5579</v>
      </c>
      <c r="O15" s="407">
        <v>512411</v>
      </c>
      <c r="P15" s="407" t="s">
        <v>5542</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204" activePane="bottomRight" state="frozen"/>
      <selection pane="topRight" activeCell="D1" sqref="D1"/>
      <selection pane="bottomLeft" activeCell="A15" sqref="A15"/>
      <selection pane="bottomRight" activeCell="H14" sqref="H14"/>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5591</v>
      </c>
      <c r="C5" s="189"/>
    </row>
    <row r="6" spans="2:60" x14ac:dyDescent="0.25">
      <c r="B6" s="189"/>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5414</v>
      </c>
      <c r="G12" s="342" t="s">
        <v>5415</v>
      </c>
      <c r="H12" s="363" t="s">
        <v>5544</v>
      </c>
      <c r="I12" s="363" t="s">
        <v>5545</v>
      </c>
      <c r="J12" s="460" t="s">
        <v>3827</v>
      </c>
      <c r="K12" s="460"/>
      <c r="L12" s="460"/>
      <c r="M12" s="460" t="s">
        <v>3828</v>
      </c>
      <c r="N12" s="460"/>
      <c r="O12" s="460"/>
      <c r="P12" s="460" t="s">
        <v>3829</v>
      </c>
      <c r="Q12" s="460"/>
      <c r="R12" s="460"/>
      <c r="S12" s="460" t="s">
        <v>3830</v>
      </c>
      <c r="T12" s="460"/>
      <c r="U12" s="460"/>
      <c r="V12" s="460" t="s">
        <v>3831</v>
      </c>
      <c r="W12" s="460"/>
      <c r="X12" s="460"/>
      <c r="Y12" s="460" t="s">
        <v>3832</v>
      </c>
      <c r="Z12" s="460"/>
      <c r="AA12" s="460"/>
      <c r="AB12" s="460" t="s">
        <v>3833</v>
      </c>
      <c r="AC12" s="460"/>
      <c r="AD12" s="460"/>
      <c r="AE12" s="460" t="s">
        <v>3834</v>
      </c>
      <c r="AF12" s="460"/>
      <c r="AG12" s="460"/>
      <c r="AH12" s="460" t="s">
        <v>3835</v>
      </c>
      <c r="AI12" s="460"/>
      <c r="AJ12" s="460"/>
      <c r="AK12" s="460" t="s">
        <v>3836</v>
      </c>
      <c r="AL12" s="460"/>
      <c r="AM12" s="460"/>
      <c r="AN12" s="460" t="s">
        <v>3837</v>
      </c>
      <c r="AO12" s="460"/>
      <c r="AP12" s="460"/>
      <c r="AQ12" s="460" t="s">
        <v>3838</v>
      </c>
      <c r="AR12" s="460"/>
      <c r="AS12" s="460"/>
      <c r="AT12" s="462" t="s">
        <v>3845</v>
      </c>
      <c r="AU12" s="463" t="s">
        <v>3846</v>
      </c>
      <c r="AV12" s="461" t="s">
        <v>3847</v>
      </c>
      <c r="AW12" s="461"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2"/>
      <c r="AU13" s="463"/>
      <c r="AV13" s="461"/>
      <c r="AW13" s="461"/>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5414</v>
      </c>
      <c r="G234" s="390" t="s">
        <v>5415</v>
      </c>
      <c r="H234" s="363" t="s">
        <v>5544</v>
      </c>
      <c r="I234" s="363" t="s">
        <v>5545</v>
      </c>
      <c r="J234" s="391" t="s">
        <v>3827</v>
      </c>
      <c r="K234" s="391" t="s">
        <v>5546</v>
      </c>
      <c r="L234" s="391" t="s">
        <v>5547</v>
      </c>
      <c r="M234" s="391" t="s">
        <v>3828</v>
      </c>
      <c r="N234" s="391" t="s">
        <v>5548</v>
      </c>
      <c r="O234" s="391" t="s">
        <v>5549</v>
      </c>
      <c r="P234" s="391" t="s">
        <v>3829</v>
      </c>
      <c r="Q234" s="391" t="s">
        <v>5550</v>
      </c>
      <c r="R234" s="391" t="s">
        <v>5551</v>
      </c>
      <c r="S234" s="391" t="s">
        <v>3830</v>
      </c>
      <c r="T234" s="391" t="s">
        <v>5552</v>
      </c>
      <c r="U234" s="391" t="s">
        <v>5553</v>
      </c>
      <c r="V234" s="391" t="s">
        <v>3831</v>
      </c>
      <c r="W234" s="391" t="s">
        <v>5554</v>
      </c>
      <c r="X234" s="391" t="s">
        <v>5555</v>
      </c>
      <c r="Y234" s="391" t="s">
        <v>3832</v>
      </c>
      <c r="Z234" s="391" t="s">
        <v>5556</v>
      </c>
      <c r="AA234" s="391" t="s">
        <v>5557</v>
      </c>
      <c r="AB234" s="391" t="s">
        <v>3833</v>
      </c>
      <c r="AC234" s="391" t="s">
        <v>5558</v>
      </c>
      <c r="AD234" s="391" t="s">
        <v>5559</v>
      </c>
      <c r="AE234" s="391" t="s">
        <v>3834</v>
      </c>
      <c r="AF234" s="391" t="s">
        <v>5560</v>
      </c>
      <c r="AG234" s="391" t="s">
        <v>5561</v>
      </c>
      <c r="AH234" s="391" t="s">
        <v>3835</v>
      </c>
      <c r="AI234" s="391" t="s">
        <v>5562</v>
      </c>
      <c r="AJ234" s="391" t="s">
        <v>5563</v>
      </c>
      <c r="AK234" s="391" t="s">
        <v>3836</v>
      </c>
      <c r="AL234" s="391" t="s">
        <v>5564</v>
      </c>
      <c r="AM234" s="391" t="s">
        <v>5565</v>
      </c>
      <c r="AN234" s="391" t="s">
        <v>3837</v>
      </c>
      <c r="AO234" s="391" t="s">
        <v>5566</v>
      </c>
      <c r="AP234" s="391" t="s">
        <v>5567</v>
      </c>
      <c r="AQ234" s="391" t="s">
        <v>3838</v>
      </c>
      <c r="AR234" s="391" t="s">
        <v>5568</v>
      </c>
      <c r="AS234" s="391" t="s">
        <v>5569</v>
      </c>
      <c r="AT234" s="390" t="s">
        <v>3845</v>
      </c>
      <c r="AU234" s="392" t="s">
        <v>3846</v>
      </c>
      <c r="AV234" s="393" t="s">
        <v>3847</v>
      </c>
      <c r="AW234" s="393" t="s">
        <v>5570</v>
      </c>
      <c r="AX234" s="394" t="s">
        <v>4017</v>
      </c>
      <c r="AY234" s="394" t="s">
        <v>500</v>
      </c>
      <c r="AZ234" s="394" t="s">
        <v>4001</v>
      </c>
      <c r="BA234" s="395" t="s">
        <v>4016</v>
      </c>
      <c r="BB234" s="395" t="s">
        <v>5571</v>
      </c>
      <c r="BC234" s="395" t="s">
        <v>5572</v>
      </c>
      <c r="BD234" s="395" t="s">
        <v>5573</v>
      </c>
      <c r="BE234" s="395" t="s">
        <v>5574</v>
      </c>
      <c r="BF234" s="395" t="s">
        <v>5575</v>
      </c>
      <c r="BG234" s="395" t="s">
        <v>5576</v>
      </c>
      <c r="BH234" s="395" t="s">
        <v>5577</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9" priority="7">
      <formula>ROW()=CELL("ROW")</formula>
    </cfRule>
  </conditionalFormatting>
  <conditionalFormatting sqref="AS236:AS237">
    <cfRule type="expression" dxfId="8" priority="5">
      <formula>ROW()=CELL("ROW")</formula>
    </cfRule>
  </conditionalFormatting>
  <conditionalFormatting sqref="B237:C237">
    <cfRule type="expression" dxfId="7" priority="4">
      <formula>AND($R$4="Ya",$Q$2=ROW())</formula>
    </cfRule>
  </conditionalFormatting>
  <conditionalFormatting sqref="AT238:AT248">
    <cfRule type="expression" dxfId="6" priority="3">
      <formula>ROW()=CELL("ROW")</formula>
    </cfRule>
  </conditionalFormatting>
  <conditionalFormatting sqref="AS249">
    <cfRule type="expression" dxfId="5" priority="2">
      <formula>ROW()=CELL("ROW")</formula>
    </cfRule>
  </conditionalFormatting>
  <conditionalFormatting sqref="B249:C249">
    <cfRule type="expression" dxfId="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workbookViewId="0">
      <selection activeCell="R11" sqref="R11"/>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5413</v>
      </c>
      <c r="D3" t="s">
        <v>5418</v>
      </c>
      <c r="E3" s="215" t="s">
        <v>5419</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5416</v>
      </c>
      <c r="E76" s="215">
        <f>_xlfn.XLOOKUP(Table6[[#This Row],[Column1]],$A$4:$A$122,$B$4:$B$122,0,0,1)</f>
        <v>0</v>
      </c>
      <c r="G76" t="b">
        <f>A76=Table6[[#This Row],[Column1]]</f>
        <v>0</v>
      </c>
      <c r="H76" s="215">
        <v>1000000</v>
      </c>
      <c r="I76" s="217">
        <f t="shared" si="1"/>
        <v>0</v>
      </c>
    </row>
    <row r="77" spans="1:9" x14ac:dyDescent="0.25">
      <c r="A77" s="216" t="s">
        <v>2750</v>
      </c>
      <c r="B77" s="215">
        <v>10000000</v>
      </c>
      <c r="D77" t="s">
        <v>5417</v>
      </c>
      <c r="E77" s="215">
        <f>_xlfn.XLOOKUP(Table6[[#This Row],[Column1]],$A$4:$A$122,$B$4:$B$122,0,0,1)</f>
        <v>0</v>
      </c>
      <c r="G77" t="b">
        <f>A77=Table6[[#This Row],[Column1]]</f>
        <v>0</v>
      </c>
      <c r="H77" s="215">
        <v>10000000</v>
      </c>
      <c r="I77" s="217">
        <f t="shared" si="1"/>
        <v>0</v>
      </c>
    </row>
    <row r="78" spans="1:9" x14ac:dyDescent="0.25">
      <c r="A78" s="216" t="s">
        <v>2753</v>
      </c>
      <c r="B78" s="215">
        <v>5164000</v>
      </c>
      <c r="D78" t="s">
        <v>5420</v>
      </c>
      <c r="E78" s="215">
        <f>_xlfn.XLOOKUP(Table6[[#This Row],[Column1]],$A$4:$A$122,$B$4:$B$122,0,0,1)</f>
        <v>0</v>
      </c>
      <c r="G78" t="b">
        <f>A78=Table6[[#This Row],[Column1]]</f>
        <v>0</v>
      </c>
      <c r="H78" s="215">
        <v>5164000</v>
      </c>
      <c r="I78" s="217">
        <f t="shared" si="1"/>
        <v>0</v>
      </c>
    </row>
    <row r="79" spans="1:9" x14ac:dyDescent="0.25">
      <c r="A79" s="216" t="s">
        <v>2757</v>
      </c>
      <c r="B79" s="215">
        <v>12000000</v>
      </c>
      <c r="D79" t="s">
        <v>5421</v>
      </c>
      <c r="E79" s="215">
        <f>_xlfn.XLOOKUP(Table6[[#This Row],[Column1]],$A$4:$A$122,$B$4:$B$122,0,0,1)</f>
        <v>0</v>
      </c>
      <c r="G79" t="b">
        <f>A79=Table6[[#This Row],[Column1]]</f>
        <v>0</v>
      </c>
      <c r="H79" s="215">
        <v>12000000</v>
      </c>
      <c r="I79" s="217">
        <f t="shared" si="1"/>
        <v>0</v>
      </c>
    </row>
    <row r="80" spans="1:9" x14ac:dyDescent="0.25">
      <c r="A80" s="216" t="s">
        <v>2761</v>
      </c>
      <c r="B80" s="215">
        <v>1000000</v>
      </c>
      <c r="D80" t="s">
        <v>5422</v>
      </c>
      <c r="E80" s="215">
        <f>_xlfn.XLOOKUP(Table6[[#This Row],[Column1]],$A$4:$A$122,$B$4:$B$122,0,0,1)</f>
        <v>0</v>
      </c>
      <c r="G80" t="b">
        <f>A80=Table6[[#This Row],[Column1]]</f>
        <v>0</v>
      </c>
      <c r="H80" s="215">
        <v>1000000</v>
      </c>
      <c r="I80" s="217">
        <f t="shared" si="1"/>
        <v>0</v>
      </c>
    </row>
    <row r="81" spans="1:9" x14ac:dyDescent="0.25">
      <c r="A81" s="216" t="s">
        <v>2763</v>
      </c>
      <c r="B81" s="215">
        <v>20000000</v>
      </c>
      <c r="D81" t="s">
        <v>5423</v>
      </c>
      <c r="E81" s="215">
        <f>_xlfn.XLOOKUP(Table6[[#This Row],[Column1]],$A$4:$A$122,$B$4:$B$122,0,0,1)</f>
        <v>0</v>
      </c>
      <c r="G81" t="b">
        <f>A81=Table6[[#This Row],[Column1]]</f>
        <v>0</v>
      </c>
      <c r="H81" s="215">
        <v>20000000</v>
      </c>
      <c r="I81" s="217">
        <f t="shared" si="1"/>
        <v>0</v>
      </c>
    </row>
    <row r="82" spans="1:9" x14ac:dyDescent="0.25">
      <c r="A82" s="216" t="s">
        <v>2768</v>
      </c>
      <c r="B82" s="215">
        <v>45000000</v>
      </c>
      <c r="D82" t="s">
        <v>5424</v>
      </c>
      <c r="E82" s="215">
        <f>_xlfn.XLOOKUP(Table6[[#This Row],[Column1]],$A$4:$A$122,$B$4:$B$122,0,0,1)</f>
        <v>0</v>
      </c>
      <c r="G82" t="b">
        <f>A82=Table6[[#This Row],[Column1]]</f>
        <v>0</v>
      </c>
      <c r="H82" s="215">
        <v>45000000</v>
      </c>
      <c r="I82" s="217">
        <f t="shared" si="1"/>
        <v>0</v>
      </c>
    </row>
    <row r="83" spans="1:9" x14ac:dyDescent="0.25">
      <c r="A83" s="216" t="s">
        <v>2772</v>
      </c>
      <c r="B83" s="215">
        <v>21000000</v>
      </c>
      <c r="D83" t="s">
        <v>5425</v>
      </c>
      <c r="E83" s="215">
        <f>_xlfn.XLOOKUP(Table6[[#This Row],[Column1]],$A$4:$A$122,$B$4:$B$122,0,0,1)</f>
        <v>0</v>
      </c>
      <c r="G83" t="b">
        <f>A83=Table6[[#This Row],[Column1]]</f>
        <v>0</v>
      </c>
      <c r="H83" s="215">
        <v>21000000</v>
      </c>
      <c r="I83" s="217">
        <f t="shared" si="1"/>
        <v>0</v>
      </c>
    </row>
    <row r="84" spans="1:9" x14ac:dyDescent="0.25">
      <c r="A84" s="216" t="s">
        <v>2776</v>
      </c>
      <c r="B84" s="215">
        <v>17500000</v>
      </c>
      <c r="D84" t="s">
        <v>5426</v>
      </c>
      <c r="E84" s="215">
        <f>_xlfn.XLOOKUP(Table6[[#This Row],[Column1]],$A$4:$A$122,$B$4:$B$122,0,0,1)</f>
        <v>0</v>
      </c>
      <c r="G84" t="b">
        <f>A84=Table6[[#This Row],[Column1]]</f>
        <v>0</v>
      </c>
      <c r="H84" s="215">
        <v>17500000</v>
      </c>
      <c r="I84" s="217">
        <f t="shared" si="1"/>
        <v>0</v>
      </c>
    </row>
    <row r="85" spans="1:9" x14ac:dyDescent="0.25">
      <c r="A85" s="216" t="s">
        <v>2781</v>
      </c>
      <c r="B85" s="215">
        <v>41908000</v>
      </c>
      <c r="D85" t="s">
        <v>5427</v>
      </c>
      <c r="E85" s="215">
        <f>_xlfn.XLOOKUP(Table6[[#This Row],[Column1]],$A$4:$A$122,$B$4:$B$122,0,0,1)</f>
        <v>0</v>
      </c>
      <c r="G85" t="b">
        <f>A85=Table6[[#This Row],[Column1]]</f>
        <v>0</v>
      </c>
      <c r="H85" s="215">
        <v>41908000</v>
      </c>
      <c r="I85" s="217">
        <f t="shared" si="1"/>
        <v>0</v>
      </c>
    </row>
    <row r="86" spans="1:9" x14ac:dyDescent="0.25">
      <c r="A86" s="216" t="s">
        <v>3055</v>
      </c>
      <c r="B86" s="215">
        <v>23250000</v>
      </c>
      <c r="D86" t="s">
        <v>5428</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3" priority="3"/>
    <cfRule type="duplicateValues" dxfId="2" priority="4"/>
  </conditionalFormatting>
  <conditionalFormatting sqref="D3">
    <cfRule type="duplicateValues" dxfId="1" priority="1"/>
    <cfRule type="duplicateValues" dxfId="0"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22" sqref="L2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6" t="str">
        <f>IF(L8=TRUE,"REALISASI TANPA GAJI (BERDASARKAN PAGU SEBELUM BLOKIR)","REALISASI TANPA GAJI (BERDASARKAN PAGU SETELAH BLOKIR)")</f>
        <v>REALISASI TANPA GAJI (BERDASARKAN PAGU SETELAH BLOKIR)</v>
      </c>
      <c r="B1" s="476"/>
      <c r="C1" s="476"/>
      <c r="D1" s="476"/>
      <c r="E1" s="476"/>
      <c r="F1" s="476"/>
      <c r="G1" s="476"/>
      <c r="H1" s="476"/>
      <c r="I1" s="476"/>
      <c r="J1" s="476"/>
      <c r="L1" s="431" t="s">
        <v>5585</v>
      </c>
    </row>
    <row r="2" spans="1:13" ht="15.75" x14ac:dyDescent="0.25">
      <c r="A2" s="477" t="str">
        <f>'PER BULAN'!B5</f>
        <v>Berdasarkan DIPA Revisi 2 TA. 2022 (Tanggal 10 Juni 2022)</v>
      </c>
      <c r="B2" s="477"/>
      <c r="C2" s="477"/>
      <c r="D2" s="477"/>
      <c r="E2" s="477"/>
      <c r="F2" s="477"/>
      <c r="G2" s="477"/>
      <c r="H2" s="477"/>
      <c r="I2" s="477"/>
      <c r="J2" s="477"/>
    </row>
    <row r="3" spans="1:13" ht="15.75" x14ac:dyDescent="0.25">
      <c r="A3" s="477" t="s">
        <v>4607</v>
      </c>
      <c r="B3" s="477"/>
      <c r="C3" s="477"/>
      <c r="D3" s="477"/>
      <c r="E3" s="477"/>
      <c r="F3" s="477"/>
      <c r="G3" s="477"/>
      <c r="H3" s="477"/>
      <c r="I3" s="477"/>
      <c r="J3" s="477"/>
    </row>
    <row r="4" spans="1:13" x14ac:dyDescent="0.25">
      <c r="A4" s="201"/>
      <c r="B4" s="201"/>
      <c r="C4" s="201"/>
      <c r="D4" s="365"/>
      <c r="E4" s="405"/>
      <c r="F4" s="405"/>
      <c r="G4" s="201"/>
      <c r="H4" s="201"/>
      <c r="I4" s="201"/>
      <c r="J4" s="253"/>
    </row>
    <row r="5" spans="1:13" ht="15.75" x14ac:dyDescent="0.25">
      <c r="A5" s="433" t="s">
        <v>3995</v>
      </c>
    </row>
    <row r="6" spans="1:13" x14ac:dyDescent="0.25">
      <c r="A6" s="466" t="s">
        <v>592</v>
      </c>
      <c r="B6" s="466" t="s">
        <v>500</v>
      </c>
      <c r="C6" s="466" t="s">
        <v>5581</v>
      </c>
      <c r="D6" s="466" t="s">
        <v>5578</v>
      </c>
      <c r="E6" s="466" t="s">
        <v>5580</v>
      </c>
      <c r="F6" s="466" t="s">
        <v>5582</v>
      </c>
      <c r="G6" s="468" t="str">
        <f>IF($L$8=TRUE,"Realisasi vs Pagu+Blokir","Realisasi vs Pagu-Blokir")</f>
        <v>Realisasi vs Pagu-Blokir</v>
      </c>
      <c r="H6" s="468"/>
      <c r="I6" s="468" t="str">
        <f>IF($L$8=TRUE,"Sisa vs Pagu+Blokir","Sisa vs Pagu-Blokir")</f>
        <v>Sisa vs Pagu-Blokir</v>
      </c>
      <c r="J6" s="468"/>
    </row>
    <row r="7" spans="1:13" x14ac:dyDescent="0.25">
      <c r="A7" s="466"/>
      <c r="B7" s="466"/>
      <c r="C7" s="466"/>
      <c r="D7" s="466"/>
      <c r="E7" s="466"/>
      <c r="F7" s="466"/>
      <c r="G7" s="417" t="s">
        <v>5590</v>
      </c>
      <c r="H7" s="417" t="s">
        <v>3846</v>
      </c>
      <c r="I7" s="417" t="s">
        <v>5590</v>
      </c>
      <c r="J7" s="417" t="s">
        <v>3846</v>
      </c>
    </row>
    <row r="8" spans="1:13" x14ac:dyDescent="0.25">
      <c r="A8" s="471"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2"/>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2"/>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2"/>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3"/>
      <c r="B12" s="296" t="s">
        <v>5586</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1"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72"/>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72"/>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3"/>
      <c r="B16" s="296" t="s">
        <v>5587</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71"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2"/>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3"/>
      <c r="B19" s="296" t="s">
        <v>5588</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1"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2"/>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3"/>
      <c r="B22" s="296" t="s">
        <v>5589</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4" t="s">
        <v>3852</v>
      </c>
      <c r="B23" s="464"/>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78" t="s">
        <v>5584</v>
      </c>
      <c r="B24" s="479"/>
      <c r="C24" s="415">
        <f>C23</f>
        <v>16863164000</v>
      </c>
      <c r="D24" s="480">
        <f>SUM(D23,E23)</f>
        <v>5487360000</v>
      </c>
      <c r="E24" s="481"/>
      <c r="F24" s="415">
        <f>F23</f>
        <v>11375804000</v>
      </c>
      <c r="G24" s="176">
        <f>G23</f>
        <v>6067322932</v>
      </c>
      <c r="H24" s="425">
        <f t="shared" si="0"/>
        <v>53.33533288724032</v>
      </c>
      <c r="I24" s="176">
        <f t="shared" si="1"/>
        <v>5308481068</v>
      </c>
      <c r="J24" s="265">
        <f t="shared" si="2"/>
        <v>46.66466711275968</v>
      </c>
      <c r="M24" s="217"/>
    </row>
    <row r="26" spans="1:13" x14ac:dyDescent="0.25">
      <c r="J26" s="278"/>
    </row>
    <row r="27" spans="1:13" ht="15.75" x14ac:dyDescent="0.25">
      <c r="A27" s="433" t="s">
        <v>4002</v>
      </c>
    </row>
    <row r="28" spans="1:13" ht="14.45" customHeight="1" x14ac:dyDescent="0.25">
      <c r="A28" s="474" t="s">
        <v>3988</v>
      </c>
      <c r="B28" s="474" t="s">
        <v>3989</v>
      </c>
      <c r="C28" s="474" t="s">
        <v>5581</v>
      </c>
      <c r="D28" s="482" t="s">
        <v>5578</v>
      </c>
      <c r="E28" s="482" t="s">
        <v>5580</v>
      </c>
      <c r="F28" s="474" t="s">
        <v>5582</v>
      </c>
      <c r="G28" s="468" t="str">
        <f>IF($L$8=TRUE,"Realisasi vs Pagu+Blokir","Realisasi vs Pagu-Blokir")</f>
        <v>Realisasi vs Pagu-Blokir</v>
      </c>
      <c r="H28" s="468"/>
      <c r="I28" s="468" t="str">
        <f>IF($L$8=TRUE,"Sisa vs Pagu+Blokir","Sisa vs Pagu-Blokir")</f>
        <v>Sisa vs Pagu-Blokir</v>
      </c>
      <c r="J28" s="468"/>
    </row>
    <row r="29" spans="1:13" x14ac:dyDescent="0.25">
      <c r="A29" s="475"/>
      <c r="B29" s="475"/>
      <c r="C29" s="475"/>
      <c r="D29" s="483"/>
      <c r="E29" s="483"/>
      <c r="F29" s="475"/>
      <c r="G29" s="212" t="s">
        <v>5590</v>
      </c>
      <c r="H29" s="221" t="s">
        <v>3846</v>
      </c>
      <c r="I29" s="212" t="s">
        <v>5590</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5583</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9" t="s">
        <v>611</v>
      </c>
      <c r="B35" s="470"/>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9" t="s">
        <v>3993</v>
      </c>
      <c r="B36" s="470"/>
      <c r="C36" s="213"/>
      <c r="D36" s="213"/>
      <c r="E36" s="213"/>
      <c r="F36" s="213"/>
      <c r="G36" s="213"/>
      <c r="H36" s="214"/>
      <c r="I36" s="213"/>
      <c r="J36" s="214"/>
    </row>
    <row r="37" spans="1:12" x14ac:dyDescent="0.25">
      <c r="A37" s="469" t="s">
        <v>3994</v>
      </c>
      <c r="B37" s="470"/>
      <c r="C37" s="213">
        <f>C35</f>
        <v>16863164000</v>
      </c>
      <c r="D37" s="484">
        <f>SUM(D35:E35)</f>
        <v>5487360000</v>
      </c>
      <c r="E37" s="485"/>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6" t="s">
        <v>592</v>
      </c>
      <c r="B41" s="466" t="s">
        <v>500</v>
      </c>
      <c r="C41" s="466" t="s">
        <v>5581</v>
      </c>
      <c r="D41" s="466" t="s">
        <v>5578</v>
      </c>
      <c r="E41" s="466" t="s">
        <v>5580</v>
      </c>
      <c r="F41" s="466" t="s">
        <v>5582</v>
      </c>
      <c r="G41" s="468" t="str">
        <f>IF($L$8=TRUE,"Realisasi vs Pagu+Blokir","Realisasi vs Pagu-Blokir")</f>
        <v>Realisasi vs Pagu-Blokir</v>
      </c>
      <c r="H41" s="468"/>
      <c r="I41" s="468" t="str">
        <f>IF($L$8=TRUE,"Sisa vs Pagu+Blokir","Sisa vs Pagu-Blokir")</f>
        <v>Sisa vs Pagu-Blokir</v>
      </c>
      <c r="J41" s="468"/>
    </row>
    <row r="42" spans="1:12" x14ac:dyDescent="0.25">
      <c r="A42" s="466"/>
      <c r="B42" s="466"/>
      <c r="C42" s="466"/>
      <c r="D42" s="466"/>
      <c r="E42" s="466"/>
      <c r="F42" s="466"/>
      <c r="G42" s="417" t="s">
        <v>5590</v>
      </c>
      <c r="H42" s="417" t="s">
        <v>3846</v>
      </c>
      <c r="I42" s="417" t="s">
        <v>5590</v>
      </c>
      <c r="J42" s="417" t="s">
        <v>3846</v>
      </c>
    </row>
    <row r="43" spans="1:12" x14ac:dyDescent="0.25">
      <c r="A43" s="467"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7"/>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7"/>
      <c r="B45" s="296" t="s">
        <v>5586</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67"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7"/>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7"/>
      <c r="B48" s="296" t="s">
        <v>5587</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67"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7"/>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7"/>
      <c r="B51" s="296" t="s">
        <v>5588</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7"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7"/>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7"/>
      <c r="B54" s="296" t="s">
        <v>5589</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64" t="s">
        <v>3852</v>
      </c>
      <c r="B55" s="464"/>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4" t="s">
        <v>5584</v>
      </c>
      <c r="B56" s="464"/>
      <c r="C56" s="415">
        <f>C55</f>
        <v>348880000</v>
      </c>
      <c r="D56" s="465">
        <f>SUM(D55:E55)</f>
        <v>247069000</v>
      </c>
      <c r="E56" s="465"/>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33" sqref="L33"/>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6" t="str">
        <f>IF(L8=TRUE,"REALISASI TANPA GAJI (BERDASARKAN PAGU SEBELUM BLOKIR)","REALISASI TANPA GAJI (BERDASARKAN PAGU SETELAH BLOKIR)")</f>
        <v>REALISASI TANPA GAJI (BERDASARKAN PAGU SETELAH BLOKIR)</v>
      </c>
      <c r="B1" s="476"/>
      <c r="C1" s="476"/>
      <c r="D1" s="476"/>
      <c r="E1" s="476"/>
      <c r="F1" s="476"/>
      <c r="G1" s="476"/>
      <c r="H1" s="476"/>
      <c r="I1" s="476"/>
      <c r="J1" s="476"/>
      <c r="L1" s="431" t="s">
        <v>5585</v>
      </c>
    </row>
    <row r="2" spans="1:13" ht="15.75" x14ac:dyDescent="0.25">
      <c r="A2" s="477" t="str">
        <f>'PER BULAN'!B5</f>
        <v>Berdasarkan DIPA Revisi 2 TA. 2022 (Tanggal 10 Juni 2022)</v>
      </c>
      <c r="B2" s="477"/>
      <c r="C2" s="477"/>
      <c r="D2" s="477"/>
      <c r="E2" s="477"/>
      <c r="F2" s="477"/>
      <c r="G2" s="477"/>
      <c r="H2" s="477"/>
      <c r="I2" s="477"/>
      <c r="J2" s="477"/>
    </row>
    <row r="3" spans="1:13" ht="15.75" x14ac:dyDescent="0.25">
      <c r="A3" s="477" t="s">
        <v>5592</v>
      </c>
      <c r="B3" s="477"/>
      <c r="C3" s="477"/>
      <c r="D3" s="477"/>
      <c r="E3" s="477"/>
      <c r="F3" s="477"/>
      <c r="G3" s="477"/>
      <c r="H3" s="477"/>
      <c r="I3" s="477"/>
      <c r="J3" s="477"/>
    </row>
    <row r="4" spans="1:13" x14ac:dyDescent="0.25">
      <c r="A4" s="436"/>
      <c r="B4" s="436"/>
      <c r="C4" s="436"/>
      <c r="D4" s="436"/>
      <c r="E4" s="436"/>
      <c r="F4" s="436"/>
      <c r="G4" s="436"/>
      <c r="H4" s="436"/>
      <c r="I4" s="436"/>
      <c r="J4" s="436"/>
    </row>
    <row r="5" spans="1:13" ht="15.75" x14ac:dyDescent="0.25">
      <c r="A5" s="433" t="s">
        <v>3995</v>
      </c>
    </row>
    <row r="6" spans="1:13" x14ac:dyDescent="0.25">
      <c r="A6" s="466" t="s">
        <v>592</v>
      </c>
      <c r="B6" s="466" t="s">
        <v>500</v>
      </c>
      <c r="C6" s="466" t="s">
        <v>5581</v>
      </c>
      <c r="D6" s="466" t="s">
        <v>5578</v>
      </c>
      <c r="E6" s="466" t="s">
        <v>5580</v>
      </c>
      <c r="F6" s="466" t="s">
        <v>3848</v>
      </c>
      <c r="G6" s="468" t="s">
        <v>3849</v>
      </c>
      <c r="H6" s="468"/>
      <c r="I6" s="468" t="s">
        <v>3850</v>
      </c>
      <c r="J6" s="468"/>
    </row>
    <row r="7" spans="1:13" x14ac:dyDescent="0.25">
      <c r="A7" s="466"/>
      <c r="B7" s="466"/>
      <c r="C7" s="466"/>
      <c r="D7" s="466"/>
      <c r="E7" s="466"/>
      <c r="F7" s="466"/>
      <c r="G7" s="417" t="s">
        <v>5590</v>
      </c>
      <c r="H7" s="417" t="s">
        <v>3846</v>
      </c>
      <c r="I7" s="417" t="s">
        <v>5590</v>
      </c>
      <c r="J7" s="417" t="s">
        <v>3846</v>
      </c>
    </row>
    <row r="8" spans="1:13" x14ac:dyDescent="0.25">
      <c r="A8" s="471"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2"/>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2"/>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2"/>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3"/>
      <c r="B12" s="296" t="s">
        <v>5586</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1"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72"/>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72"/>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3"/>
      <c r="B16" s="296" t="s">
        <v>5587</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71"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2"/>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3"/>
      <c r="B19" s="296" t="s">
        <v>5588</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1"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2"/>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3"/>
      <c r="B22" s="296" t="s">
        <v>5589</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4" t="s">
        <v>3852</v>
      </c>
      <c r="B23" s="464"/>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78" t="s">
        <v>5584</v>
      </c>
      <c r="B24" s="479"/>
      <c r="C24" s="415">
        <f>C23</f>
        <v>16863164000</v>
      </c>
      <c r="D24" s="480">
        <f>SUM(D23,E23)</f>
        <v>5487360000</v>
      </c>
      <c r="E24" s="481"/>
      <c r="F24" s="415">
        <f>F23</f>
        <v>11375804000</v>
      </c>
      <c r="G24" s="176">
        <f>G23</f>
        <v>6067322932</v>
      </c>
      <c r="H24" s="425">
        <f t="shared" si="0"/>
        <v>53.33533288724032</v>
      </c>
      <c r="I24" s="176">
        <f t="shared" si="1"/>
        <v>5308481068</v>
      </c>
      <c r="J24" s="265">
        <f t="shared" si="2"/>
        <v>46.66466711275968</v>
      </c>
      <c r="M24" s="217"/>
    </row>
    <row r="27" spans="1:13" ht="15.75" x14ac:dyDescent="0.25">
      <c r="A27" s="433" t="s">
        <v>4002</v>
      </c>
    </row>
    <row r="28" spans="1:13" ht="14.45" customHeight="1" x14ac:dyDescent="0.25">
      <c r="A28" s="474" t="s">
        <v>3988</v>
      </c>
      <c r="B28" s="474" t="s">
        <v>3989</v>
      </c>
      <c r="C28" s="474" t="s">
        <v>5581</v>
      </c>
      <c r="D28" s="482" t="s">
        <v>5578</v>
      </c>
      <c r="E28" s="482" t="s">
        <v>5580</v>
      </c>
      <c r="F28" s="466" t="s">
        <v>3848</v>
      </c>
      <c r="G28" s="468" t="s">
        <v>3849</v>
      </c>
      <c r="H28" s="468"/>
      <c r="I28" s="468" t="s">
        <v>3850</v>
      </c>
      <c r="J28" s="468"/>
    </row>
    <row r="29" spans="1:13" x14ac:dyDescent="0.25">
      <c r="A29" s="475"/>
      <c r="B29" s="475"/>
      <c r="C29" s="475"/>
      <c r="D29" s="483"/>
      <c r="E29" s="483"/>
      <c r="F29" s="466"/>
      <c r="G29" s="212" t="s">
        <v>5590</v>
      </c>
      <c r="H29" s="435" t="s">
        <v>3846</v>
      </c>
      <c r="I29" s="212" t="s">
        <v>5590</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5583</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9" t="s">
        <v>611</v>
      </c>
      <c r="B35" s="470"/>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9" t="s">
        <v>3993</v>
      </c>
      <c r="B36" s="470"/>
      <c r="C36" s="213"/>
      <c r="D36" s="213"/>
      <c r="E36" s="213"/>
      <c r="F36" s="213"/>
      <c r="G36" s="213"/>
      <c r="H36" s="214"/>
      <c r="I36" s="213"/>
      <c r="J36" s="214"/>
    </row>
    <row r="37" spans="1:12" x14ac:dyDescent="0.25">
      <c r="A37" s="469" t="s">
        <v>3994</v>
      </c>
      <c r="B37" s="470"/>
      <c r="C37" s="213">
        <f>C35</f>
        <v>16863164000</v>
      </c>
      <c r="D37" s="484">
        <f>SUM(D35:E35)</f>
        <v>5487360000</v>
      </c>
      <c r="E37" s="485"/>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6" t="s">
        <v>592</v>
      </c>
      <c r="B41" s="466" t="s">
        <v>500</v>
      </c>
      <c r="C41" s="466" t="s">
        <v>5581</v>
      </c>
      <c r="D41" s="466" t="s">
        <v>5578</v>
      </c>
      <c r="E41" s="466" t="s">
        <v>5580</v>
      </c>
      <c r="F41" s="466" t="s">
        <v>3848</v>
      </c>
      <c r="G41" s="468" t="s">
        <v>3849</v>
      </c>
      <c r="H41" s="468"/>
      <c r="I41" s="468" t="s">
        <v>3850</v>
      </c>
      <c r="J41" s="468"/>
    </row>
    <row r="42" spans="1:12" x14ac:dyDescent="0.25">
      <c r="A42" s="466"/>
      <c r="B42" s="466"/>
      <c r="C42" s="466"/>
      <c r="D42" s="466"/>
      <c r="E42" s="466"/>
      <c r="F42" s="466"/>
      <c r="G42" s="417" t="s">
        <v>5590</v>
      </c>
      <c r="H42" s="417" t="s">
        <v>3846</v>
      </c>
      <c r="I42" s="417" t="s">
        <v>5590</v>
      </c>
      <c r="J42" s="417" t="s">
        <v>3846</v>
      </c>
    </row>
    <row r="43" spans="1:12" x14ac:dyDescent="0.25">
      <c r="A43" s="467"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7"/>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7"/>
      <c r="B45" s="296" t="s">
        <v>5586</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67"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7"/>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7"/>
      <c r="B48" s="296" t="s">
        <v>5587</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67"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7"/>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7"/>
      <c r="B51" s="296" t="s">
        <v>5588</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67"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7"/>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7"/>
      <c r="B54" s="296" t="s">
        <v>5589</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64" t="s">
        <v>3852</v>
      </c>
      <c r="B55" s="464"/>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4" t="s">
        <v>5584</v>
      </c>
      <c r="B56" s="464"/>
      <c r="C56" s="415">
        <f>C55</f>
        <v>348880000</v>
      </c>
      <c r="D56" s="465">
        <f>SUM(D55:E55)</f>
        <v>247069000</v>
      </c>
      <c r="E56" s="465"/>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Y21" sqref="Y21"/>
    </sheetView>
  </sheetViews>
  <sheetFormatPr defaultRowHeight="15" x14ac:dyDescent="0.25"/>
  <sheetData>
    <row r="1" spans="2:16" x14ac:dyDescent="0.25">
      <c r="B1" s="486" t="str">
        <f>'PERSUBBID - Gaji'!A1</f>
        <v>REALISASI TANPA GAJI (BERDASARKAN PAGU SETELAH BLOKIR)</v>
      </c>
      <c r="C1" s="486"/>
      <c r="D1" s="486"/>
      <c r="E1" s="486"/>
      <c r="F1" s="486"/>
      <c r="G1" s="486"/>
      <c r="H1" s="486"/>
      <c r="I1" s="486"/>
      <c r="J1" s="486"/>
      <c r="K1" s="486"/>
      <c r="L1" s="486"/>
      <c r="M1" s="486"/>
      <c r="N1" s="486"/>
      <c r="O1" s="486"/>
      <c r="P1" s="486"/>
    </row>
    <row r="2" spans="2:16" ht="15.75" x14ac:dyDescent="0.25">
      <c r="B2" s="477" t="str">
        <f>'PERSUBBID - Gaji'!A2</f>
        <v>Berdasarkan DIPA Revisi 2 TA. 2022 (Tanggal 10 Juni 2022)</v>
      </c>
      <c r="C2" s="477"/>
      <c r="D2" s="477"/>
      <c r="E2" s="477"/>
      <c r="F2" s="477"/>
      <c r="G2" s="477"/>
      <c r="H2" s="477"/>
      <c r="I2" s="477"/>
      <c r="J2" s="477"/>
      <c r="K2" s="477"/>
      <c r="L2" s="477"/>
      <c r="M2" s="477"/>
      <c r="N2" s="477"/>
      <c r="O2" s="477"/>
      <c r="P2" s="477"/>
    </row>
    <row r="3" spans="2:16" ht="15.75" x14ac:dyDescent="0.25">
      <c r="B3" s="477" t="str">
        <f>'PERSUBBID - Gaji'!A3</f>
        <v>SAMPAI DENGAN 15 JUNI 2022</v>
      </c>
      <c r="C3" s="477"/>
      <c r="D3" s="477"/>
      <c r="E3" s="477"/>
      <c r="F3" s="477"/>
      <c r="G3" s="477"/>
      <c r="H3" s="477"/>
      <c r="I3" s="477"/>
      <c r="J3" s="477"/>
      <c r="K3" s="477"/>
      <c r="L3" s="477"/>
      <c r="M3" s="477"/>
      <c r="N3" s="477"/>
      <c r="O3" s="477"/>
      <c r="P3" s="47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4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H23" sqref="H23"/>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6" t="str">
        <f>IF(L8=TRUE,"REALISASI DENGAN GAJI (BERDASARKAN PAGU SEBELUM BLOKIR)","REALISASI DENGAN GAJI (BERDASARKAN PAGU SETELAH BLOKIR)")</f>
        <v>REALISASI DENGAN GAJI (BERDASARKAN PAGU SETELAH BLOKIR)</v>
      </c>
      <c r="B1" s="476"/>
      <c r="C1" s="476"/>
      <c r="D1" s="476"/>
      <c r="E1" s="476"/>
      <c r="F1" s="476"/>
      <c r="G1" s="476"/>
      <c r="H1" s="476"/>
      <c r="I1" s="476"/>
      <c r="J1" s="476"/>
      <c r="L1" s="431"/>
    </row>
    <row r="2" spans="1:13" ht="15.75" x14ac:dyDescent="0.25">
      <c r="A2" s="477" t="str">
        <f>'PER BULAN'!B5</f>
        <v>Berdasarkan DIPA Revisi 2 TA. 2022 (Tanggal 10 Juni 2022)</v>
      </c>
      <c r="B2" s="477"/>
      <c r="C2" s="477"/>
      <c r="D2" s="477"/>
      <c r="E2" s="477"/>
      <c r="F2" s="477"/>
      <c r="G2" s="477"/>
      <c r="H2" s="477"/>
      <c r="I2" s="477"/>
      <c r="J2" s="477"/>
    </row>
    <row r="3" spans="1:13" ht="15.75" x14ac:dyDescent="0.25">
      <c r="A3" s="477" t="s">
        <v>4607</v>
      </c>
      <c r="B3" s="477"/>
      <c r="C3" s="477"/>
      <c r="D3" s="477"/>
      <c r="E3" s="477"/>
      <c r="F3" s="477"/>
      <c r="G3" s="477"/>
      <c r="H3" s="477"/>
      <c r="I3" s="477"/>
      <c r="J3" s="477"/>
    </row>
    <row r="4" spans="1:13" x14ac:dyDescent="0.25">
      <c r="A4" s="405"/>
      <c r="B4" s="405"/>
      <c r="C4" s="405"/>
      <c r="D4" s="405"/>
      <c r="E4" s="405"/>
      <c r="F4" s="405"/>
      <c r="G4" s="405"/>
      <c r="H4" s="405"/>
      <c r="I4" s="405"/>
      <c r="J4" s="405"/>
    </row>
    <row r="5" spans="1:13" ht="15.75" x14ac:dyDescent="0.25">
      <c r="A5" s="433" t="s">
        <v>3995</v>
      </c>
    </row>
    <row r="6" spans="1:13" x14ac:dyDescent="0.25">
      <c r="A6" s="466" t="s">
        <v>592</v>
      </c>
      <c r="B6" s="466" t="s">
        <v>500</v>
      </c>
      <c r="C6" s="466" t="s">
        <v>5581</v>
      </c>
      <c r="D6" s="466" t="s">
        <v>5578</v>
      </c>
      <c r="E6" s="466" t="s">
        <v>5580</v>
      </c>
      <c r="F6" s="466" t="s">
        <v>5582</v>
      </c>
      <c r="G6" s="468" t="str">
        <f>IF($L$8=TRUE,"Realisasi vs Pagu+Blokir","Realisasi vs Pagu-Blokir")</f>
        <v>Realisasi vs Pagu-Blokir</v>
      </c>
      <c r="H6" s="468"/>
      <c r="I6" s="468" t="str">
        <f>IF($L$8=TRUE,"Sisa vs Pagu+Blokir","Sisa vs Pagu-Blokir")</f>
        <v>Sisa vs Pagu-Blokir</v>
      </c>
      <c r="J6" s="468"/>
    </row>
    <row r="7" spans="1:13" x14ac:dyDescent="0.25">
      <c r="A7" s="466"/>
      <c r="B7" s="466"/>
      <c r="C7" s="466"/>
      <c r="D7" s="466"/>
      <c r="E7" s="466"/>
      <c r="F7" s="466"/>
      <c r="G7" s="417" t="s">
        <v>5590</v>
      </c>
      <c r="H7" s="417" t="s">
        <v>3846</v>
      </c>
      <c r="I7" s="417" t="s">
        <v>5590</v>
      </c>
      <c r="J7" s="417" t="s">
        <v>3846</v>
      </c>
    </row>
    <row r="8" spans="1:13" x14ac:dyDescent="0.25">
      <c r="A8" s="471"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2"/>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2"/>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2"/>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2"/>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73"/>
      <c r="B13" s="296" t="s">
        <v>5586</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71"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72"/>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72"/>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3"/>
      <c r="B17" s="296" t="s">
        <v>5587</v>
      </c>
      <c r="C17" s="194">
        <f>SUM(C14:C16)</f>
        <v>9985150000</v>
      </c>
      <c r="D17" s="194">
        <f t="shared" ref="D17:E17" si="7">SUM(D14:D16)</f>
        <v>0</v>
      </c>
      <c r="E17" s="194">
        <f t="shared" si="7"/>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71"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2"/>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3"/>
      <c r="B20" s="296" t="s">
        <v>5588</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1"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2"/>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3"/>
      <c r="B23" s="296" t="s">
        <v>5589</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4" t="s">
        <v>3852</v>
      </c>
      <c r="B24" s="464"/>
      <c r="C24" s="176">
        <f>C13++C17+C20+C23</f>
        <v>23342160000</v>
      </c>
      <c r="D24" s="176">
        <f t="shared" ref="D24:E24" si="10">D13++D17+D20+D23</f>
        <v>423949000</v>
      </c>
      <c r="E24" s="176">
        <f t="shared" si="10"/>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78" t="s">
        <v>5584</v>
      </c>
      <c r="B25" s="479"/>
      <c r="C25" s="415">
        <f>C24</f>
        <v>23342160000</v>
      </c>
      <c r="D25" s="480">
        <f>SUM(D24,E24)</f>
        <v>5811309000</v>
      </c>
      <c r="E25" s="481"/>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74" t="s">
        <v>3988</v>
      </c>
      <c r="B30" s="474" t="s">
        <v>3989</v>
      </c>
      <c r="C30" s="474" t="s">
        <v>5581</v>
      </c>
      <c r="D30" s="482" t="s">
        <v>5578</v>
      </c>
      <c r="E30" s="482" t="s">
        <v>5580</v>
      </c>
      <c r="F30" s="474" t="s">
        <v>5582</v>
      </c>
      <c r="G30" s="468" t="str">
        <f>IF($L$8=TRUE,"Realisasi vs Pagu+Blokir","Realisasi vs Pagu-Blokir")</f>
        <v>Realisasi vs Pagu-Blokir</v>
      </c>
      <c r="H30" s="468"/>
      <c r="I30" s="468" t="str">
        <f>IF($L$8=TRUE,"Sisa vs Pagu+Blokir","Sisa vs Pagu-Blokir")</f>
        <v>Sisa vs Pagu-Blokir</v>
      </c>
      <c r="J30" s="468"/>
    </row>
    <row r="31" spans="1:13" x14ac:dyDescent="0.25">
      <c r="A31" s="475"/>
      <c r="B31" s="475"/>
      <c r="C31" s="475"/>
      <c r="D31" s="483"/>
      <c r="E31" s="483"/>
      <c r="F31" s="475"/>
      <c r="G31" s="212" t="s">
        <v>5590</v>
      </c>
      <c r="H31" s="404" t="s">
        <v>3846</v>
      </c>
      <c r="I31" s="212" t="s">
        <v>5590</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5583</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69" t="s">
        <v>611</v>
      </c>
      <c r="B38" s="470"/>
      <c r="C38" s="213">
        <f>SUM(C32,C33,C36)</f>
        <v>23342160000</v>
      </c>
      <c r="D38" s="213">
        <f t="shared" ref="D38:G38" si="19">SUM(D32,D33,D36)</f>
        <v>423949000</v>
      </c>
      <c r="E38" s="213">
        <f t="shared" si="19"/>
        <v>5387360000</v>
      </c>
      <c r="F38" s="213">
        <f t="shared" si="19"/>
        <v>17530851000</v>
      </c>
      <c r="G38" s="213">
        <f t="shared" si="19"/>
        <v>9007705236</v>
      </c>
      <c r="H38" s="214">
        <f t="shared" si="16"/>
        <v>51.382019252801811</v>
      </c>
      <c r="I38" s="213">
        <f t="shared" si="17"/>
        <v>8523145764</v>
      </c>
      <c r="J38" s="214">
        <f t="shared" si="18"/>
        <v>48.617980747198182</v>
      </c>
      <c r="K38" s="434"/>
    </row>
    <row r="39" spans="1:12" x14ac:dyDescent="0.25">
      <c r="A39" s="469" t="s">
        <v>3993</v>
      </c>
      <c r="B39" s="470"/>
      <c r="C39" s="213"/>
      <c r="D39" s="213"/>
      <c r="E39" s="213"/>
      <c r="F39" s="213"/>
      <c r="G39" s="213"/>
      <c r="H39" s="214"/>
      <c r="I39" s="213"/>
      <c r="J39" s="214"/>
      <c r="K39" s="434"/>
    </row>
    <row r="40" spans="1:12" x14ac:dyDescent="0.25">
      <c r="A40" s="469" t="s">
        <v>3994</v>
      </c>
      <c r="B40" s="470"/>
      <c r="C40" s="213">
        <f>C38</f>
        <v>23342160000</v>
      </c>
      <c r="D40" s="484">
        <f>SUM(D38:E38)</f>
        <v>5811309000</v>
      </c>
      <c r="E40" s="485"/>
      <c r="F40" s="213">
        <f>F38</f>
        <v>17530851000</v>
      </c>
      <c r="G40" s="213">
        <f>G38-G39</f>
        <v>9007705236</v>
      </c>
      <c r="H40" s="214">
        <f t="shared" si="16"/>
        <v>51.382019252801811</v>
      </c>
      <c r="I40" s="213">
        <f t="shared" si="17"/>
        <v>8523145764</v>
      </c>
      <c r="J40" s="214">
        <f t="shared" si="18"/>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6" t="s">
        <v>592</v>
      </c>
      <c r="B45" s="466" t="s">
        <v>500</v>
      </c>
      <c r="C45" s="466" t="s">
        <v>5581</v>
      </c>
      <c r="D45" s="466" t="s">
        <v>5578</v>
      </c>
      <c r="E45" s="466" t="s">
        <v>5580</v>
      </c>
      <c r="F45" s="466" t="s">
        <v>5582</v>
      </c>
      <c r="G45" s="468" t="str">
        <f>IF($L$8=TRUE,"Realisasi vs Pagu+Blokir","Realisasi vs Pagu-Blokir")</f>
        <v>Realisasi vs Pagu-Blokir</v>
      </c>
      <c r="H45" s="468"/>
      <c r="I45" s="468" t="str">
        <f>IF($L$8=TRUE,"Sisa vs Pagu+Blokir","Sisa vs Pagu-Blokir")</f>
        <v>Sisa vs Pagu-Blokir</v>
      </c>
      <c r="J45" s="468"/>
    </row>
    <row r="46" spans="1:12" x14ac:dyDescent="0.25">
      <c r="A46" s="466"/>
      <c r="B46" s="466"/>
      <c r="C46" s="466"/>
      <c r="D46" s="466"/>
      <c r="E46" s="466"/>
      <c r="F46" s="466"/>
      <c r="G46" s="417" t="s">
        <v>5590</v>
      </c>
      <c r="H46" s="417" t="s">
        <v>3846</v>
      </c>
      <c r="I46" s="417" t="s">
        <v>5590</v>
      </c>
      <c r="J46" s="417" t="s">
        <v>3846</v>
      </c>
    </row>
    <row r="47" spans="1:12" x14ac:dyDescent="0.25">
      <c r="A47" s="467"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67"/>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7"/>
      <c r="B49" s="296" t="s">
        <v>5586</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67"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67"/>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7"/>
      <c r="B52" s="296" t="s">
        <v>5587</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67"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7"/>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7"/>
      <c r="B55" s="296" t="s">
        <v>5588</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7"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67"/>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67"/>
      <c r="B58" s="296" t="s">
        <v>5589</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64" t="s">
        <v>3852</v>
      </c>
      <c r="B59" s="464"/>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64" t="s">
        <v>5584</v>
      </c>
      <c r="B60" s="464"/>
      <c r="C60" s="415">
        <f>C59</f>
        <v>348880000</v>
      </c>
      <c r="D60" s="465">
        <f>SUM(D59:E59)</f>
        <v>247069000</v>
      </c>
      <c r="E60" s="465"/>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P8" sqref="P8"/>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6" t="str">
        <f>IF(L8=TRUE,"REALISASI DENGAN GAJI (BERDASARKAN PAGU SEBELUM BLOKIR)","REALISASI DENGAN GAJI (BERDASARKAN PAGU SETELAH BLOKIR)")</f>
        <v>REALISASI DENGAN GAJI (BERDASARKAN PAGU SETELAH BLOKIR)</v>
      </c>
      <c r="B1" s="476"/>
      <c r="C1" s="476"/>
      <c r="D1" s="476"/>
      <c r="E1" s="476"/>
      <c r="F1" s="476"/>
      <c r="G1" s="476"/>
      <c r="H1" s="476"/>
      <c r="I1" s="476"/>
      <c r="J1" s="476"/>
      <c r="L1" s="431"/>
    </row>
    <row r="2" spans="1:13" ht="15.75" x14ac:dyDescent="0.25">
      <c r="A2" s="477" t="str">
        <f>'PER BULAN'!B5</f>
        <v>Berdasarkan DIPA Revisi 2 TA. 2022 (Tanggal 10 Juni 2022)</v>
      </c>
      <c r="B2" s="477"/>
      <c r="C2" s="477"/>
      <c r="D2" s="477"/>
      <c r="E2" s="477"/>
      <c r="F2" s="477"/>
      <c r="G2" s="477"/>
      <c r="H2" s="477"/>
      <c r="I2" s="477"/>
      <c r="J2" s="477"/>
    </row>
    <row r="3" spans="1:13" ht="15.75" x14ac:dyDescent="0.25">
      <c r="A3" s="477" t="s">
        <v>5592</v>
      </c>
      <c r="B3" s="477"/>
      <c r="C3" s="477"/>
      <c r="D3" s="477"/>
      <c r="E3" s="477"/>
      <c r="F3" s="477"/>
      <c r="G3" s="477"/>
      <c r="H3" s="477"/>
      <c r="I3" s="477"/>
      <c r="J3" s="477"/>
    </row>
    <row r="4" spans="1:13" x14ac:dyDescent="0.25">
      <c r="A4" s="436"/>
      <c r="B4" s="436"/>
      <c r="C4" s="436"/>
      <c r="D4" s="436"/>
      <c r="E4" s="436"/>
      <c r="F4" s="436"/>
      <c r="G4" s="436"/>
      <c r="H4" s="436"/>
      <c r="I4" s="436"/>
      <c r="J4" s="436"/>
    </row>
    <row r="5" spans="1:13" ht="15.75" x14ac:dyDescent="0.25">
      <c r="A5" s="433" t="s">
        <v>3995</v>
      </c>
    </row>
    <row r="6" spans="1:13" x14ac:dyDescent="0.25">
      <c r="A6" s="466" t="s">
        <v>592</v>
      </c>
      <c r="B6" s="466" t="s">
        <v>500</v>
      </c>
      <c r="C6" s="466" t="s">
        <v>5581</v>
      </c>
      <c r="D6" s="466" t="s">
        <v>5578</v>
      </c>
      <c r="E6" s="466" t="s">
        <v>5580</v>
      </c>
      <c r="F6" s="466" t="s">
        <v>3848</v>
      </c>
      <c r="G6" s="468" t="s">
        <v>3849</v>
      </c>
      <c r="H6" s="468"/>
      <c r="I6" s="468" t="s">
        <v>3850</v>
      </c>
      <c r="J6" s="468"/>
    </row>
    <row r="7" spans="1:13" x14ac:dyDescent="0.25">
      <c r="A7" s="466"/>
      <c r="B7" s="466"/>
      <c r="C7" s="466"/>
      <c r="D7" s="466"/>
      <c r="E7" s="466"/>
      <c r="F7" s="466"/>
      <c r="G7" s="417" t="s">
        <v>5590</v>
      </c>
      <c r="H7" s="417" t="s">
        <v>3846</v>
      </c>
      <c r="I7" s="417" t="s">
        <v>5590</v>
      </c>
      <c r="J7" s="417" t="s">
        <v>3846</v>
      </c>
    </row>
    <row r="8" spans="1:13" x14ac:dyDescent="0.25">
      <c r="A8" s="471"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2"/>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2"/>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2"/>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2"/>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73"/>
      <c r="B13" s="296" t="s">
        <v>5586</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71"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72"/>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72"/>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3"/>
      <c r="B17" s="296" t="s">
        <v>5587</v>
      </c>
      <c r="C17" s="194">
        <f>SUM(C14:C16)</f>
        <v>9985150000</v>
      </c>
      <c r="D17" s="194">
        <f t="shared" ref="D17:E17" si="4">SUM(D14:D16)</f>
        <v>0</v>
      </c>
      <c r="E17" s="194">
        <f t="shared" si="4"/>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71"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2"/>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3"/>
      <c r="B20" s="296" t="s">
        <v>5588</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1"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2"/>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3"/>
      <c r="B23" s="296" t="s">
        <v>5589</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4" t="s">
        <v>3852</v>
      </c>
      <c r="B24" s="464"/>
      <c r="C24" s="176">
        <f>C13++C17+C20+C23</f>
        <v>23342160000</v>
      </c>
      <c r="D24" s="176">
        <f t="shared" ref="D24:E24" si="7">D13++D17+D20+D23</f>
        <v>423949000</v>
      </c>
      <c r="E24" s="176">
        <f t="shared" si="7"/>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78" t="s">
        <v>5584</v>
      </c>
      <c r="B25" s="479"/>
      <c r="C25" s="415">
        <f>C24</f>
        <v>23342160000</v>
      </c>
      <c r="D25" s="480">
        <f>SUM(D24,E24)</f>
        <v>5811309000</v>
      </c>
      <c r="E25" s="481"/>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74" t="s">
        <v>3988</v>
      </c>
      <c r="B30" s="474" t="s">
        <v>3989</v>
      </c>
      <c r="C30" s="474" t="s">
        <v>5581</v>
      </c>
      <c r="D30" s="482" t="s">
        <v>5578</v>
      </c>
      <c r="E30" s="482" t="s">
        <v>5580</v>
      </c>
      <c r="F30" s="466" t="s">
        <v>3848</v>
      </c>
      <c r="G30" s="468" t="s">
        <v>3849</v>
      </c>
      <c r="H30" s="468"/>
      <c r="I30" s="468" t="s">
        <v>3850</v>
      </c>
      <c r="J30" s="468"/>
    </row>
    <row r="31" spans="1:13" x14ac:dyDescent="0.25">
      <c r="A31" s="475"/>
      <c r="B31" s="475"/>
      <c r="C31" s="475"/>
      <c r="D31" s="483"/>
      <c r="E31" s="483"/>
      <c r="F31" s="466"/>
      <c r="G31" s="417" t="s">
        <v>5590</v>
      </c>
      <c r="H31" s="417" t="s">
        <v>3846</v>
      </c>
      <c r="I31" s="417" t="s">
        <v>5590</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5413122932</v>
      </c>
      <c r="H33" s="205">
        <f t="shared" si="9"/>
        <v>50.487995378303474</v>
      </c>
      <c r="I33" s="206">
        <f t="shared" si="10"/>
        <v>5308481068</v>
      </c>
      <c r="J33" s="205">
        <f t="shared" si="11"/>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5583</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9"/>
        <v>55.064120399084345</v>
      </c>
      <c r="I35" s="210">
        <f t="shared" si="10"/>
        <v>3876144709</v>
      </c>
      <c r="J35" s="209">
        <f t="shared" si="11"/>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69" t="s">
        <v>611</v>
      </c>
      <c r="B38" s="470"/>
      <c r="C38" s="213">
        <f>SUM(C32,C33,C36)</f>
        <v>23342160000</v>
      </c>
      <c r="D38" s="213">
        <f t="shared" ref="D38:G38" si="13">SUM(D32,D33,D36)</f>
        <v>423949000</v>
      </c>
      <c r="E38" s="213">
        <f t="shared" si="13"/>
        <v>5387360000</v>
      </c>
      <c r="F38" s="213">
        <f t="shared" si="13"/>
        <v>17530851000</v>
      </c>
      <c r="G38" s="213">
        <f t="shared" si="13"/>
        <v>9007705236</v>
      </c>
      <c r="H38" s="214">
        <f t="shared" si="9"/>
        <v>51.382019252801811</v>
      </c>
      <c r="I38" s="213">
        <f t="shared" si="10"/>
        <v>8523145764</v>
      </c>
      <c r="J38" s="214">
        <f t="shared" si="11"/>
        <v>48.617980747198182</v>
      </c>
      <c r="K38" s="434"/>
    </row>
    <row r="39" spans="1:12" x14ac:dyDescent="0.25">
      <c r="A39" s="469" t="s">
        <v>3993</v>
      </c>
      <c r="B39" s="470"/>
      <c r="C39" s="213"/>
      <c r="D39" s="213"/>
      <c r="E39" s="213"/>
      <c r="F39" s="213"/>
      <c r="G39" s="213"/>
      <c r="H39" s="214"/>
      <c r="I39" s="213"/>
      <c r="J39" s="214"/>
      <c r="K39" s="434"/>
    </row>
    <row r="40" spans="1:12" x14ac:dyDescent="0.25">
      <c r="A40" s="469" t="s">
        <v>3994</v>
      </c>
      <c r="B40" s="470"/>
      <c r="C40" s="213">
        <f>C38</f>
        <v>23342160000</v>
      </c>
      <c r="D40" s="484">
        <f>SUM(D38:E38)</f>
        <v>5811309000</v>
      </c>
      <c r="E40" s="485"/>
      <c r="F40" s="213">
        <f>F38</f>
        <v>17530851000</v>
      </c>
      <c r="G40" s="213">
        <f>G38-G39</f>
        <v>9007705236</v>
      </c>
      <c r="H40" s="214">
        <f t="shared" si="9"/>
        <v>51.382019252801811</v>
      </c>
      <c r="I40" s="213">
        <f t="shared" si="10"/>
        <v>8523145764</v>
      </c>
      <c r="J40" s="214">
        <f t="shared" si="11"/>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6" t="s">
        <v>592</v>
      </c>
      <c r="B45" s="466" t="s">
        <v>500</v>
      </c>
      <c r="C45" s="466" t="s">
        <v>5581</v>
      </c>
      <c r="D45" s="466" t="s">
        <v>5578</v>
      </c>
      <c r="E45" s="466" t="s">
        <v>5580</v>
      </c>
      <c r="F45" s="466" t="s">
        <v>3848</v>
      </c>
      <c r="G45" s="468" t="s">
        <v>3849</v>
      </c>
      <c r="H45" s="468"/>
      <c r="I45" s="468" t="s">
        <v>3850</v>
      </c>
      <c r="J45" s="468"/>
    </row>
    <row r="46" spans="1:12" x14ac:dyDescent="0.25">
      <c r="A46" s="466"/>
      <c r="B46" s="466"/>
      <c r="C46" s="466"/>
      <c r="D46" s="466"/>
      <c r="E46" s="466"/>
      <c r="F46" s="466"/>
      <c r="G46" s="417" t="s">
        <v>5590</v>
      </c>
      <c r="H46" s="417" t="s">
        <v>3846</v>
      </c>
      <c r="I46" s="417" t="s">
        <v>5590</v>
      </c>
      <c r="J46" s="417" t="s">
        <v>3846</v>
      </c>
    </row>
    <row r="47" spans="1:12" x14ac:dyDescent="0.25">
      <c r="A47" s="467"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67"/>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67"/>
      <c r="B49" s="296" t="s">
        <v>5586</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67"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67"/>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67"/>
      <c r="B52" s="296" t="s">
        <v>5587</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67"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67"/>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67"/>
      <c r="B55" s="296" t="s">
        <v>5588</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67"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67"/>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67"/>
      <c r="B58" s="296" t="s">
        <v>5589</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64" t="s">
        <v>3852</v>
      </c>
      <c r="B59" s="464"/>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64" t="s">
        <v>5584</v>
      </c>
      <c r="B60" s="464"/>
      <c r="C60" s="415">
        <f>C59</f>
        <v>348880000</v>
      </c>
      <c r="D60" s="465">
        <f>SUM(D59:E59)</f>
        <v>247069000</v>
      </c>
      <c r="E60" s="465"/>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1" sqref="F31"/>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4608</v>
      </c>
      <c r="B1" t="s">
        <v>4609</v>
      </c>
      <c r="C1" t="s">
        <v>4610</v>
      </c>
      <c r="D1" t="s">
        <v>4611</v>
      </c>
      <c r="E1" t="s">
        <v>4612</v>
      </c>
      <c r="F1" t="s">
        <v>4613</v>
      </c>
      <c r="G1" t="s">
        <v>4614</v>
      </c>
      <c r="H1" t="s">
        <v>4615</v>
      </c>
      <c r="I1" t="s">
        <v>4616</v>
      </c>
      <c r="J1" t="s">
        <v>4617</v>
      </c>
      <c r="K1" t="s">
        <v>4618</v>
      </c>
      <c r="L1" t="s">
        <v>3850</v>
      </c>
      <c r="M1" t="s">
        <v>4619</v>
      </c>
      <c r="N1" t="s">
        <v>4620</v>
      </c>
      <c r="O1" t="s">
        <v>4621</v>
      </c>
      <c r="P1" t="s">
        <v>499</v>
      </c>
      <c r="Q1" t="s">
        <v>4622</v>
      </c>
    </row>
    <row r="2" spans="1:17" x14ac:dyDescent="0.25">
      <c r="A2" t="s">
        <v>495</v>
      </c>
      <c r="B2" t="s">
        <v>3476</v>
      </c>
      <c r="C2" t="s">
        <v>833</v>
      </c>
      <c r="D2" t="s">
        <v>4623</v>
      </c>
      <c r="E2" t="s">
        <v>537</v>
      </c>
      <c r="F2" t="s">
        <v>4624</v>
      </c>
      <c r="G2">
        <v>18000000</v>
      </c>
      <c r="H2">
        <v>1454000</v>
      </c>
      <c r="I2">
        <v>1447000</v>
      </c>
      <c r="J2">
        <v>2901000</v>
      </c>
      <c r="K2" t="s">
        <v>4625</v>
      </c>
      <c r="L2">
        <v>15099000</v>
      </c>
      <c r="M2" t="s">
        <v>4626</v>
      </c>
      <c r="N2" t="s">
        <v>4627</v>
      </c>
      <c r="O2" t="s">
        <v>3505</v>
      </c>
      <c r="P2" t="s">
        <v>3514</v>
      </c>
    </row>
    <row r="3" spans="1:17" x14ac:dyDescent="0.25">
      <c r="A3" t="s">
        <v>495</v>
      </c>
      <c r="B3" t="s">
        <v>3476</v>
      </c>
      <c r="C3" t="s">
        <v>833</v>
      </c>
      <c r="D3" t="s">
        <v>4623</v>
      </c>
      <c r="E3" t="s">
        <v>533</v>
      </c>
      <c r="F3" t="s">
        <v>4628</v>
      </c>
      <c r="G3">
        <v>3800445000</v>
      </c>
      <c r="H3">
        <v>3643075356</v>
      </c>
      <c r="I3">
        <v>154545850</v>
      </c>
      <c r="J3">
        <v>3797621206</v>
      </c>
      <c r="K3" t="s">
        <v>4629</v>
      </c>
      <c r="L3">
        <v>2823794</v>
      </c>
      <c r="M3" t="s">
        <v>4630</v>
      </c>
      <c r="N3" t="s">
        <v>4631</v>
      </c>
      <c r="O3" t="s">
        <v>3505</v>
      </c>
      <c r="P3" t="s">
        <v>3509</v>
      </c>
    </row>
    <row r="4" spans="1:17" x14ac:dyDescent="0.25">
      <c r="A4" t="s">
        <v>495</v>
      </c>
      <c r="B4" t="s">
        <v>3476</v>
      </c>
      <c r="C4" t="s">
        <v>833</v>
      </c>
      <c r="D4" t="s">
        <v>4623</v>
      </c>
      <c r="E4" t="s">
        <v>503</v>
      </c>
      <c r="F4" t="s">
        <v>4632</v>
      </c>
      <c r="G4">
        <v>18000000</v>
      </c>
      <c r="H4">
        <v>1475000</v>
      </c>
      <c r="I4">
        <v>1442500</v>
      </c>
      <c r="J4">
        <v>2917500</v>
      </c>
      <c r="K4" t="s">
        <v>4633</v>
      </c>
      <c r="L4">
        <v>15082500</v>
      </c>
      <c r="M4" t="s">
        <v>4634</v>
      </c>
      <c r="N4" t="s">
        <v>4635</v>
      </c>
      <c r="O4" t="s">
        <v>3505</v>
      </c>
      <c r="P4" t="s">
        <v>3506</v>
      </c>
    </row>
    <row r="5" spans="1:17" x14ac:dyDescent="0.25">
      <c r="A5" t="s">
        <v>495</v>
      </c>
      <c r="B5" t="s">
        <v>3476</v>
      </c>
      <c r="C5" t="s">
        <v>833</v>
      </c>
      <c r="D5" t="s">
        <v>4636</v>
      </c>
      <c r="E5" t="s">
        <v>513</v>
      </c>
      <c r="F5" t="s">
        <v>4637</v>
      </c>
      <c r="G5">
        <v>78000000</v>
      </c>
      <c r="H5">
        <v>5900000</v>
      </c>
      <c r="I5">
        <v>14635000</v>
      </c>
      <c r="J5">
        <v>20535000</v>
      </c>
      <c r="K5" t="s">
        <v>4638</v>
      </c>
      <c r="L5">
        <v>57465000</v>
      </c>
      <c r="M5" t="s">
        <v>4639</v>
      </c>
      <c r="N5" t="s">
        <v>4640</v>
      </c>
      <c r="O5" t="s">
        <v>3479</v>
      </c>
      <c r="P5" t="s">
        <v>3500</v>
      </c>
    </row>
    <row r="6" spans="1:17" x14ac:dyDescent="0.25">
      <c r="A6" t="s">
        <v>494</v>
      </c>
      <c r="B6" t="s">
        <v>3105</v>
      </c>
      <c r="C6" t="s">
        <v>833</v>
      </c>
      <c r="D6" t="s">
        <v>4641</v>
      </c>
      <c r="E6" t="s">
        <v>513</v>
      </c>
      <c r="F6" t="s">
        <v>4642</v>
      </c>
      <c r="G6">
        <v>76033000</v>
      </c>
      <c r="H6">
        <v>52700000</v>
      </c>
      <c r="I6">
        <v>2030000</v>
      </c>
      <c r="J6">
        <v>54730000</v>
      </c>
      <c r="K6" t="s">
        <v>4643</v>
      </c>
      <c r="L6">
        <v>21303000</v>
      </c>
      <c r="M6" t="s">
        <v>4644</v>
      </c>
      <c r="N6" t="s">
        <v>4645</v>
      </c>
      <c r="O6" t="s">
        <v>3377</v>
      </c>
      <c r="P6" t="s">
        <v>3384</v>
      </c>
    </row>
    <row r="7" spans="1:17" x14ac:dyDescent="0.25">
      <c r="A7" t="s">
        <v>494</v>
      </c>
      <c r="B7" t="s">
        <v>2785</v>
      </c>
      <c r="C7" t="s">
        <v>833</v>
      </c>
      <c r="D7" t="s">
        <v>4623</v>
      </c>
      <c r="E7" t="s">
        <v>513</v>
      </c>
      <c r="F7" t="s">
        <v>4646</v>
      </c>
      <c r="G7">
        <v>60415000</v>
      </c>
      <c r="H7">
        <v>26021155</v>
      </c>
      <c r="I7">
        <v>34393100</v>
      </c>
      <c r="J7">
        <v>60414255</v>
      </c>
      <c r="K7" t="s">
        <v>4647</v>
      </c>
      <c r="L7">
        <v>745</v>
      </c>
      <c r="M7" t="s">
        <v>4648</v>
      </c>
      <c r="N7" t="s">
        <v>4649</v>
      </c>
      <c r="O7" t="s">
        <v>3067</v>
      </c>
      <c r="P7" t="s">
        <v>3084</v>
      </c>
    </row>
    <row r="8" spans="1:17" x14ac:dyDescent="0.25">
      <c r="A8" t="s">
        <v>494</v>
      </c>
      <c r="B8" t="s">
        <v>2785</v>
      </c>
      <c r="C8" t="s">
        <v>833</v>
      </c>
      <c r="D8" t="s">
        <v>4623</v>
      </c>
      <c r="E8" t="s">
        <v>503</v>
      </c>
      <c r="F8" t="s">
        <v>4650</v>
      </c>
      <c r="G8">
        <v>3525000</v>
      </c>
      <c r="H8">
        <v>880000</v>
      </c>
      <c r="I8">
        <v>2640000</v>
      </c>
      <c r="J8">
        <v>3520000</v>
      </c>
      <c r="K8" t="s">
        <v>4651</v>
      </c>
      <c r="L8">
        <v>5000</v>
      </c>
      <c r="M8" t="s">
        <v>4652</v>
      </c>
      <c r="N8" t="s">
        <v>4653</v>
      </c>
      <c r="O8" t="s">
        <v>3067</v>
      </c>
      <c r="P8" t="s">
        <v>3068</v>
      </c>
    </row>
    <row r="9" spans="1:17" x14ac:dyDescent="0.25">
      <c r="A9" t="s">
        <v>494</v>
      </c>
      <c r="B9" t="s">
        <v>1700</v>
      </c>
      <c r="C9" t="s">
        <v>501</v>
      </c>
      <c r="D9" t="s">
        <v>5431</v>
      </c>
      <c r="E9" t="s">
        <v>556</v>
      </c>
      <c r="F9" t="s">
        <v>5432</v>
      </c>
      <c r="G9">
        <v>2635488000</v>
      </c>
      <c r="H9">
        <v>1082579247</v>
      </c>
      <c r="I9">
        <v>242093442</v>
      </c>
      <c r="J9">
        <v>1324672689</v>
      </c>
      <c r="K9" t="s">
        <v>5433</v>
      </c>
      <c r="L9">
        <v>1310815311</v>
      </c>
      <c r="M9" t="s">
        <v>5434</v>
      </c>
      <c r="N9" t="s">
        <v>5435</v>
      </c>
      <c r="O9" t="s">
        <v>1806</v>
      </c>
      <c r="P9" t="s">
        <v>1845</v>
      </c>
    </row>
    <row r="10" spans="1:17" x14ac:dyDescent="0.25">
      <c r="A10" t="s">
        <v>494</v>
      </c>
      <c r="B10" t="s">
        <v>1700</v>
      </c>
      <c r="C10" t="s">
        <v>501</v>
      </c>
      <c r="D10" t="s">
        <v>5431</v>
      </c>
      <c r="E10" t="s">
        <v>555</v>
      </c>
      <c r="F10" t="s">
        <v>5436</v>
      </c>
      <c r="G10">
        <v>75605000</v>
      </c>
      <c r="H10">
        <v>33430000</v>
      </c>
      <c r="I10">
        <v>5355000</v>
      </c>
      <c r="J10">
        <v>38785000</v>
      </c>
      <c r="K10" t="s">
        <v>5437</v>
      </c>
      <c r="L10">
        <v>36820000</v>
      </c>
      <c r="M10" t="s">
        <v>5438</v>
      </c>
      <c r="N10" t="s">
        <v>5439</v>
      </c>
      <c r="O10" t="s">
        <v>1806</v>
      </c>
      <c r="P10" t="s">
        <v>1841</v>
      </c>
    </row>
    <row r="11" spans="1:17" x14ac:dyDescent="0.25">
      <c r="A11" t="s">
        <v>494</v>
      </c>
      <c r="B11" t="s">
        <v>1700</v>
      </c>
      <c r="C11" t="s">
        <v>501</v>
      </c>
      <c r="D11" t="s">
        <v>5431</v>
      </c>
      <c r="E11" t="s">
        <v>554</v>
      </c>
      <c r="F11" t="s">
        <v>5440</v>
      </c>
      <c r="G11">
        <v>379379000</v>
      </c>
      <c r="H11">
        <v>109729000</v>
      </c>
      <c r="I11">
        <v>16698000</v>
      </c>
      <c r="J11">
        <v>126427000</v>
      </c>
      <c r="K11" t="s">
        <v>5441</v>
      </c>
      <c r="L11">
        <v>252952000</v>
      </c>
      <c r="M11" t="s">
        <v>5442</v>
      </c>
      <c r="N11" t="s">
        <v>5443</v>
      </c>
      <c r="O11" t="s">
        <v>1806</v>
      </c>
      <c r="P11" t="s">
        <v>1839</v>
      </c>
    </row>
    <row r="12" spans="1:17" x14ac:dyDescent="0.25">
      <c r="A12" t="s">
        <v>494</v>
      </c>
      <c r="B12" t="s">
        <v>1700</v>
      </c>
      <c r="C12" t="s">
        <v>501</v>
      </c>
      <c r="D12" t="s">
        <v>5431</v>
      </c>
      <c r="E12" t="s">
        <v>553</v>
      </c>
      <c r="F12" t="s">
        <v>5444</v>
      </c>
      <c r="G12">
        <v>130333000</v>
      </c>
      <c r="H12">
        <v>62136360</v>
      </c>
      <c r="I12">
        <v>8980080</v>
      </c>
      <c r="J12">
        <v>71116440</v>
      </c>
      <c r="K12" t="s">
        <v>5445</v>
      </c>
      <c r="L12">
        <v>59216560</v>
      </c>
      <c r="M12" t="s">
        <v>5446</v>
      </c>
      <c r="N12" t="s">
        <v>5447</v>
      </c>
      <c r="O12" t="s">
        <v>1806</v>
      </c>
      <c r="P12" t="s">
        <v>1837</v>
      </c>
    </row>
    <row r="13" spans="1:17" x14ac:dyDescent="0.25">
      <c r="A13" t="s">
        <v>494</v>
      </c>
      <c r="B13" t="s">
        <v>1700</v>
      </c>
      <c r="C13" t="s">
        <v>501</v>
      </c>
      <c r="D13" t="s">
        <v>5431</v>
      </c>
      <c r="E13" t="s">
        <v>552</v>
      </c>
      <c r="F13" t="s">
        <v>5448</v>
      </c>
      <c r="G13">
        <v>6407000</v>
      </c>
      <c r="H13">
        <v>1768744</v>
      </c>
      <c r="I13">
        <v>273209</v>
      </c>
      <c r="J13">
        <v>2041953</v>
      </c>
      <c r="K13" t="s">
        <v>5449</v>
      </c>
      <c r="L13">
        <v>4365047</v>
      </c>
      <c r="M13" t="s">
        <v>5450</v>
      </c>
      <c r="N13" t="s">
        <v>5451</v>
      </c>
      <c r="O13" t="s">
        <v>1806</v>
      </c>
      <c r="P13" t="s">
        <v>1833</v>
      </c>
    </row>
    <row r="14" spans="1:17" x14ac:dyDescent="0.25">
      <c r="A14" t="s">
        <v>494</v>
      </c>
      <c r="B14" t="s">
        <v>1700</v>
      </c>
      <c r="C14" t="s">
        <v>501</v>
      </c>
      <c r="D14" t="s">
        <v>5431</v>
      </c>
      <c r="E14" t="s">
        <v>551</v>
      </c>
      <c r="F14" t="s">
        <v>5452</v>
      </c>
      <c r="G14">
        <v>44180000</v>
      </c>
      <c r="H14">
        <v>28995000</v>
      </c>
      <c r="I14">
        <v>5287000</v>
      </c>
      <c r="J14">
        <v>34282000</v>
      </c>
      <c r="K14" t="s">
        <v>5453</v>
      </c>
      <c r="L14">
        <v>9898000</v>
      </c>
      <c r="M14" t="s">
        <v>5454</v>
      </c>
      <c r="N14" t="s">
        <v>5455</v>
      </c>
      <c r="O14" t="s">
        <v>1806</v>
      </c>
      <c r="P14" t="s">
        <v>1829</v>
      </c>
    </row>
    <row r="15" spans="1:17" x14ac:dyDescent="0.25">
      <c r="A15" t="s">
        <v>494</v>
      </c>
      <c r="B15" t="s">
        <v>1700</v>
      </c>
      <c r="C15" t="s">
        <v>501</v>
      </c>
      <c r="D15" t="s">
        <v>5431</v>
      </c>
      <c r="E15" t="s">
        <v>550</v>
      </c>
      <c r="F15" t="s">
        <v>5456</v>
      </c>
      <c r="G15">
        <v>133860000</v>
      </c>
      <c r="H15">
        <v>58380000</v>
      </c>
      <c r="I15">
        <v>9730000</v>
      </c>
      <c r="J15">
        <v>68110000</v>
      </c>
      <c r="K15" t="s">
        <v>5457</v>
      </c>
      <c r="L15">
        <v>65750000</v>
      </c>
      <c r="M15" t="s">
        <v>5458</v>
      </c>
      <c r="N15" t="s">
        <v>5459</v>
      </c>
      <c r="O15" t="s">
        <v>1806</v>
      </c>
      <c r="P15" t="s">
        <v>1825</v>
      </c>
    </row>
    <row r="16" spans="1:17" x14ac:dyDescent="0.25">
      <c r="A16" t="s">
        <v>494</v>
      </c>
      <c r="B16" t="s">
        <v>1700</v>
      </c>
      <c r="C16" t="s">
        <v>501</v>
      </c>
      <c r="D16" t="s">
        <v>5431</v>
      </c>
      <c r="E16" t="s">
        <v>549</v>
      </c>
      <c r="F16" t="s">
        <v>5460</v>
      </c>
      <c r="G16">
        <v>3282000</v>
      </c>
      <c r="H16">
        <v>3249442</v>
      </c>
      <c r="I16">
        <v>3392150</v>
      </c>
      <c r="J16">
        <v>6641592</v>
      </c>
      <c r="K16" t="s">
        <v>5461</v>
      </c>
      <c r="L16">
        <v>-3359592</v>
      </c>
      <c r="M16" t="s">
        <v>5462</v>
      </c>
      <c r="N16" t="s">
        <v>5463</v>
      </c>
      <c r="O16" t="s">
        <v>1806</v>
      </c>
      <c r="P16" t="s">
        <v>1821</v>
      </c>
    </row>
    <row r="17" spans="1:16" x14ac:dyDescent="0.25">
      <c r="A17" t="s">
        <v>494</v>
      </c>
      <c r="B17" t="s">
        <v>1700</v>
      </c>
      <c r="C17" t="s">
        <v>501</v>
      </c>
      <c r="D17" t="s">
        <v>5431</v>
      </c>
      <c r="E17" t="s">
        <v>548</v>
      </c>
      <c r="F17" t="s">
        <v>5464</v>
      </c>
      <c r="G17">
        <v>147267000</v>
      </c>
      <c r="H17">
        <v>66096160</v>
      </c>
      <c r="I17">
        <v>10726270</v>
      </c>
      <c r="J17">
        <v>76822430</v>
      </c>
      <c r="K17" t="s">
        <v>5465</v>
      </c>
      <c r="L17">
        <v>70444570</v>
      </c>
      <c r="M17" t="s">
        <v>5466</v>
      </c>
      <c r="N17" t="s">
        <v>5467</v>
      </c>
      <c r="O17" t="s">
        <v>1806</v>
      </c>
      <c r="P17" t="s">
        <v>1817</v>
      </c>
    </row>
    <row r="18" spans="1:16" x14ac:dyDescent="0.25">
      <c r="A18" t="s">
        <v>494</v>
      </c>
      <c r="B18" t="s">
        <v>1700</v>
      </c>
      <c r="C18" t="s">
        <v>501</v>
      </c>
      <c r="D18" t="s">
        <v>5431</v>
      </c>
      <c r="E18" t="s">
        <v>547</v>
      </c>
      <c r="F18" t="s">
        <v>5468</v>
      </c>
      <c r="G18">
        <v>32000</v>
      </c>
      <c r="H18">
        <v>15634</v>
      </c>
      <c r="I18">
        <v>2379</v>
      </c>
      <c r="J18">
        <v>18013</v>
      </c>
      <c r="K18" t="s">
        <v>5469</v>
      </c>
      <c r="L18">
        <v>13987</v>
      </c>
      <c r="M18" t="s">
        <v>5470</v>
      </c>
      <c r="N18" t="s">
        <v>5471</v>
      </c>
      <c r="O18" t="s">
        <v>1806</v>
      </c>
      <c r="P18" t="s">
        <v>1813</v>
      </c>
    </row>
    <row r="19" spans="1:16" x14ac:dyDescent="0.25">
      <c r="A19" t="s">
        <v>494</v>
      </c>
      <c r="B19" t="s">
        <v>1700</v>
      </c>
      <c r="C19" t="s">
        <v>501</v>
      </c>
      <c r="D19" t="s">
        <v>5431</v>
      </c>
      <c r="E19" t="s">
        <v>544</v>
      </c>
      <c r="F19" t="s">
        <v>5472</v>
      </c>
      <c r="G19">
        <v>2123477000</v>
      </c>
      <c r="H19">
        <v>1014827240</v>
      </c>
      <c r="I19">
        <v>166352500</v>
      </c>
      <c r="J19">
        <v>1181179740</v>
      </c>
      <c r="K19" t="s">
        <v>5473</v>
      </c>
      <c r="L19">
        <v>942297260</v>
      </c>
      <c r="M19" t="s">
        <v>5474</v>
      </c>
      <c r="N19" t="s">
        <v>5475</v>
      </c>
      <c r="O19" t="s">
        <v>1806</v>
      </c>
      <c r="P19" t="s">
        <v>1809</v>
      </c>
    </row>
    <row r="20" spans="1:16" x14ac:dyDescent="0.25">
      <c r="A20" t="s">
        <v>494</v>
      </c>
      <c r="B20" t="s">
        <v>1269</v>
      </c>
      <c r="C20" t="s">
        <v>833</v>
      </c>
      <c r="D20" t="s">
        <v>4654</v>
      </c>
      <c r="E20" t="s">
        <v>513</v>
      </c>
      <c r="F20" t="s">
        <v>4655</v>
      </c>
      <c r="G20">
        <v>60764000</v>
      </c>
      <c r="H20">
        <v>58653672</v>
      </c>
      <c r="I20">
        <v>2110000</v>
      </c>
      <c r="J20">
        <v>60763672</v>
      </c>
      <c r="K20" t="s">
        <v>4656</v>
      </c>
      <c r="L20">
        <v>328</v>
      </c>
      <c r="M20" t="s">
        <v>4657</v>
      </c>
      <c r="N20" t="s">
        <v>4658</v>
      </c>
      <c r="O20" t="s">
        <v>1490</v>
      </c>
      <c r="P20" t="s">
        <v>1501</v>
      </c>
    </row>
    <row r="21" spans="1:16" x14ac:dyDescent="0.25">
      <c r="A21" t="s">
        <v>494</v>
      </c>
      <c r="B21" t="s">
        <v>1269</v>
      </c>
      <c r="C21" t="s">
        <v>833</v>
      </c>
      <c r="D21" t="s">
        <v>4641</v>
      </c>
      <c r="E21" t="s">
        <v>513</v>
      </c>
      <c r="F21" t="s">
        <v>4659</v>
      </c>
      <c r="G21">
        <v>9059000</v>
      </c>
      <c r="H21">
        <v>1650000</v>
      </c>
      <c r="I21">
        <v>3700700</v>
      </c>
      <c r="J21">
        <v>5350700</v>
      </c>
      <c r="K21" t="s">
        <v>4660</v>
      </c>
      <c r="L21">
        <v>3708300</v>
      </c>
      <c r="M21" t="s">
        <v>4661</v>
      </c>
      <c r="N21" t="s">
        <v>4662</v>
      </c>
      <c r="O21" t="s">
        <v>1469</v>
      </c>
      <c r="P21" t="s">
        <v>1487</v>
      </c>
    </row>
    <row r="22" spans="1:16" x14ac:dyDescent="0.25">
      <c r="A22" t="s">
        <v>419</v>
      </c>
      <c r="B22" t="s">
        <v>616</v>
      </c>
      <c r="C22" t="s">
        <v>523</v>
      </c>
      <c r="D22" t="s">
        <v>4663</v>
      </c>
      <c r="E22" t="s">
        <v>513</v>
      </c>
      <c r="F22" t="s">
        <v>4664</v>
      </c>
      <c r="G22">
        <v>138160000</v>
      </c>
      <c r="H22">
        <v>82621650</v>
      </c>
      <c r="I22">
        <v>48815040</v>
      </c>
      <c r="J22">
        <v>131436690</v>
      </c>
      <c r="K22" t="s">
        <v>4665</v>
      </c>
      <c r="L22">
        <v>6723310</v>
      </c>
      <c r="M22" t="s">
        <v>4666</v>
      </c>
      <c r="N22" t="s">
        <v>4667</v>
      </c>
      <c r="O22" t="s">
        <v>469</v>
      </c>
      <c r="P22" t="s">
        <v>482</v>
      </c>
    </row>
    <row r="23" spans="1:16" x14ac:dyDescent="0.25">
      <c r="A23" t="s">
        <v>419</v>
      </c>
      <c r="B23" t="s">
        <v>616</v>
      </c>
      <c r="C23" t="s">
        <v>520</v>
      </c>
      <c r="D23" t="s">
        <v>4668</v>
      </c>
      <c r="E23" t="s">
        <v>513</v>
      </c>
      <c r="F23" t="s">
        <v>4669</v>
      </c>
      <c r="G23">
        <v>33250000</v>
      </c>
      <c r="H23">
        <v>20734500</v>
      </c>
      <c r="I23">
        <v>360000</v>
      </c>
      <c r="J23">
        <v>21094500</v>
      </c>
      <c r="K23" t="s">
        <v>4670</v>
      </c>
      <c r="L23">
        <v>12155500</v>
      </c>
      <c r="M23" t="s">
        <v>4671</v>
      </c>
      <c r="N23" t="s">
        <v>59</v>
      </c>
      <c r="O23" t="s">
        <v>440</v>
      </c>
      <c r="P23" t="s">
        <v>448</v>
      </c>
    </row>
    <row r="24" spans="1:16" x14ac:dyDescent="0.25">
      <c r="A24" t="s">
        <v>494</v>
      </c>
      <c r="B24" t="s">
        <v>3105</v>
      </c>
      <c r="C24" t="s">
        <v>833</v>
      </c>
      <c r="D24" t="s">
        <v>4672</v>
      </c>
      <c r="E24" t="s">
        <v>503</v>
      </c>
      <c r="F24" t="s">
        <v>4673</v>
      </c>
      <c r="G24">
        <v>3000000</v>
      </c>
      <c r="H24">
        <v>1994000</v>
      </c>
      <c r="I24">
        <v>0</v>
      </c>
      <c r="J24">
        <v>1994000</v>
      </c>
      <c r="K24" t="s">
        <v>4674</v>
      </c>
      <c r="L24">
        <v>1006000</v>
      </c>
      <c r="M24" t="s">
        <v>4675</v>
      </c>
      <c r="N24" t="s">
        <v>4627</v>
      </c>
      <c r="O24" t="s">
        <v>3367</v>
      </c>
      <c r="P24" t="s">
        <v>3368</v>
      </c>
    </row>
    <row r="25" spans="1:16" x14ac:dyDescent="0.25">
      <c r="A25" t="s">
        <v>494</v>
      </c>
      <c r="B25" t="s">
        <v>3105</v>
      </c>
      <c r="C25" t="s">
        <v>833</v>
      </c>
      <c r="D25" t="s">
        <v>4672</v>
      </c>
      <c r="E25" t="s">
        <v>503</v>
      </c>
      <c r="F25" t="s">
        <v>4676</v>
      </c>
      <c r="G25">
        <v>4500000</v>
      </c>
      <c r="H25">
        <v>2950000</v>
      </c>
      <c r="I25">
        <v>0</v>
      </c>
      <c r="J25">
        <v>2950000</v>
      </c>
      <c r="K25" t="s">
        <v>4677</v>
      </c>
      <c r="L25">
        <v>1550000</v>
      </c>
      <c r="M25" t="s">
        <v>4678</v>
      </c>
      <c r="N25" t="s">
        <v>4679</v>
      </c>
      <c r="O25" t="s">
        <v>3367</v>
      </c>
      <c r="P25" t="s">
        <v>3368</v>
      </c>
    </row>
    <row r="26" spans="1:16" x14ac:dyDescent="0.25">
      <c r="A26" t="s">
        <v>494</v>
      </c>
      <c r="B26" t="s">
        <v>3105</v>
      </c>
      <c r="C26" t="s">
        <v>833</v>
      </c>
      <c r="D26" t="s">
        <v>4680</v>
      </c>
      <c r="E26" t="s">
        <v>503</v>
      </c>
      <c r="F26" t="s">
        <v>4681</v>
      </c>
      <c r="G26">
        <v>3000000</v>
      </c>
      <c r="H26">
        <v>2000000</v>
      </c>
      <c r="I26">
        <v>0</v>
      </c>
      <c r="J26">
        <v>2000000</v>
      </c>
      <c r="K26" t="s">
        <v>4682</v>
      </c>
      <c r="L26">
        <v>1000000</v>
      </c>
      <c r="M26" t="s">
        <v>4683</v>
      </c>
      <c r="N26" t="s">
        <v>4627</v>
      </c>
      <c r="O26" t="s">
        <v>3349</v>
      </c>
      <c r="P26" t="s">
        <v>3351</v>
      </c>
    </row>
    <row r="27" spans="1:16" x14ac:dyDescent="0.25">
      <c r="A27" t="s">
        <v>494</v>
      </c>
      <c r="B27" t="s">
        <v>3105</v>
      </c>
      <c r="C27" t="s">
        <v>833</v>
      </c>
      <c r="D27" t="s">
        <v>4680</v>
      </c>
      <c r="E27" t="s">
        <v>503</v>
      </c>
      <c r="F27" t="s">
        <v>4684</v>
      </c>
      <c r="G27">
        <v>3500000</v>
      </c>
      <c r="H27">
        <v>3490000</v>
      </c>
      <c r="I27">
        <v>0</v>
      </c>
      <c r="J27">
        <v>3490000</v>
      </c>
      <c r="K27" t="s">
        <v>4685</v>
      </c>
      <c r="L27">
        <v>10000</v>
      </c>
      <c r="M27" t="s">
        <v>4686</v>
      </c>
      <c r="N27" t="s">
        <v>4687</v>
      </c>
      <c r="O27" t="s">
        <v>3349</v>
      </c>
      <c r="P27" t="s">
        <v>3351</v>
      </c>
    </row>
    <row r="28" spans="1:16" x14ac:dyDescent="0.25">
      <c r="A28" t="s">
        <v>494</v>
      </c>
      <c r="B28" t="s">
        <v>3105</v>
      </c>
      <c r="C28" t="s">
        <v>833</v>
      </c>
      <c r="D28" t="s">
        <v>4680</v>
      </c>
      <c r="E28" t="s">
        <v>503</v>
      </c>
      <c r="F28" t="s">
        <v>4688</v>
      </c>
      <c r="G28">
        <v>7500000</v>
      </c>
      <c r="H28">
        <v>5495000</v>
      </c>
      <c r="I28">
        <v>0</v>
      </c>
      <c r="J28">
        <v>5495000</v>
      </c>
      <c r="K28" t="s">
        <v>4689</v>
      </c>
      <c r="L28">
        <v>2005000</v>
      </c>
      <c r="M28" t="s">
        <v>4690</v>
      </c>
      <c r="N28" t="s">
        <v>4679</v>
      </c>
      <c r="O28" t="s">
        <v>3349</v>
      </c>
      <c r="P28" t="s">
        <v>3351</v>
      </c>
    </row>
    <row r="29" spans="1:16" x14ac:dyDescent="0.25">
      <c r="A29" t="s">
        <v>494</v>
      </c>
      <c r="B29" t="s">
        <v>3105</v>
      </c>
      <c r="C29" t="s">
        <v>833</v>
      </c>
      <c r="D29" t="s">
        <v>4691</v>
      </c>
      <c r="E29" t="s">
        <v>503</v>
      </c>
      <c r="F29" t="s">
        <v>4692</v>
      </c>
      <c r="G29">
        <v>3000000</v>
      </c>
      <c r="H29">
        <v>1998500</v>
      </c>
      <c r="I29">
        <v>0</v>
      </c>
      <c r="J29">
        <v>1998500</v>
      </c>
      <c r="K29" t="s">
        <v>4693</v>
      </c>
      <c r="L29">
        <v>1001500</v>
      </c>
      <c r="M29" t="s">
        <v>4694</v>
      </c>
      <c r="N29" t="s">
        <v>4627</v>
      </c>
      <c r="O29" t="s">
        <v>3340</v>
      </c>
      <c r="P29" t="s">
        <v>3341</v>
      </c>
    </row>
    <row r="30" spans="1:16" x14ac:dyDescent="0.25">
      <c r="A30" t="s">
        <v>494</v>
      </c>
      <c r="B30" t="s">
        <v>3105</v>
      </c>
      <c r="C30" t="s">
        <v>833</v>
      </c>
      <c r="D30" t="s">
        <v>4691</v>
      </c>
      <c r="E30" t="s">
        <v>503</v>
      </c>
      <c r="F30" t="s">
        <v>4695</v>
      </c>
      <c r="G30">
        <v>4500000</v>
      </c>
      <c r="H30">
        <v>2970000</v>
      </c>
      <c r="I30">
        <v>0</v>
      </c>
      <c r="J30">
        <v>2970000</v>
      </c>
      <c r="K30" t="s">
        <v>4696</v>
      </c>
      <c r="L30">
        <v>1530000</v>
      </c>
      <c r="M30" t="s">
        <v>4697</v>
      </c>
      <c r="N30" t="s">
        <v>4679</v>
      </c>
      <c r="O30" t="s">
        <v>3340</v>
      </c>
      <c r="P30" t="s">
        <v>3341</v>
      </c>
    </row>
    <row r="31" spans="1:16" x14ac:dyDescent="0.25">
      <c r="A31" t="s">
        <v>494</v>
      </c>
      <c r="B31" t="s">
        <v>3105</v>
      </c>
      <c r="C31" t="s">
        <v>833</v>
      </c>
      <c r="D31" t="s">
        <v>4623</v>
      </c>
      <c r="E31" t="s">
        <v>503</v>
      </c>
      <c r="F31" t="s">
        <v>4698</v>
      </c>
      <c r="G31">
        <v>3000000</v>
      </c>
      <c r="H31">
        <v>1994000</v>
      </c>
      <c r="I31">
        <v>0</v>
      </c>
      <c r="J31">
        <v>1994000</v>
      </c>
      <c r="K31" t="s">
        <v>4674</v>
      </c>
      <c r="L31">
        <v>1006000</v>
      </c>
      <c r="M31" t="s">
        <v>4699</v>
      </c>
      <c r="N31" t="s">
        <v>4627</v>
      </c>
      <c r="O31" t="s">
        <v>3331</v>
      </c>
      <c r="P31" t="s">
        <v>3332</v>
      </c>
    </row>
    <row r="32" spans="1:16" x14ac:dyDescent="0.25">
      <c r="A32" t="s">
        <v>494</v>
      </c>
      <c r="B32" t="s">
        <v>3105</v>
      </c>
      <c r="C32" t="s">
        <v>833</v>
      </c>
      <c r="D32" t="s">
        <v>4623</v>
      </c>
      <c r="E32" t="s">
        <v>503</v>
      </c>
      <c r="F32" t="s">
        <v>4700</v>
      </c>
      <c r="G32">
        <v>4500000</v>
      </c>
      <c r="H32">
        <v>2950000</v>
      </c>
      <c r="I32">
        <v>0</v>
      </c>
      <c r="J32">
        <v>2950000</v>
      </c>
      <c r="K32" t="s">
        <v>4677</v>
      </c>
      <c r="L32">
        <v>1550000</v>
      </c>
      <c r="M32" t="s">
        <v>4701</v>
      </c>
      <c r="N32" t="s">
        <v>4679</v>
      </c>
      <c r="O32" t="s">
        <v>3331</v>
      </c>
      <c r="P32" t="s">
        <v>3332</v>
      </c>
    </row>
    <row r="33" spans="1:16" x14ac:dyDescent="0.25">
      <c r="A33" t="s">
        <v>494</v>
      </c>
      <c r="B33" t="s">
        <v>3105</v>
      </c>
      <c r="C33" t="s">
        <v>833</v>
      </c>
      <c r="D33" t="s">
        <v>4636</v>
      </c>
      <c r="E33" t="s">
        <v>503</v>
      </c>
      <c r="F33" t="s">
        <v>4702</v>
      </c>
      <c r="G33">
        <v>9000000</v>
      </c>
      <c r="H33">
        <v>7710000</v>
      </c>
      <c r="I33">
        <v>0</v>
      </c>
      <c r="J33">
        <v>7710000</v>
      </c>
      <c r="K33" t="s">
        <v>4703</v>
      </c>
      <c r="L33">
        <v>1290000</v>
      </c>
      <c r="M33" t="s">
        <v>4704</v>
      </c>
      <c r="N33" t="s">
        <v>4679</v>
      </c>
      <c r="O33" t="s">
        <v>3320</v>
      </c>
      <c r="P33" t="s">
        <v>3321</v>
      </c>
    </row>
    <row r="34" spans="1:16" x14ac:dyDescent="0.25">
      <c r="A34" t="s">
        <v>494</v>
      </c>
      <c r="B34" t="s">
        <v>3105</v>
      </c>
      <c r="C34" t="s">
        <v>833</v>
      </c>
      <c r="D34" t="s">
        <v>4636</v>
      </c>
      <c r="E34" t="s">
        <v>503</v>
      </c>
      <c r="F34" t="s">
        <v>4705</v>
      </c>
      <c r="G34">
        <v>5000000</v>
      </c>
      <c r="H34">
        <v>3996000</v>
      </c>
      <c r="I34">
        <v>0</v>
      </c>
      <c r="J34">
        <v>3996000</v>
      </c>
      <c r="K34" t="s">
        <v>4706</v>
      </c>
      <c r="L34">
        <v>1004000</v>
      </c>
      <c r="M34" t="s">
        <v>4707</v>
      </c>
      <c r="N34" t="s">
        <v>4627</v>
      </c>
      <c r="O34" t="s">
        <v>3320</v>
      </c>
      <c r="P34" t="s">
        <v>3321</v>
      </c>
    </row>
    <row r="35" spans="1:16" x14ac:dyDescent="0.25">
      <c r="A35" t="s">
        <v>494</v>
      </c>
      <c r="B35" t="s">
        <v>3105</v>
      </c>
      <c r="C35" t="s">
        <v>833</v>
      </c>
      <c r="D35" t="s">
        <v>4636</v>
      </c>
      <c r="E35" t="s">
        <v>503</v>
      </c>
      <c r="F35" t="s">
        <v>4708</v>
      </c>
      <c r="G35">
        <v>1400000</v>
      </c>
      <c r="H35">
        <v>1350000</v>
      </c>
      <c r="I35">
        <v>0</v>
      </c>
      <c r="J35">
        <v>1350000</v>
      </c>
      <c r="K35" t="s">
        <v>4709</v>
      </c>
      <c r="L35">
        <v>50000</v>
      </c>
      <c r="M35" t="s">
        <v>4710</v>
      </c>
      <c r="N35" t="s">
        <v>4653</v>
      </c>
      <c r="O35" t="s">
        <v>3320</v>
      </c>
      <c r="P35" t="s">
        <v>3321</v>
      </c>
    </row>
    <row r="36" spans="1:16" x14ac:dyDescent="0.25">
      <c r="A36" t="s">
        <v>494</v>
      </c>
      <c r="B36" t="s">
        <v>3105</v>
      </c>
      <c r="C36" t="s">
        <v>833</v>
      </c>
      <c r="D36" t="s">
        <v>4636</v>
      </c>
      <c r="E36" t="s">
        <v>503</v>
      </c>
      <c r="F36" t="s">
        <v>4711</v>
      </c>
      <c r="G36">
        <v>3000000</v>
      </c>
      <c r="H36">
        <v>775000</v>
      </c>
      <c r="I36">
        <v>0</v>
      </c>
      <c r="J36">
        <v>775000</v>
      </c>
      <c r="K36" t="s">
        <v>4712</v>
      </c>
      <c r="L36">
        <v>2225000</v>
      </c>
      <c r="M36" t="s">
        <v>4713</v>
      </c>
      <c r="N36" t="s">
        <v>4714</v>
      </c>
      <c r="O36" t="s">
        <v>3320</v>
      </c>
      <c r="P36" t="s">
        <v>3321</v>
      </c>
    </row>
    <row r="37" spans="1:16" x14ac:dyDescent="0.25">
      <c r="A37" t="s">
        <v>494</v>
      </c>
      <c r="B37" t="s">
        <v>2785</v>
      </c>
      <c r="C37" t="s">
        <v>3090</v>
      </c>
      <c r="D37" t="s">
        <v>4715</v>
      </c>
      <c r="E37" t="s">
        <v>503</v>
      </c>
      <c r="F37" t="s">
        <v>4716</v>
      </c>
      <c r="G37">
        <v>1000000</v>
      </c>
      <c r="H37">
        <v>1000000</v>
      </c>
      <c r="I37">
        <v>0</v>
      </c>
      <c r="J37">
        <v>1000000</v>
      </c>
      <c r="K37" t="s">
        <v>4717</v>
      </c>
      <c r="L37">
        <v>0</v>
      </c>
      <c r="M37" t="s">
        <v>4718</v>
      </c>
      <c r="N37" t="s">
        <v>4719</v>
      </c>
      <c r="O37" t="s">
        <v>3092</v>
      </c>
      <c r="P37" t="s">
        <v>3093</v>
      </c>
    </row>
    <row r="38" spans="1:16" x14ac:dyDescent="0.25">
      <c r="A38" t="s">
        <v>494</v>
      </c>
      <c r="B38" t="s">
        <v>2785</v>
      </c>
      <c r="C38" t="s">
        <v>3090</v>
      </c>
      <c r="D38" t="s">
        <v>4715</v>
      </c>
      <c r="E38" t="s">
        <v>503</v>
      </c>
      <c r="F38" t="s">
        <v>4720</v>
      </c>
      <c r="G38">
        <v>6000000</v>
      </c>
      <c r="H38">
        <v>3000000</v>
      </c>
      <c r="I38">
        <v>0</v>
      </c>
      <c r="J38">
        <v>3000000</v>
      </c>
      <c r="K38" t="s">
        <v>4721</v>
      </c>
      <c r="L38">
        <v>3000000</v>
      </c>
      <c r="M38" t="s">
        <v>4722</v>
      </c>
      <c r="N38" t="s">
        <v>4679</v>
      </c>
      <c r="O38" t="s">
        <v>3092</v>
      </c>
      <c r="P38" t="s">
        <v>3093</v>
      </c>
    </row>
    <row r="39" spans="1:16" x14ac:dyDescent="0.25">
      <c r="A39" t="s">
        <v>494</v>
      </c>
      <c r="B39" t="s">
        <v>2785</v>
      </c>
      <c r="C39" t="s">
        <v>3090</v>
      </c>
      <c r="D39" t="s">
        <v>4715</v>
      </c>
      <c r="E39" t="s">
        <v>503</v>
      </c>
      <c r="F39" t="s">
        <v>4723</v>
      </c>
      <c r="G39">
        <v>4000000</v>
      </c>
      <c r="H39">
        <v>1984000</v>
      </c>
      <c r="I39">
        <v>0</v>
      </c>
      <c r="J39">
        <v>1984000</v>
      </c>
      <c r="K39" t="s">
        <v>4724</v>
      </c>
      <c r="L39">
        <v>2016000</v>
      </c>
      <c r="M39" t="s">
        <v>4725</v>
      </c>
      <c r="N39" t="s">
        <v>4627</v>
      </c>
      <c r="O39" t="s">
        <v>3092</v>
      </c>
      <c r="P39" t="s">
        <v>3093</v>
      </c>
    </row>
    <row r="40" spans="1:16" x14ac:dyDescent="0.25">
      <c r="A40" t="s">
        <v>494</v>
      </c>
      <c r="B40" t="s">
        <v>2785</v>
      </c>
      <c r="C40" t="s">
        <v>3090</v>
      </c>
      <c r="D40" t="s">
        <v>4715</v>
      </c>
      <c r="E40" t="s">
        <v>503</v>
      </c>
      <c r="F40" t="s">
        <v>4726</v>
      </c>
      <c r="G40">
        <v>900000</v>
      </c>
      <c r="H40">
        <v>860000</v>
      </c>
      <c r="I40">
        <v>0</v>
      </c>
      <c r="J40">
        <v>860000</v>
      </c>
      <c r="K40" t="s">
        <v>4727</v>
      </c>
      <c r="L40">
        <v>40000</v>
      </c>
      <c r="M40" t="s">
        <v>4728</v>
      </c>
      <c r="N40" t="s">
        <v>4653</v>
      </c>
      <c r="O40" t="s">
        <v>3092</v>
      </c>
      <c r="P40" t="s">
        <v>3093</v>
      </c>
    </row>
    <row r="41" spans="1:16" x14ac:dyDescent="0.25">
      <c r="A41" t="s">
        <v>494</v>
      </c>
      <c r="B41" t="s">
        <v>2785</v>
      </c>
      <c r="C41" t="s">
        <v>3090</v>
      </c>
      <c r="D41" t="s">
        <v>4715</v>
      </c>
      <c r="E41" t="s">
        <v>503</v>
      </c>
      <c r="F41" t="s">
        <v>4729</v>
      </c>
      <c r="G41">
        <v>6000000</v>
      </c>
      <c r="H41">
        <v>1500000</v>
      </c>
      <c r="I41">
        <v>0</v>
      </c>
      <c r="J41">
        <v>1500000</v>
      </c>
      <c r="K41" t="s">
        <v>4730</v>
      </c>
      <c r="L41">
        <v>4500000</v>
      </c>
      <c r="M41" t="s">
        <v>4731</v>
      </c>
      <c r="N41" t="s">
        <v>4714</v>
      </c>
      <c r="O41" t="s">
        <v>3092</v>
      </c>
      <c r="P41" t="s">
        <v>3093</v>
      </c>
    </row>
    <row r="42" spans="1:16" x14ac:dyDescent="0.25">
      <c r="A42" t="s">
        <v>494</v>
      </c>
      <c r="B42" t="s">
        <v>2785</v>
      </c>
      <c r="C42" t="s">
        <v>833</v>
      </c>
      <c r="D42" t="s">
        <v>4623</v>
      </c>
      <c r="E42" t="s">
        <v>503</v>
      </c>
      <c r="F42" t="s">
        <v>4732</v>
      </c>
      <c r="G42">
        <v>3000000</v>
      </c>
      <c r="H42">
        <v>1500000</v>
      </c>
      <c r="I42">
        <v>0</v>
      </c>
      <c r="J42">
        <v>1500000</v>
      </c>
      <c r="K42" t="s">
        <v>4721</v>
      </c>
      <c r="L42">
        <v>1500000</v>
      </c>
      <c r="M42" t="s">
        <v>4733</v>
      </c>
      <c r="N42" t="s">
        <v>4679</v>
      </c>
      <c r="O42" t="s">
        <v>3067</v>
      </c>
      <c r="P42" t="s">
        <v>3068</v>
      </c>
    </row>
    <row r="43" spans="1:16" x14ac:dyDescent="0.25">
      <c r="A43" t="s">
        <v>494</v>
      </c>
      <c r="B43" t="s">
        <v>2785</v>
      </c>
      <c r="C43" t="s">
        <v>833</v>
      </c>
      <c r="D43" t="s">
        <v>4623</v>
      </c>
      <c r="E43" t="s">
        <v>503</v>
      </c>
      <c r="F43" t="s">
        <v>4734</v>
      </c>
      <c r="G43">
        <v>2000000</v>
      </c>
      <c r="H43">
        <v>999000</v>
      </c>
      <c r="I43">
        <v>0</v>
      </c>
      <c r="J43">
        <v>999000</v>
      </c>
      <c r="K43" t="s">
        <v>4735</v>
      </c>
      <c r="L43">
        <v>1001000</v>
      </c>
      <c r="M43" t="s">
        <v>4736</v>
      </c>
      <c r="N43" t="s">
        <v>4627</v>
      </c>
      <c r="O43" t="s">
        <v>3067</v>
      </c>
      <c r="P43" t="s">
        <v>3068</v>
      </c>
    </row>
    <row r="44" spans="1:16" x14ac:dyDescent="0.25">
      <c r="A44" t="s">
        <v>494</v>
      </c>
      <c r="B44" t="s">
        <v>2785</v>
      </c>
      <c r="C44" t="s">
        <v>833</v>
      </c>
      <c r="D44" t="s">
        <v>4623</v>
      </c>
      <c r="E44" t="s">
        <v>503</v>
      </c>
      <c r="F44" t="s">
        <v>4737</v>
      </c>
      <c r="G44">
        <v>2000000</v>
      </c>
      <c r="H44">
        <v>2000000</v>
      </c>
      <c r="I44">
        <v>0</v>
      </c>
      <c r="J44">
        <v>2000000</v>
      </c>
      <c r="K44" t="s">
        <v>4717</v>
      </c>
      <c r="L44">
        <v>0</v>
      </c>
      <c r="M44" t="s">
        <v>4738</v>
      </c>
      <c r="N44" t="s">
        <v>4739</v>
      </c>
      <c r="O44" t="s">
        <v>3067</v>
      </c>
      <c r="P44" t="s">
        <v>3068</v>
      </c>
    </row>
    <row r="45" spans="1:16" x14ac:dyDescent="0.25">
      <c r="A45" t="s">
        <v>494</v>
      </c>
      <c r="B45" t="s">
        <v>2785</v>
      </c>
      <c r="C45" t="s">
        <v>833</v>
      </c>
      <c r="D45" t="s">
        <v>4623</v>
      </c>
      <c r="E45" t="s">
        <v>503</v>
      </c>
      <c r="F45" t="s">
        <v>4740</v>
      </c>
      <c r="G45">
        <v>3000000</v>
      </c>
      <c r="H45">
        <v>1500000</v>
      </c>
      <c r="I45">
        <v>0</v>
      </c>
      <c r="J45">
        <v>1500000</v>
      </c>
      <c r="K45" t="s">
        <v>4721</v>
      </c>
      <c r="L45">
        <v>1500000</v>
      </c>
      <c r="M45" t="s">
        <v>4741</v>
      </c>
      <c r="N45" t="s">
        <v>4714</v>
      </c>
      <c r="O45" t="s">
        <v>3067</v>
      </c>
      <c r="P45" t="s">
        <v>3068</v>
      </c>
    </row>
    <row r="46" spans="1:16" x14ac:dyDescent="0.25">
      <c r="A46" t="s">
        <v>494</v>
      </c>
      <c r="B46" t="s">
        <v>2785</v>
      </c>
      <c r="C46" t="s">
        <v>833</v>
      </c>
      <c r="D46" t="s">
        <v>4636</v>
      </c>
      <c r="E46" t="s">
        <v>503</v>
      </c>
      <c r="F46" t="s">
        <v>4742</v>
      </c>
      <c r="G46">
        <v>4500000</v>
      </c>
      <c r="H46">
        <v>2990000</v>
      </c>
      <c r="I46">
        <v>0</v>
      </c>
      <c r="J46">
        <v>2990000</v>
      </c>
      <c r="K46" t="s">
        <v>4743</v>
      </c>
      <c r="L46">
        <v>1510000</v>
      </c>
      <c r="M46" t="s">
        <v>4744</v>
      </c>
      <c r="N46" t="s">
        <v>4679</v>
      </c>
      <c r="O46" t="s">
        <v>3054</v>
      </c>
      <c r="P46" t="s">
        <v>3055</v>
      </c>
    </row>
    <row r="47" spans="1:16" x14ac:dyDescent="0.25">
      <c r="A47" t="s">
        <v>494</v>
      </c>
      <c r="B47" t="s">
        <v>2785</v>
      </c>
      <c r="C47" t="s">
        <v>833</v>
      </c>
      <c r="D47" t="s">
        <v>4636</v>
      </c>
      <c r="E47" t="s">
        <v>503</v>
      </c>
      <c r="F47" t="s">
        <v>4745</v>
      </c>
      <c r="G47">
        <v>3000000</v>
      </c>
      <c r="H47">
        <v>1968500</v>
      </c>
      <c r="I47">
        <v>0</v>
      </c>
      <c r="J47">
        <v>1968500</v>
      </c>
      <c r="K47" t="s">
        <v>4746</v>
      </c>
      <c r="L47">
        <v>1031500</v>
      </c>
      <c r="M47" t="s">
        <v>4747</v>
      </c>
      <c r="N47" t="s">
        <v>4627</v>
      </c>
      <c r="O47" t="s">
        <v>3054</v>
      </c>
      <c r="P47" t="s">
        <v>3055</v>
      </c>
    </row>
    <row r="48" spans="1:16" x14ac:dyDescent="0.25">
      <c r="A48" t="s">
        <v>494</v>
      </c>
      <c r="B48" t="s">
        <v>2785</v>
      </c>
      <c r="C48" t="s">
        <v>833</v>
      </c>
      <c r="D48" t="s">
        <v>4636</v>
      </c>
      <c r="E48" t="s">
        <v>503</v>
      </c>
      <c r="F48" t="s">
        <v>4748</v>
      </c>
      <c r="G48">
        <v>11250000</v>
      </c>
      <c r="H48">
        <v>1320000</v>
      </c>
      <c r="I48">
        <v>0</v>
      </c>
      <c r="J48">
        <v>1320000</v>
      </c>
      <c r="K48" t="s">
        <v>4749</v>
      </c>
      <c r="L48">
        <v>9930000</v>
      </c>
      <c r="M48" t="s">
        <v>4750</v>
      </c>
      <c r="N48" t="s">
        <v>4653</v>
      </c>
      <c r="O48" t="s">
        <v>3054</v>
      </c>
      <c r="P48" t="s">
        <v>3055</v>
      </c>
    </row>
    <row r="49" spans="1:16" x14ac:dyDescent="0.25">
      <c r="A49" t="s">
        <v>494</v>
      </c>
      <c r="B49" t="s">
        <v>2469</v>
      </c>
      <c r="C49" t="s">
        <v>833</v>
      </c>
      <c r="D49" t="s">
        <v>4691</v>
      </c>
      <c r="E49" t="s">
        <v>503</v>
      </c>
      <c r="F49" t="s">
        <v>4751</v>
      </c>
      <c r="G49">
        <v>10500000</v>
      </c>
      <c r="H49">
        <v>10500000</v>
      </c>
      <c r="I49">
        <v>0</v>
      </c>
      <c r="J49">
        <v>10500000</v>
      </c>
      <c r="K49" t="s">
        <v>4717</v>
      </c>
      <c r="L49">
        <v>0</v>
      </c>
      <c r="M49" t="s">
        <v>4752</v>
      </c>
      <c r="N49" t="s">
        <v>4653</v>
      </c>
      <c r="O49" t="s">
        <v>2771</v>
      </c>
      <c r="P49" t="s">
        <v>2772</v>
      </c>
    </row>
    <row r="50" spans="1:16" x14ac:dyDescent="0.25">
      <c r="A50" t="s">
        <v>494</v>
      </c>
      <c r="B50" t="s">
        <v>2469</v>
      </c>
      <c r="C50" t="s">
        <v>833</v>
      </c>
      <c r="D50" t="s">
        <v>4691</v>
      </c>
      <c r="E50" t="s">
        <v>503</v>
      </c>
      <c r="F50" t="s">
        <v>4753</v>
      </c>
      <c r="G50">
        <v>10500000</v>
      </c>
      <c r="H50">
        <v>5888500</v>
      </c>
      <c r="I50">
        <v>0</v>
      </c>
      <c r="J50">
        <v>5888500</v>
      </c>
      <c r="K50" t="s">
        <v>4754</v>
      </c>
      <c r="L50">
        <v>4611500</v>
      </c>
      <c r="M50" t="s">
        <v>4755</v>
      </c>
      <c r="N50" t="s">
        <v>4714</v>
      </c>
      <c r="O50" t="s">
        <v>2771</v>
      </c>
      <c r="P50" t="s">
        <v>2772</v>
      </c>
    </row>
    <row r="51" spans="1:16" x14ac:dyDescent="0.25">
      <c r="A51" t="s">
        <v>494</v>
      </c>
      <c r="B51" t="s">
        <v>2469</v>
      </c>
      <c r="C51" t="s">
        <v>833</v>
      </c>
      <c r="D51" t="s">
        <v>4623</v>
      </c>
      <c r="E51" t="s">
        <v>503</v>
      </c>
      <c r="F51" t="s">
        <v>4756</v>
      </c>
      <c r="G51">
        <v>12000000</v>
      </c>
      <c r="H51">
        <v>5939000</v>
      </c>
      <c r="I51">
        <v>0</v>
      </c>
      <c r="J51">
        <v>5939000</v>
      </c>
      <c r="K51" t="s">
        <v>4757</v>
      </c>
      <c r="L51">
        <v>6061000</v>
      </c>
      <c r="M51" t="s">
        <v>4758</v>
      </c>
      <c r="N51" t="s">
        <v>4714</v>
      </c>
      <c r="O51" t="s">
        <v>2756</v>
      </c>
      <c r="P51" t="s">
        <v>2757</v>
      </c>
    </row>
    <row r="52" spans="1:16" x14ac:dyDescent="0.25">
      <c r="A52" t="s">
        <v>494</v>
      </c>
      <c r="B52" t="s">
        <v>2469</v>
      </c>
      <c r="C52" t="s">
        <v>833</v>
      </c>
      <c r="D52" t="s">
        <v>4636</v>
      </c>
      <c r="E52" t="s">
        <v>503</v>
      </c>
      <c r="F52" t="s">
        <v>4759</v>
      </c>
      <c r="G52">
        <v>6000000</v>
      </c>
      <c r="H52">
        <v>2991000</v>
      </c>
      <c r="I52">
        <v>0</v>
      </c>
      <c r="J52">
        <v>2991000</v>
      </c>
      <c r="K52" t="s">
        <v>4760</v>
      </c>
      <c r="L52">
        <v>3009000</v>
      </c>
      <c r="M52" t="s">
        <v>4761</v>
      </c>
      <c r="N52" t="s">
        <v>4714</v>
      </c>
      <c r="O52" t="s">
        <v>2741</v>
      </c>
      <c r="P52" t="s">
        <v>2742</v>
      </c>
    </row>
    <row r="53" spans="1:16" x14ac:dyDescent="0.25">
      <c r="A53" t="s">
        <v>494</v>
      </c>
      <c r="B53" t="s">
        <v>1269</v>
      </c>
      <c r="C53" t="s">
        <v>833</v>
      </c>
      <c r="D53" t="s">
        <v>4762</v>
      </c>
      <c r="E53" t="s">
        <v>503</v>
      </c>
      <c r="F53" t="s">
        <v>4763</v>
      </c>
      <c r="G53">
        <v>3550000</v>
      </c>
      <c r="H53">
        <v>3547000</v>
      </c>
      <c r="I53">
        <v>0</v>
      </c>
      <c r="J53">
        <v>3547000</v>
      </c>
      <c r="K53" t="s">
        <v>4764</v>
      </c>
      <c r="L53">
        <v>3000</v>
      </c>
      <c r="M53" t="s">
        <v>4765</v>
      </c>
      <c r="N53" t="s">
        <v>4766</v>
      </c>
      <c r="O53" t="s">
        <v>1536</v>
      </c>
      <c r="P53" t="s">
        <v>1538</v>
      </c>
    </row>
    <row r="54" spans="1:16" x14ac:dyDescent="0.25">
      <c r="A54" t="s">
        <v>494</v>
      </c>
      <c r="B54" t="s">
        <v>1269</v>
      </c>
      <c r="C54" t="s">
        <v>833</v>
      </c>
      <c r="D54" t="s">
        <v>4762</v>
      </c>
      <c r="E54" t="s">
        <v>503</v>
      </c>
      <c r="F54" t="s">
        <v>4767</v>
      </c>
      <c r="G54">
        <v>3000000</v>
      </c>
      <c r="H54">
        <v>2950000</v>
      </c>
      <c r="I54">
        <v>0</v>
      </c>
      <c r="J54">
        <v>2950000</v>
      </c>
      <c r="K54" t="s">
        <v>4768</v>
      </c>
      <c r="L54">
        <v>50000</v>
      </c>
      <c r="M54" t="s">
        <v>4769</v>
      </c>
      <c r="N54" t="s">
        <v>4770</v>
      </c>
      <c r="O54" t="s">
        <v>1536</v>
      </c>
      <c r="P54" t="s">
        <v>1538</v>
      </c>
    </row>
    <row r="55" spans="1:16" x14ac:dyDescent="0.25">
      <c r="A55" t="s">
        <v>494</v>
      </c>
      <c r="B55" t="s">
        <v>1269</v>
      </c>
      <c r="C55" t="s">
        <v>833</v>
      </c>
      <c r="D55" t="s">
        <v>4762</v>
      </c>
      <c r="E55" t="s">
        <v>503</v>
      </c>
      <c r="F55" t="s">
        <v>4771</v>
      </c>
      <c r="G55">
        <v>3000000</v>
      </c>
      <c r="H55">
        <v>1459000</v>
      </c>
      <c r="I55">
        <v>0</v>
      </c>
      <c r="J55">
        <v>1459000</v>
      </c>
      <c r="K55" t="s">
        <v>4772</v>
      </c>
      <c r="L55">
        <v>1541000</v>
      </c>
      <c r="M55" t="s">
        <v>4773</v>
      </c>
      <c r="N55" t="s">
        <v>4679</v>
      </c>
      <c r="O55" t="s">
        <v>1536</v>
      </c>
      <c r="P55" t="s">
        <v>1538</v>
      </c>
    </row>
    <row r="56" spans="1:16" x14ac:dyDescent="0.25">
      <c r="A56" t="s">
        <v>494</v>
      </c>
      <c r="B56" t="s">
        <v>1269</v>
      </c>
      <c r="C56" t="s">
        <v>833</v>
      </c>
      <c r="D56" t="s">
        <v>4762</v>
      </c>
      <c r="E56" t="s">
        <v>503</v>
      </c>
      <c r="F56" t="s">
        <v>4774</v>
      </c>
      <c r="G56">
        <v>2000000</v>
      </c>
      <c r="H56">
        <v>985000</v>
      </c>
      <c r="I56">
        <v>0</v>
      </c>
      <c r="J56">
        <v>985000</v>
      </c>
      <c r="K56" t="s">
        <v>4775</v>
      </c>
      <c r="L56">
        <v>1015000</v>
      </c>
      <c r="M56" t="s">
        <v>4776</v>
      </c>
      <c r="N56" t="s">
        <v>4627</v>
      </c>
      <c r="O56" t="s">
        <v>1536</v>
      </c>
      <c r="P56" t="s">
        <v>1538</v>
      </c>
    </row>
    <row r="57" spans="1:16" x14ac:dyDescent="0.25">
      <c r="A57" t="s">
        <v>494</v>
      </c>
      <c r="B57" t="s">
        <v>1269</v>
      </c>
      <c r="C57" t="s">
        <v>833</v>
      </c>
      <c r="D57" t="s">
        <v>4762</v>
      </c>
      <c r="E57" t="s">
        <v>503</v>
      </c>
      <c r="F57" t="s">
        <v>4777</v>
      </c>
      <c r="G57">
        <v>1500000</v>
      </c>
      <c r="H57">
        <v>528000</v>
      </c>
      <c r="I57">
        <v>0</v>
      </c>
      <c r="J57">
        <v>528000</v>
      </c>
      <c r="K57" t="s">
        <v>4778</v>
      </c>
      <c r="L57">
        <v>972000</v>
      </c>
      <c r="M57" t="s">
        <v>4779</v>
      </c>
      <c r="N57" t="s">
        <v>4653</v>
      </c>
      <c r="O57" t="s">
        <v>1536</v>
      </c>
      <c r="P57" t="s">
        <v>1538</v>
      </c>
    </row>
    <row r="58" spans="1:16" x14ac:dyDescent="0.25">
      <c r="A58" t="s">
        <v>494</v>
      </c>
      <c r="B58" t="s">
        <v>1269</v>
      </c>
      <c r="C58" t="s">
        <v>833</v>
      </c>
      <c r="D58" t="s">
        <v>4654</v>
      </c>
      <c r="E58" t="s">
        <v>503</v>
      </c>
      <c r="F58" t="s">
        <v>4780</v>
      </c>
      <c r="G58">
        <v>1500000</v>
      </c>
      <c r="H58">
        <v>1495000</v>
      </c>
      <c r="I58">
        <v>0</v>
      </c>
      <c r="J58">
        <v>1495000</v>
      </c>
      <c r="K58" t="s">
        <v>4781</v>
      </c>
      <c r="L58">
        <v>5000</v>
      </c>
      <c r="M58" t="s">
        <v>4782</v>
      </c>
      <c r="N58" t="s">
        <v>4679</v>
      </c>
      <c r="O58" t="s">
        <v>1490</v>
      </c>
      <c r="P58" t="s">
        <v>1491</v>
      </c>
    </row>
    <row r="59" spans="1:16" x14ac:dyDescent="0.25">
      <c r="A59" t="s">
        <v>494</v>
      </c>
      <c r="B59" t="s">
        <v>1269</v>
      </c>
      <c r="C59" t="s">
        <v>833</v>
      </c>
      <c r="D59" t="s">
        <v>4654</v>
      </c>
      <c r="E59" t="s">
        <v>503</v>
      </c>
      <c r="F59" t="s">
        <v>4783</v>
      </c>
      <c r="G59">
        <v>1000000</v>
      </c>
      <c r="H59">
        <v>993500</v>
      </c>
      <c r="I59">
        <v>0</v>
      </c>
      <c r="J59">
        <v>993500</v>
      </c>
      <c r="K59" t="s">
        <v>4784</v>
      </c>
      <c r="L59">
        <v>6500</v>
      </c>
      <c r="M59" t="s">
        <v>4785</v>
      </c>
      <c r="N59" t="s">
        <v>4627</v>
      </c>
      <c r="O59" t="s">
        <v>1490</v>
      </c>
      <c r="P59" t="s">
        <v>1491</v>
      </c>
    </row>
    <row r="60" spans="1:16" x14ac:dyDescent="0.25">
      <c r="A60" t="s">
        <v>494</v>
      </c>
      <c r="B60" t="s">
        <v>1269</v>
      </c>
      <c r="C60" t="s">
        <v>833</v>
      </c>
      <c r="D60" t="s">
        <v>4654</v>
      </c>
      <c r="E60" t="s">
        <v>503</v>
      </c>
      <c r="F60" t="s">
        <v>4786</v>
      </c>
      <c r="G60">
        <v>10050000</v>
      </c>
      <c r="H60">
        <v>9054000</v>
      </c>
      <c r="I60">
        <v>0</v>
      </c>
      <c r="J60">
        <v>9054000</v>
      </c>
      <c r="K60" t="s">
        <v>4787</v>
      </c>
      <c r="L60">
        <v>996000</v>
      </c>
      <c r="M60" t="s">
        <v>4788</v>
      </c>
      <c r="N60" t="s">
        <v>4653</v>
      </c>
      <c r="O60" t="s">
        <v>1490</v>
      </c>
      <c r="P60" t="s">
        <v>1491</v>
      </c>
    </row>
    <row r="61" spans="1:16" x14ac:dyDescent="0.25">
      <c r="A61" t="s">
        <v>494</v>
      </c>
      <c r="B61" t="s">
        <v>1269</v>
      </c>
      <c r="C61" t="s">
        <v>833</v>
      </c>
      <c r="D61" t="s">
        <v>4641</v>
      </c>
      <c r="E61" t="s">
        <v>503</v>
      </c>
      <c r="F61" t="s">
        <v>4789</v>
      </c>
      <c r="G61">
        <v>1500000</v>
      </c>
      <c r="H61">
        <v>1500000</v>
      </c>
      <c r="I61">
        <v>0</v>
      </c>
      <c r="J61">
        <v>1500000</v>
      </c>
      <c r="K61" t="s">
        <v>4717</v>
      </c>
      <c r="L61">
        <v>0</v>
      </c>
      <c r="M61" t="s">
        <v>4790</v>
      </c>
      <c r="N61" t="s">
        <v>4679</v>
      </c>
      <c r="O61" t="s">
        <v>1469</v>
      </c>
      <c r="P61" t="s">
        <v>1470</v>
      </c>
    </row>
    <row r="62" spans="1:16" x14ac:dyDescent="0.25">
      <c r="A62" t="s">
        <v>494</v>
      </c>
      <c r="B62" t="s">
        <v>1269</v>
      </c>
      <c r="C62" t="s">
        <v>833</v>
      </c>
      <c r="D62" t="s">
        <v>4641</v>
      </c>
      <c r="E62" t="s">
        <v>503</v>
      </c>
      <c r="F62" t="s">
        <v>4791</v>
      </c>
      <c r="G62">
        <v>1000000</v>
      </c>
      <c r="H62">
        <v>999500</v>
      </c>
      <c r="I62">
        <v>0</v>
      </c>
      <c r="J62">
        <v>999500</v>
      </c>
      <c r="K62" t="s">
        <v>4792</v>
      </c>
      <c r="L62">
        <v>500</v>
      </c>
      <c r="M62" t="s">
        <v>4793</v>
      </c>
      <c r="N62" t="s">
        <v>4627</v>
      </c>
      <c r="O62" t="s">
        <v>1469</v>
      </c>
      <c r="P62" t="s">
        <v>1470</v>
      </c>
    </row>
    <row r="63" spans="1:16" x14ac:dyDescent="0.25">
      <c r="A63" t="s">
        <v>494</v>
      </c>
      <c r="B63" t="s">
        <v>1269</v>
      </c>
      <c r="C63" t="s">
        <v>833</v>
      </c>
      <c r="D63" t="s">
        <v>4641</v>
      </c>
      <c r="E63" t="s">
        <v>503</v>
      </c>
      <c r="F63" t="s">
        <v>4794</v>
      </c>
      <c r="G63">
        <v>1500000</v>
      </c>
      <c r="H63">
        <v>1499700</v>
      </c>
      <c r="I63">
        <v>0</v>
      </c>
      <c r="J63">
        <v>1499700</v>
      </c>
      <c r="K63" t="s">
        <v>4795</v>
      </c>
      <c r="L63">
        <v>300</v>
      </c>
      <c r="M63" t="s">
        <v>4796</v>
      </c>
      <c r="N63" t="s">
        <v>4714</v>
      </c>
      <c r="O63" t="s">
        <v>1469</v>
      </c>
      <c r="P63" t="s">
        <v>1470</v>
      </c>
    </row>
    <row r="64" spans="1:16" x14ac:dyDescent="0.25">
      <c r="A64" t="s">
        <v>494</v>
      </c>
      <c r="B64" t="s">
        <v>1269</v>
      </c>
      <c r="C64" t="s">
        <v>833</v>
      </c>
      <c r="D64" t="s">
        <v>4672</v>
      </c>
      <c r="E64" t="s">
        <v>503</v>
      </c>
      <c r="F64" t="s">
        <v>4797</v>
      </c>
      <c r="G64">
        <v>34100000</v>
      </c>
      <c r="H64">
        <v>34100000</v>
      </c>
      <c r="I64">
        <v>0</v>
      </c>
      <c r="J64">
        <v>34100000</v>
      </c>
      <c r="K64" t="s">
        <v>4717</v>
      </c>
      <c r="L64">
        <v>0</v>
      </c>
      <c r="M64" t="s">
        <v>4798</v>
      </c>
      <c r="N64" t="s">
        <v>4799</v>
      </c>
      <c r="O64" t="s">
        <v>1448</v>
      </c>
      <c r="P64" t="s">
        <v>1449</v>
      </c>
    </row>
    <row r="65" spans="1:16" x14ac:dyDescent="0.25">
      <c r="A65" t="s">
        <v>494</v>
      </c>
      <c r="B65" t="s">
        <v>1269</v>
      </c>
      <c r="C65" t="s">
        <v>833</v>
      </c>
      <c r="D65" t="s">
        <v>4672</v>
      </c>
      <c r="E65" t="s">
        <v>503</v>
      </c>
      <c r="F65" t="s">
        <v>4800</v>
      </c>
      <c r="G65">
        <v>1500000</v>
      </c>
      <c r="H65">
        <v>1500000</v>
      </c>
      <c r="I65">
        <v>0</v>
      </c>
      <c r="J65">
        <v>1500000</v>
      </c>
      <c r="K65" t="s">
        <v>4717</v>
      </c>
      <c r="L65">
        <v>0</v>
      </c>
      <c r="M65" t="s">
        <v>4801</v>
      </c>
      <c r="N65" t="s">
        <v>4679</v>
      </c>
      <c r="O65" t="s">
        <v>1448</v>
      </c>
      <c r="P65" t="s">
        <v>1449</v>
      </c>
    </row>
    <row r="66" spans="1:16" x14ac:dyDescent="0.25">
      <c r="A66" t="s">
        <v>494</v>
      </c>
      <c r="B66" t="s">
        <v>1269</v>
      </c>
      <c r="C66" t="s">
        <v>833</v>
      </c>
      <c r="D66" t="s">
        <v>4672</v>
      </c>
      <c r="E66" t="s">
        <v>503</v>
      </c>
      <c r="F66" t="s">
        <v>4802</v>
      </c>
      <c r="G66">
        <v>1000000</v>
      </c>
      <c r="H66">
        <v>997000</v>
      </c>
      <c r="I66">
        <v>0</v>
      </c>
      <c r="J66">
        <v>997000</v>
      </c>
      <c r="K66" t="s">
        <v>4803</v>
      </c>
      <c r="L66">
        <v>3000</v>
      </c>
      <c r="M66" t="s">
        <v>4804</v>
      </c>
      <c r="N66" t="s">
        <v>4627</v>
      </c>
      <c r="O66" t="s">
        <v>1448</v>
      </c>
      <c r="P66" t="s">
        <v>1449</v>
      </c>
    </row>
    <row r="67" spans="1:16" x14ac:dyDescent="0.25">
      <c r="A67" t="s">
        <v>494</v>
      </c>
      <c r="B67" t="s">
        <v>1269</v>
      </c>
      <c r="C67" t="s">
        <v>833</v>
      </c>
      <c r="D67" t="s">
        <v>4672</v>
      </c>
      <c r="E67" t="s">
        <v>503</v>
      </c>
      <c r="F67" t="s">
        <v>4805</v>
      </c>
      <c r="G67">
        <v>1500000</v>
      </c>
      <c r="H67">
        <v>1498000</v>
      </c>
      <c r="I67">
        <v>0</v>
      </c>
      <c r="J67">
        <v>1498000</v>
      </c>
      <c r="K67" t="s">
        <v>4806</v>
      </c>
      <c r="L67">
        <v>2000</v>
      </c>
      <c r="M67" t="s">
        <v>4807</v>
      </c>
      <c r="N67" t="s">
        <v>4714</v>
      </c>
      <c r="O67" t="s">
        <v>1448</v>
      </c>
      <c r="P67" t="s">
        <v>1449</v>
      </c>
    </row>
    <row r="68" spans="1:16" x14ac:dyDescent="0.25">
      <c r="A68" t="s">
        <v>494</v>
      </c>
      <c r="B68" t="s">
        <v>1269</v>
      </c>
      <c r="C68" t="s">
        <v>833</v>
      </c>
      <c r="D68" t="s">
        <v>4680</v>
      </c>
      <c r="E68" t="s">
        <v>503</v>
      </c>
      <c r="F68" t="s">
        <v>4808</v>
      </c>
      <c r="G68">
        <v>1500000</v>
      </c>
      <c r="H68">
        <v>1499000</v>
      </c>
      <c r="I68">
        <v>0</v>
      </c>
      <c r="J68">
        <v>1499000</v>
      </c>
      <c r="K68" t="s">
        <v>4809</v>
      </c>
      <c r="L68">
        <v>1000</v>
      </c>
      <c r="M68" t="s">
        <v>4810</v>
      </c>
      <c r="N68" t="s">
        <v>4811</v>
      </c>
      <c r="O68" t="s">
        <v>1437</v>
      </c>
      <c r="P68" t="s">
        <v>1438</v>
      </c>
    </row>
    <row r="69" spans="1:16" x14ac:dyDescent="0.25">
      <c r="A69" t="s">
        <v>494</v>
      </c>
      <c r="B69" t="s">
        <v>1269</v>
      </c>
      <c r="C69" t="s">
        <v>833</v>
      </c>
      <c r="D69" t="s">
        <v>4680</v>
      </c>
      <c r="E69" t="s">
        <v>503</v>
      </c>
      <c r="F69" t="s">
        <v>4812</v>
      </c>
      <c r="G69">
        <v>4500000</v>
      </c>
      <c r="H69">
        <v>1498000</v>
      </c>
      <c r="I69">
        <v>0</v>
      </c>
      <c r="J69">
        <v>1498000</v>
      </c>
      <c r="K69" t="s">
        <v>4813</v>
      </c>
      <c r="L69">
        <v>3002000</v>
      </c>
      <c r="M69" t="s">
        <v>4814</v>
      </c>
      <c r="N69" t="s">
        <v>4714</v>
      </c>
      <c r="O69" t="s">
        <v>1437</v>
      </c>
      <c r="P69" t="s">
        <v>1438</v>
      </c>
    </row>
    <row r="70" spans="1:16" x14ac:dyDescent="0.25">
      <c r="A70" t="s">
        <v>494</v>
      </c>
      <c r="B70" t="s">
        <v>1269</v>
      </c>
      <c r="C70" t="s">
        <v>833</v>
      </c>
      <c r="D70" t="s">
        <v>4680</v>
      </c>
      <c r="E70" t="s">
        <v>503</v>
      </c>
      <c r="F70" t="s">
        <v>4815</v>
      </c>
      <c r="G70">
        <v>4500000</v>
      </c>
      <c r="H70">
        <v>1500000</v>
      </c>
      <c r="I70">
        <v>0</v>
      </c>
      <c r="J70">
        <v>1500000</v>
      </c>
      <c r="K70" t="s">
        <v>4816</v>
      </c>
      <c r="L70">
        <v>3000000</v>
      </c>
      <c r="M70" t="s">
        <v>4817</v>
      </c>
      <c r="N70" t="s">
        <v>4679</v>
      </c>
      <c r="O70" t="s">
        <v>1437</v>
      </c>
      <c r="P70" t="s">
        <v>1438</v>
      </c>
    </row>
    <row r="71" spans="1:16" x14ac:dyDescent="0.25">
      <c r="A71" t="s">
        <v>494</v>
      </c>
      <c r="B71" t="s">
        <v>1269</v>
      </c>
      <c r="C71" t="s">
        <v>833</v>
      </c>
      <c r="D71" t="s">
        <v>4680</v>
      </c>
      <c r="E71" t="s">
        <v>503</v>
      </c>
      <c r="F71" t="s">
        <v>4818</v>
      </c>
      <c r="G71">
        <v>3000000</v>
      </c>
      <c r="H71">
        <v>962000</v>
      </c>
      <c r="I71">
        <v>0</v>
      </c>
      <c r="J71">
        <v>962000</v>
      </c>
      <c r="K71" t="s">
        <v>4819</v>
      </c>
      <c r="L71">
        <v>2038000</v>
      </c>
      <c r="M71" t="s">
        <v>4820</v>
      </c>
      <c r="N71" t="s">
        <v>4627</v>
      </c>
      <c r="O71" t="s">
        <v>1437</v>
      </c>
      <c r="P71" t="s">
        <v>1438</v>
      </c>
    </row>
    <row r="72" spans="1:16" x14ac:dyDescent="0.25">
      <c r="A72" t="s">
        <v>494</v>
      </c>
      <c r="B72" t="s">
        <v>1269</v>
      </c>
      <c r="C72" t="s">
        <v>833</v>
      </c>
      <c r="D72" t="s">
        <v>4691</v>
      </c>
      <c r="E72" t="s">
        <v>503</v>
      </c>
      <c r="F72" t="s">
        <v>4821</v>
      </c>
      <c r="G72">
        <v>1500000</v>
      </c>
      <c r="H72">
        <v>1500000</v>
      </c>
      <c r="I72">
        <v>0</v>
      </c>
      <c r="J72">
        <v>1500000</v>
      </c>
      <c r="K72" t="s">
        <v>4717</v>
      </c>
      <c r="L72">
        <v>0</v>
      </c>
      <c r="M72" t="s">
        <v>4822</v>
      </c>
      <c r="N72" t="s">
        <v>4811</v>
      </c>
      <c r="O72" t="s">
        <v>1417</v>
      </c>
      <c r="P72" t="s">
        <v>1419</v>
      </c>
    </row>
    <row r="73" spans="1:16" x14ac:dyDescent="0.25">
      <c r="A73" t="s">
        <v>494</v>
      </c>
      <c r="B73" t="s">
        <v>1269</v>
      </c>
      <c r="C73" t="s">
        <v>833</v>
      </c>
      <c r="D73" t="s">
        <v>4691</v>
      </c>
      <c r="E73" t="s">
        <v>503</v>
      </c>
      <c r="F73" t="s">
        <v>4823</v>
      </c>
      <c r="G73">
        <v>3000000</v>
      </c>
      <c r="H73">
        <v>2980000</v>
      </c>
      <c r="I73">
        <v>0</v>
      </c>
      <c r="J73">
        <v>2980000</v>
      </c>
      <c r="K73" t="s">
        <v>4824</v>
      </c>
      <c r="L73">
        <v>20000</v>
      </c>
      <c r="M73" t="s">
        <v>4825</v>
      </c>
      <c r="N73" t="s">
        <v>4679</v>
      </c>
      <c r="O73" t="s">
        <v>1417</v>
      </c>
      <c r="P73" t="s">
        <v>1419</v>
      </c>
    </row>
    <row r="74" spans="1:16" x14ac:dyDescent="0.25">
      <c r="A74" t="s">
        <v>494</v>
      </c>
      <c r="B74" t="s">
        <v>1269</v>
      </c>
      <c r="C74" t="s">
        <v>833</v>
      </c>
      <c r="D74" t="s">
        <v>4691</v>
      </c>
      <c r="E74" t="s">
        <v>503</v>
      </c>
      <c r="F74" t="s">
        <v>4826</v>
      </c>
      <c r="G74">
        <v>2000000</v>
      </c>
      <c r="H74">
        <v>1989000</v>
      </c>
      <c r="I74">
        <v>0</v>
      </c>
      <c r="J74">
        <v>1989000</v>
      </c>
      <c r="K74" t="s">
        <v>4827</v>
      </c>
      <c r="L74">
        <v>11000</v>
      </c>
      <c r="M74" t="s">
        <v>4828</v>
      </c>
      <c r="N74" t="s">
        <v>4627</v>
      </c>
      <c r="O74" t="s">
        <v>1417</v>
      </c>
      <c r="P74" t="s">
        <v>1419</v>
      </c>
    </row>
    <row r="75" spans="1:16" x14ac:dyDescent="0.25">
      <c r="A75" t="s">
        <v>494</v>
      </c>
      <c r="B75" t="s">
        <v>1269</v>
      </c>
      <c r="C75" t="s">
        <v>833</v>
      </c>
      <c r="D75" t="s">
        <v>4691</v>
      </c>
      <c r="E75" t="s">
        <v>503</v>
      </c>
      <c r="F75" t="s">
        <v>4829</v>
      </c>
      <c r="G75">
        <v>3000000</v>
      </c>
      <c r="H75">
        <v>3000000</v>
      </c>
      <c r="I75">
        <v>0</v>
      </c>
      <c r="J75">
        <v>3000000</v>
      </c>
      <c r="K75" t="s">
        <v>4717</v>
      </c>
      <c r="L75">
        <v>0</v>
      </c>
      <c r="M75" t="s">
        <v>4830</v>
      </c>
      <c r="N75" t="s">
        <v>4714</v>
      </c>
      <c r="O75" t="s">
        <v>1417</v>
      </c>
      <c r="P75" t="s">
        <v>1419</v>
      </c>
    </row>
    <row r="76" spans="1:16" x14ac:dyDescent="0.25">
      <c r="A76" t="s">
        <v>494</v>
      </c>
      <c r="B76" t="s">
        <v>1269</v>
      </c>
      <c r="C76" t="s">
        <v>833</v>
      </c>
      <c r="D76" t="s">
        <v>4691</v>
      </c>
      <c r="E76" t="s">
        <v>503</v>
      </c>
      <c r="F76" t="s">
        <v>4831</v>
      </c>
      <c r="G76">
        <v>24000000</v>
      </c>
      <c r="H76">
        <v>23902740</v>
      </c>
      <c r="I76">
        <v>0</v>
      </c>
      <c r="J76">
        <v>23902740</v>
      </c>
      <c r="K76" t="s">
        <v>4832</v>
      </c>
      <c r="L76">
        <v>97260</v>
      </c>
      <c r="M76" t="s">
        <v>4833</v>
      </c>
      <c r="N76" t="s">
        <v>4834</v>
      </c>
      <c r="O76" t="s">
        <v>1417</v>
      </c>
      <c r="P76" t="s">
        <v>1419</v>
      </c>
    </row>
    <row r="77" spans="1:16" x14ac:dyDescent="0.25">
      <c r="A77" t="s">
        <v>494</v>
      </c>
      <c r="B77" t="s">
        <v>1269</v>
      </c>
      <c r="C77" t="s">
        <v>833</v>
      </c>
      <c r="D77" t="s">
        <v>4623</v>
      </c>
      <c r="E77" t="s">
        <v>503</v>
      </c>
      <c r="F77" t="s">
        <v>4835</v>
      </c>
      <c r="G77">
        <v>4000000</v>
      </c>
      <c r="H77">
        <v>2970000</v>
      </c>
      <c r="I77">
        <v>0</v>
      </c>
      <c r="J77">
        <v>2970000</v>
      </c>
      <c r="K77" t="s">
        <v>4836</v>
      </c>
      <c r="L77">
        <v>1030000</v>
      </c>
      <c r="M77" t="s">
        <v>4837</v>
      </c>
      <c r="N77" t="s">
        <v>4679</v>
      </c>
      <c r="O77" t="s">
        <v>1403</v>
      </c>
      <c r="P77" t="s">
        <v>1404</v>
      </c>
    </row>
    <row r="78" spans="1:16" x14ac:dyDescent="0.25">
      <c r="A78" t="s">
        <v>494</v>
      </c>
      <c r="B78" t="s">
        <v>1269</v>
      </c>
      <c r="C78" t="s">
        <v>833</v>
      </c>
      <c r="D78" t="s">
        <v>4623</v>
      </c>
      <c r="E78" t="s">
        <v>503</v>
      </c>
      <c r="F78" t="s">
        <v>4838</v>
      </c>
      <c r="G78">
        <v>6000000</v>
      </c>
      <c r="H78">
        <v>2000000</v>
      </c>
      <c r="I78">
        <v>0</v>
      </c>
      <c r="J78">
        <v>2000000</v>
      </c>
      <c r="K78" t="s">
        <v>4816</v>
      </c>
      <c r="L78">
        <v>4000000</v>
      </c>
      <c r="M78" t="s">
        <v>4839</v>
      </c>
      <c r="N78" t="s">
        <v>4627</v>
      </c>
      <c r="O78" t="s">
        <v>1403</v>
      </c>
      <c r="P78" t="s">
        <v>1404</v>
      </c>
    </row>
    <row r="79" spans="1:16" x14ac:dyDescent="0.25">
      <c r="A79" t="s">
        <v>494</v>
      </c>
      <c r="B79" t="s">
        <v>1269</v>
      </c>
      <c r="C79" t="s">
        <v>833</v>
      </c>
      <c r="D79" t="s">
        <v>4636</v>
      </c>
      <c r="E79" t="s">
        <v>503</v>
      </c>
      <c r="F79" t="s">
        <v>4840</v>
      </c>
      <c r="G79">
        <v>1500000</v>
      </c>
      <c r="H79">
        <v>1499000</v>
      </c>
      <c r="I79">
        <v>0</v>
      </c>
      <c r="J79">
        <v>1499000</v>
      </c>
      <c r="K79" t="s">
        <v>4809</v>
      </c>
      <c r="L79">
        <v>1000</v>
      </c>
      <c r="M79" t="s">
        <v>4841</v>
      </c>
      <c r="N79" t="s">
        <v>4714</v>
      </c>
      <c r="O79" t="s">
        <v>1390</v>
      </c>
      <c r="P79" t="s">
        <v>1391</v>
      </c>
    </row>
    <row r="80" spans="1:16" x14ac:dyDescent="0.25">
      <c r="A80" t="s">
        <v>494</v>
      </c>
      <c r="B80" t="s">
        <v>1269</v>
      </c>
      <c r="C80" t="s">
        <v>833</v>
      </c>
      <c r="D80" t="s">
        <v>4636</v>
      </c>
      <c r="E80" t="s">
        <v>503</v>
      </c>
      <c r="F80" t="s">
        <v>4842</v>
      </c>
      <c r="G80">
        <v>2000000</v>
      </c>
      <c r="H80">
        <v>1500000</v>
      </c>
      <c r="I80">
        <v>0</v>
      </c>
      <c r="J80">
        <v>1500000</v>
      </c>
      <c r="K80" t="s">
        <v>4843</v>
      </c>
      <c r="L80">
        <v>500000</v>
      </c>
      <c r="M80" t="s">
        <v>4844</v>
      </c>
      <c r="N80" t="s">
        <v>4679</v>
      </c>
      <c r="O80" t="s">
        <v>1390</v>
      </c>
      <c r="P80" t="s">
        <v>1391</v>
      </c>
    </row>
    <row r="81" spans="1:16" x14ac:dyDescent="0.25">
      <c r="A81" t="s">
        <v>494</v>
      </c>
      <c r="B81" t="s">
        <v>1269</v>
      </c>
      <c r="C81" t="s">
        <v>833</v>
      </c>
      <c r="D81" t="s">
        <v>4636</v>
      </c>
      <c r="E81" t="s">
        <v>503</v>
      </c>
      <c r="F81" t="s">
        <v>4845</v>
      </c>
      <c r="G81">
        <v>1500000</v>
      </c>
      <c r="H81">
        <v>999800</v>
      </c>
      <c r="I81">
        <v>0</v>
      </c>
      <c r="J81">
        <v>999800</v>
      </c>
      <c r="K81" t="s">
        <v>4846</v>
      </c>
      <c r="L81">
        <v>500200</v>
      </c>
      <c r="M81" t="s">
        <v>4847</v>
      </c>
      <c r="N81" t="s">
        <v>4627</v>
      </c>
      <c r="O81" t="s">
        <v>1390</v>
      </c>
      <c r="P81" t="s">
        <v>1391</v>
      </c>
    </row>
    <row r="82" spans="1:16" x14ac:dyDescent="0.25">
      <c r="A82" t="s">
        <v>494</v>
      </c>
      <c r="B82" t="s">
        <v>1036</v>
      </c>
      <c r="C82" t="s">
        <v>1185</v>
      </c>
      <c r="D82" t="s">
        <v>4848</v>
      </c>
      <c r="E82" t="s">
        <v>503</v>
      </c>
      <c r="F82" t="s">
        <v>4849</v>
      </c>
      <c r="G82">
        <v>8400000</v>
      </c>
      <c r="H82">
        <v>3990000</v>
      </c>
      <c r="I82">
        <v>0</v>
      </c>
      <c r="J82">
        <v>3990000</v>
      </c>
      <c r="K82" t="s">
        <v>4850</v>
      </c>
      <c r="L82">
        <v>4410000</v>
      </c>
      <c r="M82" t="s">
        <v>4851</v>
      </c>
      <c r="N82" t="s">
        <v>4852</v>
      </c>
      <c r="O82" t="s">
        <v>1187</v>
      </c>
      <c r="P82" t="s">
        <v>1188</v>
      </c>
    </row>
    <row r="83" spans="1:16" x14ac:dyDescent="0.25">
      <c r="A83" t="s">
        <v>494</v>
      </c>
      <c r="B83" t="s">
        <v>1036</v>
      </c>
      <c r="C83" t="s">
        <v>1185</v>
      </c>
      <c r="D83" t="s">
        <v>4848</v>
      </c>
      <c r="E83" t="s">
        <v>503</v>
      </c>
      <c r="F83" t="s">
        <v>4853</v>
      </c>
      <c r="G83">
        <v>4000000</v>
      </c>
      <c r="H83">
        <v>1957500</v>
      </c>
      <c r="I83">
        <v>0</v>
      </c>
      <c r="J83">
        <v>1957500</v>
      </c>
      <c r="K83" t="s">
        <v>4854</v>
      </c>
      <c r="L83">
        <v>2042500</v>
      </c>
      <c r="M83" t="s">
        <v>4855</v>
      </c>
      <c r="N83" t="s">
        <v>4714</v>
      </c>
      <c r="O83" t="s">
        <v>1187</v>
      </c>
      <c r="P83" t="s">
        <v>1188</v>
      </c>
    </row>
    <row r="84" spans="1:16" x14ac:dyDescent="0.25">
      <c r="A84" t="s">
        <v>494</v>
      </c>
      <c r="B84" t="s">
        <v>3105</v>
      </c>
      <c r="C84" t="s">
        <v>833</v>
      </c>
      <c r="D84" t="s">
        <v>4641</v>
      </c>
      <c r="E84" t="s">
        <v>537</v>
      </c>
      <c r="F84" t="s">
        <v>4856</v>
      </c>
      <c r="G84">
        <v>11000000</v>
      </c>
      <c r="H84">
        <v>4000000</v>
      </c>
      <c r="I84">
        <v>0</v>
      </c>
      <c r="J84">
        <v>4000000</v>
      </c>
      <c r="K84" t="s">
        <v>4857</v>
      </c>
      <c r="L84">
        <v>7000000</v>
      </c>
      <c r="M84" t="s">
        <v>4858</v>
      </c>
      <c r="N84" t="s">
        <v>4627</v>
      </c>
      <c r="O84" t="s">
        <v>3377</v>
      </c>
      <c r="P84" t="s">
        <v>3381</v>
      </c>
    </row>
    <row r="85" spans="1:16" x14ac:dyDescent="0.25">
      <c r="A85" t="s">
        <v>494</v>
      </c>
      <c r="B85" t="s">
        <v>3105</v>
      </c>
      <c r="C85" t="s">
        <v>833</v>
      </c>
      <c r="D85" t="s">
        <v>4641</v>
      </c>
      <c r="E85" t="s">
        <v>537</v>
      </c>
      <c r="F85" t="s">
        <v>4859</v>
      </c>
      <c r="G85">
        <v>16500000</v>
      </c>
      <c r="H85">
        <v>5960000</v>
      </c>
      <c r="I85">
        <v>0</v>
      </c>
      <c r="J85">
        <v>5960000</v>
      </c>
      <c r="K85" t="s">
        <v>4860</v>
      </c>
      <c r="L85">
        <v>10540000</v>
      </c>
      <c r="M85" t="s">
        <v>4861</v>
      </c>
      <c r="N85" t="s">
        <v>4679</v>
      </c>
      <c r="O85" t="s">
        <v>3377</v>
      </c>
      <c r="P85" t="s">
        <v>3381</v>
      </c>
    </row>
    <row r="86" spans="1:16" x14ac:dyDescent="0.25">
      <c r="A86" t="s">
        <v>494</v>
      </c>
      <c r="B86" t="s">
        <v>2469</v>
      </c>
      <c r="C86" t="s">
        <v>833</v>
      </c>
      <c r="D86" t="s">
        <v>4691</v>
      </c>
      <c r="E86" t="s">
        <v>537</v>
      </c>
      <c r="F86" t="s">
        <v>4862</v>
      </c>
      <c r="G86">
        <v>10500000</v>
      </c>
      <c r="H86">
        <v>5848750</v>
      </c>
      <c r="I86">
        <v>0</v>
      </c>
      <c r="J86">
        <v>5848750</v>
      </c>
      <c r="K86" t="s">
        <v>4863</v>
      </c>
      <c r="L86">
        <v>4651250</v>
      </c>
      <c r="M86" t="s">
        <v>4864</v>
      </c>
      <c r="N86" t="s">
        <v>4679</v>
      </c>
      <c r="O86" t="s">
        <v>2771</v>
      </c>
      <c r="P86" t="s">
        <v>2776</v>
      </c>
    </row>
    <row r="87" spans="1:16" x14ac:dyDescent="0.25">
      <c r="A87" t="s">
        <v>494</v>
      </c>
      <c r="B87" t="s">
        <v>2469</v>
      </c>
      <c r="C87" t="s">
        <v>833</v>
      </c>
      <c r="D87" t="s">
        <v>4691</v>
      </c>
      <c r="E87" t="s">
        <v>537</v>
      </c>
      <c r="F87" t="s">
        <v>4865</v>
      </c>
      <c r="G87">
        <v>7000000</v>
      </c>
      <c r="H87">
        <v>3977000</v>
      </c>
      <c r="I87">
        <v>0</v>
      </c>
      <c r="J87">
        <v>3977000</v>
      </c>
      <c r="K87" t="s">
        <v>4866</v>
      </c>
      <c r="L87">
        <v>3023000</v>
      </c>
      <c r="M87" t="s">
        <v>4867</v>
      </c>
      <c r="N87" t="s">
        <v>4627</v>
      </c>
      <c r="O87" t="s">
        <v>2771</v>
      </c>
      <c r="P87" t="s">
        <v>2776</v>
      </c>
    </row>
    <row r="88" spans="1:16" x14ac:dyDescent="0.25">
      <c r="A88" t="s">
        <v>494</v>
      </c>
      <c r="B88" t="s">
        <v>2469</v>
      </c>
      <c r="C88" t="s">
        <v>833</v>
      </c>
      <c r="D88" t="s">
        <v>4623</v>
      </c>
      <c r="E88" t="s">
        <v>537</v>
      </c>
      <c r="F88" t="s">
        <v>4868</v>
      </c>
      <c r="G88">
        <v>12000000</v>
      </c>
      <c r="H88">
        <v>5885000</v>
      </c>
      <c r="I88">
        <v>0</v>
      </c>
      <c r="J88">
        <v>5885000</v>
      </c>
      <c r="K88" t="s">
        <v>4869</v>
      </c>
      <c r="L88">
        <v>6115000</v>
      </c>
      <c r="M88" t="s">
        <v>4870</v>
      </c>
      <c r="N88" t="s">
        <v>4679</v>
      </c>
      <c r="O88" t="s">
        <v>2756</v>
      </c>
      <c r="P88" t="s">
        <v>2763</v>
      </c>
    </row>
    <row r="89" spans="1:16" x14ac:dyDescent="0.25">
      <c r="A89" t="s">
        <v>494</v>
      </c>
      <c r="B89" t="s">
        <v>2469</v>
      </c>
      <c r="C89" t="s">
        <v>833</v>
      </c>
      <c r="D89" t="s">
        <v>4623</v>
      </c>
      <c r="E89" t="s">
        <v>537</v>
      </c>
      <c r="F89" t="s">
        <v>4871</v>
      </c>
      <c r="G89">
        <v>8000000</v>
      </c>
      <c r="H89">
        <v>3898000</v>
      </c>
      <c r="I89">
        <v>0</v>
      </c>
      <c r="J89">
        <v>3898000</v>
      </c>
      <c r="K89" t="s">
        <v>4872</v>
      </c>
      <c r="L89">
        <v>4102000</v>
      </c>
      <c r="M89" t="s">
        <v>4873</v>
      </c>
      <c r="N89" t="s">
        <v>4627</v>
      </c>
      <c r="O89" t="s">
        <v>2756</v>
      </c>
      <c r="P89" t="s">
        <v>2763</v>
      </c>
    </row>
    <row r="90" spans="1:16" x14ac:dyDescent="0.25">
      <c r="A90" t="s">
        <v>494</v>
      </c>
      <c r="B90" t="s">
        <v>2469</v>
      </c>
      <c r="C90" t="s">
        <v>833</v>
      </c>
      <c r="D90" t="s">
        <v>4636</v>
      </c>
      <c r="E90" t="s">
        <v>537</v>
      </c>
      <c r="F90" t="s">
        <v>4874</v>
      </c>
      <c r="G90">
        <v>6000000</v>
      </c>
      <c r="H90">
        <v>2910000</v>
      </c>
      <c r="I90">
        <v>0</v>
      </c>
      <c r="J90">
        <v>2910000</v>
      </c>
      <c r="K90" t="s">
        <v>4875</v>
      </c>
      <c r="L90">
        <v>3090000</v>
      </c>
      <c r="M90" t="s">
        <v>4876</v>
      </c>
      <c r="N90" t="s">
        <v>4679</v>
      </c>
      <c r="O90" t="s">
        <v>2741</v>
      </c>
      <c r="P90" t="s">
        <v>2750</v>
      </c>
    </row>
    <row r="91" spans="1:16" x14ac:dyDescent="0.25">
      <c r="A91" t="s">
        <v>494</v>
      </c>
      <c r="B91" t="s">
        <v>2469</v>
      </c>
      <c r="C91" t="s">
        <v>833</v>
      </c>
      <c r="D91" t="s">
        <v>4636</v>
      </c>
      <c r="E91" t="s">
        <v>537</v>
      </c>
      <c r="F91" t="s">
        <v>4877</v>
      </c>
      <c r="G91">
        <v>4000000</v>
      </c>
      <c r="H91">
        <v>1939000</v>
      </c>
      <c r="I91">
        <v>0</v>
      </c>
      <c r="J91">
        <v>1939000</v>
      </c>
      <c r="K91" t="s">
        <v>4878</v>
      </c>
      <c r="L91">
        <v>2061000</v>
      </c>
      <c r="M91" t="s">
        <v>4879</v>
      </c>
      <c r="N91" t="s">
        <v>4627</v>
      </c>
      <c r="O91" t="s">
        <v>2741</v>
      </c>
      <c r="P91" t="s">
        <v>2750</v>
      </c>
    </row>
    <row r="92" spans="1:16" x14ac:dyDescent="0.25">
      <c r="A92" t="s">
        <v>494</v>
      </c>
      <c r="B92" t="s">
        <v>1700</v>
      </c>
      <c r="C92" t="s">
        <v>557</v>
      </c>
      <c r="D92" t="s">
        <v>4880</v>
      </c>
      <c r="E92" t="s">
        <v>537</v>
      </c>
      <c r="F92" t="s">
        <v>4881</v>
      </c>
      <c r="G92">
        <v>11000000</v>
      </c>
      <c r="H92">
        <v>5500000</v>
      </c>
      <c r="I92">
        <v>0</v>
      </c>
      <c r="J92">
        <v>5500000</v>
      </c>
      <c r="K92" t="s">
        <v>4721</v>
      </c>
      <c r="L92">
        <v>5500000</v>
      </c>
      <c r="M92" t="s">
        <v>4882</v>
      </c>
      <c r="N92" t="s">
        <v>4883</v>
      </c>
      <c r="O92" t="s">
        <v>2170</v>
      </c>
      <c r="P92" t="s">
        <v>2189</v>
      </c>
    </row>
    <row r="93" spans="1:16" x14ac:dyDescent="0.25">
      <c r="A93" t="s">
        <v>494</v>
      </c>
      <c r="B93" t="s">
        <v>1700</v>
      </c>
      <c r="C93" t="s">
        <v>557</v>
      </c>
      <c r="D93" t="s">
        <v>4880</v>
      </c>
      <c r="E93" t="s">
        <v>537</v>
      </c>
      <c r="F93" t="s">
        <v>4884</v>
      </c>
      <c r="G93">
        <v>4000000</v>
      </c>
      <c r="H93">
        <v>4000000</v>
      </c>
      <c r="I93">
        <v>0</v>
      </c>
      <c r="J93">
        <v>4000000</v>
      </c>
      <c r="K93" t="s">
        <v>4717</v>
      </c>
      <c r="L93">
        <v>0</v>
      </c>
      <c r="M93" t="s">
        <v>4885</v>
      </c>
      <c r="N93" t="s">
        <v>4886</v>
      </c>
      <c r="O93" t="s">
        <v>2170</v>
      </c>
      <c r="P93" t="s">
        <v>2189</v>
      </c>
    </row>
    <row r="94" spans="1:16" x14ac:dyDescent="0.25">
      <c r="A94" t="s">
        <v>494</v>
      </c>
      <c r="B94" t="s">
        <v>1700</v>
      </c>
      <c r="C94" t="s">
        <v>557</v>
      </c>
      <c r="D94" t="s">
        <v>4880</v>
      </c>
      <c r="E94" t="s">
        <v>537</v>
      </c>
      <c r="F94" t="s">
        <v>4887</v>
      </c>
      <c r="G94">
        <v>12000000</v>
      </c>
      <c r="H94">
        <v>5995000</v>
      </c>
      <c r="I94">
        <v>0</v>
      </c>
      <c r="J94">
        <v>5995000</v>
      </c>
      <c r="K94" t="s">
        <v>4888</v>
      </c>
      <c r="L94">
        <v>6005000</v>
      </c>
      <c r="M94" t="s">
        <v>4889</v>
      </c>
      <c r="N94" t="s">
        <v>4890</v>
      </c>
      <c r="O94" t="s">
        <v>2170</v>
      </c>
      <c r="P94" t="s">
        <v>2189</v>
      </c>
    </row>
    <row r="95" spans="1:16" x14ac:dyDescent="0.25">
      <c r="A95" t="s">
        <v>494</v>
      </c>
      <c r="B95" t="s">
        <v>1700</v>
      </c>
      <c r="C95" t="s">
        <v>557</v>
      </c>
      <c r="D95" t="s">
        <v>4880</v>
      </c>
      <c r="E95" t="s">
        <v>537</v>
      </c>
      <c r="F95" t="s">
        <v>4891</v>
      </c>
      <c r="G95">
        <v>11000000</v>
      </c>
      <c r="H95">
        <v>5500000</v>
      </c>
      <c r="I95">
        <v>0</v>
      </c>
      <c r="J95">
        <v>5500000</v>
      </c>
      <c r="K95" t="s">
        <v>4721</v>
      </c>
      <c r="L95">
        <v>5500000</v>
      </c>
      <c r="M95" t="s">
        <v>4892</v>
      </c>
      <c r="N95" t="s">
        <v>4893</v>
      </c>
      <c r="O95" t="s">
        <v>2170</v>
      </c>
      <c r="P95" t="s">
        <v>2189</v>
      </c>
    </row>
    <row r="96" spans="1:16" x14ac:dyDescent="0.25">
      <c r="A96" t="s">
        <v>494</v>
      </c>
      <c r="B96" t="s">
        <v>1700</v>
      </c>
      <c r="C96" t="s">
        <v>557</v>
      </c>
      <c r="D96" t="s">
        <v>4880</v>
      </c>
      <c r="E96" t="s">
        <v>537</v>
      </c>
      <c r="F96" t="s">
        <v>4894</v>
      </c>
      <c r="G96">
        <v>10560000</v>
      </c>
      <c r="H96">
        <v>4400000</v>
      </c>
      <c r="I96">
        <v>0</v>
      </c>
      <c r="J96">
        <v>4400000</v>
      </c>
      <c r="K96" t="s">
        <v>4895</v>
      </c>
      <c r="L96">
        <v>6160000</v>
      </c>
      <c r="M96" t="s">
        <v>4896</v>
      </c>
      <c r="N96" t="s">
        <v>4897</v>
      </c>
      <c r="O96" t="s">
        <v>2170</v>
      </c>
      <c r="P96" t="s">
        <v>2189</v>
      </c>
    </row>
    <row r="97" spans="1:16" x14ac:dyDescent="0.25">
      <c r="A97" t="s">
        <v>494</v>
      </c>
      <c r="B97" t="s">
        <v>1700</v>
      </c>
      <c r="C97" t="s">
        <v>557</v>
      </c>
      <c r="D97" t="s">
        <v>4880</v>
      </c>
      <c r="E97" t="s">
        <v>537</v>
      </c>
      <c r="F97" t="s">
        <v>4898</v>
      </c>
      <c r="G97">
        <v>9600000</v>
      </c>
      <c r="H97">
        <v>4000000</v>
      </c>
      <c r="I97">
        <v>0</v>
      </c>
      <c r="J97">
        <v>4000000</v>
      </c>
      <c r="K97" t="s">
        <v>4895</v>
      </c>
      <c r="L97">
        <v>5600000</v>
      </c>
      <c r="M97" t="s">
        <v>4899</v>
      </c>
      <c r="N97" t="s">
        <v>4900</v>
      </c>
      <c r="O97" t="s">
        <v>2170</v>
      </c>
      <c r="P97" t="s">
        <v>2189</v>
      </c>
    </row>
    <row r="98" spans="1:16" x14ac:dyDescent="0.25">
      <c r="A98" t="s">
        <v>494</v>
      </c>
      <c r="B98" t="s">
        <v>1700</v>
      </c>
      <c r="C98" t="s">
        <v>557</v>
      </c>
      <c r="D98" t="s">
        <v>4880</v>
      </c>
      <c r="E98" t="s">
        <v>537</v>
      </c>
      <c r="F98" t="s">
        <v>4901</v>
      </c>
      <c r="G98">
        <v>60000000</v>
      </c>
      <c r="H98">
        <v>19370000</v>
      </c>
      <c r="I98">
        <v>0</v>
      </c>
      <c r="J98">
        <v>19370000</v>
      </c>
      <c r="K98" t="s">
        <v>4902</v>
      </c>
      <c r="L98">
        <v>40630000</v>
      </c>
      <c r="M98" t="s">
        <v>4903</v>
      </c>
      <c r="N98" t="s">
        <v>4679</v>
      </c>
      <c r="O98" t="s">
        <v>2170</v>
      </c>
      <c r="P98" t="s">
        <v>2189</v>
      </c>
    </row>
    <row r="99" spans="1:16" x14ac:dyDescent="0.25">
      <c r="A99" t="s">
        <v>494</v>
      </c>
      <c r="B99" t="s">
        <v>1700</v>
      </c>
      <c r="C99" t="s">
        <v>557</v>
      </c>
      <c r="D99" t="s">
        <v>4880</v>
      </c>
      <c r="E99" t="s">
        <v>537</v>
      </c>
      <c r="F99" t="s">
        <v>4904</v>
      </c>
      <c r="G99">
        <v>40000000</v>
      </c>
      <c r="H99">
        <v>15943000</v>
      </c>
      <c r="I99">
        <v>0</v>
      </c>
      <c r="J99">
        <v>15943000</v>
      </c>
      <c r="K99" t="s">
        <v>4905</v>
      </c>
      <c r="L99">
        <v>24057000</v>
      </c>
      <c r="M99" t="s">
        <v>4906</v>
      </c>
      <c r="N99" t="s">
        <v>4627</v>
      </c>
      <c r="O99" t="s">
        <v>2170</v>
      </c>
      <c r="P99" t="s">
        <v>2189</v>
      </c>
    </row>
    <row r="100" spans="1:16" x14ac:dyDescent="0.25">
      <c r="A100" t="s">
        <v>494</v>
      </c>
      <c r="B100" t="s">
        <v>1036</v>
      </c>
      <c r="C100" t="s">
        <v>1185</v>
      </c>
      <c r="D100" t="s">
        <v>4848</v>
      </c>
      <c r="E100" t="s">
        <v>537</v>
      </c>
      <c r="F100" t="s">
        <v>4907</v>
      </c>
      <c r="G100">
        <v>6000000</v>
      </c>
      <c r="H100">
        <v>2403750</v>
      </c>
      <c r="I100">
        <v>0</v>
      </c>
      <c r="J100">
        <v>2403750</v>
      </c>
      <c r="K100" t="s">
        <v>4908</v>
      </c>
      <c r="L100">
        <v>3596250</v>
      </c>
      <c r="M100" t="s">
        <v>4909</v>
      </c>
      <c r="N100" t="s">
        <v>4910</v>
      </c>
      <c r="O100" t="s">
        <v>1187</v>
      </c>
      <c r="P100" t="s">
        <v>1194</v>
      </c>
    </row>
    <row r="101" spans="1:16" x14ac:dyDescent="0.25">
      <c r="A101" t="s">
        <v>494</v>
      </c>
      <c r="B101" t="s">
        <v>1036</v>
      </c>
      <c r="C101" t="s">
        <v>1185</v>
      </c>
      <c r="D101" t="s">
        <v>4848</v>
      </c>
      <c r="E101" t="s">
        <v>537</v>
      </c>
      <c r="F101" t="s">
        <v>4911</v>
      </c>
      <c r="G101">
        <v>4000000</v>
      </c>
      <c r="H101">
        <v>1976000</v>
      </c>
      <c r="I101">
        <v>0</v>
      </c>
      <c r="J101">
        <v>1976000</v>
      </c>
      <c r="K101" t="s">
        <v>4912</v>
      </c>
      <c r="L101">
        <v>2024000</v>
      </c>
      <c r="M101" t="s">
        <v>4913</v>
      </c>
      <c r="N101" t="s">
        <v>4627</v>
      </c>
      <c r="O101" t="s">
        <v>1187</v>
      </c>
      <c r="P101" t="s">
        <v>1194</v>
      </c>
    </row>
    <row r="102" spans="1:16" x14ac:dyDescent="0.25">
      <c r="A102" t="s">
        <v>494</v>
      </c>
      <c r="B102" t="s">
        <v>1700</v>
      </c>
      <c r="C102" t="s">
        <v>557</v>
      </c>
      <c r="D102" t="s">
        <v>4914</v>
      </c>
      <c r="E102" t="s">
        <v>570</v>
      </c>
      <c r="F102" t="s">
        <v>4915</v>
      </c>
      <c r="G102">
        <v>2400000</v>
      </c>
      <c r="H102">
        <v>600000</v>
      </c>
      <c r="I102">
        <v>0</v>
      </c>
      <c r="J102">
        <v>600000</v>
      </c>
      <c r="K102" t="s">
        <v>4730</v>
      </c>
      <c r="L102">
        <v>1800000</v>
      </c>
      <c r="M102" t="s">
        <v>4916</v>
      </c>
      <c r="N102" t="s">
        <v>4917</v>
      </c>
      <c r="O102" t="s">
        <v>2238</v>
      </c>
      <c r="P102" t="s">
        <v>2247</v>
      </c>
    </row>
    <row r="103" spans="1:16" x14ac:dyDescent="0.25">
      <c r="A103" t="s">
        <v>494</v>
      </c>
      <c r="B103" t="s">
        <v>1700</v>
      </c>
      <c r="C103" t="s">
        <v>557</v>
      </c>
      <c r="D103" t="s">
        <v>4914</v>
      </c>
      <c r="E103" t="s">
        <v>570</v>
      </c>
      <c r="F103" t="s">
        <v>4918</v>
      </c>
      <c r="G103">
        <v>960000</v>
      </c>
      <c r="H103">
        <v>240000</v>
      </c>
      <c r="I103">
        <v>0</v>
      </c>
      <c r="J103">
        <v>240000</v>
      </c>
      <c r="K103" t="s">
        <v>4730</v>
      </c>
      <c r="L103">
        <v>720000</v>
      </c>
      <c r="M103" t="s">
        <v>4919</v>
      </c>
      <c r="N103" t="s">
        <v>4920</v>
      </c>
      <c r="O103" t="s">
        <v>2238</v>
      </c>
      <c r="P103" t="s">
        <v>2247</v>
      </c>
    </row>
    <row r="104" spans="1:16" x14ac:dyDescent="0.25">
      <c r="A104" t="s">
        <v>494</v>
      </c>
      <c r="B104" t="s">
        <v>1700</v>
      </c>
      <c r="C104" t="s">
        <v>557</v>
      </c>
      <c r="D104" t="s">
        <v>4914</v>
      </c>
      <c r="E104" t="s">
        <v>570</v>
      </c>
      <c r="F104" t="s">
        <v>4921</v>
      </c>
      <c r="G104">
        <v>2400000</v>
      </c>
      <c r="H104">
        <v>600000</v>
      </c>
      <c r="I104">
        <v>0</v>
      </c>
      <c r="J104">
        <v>600000</v>
      </c>
      <c r="K104" t="s">
        <v>4730</v>
      </c>
      <c r="L104">
        <v>1800000</v>
      </c>
      <c r="M104" t="s">
        <v>4922</v>
      </c>
      <c r="N104" t="s">
        <v>4923</v>
      </c>
      <c r="O104" t="s">
        <v>2238</v>
      </c>
      <c r="P104" t="s">
        <v>2247</v>
      </c>
    </row>
    <row r="105" spans="1:16" x14ac:dyDescent="0.25">
      <c r="A105" t="s">
        <v>494</v>
      </c>
      <c r="B105" t="s">
        <v>1700</v>
      </c>
      <c r="C105" t="s">
        <v>557</v>
      </c>
      <c r="D105" t="s">
        <v>4914</v>
      </c>
      <c r="E105" t="s">
        <v>570</v>
      </c>
      <c r="F105" t="s">
        <v>4924</v>
      </c>
      <c r="G105">
        <v>8160000</v>
      </c>
      <c r="H105">
        <v>2040000</v>
      </c>
      <c r="I105">
        <v>0</v>
      </c>
      <c r="J105">
        <v>2040000</v>
      </c>
      <c r="K105" t="s">
        <v>4730</v>
      </c>
      <c r="L105">
        <v>6120000</v>
      </c>
      <c r="M105" t="s">
        <v>4925</v>
      </c>
      <c r="N105" t="s">
        <v>4926</v>
      </c>
      <c r="O105" t="s">
        <v>2238</v>
      </c>
      <c r="P105" t="s">
        <v>2247</v>
      </c>
    </row>
    <row r="106" spans="1:16" x14ac:dyDescent="0.25">
      <c r="A106" t="s">
        <v>494</v>
      </c>
      <c r="B106" t="s">
        <v>1700</v>
      </c>
      <c r="C106" t="s">
        <v>557</v>
      </c>
      <c r="D106" t="s">
        <v>4914</v>
      </c>
      <c r="E106" t="s">
        <v>570</v>
      </c>
      <c r="F106" t="s">
        <v>4927</v>
      </c>
      <c r="G106">
        <v>3888000</v>
      </c>
      <c r="H106">
        <v>972000</v>
      </c>
      <c r="I106">
        <v>0</v>
      </c>
      <c r="J106">
        <v>972000</v>
      </c>
      <c r="K106" t="s">
        <v>4730</v>
      </c>
      <c r="L106">
        <v>2916000</v>
      </c>
      <c r="M106" t="s">
        <v>4928</v>
      </c>
      <c r="N106" t="s">
        <v>4929</v>
      </c>
      <c r="O106" t="s">
        <v>2238</v>
      </c>
      <c r="P106" t="s">
        <v>2247</v>
      </c>
    </row>
    <row r="107" spans="1:16" x14ac:dyDescent="0.25">
      <c r="A107" t="s">
        <v>494</v>
      </c>
      <c r="B107" t="s">
        <v>1700</v>
      </c>
      <c r="C107" t="s">
        <v>557</v>
      </c>
      <c r="D107" t="s">
        <v>4914</v>
      </c>
      <c r="E107" t="s">
        <v>570</v>
      </c>
      <c r="F107" t="s">
        <v>4930</v>
      </c>
      <c r="G107">
        <v>3888000</v>
      </c>
      <c r="H107">
        <v>2932000</v>
      </c>
      <c r="I107">
        <v>0</v>
      </c>
      <c r="J107">
        <v>2932000</v>
      </c>
      <c r="K107" t="s">
        <v>4931</v>
      </c>
      <c r="L107">
        <v>956000</v>
      </c>
      <c r="M107" t="s">
        <v>4932</v>
      </c>
      <c r="N107" t="s">
        <v>4933</v>
      </c>
      <c r="O107" t="s">
        <v>2238</v>
      </c>
      <c r="P107" t="s">
        <v>2247</v>
      </c>
    </row>
    <row r="108" spans="1:16" x14ac:dyDescent="0.25">
      <c r="A108" t="s">
        <v>494</v>
      </c>
      <c r="B108" t="s">
        <v>1700</v>
      </c>
      <c r="C108" t="s">
        <v>557</v>
      </c>
      <c r="D108" t="s">
        <v>4914</v>
      </c>
      <c r="E108" t="s">
        <v>570</v>
      </c>
      <c r="F108" t="s">
        <v>4934</v>
      </c>
      <c r="G108">
        <v>35040000</v>
      </c>
      <c r="H108">
        <v>8760000</v>
      </c>
      <c r="I108">
        <v>0</v>
      </c>
      <c r="J108">
        <v>8760000</v>
      </c>
      <c r="K108" t="s">
        <v>4730</v>
      </c>
      <c r="L108">
        <v>26280000</v>
      </c>
      <c r="M108" t="s">
        <v>4935</v>
      </c>
      <c r="N108" t="s">
        <v>4936</v>
      </c>
      <c r="O108" t="s">
        <v>2238</v>
      </c>
      <c r="P108" t="s">
        <v>2247</v>
      </c>
    </row>
    <row r="109" spans="1:16" x14ac:dyDescent="0.25">
      <c r="A109" t="s">
        <v>494</v>
      </c>
      <c r="B109" t="s">
        <v>1700</v>
      </c>
      <c r="C109" t="s">
        <v>557</v>
      </c>
      <c r="D109" t="s">
        <v>4914</v>
      </c>
      <c r="E109" t="s">
        <v>559</v>
      </c>
      <c r="F109" t="s">
        <v>4937</v>
      </c>
      <c r="G109">
        <v>85700000</v>
      </c>
      <c r="H109">
        <v>44410000</v>
      </c>
      <c r="I109">
        <v>0</v>
      </c>
      <c r="J109">
        <v>44410000</v>
      </c>
      <c r="K109" t="s">
        <v>4938</v>
      </c>
      <c r="L109">
        <v>41290000</v>
      </c>
      <c r="M109" t="s">
        <v>4939</v>
      </c>
      <c r="N109" t="s">
        <v>4940</v>
      </c>
      <c r="O109" t="s">
        <v>2238</v>
      </c>
      <c r="P109" t="s">
        <v>2241</v>
      </c>
    </row>
    <row r="110" spans="1:16" x14ac:dyDescent="0.25">
      <c r="A110" t="s">
        <v>494</v>
      </c>
      <c r="B110" t="s">
        <v>1700</v>
      </c>
      <c r="C110" t="s">
        <v>557</v>
      </c>
      <c r="D110" t="s">
        <v>4941</v>
      </c>
      <c r="E110" t="s">
        <v>568</v>
      </c>
      <c r="F110" t="s">
        <v>4942</v>
      </c>
      <c r="G110">
        <v>36000000</v>
      </c>
      <c r="H110">
        <v>9000000</v>
      </c>
      <c r="I110">
        <v>0</v>
      </c>
      <c r="J110">
        <v>9000000</v>
      </c>
      <c r="K110" t="s">
        <v>4730</v>
      </c>
      <c r="L110">
        <v>27000000</v>
      </c>
      <c r="M110" t="s">
        <v>4943</v>
      </c>
      <c r="N110" t="s">
        <v>4944</v>
      </c>
      <c r="O110" t="s">
        <v>2218</v>
      </c>
      <c r="P110" t="s">
        <v>2235</v>
      </c>
    </row>
    <row r="111" spans="1:16" x14ac:dyDescent="0.25">
      <c r="A111" t="s">
        <v>494</v>
      </c>
      <c r="B111" t="s">
        <v>1700</v>
      </c>
      <c r="C111" t="s">
        <v>557</v>
      </c>
      <c r="D111" t="s">
        <v>4941</v>
      </c>
      <c r="E111" t="s">
        <v>567</v>
      </c>
      <c r="F111" t="s">
        <v>4945</v>
      </c>
      <c r="G111">
        <v>2820000</v>
      </c>
      <c r="H111">
        <v>935000</v>
      </c>
      <c r="I111">
        <v>0</v>
      </c>
      <c r="J111">
        <v>935000</v>
      </c>
      <c r="K111" t="s">
        <v>4946</v>
      </c>
      <c r="L111">
        <v>1885000</v>
      </c>
      <c r="M111" t="s">
        <v>4947</v>
      </c>
      <c r="N111" t="s">
        <v>4948</v>
      </c>
      <c r="O111" t="s">
        <v>2218</v>
      </c>
      <c r="P111" t="s">
        <v>2221</v>
      </c>
    </row>
    <row r="112" spans="1:16" x14ac:dyDescent="0.25">
      <c r="A112" t="s">
        <v>494</v>
      </c>
      <c r="B112" t="s">
        <v>1700</v>
      </c>
      <c r="C112" t="s">
        <v>557</v>
      </c>
      <c r="D112" t="s">
        <v>4941</v>
      </c>
      <c r="E112" t="s">
        <v>567</v>
      </c>
      <c r="F112" t="s">
        <v>4949</v>
      </c>
      <c r="G112">
        <v>10500000</v>
      </c>
      <c r="H112">
        <v>3547500</v>
      </c>
      <c r="I112">
        <v>0</v>
      </c>
      <c r="J112">
        <v>3547500</v>
      </c>
      <c r="K112" t="s">
        <v>4950</v>
      </c>
      <c r="L112">
        <v>6952500</v>
      </c>
      <c r="M112" t="s">
        <v>4951</v>
      </c>
      <c r="N112" t="s">
        <v>4952</v>
      </c>
      <c r="O112" t="s">
        <v>2218</v>
      </c>
      <c r="P112" t="s">
        <v>2221</v>
      </c>
    </row>
    <row r="113" spans="1:16" x14ac:dyDescent="0.25">
      <c r="A113" t="s">
        <v>494</v>
      </c>
      <c r="B113" t="s">
        <v>1700</v>
      </c>
      <c r="C113" t="s">
        <v>557</v>
      </c>
      <c r="D113" t="s">
        <v>4941</v>
      </c>
      <c r="E113" t="s">
        <v>567</v>
      </c>
      <c r="F113" t="s">
        <v>4953</v>
      </c>
      <c r="G113">
        <v>24150000</v>
      </c>
      <c r="H113">
        <v>5500000</v>
      </c>
      <c r="I113">
        <v>0</v>
      </c>
      <c r="J113">
        <v>5500000</v>
      </c>
      <c r="K113" t="s">
        <v>4954</v>
      </c>
      <c r="L113">
        <v>18650000</v>
      </c>
      <c r="M113" t="s">
        <v>4955</v>
      </c>
      <c r="N113" t="s">
        <v>4956</v>
      </c>
      <c r="O113" t="s">
        <v>2218</v>
      </c>
      <c r="P113" t="s">
        <v>2221</v>
      </c>
    </row>
    <row r="114" spans="1:16" x14ac:dyDescent="0.25">
      <c r="A114" t="s">
        <v>494</v>
      </c>
      <c r="B114" t="s">
        <v>1700</v>
      </c>
      <c r="C114" t="s">
        <v>557</v>
      </c>
      <c r="D114" t="s">
        <v>4941</v>
      </c>
      <c r="E114" t="s">
        <v>567</v>
      </c>
      <c r="F114" t="s">
        <v>4957</v>
      </c>
      <c r="G114">
        <v>25550000</v>
      </c>
      <c r="H114">
        <v>4349400</v>
      </c>
      <c r="I114">
        <v>0</v>
      </c>
      <c r="J114">
        <v>4349400</v>
      </c>
      <c r="K114" t="s">
        <v>4958</v>
      </c>
      <c r="L114">
        <v>21200600</v>
      </c>
      <c r="M114" t="s">
        <v>4959</v>
      </c>
      <c r="N114" t="s">
        <v>4960</v>
      </c>
      <c r="O114" t="s">
        <v>2218</v>
      </c>
      <c r="P114" t="s">
        <v>2221</v>
      </c>
    </row>
    <row r="115" spans="1:16" x14ac:dyDescent="0.25">
      <c r="A115" t="s">
        <v>494</v>
      </c>
      <c r="B115" t="s">
        <v>1700</v>
      </c>
      <c r="C115" t="s">
        <v>557</v>
      </c>
      <c r="D115" t="s">
        <v>4941</v>
      </c>
      <c r="E115" t="s">
        <v>567</v>
      </c>
      <c r="F115" t="s">
        <v>4961</v>
      </c>
      <c r="G115">
        <v>18200000</v>
      </c>
      <c r="H115">
        <v>3492900</v>
      </c>
      <c r="I115">
        <v>0</v>
      </c>
      <c r="J115">
        <v>3492900</v>
      </c>
      <c r="K115" t="s">
        <v>4962</v>
      </c>
      <c r="L115">
        <v>14707100</v>
      </c>
      <c r="M115" t="s">
        <v>4963</v>
      </c>
      <c r="N115" t="s">
        <v>4964</v>
      </c>
      <c r="O115" t="s">
        <v>2218</v>
      </c>
      <c r="P115" t="s">
        <v>2221</v>
      </c>
    </row>
    <row r="116" spans="1:16" x14ac:dyDescent="0.25">
      <c r="A116" t="s">
        <v>494</v>
      </c>
      <c r="B116" t="s">
        <v>1700</v>
      </c>
      <c r="C116" t="s">
        <v>557</v>
      </c>
      <c r="D116" t="s">
        <v>4941</v>
      </c>
      <c r="E116" t="s">
        <v>567</v>
      </c>
      <c r="F116" t="s">
        <v>4965</v>
      </c>
      <c r="G116">
        <v>295650000</v>
      </c>
      <c r="H116">
        <v>58531640</v>
      </c>
      <c r="I116">
        <v>0</v>
      </c>
      <c r="J116">
        <v>58531640</v>
      </c>
      <c r="K116" t="s">
        <v>4966</v>
      </c>
      <c r="L116">
        <v>237118360</v>
      </c>
      <c r="M116" t="s">
        <v>4967</v>
      </c>
      <c r="N116" t="s">
        <v>4968</v>
      </c>
      <c r="O116" t="s">
        <v>2218</v>
      </c>
      <c r="P116" t="s">
        <v>2221</v>
      </c>
    </row>
    <row r="117" spans="1:16" x14ac:dyDescent="0.25">
      <c r="A117" t="s">
        <v>494</v>
      </c>
      <c r="B117" t="s">
        <v>1700</v>
      </c>
      <c r="C117" t="s">
        <v>557</v>
      </c>
      <c r="D117" t="s">
        <v>4941</v>
      </c>
      <c r="E117" t="s">
        <v>567</v>
      </c>
      <c r="F117" t="s">
        <v>4969</v>
      </c>
      <c r="G117">
        <v>38730000</v>
      </c>
      <c r="H117">
        <v>9519000</v>
      </c>
      <c r="I117">
        <v>0</v>
      </c>
      <c r="J117">
        <v>9519000</v>
      </c>
      <c r="K117" t="s">
        <v>4970</v>
      </c>
      <c r="L117">
        <v>29211000</v>
      </c>
      <c r="M117" t="s">
        <v>4971</v>
      </c>
      <c r="N117" t="s">
        <v>4972</v>
      </c>
      <c r="O117" t="s">
        <v>2218</v>
      </c>
      <c r="P117" t="s">
        <v>2221</v>
      </c>
    </row>
    <row r="118" spans="1:16" x14ac:dyDescent="0.25">
      <c r="A118" t="s">
        <v>494</v>
      </c>
      <c r="B118" t="s">
        <v>1700</v>
      </c>
      <c r="C118" t="s">
        <v>557</v>
      </c>
      <c r="D118" t="s">
        <v>4973</v>
      </c>
      <c r="E118" t="s">
        <v>564</v>
      </c>
      <c r="F118" t="s">
        <v>4974</v>
      </c>
      <c r="G118">
        <v>60000000</v>
      </c>
      <c r="H118">
        <v>19800000</v>
      </c>
      <c r="I118">
        <v>0</v>
      </c>
      <c r="J118">
        <v>19800000</v>
      </c>
      <c r="K118" t="s">
        <v>4975</v>
      </c>
      <c r="L118">
        <v>40200000</v>
      </c>
      <c r="M118" t="s">
        <v>4976</v>
      </c>
      <c r="N118" t="s">
        <v>4977</v>
      </c>
      <c r="O118" t="s">
        <v>2207</v>
      </c>
      <c r="P118" t="s">
        <v>2213</v>
      </c>
    </row>
    <row r="119" spans="1:16" x14ac:dyDescent="0.25">
      <c r="A119" t="s">
        <v>494</v>
      </c>
      <c r="B119" t="s">
        <v>1700</v>
      </c>
      <c r="C119" t="s">
        <v>557</v>
      </c>
      <c r="D119" t="s">
        <v>4973</v>
      </c>
      <c r="E119" t="s">
        <v>563</v>
      </c>
      <c r="F119" t="s">
        <v>4978</v>
      </c>
      <c r="G119">
        <v>30000000</v>
      </c>
      <c r="H119">
        <v>2286050</v>
      </c>
      <c r="I119">
        <v>0</v>
      </c>
      <c r="J119">
        <v>2286050</v>
      </c>
      <c r="K119" t="s">
        <v>4979</v>
      </c>
      <c r="L119">
        <v>27713950</v>
      </c>
      <c r="M119" t="s">
        <v>4980</v>
      </c>
      <c r="N119" t="s">
        <v>4981</v>
      </c>
      <c r="O119" t="s">
        <v>2207</v>
      </c>
      <c r="P119" t="s">
        <v>2210</v>
      </c>
    </row>
    <row r="120" spans="1:16" x14ac:dyDescent="0.25">
      <c r="A120" t="s">
        <v>494</v>
      </c>
      <c r="B120" t="s">
        <v>1700</v>
      </c>
      <c r="C120" t="s">
        <v>557</v>
      </c>
      <c r="D120" t="s">
        <v>4880</v>
      </c>
      <c r="E120" t="s">
        <v>559</v>
      </c>
      <c r="F120" t="s">
        <v>4982</v>
      </c>
      <c r="G120">
        <v>33000000</v>
      </c>
      <c r="H120">
        <v>4800000</v>
      </c>
      <c r="I120">
        <v>0</v>
      </c>
      <c r="J120">
        <v>4800000</v>
      </c>
      <c r="K120" t="s">
        <v>4983</v>
      </c>
      <c r="L120">
        <v>28200000</v>
      </c>
      <c r="M120" t="s">
        <v>4984</v>
      </c>
      <c r="N120" t="s">
        <v>4985</v>
      </c>
      <c r="O120" t="s">
        <v>2170</v>
      </c>
      <c r="P120" t="s">
        <v>2172</v>
      </c>
    </row>
    <row r="121" spans="1:16" x14ac:dyDescent="0.25">
      <c r="A121" t="s">
        <v>494</v>
      </c>
      <c r="B121" t="s">
        <v>1700</v>
      </c>
      <c r="C121" t="s">
        <v>557</v>
      </c>
      <c r="D121" t="s">
        <v>4880</v>
      </c>
      <c r="E121" t="s">
        <v>559</v>
      </c>
      <c r="F121" t="s">
        <v>4986</v>
      </c>
      <c r="G121">
        <v>19200000</v>
      </c>
      <c r="H121">
        <v>3893490</v>
      </c>
      <c r="I121">
        <v>0</v>
      </c>
      <c r="J121">
        <v>3893490</v>
      </c>
      <c r="K121" t="s">
        <v>4987</v>
      </c>
      <c r="L121">
        <v>15306510</v>
      </c>
      <c r="M121" t="s">
        <v>4988</v>
      </c>
      <c r="N121" t="s">
        <v>4989</v>
      </c>
      <c r="O121" t="s">
        <v>2170</v>
      </c>
      <c r="P121" t="s">
        <v>2172</v>
      </c>
    </row>
    <row r="122" spans="1:16" x14ac:dyDescent="0.25">
      <c r="A122" t="s">
        <v>494</v>
      </c>
      <c r="B122" t="s">
        <v>1700</v>
      </c>
      <c r="C122" t="s">
        <v>557</v>
      </c>
      <c r="D122" t="s">
        <v>4880</v>
      </c>
      <c r="E122" t="s">
        <v>559</v>
      </c>
      <c r="F122" t="s">
        <v>4990</v>
      </c>
      <c r="G122">
        <v>9000000</v>
      </c>
      <c r="H122">
        <v>3024000</v>
      </c>
      <c r="I122">
        <v>0</v>
      </c>
      <c r="J122">
        <v>3024000</v>
      </c>
      <c r="K122" t="s">
        <v>4991</v>
      </c>
      <c r="L122">
        <v>5976000</v>
      </c>
      <c r="M122" t="s">
        <v>4992</v>
      </c>
      <c r="N122" t="s">
        <v>4993</v>
      </c>
      <c r="O122" t="s">
        <v>2170</v>
      </c>
      <c r="P122" t="s">
        <v>2172</v>
      </c>
    </row>
    <row r="123" spans="1:16" x14ac:dyDescent="0.25">
      <c r="A123" t="s">
        <v>494</v>
      </c>
      <c r="B123" t="s">
        <v>1700</v>
      </c>
      <c r="C123" t="s">
        <v>557</v>
      </c>
      <c r="D123" t="s">
        <v>4880</v>
      </c>
      <c r="E123" t="s">
        <v>559</v>
      </c>
      <c r="F123" t="s">
        <v>4994</v>
      </c>
      <c r="G123">
        <v>4800000</v>
      </c>
      <c r="H123">
        <v>1348390</v>
      </c>
      <c r="I123">
        <v>0</v>
      </c>
      <c r="J123">
        <v>1348390</v>
      </c>
      <c r="K123" t="s">
        <v>4995</v>
      </c>
      <c r="L123">
        <v>3451610</v>
      </c>
      <c r="M123" t="s">
        <v>4996</v>
      </c>
      <c r="N123" t="s">
        <v>4997</v>
      </c>
      <c r="O123" t="s">
        <v>2170</v>
      </c>
      <c r="P123" t="s">
        <v>2172</v>
      </c>
    </row>
    <row r="124" spans="1:16" x14ac:dyDescent="0.25">
      <c r="A124" t="s">
        <v>494</v>
      </c>
      <c r="B124" t="s">
        <v>1700</v>
      </c>
      <c r="C124" t="s">
        <v>557</v>
      </c>
      <c r="D124" t="s">
        <v>4880</v>
      </c>
      <c r="E124" t="s">
        <v>559</v>
      </c>
      <c r="F124" t="s">
        <v>4998</v>
      </c>
      <c r="G124">
        <v>69472000</v>
      </c>
      <c r="H124">
        <v>32064000</v>
      </c>
      <c r="I124">
        <v>0</v>
      </c>
      <c r="J124">
        <v>32064000</v>
      </c>
      <c r="K124" t="s">
        <v>4999</v>
      </c>
      <c r="L124">
        <v>37408000</v>
      </c>
      <c r="M124" t="s">
        <v>5000</v>
      </c>
      <c r="N124" t="s">
        <v>5001</v>
      </c>
      <c r="O124" t="s">
        <v>2170</v>
      </c>
      <c r="P124" t="s">
        <v>2172</v>
      </c>
    </row>
    <row r="125" spans="1:16" x14ac:dyDescent="0.25">
      <c r="A125" t="s">
        <v>494</v>
      </c>
      <c r="B125" t="s">
        <v>1700</v>
      </c>
      <c r="C125" t="s">
        <v>557</v>
      </c>
      <c r="D125" t="s">
        <v>4880</v>
      </c>
      <c r="E125" t="s">
        <v>559</v>
      </c>
      <c r="F125" t="s">
        <v>5002</v>
      </c>
      <c r="G125">
        <v>757848000</v>
      </c>
      <c r="H125">
        <v>349776000</v>
      </c>
      <c r="I125">
        <v>0</v>
      </c>
      <c r="J125">
        <v>349776000</v>
      </c>
      <c r="K125" t="s">
        <v>4999</v>
      </c>
      <c r="L125">
        <v>408072000</v>
      </c>
      <c r="M125" t="s">
        <v>5003</v>
      </c>
      <c r="N125" t="s">
        <v>5004</v>
      </c>
      <c r="O125" t="s">
        <v>2170</v>
      </c>
      <c r="P125" t="s">
        <v>2172</v>
      </c>
    </row>
    <row r="126" spans="1:16" x14ac:dyDescent="0.25">
      <c r="A126" t="s">
        <v>494</v>
      </c>
      <c r="B126" t="s">
        <v>1700</v>
      </c>
      <c r="C126" t="s">
        <v>557</v>
      </c>
      <c r="D126" t="s">
        <v>4880</v>
      </c>
      <c r="E126" t="s">
        <v>559</v>
      </c>
      <c r="F126" t="s">
        <v>5005</v>
      </c>
      <c r="G126">
        <v>40000000</v>
      </c>
      <c r="H126">
        <v>8309700</v>
      </c>
      <c r="I126">
        <v>0</v>
      </c>
      <c r="J126">
        <v>8309700</v>
      </c>
      <c r="K126" t="s">
        <v>5006</v>
      </c>
      <c r="L126">
        <v>31690300</v>
      </c>
      <c r="M126" t="s">
        <v>5007</v>
      </c>
      <c r="N126" t="s">
        <v>5008</v>
      </c>
      <c r="O126" t="s">
        <v>2170</v>
      </c>
      <c r="P126" t="s">
        <v>2172</v>
      </c>
    </row>
    <row r="127" spans="1:16" x14ac:dyDescent="0.25">
      <c r="A127" t="s">
        <v>494</v>
      </c>
      <c r="B127" t="s">
        <v>1700</v>
      </c>
      <c r="C127" t="s">
        <v>557</v>
      </c>
      <c r="D127" t="s">
        <v>4880</v>
      </c>
      <c r="E127" t="s">
        <v>559</v>
      </c>
      <c r="F127" t="s">
        <v>5009</v>
      </c>
      <c r="G127">
        <v>75900000</v>
      </c>
      <c r="H127">
        <v>19842571</v>
      </c>
      <c r="I127">
        <v>0</v>
      </c>
      <c r="J127">
        <v>19842571</v>
      </c>
      <c r="K127" t="s">
        <v>5010</v>
      </c>
      <c r="L127">
        <v>56057429</v>
      </c>
      <c r="M127" t="s">
        <v>5011</v>
      </c>
      <c r="N127" t="s">
        <v>5012</v>
      </c>
      <c r="O127" t="s">
        <v>2170</v>
      </c>
      <c r="P127" t="s">
        <v>2172</v>
      </c>
    </row>
    <row r="128" spans="1:16" x14ac:dyDescent="0.25">
      <c r="A128" t="s">
        <v>494</v>
      </c>
      <c r="B128" t="s">
        <v>1700</v>
      </c>
      <c r="C128" t="s">
        <v>501</v>
      </c>
      <c r="D128" t="s">
        <v>5431</v>
      </c>
      <c r="E128" t="s">
        <v>555</v>
      </c>
      <c r="F128" t="s">
        <v>5476</v>
      </c>
      <c r="G128">
        <v>6655000</v>
      </c>
      <c r="H128">
        <v>5535000</v>
      </c>
      <c r="I128">
        <v>0</v>
      </c>
      <c r="J128">
        <v>5535000</v>
      </c>
      <c r="K128" t="s">
        <v>5477</v>
      </c>
      <c r="L128">
        <v>1120000</v>
      </c>
      <c r="M128" t="s">
        <v>5478</v>
      </c>
      <c r="N128" t="s">
        <v>5479</v>
      </c>
      <c r="O128" t="s">
        <v>1806</v>
      </c>
      <c r="P128" t="s">
        <v>1841</v>
      </c>
    </row>
    <row r="129" spans="1:16" x14ac:dyDescent="0.25">
      <c r="A129" t="s">
        <v>494</v>
      </c>
      <c r="B129" t="s">
        <v>1700</v>
      </c>
      <c r="C129" t="s">
        <v>501</v>
      </c>
      <c r="D129" t="s">
        <v>5431</v>
      </c>
      <c r="E129" t="s">
        <v>552</v>
      </c>
      <c r="F129" t="s">
        <v>5480</v>
      </c>
      <c r="G129">
        <v>3360000</v>
      </c>
      <c r="H129">
        <v>2599192</v>
      </c>
      <c r="I129">
        <v>0</v>
      </c>
      <c r="J129">
        <v>2599192</v>
      </c>
      <c r="K129" t="s">
        <v>5481</v>
      </c>
      <c r="L129">
        <v>760808</v>
      </c>
      <c r="M129" t="s">
        <v>5482</v>
      </c>
      <c r="N129" t="s">
        <v>5483</v>
      </c>
      <c r="O129" t="s">
        <v>1806</v>
      </c>
      <c r="P129" t="s">
        <v>1833</v>
      </c>
    </row>
    <row r="130" spans="1:16" x14ac:dyDescent="0.25">
      <c r="A130" t="s">
        <v>494</v>
      </c>
      <c r="B130" t="s">
        <v>1700</v>
      </c>
      <c r="C130" t="s">
        <v>501</v>
      </c>
      <c r="D130" t="s">
        <v>5431</v>
      </c>
      <c r="E130" t="s">
        <v>551</v>
      </c>
      <c r="F130" t="s">
        <v>5484</v>
      </c>
      <c r="G130">
        <v>2000000</v>
      </c>
      <c r="H130">
        <v>4807000</v>
      </c>
      <c r="I130">
        <v>0</v>
      </c>
      <c r="J130">
        <v>4807000</v>
      </c>
      <c r="K130" t="s">
        <v>5485</v>
      </c>
      <c r="L130">
        <v>-2807000</v>
      </c>
      <c r="M130" t="s">
        <v>5486</v>
      </c>
      <c r="N130" t="s">
        <v>5487</v>
      </c>
      <c r="O130" t="s">
        <v>1806</v>
      </c>
      <c r="P130" t="s">
        <v>1829</v>
      </c>
    </row>
    <row r="131" spans="1:16" x14ac:dyDescent="0.25">
      <c r="A131" t="s">
        <v>494</v>
      </c>
      <c r="B131" t="s">
        <v>1700</v>
      </c>
      <c r="C131" t="s">
        <v>501</v>
      </c>
      <c r="D131" t="s">
        <v>5431</v>
      </c>
      <c r="E131" t="s">
        <v>550</v>
      </c>
      <c r="F131" t="s">
        <v>5488</v>
      </c>
      <c r="G131">
        <v>12070000</v>
      </c>
      <c r="H131">
        <v>9730000</v>
      </c>
      <c r="I131">
        <v>0</v>
      </c>
      <c r="J131">
        <v>9730000</v>
      </c>
      <c r="K131" t="s">
        <v>5489</v>
      </c>
      <c r="L131">
        <v>2340000</v>
      </c>
      <c r="M131" t="s">
        <v>5490</v>
      </c>
      <c r="N131" t="s">
        <v>5491</v>
      </c>
      <c r="O131" t="s">
        <v>1806</v>
      </c>
      <c r="P131" t="s">
        <v>1825</v>
      </c>
    </row>
    <row r="132" spans="1:16" x14ac:dyDescent="0.25">
      <c r="A132" t="s">
        <v>494</v>
      </c>
      <c r="B132" t="s">
        <v>1700</v>
      </c>
      <c r="C132" t="s">
        <v>501</v>
      </c>
      <c r="D132" t="s">
        <v>5431</v>
      </c>
      <c r="E132" t="s">
        <v>549</v>
      </c>
      <c r="F132" t="s">
        <v>5492</v>
      </c>
      <c r="G132">
        <v>40080000</v>
      </c>
      <c r="H132">
        <v>19637078</v>
      </c>
      <c r="I132">
        <v>0</v>
      </c>
      <c r="J132">
        <v>19637078</v>
      </c>
      <c r="K132" t="s">
        <v>5493</v>
      </c>
      <c r="L132">
        <v>20442922</v>
      </c>
      <c r="M132" t="s">
        <v>5494</v>
      </c>
      <c r="N132" t="s">
        <v>5495</v>
      </c>
      <c r="O132" t="s">
        <v>1806</v>
      </c>
      <c r="P132" t="s">
        <v>1821</v>
      </c>
    </row>
    <row r="133" spans="1:16" x14ac:dyDescent="0.25">
      <c r="A133" t="s">
        <v>494</v>
      </c>
      <c r="B133" t="s">
        <v>1700</v>
      </c>
      <c r="C133" t="s">
        <v>501</v>
      </c>
      <c r="D133" t="s">
        <v>5431</v>
      </c>
      <c r="E133" t="s">
        <v>548</v>
      </c>
      <c r="F133" t="s">
        <v>5496</v>
      </c>
      <c r="G133">
        <v>12198000</v>
      </c>
      <c r="H133">
        <v>10849200</v>
      </c>
      <c r="I133">
        <v>0</v>
      </c>
      <c r="J133">
        <v>10849200</v>
      </c>
      <c r="K133" t="s">
        <v>5497</v>
      </c>
      <c r="L133">
        <v>1348800</v>
      </c>
      <c r="M133" t="s">
        <v>5498</v>
      </c>
      <c r="N133" t="s">
        <v>5499</v>
      </c>
      <c r="O133" t="s">
        <v>1806</v>
      </c>
      <c r="P133" t="s">
        <v>1817</v>
      </c>
    </row>
    <row r="134" spans="1:16" x14ac:dyDescent="0.25">
      <c r="A134" t="s">
        <v>494</v>
      </c>
      <c r="B134" t="s">
        <v>1700</v>
      </c>
      <c r="C134" t="s">
        <v>501</v>
      </c>
      <c r="D134" t="s">
        <v>5431</v>
      </c>
      <c r="E134" t="s">
        <v>547</v>
      </c>
      <c r="F134" t="s">
        <v>5500</v>
      </c>
      <c r="G134">
        <v>3000</v>
      </c>
      <c r="H134">
        <v>2658</v>
      </c>
      <c r="I134">
        <v>0</v>
      </c>
      <c r="J134">
        <v>2658</v>
      </c>
      <c r="K134" t="s">
        <v>5501</v>
      </c>
      <c r="L134">
        <v>342</v>
      </c>
      <c r="M134" t="s">
        <v>5502</v>
      </c>
      <c r="N134" t="s">
        <v>5503</v>
      </c>
      <c r="O134" t="s">
        <v>1806</v>
      </c>
      <c r="P134" t="s">
        <v>1813</v>
      </c>
    </row>
    <row r="135" spans="1:16" x14ac:dyDescent="0.25">
      <c r="A135" t="s">
        <v>494</v>
      </c>
      <c r="B135" t="s">
        <v>1700</v>
      </c>
      <c r="C135" t="s">
        <v>501</v>
      </c>
      <c r="D135" t="s">
        <v>5431</v>
      </c>
      <c r="E135" t="s">
        <v>544</v>
      </c>
      <c r="F135" t="s">
        <v>5504</v>
      </c>
      <c r="G135">
        <v>180000000</v>
      </c>
      <c r="H135">
        <v>166605560</v>
      </c>
      <c r="I135">
        <v>0</v>
      </c>
      <c r="J135">
        <v>166605560</v>
      </c>
      <c r="K135" t="s">
        <v>5505</v>
      </c>
      <c r="L135">
        <v>13394440</v>
      </c>
      <c r="M135" t="s">
        <v>5506</v>
      </c>
      <c r="N135" t="s">
        <v>5507</v>
      </c>
      <c r="O135" t="s">
        <v>1806</v>
      </c>
      <c r="P135" t="s">
        <v>1809</v>
      </c>
    </row>
    <row r="136" spans="1:16" x14ac:dyDescent="0.25">
      <c r="A136" t="s">
        <v>494</v>
      </c>
      <c r="B136" t="s">
        <v>3105</v>
      </c>
      <c r="C136" t="s">
        <v>833</v>
      </c>
      <c r="D136" t="s">
        <v>4680</v>
      </c>
      <c r="E136" t="s">
        <v>513</v>
      </c>
      <c r="F136" t="s">
        <v>5013</v>
      </c>
      <c r="G136">
        <v>20635000</v>
      </c>
      <c r="H136">
        <v>20634468</v>
      </c>
      <c r="I136">
        <v>0</v>
      </c>
      <c r="J136">
        <v>20634468</v>
      </c>
      <c r="K136" t="s">
        <v>5014</v>
      </c>
      <c r="L136">
        <v>532</v>
      </c>
      <c r="M136" t="s">
        <v>5015</v>
      </c>
      <c r="N136" t="s">
        <v>5016</v>
      </c>
      <c r="O136" t="s">
        <v>3349</v>
      </c>
      <c r="P136" t="s">
        <v>3361</v>
      </c>
    </row>
    <row r="137" spans="1:16" x14ac:dyDescent="0.25">
      <c r="A137" t="s">
        <v>494</v>
      </c>
      <c r="B137" t="s">
        <v>3105</v>
      </c>
      <c r="C137" t="s">
        <v>833</v>
      </c>
      <c r="D137" t="s">
        <v>4623</v>
      </c>
      <c r="E137" t="s">
        <v>513</v>
      </c>
      <c r="F137" t="s">
        <v>5017</v>
      </c>
      <c r="G137">
        <v>5350000</v>
      </c>
      <c r="H137">
        <v>2850000</v>
      </c>
      <c r="I137">
        <v>0</v>
      </c>
      <c r="J137">
        <v>2850000</v>
      </c>
      <c r="K137" t="s">
        <v>5018</v>
      </c>
      <c r="L137">
        <v>2500000</v>
      </c>
      <c r="M137" t="s">
        <v>5019</v>
      </c>
      <c r="N137" t="s">
        <v>5020</v>
      </c>
      <c r="O137" t="s">
        <v>3331</v>
      </c>
      <c r="P137" t="s">
        <v>3336</v>
      </c>
    </row>
    <row r="138" spans="1:16" x14ac:dyDescent="0.25">
      <c r="A138" t="s">
        <v>494</v>
      </c>
      <c r="B138" t="s">
        <v>3105</v>
      </c>
      <c r="C138" t="s">
        <v>833</v>
      </c>
      <c r="D138" t="s">
        <v>4636</v>
      </c>
      <c r="E138" t="s">
        <v>513</v>
      </c>
      <c r="F138" t="s">
        <v>5021</v>
      </c>
      <c r="G138">
        <v>8702000</v>
      </c>
      <c r="H138">
        <v>8701552</v>
      </c>
      <c r="I138">
        <v>0</v>
      </c>
      <c r="J138">
        <v>8701552</v>
      </c>
      <c r="K138" t="s">
        <v>5022</v>
      </c>
      <c r="L138">
        <v>448</v>
      </c>
      <c r="M138" t="s">
        <v>5023</v>
      </c>
      <c r="N138" t="s">
        <v>5020</v>
      </c>
      <c r="O138" t="s">
        <v>3320</v>
      </c>
      <c r="P138" t="s">
        <v>3326</v>
      </c>
    </row>
    <row r="139" spans="1:16" x14ac:dyDescent="0.25">
      <c r="A139" t="s">
        <v>494</v>
      </c>
      <c r="B139" t="s">
        <v>2785</v>
      </c>
      <c r="C139" t="s">
        <v>3090</v>
      </c>
      <c r="D139" t="s">
        <v>4715</v>
      </c>
      <c r="E139" t="s">
        <v>513</v>
      </c>
      <c r="F139" t="s">
        <v>5024</v>
      </c>
      <c r="G139">
        <v>30169000</v>
      </c>
      <c r="H139">
        <v>20138000</v>
      </c>
      <c r="I139">
        <v>0</v>
      </c>
      <c r="J139">
        <v>20138000</v>
      </c>
      <c r="K139" t="s">
        <v>5025</v>
      </c>
      <c r="L139">
        <v>10031000</v>
      </c>
      <c r="M139" t="s">
        <v>5026</v>
      </c>
      <c r="N139" t="s">
        <v>5027</v>
      </c>
      <c r="O139" t="s">
        <v>3092</v>
      </c>
      <c r="P139" t="s">
        <v>3102</v>
      </c>
    </row>
    <row r="140" spans="1:16" x14ac:dyDescent="0.25">
      <c r="A140" t="s">
        <v>494</v>
      </c>
      <c r="B140" t="s">
        <v>2785</v>
      </c>
      <c r="C140" t="s">
        <v>833</v>
      </c>
      <c r="D140" t="s">
        <v>4623</v>
      </c>
      <c r="E140" t="s">
        <v>533</v>
      </c>
      <c r="F140" t="s">
        <v>5028</v>
      </c>
      <c r="G140">
        <v>2000000</v>
      </c>
      <c r="H140">
        <v>603014</v>
      </c>
      <c r="I140">
        <v>0</v>
      </c>
      <c r="J140">
        <v>603014</v>
      </c>
      <c r="K140" t="s">
        <v>5029</v>
      </c>
      <c r="L140">
        <v>1396986</v>
      </c>
      <c r="M140" t="s">
        <v>5030</v>
      </c>
      <c r="N140" t="s">
        <v>5031</v>
      </c>
      <c r="O140" t="s">
        <v>3067</v>
      </c>
      <c r="P140" t="s">
        <v>3077</v>
      </c>
    </row>
    <row r="141" spans="1:16" x14ac:dyDescent="0.25">
      <c r="A141" t="s">
        <v>494</v>
      </c>
      <c r="B141" t="s">
        <v>2785</v>
      </c>
      <c r="C141" t="s">
        <v>833</v>
      </c>
      <c r="D141" t="s">
        <v>4636</v>
      </c>
      <c r="E141" t="s">
        <v>533</v>
      </c>
      <c r="F141" t="s">
        <v>5032</v>
      </c>
      <c r="G141">
        <v>2000000</v>
      </c>
      <c r="H141">
        <v>499528</v>
      </c>
      <c r="I141">
        <v>0</v>
      </c>
      <c r="J141">
        <v>499528</v>
      </c>
      <c r="K141" t="s">
        <v>5033</v>
      </c>
      <c r="L141">
        <v>1500472</v>
      </c>
      <c r="M141" t="s">
        <v>5034</v>
      </c>
      <c r="N141" t="s">
        <v>5031</v>
      </c>
      <c r="O141" t="s">
        <v>3054</v>
      </c>
      <c r="P141" t="s">
        <v>3061</v>
      </c>
    </row>
    <row r="142" spans="1:16" x14ac:dyDescent="0.25">
      <c r="A142" t="s">
        <v>494</v>
      </c>
      <c r="B142" t="s">
        <v>2469</v>
      </c>
      <c r="C142" t="s">
        <v>833</v>
      </c>
      <c r="D142" t="s">
        <v>4691</v>
      </c>
      <c r="E142" t="s">
        <v>513</v>
      </c>
      <c r="F142" t="s">
        <v>5035</v>
      </c>
      <c r="G142">
        <v>41908000</v>
      </c>
      <c r="H142">
        <v>41907800</v>
      </c>
      <c r="I142">
        <v>0</v>
      </c>
      <c r="J142">
        <v>41907800</v>
      </c>
      <c r="K142" t="s">
        <v>5036</v>
      </c>
      <c r="L142">
        <v>200</v>
      </c>
      <c r="M142" t="s">
        <v>5037</v>
      </c>
      <c r="N142" t="s">
        <v>5038</v>
      </c>
      <c r="O142" t="s">
        <v>2771</v>
      </c>
      <c r="P142" t="s">
        <v>2781</v>
      </c>
    </row>
    <row r="143" spans="1:16" x14ac:dyDescent="0.25">
      <c r="A143" t="s">
        <v>494</v>
      </c>
      <c r="B143" t="s">
        <v>2469</v>
      </c>
      <c r="C143" t="s">
        <v>833</v>
      </c>
      <c r="D143" t="s">
        <v>4623</v>
      </c>
      <c r="E143" t="s">
        <v>513</v>
      </c>
      <c r="F143" t="s">
        <v>5039</v>
      </c>
      <c r="G143">
        <v>45000000</v>
      </c>
      <c r="H143">
        <v>4429000</v>
      </c>
      <c r="I143">
        <v>0</v>
      </c>
      <c r="J143">
        <v>4429000</v>
      </c>
      <c r="K143" t="s">
        <v>5040</v>
      </c>
      <c r="L143">
        <v>40571000</v>
      </c>
      <c r="M143" t="s">
        <v>5041</v>
      </c>
      <c r="N143" t="s">
        <v>5042</v>
      </c>
      <c r="O143" t="s">
        <v>2756</v>
      </c>
      <c r="P143" t="s">
        <v>2768</v>
      </c>
    </row>
    <row r="144" spans="1:16" x14ac:dyDescent="0.25">
      <c r="A144" t="s">
        <v>494</v>
      </c>
      <c r="B144" t="s">
        <v>2469</v>
      </c>
      <c r="C144" t="s">
        <v>833</v>
      </c>
      <c r="D144" t="s">
        <v>4636</v>
      </c>
      <c r="E144" t="s">
        <v>513</v>
      </c>
      <c r="F144" t="s">
        <v>5043</v>
      </c>
      <c r="G144">
        <v>5164000</v>
      </c>
      <c r="H144">
        <v>5163500</v>
      </c>
      <c r="I144">
        <v>0</v>
      </c>
      <c r="J144">
        <v>5163500</v>
      </c>
      <c r="K144" t="s">
        <v>5044</v>
      </c>
      <c r="L144">
        <v>500</v>
      </c>
      <c r="M144" t="s">
        <v>5045</v>
      </c>
      <c r="N144" t="s">
        <v>5046</v>
      </c>
      <c r="O144" t="s">
        <v>2741</v>
      </c>
      <c r="P144" t="s">
        <v>2753</v>
      </c>
    </row>
    <row r="145" spans="1:16" x14ac:dyDescent="0.25">
      <c r="A145" t="s">
        <v>494</v>
      </c>
      <c r="B145" t="s">
        <v>2469</v>
      </c>
      <c r="C145" t="s">
        <v>833</v>
      </c>
      <c r="D145" t="s">
        <v>4636</v>
      </c>
      <c r="E145" t="s">
        <v>533</v>
      </c>
      <c r="F145" t="s">
        <v>5047</v>
      </c>
      <c r="G145">
        <v>1000000</v>
      </c>
      <c r="H145">
        <v>702895</v>
      </c>
      <c r="I145">
        <v>0</v>
      </c>
      <c r="J145">
        <v>702895</v>
      </c>
      <c r="K145" t="s">
        <v>5048</v>
      </c>
      <c r="L145">
        <v>297105</v>
      </c>
      <c r="M145" t="s">
        <v>5049</v>
      </c>
      <c r="N145" t="s">
        <v>5050</v>
      </c>
      <c r="O145" t="s">
        <v>2741</v>
      </c>
      <c r="P145" t="s">
        <v>2747</v>
      </c>
    </row>
    <row r="146" spans="1:16" x14ac:dyDescent="0.25">
      <c r="A146" t="s">
        <v>494</v>
      </c>
      <c r="B146" t="s">
        <v>2272</v>
      </c>
      <c r="C146" t="s">
        <v>833</v>
      </c>
      <c r="D146" t="s">
        <v>4636</v>
      </c>
      <c r="E146" t="s">
        <v>528</v>
      </c>
      <c r="F146" t="s">
        <v>5051</v>
      </c>
      <c r="G146">
        <v>540000000</v>
      </c>
      <c r="H146">
        <v>540000000</v>
      </c>
      <c r="I146">
        <v>0</v>
      </c>
      <c r="J146">
        <v>540000000</v>
      </c>
      <c r="K146" t="s">
        <v>4717</v>
      </c>
      <c r="L146">
        <v>0</v>
      </c>
      <c r="M146" t="s">
        <v>5052</v>
      </c>
      <c r="N146" t="s">
        <v>5053</v>
      </c>
      <c r="O146" t="s">
        <v>2291</v>
      </c>
      <c r="P146" t="s">
        <v>2293</v>
      </c>
    </row>
    <row r="147" spans="1:16" x14ac:dyDescent="0.25">
      <c r="A147" t="s">
        <v>494</v>
      </c>
      <c r="B147" t="s">
        <v>1269</v>
      </c>
      <c r="C147" t="s">
        <v>833</v>
      </c>
      <c r="D147" t="s">
        <v>4762</v>
      </c>
      <c r="E147" t="s">
        <v>513</v>
      </c>
      <c r="F147" t="s">
        <v>5054</v>
      </c>
      <c r="G147">
        <v>25062000</v>
      </c>
      <c r="H147">
        <v>25062000</v>
      </c>
      <c r="I147">
        <v>0</v>
      </c>
      <c r="J147">
        <v>25062000</v>
      </c>
      <c r="K147" t="s">
        <v>4717</v>
      </c>
      <c r="L147">
        <v>0</v>
      </c>
      <c r="M147" t="s">
        <v>5055</v>
      </c>
      <c r="N147" t="s">
        <v>5056</v>
      </c>
      <c r="O147" t="s">
        <v>1536</v>
      </c>
      <c r="P147" t="s">
        <v>1553</v>
      </c>
    </row>
    <row r="148" spans="1:16" x14ac:dyDescent="0.25">
      <c r="A148" t="s">
        <v>494</v>
      </c>
      <c r="B148" t="s">
        <v>1269</v>
      </c>
      <c r="C148" t="s">
        <v>833</v>
      </c>
      <c r="D148" t="s">
        <v>4762</v>
      </c>
      <c r="E148" t="s">
        <v>516</v>
      </c>
      <c r="F148" t="s">
        <v>5057</v>
      </c>
      <c r="G148">
        <v>40000000</v>
      </c>
      <c r="H148">
        <v>14000000</v>
      </c>
      <c r="I148">
        <v>0</v>
      </c>
      <c r="J148">
        <v>14000000</v>
      </c>
      <c r="K148" t="s">
        <v>5058</v>
      </c>
      <c r="L148">
        <v>26000000</v>
      </c>
      <c r="M148" t="s">
        <v>5059</v>
      </c>
      <c r="N148" t="s">
        <v>5060</v>
      </c>
      <c r="O148" t="s">
        <v>1536</v>
      </c>
      <c r="P148" t="s">
        <v>1551</v>
      </c>
    </row>
    <row r="149" spans="1:16" x14ac:dyDescent="0.25">
      <c r="A149" t="s">
        <v>494</v>
      </c>
      <c r="B149" t="s">
        <v>1269</v>
      </c>
      <c r="C149" t="s">
        <v>833</v>
      </c>
      <c r="D149" t="s">
        <v>4762</v>
      </c>
      <c r="E149" t="s">
        <v>533</v>
      </c>
      <c r="F149" t="s">
        <v>5061</v>
      </c>
      <c r="G149">
        <v>3000000</v>
      </c>
      <c r="H149">
        <v>620000</v>
      </c>
      <c r="I149">
        <v>0</v>
      </c>
      <c r="J149">
        <v>620000</v>
      </c>
      <c r="K149" t="s">
        <v>5062</v>
      </c>
      <c r="L149">
        <v>2380000</v>
      </c>
      <c r="M149" t="s">
        <v>5063</v>
      </c>
      <c r="N149" t="s">
        <v>5050</v>
      </c>
      <c r="O149" t="s">
        <v>1536</v>
      </c>
      <c r="P149" t="s">
        <v>1549</v>
      </c>
    </row>
    <row r="150" spans="1:16" x14ac:dyDescent="0.25">
      <c r="A150" t="s">
        <v>494</v>
      </c>
      <c r="B150" t="s">
        <v>1269</v>
      </c>
      <c r="C150" t="s">
        <v>833</v>
      </c>
      <c r="D150" t="s">
        <v>4654</v>
      </c>
      <c r="E150" t="s">
        <v>516</v>
      </c>
      <c r="F150" t="s">
        <v>5064</v>
      </c>
      <c r="G150">
        <v>9000000</v>
      </c>
      <c r="H150">
        <v>4800000</v>
      </c>
      <c r="I150">
        <v>0</v>
      </c>
      <c r="J150">
        <v>4800000</v>
      </c>
      <c r="K150" t="s">
        <v>5065</v>
      </c>
      <c r="L150">
        <v>4200000</v>
      </c>
      <c r="M150" t="s">
        <v>5066</v>
      </c>
      <c r="N150" t="s">
        <v>5060</v>
      </c>
      <c r="O150" t="s">
        <v>1490</v>
      </c>
      <c r="P150" t="s">
        <v>1498</v>
      </c>
    </row>
    <row r="151" spans="1:16" x14ac:dyDescent="0.25">
      <c r="A151" t="s">
        <v>494</v>
      </c>
      <c r="B151" t="s">
        <v>1269</v>
      </c>
      <c r="C151" t="s">
        <v>833</v>
      </c>
      <c r="D151" t="s">
        <v>4654</v>
      </c>
      <c r="E151" t="s">
        <v>533</v>
      </c>
      <c r="F151" t="s">
        <v>5067</v>
      </c>
      <c r="G151">
        <v>1192000</v>
      </c>
      <c r="H151">
        <v>1191418</v>
      </c>
      <c r="I151">
        <v>0</v>
      </c>
      <c r="J151">
        <v>1191418</v>
      </c>
      <c r="K151" t="s">
        <v>5068</v>
      </c>
      <c r="L151">
        <v>582</v>
      </c>
      <c r="M151" t="s">
        <v>5069</v>
      </c>
      <c r="N151" t="s">
        <v>5050</v>
      </c>
      <c r="O151" t="s">
        <v>1490</v>
      </c>
      <c r="P151" t="s">
        <v>1496</v>
      </c>
    </row>
    <row r="152" spans="1:16" x14ac:dyDescent="0.25">
      <c r="A152" t="s">
        <v>494</v>
      </c>
      <c r="B152" t="s">
        <v>1269</v>
      </c>
      <c r="C152" t="s">
        <v>833</v>
      </c>
      <c r="D152" t="s">
        <v>4641</v>
      </c>
      <c r="E152" t="s">
        <v>533</v>
      </c>
      <c r="F152" t="s">
        <v>5070</v>
      </c>
      <c r="G152">
        <v>1193000</v>
      </c>
      <c r="H152">
        <v>1192458</v>
      </c>
      <c r="I152">
        <v>0</v>
      </c>
      <c r="J152">
        <v>1192458</v>
      </c>
      <c r="K152" t="s">
        <v>5071</v>
      </c>
      <c r="L152">
        <v>542</v>
      </c>
      <c r="M152" t="s">
        <v>5072</v>
      </c>
      <c r="N152" t="s">
        <v>5073</v>
      </c>
      <c r="O152" t="s">
        <v>1469</v>
      </c>
      <c r="P152" t="s">
        <v>1474</v>
      </c>
    </row>
    <row r="153" spans="1:16" x14ac:dyDescent="0.25">
      <c r="A153" t="s">
        <v>494</v>
      </c>
      <c r="B153" t="s">
        <v>1269</v>
      </c>
      <c r="C153" t="s">
        <v>833</v>
      </c>
      <c r="D153" t="s">
        <v>4641</v>
      </c>
      <c r="E153" t="s">
        <v>533</v>
      </c>
      <c r="F153" t="s">
        <v>5074</v>
      </c>
      <c r="G153">
        <v>3105000</v>
      </c>
      <c r="H153">
        <v>3105000</v>
      </c>
      <c r="I153">
        <v>0</v>
      </c>
      <c r="J153">
        <v>3105000</v>
      </c>
      <c r="K153" t="s">
        <v>4717</v>
      </c>
      <c r="L153">
        <v>0</v>
      </c>
      <c r="M153" t="s">
        <v>5075</v>
      </c>
      <c r="N153" t="s">
        <v>5076</v>
      </c>
      <c r="O153" t="s">
        <v>1469</v>
      </c>
      <c r="P153" t="s">
        <v>1474</v>
      </c>
    </row>
    <row r="154" spans="1:16" x14ac:dyDescent="0.25">
      <c r="A154" t="s">
        <v>494</v>
      </c>
      <c r="B154" t="s">
        <v>1269</v>
      </c>
      <c r="C154" t="s">
        <v>833</v>
      </c>
      <c r="D154" t="s">
        <v>4672</v>
      </c>
      <c r="E154" t="s">
        <v>513</v>
      </c>
      <c r="F154" t="s">
        <v>5077</v>
      </c>
      <c r="G154">
        <v>21851000</v>
      </c>
      <c r="H154">
        <v>21850700</v>
      </c>
      <c r="I154">
        <v>0</v>
      </c>
      <c r="J154">
        <v>21850700</v>
      </c>
      <c r="K154" t="s">
        <v>5078</v>
      </c>
      <c r="L154">
        <v>300</v>
      </c>
      <c r="M154" t="s">
        <v>5079</v>
      </c>
      <c r="N154" t="s">
        <v>5080</v>
      </c>
      <c r="O154" t="s">
        <v>1448</v>
      </c>
      <c r="P154" t="s">
        <v>1464</v>
      </c>
    </row>
    <row r="155" spans="1:16" x14ac:dyDescent="0.25">
      <c r="A155" t="s">
        <v>494</v>
      </c>
      <c r="B155" t="s">
        <v>1269</v>
      </c>
      <c r="C155" t="s">
        <v>833</v>
      </c>
      <c r="D155" t="s">
        <v>4672</v>
      </c>
      <c r="E155" t="s">
        <v>518</v>
      </c>
      <c r="F155" t="s">
        <v>5081</v>
      </c>
      <c r="G155">
        <v>4246000</v>
      </c>
      <c r="H155">
        <v>4246000</v>
      </c>
      <c r="I155">
        <v>0</v>
      </c>
      <c r="J155">
        <v>4246000</v>
      </c>
      <c r="K155" t="s">
        <v>4717</v>
      </c>
      <c r="L155">
        <v>0</v>
      </c>
      <c r="M155" t="s">
        <v>5082</v>
      </c>
      <c r="N155" t="s">
        <v>5083</v>
      </c>
      <c r="O155" t="s">
        <v>1448</v>
      </c>
      <c r="P155" t="s">
        <v>1462</v>
      </c>
    </row>
    <row r="156" spans="1:16" x14ac:dyDescent="0.25">
      <c r="A156" t="s">
        <v>494</v>
      </c>
      <c r="B156" t="s">
        <v>1269</v>
      </c>
      <c r="C156" t="s">
        <v>833</v>
      </c>
      <c r="D156" t="s">
        <v>4672</v>
      </c>
      <c r="E156" t="s">
        <v>515</v>
      </c>
      <c r="F156" t="s">
        <v>5084</v>
      </c>
      <c r="G156">
        <v>800000</v>
      </c>
      <c r="H156">
        <v>400000</v>
      </c>
      <c r="I156">
        <v>0</v>
      </c>
      <c r="J156">
        <v>400000</v>
      </c>
      <c r="K156" t="s">
        <v>4721</v>
      </c>
      <c r="L156">
        <v>400000</v>
      </c>
      <c r="M156" t="s">
        <v>5085</v>
      </c>
      <c r="N156" t="s">
        <v>5086</v>
      </c>
      <c r="O156" t="s">
        <v>1448</v>
      </c>
      <c r="P156" t="s">
        <v>1455</v>
      </c>
    </row>
    <row r="157" spans="1:16" x14ac:dyDescent="0.25">
      <c r="A157" t="s">
        <v>494</v>
      </c>
      <c r="B157" t="s">
        <v>1269</v>
      </c>
      <c r="C157" t="s">
        <v>833</v>
      </c>
      <c r="D157" t="s">
        <v>4672</v>
      </c>
      <c r="E157" t="s">
        <v>515</v>
      </c>
      <c r="F157" t="s">
        <v>5087</v>
      </c>
      <c r="G157">
        <v>24334000</v>
      </c>
      <c r="H157">
        <v>20564280</v>
      </c>
      <c r="I157">
        <v>0</v>
      </c>
      <c r="J157">
        <v>20564280</v>
      </c>
      <c r="K157" t="s">
        <v>5088</v>
      </c>
      <c r="L157">
        <v>3769720</v>
      </c>
      <c r="M157" t="s">
        <v>5089</v>
      </c>
      <c r="N157" t="s">
        <v>5090</v>
      </c>
      <c r="O157" t="s">
        <v>1448</v>
      </c>
      <c r="P157" t="s">
        <v>1455</v>
      </c>
    </row>
    <row r="158" spans="1:16" x14ac:dyDescent="0.25">
      <c r="A158" t="s">
        <v>494</v>
      </c>
      <c r="B158" t="s">
        <v>1269</v>
      </c>
      <c r="C158" t="s">
        <v>833</v>
      </c>
      <c r="D158" t="s">
        <v>4672</v>
      </c>
      <c r="E158" t="s">
        <v>515</v>
      </c>
      <c r="F158" t="s">
        <v>5091</v>
      </c>
      <c r="G158">
        <v>57400000</v>
      </c>
      <c r="H158">
        <v>46200000</v>
      </c>
      <c r="I158">
        <v>0</v>
      </c>
      <c r="J158">
        <v>46200000</v>
      </c>
      <c r="K158" t="s">
        <v>5092</v>
      </c>
      <c r="L158">
        <v>11200000</v>
      </c>
      <c r="M158" t="s">
        <v>5093</v>
      </c>
      <c r="N158" t="s">
        <v>5094</v>
      </c>
      <c r="O158" t="s">
        <v>1448</v>
      </c>
      <c r="P158" t="s">
        <v>1455</v>
      </c>
    </row>
    <row r="159" spans="1:16" x14ac:dyDescent="0.25">
      <c r="A159" t="s">
        <v>494</v>
      </c>
      <c r="B159" t="s">
        <v>1269</v>
      </c>
      <c r="C159" t="s">
        <v>833</v>
      </c>
      <c r="D159" t="s">
        <v>4680</v>
      </c>
      <c r="E159" t="s">
        <v>513</v>
      </c>
      <c r="F159" t="s">
        <v>5095</v>
      </c>
      <c r="G159">
        <v>47693000</v>
      </c>
      <c r="H159">
        <v>27681738</v>
      </c>
      <c r="I159">
        <v>0</v>
      </c>
      <c r="J159">
        <v>27681738</v>
      </c>
      <c r="K159" t="s">
        <v>5096</v>
      </c>
      <c r="L159">
        <v>20011262</v>
      </c>
      <c r="M159" t="s">
        <v>5097</v>
      </c>
      <c r="N159" t="s">
        <v>151</v>
      </c>
      <c r="O159" t="s">
        <v>1437</v>
      </c>
      <c r="P159" t="s">
        <v>1443</v>
      </c>
    </row>
    <row r="160" spans="1:16" x14ac:dyDescent="0.25">
      <c r="A160" t="s">
        <v>494</v>
      </c>
      <c r="B160" t="s">
        <v>1269</v>
      </c>
      <c r="C160" t="s">
        <v>833</v>
      </c>
      <c r="D160" t="s">
        <v>4691</v>
      </c>
      <c r="E160" t="s">
        <v>507</v>
      </c>
      <c r="F160" t="s">
        <v>5098</v>
      </c>
      <c r="G160">
        <v>2250000</v>
      </c>
      <c r="H160">
        <v>600000</v>
      </c>
      <c r="I160">
        <v>0</v>
      </c>
      <c r="J160">
        <v>600000</v>
      </c>
      <c r="K160" t="s">
        <v>5099</v>
      </c>
      <c r="L160">
        <v>1650000</v>
      </c>
      <c r="M160" t="s">
        <v>5100</v>
      </c>
      <c r="N160" t="s">
        <v>5101</v>
      </c>
      <c r="O160" t="s">
        <v>1417</v>
      </c>
      <c r="P160" t="s">
        <v>1434</v>
      </c>
    </row>
    <row r="161" spans="1:16" x14ac:dyDescent="0.25">
      <c r="A161" t="s">
        <v>494</v>
      </c>
      <c r="B161" t="s">
        <v>1269</v>
      </c>
      <c r="C161" t="s">
        <v>833</v>
      </c>
      <c r="D161" t="s">
        <v>4691</v>
      </c>
      <c r="E161" t="s">
        <v>513</v>
      </c>
      <c r="F161" t="s">
        <v>5102</v>
      </c>
      <c r="G161">
        <v>18000000</v>
      </c>
      <c r="H161">
        <v>8310000</v>
      </c>
      <c r="I161">
        <v>0</v>
      </c>
      <c r="J161">
        <v>8310000</v>
      </c>
      <c r="K161" t="s">
        <v>5103</v>
      </c>
      <c r="L161">
        <v>9690000</v>
      </c>
      <c r="M161" t="s">
        <v>5104</v>
      </c>
      <c r="N161" t="s">
        <v>5105</v>
      </c>
      <c r="O161" t="s">
        <v>1417</v>
      </c>
      <c r="P161" t="s">
        <v>1431</v>
      </c>
    </row>
    <row r="162" spans="1:16" x14ac:dyDescent="0.25">
      <c r="A162" t="s">
        <v>494</v>
      </c>
      <c r="B162" t="s">
        <v>1269</v>
      </c>
      <c r="C162" t="s">
        <v>833</v>
      </c>
      <c r="D162" t="s">
        <v>4623</v>
      </c>
      <c r="E162" t="s">
        <v>513</v>
      </c>
      <c r="F162" t="s">
        <v>5106</v>
      </c>
      <c r="G162">
        <v>180375000</v>
      </c>
      <c r="H162">
        <v>113862760</v>
      </c>
      <c r="I162">
        <v>0</v>
      </c>
      <c r="J162">
        <v>113862760</v>
      </c>
      <c r="K162" t="s">
        <v>5107</v>
      </c>
      <c r="L162">
        <v>66512240</v>
      </c>
      <c r="M162" t="s">
        <v>5108</v>
      </c>
      <c r="N162" t="s">
        <v>5109</v>
      </c>
      <c r="O162" t="s">
        <v>1403</v>
      </c>
      <c r="P162" t="s">
        <v>1412</v>
      </c>
    </row>
    <row r="163" spans="1:16" x14ac:dyDescent="0.25">
      <c r="A163" t="s">
        <v>494</v>
      </c>
      <c r="B163" t="s">
        <v>1269</v>
      </c>
      <c r="C163" t="s">
        <v>833</v>
      </c>
      <c r="D163" t="s">
        <v>4623</v>
      </c>
      <c r="E163" t="s">
        <v>513</v>
      </c>
      <c r="F163" t="s">
        <v>5110</v>
      </c>
      <c r="G163">
        <v>193259000</v>
      </c>
      <c r="H163">
        <v>46717701</v>
      </c>
      <c r="I163">
        <v>0</v>
      </c>
      <c r="J163">
        <v>46717701</v>
      </c>
      <c r="K163" t="s">
        <v>5111</v>
      </c>
      <c r="L163">
        <v>146541299</v>
      </c>
      <c r="M163" t="s">
        <v>5112</v>
      </c>
      <c r="N163" t="s">
        <v>5113</v>
      </c>
      <c r="O163" t="s">
        <v>1403</v>
      </c>
      <c r="P163" t="s">
        <v>1412</v>
      </c>
    </row>
    <row r="164" spans="1:16" x14ac:dyDescent="0.25">
      <c r="A164" t="s">
        <v>494</v>
      </c>
      <c r="B164" t="s">
        <v>1269</v>
      </c>
      <c r="C164" t="s">
        <v>833</v>
      </c>
      <c r="D164" t="s">
        <v>4623</v>
      </c>
      <c r="E164" t="s">
        <v>518</v>
      </c>
      <c r="F164" t="s">
        <v>5114</v>
      </c>
      <c r="G164">
        <v>2031000</v>
      </c>
      <c r="H164">
        <v>2031000</v>
      </c>
      <c r="I164">
        <v>0</v>
      </c>
      <c r="J164">
        <v>2031000</v>
      </c>
      <c r="K164" t="s">
        <v>4717</v>
      </c>
      <c r="L164">
        <v>0</v>
      </c>
      <c r="M164" t="s">
        <v>5115</v>
      </c>
      <c r="N164" t="s">
        <v>5083</v>
      </c>
      <c r="O164" t="s">
        <v>1403</v>
      </c>
      <c r="P164" t="s">
        <v>1409</v>
      </c>
    </row>
    <row r="165" spans="1:16" x14ac:dyDescent="0.25">
      <c r="A165" t="s">
        <v>494</v>
      </c>
      <c r="B165" t="s">
        <v>1269</v>
      </c>
      <c r="C165" t="s">
        <v>833</v>
      </c>
      <c r="D165" t="s">
        <v>4636</v>
      </c>
      <c r="E165" t="s">
        <v>507</v>
      </c>
      <c r="F165" t="s">
        <v>5116</v>
      </c>
      <c r="G165">
        <v>750000</v>
      </c>
      <c r="H165">
        <v>750000</v>
      </c>
      <c r="I165">
        <v>0</v>
      </c>
      <c r="J165">
        <v>750000</v>
      </c>
      <c r="K165" t="s">
        <v>4717</v>
      </c>
      <c r="L165">
        <v>0</v>
      </c>
      <c r="M165" t="s">
        <v>5117</v>
      </c>
      <c r="N165" t="s">
        <v>5118</v>
      </c>
      <c r="O165" t="s">
        <v>1390</v>
      </c>
      <c r="P165" t="s">
        <v>1400</v>
      </c>
    </row>
    <row r="166" spans="1:16" x14ac:dyDescent="0.25">
      <c r="A166" t="s">
        <v>494</v>
      </c>
      <c r="B166" t="s">
        <v>1269</v>
      </c>
      <c r="C166" t="s">
        <v>833</v>
      </c>
      <c r="D166" t="s">
        <v>4636</v>
      </c>
      <c r="E166" t="s">
        <v>513</v>
      </c>
      <c r="F166" t="s">
        <v>5119</v>
      </c>
      <c r="G166">
        <v>12989000</v>
      </c>
      <c r="H166">
        <v>11338500</v>
      </c>
      <c r="I166">
        <v>0</v>
      </c>
      <c r="J166">
        <v>11338500</v>
      </c>
      <c r="K166" t="s">
        <v>5120</v>
      </c>
      <c r="L166">
        <v>1650500</v>
      </c>
      <c r="M166" t="s">
        <v>5121</v>
      </c>
      <c r="N166" t="s">
        <v>148</v>
      </c>
      <c r="O166" t="s">
        <v>1390</v>
      </c>
      <c r="P166" t="s">
        <v>1397</v>
      </c>
    </row>
    <row r="167" spans="1:16" x14ac:dyDescent="0.25">
      <c r="A167" t="s">
        <v>494</v>
      </c>
      <c r="B167" t="s">
        <v>1036</v>
      </c>
      <c r="C167" t="s">
        <v>1185</v>
      </c>
      <c r="D167" t="s">
        <v>4848</v>
      </c>
      <c r="E167" t="s">
        <v>513</v>
      </c>
      <c r="F167" t="s">
        <v>5122</v>
      </c>
      <c r="G167">
        <v>90946000</v>
      </c>
      <c r="H167">
        <v>18370600</v>
      </c>
      <c r="I167">
        <v>0</v>
      </c>
      <c r="J167">
        <v>18370600</v>
      </c>
      <c r="K167" t="s">
        <v>5123</v>
      </c>
      <c r="L167">
        <v>72575400</v>
      </c>
      <c r="M167" t="s">
        <v>5124</v>
      </c>
      <c r="N167" t="s">
        <v>5125</v>
      </c>
      <c r="O167" t="s">
        <v>1187</v>
      </c>
      <c r="P167" t="s">
        <v>1200</v>
      </c>
    </row>
    <row r="168" spans="1:16" x14ac:dyDescent="0.25">
      <c r="A168" t="s">
        <v>494</v>
      </c>
      <c r="B168" t="s">
        <v>823</v>
      </c>
      <c r="C168" t="s">
        <v>833</v>
      </c>
      <c r="D168" t="s">
        <v>4636</v>
      </c>
      <c r="E168" t="s">
        <v>528</v>
      </c>
      <c r="F168" t="s">
        <v>5126</v>
      </c>
      <c r="G168">
        <v>114200000</v>
      </c>
      <c r="H168">
        <v>114200000</v>
      </c>
      <c r="I168">
        <v>0</v>
      </c>
      <c r="J168">
        <v>114200000</v>
      </c>
      <c r="K168" t="s">
        <v>4717</v>
      </c>
      <c r="L168">
        <v>0</v>
      </c>
      <c r="M168" t="s">
        <v>5127</v>
      </c>
      <c r="N168" t="s">
        <v>5128</v>
      </c>
      <c r="O168" t="s">
        <v>835</v>
      </c>
      <c r="P168" t="s">
        <v>837</v>
      </c>
    </row>
    <row r="169" spans="1:16" x14ac:dyDescent="0.25">
      <c r="A169" t="s">
        <v>495</v>
      </c>
      <c r="B169" t="s">
        <v>3476</v>
      </c>
      <c r="C169" t="s">
        <v>3090</v>
      </c>
      <c r="D169" t="s">
        <v>4715</v>
      </c>
      <c r="E169" t="s">
        <v>537</v>
      </c>
      <c r="F169" t="s">
        <v>5129</v>
      </c>
      <c r="G169">
        <v>18000000</v>
      </c>
      <c r="H169">
        <v>2875000</v>
      </c>
      <c r="I169">
        <v>0</v>
      </c>
      <c r="J169">
        <v>2875000</v>
      </c>
      <c r="K169" t="s">
        <v>5130</v>
      </c>
      <c r="L169">
        <v>15125000</v>
      </c>
      <c r="M169" t="s">
        <v>5131</v>
      </c>
      <c r="N169" t="s">
        <v>4627</v>
      </c>
      <c r="O169" t="s">
        <v>3539</v>
      </c>
      <c r="P169" t="s">
        <v>3543</v>
      </c>
    </row>
    <row r="170" spans="1:16" x14ac:dyDescent="0.25">
      <c r="A170" t="s">
        <v>495</v>
      </c>
      <c r="B170" t="s">
        <v>3476</v>
      </c>
      <c r="C170" t="s">
        <v>3090</v>
      </c>
      <c r="D170" t="s">
        <v>4715</v>
      </c>
      <c r="E170" t="s">
        <v>537</v>
      </c>
      <c r="F170" t="s">
        <v>5132</v>
      </c>
      <c r="G170">
        <v>12000000</v>
      </c>
      <c r="H170">
        <v>1970000</v>
      </c>
      <c r="I170">
        <v>0</v>
      </c>
      <c r="J170">
        <v>1970000</v>
      </c>
      <c r="K170" t="s">
        <v>5133</v>
      </c>
      <c r="L170">
        <v>10030000</v>
      </c>
      <c r="M170" t="s">
        <v>5134</v>
      </c>
      <c r="N170" t="s">
        <v>4679</v>
      </c>
      <c r="O170" t="s">
        <v>3539</v>
      </c>
      <c r="P170" t="s">
        <v>3543</v>
      </c>
    </row>
    <row r="171" spans="1:16" x14ac:dyDescent="0.25">
      <c r="A171" t="s">
        <v>495</v>
      </c>
      <c r="B171" t="s">
        <v>3476</v>
      </c>
      <c r="C171" t="s">
        <v>3090</v>
      </c>
      <c r="D171" t="s">
        <v>4715</v>
      </c>
      <c r="E171" t="s">
        <v>503</v>
      </c>
      <c r="F171" t="s">
        <v>5135</v>
      </c>
      <c r="G171">
        <v>18000000</v>
      </c>
      <c r="H171">
        <v>2961000</v>
      </c>
      <c r="I171">
        <v>0</v>
      </c>
      <c r="J171">
        <v>2961000</v>
      </c>
      <c r="K171" t="s">
        <v>5136</v>
      </c>
      <c r="L171">
        <v>15039000</v>
      </c>
      <c r="M171" t="s">
        <v>5137</v>
      </c>
      <c r="N171" t="s">
        <v>4635</v>
      </c>
      <c r="O171" t="s">
        <v>3539</v>
      </c>
      <c r="P171" t="s">
        <v>3540</v>
      </c>
    </row>
    <row r="172" spans="1:16" x14ac:dyDescent="0.25">
      <c r="A172" t="s">
        <v>495</v>
      </c>
      <c r="B172" t="s">
        <v>3476</v>
      </c>
      <c r="C172" t="s">
        <v>833</v>
      </c>
      <c r="D172" t="s">
        <v>4623</v>
      </c>
      <c r="E172" t="s">
        <v>513</v>
      </c>
      <c r="F172" t="s">
        <v>5138</v>
      </c>
      <c r="G172">
        <v>156000000</v>
      </c>
      <c r="H172">
        <v>42723206</v>
      </c>
      <c r="I172">
        <v>0</v>
      </c>
      <c r="J172">
        <v>42723206</v>
      </c>
      <c r="K172" t="s">
        <v>5139</v>
      </c>
      <c r="L172">
        <v>113276794</v>
      </c>
      <c r="M172" t="s">
        <v>5140</v>
      </c>
      <c r="N172" t="s">
        <v>4640</v>
      </c>
      <c r="O172" t="s">
        <v>3505</v>
      </c>
      <c r="P172" t="s">
        <v>3519</v>
      </c>
    </row>
    <row r="173" spans="1:16" x14ac:dyDescent="0.25">
      <c r="A173" t="s">
        <v>495</v>
      </c>
      <c r="B173" t="s">
        <v>3476</v>
      </c>
      <c r="C173" t="s">
        <v>833</v>
      </c>
      <c r="D173" t="s">
        <v>4623</v>
      </c>
      <c r="E173" t="s">
        <v>537</v>
      </c>
      <c r="F173" t="s">
        <v>5141</v>
      </c>
      <c r="G173">
        <v>12000000</v>
      </c>
      <c r="H173">
        <v>1910000</v>
      </c>
      <c r="I173">
        <v>0</v>
      </c>
      <c r="J173">
        <v>1910000</v>
      </c>
      <c r="K173" t="s">
        <v>5142</v>
      </c>
      <c r="L173">
        <v>10090000</v>
      </c>
      <c r="M173" t="s">
        <v>5143</v>
      </c>
      <c r="N173" t="s">
        <v>4679</v>
      </c>
      <c r="O173" t="s">
        <v>3505</v>
      </c>
      <c r="P173" t="s">
        <v>3514</v>
      </c>
    </row>
    <row r="174" spans="1:16" x14ac:dyDescent="0.25">
      <c r="A174" t="s">
        <v>495</v>
      </c>
      <c r="B174" t="s">
        <v>3476</v>
      </c>
      <c r="C174" t="s">
        <v>833</v>
      </c>
      <c r="D174" t="s">
        <v>4636</v>
      </c>
      <c r="E174" t="s">
        <v>537</v>
      </c>
      <c r="F174" t="s">
        <v>5144</v>
      </c>
      <c r="G174">
        <v>15000000</v>
      </c>
      <c r="H174">
        <v>2920000</v>
      </c>
      <c r="I174">
        <v>0</v>
      </c>
      <c r="J174">
        <v>2920000</v>
      </c>
      <c r="K174" t="s">
        <v>5145</v>
      </c>
      <c r="L174">
        <v>12080000</v>
      </c>
      <c r="M174" t="s">
        <v>5146</v>
      </c>
      <c r="N174" t="s">
        <v>4627</v>
      </c>
      <c r="O174" t="s">
        <v>3479</v>
      </c>
      <c r="P174" t="s">
        <v>3492</v>
      </c>
    </row>
    <row r="175" spans="1:16" x14ac:dyDescent="0.25">
      <c r="A175" t="s">
        <v>495</v>
      </c>
      <c r="B175" t="s">
        <v>3476</v>
      </c>
      <c r="C175" t="s">
        <v>833</v>
      </c>
      <c r="D175" t="s">
        <v>4636</v>
      </c>
      <c r="E175" t="s">
        <v>537</v>
      </c>
      <c r="F175" t="s">
        <v>5147</v>
      </c>
      <c r="G175">
        <v>10000000</v>
      </c>
      <c r="H175">
        <v>1935000</v>
      </c>
      <c r="I175">
        <v>0</v>
      </c>
      <c r="J175">
        <v>1935000</v>
      </c>
      <c r="K175" t="s">
        <v>5148</v>
      </c>
      <c r="L175">
        <v>8065000</v>
      </c>
      <c r="M175" t="s">
        <v>5149</v>
      </c>
      <c r="N175" t="s">
        <v>4679</v>
      </c>
      <c r="O175" t="s">
        <v>3479</v>
      </c>
      <c r="P175" t="s">
        <v>3492</v>
      </c>
    </row>
    <row r="176" spans="1:16" x14ac:dyDescent="0.25">
      <c r="A176" t="s">
        <v>419</v>
      </c>
      <c r="B176" t="s">
        <v>616</v>
      </c>
      <c r="C176" t="s">
        <v>526</v>
      </c>
      <c r="D176" t="s">
        <v>5150</v>
      </c>
      <c r="E176" t="s">
        <v>513</v>
      </c>
      <c r="F176" t="s">
        <v>5151</v>
      </c>
      <c r="G176">
        <v>97416000</v>
      </c>
      <c r="H176">
        <v>57918610</v>
      </c>
      <c r="I176">
        <v>0</v>
      </c>
      <c r="J176">
        <v>57918610</v>
      </c>
      <c r="K176" t="s">
        <v>5152</v>
      </c>
      <c r="L176">
        <v>39497390</v>
      </c>
      <c r="M176" t="s">
        <v>5153</v>
      </c>
      <c r="N176" t="s">
        <v>5154</v>
      </c>
      <c r="O176" t="s">
        <v>485</v>
      </c>
      <c r="P176" t="s">
        <v>816</v>
      </c>
    </row>
    <row r="177" spans="1:16" x14ac:dyDescent="0.25">
      <c r="A177" t="s">
        <v>419</v>
      </c>
      <c r="B177" t="s">
        <v>616</v>
      </c>
      <c r="C177" t="s">
        <v>526</v>
      </c>
      <c r="D177" t="s">
        <v>5150</v>
      </c>
      <c r="E177" t="s">
        <v>516</v>
      </c>
      <c r="F177" t="s">
        <v>5155</v>
      </c>
      <c r="G177">
        <v>10000000</v>
      </c>
      <c r="H177">
        <v>7200000</v>
      </c>
      <c r="I177">
        <v>0</v>
      </c>
      <c r="J177">
        <v>7200000</v>
      </c>
      <c r="K177" t="s">
        <v>5156</v>
      </c>
      <c r="L177">
        <v>2800000</v>
      </c>
      <c r="M177" t="s">
        <v>5157</v>
      </c>
      <c r="N177" t="s">
        <v>5158</v>
      </c>
      <c r="O177" t="s">
        <v>485</v>
      </c>
      <c r="P177" t="s">
        <v>492</v>
      </c>
    </row>
    <row r="178" spans="1:16" x14ac:dyDescent="0.25">
      <c r="A178" t="s">
        <v>419</v>
      </c>
      <c r="B178" t="s">
        <v>616</v>
      </c>
      <c r="C178" t="s">
        <v>526</v>
      </c>
      <c r="D178" t="s">
        <v>5150</v>
      </c>
      <c r="E178" t="s">
        <v>503</v>
      </c>
      <c r="F178" t="s">
        <v>5159</v>
      </c>
      <c r="G178">
        <v>3000000</v>
      </c>
      <c r="H178">
        <v>2995000</v>
      </c>
      <c r="I178">
        <v>0</v>
      </c>
      <c r="J178">
        <v>2995000</v>
      </c>
      <c r="K178" t="s">
        <v>5160</v>
      </c>
      <c r="L178">
        <v>5000</v>
      </c>
      <c r="M178" t="s">
        <v>5161</v>
      </c>
      <c r="N178" t="s">
        <v>4679</v>
      </c>
      <c r="O178" t="s">
        <v>485</v>
      </c>
      <c r="P178" t="s">
        <v>486</v>
      </c>
    </row>
    <row r="179" spans="1:16" x14ac:dyDescent="0.25">
      <c r="A179" t="s">
        <v>419</v>
      </c>
      <c r="B179" t="s">
        <v>616</v>
      </c>
      <c r="C179" t="s">
        <v>526</v>
      </c>
      <c r="D179" t="s">
        <v>5150</v>
      </c>
      <c r="E179" t="s">
        <v>503</v>
      </c>
      <c r="F179" t="s">
        <v>5162</v>
      </c>
      <c r="G179">
        <v>2000000</v>
      </c>
      <c r="H179">
        <v>1996500</v>
      </c>
      <c r="I179">
        <v>0</v>
      </c>
      <c r="J179">
        <v>1996500</v>
      </c>
      <c r="K179" t="s">
        <v>5163</v>
      </c>
      <c r="L179">
        <v>3500</v>
      </c>
      <c r="M179" t="s">
        <v>5164</v>
      </c>
      <c r="N179" t="s">
        <v>4627</v>
      </c>
      <c r="O179" t="s">
        <v>485</v>
      </c>
      <c r="P179" t="s">
        <v>486</v>
      </c>
    </row>
    <row r="180" spans="1:16" x14ac:dyDescent="0.25">
      <c r="A180" t="s">
        <v>419</v>
      </c>
      <c r="B180" t="s">
        <v>616</v>
      </c>
      <c r="C180" t="s">
        <v>526</v>
      </c>
      <c r="D180" t="s">
        <v>5150</v>
      </c>
      <c r="E180" t="s">
        <v>503</v>
      </c>
      <c r="F180" t="s">
        <v>5165</v>
      </c>
      <c r="G180">
        <v>5900000</v>
      </c>
      <c r="H180">
        <v>1500000</v>
      </c>
      <c r="I180">
        <v>0</v>
      </c>
      <c r="J180">
        <v>1500000</v>
      </c>
      <c r="K180" t="s">
        <v>5166</v>
      </c>
      <c r="L180">
        <v>4400000</v>
      </c>
      <c r="M180" t="s">
        <v>5167</v>
      </c>
      <c r="N180" t="s">
        <v>5168</v>
      </c>
      <c r="O180" t="s">
        <v>485</v>
      </c>
      <c r="P180" t="s">
        <v>486</v>
      </c>
    </row>
    <row r="181" spans="1:16" x14ac:dyDescent="0.25">
      <c r="A181" t="s">
        <v>419</v>
      </c>
      <c r="B181" t="s">
        <v>616</v>
      </c>
      <c r="C181" t="s">
        <v>526</v>
      </c>
      <c r="D181" t="s">
        <v>5150</v>
      </c>
      <c r="E181" t="s">
        <v>503</v>
      </c>
      <c r="F181" t="s">
        <v>5169</v>
      </c>
      <c r="G181">
        <v>3000000</v>
      </c>
      <c r="H181">
        <v>2999250</v>
      </c>
      <c r="I181">
        <v>0</v>
      </c>
      <c r="J181">
        <v>2999250</v>
      </c>
      <c r="K181" t="s">
        <v>5170</v>
      </c>
      <c r="L181">
        <v>750</v>
      </c>
      <c r="M181" t="s">
        <v>5171</v>
      </c>
      <c r="N181" t="s">
        <v>4714</v>
      </c>
      <c r="O181" t="s">
        <v>485</v>
      </c>
      <c r="P181" t="s">
        <v>486</v>
      </c>
    </row>
    <row r="182" spans="1:16" x14ac:dyDescent="0.25">
      <c r="A182" t="s">
        <v>419</v>
      </c>
      <c r="B182" t="s">
        <v>616</v>
      </c>
      <c r="C182" t="s">
        <v>523</v>
      </c>
      <c r="D182" t="s">
        <v>4663</v>
      </c>
      <c r="E182" t="s">
        <v>518</v>
      </c>
      <c r="F182" t="s">
        <v>5172</v>
      </c>
      <c r="G182">
        <v>2000000</v>
      </c>
      <c r="H182">
        <v>365000</v>
      </c>
      <c r="I182">
        <v>0</v>
      </c>
      <c r="J182">
        <v>365000</v>
      </c>
      <c r="K182" t="s">
        <v>5173</v>
      </c>
      <c r="L182">
        <v>1635000</v>
      </c>
      <c r="M182" t="s">
        <v>5174</v>
      </c>
      <c r="N182" t="s">
        <v>5175</v>
      </c>
      <c r="O182" t="s">
        <v>469</v>
      </c>
      <c r="P182" t="s">
        <v>480</v>
      </c>
    </row>
    <row r="183" spans="1:16" x14ac:dyDescent="0.25">
      <c r="A183" t="s">
        <v>419</v>
      </c>
      <c r="B183" t="s">
        <v>616</v>
      </c>
      <c r="C183" t="s">
        <v>523</v>
      </c>
      <c r="D183" t="s">
        <v>4663</v>
      </c>
      <c r="E183" t="s">
        <v>516</v>
      </c>
      <c r="F183" t="s">
        <v>5176</v>
      </c>
      <c r="G183">
        <v>16200000</v>
      </c>
      <c r="H183">
        <v>6300000</v>
      </c>
      <c r="I183">
        <v>0</v>
      </c>
      <c r="J183">
        <v>6300000</v>
      </c>
      <c r="K183" t="s">
        <v>5177</v>
      </c>
      <c r="L183">
        <v>9900000</v>
      </c>
      <c r="M183" t="s">
        <v>5178</v>
      </c>
      <c r="N183" t="s">
        <v>5158</v>
      </c>
      <c r="O183" t="s">
        <v>469</v>
      </c>
      <c r="P183" t="s">
        <v>478</v>
      </c>
    </row>
    <row r="184" spans="1:16" x14ac:dyDescent="0.25">
      <c r="A184" t="s">
        <v>419</v>
      </c>
      <c r="B184" t="s">
        <v>616</v>
      </c>
      <c r="C184" t="s">
        <v>523</v>
      </c>
      <c r="D184" t="s">
        <v>4663</v>
      </c>
      <c r="E184" t="s">
        <v>537</v>
      </c>
      <c r="F184" t="s">
        <v>5179</v>
      </c>
      <c r="G184">
        <v>9000000</v>
      </c>
      <c r="H184">
        <v>1470000</v>
      </c>
      <c r="I184">
        <v>0</v>
      </c>
      <c r="J184">
        <v>1470000</v>
      </c>
      <c r="K184" t="s">
        <v>5180</v>
      </c>
      <c r="L184">
        <v>7530000</v>
      </c>
      <c r="M184" t="s">
        <v>5181</v>
      </c>
      <c r="N184" t="s">
        <v>4679</v>
      </c>
      <c r="O184" t="s">
        <v>469</v>
      </c>
      <c r="P184" t="s">
        <v>475</v>
      </c>
    </row>
    <row r="185" spans="1:16" x14ac:dyDescent="0.25">
      <c r="A185" t="s">
        <v>419</v>
      </c>
      <c r="B185" t="s">
        <v>616</v>
      </c>
      <c r="C185" t="s">
        <v>523</v>
      </c>
      <c r="D185" t="s">
        <v>4663</v>
      </c>
      <c r="E185" t="s">
        <v>537</v>
      </c>
      <c r="F185" t="s">
        <v>5182</v>
      </c>
      <c r="G185">
        <v>6000000</v>
      </c>
      <c r="H185">
        <v>983500</v>
      </c>
      <c r="I185">
        <v>0</v>
      </c>
      <c r="J185">
        <v>983500</v>
      </c>
      <c r="K185" t="s">
        <v>5183</v>
      </c>
      <c r="L185">
        <v>5016500</v>
      </c>
      <c r="M185" t="s">
        <v>5184</v>
      </c>
      <c r="N185" t="s">
        <v>4627</v>
      </c>
      <c r="O185" t="s">
        <v>469</v>
      </c>
      <c r="P185" t="s">
        <v>475</v>
      </c>
    </row>
    <row r="186" spans="1:16" x14ac:dyDescent="0.25">
      <c r="A186" t="s">
        <v>419</v>
      </c>
      <c r="B186" t="s">
        <v>616</v>
      </c>
      <c r="C186" t="s">
        <v>523</v>
      </c>
      <c r="D186" t="s">
        <v>4663</v>
      </c>
      <c r="E186" t="s">
        <v>533</v>
      </c>
      <c r="F186" t="s">
        <v>5185</v>
      </c>
      <c r="G186">
        <v>4000000</v>
      </c>
      <c r="H186">
        <v>3960000</v>
      </c>
      <c r="I186">
        <v>0</v>
      </c>
      <c r="J186">
        <v>3960000</v>
      </c>
      <c r="K186" t="s">
        <v>5186</v>
      </c>
      <c r="L186">
        <v>40000</v>
      </c>
      <c r="M186" t="s">
        <v>5187</v>
      </c>
      <c r="N186" t="s">
        <v>5188</v>
      </c>
      <c r="O186" t="s">
        <v>469</v>
      </c>
      <c r="P186" t="s">
        <v>473</v>
      </c>
    </row>
    <row r="187" spans="1:16" x14ac:dyDescent="0.25">
      <c r="A187" t="s">
        <v>419</v>
      </c>
      <c r="B187" t="s">
        <v>616</v>
      </c>
      <c r="C187" t="s">
        <v>523</v>
      </c>
      <c r="D187" t="s">
        <v>4663</v>
      </c>
      <c r="E187" t="s">
        <v>533</v>
      </c>
      <c r="F187" t="s">
        <v>5189</v>
      </c>
      <c r="G187">
        <v>1000000</v>
      </c>
      <c r="H187">
        <v>302850</v>
      </c>
      <c r="I187">
        <v>0</v>
      </c>
      <c r="J187">
        <v>302850</v>
      </c>
      <c r="K187" t="s">
        <v>5190</v>
      </c>
      <c r="L187">
        <v>697150</v>
      </c>
      <c r="M187" t="s">
        <v>5191</v>
      </c>
      <c r="N187" t="s">
        <v>5050</v>
      </c>
      <c r="O187" t="s">
        <v>469</v>
      </c>
      <c r="P187" t="s">
        <v>473</v>
      </c>
    </row>
    <row r="188" spans="1:16" x14ac:dyDescent="0.25">
      <c r="A188" t="s">
        <v>419</v>
      </c>
      <c r="B188" t="s">
        <v>616</v>
      </c>
      <c r="C188" t="s">
        <v>523</v>
      </c>
      <c r="D188" t="s">
        <v>4663</v>
      </c>
      <c r="E188" t="s">
        <v>503</v>
      </c>
      <c r="F188" t="s">
        <v>5192</v>
      </c>
      <c r="G188">
        <v>6000000</v>
      </c>
      <c r="H188">
        <v>1468550</v>
      </c>
      <c r="I188">
        <v>0</v>
      </c>
      <c r="J188">
        <v>1468550</v>
      </c>
      <c r="K188" t="s">
        <v>5193</v>
      </c>
      <c r="L188">
        <v>4531450</v>
      </c>
      <c r="M188" t="s">
        <v>5194</v>
      </c>
      <c r="N188" t="s">
        <v>4714</v>
      </c>
      <c r="O188" t="s">
        <v>469</v>
      </c>
      <c r="P188" t="s">
        <v>470</v>
      </c>
    </row>
    <row r="189" spans="1:16" x14ac:dyDescent="0.25">
      <c r="A189" t="s">
        <v>419</v>
      </c>
      <c r="B189" t="s">
        <v>616</v>
      </c>
      <c r="C189" t="s">
        <v>523</v>
      </c>
      <c r="D189" t="s">
        <v>4663</v>
      </c>
      <c r="E189" t="s">
        <v>503</v>
      </c>
      <c r="F189" t="s">
        <v>5195</v>
      </c>
      <c r="G189">
        <v>15456000</v>
      </c>
      <c r="H189">
        <v>8970000</v>
      </c>
      <c r="I189">
        <v>0</v>
      </c>
      <c r="J189">
        <v>8970000</v>
      </c>
      <c r="K189" t="s">
        <v>5196</v>
      </c>
      <c r="L189">
        <v>6486000</v>
      </c>
      <c r="M189" t="s">
        <v>5197</v>
      </c>
      <c r="N189" t="s">
        <v>4852</v>
      </c>
      <c r="O189" t="s">
        <v>469</v>
      </c>
      <c r="P189" t="s">
        <v>470</v>
      </c>
    </row>
    <row r="190" spans="1:16" x14ac:dyDescent="0.25">
      <c r="A190" t="s">
        <v>419</v>
      </c>
      <c r="B190" t="s">
        <v>616</v>
      </c>
      <c r="C190" t="s">
        <v>523</v>
      </c>
      <c r="D190" t="s">
        <v>5198</v>
      </c>
      <c r="E190" t="s">
        <v>513</v>
      </c>
      <c r="F190" t="s">
        <v>5199</v>
      </c>
      <c r="G190">
        <v>253324000</v>
      </c>
      <c r="H190">
        <v>33228650</v>
      </c>
      <c r="I190">
        <v>0</v>
      </c>
      <c r="J190">
        <v>33228650</v>
      </c>
      <c r="K190" t="s">
        <v>5200</v>
      </c>
      <c r="L190">
        <v>220095350</v>
      </c>
      <c r="M190" t="s">
        <v>5201</v>
      </c>
      <c r="N190" t="s">
        <v>5202</v>
      </c>
      <c r="O190" t="s">
        <v>451</v>
      </c>
      <c r="P190" t="s">
        <v>465</v>
      </c>
    </row>
    <row r="191" spans="1:16" x14ac:dyDescent="0.25">
      <c r="A191" t="s">
        <v>419</v>
      </c>
      <c r="B191" t="s">
        <v>616</v>
      </c>
      <c r="C191" t="s">
        <v>523</v>
      </c>
      <c r="D191" t="s">
        <v>5198</v>
      </c>
      <c r="E191" t="s">
        <v>516</v>
      </c>
      <c r="F191" t="s">
        <v>5203</v>
      </c>
      <c r="G191">
        <v>25200000</v>
      </c>
      <c r="H191">
        <v>9000000</v>
      </c>
      <c r="I191">
        <v>0</v>
      </c>
      <c r="J191">
        <v>9000000</v>
      </c>
      <c r="K191" t="s">
        <v>5204</v>
      </c>
      <c r="L191">
        <v>16200000</v>
      </c>
      <c r="M191" t="s">
        <v>5205</v>
      </c>
      <c r="N191" t="s">
        <v>5158</v>
      </c>
      <c r="O191" t="s">
        <v>451</v>
      </c>
      <c r="P191" t="s">
        <v>461</v>
      </c>
    </row>
    <row r="192" spans="1:16" x14ac:dyDescent="0.25">
      <c r="A192" t="s">
        <v>419</v>
      </c>
      <c r="B192" t="s">
        <v>616</v>
      </c>
      <c r="C192" t="s">
        <v>523</v>
      </c>
      <c r="D192" t="s">
        <v>5198</v>
      </c>
      <c r="E192" t="s">
        <v>537</v>
      </c>
      <c r="F192" t="s">
        <v>5206</v>
      </c>
      <c r="G192">
        <v>18000000</v>
      </c>
      <c r="H192">
        <v>5615000</v>
      </c>
      <c r="I192">
        <v>0</v>
      </c>
      <c r="J192">
        <v>5615000</v>
      </c>
      <c r="K192" t="s">
        <v>5207</v>
      </c>
      <c r="L192">
        <v>12385000</v>
      </c>
      <c r="M192" t="s">
        <v>5208</v>
      </c>
      <c r="N192" t="s">
        <v>4679</v>
      </c>
      <c r="O192" t="s">
        <v>451</v>
      </c>
      <c r="P192" t="s">
        <v>458</v>
      </c>
    </row>
    <row r="193" spans="1:16" x14ac:dyDescent="0.25">
      <c r="A193" t="s">
        <v>419</v>
      </c>
      <c r="B193" t="s">
        <v>616</v>
      </c>
      <c r="C193" t="s">
        <v>523</v>
      </c>
      <c r="D193" t="s">
        <v>5198</v>
      </c>
      <c r="E193" t="s">
        <v>537</v>
      </c>
      <c r="F193" t="s">
        <v>5209</v>
      </c>
      <c r="G193">
        <v>12000000</v>
      </c>
      <c r="H193">
        <v>3922000</v>
      </c>
      <c r="I193">
        <v>0</v>
      </c>
      <c r="J193">
        <v>3922000</v>
      </c>
      <c r="K193" t="s">
        <v>5210</v>
      </c>
      <c r="L193">
        <v>8078000</v>
      </c>
      <c r="M193" t="s">
        <v>5211</v>
      </c>
      <c r="N193" t="s">
        <v>4627</v>
      </c>
      <c r="O193" t="s">
        <v>451</v>
      </c>
      <c r="P193" t="s">
        <v>458</v>
      </c>
    </row>
    <row r="194" spans="1:16" x14ac:dyDescent="0.25">
      <c r="A194" t="s">
        <v>419</v>
      </c>
      <c r="B194" t="s">
        <v>616</v>
      </c>
      <c r="C194" t="s">
        <v>523</v>
      </c>
      <c r="D194" t="s">
        <v>5198</v>
      </c>
      <c r="E194" t="s">
        <v>533</v>
      </c>
      <c r="F194" t="s">
        <v>5212</v>
      </c>
      <c r="G194">
        <v>1000000</v>
      </c>
      <c r="H194">
        <v>963000</v>
      </c>
      <c r="I194">
        <v>0</v>
      </c>
      <c r="J194">
        <v>963000</v>
      </c>
      <c r="K194" t="s">
        <v>5213</v>
      </c>
      <c r="L194">
        <v>37000</v>
      </c>
      <c r="M194" t="s">
        <v>5214</v>
      </c>
      <c r="N194" t="s">
        <v>5050</v>
      </c>
      <c r="O194" t="s">
        <v>451</v>
      </c>
      <c r="P194" t="s">
        <v>455</v>
      </c>
    </row>
    <row r="195" spans="1:16" x14ac:dyDescent="0.25">
      <c r="A195" t="s">
        <v>419</v>
      </c>
      <c r="B195" t="s">
        <v>616</v>
      </c>
      <c r="C195" t="s">
        <v>523</v>
      </c>
      <c r="D195" t="s">
        <v>5198</v>
      </c>
      <c r="E195" t="s">
        <v>503</v>
      </c>
      <c r="F195" t="s">
        <v>5215</v>
      </c>
      <c r="G195">
        <v>6900000</v>
      </c>
      <c r="H195">
        <v>440000</v>
      </c>
      <c r="I195">
        <v>0</v>
      </c>
      <c r="J195">
        <v>440000</v>
      </c>
      <c r="K195" t="s">
        <v>5216</v>
      </c>
      <c r="L195">
        <v>6460000</v>
      </c>
      <c r="M195" t="s">
        <v>5217</v>
      </c>
      <c r="N195" t="s">
        <v>4852</v>
      </c>
      <c r="O195" t="s">
        <v>451</v>
      </c>
      <c r="P195" t="s">
        <v>452</v>
      </c>
    </row>
    <row r="196" spans="1:16" x14ac:dyDescent="0.25">
      <c r="A196" t="s">
        <v>419</v>
      </c>
      <c r="B196" t="s">
        <v>616</v>
      </c>
      <c r="C196" t="s">
        <v>523</v>
      </c>
      <c r="D196" t="s">
        <v>5198</v>
      </c>
      <c r="E196" t="s">
        <v>503</v>
      </c>
      <c r="F196" t="s">
        <v>5218</v>
      </c>
      <c r="G196">
        <v>18000000</v>
      </c>
      <c r="H196">
        <v>5755000</v>
      </c>
      <c r="I196">
        <v>0</v>
      </c>
      <c r="J196">
        <v>5755000</v>
      </c>
      <c r="K196" t="s">
        <v>5219</v>
      </c>
      <c r="L196">
        <v>12245000</v>
      </c>
      <c r="M196" t="s">
        <v>5220</v>
      </c>
      <c r="N196" t="s">
        <v>4714</v>
      </c>
      <c r="O196" t="s">
        <v>451</v>
      </c>
      <c r="P196" t="s">
        <v>452</v>
      </c>
    </row>
    <row r="197" spans="1:16" x14ac:dyDescent="0.25">
      <c r="A197" t="s">
        <v>419</v>
      </c>
      <c r="B197" t="s">
        <v>616</v>
      </c>
      <c r="C197" t="s">
        <v>520</v>
      </c>
      <c r="D197" t="s">
        <v>4668</v>
      </c>
      <c r="E197" t="s">
        <v>503</v>
      </c>
      <c r="F197" t="s">
        <v>5221</v>
      </c>
      <c r="G197">
        <v>3000000</v>
      </c>
      <c r="H197">
        <v>1470000</v>
      </c>
      <c r="I197">
        <v>0</v>
      </c>
      <c r="J197">
        <v>1470000</v>
      </c>
      <c r="K197" t="s">
        <v>5222</v>
      </c>
      <c r="L197">
        <v>1530000</v>
      </c>
      <c r="M197" t="s">
        <v>5223</v>
      </c>
      <c r="N197" t="s">
        <v>4679</v>
      </c>
      <c r="O197" t="s">
        <v>440</v>
      </c>
      <c r="P197" t="s">
        <v>441</v>
      </c>
    </row>
    <row r="198" spans="1:16" x14ac:dyDescent="0.25">
      <c r="A198" t="s">
        <v>419</v>
      </c>
      <c r="B198" t="s">
        <v>616</v>
      </c>
      <c r="C198" t="s">
        <v>520</v>
      </c>
      <c r="D198" t="s">
        <v>4668</v>
      </c>
      <c r="E198" t="s">
        <v>503</v>
      </c>
      <c r="F198" t="s">
        <v>5224</v>
      </c>
      <c r="G198">
        <v>2000000</v>
      </c>
      <c r="H198">
        <v>990000</v>
      </c>
      <c r="I198">
        <v>0</v>
      </c>
      <c r="J198">
        <v>990000</v>
      </c>
      <c r="K198" t="s">
        <v>5225</v>
      </c>
      <c r="L198">
        <v>1010000</v>
      </c>
      <c r="M198" t="s">
        <v>5226</v>
      </c>
      <c r="N198" t="s">
        <v>4627</v>
      </c>
      <c r="O198" t="s">
        <v>440</v>
      </c>
      <c r="P198" t="s">
        <v>441</v>
      </c>
    </row>
    <row r="199" spans="1:16" x14ac:dyDescent="0.25">
      <c r="A199" t="s">
        <v>419</v>
      </c>
      <c r="B199" t="s">
        <v>616</v>
      </c>
      <c r="C199" t="s">
        <v>520</v>
      </c>
      <c r="D199" t="s">
        <v>4668</v>
      </c>
      <c r="E199" t="s">
        <v>503</v>
      </c>
      <c r="F199" t="s">
        <v>5227</v>
      </c>
      <c r="G199">
        <v>3750000</v>
      </c>
      <c r="H199">
        <v>660000</v>
      </c>
      <c r="I199">
        <v>0</v>
      </c>
      <c r="J199">
        <v>660000</v>
      </c>
      <c r="K199" t="s">
        <v>5228</v>
      </c>
      <c r="L199">
        <v>3090000</v>
      </c>
      <c r="M199" t="s">
        <v>5229</v>
      </c>
      <c r="N199" t="s">
        <v>4653</v>
      </c>
      <c r="O199" t="s">
        <v>440</v>
      </c>
      <c r="P199" t="s">
        <v>441</v>
      </c>
    </row>
    <row r="200" spans="1:16" x14ac:dyDescent="0.25">
      <c r="A200" t="s">
        <v>419</v>
      </c>
      <c r="B200" t="s">
        <v>616</v>
      </c>
      <c r="C200" t="s">
        <v>502</v>
      </c>
      <c r="D200" t="s">
        <v>5230</v>
      </c>
      <c r="E200" t="s">
        <v>513</v>
      </c>
      <c r="F200" t="s">
        <v>5231</v>
      </c>
      <c r="G200">
        <v>17465000</v>
      </c>
      <c r="H200">
        <v>16620000</v>
      </c>
      <c r="I200">
        <v>0</v>
      </c>
      <c r="J200">
        <v>16620000</v>
      </c>
      <c r="K200" t="s">
        <v>5232</v>
      </c>
      <c r="L200">
        <v>845000</v>
      </c>
      <c r="M200" t="s">
        <v>5233</v>
      </c>
      <c r="N200" t="s">
        <v>5234</v>
      </c>
      <c r="O200" t="s">
        <v>431</v>
      </c>
      <c r="P200" t="s">
        <v>437</v>
      </c>
    </row>
    <row r="201" spans="1:16" x14ac:dyDescent="0.25">
      <c r="A201" t="s">
        <v>419</v>
      </c>
      <c r="B201" t="s">
        <v>616</v>
      </c>
      <c r="C201" t="s">
        <v>502</v>
      </c>
      <c r="D201" t="s">
        <v>5230</v>
      </c>
      <c r="E201" t="s">
        <v>516</v>
      </c>
      <c r="F201" t="s">
        <v>5235</v>
      </c>
      <c r="G201">
        <v>4000000</v>
      </c>
      <c r="H201">
        <v>900000</v>
      </c>
      <c r="I201">
        <v>0</v>
      </c>
      <c r="J201">
        <v>900000</v>
      </c>
      <c r="K201" t="s">
        <v>5236</v>
      </c>
      <c r="L201">
        <v>3100000</v>
      </c>
      <c r="M201" t="s">
        <v>5237</v>
      </c>
      <c r="N201" t="s">
        <v>5158</v>
      </c>
      <c r="O201" t="s">
        <v>431</v>
      </c>
      <c r="P201" t="s">
        <v>777</v>
      </c>
    </row>
    <row r="202" spans="1:16" x14ac:dyDescent="0.25">
      <c r="A202" t="s">
        <v>419</v>
      </c>
      <c r="B202" t="s">
        <v>616</v>
      </c>
      <c r="C202" t="s">
        <v>502</v>
      </c>
      <c r="D202" t="s">
        <v>5230</v>
      </c>
      <c r="E202" t="s">
        <v>503</v>
      </c>
      <c r="F202" t="s">
        <v>5238</v>
      </c>
      <c r="G202">
        <v>4500000</v>
      </c>
      <c r="H202">
        <v>1480000</v>
      </c>
      <c r="I202">
        <v>0</v>
      </c>
      <c r="J202">
        <v>1480000</v>
      </c>
      <c r="K202" t="s">
        <v>5239</v>
      </c>
      <c r="L202">
        <v>3020000</v>
      </c>
      <c r="M202" t="s">
        <v>5240</v>
      </c>
      <c r="N202" t="s">
        <v>4679</v>
      </c>
      <c r="O202" t="s">
        <v>431</v>
      </c>
      <c r="P202" t="s">
        <v>432</v>
      </c>
    </row>
    <row r="203" spans="1:16" x14ac:dyDescent="0.25">
      <c r="A203" t="s">
        <v>419</v>
      </c>
      <c r="B203" t="s">
        <v>616</v>
      </c>
      <c r="C203" t="s">
        <v>502</v>
      </c>
      <c r="D203" t="s">
        <v>5230</v>
      </c>
      <c r="E203" t="s">
        <v>503</v>
      </c>
      <c r="F203" t="s">
        <v>5241</v>
      </c>
      <c r="G203">
        <v>3000000</v>
      </c>
      <c r="H203">
        <v>997000</v>
      </c>
      <c r="I203">
        <v>0</v>
      </c>
      <c r="J203">
        <v>997000</v>
      </c>
      <c r="K203" t="s">
        <v>5242</v>
      </c>
      <c r="L203">
        <v>2003000</v>
      </c>
      <c r="M203" t="s">
        <v>5243</v>
      </c>
      <c r="N203" t="s">
        <v>4627</v>
      </c>
      <c r="O203" t="s">
        <v>431</v>
      </c>
      <c r="P203" t="s">
        <v>432</v>
      </c>
    </row>
    <row r="204" spans="1:16" x14ac:dyDescent="0.25">
      <c r="A204" t="s">
        <v>419</v>
      </c>
      <c r="B204" t="s">
        <v>616</v>
      </c>
      <c r="C204" t="s">
        <v>502</v>
      </c>
      <c r="D204" t="s">
        <v>5230</v>
      </c>
      <c r="E204" t="s">
        <v>503</v>
      </c>
      <c r="F204" t="s">
        <v>5244</v>
      </c>
      <c r="G204">
        <v>9000000</v>
      </c>
      <c r="H204">
        <v>1564000</v>
      </c>
      <c r="I204">
        <v>0</v>
      </c>
      <c r="J204">
        <v>1564000</v>
      </c>
      <c r="K204" t="s">
        <v>5245</v>
      </c>
      <c r="L204">
        <v>7436000</v>
      </c>
      <c r="M204" t="s">
        <v>5246</v>
      </c>
      <c r="N204" t="s">
        <v>4653</v>
      </c>
      <c r="O204" t="s">
        <v>431</v>
      </c>
      <c r="P204" t="s">
        <v>432</v>
      </c>
    </row>
    <row r="205" spans="1:16" x14ac:dyDescent="0.25">
      <c r="A205" t="s">
        <v>419</v>
      </c>
      <c r="B205" t="s">
        <v>616</v>
      </c>
      <c r="C205" t="s">
        <v>502</v>
      </c>
      <c r="D205" t="s">
        <v>5247</v>
      </c>
      <c r="E205" t="s">
        <v>513</v>
      </c>
      <c r="F205" t="s">
        <v>5248</v>
      </c>
      <c r="G205">
        <v>43260000</v>
      </c>
      <c r="H205">
        <v>24466000</v>
      </c>
      <c r="I205">
        <v>0</v>
      </c>
      <c r="J205">
        <v>24466000</v>
      </c>
      <c r="K205" t="s">
        <v>5249</v>
      </c>
      <c r="L205">
        <v>18794000</v>
      </c>
      <c r="M205" t="s">
        <v>5250</v>
      </c>
      <c r="N205" t="s">
        <v>5251</v>
      </c>
      <c r="O205" t="s">
        <v>423</v>
      </c>
      <c r="P205" t="s">
        <v>429</v>
      </c>
    </row>
    <row r="206" spans="1:16" x14ac:dyDescent="0.25">
      <c r="A206" t="s">
        <v>419</v>
      </c>
      <c r="B206" t="s">
        <v>616</v>
      </c>
      <c r="C206" t="s">
        <v>502</v>
      </c>
      <c r="D206" t="s">
        <v>5247</v>
      </c>
      <c r="E206" t="s">
        <v>516</v>
      </c>
      <c r="F206" t="s">
        <v>5252</v>
      </c>
      <c r="G206">
        <v>20000000</v>
      </c>
      <c r="H206">
        <v>900000</v>
      </c>
      <c r="I206">
        <v>0</v>
      </c>
      <c r="J206">
        <v>900000</v>
      </c>
      <c r="K206" t="s">
        <v>5253</v>
      </c>
      <c r="L206">
        <v>19100000</v>
      </c>
      <c r="M206" t="s">
        <v>5254</v>
      </c>
      <c r="N206" t="s">
        <v>5158</v>
      </c>
      <c r="O206" t="s">
        <v>423</v>
      </c>
      <c r="P206" t="s">
        <v>772</v>
      </c>
    </row>
    <row r="207" spans="1:16" x14ac:dyDescent="0.25">
      <c r="A207" t="s">
        <v>419</v>
      </c>
      <c r="B207" t="s">
        <v>616</v>
      </c>
      <c r="C207" t="s">
        <v>502</v>
      </c>
      <c r="D207" t="s">
        <v>5247</v>
      </c>
      <c r="E207" t="s">
        <v>503</v>
      </c>
      <c r="F207" t="s">
        <v>5255</v>
      </c>
      <c r="G207">
        <v>4500000</v>
      </c>
      <c r="H207">
        <v>1485000</v>
      </c>
      <c r="I207">
        <v>0</v>
      </c>
      <c r="J207">
        <v>1485000</v>
      </c>
      <c r="K207" t="s">
        <v>4975</v>
      </c>
      <c r="L207">
        <v>3015000</v>
      </c>
      <c r="M207" t="s">
        <v>5256</v>
      </c>
      <c r="N207" t="s">
        <v>4679</v>
      </c>
      <c r="O207" t="s">
        <v>423</v>
      </c>
      <c r="P207" t="s">
        <v>424</v>
      </c>
    </row>
    <row r="208" spans="1:16" x14ac:dyDescent="0.25">
      <c r="A208" t="s">
        <v>419</v>
      </c>
      <c r="B208" t="s">
        <v>616</v>
      </c>
      <c r="C208" t="s">
        <v>502</v>
      </c>
      <c r="D208" t="s">
        <v>5247</v>
      </c>
      <c r="E208" t="s">
        <v>503</v>
      </c>
      <c r="F208" t="s">
        <v>5257</v>
      </c>
      <c r="G208">
        <v>3000000</v>
      </c>
      <c r="H208">
        <v>990000</v>
      </c>
      <c r="I208">
        <v>0</v>
      </c>
      <c r="J208">
        <v>990000</v>
      </c>
      <c r="K208" t="s">
        <v>4975</v>
      </c>
      <c r="L208">
        <v>2010000</v>
      </c>
      <c r="M208" t="s">
        <v>5258</v>
      </c>
      <c r="N208" t="s">
        <v>4627</v>
      </c>
      <c r="O208" t="s">
        <v>423</v>
      </c>
      <c r="P208" t="s">
        <v>424</v>
      </c>
    </row>
    <row r="209" spans="1:16" x14ac:dyDescent="0.25">
      <c r="A209" t="s">
        <v>419</v>
      </c>
      <c r="B209" t="s">
        <v>616</v>
      </c>
      <c r="C209" t="s">
        <v>502</v>
      </c>
      <c r="D209" t="s">
        <v>5247</v>
      </c>
      <c r="E209" t="s">
        <v>503</v>
      </c>
      <c r="F209" t="s">
        <v>5259</v>
      </c>
      <c r="G209">
        <v>9375000</v>
      </c>
      <c r="H209">
        <v>3106000</v>
      </c>
      <c r="I209">
        <v>0</v>
      </c>
      <c r="J209">
        <v>3106000</v>
      </c>
      <c r="K209" t="s">
        <v>5260</v>
      </c>
      <c r="L209">
        <v>6269000</v>
      </c>
      <c r="M209" t="s">
        <v>5261</v>
      </c>
      <c r="N209" t="s">
        <v>4653</v>
      </c>
      <c r="O209" t="s">
        <v>423</v>
      </c>
      <c r="P209" t="s">
        <v>424</v>
      </c>
    </row>
    <row r="210" spans="1:16" x14ac:dyDescent="0.25">
      <c r="A210" t="s">
        <v>495</v>
      </c>
      <c r="B210" t="s">
        <v>3476</v>
      </c>
      <c r="C210" t="s">
        <v>3090</v>
      </c>
      <c r="D210" t="s">
        <v>4715</v>
      </c>
      <c r="E210" t="s">
        <v>513</v>
      </c>
      <c r="F210" t="s">
        <v>5262</v>
      </c>
      <c r="G210">
        <v>54200000</v>
      </c>
      <c r="H210">
        <v>0</v>
      </c>
      <c r="I210">
        <v>0</v>
      </c>
      <c r="J210">
        <v>0</v>
      </c>
      <c r="K210" t="s">
        <v>5263</v>
      </c>
      <c r="L210">
        <v>54200000</v>
      </c>
      <c r="M210" t="s">
        <v>5264</v>
      </c>
      <c r="N210" t="s">
        <v>5265</v>
      </c>
      <c r="O210" t="s">
        <v>3539</v>
      </c>
      <c r="P210" t="s">
        <v>3546</v>
      </c>
    </row>
    <row r="211" spans="1:16" x14ac:dyDescent="0.25">
      <c r="A211" t="s">
        <v>495</v>
      </c>
      <c r="B211" t="s">
        <v>3476</v>
      </c>
      <c r="C211" t="s">
        <v>3090</v>
      </c>
      <c r="D211" t="s">
        <v>4715</v>
      </c>
      <c r="E211" t="s">
        <v>503</v>
      </c>
      <c r="F211" t="s">
        <v>5266</v>
      </c>
      <c r="G211">
        <v>7000000</v>
      </c>
      <c r="H211">
        <v>0</v>
      </c>
      <c r="I211">
        <v>0</v>
      </c>
      <c r="J211">
        <v>0</v>
      </c>
      <c r="K211" t="s">
        <v>5263</v>
      </c>
      <c r="L211">
        <v>7000000</v>
      </c>
      <c r="M211" t="s">
        <v>5267</v>
      </c>
      <c r="N211" t="s">
        <v>4653</v>
      </c>
      <c r="O211" t="s">
        <v>3539</v>
      </c>
      <c r="P211" t="s">
        <v>3540</v>
      </c>
    </row>
    <row r="212" spans="1:16" x14ac:dyDescent="0.25">
      <c r="A212" t="s">
        <v>495</v>
      </c>
      <c r="B212" t="s">
        <v>3476</v>
      </c>
      <c r="C212" t="s">
        <v>833</v>
      </c>
      <c r="D212" t="s">
        <v>4691</v>
      </c>
      <c r="E212" t="s">
        <v>1150</v>
      </c>
      <c r="F212" t="s">
        <v>5268</v>
      </c>
      <c r="G212">
        <v>142041000</v>
      </c>
      <c r="H212">
        <v>0</v>
      </c>
      <c r="I212">
        <v>0</v>
      </c>
      <c r="J212">
        <v>0</v>
      </c>
      <c r="K212" t="s">
        <v>5263</v>
      </c>
      <c r="L212">
        <v>142041000</v>
      </c>
      <c r="M212" t="s">
        <v>5269</v>
      </c>
      <c r="N212" t="s">
        <v>5270</v>
      </c>
      <c r="O212" t="s">
        <v>3522</v>
      </c>
      <c r="P212" t="s">
        <v>3530</v>
      </c>
    </row>
    <row r="213" spans="1:16" x14ac:dyDescent="0.25">
      <c r="A213" t="s">
        <v>495</v>
      </c>
      <c r="B213" t="s">
        <v>3476</v>
      </c>
      <c r="C213" t="s">
        <v>833</v>
      </c>
      <c r="D213" t="s">
        <v>4691</v>
      </c>
      <c r="E213" t="s">
        <v>533</v>
      </c>
      <c r="F213" t="s">
        <v>5271</v>
      </c>
      <c r="G213">
        <v>20000000</v>
      </c>
      <c r="H213">
        <v>0</v>
      </c>
      <c r="I213">
        <v>0</v>
      </c>
      <c r="J213">
        <v>0</v>
      </c>
      <c r="K213" t="s">
        <v>5263</v>
      </c>
      <c r="L213">
        <v>20000000</v>
      </c>
      <c r="M213" t="s">
        <v>5272</v>
      </c>
      <c r="N213" t="s">
        <v>5273</v>
      </c>
      <c r="O213" t="s">
        <v>3522</v>
      </c>
      <c r="P213" t="s">
        <v>3527</v>
      </c>
    </row>
    <row r="214" spans="1:16" x14ac:dyDescent="0.25">
      <c r="A214" t="s">
        <v>495</v>
      </c>
      <c r="B214" t="s">
        <v>3476</v>
      </c>
      <c r="C214" t="s">
        <v>833</v>
      </c>
      <c r="D214" t="s">
        <v>4691</v>
      </c>
      <c r="E214" t="s">
        <v>503</v>
      </c>
      <c r="F214" t="s">
        <v>5274</v>
      </c>
      <c r="G214">
        <v>4500000</v>
      </c>
      <c r="H214">
        <v>0</v>
      </c>
      <c r="I214">
        <v>0</v>
      </c>
      <c r="J214">
        <v>0</v>
      </c>
      <c r="K214" t="s">
        <v>5263</v>
      </c>
      <c r="L214">
        <v>4500000</v>
      </c>
      <c r="M214" t="s">
        <v>5275</v>
      </c>
      <c r="N214" t="s">
        <v>4627</v>
      </c>
      <c r="O214" t="s">
        <v>3522</v>
      </c>
      <c r="P214" t="s">
        <v>3523</v>
      </c>
    </row>
    <row r="215" spans="1:16" x14ac:dyDescent="0.25">
      <c r="A215" t="s">
        <v>495</v>
      </c>
      <c r="B215" t="s">
        <v>3476</v>
      </c>
      <c r="C215" t="s">
        <v>833</v>
      </c>
      <c r="D215" t="s">
        <v>4691</v>
      </c>
      <c r="E215" t="s">
        <v>503</v>
      </c>
      <c r="F215" t="s">
        <v>5276</v>
      </c>
      <c r="G215">
        <v>3000000</v>
      </c>
      <c r="H215">
        <v>0</v>
      </c>
      <c r="I215">
        <v>0</v>
      </c>
      <c r="J215">
        <v>0</v>
      </c>
      <c r="K215" t="s">
        <v>5263</v>
      </c>
      <c r="L215">
        <v>3000000</v>
      </c>
      <c r="M215" t="s">
        <v>5277</v>
      </c>
      <c r="N215" t="s">
        <v>4679</v>
      </c>
      <c r="O215" t="s">
        <v>3522</v>
      </c>
      <c r="P215" t="s">
        <v>3523</v>
      </c>
    </row>
    <row r="216" spans="1:16" x14ac:dyDescent="0.25">
      <c r="A216" t="s">
        <v>495</v>
      </c>
      <c r="B216" t="s">
        <v>3476</v>
      </c>
      <c r="C216" t="s">
        <v>833</v>
      </c>
      <c r="D216" t="s">
        <v>4691</v>
      </c>
      <c r="E216" t="s">
        <v>503</v>
      </c>
      <c r="F216" t="s">
        <v>5278</v>
      </c>
      <c r="G216">
        <v>4500000</v>
      </c>
      <c r="H216">
        <v>0</v>
      </c>
      <c r="I216">
        <v>0</v>
      </c>
      <c r="J216">
        <v>0</v>
      </c>
      <c r="K216" t="s">
        <v>5263</v>
      </c>
      <c r="L216">
        <v>4500000</v>
      </c>
      <c r="M216" t="s">
        <v>5279</v>
      </c>
      <c r="N216" t="s">
        <v>4635</v>
      </c>
      <c r="O216" t="s">
        <v>3522</v>
      </c>
      <c r="P216" t="s">
        <v>3523</v>
      </c>
    </row>
    <row r="217" spans="1:16" x14ac:dyDescent="0.25">
      <c r="A217" t="s">
        <v>495</v>
      </c>
      <c r="B217" t="s">
        <v>3476</v>
      </c>
      <c r="C217" t="s">
        <v>833</v>
      </c>
      <c r="D217" t="s">
        <v>4623</v>
      </c>
      <c r="E217" t="s">
        <v>513</v>
      </c>
      <c r="F217" t="s">
        <v>5280</v>
      </c>
      <c r="G217">
        <v>60000000</v>
      </c>
      <c r="H217">
        <v>0</v>
      </c>
      <c r="I217">
        <v>0</v>
      </c>
      <c r="J217">
        <v>0</v>
      </c>
      <c r="K217" t="s">
        <v>5263</v>
      </c>
      <c r="L217">
        <v>60000000</v>
      </c>
      <c r="M217" t="s">
        <v>5281</v>
      </c>
      <c r="N217" t="s">
        <v>5282</v>
      </c>
      <c r="O217" t="s">
        <v>3505</v>
      </c>
      <c r="P217" t="s">
        <v>3519</v>
      </c>
    </row>
    <row r="218" spans="1:16" x14ac:dyDescent="0.25">
      <c r="A218" t="s">
        <v>495</v>
      </c>
      <c r="B218" t="s">
        <v>3476</v>
      </c>
      <c r="C218" t="s">
        <v>833</v>
      </c>
      <c r="D218" t="s">
        <v>4623</v>
      </c>
      <c r="E218" t="s">
        <v>516</v>
      </c>
      <c r="F218" t="s">
        <v>5283</v>
      </c>
      <c r="G218">
        <v>6000000</v>
      </c>
      <c r="H218">
        <v>0</v>
      </c>
      <c r="I218">
        <v>0</v>
      </c>
      <c r="J218">
        <v>0</v>
      </c>
      <c r="K218" t="s">
        <v>5263</v>
      </c>
      <c r="L218">
        <v>6000000</v>
      </c>
      <c r="M218" t="s">
        <v>5284</v>
      </c>
      <c r="N218" t="s">
        <v>5158</v>
      </c>
      <c r="O218" t="s">
        <v>3505</v>
      </c>
      <c r="P218" t="s">
        <v>3517</v>
      </c>
    </row>
    <row r="219" spans="1:16" x14ac:dyDescent="0.25">
      <c r="A219" t="s">
        <v>495</v>
      </c>
      <c r="B219" t="s">
        <v>3476</v>
      </c>
      <c r="C219" t="s">
        <v>833</v>
      </c>
      <c r="D219" t="s">
        <v>4623</v>
      </c>
      <c r="E219" t="s">
        <v>533</v>
      </c>
      <c r="F219" t="s">
        <v>5285</v>
      </c>
      <c r="G219">
        <v>7500000</v>
      </c>
      <c r="H219">
        <v>0</v>
      </c>
      <c r="I219">
        <v>0</v>
      </c>
      <c r="J219">
        <v>0</v>
      </c>
      <c r="K219" t="s">
        <v>5263</v>
      </c>
      <c r="L219">
        <v>7500000</v>
      </c>
      <c r="M219" t="s">
        <v>5286</v>
      </c>
      <c r="N219" t="s">
        <v>5287</v>
      </c>
      <c r="O219" t="s">
        <v>3505</v>
      </c>
      <c r="P219" t="s">
        <v>3509</v>
      </c>
    </row>
    <row r="220" spans="1:16" x14ac:dyDescent="0.25">
      <c r="A220" t="s">
        <v>495</v>
      </c>
      <c r="B220" t="s">
        <v>3476</v>
      </c>
      <c r="C220" t="s">
        <v>833</v>
      </c>
      <c r="D220" t="s">
        <v>4623</v>
      </c>
      <c r="E220" t="s">
        <v>533</v>
      </c>
      <c r="F220" t="s">
        <v>5288</v>
      </c>
      <c r="G220">
        <v>750000</v>
      </c>
      <c r="H220">
        <v>0</v>
      </c>
      <c r="I220">
        <v>0</v>
      </c>
      <c r="J220">
        <v>0</v>
      </c>
      <c r="K220" t="s">
        <v>5263</v>
      </c>
      <c r="L220">
        <v>750000</v>
      </c>
      <c r="M220" t="s">
        <v>5289</v>
      </c>
      <c r="N220" t="s">
        <v>5050</v>
      </c>
      <c r="O220" t="s">
        <v>3505</v>
      </c>
      <c r="P220" t="s">
        <v>3509</v>
      </c>
    </row>
    <row r="221" spans="1:16" x14ac:dyDescent="0.25">
      <c r="A221" t="s">
        <v>495</v>
      </c>
      <c r="B221" t="s">
        <v>3476</v>
      </c>
      <c r="C221" t="s">
        <v>833</v>
      </c>
      <c r="D221" t="s">
        <v>4623</v>
      </c>
      <c r="E221" t="s">
        <v>503</v>
      </c>
      <c r="F221" t="s">
        <v>5290</v>
      </c>
      <c r="G221">
        <v>7000000</v>
      </c>
      <c r="H221">
        <v>0</v>
      </c>
      <c r="I221">
        <v>0</v>
      </c>
      <c r="J221">
        <v>0</v>
      </c>
      <c r="K221" t="s">
        <v>5263</v>
      </c>
      <c r="L221">
        <v>7000000</v>
      </c>
      <c r="M221" t="s">
        <v>5291</v>
      </c>
      <c r="N221" t="s">
        <v>4653</v>
      </c>
      <c r="O221" t="s">
        <v>3505</v>
      </c>
      <c r="P221" t="s">
        <v>3506</v>
      </c>
    </row>
    <row r="222" spans="1:16" x14ac:dyDescent="0.25">
      <c r="A222" t="s">
        <v>495</v>
      </c>
      <c r="B222" t="s">
        <v>3476</v>
      </c>
      <c r="C222" t="s">
        <v>833</v>
      </c>
      <c r="D222" t="s">
        <v>4636</v>
      </c>
      <c r="E222" t="s">
        <v>513</v>
      </c>
      <c r="F222" t="s">
        <v>5292</v>
      </c>
      <c r="G222">
        <v>60000000</v>
      </c>
      <c r="H222">
        <v>0</v>
      </c>
      <c r="I222">
        <v>0</v>
      </c>
      <c r="J222">
        <v>0</v>
      </c>
      <c r="K222" t="s">
        <v>5263</v>
      </c>
      <c r="L222">
        <v>60000000</v>
      </c>
      <c r="M222" t="s">
        <v>5293</v>
      </c>
      <c r="N222" t="s">
        <v>5282</v>
      </c>
      <c r="O222" t="s">
        <v>3479</v>
      </c>
      <c r="P222" t="s">
        <v>3500</v>
      </c>
    </row>
    <row r="223" spans="1:16" x14ac:dyDescent="0.25">
      <c r="A223" t="s">
        <v>495</v>
      </c>
      <c r="B223" t="s">
        <v>3476</v>
      </c>
      <c r="C223" t="s">
        <v>833</v>
      </c>
      <c r="D223" t="s">
        <v>4636</v>
      </c>
      <c r="E223" t="s">
        <v>517</v>
      </c>
      <c r="F223" t="s">
        <v>5294</v>
      </c>
      <c r="G223">
        <v>102600000</v>
      </c>
      <c r="H223">
        <v>0</v>
      </c>
      <c r="I223">
        <v>0</v>
      </c>
      <c r="J223">
        <v>0</v>
      </c>
      <c r="K223" t="s">
        <v>5263</v>
      </c>
      <c r="L223">
        <v>102600000</v>
      </c>
      <c r="M223" t="s">
        <v>5295</v>
      </c>
      <c r="N223" t="s">
        <v>5296</v>
      </c>
      <c r="O223" t="s">
        <v>3479</v>
      </c>
      <c r="P223" t="s">
        <v>3497</v>
      </c>
    </row>
    <row r="224" spans="1:16" x14ac:dyDescent="0.25">
      <c r="A224" t="s">
        <v>495</v>
      </c>
      <c r="B224" t="s">
        <v>3476</v>
      </c>
      <c r="C224" t="s">
        <v>833</v>
      </c>
      <c r="D224" t="s">
        <v>4636</v>
      </c>
      <c r="E224" t="s">
        <v>516</v>
      </c>
      <c r="F224" t="s">
        <v>5297</v>
      </c>
      <c r="G224">
        <v>15000000</v>
      </c>
      <c r="H224">
        <v>0</v>
      </c>
      <c r="I224">
        <v>0</v>
      </c>
      <c r="J224">
        <v>0</v>
      </c>
      <c r="K224" t="s">
        <v>5263</v>
      </c>
      <c r="L224">
        <v>15000000</v>
      </c>
      <c r="M224" t="s">
        <v>5298</v>
      </c>
      <c r="N224" t="s">
        <v>5158</v>
      </c>
      <c r="O224" t="s">
        <v>3479</v>
      </c>
      <c r="P224" t="s">
        <v>3495</v>
      </c>
    </row>
    <row r="225" spans="1:16" x14ac:dyDescent="0.25">
      <c r="A225" t="s">
        <v>495</v>
      </c>
      <c r="B225" t="s">
        <v>3476</v>
      </c>
      <c r="C225" t="s">
        <v>833</v>
      </c>
      <c r="D225" t="s">
        <v>4636</v>
      </c>
      <c r="E225" t="s">
        <v>533</v>
      </c>
      <c r="F225" t="s">
        <v>5299</v>
      </c>
      <c r="G225">
        <v>250000</v>
      </c>
      <c r="H225">
        <v>0</v>
      </c>
      <c r="I225">
        <v>0</v>
      </c>
      <c r="J225">
        <v>0</v>
      </c>
      <c r="K225" t="s">
        <v>5263</v>
      </c>
      <c r="L225">
        <v>250000</v>
      </c>
      <c r="M225" t="s">
        <v>5300</v>
      </c>
      <c r="N225" t="s">
        <v>5050</v>
      </c>
      <c r="O225" t="s">
        <v>3479</v>
      </c>
      <c r="P225" t="s">
        <v>3488</v>
      </c>
    </row>
    <row r="226" spans="1:16" x14ac:dyDescent="0.25">
      <c r="A226" t="s">
        <v>495</v>
      </c>
      <c r="B226" t="s">
        <v>3476</v>
      </c>
      <c r="C226" t="s">
        <v>833</v>
      </c>
      <c r="D226" t="s">
        <v>4636</v>
      </c>
      <c r="E226" t="s">
        <v>533</v>
      </c>
      <c r="F226" t="s">
        <v>5301</v>
      </c>
      <c r="G226">
        <v>1333614000</v>
      </c>
      <c r="H226">
        <v>0</v>
      </c>
      <c r="I226">
        <v>0</v>
      </c>
      <c r="J226">
        <v>0</v>
      </c>
      <c r="K226" t="s">
        <v>5263</v>
      </c>
      <c r="L226">
        <v>1333614000</v>
      </c>
      <c r="M226" t="s">
        <v>5302</v>
      </c>
      <c r="N226" t="s">
        <v>4631</v>
      </c>
      <c r="O226" t="s">
        <v>3479</v>
      </c>
      <c r="P226" t="s">
        <v>3488</v>
      </c>
    </row>
    <row r="227" spans="1:16" x14ac:dyDescent="0.25">
      <c r="A227" t="s">
        <v>495</v>
      </c>
      <c r="B227" t="s">
        <v>3476</v>
      </c>
      <c r="C227" t="s">
        <v>833</v>
      </c>
      <c r="D227" t="s">
        <v>4636</v>
      </c>
      <c r="E227" t="s">
        <v>503</v>
      </c>
      <c r="F227" t="s">
        <v>5303</v>
      </c>
      <c r="G227">
        <v>22500000</v>
      </c>
      <c r="H227">
        <v>0</v>
      </c>
      <c r="I227">
        <v>0</v>
      </c>
      <c r="J227">
        <v>0</v>
      </c>
      <c r="K227" t="s">
        <v>5263</v>
      </c>
      <c r="L227">
        <v>22500000</v>
      </c>
      <c r="M227" t="s">
        <v>5304</v>
      </c>
      <c r="N227" t="s">
        <v>5305</v>
      </c>
      <c r="O227" t="s">
        <v>3479</v>
      </c>
      <c r="P227" t="s">
        <v>3480</v>
      </c>
    </row>
    <row r="228" spans="1:16" x14ac:dyDescent="0.25">
      <c r="A228" t="s">
        <v>495</v>
      </c>
      <c r="B228" t="s">
        <v>3476</v>
      </c>
      <c r="C228" t="s">
        <v>833</v>
      </c>
      <c r="D228" t="s">
        <v>4636</v>
      </c>
      <c r="E228" t="s">
        <v>503</v>
      </c>
      <c r="F228" t="s">
        <v>5306</v>
      </c>
      <c r="G228">
        <v>33600000</v>
      </c>
      <c r="H228">
        <v>0</v>
      </c>
      <c r="I228">
        <v>0</v>
      </c>
      <c r="J228">
        <v>0</v>
      </c>
      <c r="K228" t="s">
        <v>5263</v>
      </c>
      <c r="L228">
        <v>33600000</v>
      </c>
      <c r="M228" t="s">
        <v>5307</v>
      </c>
      <c r="N228" t="s">
        <v>5308</v>
      </c>
      <c r="O228" t="s">
        <v>3479</v>
      </c>
      <c r="P228" t="s">
        <v>3480</v>
      </c>
    </row>
    <row r="229" spans="1:16" x14ac:dyDescent="0.25">
      <c r="A229" t="s">
        <v>495</v>
      </c>
      <c r="B229" t="s">
        <v>3476</v>
      </c>
      <c r="C229" t="s">
        <v>833</v>
      </c>
      <c r="D229" t="s">
        <v>4636</v>
      </c>
      <c r="E229" t="s">
        <v>503</v>
      </c>
      <c r="F229" t="s">
        <v>5309</v>
      </c>
      <c r="G229">
        <v>15000000</v>
      </c>
      <c r="H229">
        <v>0</v>
      </c>
      <c r="I229">
        <v>0</v>
      </c>
      <c r="J229">
        <v>0</v>
      </c>
      <c r="K229" t="s">
        <v>5263</v>
      </c>
      <c r="L229">
        <v>15000000</v>
      </c>
      <c r="M229" t="s">
        <v>5310</v>
      </c>
      <c r="N229" t="s">
        <v>4635</v>
      </c>
      <c r="O229" t="s">
        <v>3479</v>
      </c>
      <c r="P229" t="s">
        <v>3480</v>
      </c>
    </row>
    <row r="230" spans="1:16" x14ac:dyDescent="0.25">
      <c r="A230" t="s">
        <v>495</v>
      </c>
      <c r="B230" t="s">
        <v>3476</v>
      </c>
      <c r="C230" t="s">
        <v>833</v>
      </c>
      <c r="D230" t="s">
        <v>4636</v>
      </c>
      <c r="E230" t="s">
        <v>503</v>
      </c>
      <c r="F230" t="s">
        <v>5311</v>
      </c>
      <c r="G230">
        <v>28000000</v>
      </c>
      <c r="H230">
        <v>0</v>
      </c>
      <c r="I230">
        <v>0</v>
      </c>
      <c r="J230">
        <v>0</v>
      </c>
      <c r="K230" t="s">
        <v>5263</v>
      </c>
      <c r="L230">
        <v>28000000</v>
      </c>
      <c r="M230" t="s">
        <v>5312</v>
      </c>
      <c r="N230" t="s">
        <v>4653</v>
      </c>
      <c r="O230" t="s">
        <v>3479</v>
      </c>
      <c r="P230" t="s">
        <v>3480</v>
      </c>
    </row>
    <row r="231" spans="1:16" x14ac:dyDescent="0.25">
      <c r="A231" t="s">
        <v>494</v>
      </c>
      <c r="B231" t="s">
        <v>3105</v>
      </c>
      <c r="C231" t="s">
        <v>833</v>
      </c>
      <c r="D231" t="s">
        <v>4641</v>
      </c>
      <c r="E231" t="s">
        <v>503</v>
      </c>
      <c r="F231" t="s">
        <v>5313</v>
      </c>
      <c r="G231">
        <v>4800000</v>
      </c>
      <c r="H231">
        <v>0</v>
      </c>
      <c r="I231">
        <v>0</v>
      </c>
      <c r="J231">
        <v>0</v>
      </c>
      <c r="K231" t="s">
        <v>5263</v>
      </c>
      <c r="L231">
        <v>4800000</v>
      </c>
      <c r="M231" t="s">
        <v>5314</v>
      </c>
      <c r="N231" t="s">
        <v>5315</v>
      </c>
      <c r="O231" t="s">
        <v>3377</v>
      </c>
      <c r="P231" t="s">
        <v>3378</v>
      </c>
    </row>
    <row r="232" spans="1:16" x14ac:dyDescent="0.25">
      <c r="A232" t="s">
        <v>494</v>
      </c>
      <c r="B232" t="s">
        <v>2785</v>
      </c>
      <c r="C232" t="s">
        <v>3090</v>
      </c>
      <c r="D232" t="s">
        <v>4715</v>
      </c>
      <c r="E232" t="s">
        <v>533</v>
      </c>
      <c r="F232" t="s">
        <v>5316</v>
      </c>
      <c r="G232">
        <v>2000000</v>
      </c>
      <c r="H232">
        <v>0</v>
      </c>
      <c r="I232">
        <v>0</v>
      </c>
      <c r="J232">
        <v>0</v>
      </c>
      <c r="K232" t="s">
        <v>5263</v>
      </c>
      <c r="L232">
        <v>2000000</v>
      </c>
      <c r="M232" t="s">
        <v>5317</v>
      </c>
      <c r="N232" t="s">
        <v>5031</v>
      </c>
      <c r="O232" t="s">
        <v>3092</v>
      </c>
      <c r="P232" t="s">
        <v>3100</v>
      </c>
    </row>
    <row r="233" spans="1:16" x14ac:dyDescent="0.25">
      <c r="A233" t="s">
        <v>494</v>
      </c>
      <c r="B233" t="s">
        <v>2785</v>
      </c>
      <c r="C233" t="s">
        <v>833</v>
      </c>
      <c r="D233" t="s">
        <v>4636</v>
      </c>
      <c r="E233" t="s">
        <v>513</v>
      </c>
      <c r="F233" t="s">
        <v>5318</v>
      </c>
      <c r="G233">
        <v>18539000</v>
      </c>
      <c r="H233">
        <v>0</v>
      </c>
      <c r="I233">
        <v>0</v>
      </c>
      <c r="J233">
        <v>0</v>
      </c>
      <c r="K233" t="s">
        <v>5263</v>
      </c>
      <c r="L233">
        <v>18539000</v>
      </c>
      <c r="M233" t="s">
        <v>5319</v>
      </c>
      <c r="N233" t="s">
        <v>5320</v>
      </c>
      <c r="O233" t="s">
        <v>3054</v>
      </c>
      <c r="P233" t="s">
        <v>3064</v>
      </c>
    </row>
    <row r="234" spans="1:16" x14ac:dyDescent="0.25">
      <c r="A234" t="s">
        <v>494</v>
      </c>
      <c r="B234" t="s">
        <v>2785</v>
      </c>
      <c r="C234" t="s">
        <v>833</v>
      </c>
      <c r="D234" t="s">
        <v>4636</v>
      </c>
      <c r="E234" t="s">
        <v>503</v>
      </c>
      <c r="F234" t="s">
        <v>5321</v>
      </c>
      <c r="G234">
        <v>4500000</v>
      </c>
      <c r="H234">
        <v>0</v>
      </c>
      <c r="I234">
        <v>0</v>
      </c>
      <c r="J234">
        <v>0</v>
      </c>
      <c r="K234" t="s">
        <v>5263</v>
      </c>
      <c r="L234">
        <v>4500000</v>
      </c>
      <c r="M234" t="s">
        <v>5322</v>
      </c>
      <c r="N234" t="s">
        <v>4714</v>
      </c>
      <c r="O234" t="s">
        <v>3054</v>
      </c>
      <c r="P234" t="s">
        <v>3055</v>
      </c>
    </row>
    <row r="235" spans="1:16" x14ac:dyDescent="0.25">
      <c r="A235" t="s">
        <v>494</v>
      </c>
      <c r="B235" t="s">
        <v>2469</v>
      </c>
      <c r="C235" t="s">
        <v>833</v>
      </c>
      <c r="D235" t="s">
        <v>4623</v>
      </c>
      <c r="E235" t="s">
        <v>533</v>
      </c>
      <c r="F235" t="s">
        <v>5323</v>
      </c>
      <c r="G235">
        <v>1000000</v>
      </c>
      <c r="H235">
        <v>0</v>
      </c>
      <c r="I235">
        <v>0</v>
      </c>
      <c r="J235">
        <v>0</v>
      </c>
      <c r="K235" t="s">
        <v>5263</v>
      </c>
      <c r="L235">
        <v>1000000</v>
      </c>
      <c r="M235" t="s">
        <v>5324</v>
      </c>
      <c r="N235" t="s">
        <v>5050</v>
      </c>
      <c r="O235" t="s">
        <v>2756</v>
      </c>
      <c r="P235" t="s">
        <v>2761</v>
      </c>
    </row>
    <row r="236" spans="1:16" x14ac:dyDescent="0.25">
      <c r="A236" t="s">
        <v>494</v>
      </c>
      <c r="B236" t="s">
        <v>1700</v>
      </c>
      <c r="C236" t="s">
        <v>557</v>
      </c>
      <c r="D236" t="s">
        <v>4914</v>
      </c>
      <c r="E236" t="s">
        <v>570</v>
      </c>
      <c r="F236" t="s">
        <v>5325</v>
      </c>
      <c r="G236">
        <v>300000</v>
      </c>
      <c r="H236">
        <v>0</v>
      </c>
      <c r="I236">
        <v>0</v>
      </c>
      <c r="J236">
        <v>0</v>
      </c>
      <c r="K236" t="s">
        <v>5263</v>
      </c>
      <c r="L236">
        <v>300000</v>
      </c>
      <c r="M236" t="s">
        <v>5326</v>
      </c>
      <c r="N236" t="s">
        <v>5327</v>
      </c>
      <c r="O236" t="s">
        <v>2238</v>
      </c>
      <c r="P236" t="s">
        <v>2247</v>
      </c>
    </row>
    <row r="237" spans="1:16" x14ac:dyDescent="0.25">
      <c r="A237" t="s">
        <v>494</v>
      </c>
      <c r="B237" t="s">
        <v>1700</v>
      </c>
      <c r="C237" t="s">
        <v>557</v>
      </c>
      <c r="D237" t="s">
        <v>4914</v>
      </c>
      <c r="E237" t="s">
        <v>570</v>
      </c>
      <c r="F237" t="s">
        <v>5328</v>
      </c>
      <c r="G237">
        <v>400000</v>
      </c>
      <c r="H237">
        <v>0</v>
      </c>
      <c r="I237">
        <v>0</v>
      </c>
      <c r="J237">
        <v>0</v>
      </c>
      <c r="K237" t="s">
        <v>5263</v>
      </c>
      <c r="L237">
        <v>400000</v>
      </c>
      <c r="M237" t="s">
        <v>5329</v>
      </c>
      <c r="N237" t="s">
        <v>5330</v>
      </c>
      <c r="O237" t="s">
        <v>2238</v>
      </c>
      <c r="P237" t="s">
        <v>2247</v>
      </c>
    </row>
    <row r="238" spans="1:16" x14ac:dyDescent="0.25">
      <c r="A238" t="s">
        <v>494</v>
      </c>
      <c r="B238" t="s">
        <v>1700</v>
      </c>
      <c r="C238" t="s">
        <v>557</v>
      </c>
      <c r="D238" t="s">
        <v>4914</v>
      </c>
      <c r="E238" t="s">
        <v>570</v>
      </c>
      <c r="F238" t="s">
        <v>5331</v>
      </c>
      <c r="G238">
        <v>900000</v>
      </c>
      <c r="H238">
        <v>0</v>
      </c>
      <c r="I238">
        <v>0</v>
      </c>
      <c r="J238">
        <v>0</v>
      </c>
      <c r="K238" t="s">
        <v>5263</v>
      </c>
      <c r="L238">
        <v>900000</v>
      </c>
      <c r="M238" t="s">
        <v>5332</v>
      </c>
      <c r="N238" t="s">
        <v>5333</v>
      </c>
      <c r="O238" t="s">
        <v>2238</v>
      </c>
      <c r="P238" t="s">
        <v>2247</v>
      </c>
    </row>
    <row r="239" spans="1:16" x14ac:dyDescent="0.25">
      <c r="A239" t="s">
        <v>494</v>
      </c>
      <c r="B239" t="s">
        <v>1700</v>
      </c>
      <c r="C239" t="s">
        <v>557</v>
      </c>
      <c r="D239" t="s">
        <v>4914</v>
      </c>
      <c r="E239" t="s">
        <v>559</v>
      </c>
      <c r="F239" t="s">
        <v>5334</v>
      </c>
      <c r="G239">
        <v>15340000</v>
      </c>
      <c r="H239">
        <v>0</v>
      </c>
      <c r="I239">
        <v>0</v>
      </c>
      <c r="J239">
        <v>0</v>
      </c>
      <c r="K239" t="s">
        <v>5263</v>
      </c>
      <c r="L239">
        <v>15340000</v>
      </c>
      <c r="M239" t="s">
        <v>5335</v>
      </c>
      <c r="N239" t="s">
        <v>5336</v>
      </c>
      <c r="O239" t="s">
        <v>2238</v>
      </c>
      <c r="P239" t="s">
        <v>2241</v>
      </c>
    </row>
    <row r="240" spans="1:16" x14ac:dyDescent="0.25">
      <c r="A240" t="s">
        <v>494</v>
      </c>
      <c r="B240" t="s">
        <v>1700</v>
      </c>
      <c r="C240" t="s">
        <v>557</v>
      </c>
      <c r="D240" t="s">
        <v>4941</v>
      </c>
      <c r="E240" t="s">
        <v>567</v>
      </c>
      <c r="F240" t="s">
        <v>5337</v>
      </c>
      <c r="G240">
        <v>52250000</v>
      </c>
      <c r="H240">
        <v>0</v>
      </c>
      <c r="I240">
        <v>0</v>
      </c>
      <c r="J240">
        <v>0</v>
      </c>
      <c r="K240" t="s">
        <v>5263</v>
      </c>
      <c r="L240">
        <v>52250000</v>
      </c>
      <c r="M240" t="s">
        <v>5338</v>
      </c>
      <c r="N240" t="s">
        <v>5339</v>
      </c>
      <c r="O240" t="s">
        <v>2218</v>
      </c>
      <c r="P240" t="s">
        <v>2221</v>
      </c>
    </row>
    <row r="241" spans="1:16" x14ac:dyDescent="0.25">
      <c r="A241" t="s">
        <v>494</v>
      </c>
      <c r="B241" t="s">
        <v>1700</v>
      </c>
      <c r="C241" t="s">
        <v>557</v>
      </c>
      <c r="D241" t="s">
        <v>4941</v>
      </c>
      <c r="E241" t="s">
        <v>567</v>
      </c>
      <c r="F241" t="s">
        <v>5340</v>
      </c>
      <c r="G241">
        <v>29200000</v>
      </c>
      <c r="H241">
        <v>0</v>
      </c>
      <c r="I241">
        <v>0</v>
      </c>
      <c r="J241">
        <v>0</v>
      </c>
      <c r="K241" t="s">
        <v>5263</v>
      </c>
      <c r="L241">
        <v>29200000</v>
      </c>
      <c r="M241" t="s">
        <v>5341</v>
      </c>
      <c r="N241" t="s">
        <v>5342</v>
      </c>
      <c r="O241" t="s">
        <v>2218</v>
      </c>
      <c r="P241" t="s">
        <v>2221</v>
      </c>
    </row>
    <row r="242" spans="1:16" x14ac:dyDescent="0.25">
      <c r="A242" t="s">
        <v>494</v>
      </c>
      <c r="B242" t="s">
        <v>1700</v>
      </c>
      <c r="C242" t="s">
        <v>557</v>
      </c>
      <c r="D242" t="s">
        <v>4973</v>
      </c>
      <c r="E242" t="s">
        <v>564</v>
      </c>
      <c r="F242" t="s">
        <v>5343</v>
      </c>
      <c r="G242">
        <v>58852000</v>
      </c>
      <c r="H242">
        <v>0</v>
      </c>
      <c r="I242">
        <v>0</v>
      </c>
      <c r="J242">
        <v>0</v>
      </c>
      <c r="K242" t="s">
        <v>5263</v>
      </c>
      <c r="L242">
        <v>58852000</v>
      </c>
      <c r="M242" t="s">
        <v>5344</v>
      </c>
      <c r="N242" t="s">
        <v>5345</v>
      </c>
      <c r="O242" t="s">
        <v>2207</v>
      </c>
      <c r="P242" t="s">
        <v>2213</v>
      </c>
    </row>
    <row r="243" spans="1:16" x14ac:dyDescent="0.25">
      <c r="A243" t="s">
        <v>494</v>
      </c>
      <c r="B243" t="s">
        <v>1700</v>
      </c>
      <c r="C243" t="s">
        <v>557</v>
      </c>
      <c r="D243" t="s">
        <v>4880</v>
      </c>
      <c r="E243" t="s">
        <v>537</v>
      </c>
      <c r="F243" t="s">
        <v>5346</v>
      </c>
      <c r="G243">
        <v>20000000</v>
      </c>
      <c r="H243">
        <v>0</v>
      </c>
      <c r="I243">
        <v>0</v>
      </c>
      <c r="J243">
        <v>0</v>
      </c>
      <c r="K243" t="s">
        <v>5263</v>
      </c>
      <c r="L243">
        <v>20000000</v>
      </c>
      <c r="M243" t="s">
        <v>5347</v>
      </c>
      <c r="N243" t="s">
        <v>5348</v>
      </c>
      <c r="O243" t="s">
        <v>2170</v>
      </c>
      <c r="P243" t="s">
        <v>2189</v>
      </c>
    </row>
    <row r="244" spans="1:16" x14ac:dyDescent="0.25">
      <c r="A244" t="s">
        <v>494</v>
      </c>
      <c r="B244" t="s">
        <v>1700</v>
      </c>
      <c r="C244" t="s">
        <v>557</v>
      </c>
      <c r="D244" t="s">
        <v>4880</v>
      </c>
      <c r="E244" t="s">
        <v>559</v>
      </c>
      <c r="F244" t="s">
        <v>5349</v>
      </c>
      <c r="G244">
        <v>67000000</v>
      </c>
      <c r="H244">
        <v>0</v>
      </c>
      <c r="I244">
        <v>0</v>
      </c>
      <c r="J244">
        <v>0</v>
      </c>
      <c r="K244" t="s">
        <v>5263</v>
      </c>
      <c r="L244">
        <v>67000000</v>
      </c>
      <c r="M244" t="s">
        <v>5350</v>
      </c>
      <c r="N244" t="s">
        <v>5351</v>
      </c>
      <c r="O244" t="s">
        <v>2170</v>
      </c>
      <c r="P244" t="s">
        <v>2172</v>
      </c>
    </row>
    <row r="245" spans="1:16" x14ac:dyDescent="0.25">
      <c r="A245" t="s">
        <v>494</v>
      </c>
      <c r="B245" t="s">
        <v>1700</v>
      </c>
      <c r="C245" t="s">
        <v>501</v>
      </c>
      <c r="D245" t="s">
        <v>5431</v>
      </c>
      <c r="E245" t="s">
        <v>555</v>
      </c>
      <c r="F245" t="s">
        <v>5508</v>
      </c>
      <c r="G245">
        <v>6100000</v>
      </c>
      <c r="H245">
        <v>0</v>
      </c>
      <c r="I245">
        <v>0</v>
      </c>
      <c r="J245">
        <v>0</v>
      </c>
      <c r="K245" t="s">
        <v>5263</v>
      </c>
      <c r="L245">
        <v>6100000</v>
      </c>
      <c r="M245" t="s">
        <v>5509</v>
      </c>
      <c r="N245" t="s">
        <v>5510</v>
      </c>
      <c r="O245" t="s">
        <v>1806</v>
      </c>
      <c r="P245" t="s">
        <v>1841</v>
      </c>
    </row>
    <row r="246" spans="1:16" x14ac:dyDescent="0.25">
      <c r="A246" t="s">
        <v>494</v>
      </c>
      <c r="B246" t="s">
        <v>1700</v>
      </c>
      <c r="C246" t="s">
        <v>501</v>
      </c>
      <c r="D246" t="s">
        <v>5431</v>
      </c>
      <c r="E246" t="s">
        <v>552</v>
      </c>
      <c r="F246" t="s">
        <v>5511</v>
      </c>
      <c r="G246">
        <v>3366000</v>
      </c>
      <c r="H246">
        <v>0</v>
      </c>
      <c r="I246">
        <v>0</v>
      </c>
      <c r="J246">
        <v>0</v>
      </c>
      <c r="K246" t="s">
        <v>5263</v>
      </c>
      <c r="L246">
        <v>3366000</v>
      </c>
      <c r="M246" t="s">
        <v>5512</v>
      </c>
      <c r="N246" t="s">
        <v>5513</v>
      </c>
      <c r="O246" t="s">
        <v>1806</v>
      </c>
      <c r="P246" t="s">
        <v>1833</v>
      </c>
    </row>
    <row r="247" spans="1:16" x14ac:dyDescent="0.25">
      <c r="A247" t="s">
        <v>494</v>
      </c>
      <c r="B247" t="s">
        <v>1700</v>
      </c>
      <c r="C247" t="s">
        <v>501</v>
      </c>
      <c r="D247" t="s">
        <v>5431</v>
      </c>
      <c r="E247" t="s">
        <v>551</v>
      </c>
      <c r="F247" t="s">
        <v>5514</v>
      </c>
      <c r="G247">
        <v>2000000</v>
      </c>
      <c r="H247">
        <v>0</v>
      </c>
      <c r="I247">
        <v>0</v>
      </c>
      <c r="J247">
        <v>0</v>
      </c>
      <c r="K247" t="s">
        <v>5263</v>
      </c>
      <c r="L247">
        <v>2000000</v>
      </c>
      <c r="M247" t="s">
        <v>5515</v>
      </c>
      <c r="N247" t="s">
        <v>5516</v>
      </c>
      <c r="O247" t="s">
        <v>1806</v>
      </c>
      <c r="P247" t="s">
        <v>1829</v>
      </c>
    </row>
    <row r="248" spans="1:16" x14ac:dyDescent="0.25">
      <c r="A248" t="s">
        <v>494</v>
      </c>
      <c r="B248" t="s">
        <v>1700</v>
      </c>
      <c r="C248" t="s">
        <v>501</v>
      </c>
      <c r="D248" t="s">
        <v>5431</v>
      </c>
      <c r="E248" t="s">
        <v>550</v>
      </c>
      <c r="F248" t="s">
        <v>5517</v>
      </c>
      <c r="G248">
        <v>12070000</v>
      </c>
      <c r="H248">
        <v>0</v>
      </c>
      <c r="I248">
        <v>0</v>
      </c>
      <c r="J248">
        <v>0</v>
      </c>
      <c r="K248" t="s">
        <v>5263</v>
      </c>
      <c r="L248">
        <v>12070000</v>
      </c>
      <c r="M248" t="s">
        <v>5518</v>
      </c>
      <c r="N248" t="s">
        <v>5519</v>
      </c>
      <c r="O248" t="s">
        <v>1806</v>
      </c>
      <c r="P248" t="s">
        <v>1825</v>
      </c>
    </row>
    <row r="249" spans="1:16" x14ac:dyDescent="0.25">
      <c r="A249" t="s">
        <v>494</v>
      </c>
      <c r="B249" t="s">
        <v>1700</v>
      </c>
      <c r="C249" t="s">
        <v>501</v>
      </c>
      <c r="D249" t="s">
        <v>5431</v>
      </c>
      <c r="E249" t="s">
        <v>549</v>
      </c>
      <c r="F249" t="s">
        <v>5520</v>
      </c>
      <c r="G249">
        <v>3338000</v>
      </c>
      <c r="H249">
        <v>0</v>
      </c>
      <c r="I249">
        <v>0</v>
      </c>
      <c r="J249">
        <v>0</v>
      </c>
      <c r="K249" t="s">
        <v>5263</v>
      </c>
      <c r="L249">
        <v>3338000</v>
      </c>
      <c r="M249" t="s">
        <v>5521</v>
      </c>
      <c r="N249" t="s">
        <v>5522</v>
      </c>
      <c r="O249" t="s">
        <v>1806</v>
      </c>
      <c r="P249" t="s">
        <v>1821</v>
      </c>
    </row>
    <row r="250" spans="1:16" x14ac:dyDescent="0.25">
      <c r="A250" t="s">
        <v>494</v>
      </c>
      <c r="B250" t="s">
        <v>1700</v>
      </c>
      <c r="C250" t="s">
        <v>501</v>
      </c>
      <c r="D250" t="s">
        <v>5431</v>
      </c>
      <c r="E250" t="s">
        <v>548</v>
      </c>
      <c r="F250" t="s">
        <v>5523</v>
      </c>
      <c r="G250">
        <v>12494000</v>
      </c>
      <c r="H250">
        <v>0</v>
      </c>
      <c r="I250">
        <v>0</v>
      </c>
      <c r="J250">
        <v>0</v>
      </c>
      <c r="K250" t="s">
        <v>5263</v>
      </c>
      <c r="L250">
        <v>12494000</v>
      </c>
      <c r="M250" t="s">
        <v>5524</v>
      </c>
      <c r="N250" t="s">
        <v>5525</v>
      </c>
      <c r="O250" t="s">
        <v>1806</v>
      </c>
      <c r="P250" t="s">
        <v>1817</v>
      </c>
    </row>
    <row r="251" spans="1:16" x14ac:dyDescent="0.25">
      <c r="A251" t="s">
        <v>494</v>
      </c>
      <c r="B251" t="s">
        <v>1700</v>
      </c>
      <c r="C251" t="s">
        <v>501</v>
      </c>
      <c r="D251" t="s">
        <v>5431</v>
      </c>
      <c r="E251" t="s">
        <v>547</v>
      </c>
      <c r="F251" t="s">
        <v>5526</v>
      </c>
      <c r="G251">
        <v>3000</v>
      </c>
      <c r="H251">
        <v>0</v>
      </c>
      <c r="I251">
        <v>0</v>
      </c>
      <c r="J251">
        <v>0</v>
      </c>
      <c r="K251" t="s">
        <v>5263</v>
      </c>
      <c r="L251">
        <v>3000</v>
      </c>
      <c r="M251" t="s">
        <v>5527</v>
      </c>
      <c r="N251" t="s">
        <v>5528</v>
      </c>
      <c r="O251" t="s">
        <v>1806</v>
      </c>
      <c r="P251" t="s">
        <v>1813</v>
      </c>
    </row>
    <row r="252" spans="1:16" x14ac:dyDescent="0.25">
      <c r="A252" t="s">
        <v>494</v>
      </c>
      <c r="B252" t="s">
        <v>1700</v>
      </c>
      <c r="C252" t="s">
        <v>501</v>
      </c>
      <c r="D252" t="s">
        <v>5431</v>
      </c>
      <c r="E252" t="s">
        <v>544</v>
      </c>
      <c r="F252" t="s">
        <v>5529</v>
      </c>
      <c r="G252">
        <v>180000000</v>
      </c>
      <c r="H252">
        <v>0</v>
      </c>
      <c r="I252">
        <v>0</v>
      </c>
      <c r="J252">
        <v>0</v>
      </c>
      <c r="K252" t="s">
        <v>5263</v>
      </c>
      <c r="L252">
        <v>180000000</v>
      </c>
      <c r="M252" t="s">
        <v>5530</v>
      </c>
      <c r="N252" t="s">
        <v>5531</v>
      </c>
      <c r="O252" t="s">
        <v>1806</v>
      </c>
      <c r="P252" t="s">
        <v>1809</v>
      </c>
    </row>
    <row r="253" spans="1:16" x14ac:dyDescent="0.25">
      <c r="A253" t="s">
        <v>494</v>
      </c>
      <c r="B253" t="s">
        <v>1269</v>
      </c>
      <c r="C253" t="s">
        <v>833</v>
      </c>
      <c r="D253" t="s">
        <v>4762</v>
      </c>
      <c r="E253" t="s">
        <v>533</v>
      </c>
      <c r="F253" t="s">
        <v>5352</v>
      </c>
      <c r="G253">
        <v>24651000</v>
      </c>
      <c r="H253">
        <v>0</v>
      </c>
      <c r="I253">
        <v>0</v>
      </c>
      <c r="J253">
        <v>0</v>
      </c>
      <c r="K253" t="s">
        <v>5263</v>
      </c>
      <c r="L253">
        <v>24651000</v>
      </c>
      <c r="M253" t="s">
        <v>5353</v>
      </c>
      <c r="N253" t="s">
        <v>5354</v>
      </c>
      <c r="O253" t="s">
        <v>1536</v>
      </c>
      <c r="P253" t="s">
        <v>1549</v>
      </c>
    </row>
    <row r="254" spans="1:16" x14ac:dyDescent="0.25">
      <c r="A254" t="s">
        <v>494</v>
      </c>
      <c r="B254" t="s">
        <v>1269</v>
      </c>
      <c r="C254" t="s">
        <v>833</v>
      </c>
      <c r="D254" t="s">
        <v>4762</v>
      </c>
      <c r="E254" t="s">
        <v>503</v>
      </c>
      <c r="F254" t="s">
        <v>5355</v>
      </c>
      <c r="G254">
        <v>2500000</v>
      </c>
      <c r="H254">
        <v>0</v>
      </c>
      <c r="I254">
        <v>0</v>
      </c>
      <c r="J254">
        <v>0</v>
      </c>
      <c r="K254" t="s">
        <v>5263</v>
      </c>
      <c r="L254">
        <v>2500000</v>
      </c>
      <c r="M254" t="s">
        <v>5356</v>
      </c>
      <c r="N254" t="s">
        <v>5357</v>
      </c>
      <c r="O254" t="s">
        <v>1536</v>
      </c>
      <c r="P254" t="s">
        <v>1538</v>
      </c>
    </row>
    <row r="255" spans="1:16" x14ac:dyDescent="0.25">
      <c r="A255" t="s">
        <v>494</v>
      </c>
      <c r="B255" t="s">
        <v>1269</v>
      </c>
      <c r="C255" t="s">
        <v>833</v>
      </c>
      <c r="D255" t="s">
        <v>4762</v>
      </c>
      <c r="E255" t="s">
        <v>503</v>
      </c>
      <c r="F255" t="s">
        <v>5358</v>
      </c>
      <c r="G255">
        <v>2000000</v>
      </c>
      <c r="H255">
        <v>0</v>
      </c>
      <c r="I255">
        <v>0</v>
      </c>
      <c r="J255">
        <v>0</v>
      </c>
      <c r="K255" t="s">
        <v>5263</v>
      </c>
      <c r="L255">
        <v>2000000</v>
      </c>
      <c r="M255" t="s">
        <v>5359</v>
      </c>
      <c r="N255" t="s">
        <v>4714</v>
      </c>
      <c r="O255" t="s">
        <v>1536</v>
      </c>
      <c r="P255" t="s">
        <v>1538</v>
      </c>
    </row>
    <row r="256" spans="1:16" x14ac:dyDescent="0.25">
      <c r="A256" t="s">
        <v>494</v>
      </c>
      <c r="B256" t="s">
        <v>1269</v>
      </c>
      <c r="C256" t="s">
        <v>833</v>
      </c>
      <c r="D256" t="s">
        <v>4672</v>
      </c>
      <c r="E256" t="s">
        <v>517</v>
      </c>
      <c r="F256" t="s">
        <v>5360</v>
      </c>
      <c r="G256">
        <v>1606000</v>
      </c>
      <c r="H256">
        <v>0</v>
      </c>
      <c r="I256">
        <v>0</v>
      </c>
      <c r="J256">
        <v>0</v>
      </c>
      <c r="K256" t="s">
        <v>5263</v>
      </c>
      <c r="L256">
        <v>1606000</v>
      </c>
      <c r="M256" t="s">
        <v>5361</v>
      </c>
      <c r="N256" t="s">
        <v>5362</v>
      </c>
      <c r="O256" t="s">
        <v>1448</v>
      </c>
      <c r="P256" t="s">
        <v>4022</v>
      </c>
    </row>
    <row r="257" spans="1:16" x14ac:dyDescent="0.25">
      <c r="A257" t="s">
        <v>494</v>
      </c>
      <c r="B257" t="s">
        <v>1269</v>
      </c>
      <c r="C257" t="s">
        <v>833</v>
      </c>
      <c r="D257" t="s">
        <v>4691</v>
      </c>
      <c r="E257" t="s">
        <v>564</v>
      </c>
      <c r="F257" t="s">
        <v>5363</v>
      </c>
      <c r="G257">
        <v>3000000</v>
      </c>
      <c r="H257">
        <v>0</v>
      </c>
      <c r="I257">
        <v>0</v>
      </c>
      <c r="J257">
        <v>0</v>
      </c>
      <c r="K257" t="s">
        <v>5263</v>
      </c>
      <c r="L257">
        <v>3000000</v>
      </c>
      <c r="M257" t="s">
        <v>5364</v>
      </c>
      <c r="N257" t="s">
        <v>5365</v>
      </c>
      <c r="O257" t="s">
        <v>1417</v>
      </c>
      <c r="P257" t="s">
        <v>1428</v>
      </c>
    </row>
    <row r="258" spans="1:16" x14ac:dyDescent="0.25">
      <c r="A258" t="s">
        <v>419</v>
      </c>
      <c r="B258" t="s">
        <v>616</v>
      </c>
      <c r="C258" t="s">
        <v>526</v>
      </c>
      <c r="D258" t="s">
        <v>5150</v>
      </c>
      <c r="E258" t="s">
        <v>518</v>
      </c>
      <c r="F258" t="s">
        <v>5366</v>
      </c>
      <c r="G258">
        <v>5000000</v>
      </c>
      <c r="H258">
        <v>0</v>
      </c>
      <c r="I258">
        <v>0</v>
      </c>
      <c r="J258">
        <v>0</v>
      </c>
      <c r="K258" t="s">
        <v>5263</v>
      </c>
      <c r="L258">
        <v>5000000</v>
      </c>
      <c r="M258" t="s">
        <v>5367</v>
      </c>
      <c r="N258" t="s">
        <v>5368</v>
      </c>
      <c r="O258" t="s">
        <v>485</v>
      </c>
      <c r="P258" t="s">
        <v>813</v>
      </c>
    </row>
    <row r="259" spans="1:16" x14ac:dyDescent="0.25">
      <c r="A259" t="s">
        <v>419</v>
      </c>
      <c r="B259" t="s">
        <v>616</v>
      </c>
      <c r="C259" t="s">
        <v>526</v>
      </c>
      <c r="D259" t="s">
        <v>5150</v>
      </c>
      <c r="E259" t="s">
        <v>533</v>
      </c>
      <c r="F259" t="s">
        <v>5369</v>
      </c>
      <c r="G259">
        <v>8784000</v>
      </c>
      <c r="H259">
        <v>0</v>
      </c>
      <c r="I259">
        <v>0</v>
      </c>
      <c r="J259">
        <v>0</v>
      </c>
      <c r="K259" t="s">
        <v>5263</v>
      </c>
      <c r="L259">
        <v>8784000</v>
      </c>
      <c r="M259" t="s">
        <v>5370</v>
      </c>
      <c r="N259" t="s">
        <v>5371</v>
      </c>
      <c r="O259" t="s">
        <v>485</v>
      </c>
      <c r="P259" t="s">
        <v>490</v>
      </c>
    </row>
    <row r="260" spans="1:16" x14ac:dyDescent="0.25">
      <c r="A260" t="s">
        <v>419</v>
      </c>
      <c r="B260" t="s">
        <v>616</v>
      </c>
      <c r="C260" t="s">
        <v>523</v>
      </c>
      <c r="D260" t="s">
        <v>5372</v>
      </c>
      <c r="E260" t="s">
        <v>513</v>
      </c>
      <c r="F260" t="s">
        <v>5373</v>
      </c>
      <c r="G260">
        <v>23030000</v>
      </c>
      <c r="H260">
        <v>0</v>
      </c>
      <c r="I260">
        <v>0</v>
      </c>
      <c r="J260">
        <v>0</v>
      </c>
      <c r="K260" t="s">
        <v>5263</v>
      </c>
      <c r="L260">
        <v>23030000</v>
      </c>
      <c r="M260" t="s">
        <v>5374</v>
      </c>
      <c r="N260" t="s">
        <v>5375</v>
      </c>
      <c r="O260" t="s">
        <v>794</v>
      </c>
      <c r="P260" t="s">
        <v>805</v>
      </c>
    </row>
    <row r="261" spans="1:16" x14ac:dyDescent="0.25">
      <c r="A261" t="s">
        <v>419</v>
      </c>
      <c r="B261" t="s">
        <v>616</v>
      </c>
      <c r="C261" t="s">
        <v>523</v>
      </c>
      <c r="D261" t="s">
        <v>5372</v>
      </c>
      <c r="E261" t="s">
        <v>516</v>
      </c>
      <c r="F261" t="s">
        <v>5376</v>
      </c>
      <c r="G261">
        <v>7200000</v>
      </c>
      <c r="H261">
        <v>0</v>
      </c>
      <c r="I261">
        <v>0</v>
      </c>
      <c r="J261">
        <v>0</v>
      </c>
      <c r="K261" t="s">
        <v>5263</v>
      </c>
      <c r="L261">
        <v>7200000</v>
      </c>
      <c r="M261" t="s">
        <v>5377</v>
      </c>
      <c r="N261" t="s">
        <v>5158</v>
      </c>
      <c r="O261" t="s">
        <v>794</v>
      </c>
      <c r="P261" t="s">
        <v>803</v>
      </c>
    </row>
    <row r="262" spans="1:16" x14ac:dyDescent="0.25">
      <c r="A262" t="s">
        <v>419</v>
      </c>
      <c r="B262" t="s">
        <v>616</v>
      </c>
      <c r="C262" t="s">
        <v>523</v>
      </c>
      <c r="D262" t="s">
        <v>5372</v>
      </c>
      <c r="E262" t="s">
        <v>533</v>
      </c>
      <c r="F262" t="s">
        <v>5378</v>
      </c>
      <c r="G262">
        <v>500000</v>
      </c>
      <c r="H262">
        <v>0</v>
      </c>
      <c r="I262">
        <v>0</v>
      </c>
      <c r="J262">
        <v>0</v>
      </c>
      <c r="K262" t="s">
        <v>5263</v>
      </c>
      <c r="L262">
        <v>500000</v>
      </c>
      <c r="M262" t="s">
        <v>5379</v>
      </c>
      <c r="N262" t="s">
        <v>5050</v>
      </c>
      <c r="O262" t="s">
        <v>794</v>
      </c>
      <c r="P262" t="s">
        <v>801</v>
      </c>
    </row>
    <row r="263" spans="1:16" x14ac:dyDescent="0.25">
      <c r="A263" t="s">
        <v>419</v>
      </c>
      <c r="B263" t="s">
        <v>616</v>
      </c>
      <c r="C263" t="s">
        <v>523</v>
      </c>
      <c r="D263" t="s">
        <v>5372</v>
      </c>
      <c r="E263" t="s">
        <v>503</v>
      </c>
      <c r="F263" t="s">
        <v>5380</v>
      </c>
      <c r="G263">
        <v>6000000</v>
      </c>
      <c r="H263">
        <v>0</v>
      </c>
      <c r="I263">
        <v>0</v>
      </c>
      <c r="J263">
        <v>0</v>
      </c>
      <c r="K263" t="s">
        <v>5263</v>
      </c>
      <c r="L263">
        <v>6000000</v>
      </c>
      <c r="M263" t="s">
        <v>5381</v>
      </c>
      <c r="N263" t="s">
        <v>4714</v>
      </c>
      <c r="O263" t="s">
        <v>794</v>
      </c>
      <c r="P263" t="s">
        <v>796</v>
      </c>
    </row>
    <row r="264" spans="1:16" x14ac:dyDescent="0.25">
      <c r="A264" t="s">
        <v>419</v>
      </c>
      <c r="B264" t="s">
        <v>616</v>
      </c>
      <c r="C264" t="s">
        <v>523</v>
      </c>
      <c r="D264" t="s">
        <v>5372</v>
      </c>
      <c r="E264" t="s">
        <v>503</v>
      </c>
      <c r="F264" t="s">
        <v>5382</v>
      </c>
      <c r="G264">
        <v>4830000</v>
      </c>
      <c r="H264">
        <v>0</v>
      </c>
      <c r="I264">
        <v>0</v>
      </c>
      <c r="J264">
        <v>0</v>
      </c>
      <c r="K264" t="s">
        <v>5263</v>
      </c>
      <c r="L264">
        <v>4830000</v>
      </c>
      <c r="M264" t="s">
        <v>5383</v>
      </c>
      <c r="N264" t="s">
        <v>4852</v>
      </c>
      <c r="O264" t="s">
        <v>794</v>
      </c>
      <c r="P264" t="s">
        <v>796</v>
      </c>
    </row>
    <row r="265" spans="1:16" x14ac:dyDescent="0.25">
      <c r="A265" t="s">
        <v>419</v>
      </c>
      <c r="B265" t="s">
        <v>616</v>
      </c>
      <c r="C265" t="s">
        <v>523</v>
      </c>
      <c r="D265" t="s">
        <v>5372</v>
      </c>
      <c r="E265" t="s">
        <v>503</v>
      </c>
      <c r="F265" t="s">
        <v>5384</v>
      </c>
      <c r="G265">
        <v>6000000</v>
      </c>
      <c r="H265">
        <v>0</v>
      </c>
      <c r="I265">
        <v>0</v>
      </c>
      <c r="J265">
        <v>0</v>
      </c>
      <c r="K265" t="s">
        <v>5263</v>
      </c>
      <c r="L265">
        <v>6000000</v>
      </c>
      <c r="M265" t="s">
        <v>5385</v>
      </c>
      <c r="N265" t="s">
        <v>4679</v>
      </c>
      <c r="O265" t="s">
        <v>794</v>
      </c>
      <c r="P265" t="s">
        <v>796</v>
      </c>
    </row>
    <row r="266" spans="1:16" x14ac:dyDescent="0.25">
      <c r="A266" t="s">
        <v>419</v>
      </c>
      <c r="B266" t="s">
        <v>616</v>
      </c>
      <c r="C266" t="s">
        <v>523</v>
      </c>
      <c r="D266" t="s">
        <v>5372</v>
      </c>
      <c r="E266" t="s">
        <v>503</v>
      </c>
      <c r="F266" t="s">
        <v>5386</v>
      </c>
      <c r="G266">
        <v>4000000</v>
      </c>
      <c r="H266">
        <v>0</v>
      </c>
      <c r="I266">
        <v>0</v>
      </c>
      <c r="J266">
        <v>0</v>
      </c>
      <c r="K266" t="s">
        <v>5263</v>
      </c>
      <c r="L266">
        <v>4000000</v>
      </c>
      <c r="M266" t="s">
        <v>5387</v>
      </c>
      <c r="N266" t="s">
        <v>4627</v>
      </c>
      <c r="O266" t="s">
        <v>794</v>
      </c>
      <c r="P266" t="s">
        <v>796</v>
      </c>
    </row>
    <row r="267" spans="1:16" x14ac:dyDescent="0.25">
      <c r="A267" t="s">
        <v>419</v>
      </c>
      <c r="B267" t="s">
        <v>616</v>
      </c>
      <c r="C267" t="s">
        <v>523</v>
      </c>
      <c r="D267" t="s">
        <v>4663</v>
      </c>
      <c r="E267" t="s">
        <v>503</v>
      </c>
      <c r="F267" t="s">
        <v>5388</v>
      </c>
      <c r="G267">
        <v>50000000</v>
      </c>
      <c r="H267">
        <v>0</v>
      </c>
      <c r="I267">
        <v>0</v>
      </c>
      <c r="J267">
        <v>0</v>
      </c>
      <c r="K267" t="s">
        <v>5263</v>
      </c>
      <c r="L267">
        <v>50000000</v>
      </c>
      <c r="M267" t="s">
        <v>5389</v>
      </c>
      <c r="N267" t="s">
        <v>5390</v>
      </c>
      <c r="O267" t="s">
        <v>469</v>
      </c>
      <c r="P267" t="s">
        <v>470</v>
      </c>
    </row>
    <row r="268" spans="1:16" x14ac:dyDescent="0.25">
      <c r="A268" t="s">
        <v>419</v>
      </c>
      <c r="B268" t="s">
        <v>616</v>
      </c>
      <c r="C268" t="s">
        <v>523</v>
      </c>
      <c r="D268" t="s">
        <v>5198</v>
      </c>
      <c r="E268" t="s">
        <v>507</v>
      </c>
      <c r="F268" t="s">
        <v>5391</v>
      </c>
      <c r="G268">
        <v>1500000</v>
      </c>
      <c r="H268">
        <v>0</v>
      </c>
      <c r="I268">
        <v>0</v>
      </c>
      <c r="J268">
        <v>0</v>
      </c>
      <c r="K268" t="s">
        <v>5263</v>
      </c>
      <c r="L268">
        <v>1500000</v>
      </c>
      <c r="M268" t="s">
        <v>5392</v>
      </c>
      <c r="N268" t="s">
        <v>5393</v>
      </c>
      <c r="O268" t="s">
        <v>451</v>
      </c>
      <c r="P268" t="s">
        <v>467</v>
      </c>
    </row>
    <row r="269" spans="1:16" x14ac:dyDescent="0.25">
      <c r="A269" t="s">
        <v>419</v>
      </c>
      <c r="B269" t="s">
        <v>616</v>
      </c>
      <c r="C269" t="s">
        <v>523</v>
      </c>
      <c r="D269" t="s">
        <v>5198</v>
      </c>
      <c r="E269" t="s">
        <v>518</v>
      </c>
      <c r="F269" t="s">
        <v>5394</v>
      </c>
      <c r="G269">
        <v>6000000</v>
      </c>
      <c r="H269">
        <v>0</v>
      </c>
      <c r="I269">
        <v>0</v>
      </c>
      <c r="J269">
        <v>0</v>
      </c>
      <c r="K269" t="s">
        <v>5263</v>
      </c>
      <c r="L269">
        <v>6000000</v>
      </c>
      <c r="M269" t="s">
        <v>5395</v>
      </c>
      <c r="N269" t="s">
        <v>5175</v>
      </c>
      <c r="O269" t="s">
        <v>451</v>
      </c>
      <c r="P269" t="s">
        <v>463</v>
      </c>
    </row>
    <row r="270" spans="1:16" x14ac:dyDescent="0.25">
      <c r="A270" t="s">
        <v>419</v>
      </c>
      <c r="B270" t="s">
        <v>616</v>
      </c>
      <c r="C270" t="s">
        <v>523</v>
      </c>
      <c r="D270" t="s">
        <v>5198</v>
      </c>
      <c r="E270" t="s">
        <v>533</v>
      </c>
      <c r="F270" t="s">
        <v>5396</v>
      </c>
      <c r="G270">
        <v>5000000</v>
      </c>
      <c r="H270">
        <v>0</v>
      </c>
      <c r="I270">
        <v>0</v>
      </c>
      <c r="J270">
        <v>0</v>
      </c>
      <c r="K270" t="s">
        <v>5263</v>
      </c>
      <c r="L270">
        <v>5000000</v>
      </c>
      <c r="M270" t="s">
        <v>5397</v>
      </c>
      <c r="N270" t="s">
        <v>5188</v>
      </c>
      <c r="O270" t="s">
        <v>451</v>
      </c>
      <c r="P270" t="s">
        <v>455</v>
      </c>
    </row>
    <row r="271" spans="1:16" x14ac:dyDescent="0.25">
      <c r="A271" t="s">
        <v>419</v>
      </c>
      <c r="B271" t="s">
        <v>616</v>
      </c>
      <c r="C271" t="s">
        <v>523</v>
      </c>
      <c r="D271" t="s">
        <v>5198</v>
      </c>
      <c r="E271" t="s">
        <v>503</v>
      </c>
      <c r="F271" t="s">
        <v>5398</v>
      </c>
      <c r="G271">
        <v>40000000</v>
      </c>
      <c r="H271">
        <v>0</v>
      </c>
      <c r="I271">
        <v>0</v>
      </c>
      <c r="J271">
        <v>0</v>
      </c>
      <c r="K271" t="s">
        <v>5263</v>
      </c>
      <c r="L271">
        <v>40000000</v>
      </c>
      <c r="M271" t="s">
        <v>5399</v>
      </c>
      <c r="N271" t="s">
        <v>5400</v>
      </c>
      <c r="O271" t="s">
        <v>451</v>
      </c>
      <c r="P271" t="s">
        <v>452</v>
      </c>
    </row>
    <row r="272" spans="1:16" x14ac:dyDescent="0.25">
      <c r="A272" t="s">
        <v>419</v>
      </c>
      <c r="B272" t="s">
        <v>616</v>
      </c>
      <c r="C272" t="s">
        <v>520</v>
      </c>
      <c r="D272" t="s">
        <v>4668</v>
      </c>
      <c r="E272" t="s">
        <v>503</v>
      </c>
      <c r="F272" t="s">
        <v>5401</v>
      </c>
      <c r="G272">
        <v>5750000</v>
      </c>
      <c r="H272">
        <v>0</v>
      </c>
      <c r="I272">
        <v>0</v>
      </c>
      <c r="J272">
        <v>0</v>
      </c>
      <c r="K272" t="s">
        <v>5263</v>
      </c>
      <c r="L272">
        <v>5750000</v>
      </c>
      <c r="M272" t="s">
        <v>5402</v>
      </c>
      <c r="N272" t="s">
        <v>5403</v>
      </c>
      <c r="O272" t="s">
        <v>440</v>
      </c>
      <c r="P272" t="s">
        <v>441</v>
      </c>
    </row>
    <row r="273" spans="1:16" x14ac:dyDescent="0.25">
      <c r="A273" t="s">
        <v>419</v>
      </c>
      <c r="B273" t="s">
        <v>616</v>
      </c>
      <c r="C273" t="s">
        <v>520</v>
      </c>
      <c r="D273" t="s">
        <v>4668</v>
      </c>
      <c r="E273" t="s">
        <v>503</v>
      </c>
      <c r="F273" t="s">
        <v>5404</v>
      </c>
      <c r="G273">
        <v>5750000</v>
      </c>
      <c r="H273">
        <v>0</v>
      </c>
      <c r="I273">
        <v>0</v>
      </c>
      <c r="J273">
        <v>0</v>
      </c>
      <c r="K273" t="s">
        <v>5263</v>
      </c>
      <c r="L273">
        <v>5750000</v>
      </c>
      <c r="M273" t="s">
        <v>5405</v>
      </c>
      <c r="N273" t="s">
        <v>5406</v>
      </c>
      <c r="O273" t="s">
        <v>440</v>
      </c>
      <c r="P273" t="s">
        <v>441</v>
      </c>
    </row>
    <row r="274" spans="1:16" x14ac:dyDescent="0.25">
      <c r="A274" t="s">
        <v>419</v>
      </c>
      <c r="B274" t="s">
        <v>616</v>
      </c>
      <c r="C274" t="s">
        <v>520</v>
      </c>
      <c r="D274" t="s">
        <v>4668</v>
      </c>
      <c r="E274" t="s">
        <v>503</v>
      </c>
      <c r="F274" t="s">
        <v>5407</v>
      </c>
      <c r="G274">
        <v>1000000</v>
      </c>
      <c r="H274">
        <v>0</v>
      </c>
      <c r="I274">
        <v>0</v>
      </c>
      <c r="J274">
        <v>0</v>
      </c>
      <c r="K274" t="s">
        <v>5263</v>
      </c>
      <c r="L274">
        <v>1000000</v>
      </c>
      <c r="M274" t="s">
        <v>5408</v>
      </c>
      <c r="N274" t="s">
        <v>4714</v>
      </c>
      <c r="O274" t="s">
        <v>440</v>
      </c>
      <c r="P274" t="s">
        <v>441</v>
      </c>
    </row>
    <row r="275" spans="1:16" x14ac:dyDescent="0.25">
      <c r="A275" t="s">
        <v>419</v>
      </c>
      <c r="B275" t="s">
        <v>616</v>
      </c>
      <c r="C275" t="s">
        <v>502</v>
      </c>
      <c r="D275" t="s">
        <v>5230</v>
      </c>
      <c r="E275" t="s">
        <v>503</v>
      </c>
      <c r="F275" t="s">
        <v>5409</v>
      </c>
      <c r="G275">
        <v>3000000</v>
      </c>
      <c r="H275">
        <v>0</v>
      </c>
      <c r="I275">
        <v>0</v>
      </c>
      <c r="J275">
        <v>0</v>
      </c>
      <c r="K275" t="s">
        <v>5263</v>
      </c>
      <c r="L275">
        <v>3000000</v>
      </c>
      <c r="M275" t="s">
        <v>5410</v>
      </c>
      <c r="N275" t="s">
        <v>4714</v>
      </c>
      <c r="O275" t="s">
        <v>431</v>
      </c>
      <c r="P275" t="s">
        <v>432</v>
      </c>
    </row>
    <row r="276" spans="1:16" x14ac:dyDescent="0.25">
      <c r="A276" t="s">
        <v>419</v>
      </c>
      <c r="B276" t="s">
        <v>616</v>
      </c>
      <c r="C276" t="s">
        <v>502</v>
      </c>
      <c r="D276" t="s">
        <v>5247</v>
      </c>
      <c r="E276" t="s">
        <v>503</v>
      </c>
      <c r="F276" t="s">
        <v>5411</v>
      </c>
      <c r="G276">
        <v>3000000</v>
      </c>
      <c r="H276">
        <v>0</v>
      </c>
      <c r="I276">
        <v>0</v>
      </c>
      <c r="J276">
        <v>0</v>
      </c>
      <c r="K276" t="s">
        <v>5263</v>
      </c>
      <c r="L276">
        <v>3000000</v>
      </c>
      <c r="M276" t="s">
        <v>5412</v>
      </c>
      <c r="N276" t="s">
        <v>4714</v>
      </c>
      <c r="O276" t="s">
        <v>423</v>
      </c>
      <c r="P276" t="s">
        <v>424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7" zoomScale="80" zoomScaleNormal="100" zoomScaleSheetLayoutView="80" workbookViewId="0">
      <selection activeCell="Z53" sqref="Z53"/>
    </sheetView>
  </sheetViews>
  <sheetFormatPr defaultRowHeight="15" x14ac:dyDescent="0.25"/>
  <cols>
    <col min="16" max="16" width="7" customWidth="1"/>
    <col min="17" max="17" width="5.5703125" customWidth="1"/>
    <col min="21" max="21" width="4.7109375" customWidth="1"/>
  </cols>
  <sheetData>
    <row r="1" spans="2:16" x14ac:dyDescent="0.25">
      <c r="B1" s="486" t="str">
        <f>'PERSUBBID - Gaji'!A1</f>
        <v>REALISASI TANPA GAJI (BERDASARKAN PAGU SETELAH BLOKIR)</v>
      </c>
      <c r="C1" s="486"/>
      <c r="D1" s="486"/>
      <c r="E1" s="486"/>
      <c r="F1" s="486"/>
      <c r="G1" s="486"/>
      <c r="H1" s="486"/>
      <c r="I1" s="486"/>
      <c r="J1" s="486"/>
      <c r="K1" s="486"/>
      <c r="L1" s="486"/>
      <c r="M1" s="486"/>
      <c r="N1" s="486"/>
      <c r="O1" s="486"/>
      <c r="P1" s="486"/>
    </row>
    <row r="2" spans="2:16" ht="15.75" x14ac:dyDescent="0.25">
      <c r="B2" s="477" t="str">
        <f>'PERSUBBID - Gaji'!A2</f>
        <v>Berdasarkan DIPA Revisi 2 TA. 2022 (Tanggal 10 Juni 2022)</v>
      </c>
      <c r="C2" s="477"/>
      <c r="D2" s="477"/>
      <c r="E2" s="477"/>
      <c r="F2" s="477"/>
      <c r="G2" s="477"/>
      <c r="H2" s="477"/>
      <c r="I2" s="477"/>
      <c r="J2" s="477"/>
      <c r="K2" s="477"/>
      <c r="L2" s="477"/>
      <c r="M2" s="477"/>
      <c r="N2" s="477"/>
      <c r="O2" s="477"/>
      <c r="P2" s="477"/>
    </row>
    <row r="3" spans="2:16" ht="15.75" x14ac:dyDescent="0.25">
      <c r="B3" s="477" t="str">
        <f>'PERSUBBID - Gaji'!A3</f>
        <v>SAMPAI DENGAN 15 JUNI 2022</v>
      </c>
      <c r="C3" s="477"/>
      <c r="D3" s="477"/>
      <c r="E3" s="477"/>
      <c r="F3" s="477"/>
      <c r="G3" s="477"/>
      <c r="H3" s="477"/>
      <c r="I3" s="477"/>
      <c r="J3" s="477"/>
      <c r="K3" s="477"/>
      <c r="L3" s="477"/>
      <c r="M3" s="477"/>
      <c r="N3" s="477"/>
      <c r="O3" s="477"/>
      <c r="P3" s="47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0" fitToHeight="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DIPA2</vt:lpstr>
      <vt:lpstr>DENGAN GAJI</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2022-06-17T12:38:23Z</cp:lastPrinted>
  <dcterms:created xsi:type="dcterms:W3CDTF">2021-07-27T04:05:22Z</dcterms:created>
  <dcterms:modified xsi:type="dcterms:W3CDTF">2022-06-20T10:24:55Z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