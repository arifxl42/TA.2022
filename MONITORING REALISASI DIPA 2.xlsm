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8.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69A2ED1D-2DE1-48E1-A5B1-F00707D3CA72}" xr6:coauthVersionLast="47" xr6:coauthVersionMax="47" xr10:uidLastSave="{00000000-0000-0000-0000-000000000000}"/>
  <bookViews>
    <workbookView xWindow="-120" yWindow="-120" windowWidth="29040" windowHeight="15840" tabRatio="872" firstSheet="1" activeTab="6"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BULAN'!$B$4:$AW$231</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 r:id="rId27"/>
    <pivotCache cacheId="1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67" i="13" l="1"/>
  <c r="Y68" i="13"/>
  <c r="Y75" i="13"/>
  <c r="C3" i="20"/>
  <c r="C2" i="20"/>
  <c r="C1" i="20"/>
  <c r="A3" i="35"/>
  <c r="A3" i="33"/>
  <c r="A3" i="34"/>
  <c r="A3" i="14"/>
  <c r="H14" i="13"/>
  <c r="Y239" i="13"/>
  <c r="Y238" i="13"/>
  <c r="G57" i="35" a="1"/>
  <c r="G57" i="35" s="1"/>
  <c r="F57" i="35" a="1"/>
  <c r="F57" i="35" s="1"/>
  <c r="E57" i="35" a="1"/>
  <c r="E57" i="35" s="1"/>
  <c r="D57" i="35" a="1"/>
  <c r="D57" i="35" s="1"/>
  <c r="C57" i="35" a="1"/>
  <c r="C57" i="35" s="1"/>
  <c r="G56" i="35" a="1"/>
  <c r="G56" i="35" s="1"/>
  <c r="F56" i="35"/>
  <c r="F56" i="35" a="1"/>
  <c r="E56" i="35"/>
  <c r="E58" i="35" s="1"/>
  <c r="E56" i="35" a="1"/>
  <c r="D56" i="35"/>
  <c r="D58" i="35" s="1"/>
  <c r="D56" i="35" a="1"/>
  <c r="C56" i="35"/>
  <c r="C58" i="35" s="1"/>
  <c r="C56" i="35" a="1"/>
  <c r="G54" i="35" a="1"/>
  <c r="G54" i="35" s="1"/>
  <c r="H54" i="35" s="1"/>
  <c r="F54" i="35" a="1"/>
  <c r="F54" i="35" s="1"/>
  <c r="E54" i="35" a="1"/>
  <c r="E54" i="35" s="1"/>
  <c r="D54" i="35" a="1"/>
  <c r="D54" i="35" s="1"/>
  <c r="D55" i="35" s="1"/>
  <c r="C54" i="35" a="1"/>
  <c r="C54" i="35" s="1"/>
  <c r="G53" i="35" a="1"/>
  <c r="G53" i="35" s="1"/>
  <c r="F53" i="35"/>
  <c r="F53" i="35" a="1"/>
  <c r="E53" i="35"/>
  <c r="E55" i="35" s="1"/>
  <c r="E53" i="35" a="1"/>
  <c r="D53" i="35"/>
  <c r="D53" i="35" a="1"/>
  <c r="C53" i="35"/>
  <c r="C55" i="35" s="1"/>
  <c r="C53" i="35" a="1"/>
  <c r="F52" i="35"/>
  <c r="G51" i="35" a="1"/>
  <c r="G51" i="35" s="1"/>
  <c r="H51" i="35" s="1"/>
  <c r="F51" i="35" a="1"/>
  <c r="F51" i="35" s="1"/>
  <c r="E51" i="35" a="1"/>
  <c r="E51" i="35" s="1"/>
  <c r="D51" i="35" a="1"/>
  <c r="D51" i="35" s="1"/>
  <c r="C51" i="35" a="1"/>
  <c r="C51" i="35" s="1"/>
  <c r="G50" i="35" a="1"/>
  <c r="G50" i="35" s="1"/>
  <c r="F50" i="35"/>
  <c r="F50" i="35" a="1"/>
  <c r="E50" i="35"/>
  <c r="E50" i="35" a="1"/>
  <c r="D50" i="35"/>
  <c r="D52" i="35" s="1"/>
  <c r="D50" i="35" a="1"/>
  <c r="C50" i="35"/>
  <c r="C50" i="35" a="1"/>
  <c r="D49" i="35"/>
  <c r="G48" i="35" a="1"/>
  <c r="G48" i="35" s="1"/>
  <c r="H48" i="35" s="1"/>
  <c r="F48" i="35" a="1"/>
  <c r="F48" i="35" s="1"/>
  <c r="E48" i="35" a="1"/>
  <c r="E48" i="35" s="1"/>
  <c r="D48" i="35" a="1"/>
  <c r="D48" i="35" s="1"/>
  <c r="C48" i="35" a="1"/>
  <c r="C48" i="35" s="1"/>
  <c r="G47" i="35" a="1"/>
  <c r="G47" i="35" s="1"/>
  <c r="F47" i="35"/>
  <c r="F47" i="35" a="1"/>
  <c r="E47" i="35"/>
  <c r="E49" i="35" s="1"/>
  <c r="E47" i="35" a="1"/>
  <c r="D47" i="35"/>
  <c r="D47" i="35" a="1"/>
  <c r="C47" i="35"/>
  <c r="C49" i="35" s="1"/>
  <c r="C47" i="35" a="1"/>
  <c r="G36" i="35" a="1"/>
  <c r="G36" i="35" s="1"/>
  <c r="F35" i="35"/>
  <c r="F35" i="35" a="1"/>
  <c r="E35" i="35"/>
  <c r="E35" i="35" a="1"/>
  <c r="D35" i="35"/>
  <c r="D35" i="35" a="1"/>
  <c r="C35" i="35"/>
  <c r="C35" i="35" a="1"/>
  <c r="G34" i="35" a="1"/>
  <c r="G34" i="35" s="1"/>
  <c r="H34" i="35" s="1"/>
  <c r="F34" i="35" a="1"/>
  <c r="F34" i="35" s="1"/>
  <c r="E34" i="35" a="1"/>
  <c r="E34" i="35" s="1"/>
  <c r="D34" i="35" a="1"/>
  <c r="D34" i="35" s="1"/>
  <c r="D33" i="35" s="1"/>
  <c r="C34" i="35" a="1"/>
  <c r="C34" i="35" s="1"/>
  <c r="E33" i="35"/>
  <c r="F23" i="35"/>
  <c r="G22" i="35" a="1"/>
  <c r="G22" i="35" s="1"/>
  <c r="F22" i="35" a="1"/>
  <c r="F22" i="35" s="1"/>
  <c r="E22" i="35" a="1"/>
  <c r="E22" i="35" s="1"/>
  <c r="D22" i="35" a="1"/>
  <c r="D22" i="35" s="1"/>
  <c r="C22" i="35" a="1"/>
  <c r="C22" i="35" s="1"/>
  <c r="G21" i="35" a="1"/>
  <c r="G21" i="35" s="1"/>
  <c r="F21" i="35"/>
  <c r="F21" i="35" a="1"/>
  <c r="E21" i="35"/>
  <c r="E21" i="35" a="1"/>
  <c r="D21" i="35"/>
  <c r="D23" i="35" s="1"/>
  <c r="D21" i="35" a="1"/>
  <c r="C21" i="35"/>
  <c r="C23" i="35" s="1"/>
  <c r="C21" i="35" a="1"/>
  <c r="G19" i="35" a="1"/>
  <c r="G19" i="35" s="1"/>
  <c r="H19" i="35" s="1"/>
  <c r="F19" i="35" a="1"/>
  <c r="F19" i="35" s="1"/>
  <c r="E19" i="35" a="1"/>
  <c r="E19" i="35" s="1"/>
  <c r="D19" i="35" a="1"/>
  <c r="D19" i="35" s="1"/>
  <c r="C19" i="35" a="1"/>
  <c r="C19" i="35" s="1"/>
  <c r="G18" i="35" a="1"/>
  <c r="G18" i="35" s="1"/>
  <c r="F18" i="35"/>
  <c r="F20" i="35" s="1"/>
  <c r="F18" i="35" a="1"/>
  <c r="E18" i="35"/>
  <c r="E20" i="35" s="1"/>
  <c r="E18" i="35" a="1"/>
  <c r="D18" i="35"/>
  <c r="D20" i="35" s="1"/>
  <c r="D18" i="35" a="1"/>
  <c r="C18" i="35"/>
  <c r="C18" i="35" a="1"/>
  <c r="G16" i="35" a="1"/>
  <c r="G16" i="35" s="1"/>
  <c r="F16" i="35" a="1"/>
  <c r="F16" i="35" s="1"/>
  <c r="E16" i="35" a="1"/>
  <c r="E16" i="35" s="1"/>
  <c r="D16" i="35" a="1"/>
  <c r="D16" i="35" s="1"/>
  <c r="C16" i="35" a="1"/>
  <c r="C16" i="35" s="1"/>
  <c r="G15" i="35" a="1"/>
  <c r="G15" i="35" s="1"/>
  <c r="F15" i="35"/>
  <c r="F15" i="35" a="1"/>
  <c r="E15" i="35"/>
  <c r="E15" i="35" a="1"/>
  <c r="D15" i="35"/>
  <c r="D15" i="35" a="1"/>
  <c r="C15" i="35"/>
  <c r="C14" i="35" s="1" a="1"/>
  <c r="C14" i="35" s="1"/>
  <c r="C17" i="35" s="1"/>
  <c r="C15" i="35" a="1"/>
  <c r="F14" i="35" a="1"/>
  <c r="F14" i="35" s="1"/>
  <c r="E14" i="35" a="1"/>
  <c r="E14" i="35" s="1"/>
  <c r="E17" i="35" s="1"/>
  <c r="D14" i="35" a="1"/>
  <c r="D14" i="35" s="1"/>
  <c r="F12" i="35"/>
  <c r="F32" i="35" s="1"/>
  <c r="F12" i="35" a="1"/>
  <c r="E12" i="35"/>
  <c r="E32" i="35" s="1"/>
  <c r="E38" i="35" s="1"/>
  <c r="E12" i="35" a="1"/>
  <c r="D12" i="35"/>
  <c r="D32" i="35" s="1"/>
  <c r="D12" i="35" a="1"/>
  <c r="C12" i="35"/>
  <c r="C32" i="35" s="1"/>
  <c r="C12" i="35" a="1"/>
  <c r="G11" i="35" a="1"/>
  <c r="G11" i="35" s="1"/>
  <c r="F11" i="35" a="1"/>
  <c r="F11" i="35" s="1"/>
  <c r="E11" i="35" a="1"/>
  <c r="E11" i="35" s="1"/>
  <c r="D11" i="35" a="1"/>
  <c r="D11" i="35" s="1"/>
  <c r="C11" i="35" a="1"/>
  <c r="C11" i="35" s="1"/>
  <c r="G10" i="35" a="1"/>
  <c r="G10" i="35" s="1"/>
  <c r="F10" i="35"/>
  <c r="F36" i="35" s="1"/>
  <c r="F10" i="35" a="1"/>
  <c r="E10" i="35"/>
  <c r="E36" i="35" s="1"/>
  <c r="E10" i="35" a="1"/>
  <c r="D10" i="35"/>
  <c r="D36" i="35" s="1"/>
  <c r="D10" i="35" a="1"/>
  <c r="C10" i="35"/>
  <c r="C36" i="35" s="1"/>
  <c r="C10" i="35" a="1"/>
  <c r="G9" i="35" a="1"/>
  <c r="G9" i="35" s="1"/>
  <c r="F9" i="35" a="1"/>
  <c r="F9" i="35" s="1"/>
  <c r="E9" i="35" a="1"/>
  <c r="E9" i="35" s="1"/>
  <c r="E8" i="35" s="1" a="1"/>
  <c r="E8" i="35" s="1"/>
  <c r="E13" i="35" s="1"/>
  <c r="D9" i="35" a="1"/>
  <c r="D9" i="35" s="1"/>
  <c r="C9" i="35" a="1"/>
  <c r="C9" i="35" s="1"/>
  <c r="C8" i="35" s="1" a="1"/>
  <c r="C8" i="35"/>
  <c r="C13" i="35" s="1"/>
  <c r="A2" i="35"/>
  <c r="A1" i="35"/>
  <c r="G53" i="34" a="1"/>
  <c r="G53" i="34" s="1"/>
  <c r="F53" i="34" a="1"/>
  <c r="F53" i="34" s="1"/>
  <c r="E53" i="34" a="1"/>
  <c r="E53" i="34" s="1"/>
  <c r="D53" i="34" a="1"/>
  <c r="D53" i="34" s="1"/>
  <c r="C53" i="34" a="1"/>
  <c r="C53" i="34" s="1"/>
  <c r="G52" i="34" a="1"/>
  <c r="G52" i="34" s="1"/>
  <c r="F52" i="34"/>
  <c r="F54" i="34" s="1"/>
  <c r="F52" i="34" a="1"/>
  <c r="E52" i="34" a="1"/>
  <c r="E52" i="34" s="1"/>
  <c r="E54" i="34" s="1"/>
  <c r="D52" i="34"/>
  <c r="D52" i="34" a="1"/>
  <c r="C52" i="34" a="1"/>
  <c r="C52" i="34" s="1"/>
  <c r="C54" i="34" s="1"/>
  <c r="G50" i="34" a="1"/>
  <c r="G50" i="34" s="1"/>
  <c r="H50" i="34" s="1"/>
  <c r="F50" i="34" a="1"/>
  <c r="F50" i="34" s="1"/>
  <c r="E50" i="34" a="1"/>
  <c r="E50" i="34" s="1"/>
  <c r="D50" i="34" a="1"/>
  <c r="D50" i="34" s="1"/>
  <c r="C50" i="34" a="1"/>
  <c r="C50" i="34" s="1"/>
  <c r="G49" i="34"/>
  <c r="G49" i="34" a="1"/>
  <c r="F49" i="34" a="1"/>
  <c r="F49" i="34" s="1"/>
  <c r="E49" i="34"/>
  <c r="E51" i="34" s="1"/>
  <c r="E49" i="34" a="1"/>
  <c r="D49" i="34" a="1"/>
  <c r="D49" i="34" s="1"/>
  <c r="C49" i="34"/>
  <c r="C49" i="34" a="1"/>
  <c r="G47" i="34"/>
  <c r="G47" i="34" a="1"/>
  <c r="F47" i="34" a="1"/>
  <c r="F47" i="34" s="1"/>
  <c r="E47" i="34"/>
  <c r="E47" i="34" a="1"/>
  <c r="D47" i="34" a="1"/>
  <c r="D47" i="34" s="1"/>
  <c r="C47" i="34"/>
  <c r="C47" i="34" a="1"/>
  <c r="G46" i="34" a="1"/>
  <c r="G46" i="34" s="1"/>
  <c r="F46" i="34"/>
  <c r="F48" i="34" s="1"/>
  <c r="F46" i="34" a="1"/>
  <c r="E46" i="34" a="1"/>
  <c r="E46" i="34" s="1"/>
  <c r="E48" i="34" s="1"/>
  <c r="D46" i="34"/>
  <c r="D48" i="34" s="1"/>
  <c r="D46" i="34" a="1"/>
  <c r="C46" i="34" a="1"/>
  <c r="C46" i="34" s="1"/>
  <c r="C48" i="34" s="1"/>
  <c r="G44" i="34" a="1"/>
  <c r="G44" i="34" s="1"/>
  <c r="H44" i="34" s="1"/>
  <c r="F44" i="34"/>
  <c r="F44" i="34" a="1"/>
  <c r="E44" i="34" a="1"/>
  <c r="E44" i="34" s="1"/>
  <c r="D44" i="34"/>
  <c r="D44" i="34" a="1"/>
  <c r="C44" i="34" a="1"/>
  <c r="C44" i="34" s="1"/>
  <c r="G43" i="34" a="1"/>
  <c r="G43" i="34" s="1"/>
  <c r="F43" i="34" a="1"/>
  <c r="F43" i="34" s="1"/>
  <c r="F45" i="34" s="1"/>
  <c r="E43" i="34"/>
  <c r="E43" i="34" a="1"/>
  <c r="D43" i="34" a="1"/>
  <c r="D43" i="34" s="1"/>
  <c r="D45" i="34" s="1"/>
  <c r="C43" i="34"/>
  <c r="C45" i="34" s="1"/>
  <c r="C43" i="34" a="1"/>
  <c r="G33" i="34" a="1"/>
  <c r="G33" i="34" s="1"/>
  <c r="F32" i="34"/>
  <c r="F32" i="34" a="1"/>
  <c r="E32" i="34" a="1"/>
  <c r="E32" i="34" s="1"/>
  <c r="D32" i="34"/>
  <c r="D30" i="34" s="1"/>
  <c r="D32" i="34" a="1"/>
  <c r="C32" i="34" a="1"/>
  <c r="C32" i="34" s="1"/>
  <c r="G31" i="34" a="1"/>
  <c r="G31" i="34" s="1"/>
  <c r="H31" i="34" s="1"/>
  <c r="F31" i="34"/>
  <c r="F31" i="34" a="1"/>
  <c r="E31" i="34" a="1"/>
  <c r="E31" i="34" s="1"/>
  <c r="E30" i="34" s="1"/>
  <c r="E35" i="34" s="1"/>
  <c r="D31" i="34"/>
  <c r="D31" i="34" a="1"/>
  <c r="C31" i="34" a="1"/>
  <c r="C31" i="34" s="1"/>
  <c r="C30" i="34"/>
  <c r="G21" i="34"/>
  <c r="G21" i="34" a="1"/>
  <c r="F21" i="34"/>
  <c r="F21" i="34" a="1"/>
  <c r="E21" i="34"/>
  <c r="E21" i="34" a="1"/>
  <c r="D21" i="34" a="1"/>
  <c r="D21" i="34" s="1"/>
  <c r="D22" i="34" s="1"/>
  <c r="C21" i="34"/>
  <c r="C21" i="34" a="1"/>
  <c r="G20" i="34" a="1"/>
  <c r="G20" i="34" s="1"/>
  <c r="I20" i="34" s="1"/>
  <c r="J20" i="34" s="1"/>
  <c r="F20" i="34"/>
  <c r="F20" i="34" a="1"/>
  <c r="E20" i="34" a="1"/>
  <c r="E20" i="34" s="1"/>
  <c r="E22" i="34" s="1"/>
  <c r="D20" i="34"/>
  <c r="D20" i="34" a="1"/>
  <c r="C20" i="34" a="1"/>
  <c r="C20" i="34" s="1"/>
  <c r="C22" i="34" s="1"/>
  <c r="G18" i="34" a="1"/>
  <c r="G18" i="34" s="1"/>
  <c r="H18" i="34" s="1"/>
  <c r="F18" i="34"/>
  <c r="F18" i="34" a="1"/>
  <c r="E18" i="34" a="1"/>
  <c r="E18" i="34" s="1"/>
  <c r="D18" i="34"/>
  <c r="D18" i="34" a="1"/>
  <c r="C18" i="34" a="1"/>
  <c r="C18" i="34" s="1"/>
  <c r="G17" i="34" a="1"/>
  <c r="G17" i="34" s="1"/>
  <c r="F17" i="34" a="1"/>
  <c r="F17" i="34" s="1"/>
  <c r="E17" i="34"/>
  <c r="E17" i="34" a="1"/>
  <c r="D17" i="34" a="1"/>
  <c r="D17" i="34" s="1"/>
  <c r="D19" i="34" s="1"/>
  <c r="C17" i="34"/>
  <c r="C19" i="34" s="1"/>
  <c r="C17" i="34" a="1"/>
  <c r="G15" i="34" a="1"/>
  <c r="G15" i="34" s="1"/>
  <c r="F15" i="34"/>
  <c r="F15" i="34" a="1"/>
  <c r="E15" i="34"/>
  <c r="E15" i="34" a="1"/>
  <c r="D15" i="34"/>
  <c r="D15" i="34" a="1"/>
  <c r="C15" i="34"/>
  <c r="C15" i="34" a="1"/>
  <c r="G14" i="34" a="1"/>
  <c r="G14" i="34" s="1"/>
  <c r="H14" i="34" s="1"/>
  <c r="F14" i="34"/>
  <c r="F13" i="34" s="1" a="1"/>
  <c r="F13" i="34" s="1"/>
  <c r="F14" i="34" a="1"/>
  <c r="E14" i="34" a="1"/>
  <c r="E14" i="34" s="1"/>
  <c r="D14" i="34"/>
  <c r="D16" i="34" s="1"/>
  <c r="D14" i="34" a="1"/>
  <c r="C14" i="34" a="1"/>
  <c r="C14" i="34" s="1"/>
  <c r="E13" i="34" a="1"/>
  <c r="E13" i="34" s="1"/>
  <c r="E16" i="34" s="1"/>
  <c r="D13" i="34"/>
  <c r="D13" i="34" a="1"/>
  <c r="C13" i="34" a="1"/>
  <c r="C13" i="34" s="1"/>
  <c r="C16" i="34" s="1"/>
  <c r="G11" i="34" a="1"/>
  <c r="G11" i="34" s="1"/>
  <c r="F11" i="34" a="1"/>
  <c r="F11" i="34" s="1"/>
  <c r="E11" i="34"/>
  <c r="E11" i="34" a="1"/>
  <c r="D11" i="34" a="1"/>
  <c r="D11" i="34" s="1"/>
  <c r="C11" i="34"/>
  <c r="C11" i="34" a="1"/>
  <c r="G10" i="34" a="1"/>
  <c r="G10" i="34" s="1"/>
  <c r="F10" i="34" a="1"/>
  <c r="F10" i="34" s="1"/>
  <c r="E10" i="34"/>
  <c r="E33" i="34" s="1"/>
  <c r="E10" i="34" a="1"/>
  <c r="D10" i="34" a="1"/>
  <c r="D10" i="34" s="1"/>
  <c r="D33" i="34" s="1"/>
  <c r="C10" i="34"/>
  <c r="C33" i="34" s="1"/>
  <c r="C10" i="34" a="1"/>
  <c r="G9" i="34" a="1"/>
  <c r="G9" i="34" s="1"/>
  <c r="F9" i="34" a="1"/>
  <c r="F9" i="34" s="1"/>
  <c r="E9" i="34" a="1"/>
  <c r="E9" i="34" s="1"/>
  <c r="D9" i="34"/>
  <c r="D9" i="34" a="1"/>
  <c r="C9" i="34" a="1"/>
  <c r="C9" i="34" s="1"/>
  <c r="C8" i="34" s="1" a="1"/>
  <c r="C8" i="34" s="1"/>
  <c r="C12" i="34" s="1"/>
  <c r="C23" i="34" s="1"/>
  <c r="C24" i="34" s="1"/>
  <c r="E8" i="34" a="1"/>
  <c r="E8" i="34" s="1"/>
  <c r="E12" i="34" s="1"/>
  <c r="A2" i="34"/>
  <c r="A1" i="34"/>
  <c r="A1" i="33"/>
  <c r="A1" i="14"/>
  <c r="I36" i="35" l="1"/>
  <c r="J36" i="35" s="1"/>
  <c r="I22" i="35"/>
  <c r="J22" i="35" s="1"/>
  <c r="I21" i="34"/>
  <c r="J21" i="34" s="1"/>
  <c r="H15" i="34"/>
  <c r="I17" i="34"/>
  <c r="J17" i="34" s="1"/>
  <c r="I53" i="34"/>
  <c r="J53" i="34" s="1"/>
  <c r="G49" i="35"/>
  <c r="I47" i="35"/>
  <c r="J47" i="35" s="1"/>
  <c r="H10" i="34"/>
  <c r="G8" i="34" a="1"/>
  <c r="G8" i="34" s="1"/>
  <c r="I11" i="34"/>
  <c r="J11" i="34" s="1"/>
  <c r="I50" i="35"/>
  <c r="J50" i="35" s="1"/>
  <c r="I47" i="34"/>
  <c r="J47" i="34" s="1"/>
  <c r="I49" i="34"/>
  <c r="J49" i="34" s="1"/>
  <c r="G8" i="35" a="1"/>
  <c r="G8" i="35" s="1"/>
  <c r="I16" i="35"/>
  <c r="J16" i="35" s="1"/>
  <c r="I48" i="35"/>
  <c r="J48" i="35" s="1"/>
  <c r="G55" i="35"/>
  <c r="I53" i="35"/>
  <c r="J53" i="35" s="1"/>
  <c r="I54" i="35"/>
  <c r="J54" i="35" s="1"/>
  <c r="I57" i="35"/>
  <c r="J57" i="35" s="1"/>
  <c r="H36" i="35"/>
  <c r="F8" i="35" a="1"/>
  <c r="F8" i="35" s="1"/>
  <c r="I9" i="35"/>
  <c r="J9" i="35" s="1"/>
  <c r="E23" i="35"/>
  <c r="E24" i="35" s="1"/>
  <c r="G23" i="35"/>
  <c r="H23" i="35" s="1"/>
  <c r="H21" i="35"/>
  <c r="H57" i="35"/>
  <c r="H15" i="35"/>
  <c r="H11" i="35"/>
  <c r="H16" i="35"/>
  <c r="H10" i="35"/>
  <c r="I15" i="35"/>
  <c r="J15" i="35" s="1"/>
  <c r="C20" i="35"/>
  <c r="C24" i="35" s="1"/>
  <c r="C25" i="35" s="1"/>
  <c r="G20" i="35"/>
  <c r="H20" i="35" s="1"/>
  <c r="H22" i="35"/>
  <c r="I34" i="35"/>
  <c r="J34" i="35" s="1"/>
  <c r="F33" i="35"/>
  <c r="F49" i="35"/>
  <c r="I56" i="35"/>
  <c r="J56" i="35" s="1"/>
  <c r="D59" i="35"/>
  <c r="G58" i="35"/>
  <c r="H56" i="35"/>
  <c r="H49" i="35"/>
  <c r="D38" i="35"/>
  <c r="D40" i="35" s="1"/>
  <c r="F38" i="35"/>
  <c r="D8" i="35" a="1"/>
  <c r="D8" i="35" s="1"/>
  <c r="D13" i="35" s="1"/>
  <c r="H9" i="35"/>
  <c r="I10" i="35"/>
  <c r="J10" i="35" s="1"/>
  <c r="I11" i="35"/>
  <c r="J11" i="35" s="1"/>
  <c r="D17" i="35"/>
  <c r="F17" i="35"/>
  <c r="I18" i="35"/>
  <c r="J18" i="35" s="1"/>
  <c r="I19" i="35"/>
  <c r="J19" i="35" s="1"/>
  <c r="I21" i="35"/>
  <c r="J21" i="35" s="1"/>
  <c r="C33" i="35"/>
  <c r="C38" i="35" s="1"/>
  <c r="C40" i="35" s="1"/>
  <c r="C52" i="35"/>
  <c r="C59" i="35" s="1"/>
  <c r="C60" i="35" s="1"/>
  <c r="E52" i="35"/>
  <c r="E59" i="35" s="1"/>
  <c r="G52" i="35"/>
  <c r="H52" i="35" s="1"/>
  <c r="H50" i="35"/>
  <c r="I51" i="35"/>
  <c r="J51" i="35" s="1"/>
  <c r="F55" i="35"/>
  <c r="F58" i="35"/>
  <c r="I58" i="35" s="1"/>
  <c r="J58" i="35" s="1"/>
  <c r="H18" i="35"/>
  <c r="H47" i="35"/>
  <c r="H53" i="35"/>
  <c r="G19" i="34"/>
  <c r="G12" i="34"/>
  <c r="F33" i="34"/>
  <c r="I33" i="34" s="1"/>
  <c r="J33" i="34" s="1"/>
  <c r="I10" i="34"/>
  <c r="J10" i="34" s="1"/>
  <c r="F55" i="34"/>
  <c r="F8" i="34" a="1"/>
  <c r="F8" i="34" s="1"/>
  <c r="H8" i="34" s="1"/>
  <c r="H9" i="34"/>
  <c r="I9" i="34"/>
  <c r="J9" i="34" s="1"/>
  <c r="I15" i="34"/>
  <c r="J15" i="34" s="1"/>
  <c r="H21" i="34"/>
  <c r="C35" i="34"/>
  <c r="C37" i="34" s="1"/>
  <c r="D35" i="34"/>
  <c r="D37" i="34" s="1"/>
  <c r="H47" i="34"/>
  <c r="C51" i="34"/>
  <c r="F16" i="34"/>
  <c r="E19" i="34"/>
  <c r="E23" i="34" s="1"/>
  <c r="H17" i="34"/>
  <c r="I18" i="34"/>
  <c r="J18" i="34" s="1"/>
  <c r="G45" i="34"/>
  <c r="H43" i="34"/>
  <c r="D51" i="34"/>
  <c r="F51" i="34"/>
  <c r="D54" i="34"/>
  <c r="D55" i="34" s="1"/>
  <c r="D56" i="34" s="1"/>
  <c r="G54" i="34"/>
  <c r="H54" i="34" s="1"/>
  <c r="H52" i="34"/>
  <c r="D8" i="34" a="1"/>
  <c r="D8" i="34" s="1"/>
  <c r="D12" i="34" s="1"/>
  <c r="D23" i="34" s="1"/>
  <c r="H11" i="34"/>
  <c r="F19" i="34"/>
  <c r="F22" i="34"/>
  <c r="H33" i="34"/>
  <c r="E45" i="34"/>
  <c r="E55" i="34" s="1"/>
  <c r="G48" i="34"/>
  <c r="H48" i="34" s="1"/>
  <c r="H46" i="34"/>
  <c r="G51" i="34"/>
  <c r="H51" i="34" s="1"/>
  <c r="H49" i="34"/>
  <c r="I50" i="34"/>
  <c r="J50" i="34" s="1"/>
  <c r="I52" i="34"/>
  <c r="J52" i="34" s="1"/>
  <c r="I14" i="34"/>
  <c r="J14" i="34" s="1"/>
  <c r="G22" i="34"/>
  <c r="H22" i="34" s="1"/>
  <c r="H20" i="34"/>
  <c r="I31" i="34"/>
  <c r="J31" i="34" s="1"/>
  <c r="F30" i="34"/>
  <c r="C55" i="34"/>
  <c r="C56" i="34" s="1"/>
  <c r="I43" i="34"/>
  <c r="J43" i="34" s="1"/>
  <c r="I44" i="34"/>
  <c r="J44" i="34" s="1"/>
  <c r="I46" i="34"/>
  <c r="J46" i="34" s="1"/>
  <c r="H53" i="34"/>
  <c r="Y142" i="16"/>
  <c r="B3" i="27"/>
  <c r="B1" i="27"/>
  <c r="D38" i="33"/>
  <c r="E38" i="33"/>
  <c r="F38" i="33"/>
  <c r="C38" i="33"/>
  <c r="D32" i="33"/>
  <c r="E32" i="33"/>
  <c r="F32" i="33"/>
  <c r="C32" i="33"/>
  <c r="F12" i="33" a="1"/>
  <c r="F12" i="33" s="1"/>
  <c r="E12" i="33" a="1"/>
  <c r="E12" i="33" s="1"/>
  <c r="D12" i="33" a="1"/>
  <c r="D12" i="33" s="1"/>
  <c r="C12" i="33" a="1"/>
  <c r="C12" i="33" s="1"/>
  <c r="G57" i="33" a="1"/>
  <c r="G57" i="33" s="1"/>
  <c r="F57" i="33" a="1"/>
  <c r="F57" i="33" s="1"/>
  <c r="E57" i="33" a="1"/>
  <c r="E57" i="33" s="1"/>
  <c r="D57" i="33" a="1"/>
  <c r="D57" i="33" s="1"/>
  <c r="C57" i="33" a="1"/>
  <c r="C57" i="33" s="1"/>
  <c r="G56" i="33" a="1"/>
  <c r="G56" i="33" s="1"/>
  <c r="G58" i="33" s="1"/>
  <c r="F56" i="33" a="1"/>
  <c r="F56" i="33" s="1"/>
  <c r="E56" i="33" a="1"/>
  <c r="E56" i="33" s="1"/>
  <c r="D56" i="33" a="1"/>
  <c r="D56" i="33" s="1"/>
  <c r="D58" i="33" s="1"/>
  <c r="C56" i="33" a="1"/>
  <c r="C56" i="33" s="1"/>
  <c r="C58" i="33" s="1"/>
  <c r="G54" i="33" a="1"/>
  <c r="G54" i="33" s="1"/>
  <c r="F54" i="33" a="1"/>
  <c r="F54" i="33" s="1"/>
  <c r="E54" i="33" a="1"/>
  <c r="E54" i="33" s="1"/>
  <c r="D54" i="33" a="1"/>
  <c r="D54" i="33" s="1"/>
  <c r="C54" i="33" a="1"/>
  <c r="C54" i="33" s="1"/>
  <c r="G53" i="33" a="1"/>
  <c r="G53" i="33" s="1"/>
  <c r="F53" i="33" a="1"/>
  <c r="F53" i="33" s="1"/>
  <c r="F55" i="33" s="1"/>
  <c r="E53" i="33"/>
  <c r="E53" i="33" a="1"/>
  <c r="D53" i="33" a="1"/>
  <c r="D53" i="33" s="1"/>
  <c r="C53" i="33" a="1"/>
  <c r="C53" i="33" s="1"/>
  <c r="G51" i="33" a="1"/>
  <c r="G51" i="33" s="1"/>
  <c r="F51" i="33" a="1"/>
  <c r="F51" i="33" s="1"/>
  <c r="E51" i="33" a="1"/>
  <c r="E51" i="33" s="1"/>
  <c r="D51" i="33" a="1"/>
  <c r="D51" i="33" s="1"/>
  <c r="C51" i="33" a="1"/>
  <c r="C51" i="33" s="1"/>
  <c r="G50" i="33" a="1"/>
  <c r="G50" i="33" s="1"/>
  <c r="F50" i="33" a="1"/>
  <c r="F50" i="33" s="1"/>
  <c r="E50" i="33" a="1"/>
  <c r="E50" i="33" s="1"/>
  <c r="D50" i="33" a="1"/>
  <c r="D50" i="33" s="1"/>
  <c r="C50" i="33" a="1"/>
  <c r="C50" i="33" s="1"/>
  <c r="C52" i="33" s="1"/>
  <c r="G48" i="33" a="1"/>
  <c r="G48" i="33" s="1"/>
  <c r="F48" i="33" a="1"/>
  <c r="F48" i="33" s="1"/>
  <c r="E48" i="33" a="1"/>
  <c r="E48" i="33" s="1"/>
  <c r="D48" i="33" a="1"/>
  <c r="D48" i="33" s="1"/>
  <c r="C48" i="33" a="1"/>
  <c r="C48" i="33" s="1"/>
  <c r="G47" i="33" a="1"/>
  <c r="G47" i="33" s="1"/>
  <c r="F47" i="33" a="1"/>
  <c r="F47" i="33" s="1"/>
  <c r="E47" i="33" a="1"/>
  <c r="E47" i="33" s="1"/>
  <c r="E49" i="33" s="1"/>
  <c r="D47" i="33" a="1"/>
  <c r="D47" i="33" s="1"/>
  <c r="C47" i="33" a="1"/>
  <c r="C47" i="33" s="1"/>
  <c r="I45" i="33"/>
  <c r="G45" i="33"/>
  <c r="G36" i="33" a="1"/>
  <c r="G36" i="33" s="1"/>
  <c r="F35" i="33" a="1"/>
  <c r="F35" i="33" s="1"/>
  <c r="E35" i="33" a="1"/>
  <c r="E35" i="33" s="1"/>
  <c r="D35" i="33" a="1"/>
  <c r="D35" i="33" s="1"/>
  <c r="C35" i="33" a="1"/>
  <c r="C35" i="33" s="1"/>
  <c r="G34" i="33" a="1"/>
  <c r="G34" i="33" s="1"/>
  <c r="F34" i="33" a="1"/>
  <c r="F34" i="33" s="1"/>
  <c r="E34" i="33" a="1"/>
  <c r="E34" i="33" s="1"/>
  <c r="D34" i="33" a="1"/>
  <c r="D34" i="33" s="1"/>
  <c r="D33" i="33" s="1"/>
  <c r="C34" i="33" a="1"/>
  <c r="C34" i="33" s="1"/>
  <c r="C33" i="33" s="1"/>
  <c r="I30" i="33"/>
  <c r="G30" i="33"/>
  <c r="G22" i="33" a="1"/>
  <c r="G22" i="33" s="1"/>
  <c r="F22" i="33" a="1"/>
  <c r="F22" i="33" s="1"/>
  <c r="E22" i="33" a="1"/>
  <c r="E22" i="33" s="1"/>
  <c r="D22" i="33" a="1"/>
  <c r="D22" i="33" s="1"/>
  <c r="C22" i="33" a="1"/>
  <c r="C22" i="33" s="1"/>
  <c r="G21" i="33" a="1"/>
  <c r="G21" i="33" s="1"/>
  <c r="F21" i="33" a="1"/>
  <c r="F21" i="33" s="1"/>
  <c r="E21" i="33" a="1"/>
  <c r="E21" i="33" s="1"/>
  <c r="D21" i="33" a="1"/>
  <c r="D21" i="33" s="1"/>
  <c r="C21" i="33" a="1"/>
  <c r="C21" i="33" s="1"/>
  <c r="G19" i="33" a="1"/>
  <c r="G19" i="33" s="1"/>
  <c r="F19" i="33" a="1"/>
  <c r="F19" i="33" s="1"/>
  <c r="E19" i="33" a="1"/>
  <c r="E19" i="33" s="1"/>
  <c r="D19" i="33" a="1"/>
  <c r="D19" i="33" s="1"/>
  <c r="C19" i="33" a="1"/>
  <c r="C19" i="33" s="1"/>
  <c r="G18" i="33" a="1"/>
  <c r="G18" i="33" s="1"/>
  <c r="F18" i="33" a="1"/>
  <c r="F18" i="33" s="1"/>
  <c r="F20" i="33" s="1"/>
  <c r="E18" i="33" a="1"/>
  <c r="E18" i="33" s="1"/>
  <c r="D18" i="33" a="1"/>
  <c r="D18" i="33" s="1"/>
  <c r="D20" i="33" s="1"/>
  <c r="C18" i="33" a="1"/>
  <c r="C18" i="33" s="1"/>
  <c r="G16" i="33" a="1"/>
  <c r="G16" i="33" s="1"/>
  <c r="F16" i="33" a="1"/>
  <c r="F16" i="33" s="1"/>
  <c r="E16" i="33" a="1"/>
  <c r="E16" i="33" s="1"/>
  <c r="D16" i="33" a="1"/>
  <c r="D16" i="33" s="1"/>
  <c r="C16" i="33" a="1"/>
  <c r="C16" i="33" s="1"/>
  <c r="F15" i="33" a="1"/>
  <c r="F15" i="33" s="1"/>
  <c r="E15" i="33" a="1"/>
  <c r="E15" i="33" s="1"/>
  <c r="E14" i="33" s="1" a="1"/>
  <c r="E14" i="33" s="1"/>
  <c r="D15" i="33" a="1"/>
  <c r="D15" i="33" s="1"/>
  <c r="C15" i="33"/>
  <c r="C14" i="33" s="1" a="1"/>
  <c r="C14" i="33" s="1"/>
  <c r="C17" i="33" s="1"/>
  <c r="C15" i="33" a="1"/>
  <c r="D14" i="33" a="1"/>
  <c r="D14" i="33" s="1"/>
  <c r="G11" i="33" a="1"/>
  <c r="G11" i="33" s="1"/>
  <c r="I11" i="33" s="1"/>
  <c r="J11" i="33" s="1"/>
  <c r="F11" i="33" a="1"/>
  <c r="F11" i="33" s="1"/>
  <c r="E11" i="33" a="1"/>
  <c r="E11" i="33" s="1"/>
  <c r="D11" i="33" a="1"/>
  <c r="D11" i="33" s="1"/>
  <c r="C11" i="33" a="1"/>
  <c r="C11" i="33" s="1"/>
  <c r="G10" i="33" a="1"/>
  <c r="G10" i="33" s="1"/>
  <c r="F10" i="33" a="1"/>
  <c r="F10" i="33" s="1"/>
  <c r="E10" i="33" a="1"/>
  <c r="E10" i="33" s="1"/>
  <c r="E36" i="33" s="1"/>
  <c r="D10" i="33" a="1"/>
  <c r="D10" i="33" s="1"/>
  <c r="D36" i="33" s="1"/>
  <c r="C10" i="33" a="1"/>
  <c r="C10" i="33" s="1"/>
  <c r="C36" i="33" s="1"/>
  <c r="G9" i="33" a="1"/>
  <c r="G9" i="33" s="1"/>
  <c r="F9" i="33" a="1"/>
  <c r="F9" i="33" s="1"/>
  <c r="F8" i="33" s="1" a="1"/>
  <c r="F8" i="33" s="1"/>
  <c r="F13" i="33" s="1"/>
  <c r="E9" i="33" a="1"/>
  <c r="E9" i="33" s="1"/>
  <c r="D9" i="33" a="1"/>
  <c r="D9" i="33" s="1"/>
  <c r="D8" i="33" s="1" a="1"/>
  <c r="D8" i="33" s="1"/>
  <c r="D13" i="33" s="1"/>
  <c r="C9" i="33" a="1"/>
  <c r="C9" i="33" s="1"/>
  <c r="C8" i="33" s="1" a="1"/>
  <c r="C8" i="33" s="1"/>
  <c r="C13" i="33" s="1"/>
  <c r="I6" i="33"/>
  <c r="G6" i="33"/>
  <c r="A2" i="33"/>
  <c r="G53" i="14" a="1"/>
  <c r="G53" i="14" s="1"/>
  <c r="G52" i="14" a="1"/>
  <c r="G52" i="14" s="1"/>
  <c r="G50" i="14" a="1"/>
  <c r="G50" i="14" s="1"/>
  <c r="G49" i="14" a="1"/>
  <c r="G49" i="14" s="1"/>
  <c r="G47" i="14" a="1"/>
  <c r="G47" i="14" s="1"/>
  <c r="G46" i="14" a="1"/>
  <c r="G46" i="14" s="1"/>
  <c r="G44" i="14" a="1"/>
  <c r="G44" i="14" s="1"/>
  <c r="F53" i="14" a="1"/>
  <c r="F53" i="14" s="1"/>
  <c r="F52" i="14" a="1"/>
  <c r="F52" i="14" s="1"/>
  <c r="F50" i="14" a="1"/>
  <c r="F50" i="14" s="1"/>
  <c r="F49" i="14" a="1"/>
  <c r="F49" i="14" s="1"/>
  <c r="F47" i="14" a="1"/>
  <c r="F47" i="14" s="1"/>
  <c r="F46" i="14" a="1"/>
  <c r="F46" i="14" s="1"/>
  <c r="F44" i="14" a="1"/>
  <c r="F44" i="14" s="1"/>
  <c r="E53" i="14" a="1"/>
  <c r="E53" i="14" s="1"/>
  <c r="E52" i="14" a="1"/>
  <c r="E52" i="14" s="1"/>
  <c r="E50" i="14" a="1"/>
  <c r="E50" i="14" s="1"/>
  <c r="E49" i="14" a="1"/>
  <c r="E49" i="14" s="1"/>
  <c r="E47" i="14" a="1"/>
  <c r="E47" i="14" s="1"/>
  <c r="E46" i="14" a="1"/>
  <c r="E46" i="14" s="1"/>
  <c r="E44" i="14" a="1"/>
  <c r="E44" i="14" s="1"/>
  <c r="E43" i="14" a="1"/>
  <c r="E43" i="14" s="1"/>
  <c r="D53" i="14" a="1"/>
  <c r="D53" i="14" s="1"/>
  <c r="D52" i="14" a="1"/>
  <c r="D52" i="14" s="1"/>
  <c r="D50" i="14" a="1"/>
  <c r="D50" i="14" s="1"/>
  <c r="D49" i="14" a="1"/>
  <c r="D49" i="14" s="1"/>
  <c r="D47" i="14" a="1"/>
  <c r="D47" i="14" s="1"/>
  <c r="D46" i="14" a="1"/>
  <c r="D46" i="14" s="1"/>
  <c r="D44" i="14" a="1"/>
  <c r="D44" i="14" s="1"/>
  <c r="D43" i="14" a="1"/>
  <c r="D43" i="14" s="1"/>
  <c r="I41" i="14"/>
  <c r="G41" i="14"/>
  <c r="I6" i="14"/>
  <c r="G6" i="14"/>
  <c r="I28" i="14"/>
  <c r="G28" i="14"/>
  <c r="E32" i="14" a="1"/>
  <c r="E32" i="14" s="1"/>
  <c r="D32" i="14" a="1"/>
  <c r="D32" i="14" s="1"/>
  <c r="E31" i="14" a="1"/>
  <c r="E31" i="14" s="1"/>
  <c r="D31" i="14" a="1"/>
  <c r="D31" i="14" s="1"/>
  <c r="E21" i="14" a="1"/>
  <c r="E21" i="14" s="1"/>
  <c r="D21" i="14" a="1"/>
  <c r="D21" i="14" s="1"/>
  <c r="E20" i="14" a="1"/>
  <c r="E20" i="14" s="1"/>
  <c r="D20" i="14" a="1"/>
  <c r="D20" i="14" s="1"/>
  <c r="E18" i="14" a="1"/>
  <c r="E18" i="14" s="1"/>
  <c r="D18" i="14" a="1"/>
  <c r="D18" i="14" s="1"/>
  <c r="E17" i="14" a="1"/>
  <c r="E17" i="14" s="1"/>
  <c r="D17" i="14" a="1"/>
  <c r="D17" i="14" s="1"/>
  <c r="E14" i="14" a="1"/>
  <c r="E14" i="14" s="1"/>
  <c r="E13" i="14" s="1" a="1"/>
  <c r="E13" i="14" s="1"/>
  <c r="D14" i="14" a="1"/>
  <c r="D14" i="14" s="1"/>
  <c r="D13" i="14" a="1"/>
  <c r="D13" i="14" s="1"/>
  <c r="C53" i="14" a="1"/>
  <c r="C53" i="14" s="1"/>
  <c r="C52" i="14" a="1"/>
  <c r="C52" i="14" s="1"/>
  <c r="C50" i="14" a="1"/>
  <c r="C50" i="14" s="1"/>
  <c r="C49" i="14" a="1"/>
  <c r="C49" i="14" s="1"/>
  <c r="C47" i="14" a="1"/>
  <c r="C47" i="14" s="1"/>
  <c r="C46" i="14" a="1"/>
  <c r="C46" i="14" s="1"/>
  <c r="C44" i="14" a="1"/>
  <c r="C44" i="14" s="1"/>
  <c r="C43" i="14" a="1"/>
  <c r="C43" i="14" s="1"/>
  <c r="C32" i="14" a="1"/>
  <c r="C32" i="14" s="1"/>
  <c r="C31" i="14" a="1"/>
  <c r="C31" i="14" s="1"/>
  <c r="C21" i="14" a="1"/>
  <c r="C21" i="14" s="1"/>
  <c r="C20" i="14" a="1"/>
  <c r="C20" i="14" s="1"/>
  <c r="C18" i="14" a="1"/>
  <c r="C18" i="14" s="1"/>
  <c r="C17" i="14" a="1"/>
  <c r="C17" i="14" s="1"/>
  <c r="C15" i="14" a="1"/>
  <c r="C15" i="14" s="1"/>
  <c r="C14" i="14" a="1"/>
  <c r="C14" i="14" s="1"/>
  <c r="C13" i="14" s="1" a="1"/>
  <c r="C13" i="14" s="1"/>
  <c r="C11" i="14" a="1"/>
  <c r="C11" i="14" s="1"/>
  <c r="C10" i="14" a="1"/>
  <c r="C10" i="14" s="1"/>
  <c r="C9" i="14" a="1"/>
  <c r="C9" i="14" s="1"/>
  <c r="F43" i="14" a="1"/>
  <c r="F43" i="14" s="1"/>
  <c r="F21" i="14" a="1"/>
  <c r="F21" i="14" s="1"/>
  <c r="F20" i="14" a="1"/>
  <c r="F20" i="14" s="1"/>
  <c r="F18" i="14" a="1"/>
  <c r="F18" i="14" s="1"/>
  <c r="F17" i="14" a="1"/>
  <c r="F17" i="14" s="1"/>
  <c r="F15" i="14" a="1"/>
  <c r="F15" i="14" s="1"/>
  <c r="F14" i="14" a="1"/>
  <c r="F14" i="14" s="1"/>
  <c r="F13" i="14" s="1" a="1"/>
  <c r="F13" i="14" s="1"/>
  <c r="F11" i="14" a="1"/>
  <c r="F11" i="14" s="1"/>
  <c r="F9" i="14" a="1"/>
  <c r="F9" i="14" s="1"/>
  <c r="F32" i="14" a="1"/>
  <c r="F32" i="14" s="1"/>
  <c r="F31" i="14" a="1"/>
  <c r="F31" i="14" s="1"/>
  <c r="F10" i="14" a="1"/>
  <c r="F10" i="14" s="1"/>
  <c r="E15" i="14" a="1"/>
  <c r="E15" i="14" s="1"/>
  <c r="D15" i="14" a="1"/>
  <c r="D15" i="14" s="1"/>
  <c r="E11" i="14" a="1"/>
  <c r="E11" i="14" s="1"/>
  <c r="D11" i="14" a="1"/>
  <c r="D11" i="14" s="1"/>
  <c r="E10" i="14" a="1"/>
  <c r="E10" i="14" s="1"/>
  <c r="E33" i="14" s="1"/>
  <c r="E9" i="14" a="1"/>
  <c r="E9" i="14" s="1"/>
  <c r="D10" i="14" a="1"/>
  <c r="D10" i="14" s="1"/>
  <c r="D33" i="14" s="1"/>
  <c r="D9" i="14" a="1"/>
  <c r="D9" i="14" s="1"/>
  <c r="Q15" i="32" a="1"/>
  <c r="Q15" i="32" s="1"/>
  <c r="U15" i="32"/>
  <c r="V15" i="32"/>
  <c r="W15" i="32"/>
  <c r="X15" i="32"/>
  <c r="Y15" i="32"/>
  <c r="AA15" i="32"/>
  <c r="AB15" i="32"/>
  <c r="AC15" i="32"/>
  <c r="AD15" i="32"/>
  <c r="AE15" i="32"/>
  <c r="AF15" i="32"/>
  <c r="AP15" i="32"/>
  <c r="AQ15" i="32"/>
  <c r="AR15" i="32"/>
  <c r="AS15" i="32"/>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S144" i="16"/>
  <c r="T144" i="16"/>
  <c r="U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I19" i="34" l="1"/>
  <c r="J19" i="34" s="1"/>
  <c r="I23" i="35"/>
  <c r="J23" i="35" s="1"/>
  <c r="I55" i="35"/>
  <c r="J55" i="35" s="1"/>
  <c r="I53" i="14"/>
  <c r="J53" i="14" s="1"/>
  <c r="I20" i="35"/>
  <c r="J20" i="35" s="1"/>
  <c r="H58" i="35"/>
  <c r="F40" i="35"/>
  <c r="D60" i="35"/>
  <c r="I52" i="35"/>
  <c r="J52" i="35" s="1"/>
  <c r="F13" i="35"/>
  <c r="I8" i="35"/>
  <c r="J8" i="35" s="1"/>
  <c r="D24" i="35"/>
  <c r="D25" i="35" s="1"/>
  <c r="I49" i="35"/>
  <c r="J49" i="35" s="1"/>
  <c r="F59" i="35"/>
  <c r="G59" i="35"/>
  <c r="H8" i="35"/>
  <c r="H55" i="35"/>
  <c r="D24" i="34"/>
  <c r="I51" i="34"/>
  <c r="J51" i="34" s="1"/>
  <c r="G55" i="34"/>
  <c r="I55" i="34" s="1"/>
  <c r="J55" i="34" s="1"/>
  <c r="H45" i="34"/>
  <c r="I54" i="34"/>
  <c r="J54" i="34" s="1"/>
  <c r="I45" i="34"/>
  <c r="J45" i="34" s="1"/>
  <c r="F35" i="34"/>
  <c r="F56" i="34"/>
  <c r="I22" i="34"/>
  <c r="J22" i="34" s="1"/>
  <c r="H19" i="34"/>
  <c r="I48" i="34"/>
  <c r="J48" i="34" s="1"/>
  <c r="F12" i="34"/>
  <c r="H12" i="34" s="1"/>
  <c r="I8" i="34"/>
  <c r="J8" i="34" s="1"/>
  <c r="E48" i="14"/>
  <c r="C48" i="14"/>
  <c r="C54" i="14"/>
  <c r="G52" i="33"/>
  <c r="H52" i="33" s="1"/>
  <c r="E20" i="33"/>
  <c r="I47" i="33"/>
  <c r="J47" i="33" s="1"/>
  <c r="D55" i="33"/>
  <c r="D23" i="33"/>
  <c r="I22" i="33"/>
  <c r="J22" i="33" s="1"/>
  <c r="D52" i="33"/>
  <c r="E23" i="33"/>
  <c r="D49" i="33"/>
  <c r="E58" i="33"/>
  <c r="E33" i="33"/>
  <c r="H48" i="33"/>
  <c r="H54" i="33"/>
  <c r="I56" i="33"/>
  <c r="J56" i="33" s="1"/>
  <c r="D17" i="33"/>
  <c r="D24" i="33" s="1"/>
  <c r="E17" i="33"/>
  <c r="H16" i="33"/>
  <c r="G20" i="33"/>
  <c r="I19" i="33"/>
  <c r="J19" i="33" s="1"/>
  <c r="H51" i="33"/>
  <c r="I9" i="33"/>
  <c r="J9" i="33" s="1"/>
  <c r="I50" i="33"/>
  <c r="J50" i="33" s="1"/>
  <c r="E8" i="33" a="1"/>
  <c r="E8" i="33" s="1"/>
  <c r="G8" i="33" a="1"/>
  <c r="G8" i="33" s="1"/>
  <c r="H9" i="33"/>
  <c r="I10" i="33"/>
  <c r="J10" i="33" s="1"/>
  <c r="F36" i="33"/>
  <c r="I36" i="33" s="1"/>
  <c r="J36" i="33" s="1"/>
  <c r="F14" i="33" a="1"/>
  <c r="F14" i="33" s="1"/>
  <c r="H22" i="33"/>
  <c r="D59" i="33"/>
  <c r="E52" i="33"/>
  <c r="I51" i="33"/>
  <c r="J51" i="33" s="1"/>
  <c r="F52" i="33"/>
  <c r="G23" i="33"/>
  <c r="H21" i="33"/>
  <c r="H36" i="33"/>
  <c r="H10" i="33"/>
  <c r="I16" i="33"/>
  <c r="J16" i="33" s="1"/>
  <c r="H19" i="33"/>
  <c r="C23" i="33"/>
  <c r="F23" i="33"/>
  <c r="I21" i="33"/>
  <c r="J21" i="33" s="1"/>
  <c r="C40" i="33"/>
  <c r="H34" i="33"/>
  <c r="I34" i="33"/>
  <c r="J34" i="33" s="1"/>
  <c r="F33" i="33"/>
  <c r="H58" i="33"/>
  <c r="I57" i="33"/>
  <c r="J57" i="33" s="1"/>
  <c r="F58" i="33"/>
  <c r="I58" i="33" s="1"/>
  <c r="J58" i="33" s="1"/>
  <c r="C20" i="33"/>
  <c r="I20" i="33" s="1"/>
  <c r="J20" i="33" s="1"/>
  <c r="I18" i="33"/>
  <c r="J18" i="33" s="1"/>
  <c r="C49" i="33"/>
  <c r="G49" i="33"/>
  <c r="I48" i="33"/>
  <c r="J48" i="33" s="1"/>
  <c r="C55" i="33"/>
  <c r="E55" i="33"/>
  <c r="E59" i="33" s="1"/>
  <c r="G55" i="33"/>
  <c r="H55" i="33" s="1"/>
  <c r="I54" i="33"/>
  <c r="J54" i="33" s="1"/>
  <c r="H57" i="33"/>
  <c r="H50" i="33"/>
  <c r="H56" i="33"/>
  <c r="I53" i="33"/>
  <c r="J53" i="33" s="1"/>
  <c r="F49" i="33"/>
  <c r="H11" i="33"/>
  <c r="H18" i="33"/>
  <c r="H47" i="33"/>
  <c r="H53" i="33"/>
  <c r="D45" i="14"/>
  <c r="D51" i="14"/>
  <c r="E51" i="14"/>
  <c r="H50" i="14"/>
  <c r="D48" i="14"/>
  <c r="D54" i="14"/>
  <c r="E54" i="14"/>
  <c r="F48" i="14"/>
  <c r="F54" i="14"/>
  <c r="E45" i="14"/>
  <c r="I44" i="14"/>
  <c r="J44" i="14" s="1"/>
  <c r="I50" i="14"/>
  <c r="J50" i="14" s="1"/>
  <c r="H52" i="14"/>
  <c r="H47" i="14"/>
  <c r="H53" i="14"/>
  <c r="C45" i="14"/>
  <c r="C51" i="14"/>
  <c r="G51" i="14"/>
  <c r="H46" i="14"/>
  <c r="I47" i="14"/>
  <c r="J47" i="14" s="1"/>
  <c r="D19" i="14"/>
  <c r="I52" i="14"/>
  <c r="J52" i="14" s="1"/>
  <c r="F51" i="14"/>
  <c r="H44" i="14"/>
  <c r="I49" i="14"/>
  <c r="J49" i="14" s="1"/>
  <c r="F45" i="14"/>
  <c r="G48" i="14"/>
  <c r="H48" i="14" s="1"/>
  <c r="G54" i="14"/>
  <c r="H49" i="14"/>
  <c r="I46" i="14"/>
  <c r="J46" i="14" s="1"/>
  <c r="D16" i="14"/>
  <c r="E19" i="14"/>
  <c r="E22" i="14"/>
  <c r="F19" i="14"/>
  <c r="C8" i="14" a="1"/>
  <c r="C8" i="14" s="1"/>
  <c r="F33" i="14"/>
  <c r="D22" i="14"/>
  <c r="D8" i="14" a="1"/>
  <c r="D8" i="14" s="1"/>
  <c r="D12" i="14" s="1"/>
  <c r="E16" i="14"/>
  <c r="E8" i="14" a="1"/>
  <c r="E8" i="14" s="1"/>
  <c r="E12" i="14" s="1"/>
  <c r="F16" i="14"/>
  <c r="E30" i="14"/>
  <c r="E35" i="14" s="1"/>
  <c r="D30" i="14"/>
  <c r="D35" i="14" s="1"/>
  <c r="F30" i="14"/>
  <c r="F35" i="14" s="1"/>
  <c r="F37" i="14" s="1"/>
  <c r="F8" i="14" a="1"/>
  <c r="F8" i="14" s="1"/>
  <c r="F22" i="14"/>
  <c r="AL13" i="32"/>
  <c r="AM13" i="32" s="1"/>
  <c r="AL14" i="32"/>
  <c r="AL5" i="32"/>
  <c r="AM5" i="32" s="1"/>
  <c r="AL6" i="32"/>
  <c r="AM6" i="32" s="1"/>
  <c r="AL7" i="32"/>
  <c r="AM7" i="32" s="1"/>
  <c r="AM14" i="32"/>
  <c r="AL8" i="32"/>
  <c r="AM8" i="32" s="1"/>
  <c r="AL9" i="32"/>
  <c r="AM9" i="32" s="1"/>
  <c r="AL11" i="32"/>
  <c r="AM11" i="32" s="1"/>
  <c r="AN13" i="32"/>
  <c r="AO13" i="32" s="1"/>
  <c r="AN14" i="32"/>
  <c r="AO14" i="32" s="1"/>
  <c r="AL4" i="32"/>
  <c r="AN9" i="32"/>
  <c r="AO9" i="32" s="1"/>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I52" i="33" l="1"/>
  <c r="J52" i="33" s="1"/>
  <c r="AN5" i="32"/>
  <c r="AO5" i="32" s="1"/>
  <c r="AM4" i="32"/>
  <c r="H59" i="35"/>
  <c r="G60" i="35"/>
  <c r="F60" i="35"/>
  <c r="I59" i="35"/>
  <c r="J59" i="35" s="1"/>
  <c r="F24" i="35"/>
  <c r="F37" i="34"/>
  <c r="F23" i="34"/>
  <c r="I12" i="34"/>
  <c r="J12" i="34" s="1"/>
  <c r="H55" i="34"/>
  <c r="G56" i="34"/>
  <c r="H56" i="34" s="1"/>
  <c r="H54" i="14"/>
  <c r="E55" i="14"/>
  <c r="I51" i="14"/>
  <c r="J51" i="14" s="1"/>
  <c r="I8" i="33"/>
  <c r="J8" i="33" s="1"/>
  <c r="H20" i="33"/>
  <c r="E24" i="33"/>
  <c r="D25" i="33" s="1"/>
  <c r="E13" i="33"/>
  <c r="D40" i="33"/>
  <c r="I23" i="33"/>
  <c r="J23" i="33" s="1"/>
  <c r="I49" i="33"/>
  <c r="J49" i="33" s="1"/>
  <c r="F59" i="33"/>
  <c r="C59" i="33"/>
  <c r="C60" i="33" s="1"/>
  <c r="I55" i="33"/>
  <c r="J55" i="33" s="1"/>
  <c r="H8" i="33"/>
  <c r="H49" i="33"/>
  <c r="G59" i="33"/>
  <c r="D60" i="33"/>
  <c r="F17" i="33"/>
  <c r="C24" i="33"/>
  <c r="C25" i="33" s="1"/>
  <c r="H23" i="33"/>
  <c r="D55" i="14"/>
  <c r="D56" i="14" s="1"/>
  <c r="D23" i="14"/>
  <c r="I54" i="14"/>
  <c r="J54" i="14" s="1"/>
  <c r="H51" i="14"/>
  <c r="I48" i="14"/>
  <c r="J48" i="14" s="1"/>
  <c r="F55" i="14"/>
  <c r="D37" i="14"/>
  <c r="E23" i="14"/>
  <c r="F12" i="14"/>
  <c r="AN8" i="32"/>
  <c r="AO8" i="32" s="1"/>
  <c r="AN6" i="32"/>
  <c r="AO6" i="32" s="1"/>
  <c r="AN7" i="32"/>
  <c r="AO7" i="32" s="1"/>
  <c r="AN11" i="32"/>
  <c r="AO11" i="32" s="1"/>
  <c r="AN4" i="32"/>
  <c r="AO4" i="32" s="1"/>
  <c r="AN12" i="32"/>
  <c r="AO12" i="32" s="1"/>
  <c r="AN10" i="32"/>
  <c r="AO10" i="32" s="1"/>
  <c r="I18" i="13"/>
  <c r="I17" i="13" s="1"/>
  <c r="I16" i="13" s="1"/>
  <c r="I15" i="13" s="1"/>
  <c r="I146" i="13"/>
  <c r="I67" i="13"/>
  <c r="I60" i="35" l="1"/>
  <c r="J60" i="35" s="1"/>
  <c r="F25" i="35"/>
  <c r="H60" i="35"/>
  <c r="F24" i="34"/>
  <c r="I56" i="34"/>
  <c r="J56" i="34" s="1"/>
  <c r="F24" i="33"/>
  <c r="F25" i="33" s="1"/>
  <c r="F40" i="33"/>
  <c r="H59" i="33"/>
  <c r="G60" i="33"/>
  <c r="F60" i="33"/>
  <c r="I59" i="33"/>
  <c r="J59" i="33" s="1"/>
  <c r="D24" i="14"/>
  <c r="F56" i="14"/>
  <c r="F23" i="14"/>
  <c r="I61" i="13"/>
  <c r="I60" i="13" s="1"/>
  <c r="I14" i="13" s="1"/>
  <c r="I60" i="33" l="1"/>
  <c r="J60" i="33" s="1"/>
  <c r="H60" i="33"/>
  <c r="F24" i="14"/>
  <c r="F249" i="13"/>
  <c r="G249" i="13"/>
  <c r="H249" i="13"/>
  <c r="AR249" i="13"/>
  <c r="AQ249" i="13"/>
  <c r="AP249" i="13"/>
  <c r="AO249" i="13"/>
  <c r="AN249" i="13"/>
  <c r="AM249" i="13"/>
  <c r="AL249" i="13"/>
  <c r="AK249" i="13"/>
  <c r="AJ249" i="13"/>
  <c r="AI249" i="13"/>
  <c r="AH249" i="13"/>
  <c r="AG249" i="13"/>
  <c r="AF249" i="13"/>
  <c r="AE249" i="13"/>
  <c r="AD249" i="13"/>
  <c r="AC249" i="13"/>
  <c r="AB249" i="13"/>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AN15" i="32"/>
  <c r="AO15" i="32"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G32" i="33" l="1"/>
  <c r="I12" i="33"/>
  <c r="J12" i="33" s="1"/>
  <c r="H12" i="33"/>
  <c r="G13" i="33"/>
  <c r="I12" i="35"/>
  <c r="J12" i="35" s="1"/>
  <c r="G13" i="35"/>
  <c r="H12" i="35"/>
  <c r="G32" i="35"/>
  <c r="H67" i="13"/>
  <c r="H146" i="13"/>
  <c r="H61" i="13" s="1"/>
  <c r="H60" i="13" s="1"/>
  <c r="H13" i="35" l="1"/>
  <c r="I13" i="35"/>
  <c r="J13" i="35" s="1"/>
  <c r="I32" i="35"/>
  <c r="J32" i="35" s="1"/>
  <c r="H32" i="35"/>
  <c r="I13" i="33"/>
  <c r="J13" i="33" s="1"/>
  <c r="H13" i="33"/>
  <c r="H32" i="33"/>
  <c r="I32" i="33"/>
  <c r="J32" i="33" s="1"/>
  <c r="AT247" i="13"/>
  <c r="AV247" i="13" s="1"/>
  <c r="AW247" i="13" s="1"/>
  <c r="AT246" i="13"/>
  <c r="AT242" i="13"/>
  <c r="AV242" i="13" s="1"/>
  <c r="AW242" i="13" s="1"/>
  <c r="AU98" i="13"/>
  <c r="Y248" i="13"/>
  <c r="V248" i="13"/>
  <c r="AT248" i="13" s="1"/>
  <c r="AU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7" i="13" l="1"/>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c r="AW236" i="13" s="1"/>
  <c r="AU237" i="13" l="1"/>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AS4" i="16" l="1"/>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Y175" i="13" l="1"/>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AP12" i="16"/>
  <c r="Q12" i="16" s="1" a="1"/>
  <c r="Q12" i="16" s="1"/>
  <c r="AP13" i="16"/>
  <c r="Q13" i="16" s="1" a="1"/>
  <c r="Q13" i="16" s="1"/>
  <c r="AP14" i="16"/>
  <c r="Q14" i="16" s="1" a="1"/>
  <c r="Q14" i="16" s="1"/>
  <c r="AP15" i="16"/>
  <c r="Q15" i="16" s="1" a="1"/>
  <c r="Q15" i="16" s="1"/>
  <c r="AP16" i="16"/>
  <c r="Q16" i="16" s="1" a="1"/>
  <c r="Q16" i="16" s="1"/>
  <c r="AP17" i="16"/>
  <c r="Q17" i="16" s="1" a="1"/>
  <c r="Q17" i="16" s="1"/>
  <c r="AP18" i="16"/>
  <c r="Q18" i="16" s="1" a="1"/>
  <c r="Q18" i="16" s="1"/>
  <c r="AP19" i="16"/>
  <c r="Q19" i="16" s="1" a="1"/>
  <c r="Q19" i="16" s="1"/>
  <c r="AP20" i="16"/>
  <c r="Q20" i="16" s="1" a="1"/>
  <c r="Q20" i="16" s="1"/>
  <c r="AP21" i="16"/>
  <c r="Q21" i="16" s="1" a="1"/>
  <c r="Q21" i="16" s="1"/>
  <c r="AP22" i="16"/>
  <c r="Q22" i="16" s="1" a="1"/>
  <c r="Q22" i="16" s="1"/>
  <c r="AP23" i="16"/>
  <c r="Q23" i="16" s="1" a="1"/>
  <c r="Q23" i="16" s="1"/>
  <c r="AP24" i="16"/>
  <c r="Q24" i="16" s="1" a="1"/>
  <c r="Q24" i="16" s="1"/>
  <c r="AP25" i="16"/>
  <c r="Q25" i="16" s="1" a="1"/>
  <c r="Q25" i="16" s="1"/>
  <c r="AP26" i="16"/>
  <c r="Q26" i="16" s="1" a="1"/>
  <c r="Q26" i="16" s="1"/>
  <c r="AP27" i="16"/>
  <c r="Q27" i="16" s="1" a="1"/>
  <c r="Q27" i="16" s="1"/>
  <c r="AP28" i="16"/>
  <c r="Q28" i="16" s="1" a="1"/>
  <c r="Q28" i="16" s="1"/>
  <c r="AP29" i="16"/>
  <c r="Q29" i="16" s="1" a="1"/>
  <c r="Q29" i="16" s="1"/>
  <c r="AP30" i="16"/>
  <c r="Q30" i="16" s="1" a="1"/>
  <c r="Q30" i="16" s="1"/>
  <c r="AP31" i="16"/>
  <c r="Q31" i="16" s="1" a="1"/>
  <c r="Q31" i="16" s="1"/>
  <c r="AP32" i="16"/>
  <c r="Q32" i="16" s="1" a="1"/>
  <c r="Q32" i="16" s="1"/>
  <c r="AP33" i="16"/>
  <c r="Q33" i="16" s="1" a="1"/>
  <c r="Q33" i="16" s="1"/>
  <c r="AP34" i="16"/>
  <c r="Q34" i="16" s="1" a="1"/>
  <c r="Q34" i="16" s="1"/>
  <c r="AP35" i="16"/>
  <c r="Q35" i="16" s="1" a="1"/>
  <c r="Q35" i="16" s="1"/>
  <c r="AP36" i="16"/>
  <c r="Q36" i="16" s="1" a="1"/>
  <c r="Q36" i="16" s="1"/>
  <c r="AP37" i="16"/>
  <c r="Q37" i="16" s="1" a="1"/>
  <c r="Q37" i="16" s="1"/>
  <c r="AP38" i="16"/>
  <c r="Q38" i="16" s="1" a="1"/>
  <c r="Q38" i="16" s="1"/>
  <c r="AP39" i="16"/>
  <c r="Q39" i="16" s="1" a="1"/>
  <c r="Q39" i="16" s="1"/>
  <c r="AP40" i="16"/>
  <c r="Q40" i="16" s="1" a="1"/>
  <c r="Q40" i="16" s="1"/>
  <c r="AP41" i="16"/>
  <c r="Q41" i="16" s="1" a="1"/>
  <c r="Q41" i="16" s="1"/>
  <c r="AP42" i="16"/>
  <c r="Q42" i="16" s="1" a="1"/>
  <c r="Q42" i="16" s="1"/>
  <c r="AP43" i="16"/>
  <c r="Q43" i="16" s="1" a="1"/>
  <c r="Q43" i="16" s="1"/>
  <c r="AP44" i="16"/>
  <c r="Q44" i="16" s="1" a="1"/>
  <c r="Q44" i="16" s="1"/>
  <c r="AP45" i="16"/>
  <c r="Q45" i="16" s="1" a="1"/>
  <c r="Q45" i="16" s="1"/>
  <c r="AP46" i="16"/>
  <c r="Q46" i="16" s="1" a="1"/>
  <c r="Q46" i="16" s="1"/>
  <c r="AP47" i="16"/>
  <c r="Q47" i="16" s="1" a="1"/>
  <c r="Q47" i="16" s="1"/>
  <c r="AP48" i="16"/>
  <c r="Q48" i="16" s="1" a="1"/>
  <c r="Q48" i="16" s="1"/>
  <c r="AP49" i="16"/>
  <c r="Q49" i="16" s="1" a="1"/>
  <c r="Q49" i="16" s="1"/>
  <c r="AP50" i="16"/>
  <c r="Q50" i="16" s="1" a="1"/>
  <c r="Q50" i="16" s="1"/>
  <c r="AP51" i="16"/>
  <c r="Q51" i="16" s="1" a="1"/>
  <c r="Q51" i="16" s="1"/>
  <c r="AP52" i="16"/>
  <c r="Q52" i="16" s="1" a="1"/>
  <c r="Q52" i="16" s="1"/>
  <c r="AP53" i="16"/>
  <c r="Q53" i="16" s="1" a="1"/>
  <c r="Q53" i="16" s="1"/>
  <c r="AP54" i="16"/>
  <c r="Q54" i="16" s="1" a="1"/>
  <c r="Q54" i="16" s="1"/>
  <c r="AP55" i="16"/>
  <c r="Q55" i="16" s="1" a="1"/>
  <c r="Q55" i="16" s="1"/>
  <c r="AP56" i="16"/>
  <c r="Q56" i="16" s="1" a="1"/>
  <c r="Q56" i="16" s="1"/>
  <c r="AP57" i="16"/>
  <c r="Q57" i="16" s="1" a="1"/>
  <c r="Q57" i="16" s="1"/>
  <c r="AP58" i="16"/>
  <c r="Q58" i="16" s="1" a="1"/>
  <c r="Q58" i="16" s="1"/>
  <c r="AP59" i="16"/>
  <c r="Q59" i="16" s="1" a="1"/>
  <c r="Q59" i="16" s="1"/>
  <c r="AP60" i="16"/>
  <c r="Q60" i="16" s="1" a="1"/>
  <c r="Q60" i="16" s="1"/>
  <c r="AP61" i="16"/>
  <c r="Q61" i="16" s="1" a="1"/>
  <c r="Q61" i="16" s="1"/>
  <c r="AP62" i="16"/>
  <c r="Q62" i="16" s="1" a="1"/>
  <c r="Q62" i="16" s="1"/>
  <c r="AP63" i="16"/>
  <c r="Q63" i="16" s="1" a="1"/>
  <c r="Q63" i="16" s="1"/>
  <c r="AP64" i="16"/>
  <c r="Q64" i="16" s="1" a="1"/>
  <c r="Q64" i="16" s="1"/>
  <c r="AP65" i="16"/>
  <c r="Q65" i="16" s="1" a="1"/>
  <c r="Q65" i="16" s="1"/>
  <c r="AP66" i="16"/>
  <c r="Q66" i="16" s="1" a="1"/>
  <c r="Q66" i="16" s="1"/>
  <c r="AP67" i="16"/>
  <c r="Q67" i="16" s="1" a="1"/>
  <c r="Q67" i="16" s="1"/>
  <c r="AP68" i="16"/>
  <c r="Q68" i="16" s="1" a="1"/>
  <c r="Q68" i="16" s="1"/>
  <c r="AP69" i="16"/>
  <c r="Q69" i="16" s="1" a="1"/>
  <c r="Q69" i="16" s="1"/>
  <c r="AP70" i="16"/>
  <c r="Q70" i="16" s="1" a="1"/>
  <c r="Q70" i="16" s="1"/>
  <c r="AP71" i="16"/>
  <c r="Q71" i="16" s="1" a="1"/>
  <c r="Q71" i="16" s="1"/>
  <c r="AP72" i="16"/>
  <c r="Q72" i="16" s="1" a="1"/>
  <c r="Q72" i="16" s="1"/>
  <c r="AP73" i="16"/>
  <c r="Q73" i="16" s="1" a="1"/>
  <c r="Q73" i="16" s="1"/>
  <c r="AP74" i="16"/>
  <c r="Q74" i="16" s="1" a="1"/>
  <c r="Q74" i="16" s="1"/>
  <c r="AP75" i="16"/>
  <c r="Q75" i="16" s="1" a="1"/>
  <c r="Q75" i="16" s="1"/>
  <c r="AP76" i="16"/>
  <c r="Q76" i="16" s="1" a="1"/>
  <c r="Q76" i="16" s="1"/>
  <c r="AP77" i="16"/>
  <c r="Q77" i="16" s="1" a="1"/>
  <c r="Q77" i="16" s="1"/>
  <c r="AP78" i="16"/>
  <c r="Q78" i="16" s="1" a="1"/>
  <c r="Q78" i="16" s="1"/>
  <c r="AP79" i="16"/>
  <c r="Q79" i="16" s="1" a="1"/>
  <c r="Q79" i="16" s="1"/>
  <c r="AP80" i="16"/>
  <c r="Q80" i="16" s="1" a="1"/>
  <c r="Q80" i="16" s="1"/>
  <c r="AP81" i="16"/>
  <c r="Q81" i="16" s="1" a="1"/>
  <c r="Q81" i="16" s="1"/>
  <c r="AP82" i="16"/>
  <c r="Q82" i="16" s="1" a="1"/>
  <c r="Q82" i="16" s="1"/>
  <c r="AP83" i="16"/>
  <c r="Q83" i="16" s="1" a="1"/>
  <c r="Q83" i="16" s="1"/>
  <c r="AP84" i="16"/>
  <c r="Q84" i="16" s="1" a="1"/>
  <c r="Q84" i="16" s="1"/>
  <c r="AP85" i="16"/>
  <c r="Q85" i="16" s="1" a="1"/>
  <c r="Q85" i="16" s="1"/>
  <c r="AP86" i="16"/>
  <c r="Q86" i="16" s="1" a="1"/>
  <c r="Q86" i="16" s="1"/>
  <c r="AP87" i="16"/>
  <c r="Q87" i="16" s="1" a="1"/>
  <c r="Q87" i="16" s="1"/>
  <c r="AP88" i="16"/>
  <c r="Q88" i="16" s="1" a="1"/>
  <c r="Q88" i="16" s="1"/>
  <c r="AP89" i="16"/>
  <c r="Q89" i="16" s="1" a="1"/>
  <c r="Q89" i="16" s="1"/>
  <c r="AP90" i="16"/>
  <c r="Q90" i="16" s="1" a="1"/>
  <c r="Q90" i="16" s="1"/>
  <c r="AP91" i="16"/>
  <c r="Q91" i="16" s="1" a="1"/>
  <c r="Q91" i="16" s="1"/>
  <c r="AP92" i="16"/>
  <c r="Q92" i="16" s="1" a="1"/>
  <c r="Q92" i="16" s="1"/>
  <c r="AP93" i="16"/>
  <c r="Q93" i="16" s="1" a="1"/>
  <c r="Q93" i="16" s="1"/>
  <c r="AP94" i="16"/>
  <c r="Q94" i="16" s="1" a="1"/>
  <c r="Q94" i="16" s="1"/>
  <c r="AP95" i="16"/>
  <c r="Q95" i="16" s="1" a="1"/>
  <c r="Q95" i="16" s="1"/>
  <c r="AP96" i="16"/>
  <c r="Q96" i="16" s="1" a="1"/>
  <c r="Q96" i="16" s="1"/>
  <c r="AP97" i="16"/>
  <c r="Q97" i="16" s="1" a="1"/>
  <c r="Q97" i="16" s="1"/>
  <c r="AP98" i="16"/>
  <c r="Q98" i="16" s="1" a="1"/>
  <c r="Q98" i="16" s="1"/>
  <c r="AP99" i="16"/>
  <c r="Q99" i="16" s="1" a="1"/>
  <c r="Q99" i="16" s="1"/>
  <c r="AP100" i="16"/>
  <c r="Q100" i="16" s="1" a="1"/>
  <c r="Q100" i="16" s="1"/>
  <c r="AP101" i="16"/>
  <c r="Q101" i="16" s="1" a="1"/>
  <c r="Q101" i="16" s="1"/>
  <c r="AP102" i="16"/>
  <c r="Q102" i="16" s="1" a="1"/>
  <c r="Q102" i="16" s="1"/>
  <c r="AP103" i="16"/>
  <c r="Q103" i="16" s="1" a="1"/>
  <c r="Q103" i="16" s="1"/>
  <c r="AP104" i="16"/>
  <c r="Q104" i="16" s="1" a="1"/>
  <c r="Q104" i="16" s="1"/>
  <c r="AP105" i="16"/>
  <c r="Q105" i="16" s="1" a="1"/>
  <c r="Q105" i="16" s="1"/>
  <c r="AP106" i="16"/>
  <c r="Q106" i="16" s="1" a="1"/>
  <c r="Q106" i="16" s="1"/>
  <c r="AP107" i="16"/>
  <c r="Q107" i="16" s="1" a="1"/>
  <c r="Q107" i="16" s="1"/>
  <c r="AP108" i="16"/>
  <c r="Q108" i="16" s="1" a="1"/>
  <c r="Q108" i="16" s="1"/>
  <c r="AP109" i="16"/>
  <c r="Q109" i="16" s="1" a="1"/>
  <c r="Q109" i="16" s="1"/>
  <c r="AP110" i="16"/>
  <c r="Q110" i="16" s="1" a="1"/>
  <c r="Q110" i="16" s="1"/>
  <c r="AP111" i="16"/>
  <c r="Q111" i="16" s="1" a="1"/>
  <c r="Q111" i="16" s="1"/>
  <c r="AP112" i="16"/>
  <c r="Q112" i="16" s="1" a="1"/>
  <c r="Q112" i="16" s="1"/>
  <c r="AP113" i="16"/>
  <c r="Q113" i="16" s="1" a="1"/>
  <c r="Q113" i="16" s="1"/>
  <c r="AP114" i="16"/>
  <c r="Q114" i="16" s="1" a="1"/>
  <c r="Q114" i="16" s="1"/>
  <c r="AP115" i="16"/>
  <c r="Q115" i="16" s="1" a="1"/>
  <c r="Q115" i="16" s="1"/>
  <c r="AP116" i="16"/>
  <c r="Q116" i="16" s="1" a="1"/>
  <c r="Q116" i="16" s="1"/>
  <c r="AP117" i="16"/>
  <c r="Q117" i="16" s="1" a="1"/>
  <c r="Q117" i="16" s="1"/>
  <c r="AP118" i="16"/>
  <c r="Q118" i="16" s="1" a="1"/>
  <c r="Q118" i="16" s="1"/>
  <c r="AP119" i="16"/>
  <c r="Q119" i="16" s="1" a="1"/>
  <c r="Q119" i="16" s="1"/>
  <c r="AP120" i="16"/>
  <c r="Q120" i="16" s="1" a="1"/>
  <c r="Q120" i="16" s="1"/>
  <c r="AP121" i="16"/>
  <c r="Q121" i="16" s="1" a="1"/>
  <c r="Q121" i="16" s="1"/>
  <c r="AP122" i="16"/>
  <c r="Q122" i="16" s="1" a="1"/>
  <c r="Q122" i="16" s="1"/>
  <c r="AP123" i="16"/>
  <c r="Q123" i="16" s="1" a="1"/>
  <c r="Q123" i="16" s="1"/>
  <c r="AP124" i="16"/>
  <c r="Q124" i="16" s="1" a="1"/>
  <c r="Q124" i="16" s="1"/>
  <c r="AP125" i="16"/>
  <c r="Q125" i="16" s="1" a="1"/>
  <c r="Q125" i="16" s="1"/>
  <c r="AP126" i="16"/>
  <c r="Q126" i="16" s="1" a="1"/>
  <c r="Q126" i="16" s="1"/>
  <c r="AP127" i="16"/>
  <c r="Q127" i="16" s="1" a="1"/>
  <c r="Q127" i="16" s="1"/>
  <c r="AP128" i="16"/>
  <c r="Q128" i="16" s="1" a="1"/>
  <c r="Q128" i="16" s="1"/>
  <c r="AP129" i="16"/>
  <c r="Q129" i="16" s="1" a="1"/>
  <c r="Q129" i="16" s="1"/>
  <c r="AP130" i="16"/>
  <c r="Q130" i="16" s="1" a="1"/>
  <c r="Q130" i="16" s="1"/>
  <c r="AP131" i="16"/>
  <c r="Q131" i="16" s="1" a="1"/>
  <c r="Q131" i="16" s="1"/>
  <c r="AP132" i="16"/>
  <c r="Q132" i="16" s="1" a="1"/>
  <c r="Q132" i="16" s="1"/>
  <c r="AP133" i="16"/>
  <c r="Q133" i="16" s="1" a="1"/>
  <c r="Q133" i="16" s="1"/>
  <c r="AP134" i="16"/>
  <c r="Q134" i="16" s="1" a="1"/>
  <c r="Q134" i="16" s="1"/>
  <c r="AP135" i="16"/>
  <c r="Q135" i="16" s="1" a="1"/>
  <c r="Q135" i="16" s="1"/>
  <c r="AP136" i="16"/>
  <c r="Q136" i="16" s="1" a="1"/>
  <c r="Q136" i="16" s="1"/>
  <c r="AP137" i="16"/>
  <c r="Q137" i="16" s="1" a="1"/>
  <c r="Q137" i="16" s="1"/>
  <c r="AP138" i="16"/>
  <c r="Q138" i="16" s="1" a="1"/>
  <c r="Q138" i="16" s="1"/>
  <c r="AP139" i="16"/>
  <c r="Q139" i="16" s="1" a="1"/>
  <c r="Q139" i="16" s="1"/>
  <c r="AP140" i="16"/>
  <c r="AP141" i="16"/>
  <c r="Q141" i="16" s="1" a="1"/>
  <c r="Q141" i="16" s="1"/>
  <c r="AP142" i="16"/>
  <c r="Q142" i="16" s="1" a="1"/>
  <c r="Q142" i="16" s="1"/>
  <c r="AP143" i="16"/>
  <c r="Q143" i="16" s="1" a="1"/>
  <c r="Q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Y217" i="13"/>
  <c r="H330" i="11"/>
  <c r="G32" i="13" l="1"/>
  <c r="G77" i="13"/>
  <c r="G76" i="13" s="1"/>
  <c r="G19" i="13"/>
  <c r="G148" i="13"/>
  <c r="G147" i="13" s="1"/>
  <c r="G124" i="13"/>
  <c r="G123" i="13" s="1"/>
  <c r="G183" i="13"/>
  <c r="G182" i="13" s="1"/>
  <c r="G166" i="13"/>
  <c r="G165" i="13" s="1"/>
  <c r="G207" i="13"/>
  <c r="G206" i="13" s="1"/>
  <c r="G205" i="13" s="1"/>
  <c r="G204" i="13" s="1"/>
  <c r="Q140" i="16" a="1"/>
  <c r="Q140" i="16" s="1"/>
  <c r="R144" i="16"/>
  <c r="E145" i="29"/>
  <c r="T10" i="23" a="1"/>
  <c r="T10" i="23" s="1"/>
  <c r="Y112" i="13"/>
  <c r="Y47" i="13"/>
  <c r="G18" i="13" l="1"/>
  <c r="G17" i="13" s="1"/>
  <c r="G16" i="13" s="1"/>
  <c r="G15" i="13" s="1"/>
  <c r="G146" i="13"/>
  <c r="G67" i="13"/>
  <c r="C33" i="14"/>
  <c r="O4" i="23"/>
  <c r="H511" i="10"/>
  <c r="M16" i="24"/>
  <c r="G61" i="13" l="1"/>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BA144" i="16" l="1"/>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207" i="13" l="1"/>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V136" i="13" l="1"/>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U144" i="16"/>
  <c r="AV144" i="16"/>
  <c r="AT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13" i="34" l="1" a="1"/>
  <c r="G13" i="34" s="1"/>
  <c r="G14" i="35" a="1"/>
  <c r="G14" i="35" s="1"/>
  <c r="AM142" i="16"/>
  <c r="G15" i="33" a="1"/>
  <c r="G15" i="33" s="1"/>
  <c r="G14" i="33" s="1" a="1"/>
  <c r="G14" i="33" s="1"/>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G17" i="35" l="1"/>
  <c r="H14" i="35"/>
  <c r="G35" i="35"/>
  <c r="I14" i="35"/>
  <c r="J14" i="35" s="1"/>
  <c r="I13" i="34"/>
  <c r="J13" i="34" s="1"/>
  <c r="G32" i="34"/>
  <c r="G16" i="34"/>
  <c r="H13" i="34"/>
  <c r="H15" i="33"/>
  <c r="I15" i="33"/>
  <c r="J15" i="33" s="1"/>
  <c r="G35" i="33"/>
  <c r="G17" i="33"/>
  <c r="H14" i="33"/>
  <c r="I14" i="33"/>
  <c r="J14" i="33" s="1"/>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16" i="34" l="1"/>
  <c r="I16" i="34"/>
  <c r="J16" i="34" s="1"/>
  <c r="G23" i="34"/>
  <c r="I32" i="34"/>
  <c r="J32" i="34" s="1"/>
  <c r="H32" i="34"/>
  <c r="G30" i="34"/>
  <c r="G33" i="35"/>
  <c r="I35" i="35"/>
  <c r="J35" i="35" s="1"/>
  <c r="H35" i="35"/>
  <c r="H17" i="35"/>
  <c r="I17" i="35"/>
  <c r="J17" i="35" s="1"/>
  <c r="G24" i="35"/>
  <c r="I17" i="33"/>
  <c r="J17" i="33" s="1"/>
  <c r="G24" i="33"/>
  <c r="H17" i="33"/>
  <c r="H35" i="33"/>
  <c r="G33" i="33"/>
  <c r="I35" i="33"/>
  <c r="J35" i="33" s="1"/>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25" i="35" l="1"/>
  <c r="I24" i="35"/>
  <c r="J24" i="35" s="1"/>
  <c r="H24" i="35"/>
  <c r="H33" i="35"/>
  <c r="I33" i="35"/>
  <c r="J33" i="35" s="1"/>
  <c r="G38" i="35"/>
  <c r="I30" i="34"/>
  <c r="J30" i="34" s="1"/>
  <c r="H30" i="34"/>
  <c r="G35" i="34"/>
  <c r="G24" i="34"/>
  <c r="I23" i="34"/>
  <c r="J23" i="34" s="1"/>
  <c r="H23" i="34"/>
  <c r="I24" i="33"/>
  <c r="J24" i="33" s="1"/>
  <c r="G25" i="33"/>
  <c r="H24" i="33"/>
  <c r="G38" i="33"/>
  <c r="H33" i="33"/>
  <c r="I33" i="33"/>
  <c r="J33" i="33" s="1"/>
  <c r="F206" i="13"/>
  <c r="F205" i="13" s="1"/>
  <c r="F204" i="13" s="1"/>
  <c r="F165" i="13"/>
  <c r="F18" i="13"/>
  <c r="AU18" i="13" s="1"/>
  <c r="F67" i="13"/>
  <c r="F142" i="13"/>
  <c r="AU142" i="13" s="1"/>
  <c r="AV143" i="13"/>
  <c r="AW143" i="13" s="1"/>
  <c r="F147" i="13"/>
  <c r="AV177" i="13"/>
  <c r="AW177" i="13" s="1"/>
  <c r="F63" i="13"/>
  <c r="AU63" i="13" s="1"/>
  <c r="AV64" i="13"/>
  <c r="AW64" i="13" s="1"/>
  <c r="H24" i="34" l="1"/>
  <c r="I24" i="34"/>
  <c r="J24" i="34" s="1"/>
  <c r="G40" i="35"/>
  <c r="I38" i="35"/>
  <c r="J38" i="35" s="1"/>
  <c r="H38" i="35"/>
  <c r="I35" i="34"/>
  <c r="J35" i="34" s="1"/>
  <c r="G37" i="34"/>
  <c r="H35" i="34"/>
  <c r="H25" i="35"/>
  <c r="I25" i="35"/>
  <c r="J25" i="35" s="1"/>
  <c r="G40" i="33"/>
  <c r="H38" i="33"/>
  <c r="I38" i="33"/>
  <c r="J38" i="33" s="1"/>
  <c r="H25" i="33"/>
  <c r="I25" i="33"/>
  <c r="J25" i="33" s="1"/>
  <c r="F17" i="13"/>
  <c r="F141" i="13"/>
  <c r="AU141" i="13" s="1"/>
  <c r="AV142" i="13"/>
  <c r="AW142" i="13" s="1"/>
  <c r="F146" i="13"/>
  <c r="F62" i="13"/>
  <c r="AU62" i="13" s="1"/>
  <c r="AV63" i="13"/>
  <c r="AW63" i="13" s="1"/>
  <c r="H37" i="34" l="1"/>
  <c r="I37" i="34"/>
  <c r="J37" i="34" s="1"/>
  <c r="I40" i="35"/>
  <c r="J40" i="35" s="1"/>
  <c r="H40" i="35"/>
  <c r="H40" i="33"/>
  <c r="I40" i="33"/>
  <c r="J40" i="33" s="1"/>
  <c r="F16" i="13"/>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AV193" i="13" l="1"/>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H11" i="14" l="1"/>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L144" i="16"/>
  <c r="AM144" i="16" s="1"/>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H55" i="14" l="1"/>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H56" i="14" l="1"/>
  <c r="I56" i="14"/>
  <c r="J56" i="14" s="1"/>
  <c r="H19" i="14"/>
  <c r="I19" i="14"/>
  <c r="J19" i="14" s="1"/>
  <c r="H8" i="14"/>
  <c r="I8" i="14"/>
  <c r="J8" i="14" s="1"/>
  <c r="G32" i="14"/>
  <c r="G12" i="14"/>
  <c r="AV61" i="13"/>
  <c r="AW61" i="13" s="1"/>
  <c r="AV60" i="13"/>
  <c r="AW60" i="13" s="1"/>
  <c r="AV15" i="13"/>
  <c r="AW15" i="13" s="1"/>
  <c r="AV16" i="13"/>
  <c r="AW16" i="13" s="1"/>
  <c r="G115" i="10"/>
  <c r="G114" i="10" s="1"/>
  <c r="G12" i="10" s="1"/>
  <c r="H32" i="14" l="1"/>
  <c r="I32" i="14"/>
  <c r="J32" i="14" s="1"/>
  <c r="G23" i="14"/>
  <c r="H12" i="14"/>
  <c r="I12" i="14"/>
  <c r="J12" i="14" s="1"/>
  <c r="G30" i="14"/>
  <c r="H30" i="14" l="1"/>
  <c r="I30" i="14"/>
  <c r="J30" i="14" s="1"/>
  <c r="G24" i="14"/>
  <c r="H23" i="14"/>
  <c r="I23" i="14"/>
  <c r="J23" i="14" s="1"/>
  <c r="G35" i="14"/>
  <c r="AV14" i="13"/>
  <c r="AW14" i="13" s="1"/>
  <c r="H35" i="14" l="1"/>
  <c r="I35" i="14"/>
  <c r="J35" i="14" s="1"/>
  <c r="H24" i="14"/>
  <c r="I24" i="14"/>
  <c r="J24" i="14" s="1"/>
  <c r="G37" i="14"/>
  <c r="H37" i="14" l="1"/>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<sst xmlns="http://schemas.openxmlformats.org/spreadsheetml/2006/main" count="22578" uniqueCount="5605">
  <si>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</si>
  <si>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</si>
  <si>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</si>
  <si>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</si>
  <si>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</si>
  <si>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</si>
  <si>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</si>
  <si>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</si>
  <si>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</si>
  <si>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</si>
  <si>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</si>
  <si>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</si>
  <si>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</si>
  <si>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</si>
  <si>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</si>
  <si>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</si>
  <si>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</si>
  <si>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</si>
  <si>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</si>
  <si>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</si>
  <si>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</si>
  <si>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</si>
  <si>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</si>
  <si>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</si>
  <si>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</si>
  <si>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</si>
  <si>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</si>
  <si>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</si>
  <si>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</si>
  <si>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</si>
  <si>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</si>
  <si>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</si>
  <si>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</si>
  <si>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</si>
  <si>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</si>
  <si>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</si>
  <si>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</si>
  <si>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</si>
  <si>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</si>
  <si>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</si>
  <si>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</si>
  <si>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</si>
  <si>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</si>
  <si>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</si>
  <si>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</si>
  <si>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</si>
  <si>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</si>
  <si>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</si>
  <si>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</si>
  <si>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</si>
  <si>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</si>
  <si>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</si>
  <si>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</si>
  <si>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</si>
  <si>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</si>
  <si>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</si>
  <si>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</si>
  <si>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</si>
  <si>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</si>
  <si>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</si>
  <si>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</si>
  <si>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</si>
  <si>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</si>
  <si>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</si>
  <si>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</si>
  <si>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</si>
  <si>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</si>
  <si>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</si>
  <si>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</si>
  <si>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</si>
  <si>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</si>
  <si>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</si>
  <si>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</si>
  <si>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</si>
  <si>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</si>
  <si>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</si>
  <si>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</si>
  <si>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</si>
  <si>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</si>
  <si>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</si>
  <si>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</si>
  <si>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</si>
  <si>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</si>
  <si>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</si>
  <si>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</si>
  <si>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</si>
  <si>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</si>
  <si>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</si>
  <si>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</si>
  <si>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</si>
  <si>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</si>
  <si>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</si>
  <si>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</si>
  <si>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</si>
  <si>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</si>
  <si>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</si>
  <si>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</si>
  <si>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</si>
  <si>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</si>
  <si>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</si>
  <si>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</si>
  <si>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</si>
  <si>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</si>
  <si>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</si>
  <si>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</si>
  <si>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</si>
  <si>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</si>
  <si>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</si>
  <si>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</si>
  <si>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</si>
  <si>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</si>
  <si>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</si>
  <si>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</si>
  <si>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</si>
  <si>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</si>
  <si>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</si>
  <si>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</si>
  <si>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</si>
  <si>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</si>
  <si>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</si>
  <si>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</si>
  <si>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</si>
  <si>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</si>
  <si>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</si>
  <si>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</si>
  <si>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</si>
  <si>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</si>
  <si>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</si>
  <si>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</si>
  <si>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</si>
  <si>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</si>
  <si>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</si>
  <si>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</si>
  <si>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</si>
  <si>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</si>
  <si>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</si>
  <si>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</si>
  <si>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</si>
  <si>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</si>
  <si>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</si>
  <si>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</si>
  <si>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</si>
  <si>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</si>
  <si>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</si>
  <si>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</si>
  <si>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</si>
  <si>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</si>
  <si>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</si>
  <si>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</si>
  <si>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</si>
  <si>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</si>
  <si>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</si>
  <si>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</si>
  <si>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</si>
  <si>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</si>
  <si>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</si>
  <si>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</si>
  <si>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</si>
  <si>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</si>
  <si>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</si>
  <si>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</si>
  <si>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</si>
  <si>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</si>
  <si>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</si>
  <si>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</si>
  <si>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</si>
  <si>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</si>
  <si>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</si>
  <si>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</si>
  <si>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</si>
  <si>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</si>
  <si>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</si>
  <si>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</si>
  <si>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</si>
  <si>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</si>
  <si>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</si>
  <si>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</si>
  <si>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</si>
  <si>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</si>
  <si>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</si>
  <si>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</si>
  <si>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</si>
  <si>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</si>
  <si>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</si>
  <si>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</si>
  <si>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</si>
  <si>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</si>
  <si>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</si>
  <si>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</si>
  <si>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</si>
  <si>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</si>
  <si>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</si>
  <si>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</si>
  <si>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</si>
  <si>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</si>
  <si>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</si>
  <si>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</si>
  <si>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</si>
  <si>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</si>
  <si>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</si>
  <si>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</si>
  <si>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</si>
  <si>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</si>
  <si>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</si>
  <si>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</si>
  <si>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</si>
  <si>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</si>
  <si>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</si>
  <si>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</si>
  <si>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</si>
  <si>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</si>
  <si>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</si>
  <si>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</si>
  <si>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</si>
  <si>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</si>
  <si>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</si>
  <si>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</si>
  <si>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</si>
  <si>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</si>
  <si>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</si>
  <si>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</si>
  <si>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</si>
  <si>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</si>
  <si>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</si>
  <si>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</si>
  <si>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</si>
  <si>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</si>
  <si>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</si>
  <si>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</si>
  <si>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</si>
  <si>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</si>
  <si>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</si>
  <si>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</si>
  <si>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</si>
  <si>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</si>
  <si>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</si>
  <si>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</si>
  <si>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</si>
  <si>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</si>
  <si>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</si>
  <si>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</si>
  <si>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</si>
  <si>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</si>
  <si>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</si>
  <si>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</si>
  <si>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</si>
  <si>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</si>
  <si>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</si>
  <si>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</si>
  <si>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</si>
  <si>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</si>
  <si>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</si>
  <si>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</si>
  <si>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</si>
  <si>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</si>
  <si>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</si>
  <si>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</si>
  <si>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</si>
  <si>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</si>
  <si>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</si>
  <si>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</si>
  <si>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</si>
  <si>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</si>
  <si>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</si>
  <si>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</si>
  <si>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</si>
  <si>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</si>
  <si>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</si>
  <si>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</si>
  <si>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</si>
  <si>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</si>
  <si>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</si>
  <si>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</si>
  <si>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</si>
  <si>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</si>
  <si>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</si>
  <si>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</si>
  <si>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</si>
  <si>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</si>
  <si>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</si>
  <si>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</si>
  <si>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</si>
  <si>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</si>
  <si>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</si>
  <si>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</si>
  <si>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</si>
  <si>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</si>
  <si>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</si>
  <si>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</si>
  <si>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</si>
  <si>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</si>
  <si>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</si>
  <si>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</si>
  <si>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</si>
  <si>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</si>
  <si>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</si>
  <si>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</si>
  <si>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</si>
  <si>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</si>
  <si>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</si>
  <si>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</si>
  <si>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</si>
  <si>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</si>
  <si>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</si>
  <si>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</si>
  <si>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</si>
  <si>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</si>
  <si>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</si>
  <si>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</si>
  <si>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</si>
  <si>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</si>
  <si>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</si>
  <si>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</si>
  <si>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</si>
  <si>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</si>
  <si>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</si>
  <si>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</si>
  <si>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</si>
  <si>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</si>
  <si>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</si>
  <si>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</si>
  <si>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</si>
  <si>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</si>
  <si>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</si>
  <si>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</si>
  <si>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</si>
  <si>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</si>
  <si>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</si>
  <si>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</si>
  <si>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</si>
  <si>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</si>
  <si>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</si>
  <si>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</si>
  <si>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</si>
  <si>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</si>
  <si>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</si>
  <si>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</si>
  <si>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</si>
  <si>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</si>
  <si>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</si>
  <si>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</si>
  <si>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</si>
  <si>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</si>
  <si>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</si>
  <si>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</si>
  <si>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</si>
  <si>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</si>
  <si>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</si>
  <si>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</si>
  <si>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</si>
  <si>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</si>
  <si>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</si>
  <si>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</si>
  <si>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</si>
  <si>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</si>
  <si>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</si>
  <si>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</si>
  <si>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</si>
  <si>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</si>
  <si>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</si>
  <si>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</si>
  <si>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</si>
  <si>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</si>
  <si>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</si>
  <si>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</si>
  <si>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</si>
  <si>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</si>
  <si>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</si>
  <si>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</si>
  <si>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</si>
  <si>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</si>
  <si>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</si>
  <si>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</si>
  <si>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</si>
  <si>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</si>
  <si>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</si>
  <si>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</si>
  <si>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</si>
  <si>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</si>
  <si>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</si>
  <si>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</si>
  <si>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</si>
  <si>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</si>
  <si>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</si>
  <si>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</si>
  <si>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</si>
  <si>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</si>
  <si>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</si>
  <si>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</si>
  <si>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</si>
  <si>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</si>
  <si>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</si>
  <si>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</si>
  <si>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</si>
  <si>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</si>
  <si>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</si>
  <si>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</si>
  <si>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</si>
  <si>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</si>
  <si>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</si>
  <si>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</si>
  <si>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</si>
  <si>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</si>
  <si>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</si>
  <si>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</si>
  <si>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</si>
  <si>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</si>
  <si>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</si>
  <si>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</si>
  <si>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</si>
  <si>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</si>
  <si>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</si>
  <si>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</si>
  <si>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</si>
  <si>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</si>
  <si>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</si>
  <si>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</si>
  <si>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</si>
  <si>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</si>
  <si>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</si>
  <si>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</si>
  <si>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</si>
  <si>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</si>
  <si>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</si>
  <si>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</si>
  <si>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</si>
  <si>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</si>
  <si>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</si>
  <si>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</si>
  <si>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</si>
  <si>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</si>
  <si>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</si>
  <si>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</si>
  <si>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</si>
  <si>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</si>
  <si>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</si>
  <si>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</si>
  <si>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</si>
  <si>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</si>
  <si>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</si>
  <si>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</si>
  <si>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</si>
  <si>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</si>
  <si>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</si>
  <si>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</si>
  <si>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</si>
  <si>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</si>
  <si>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</si>
  <si>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</si>
  <si>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</si>
  <si>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</si>
  <si>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</si>
  <si>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</si>
  <si>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</si>
  <si>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</si>
  <si>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</si>
  <si>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</si>
  <si>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</si>
  <si>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</si>
  <si>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</si>
  <si>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</si>
  <si>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</si>
  <si>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</si>
  <si>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</si>
  <si>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</si>
  <si>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</si>
  <si>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</si>
  <si>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</si>
  <si>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</si>
  <si>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</si>
  <si>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</si>
  <si>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</si>
  <si>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</si>
  <si>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</si>
  <si>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</si>
  <si>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</si>
  <si>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</si>
  <si>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</si>
  <si>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</si>
  <si>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</si>
  <si>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</si>
  <si>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</si>
  <si>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</si>
  <si>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</si>
  <si>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</si>
  <si>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</si>
  <si>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</si>
  <si>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</si>
  <si>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</si>
  <si>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</si>
  <si>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</si>
  <si>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</si>
  <si>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</si>
  <si>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</si>
  <si>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</si>
  <si>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</si>
  <si>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</si>
  <si>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</si>
  <si>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</si>
  <si>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</si>
  <si>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</si>
  <si>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</si>
  <si>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</si>
  <si>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</si>
  <si>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</si>
  <si>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</si>
  <si>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</si>
  <si>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</si>
  <si>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</si>
  <si>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</si>
  <si>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</si>
  <si>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</si>
  <si>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</si>
  <si>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</si>
  <si>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</si>
  <si>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</si>
  <si>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</si>
  <si>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</si>
  <si>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</si>
  <si>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</si>
  <si>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</si>
  <si>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</si>
  <si>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</si>
  <si>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</si>
  <si>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</si>
  <si>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</si>
  <si>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</si>
  <si>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</si>
  <si>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</si>
  <si>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</si>
  <si>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</si>
  <si>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</si>
  <si>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</si>
  <si>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</si>
  <si>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</si>
  <si>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</si>
  <si>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</si>
  <si>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</si>
  <si>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</si>
  <si>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</si>
  <si>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</si>
  <si>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</si>
  <si>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</si>
  <si>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</si>
  <si>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</si>
  <si>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</si>
  <si>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</si>
  <si>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</si>
  <si>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</si>
  <si>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</si>
  <si>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</si>
  <si>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</si>
  <si>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</si>
  <si>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</si>
  <si>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</si>
  <si>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</si>
  <si>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</si>
  <si>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</si>
  <si>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</si>
  <si>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</si>
  <si>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</si>
  <si>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</si>
  <si>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</si>
  <si>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</si>
  <si>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</si>
  <si>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</si>
  <si>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</si>
  <si>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</si>
  <si>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</si>
  <si>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</si>
  <si>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</si>
  <si>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</si>
  <si>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</si>
  <si>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</si>
  <si>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</si>
  <si>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</si>
  <si>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</si>
  <si>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</si>
  <si>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</si>
  <si>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</si>
  <si>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</si>
  <si>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</si>
  <si>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</si>
  <si>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</si>
  <si>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</si>
  <si>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</si>
  <si>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</si>
  <si>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</si>
  <si>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</si>
  <si>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</si>
  <si>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</si>
  <si>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</si>
  <si>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</si>
  <si>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</si>
  <si>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</si>
  <si>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</si>
  <si>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</si>
  <si>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</si>
  <si>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</si>
  <si>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</si>
  <si>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</si>
  <si>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</si>
  <si>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</si>
  <si>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</si>
  <si>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</si>
  <si>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</si>
  <si>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</si>
  <si>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</si>
  <si>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</si>
  <si>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</si>
  <si>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</si>
  <si>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</si>
  <si>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</si>
  <si>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</si>
  <si>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</si>
  <si>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</si>
  <si>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</si>
  <si>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</si>
  <si>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</si>
  <si>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</si>
  <si>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</si>
  <si>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</si>
  <si>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</si>
  <si>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</si>
  <si>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</si>
  <si>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</si>
  <si>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</si>
  <si>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</si>
  <si>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</si>
  <si>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</si>
  <si>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</si>
  <si>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</si>
  <si>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</si>
  <si>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</si>
  <si>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</si>
  <si>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</si>
  <si>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</si>
  <si>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</si>
  <si>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</si>
  <si>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</si>
  <si>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</si>
  <si>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</si>
  <si>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</si>
  <si>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</si>
  <si>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</si>
  <si>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</si>
  <si>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</si>
  <si>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</si>
  <si>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</si>
  <si>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</si>
  <si>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</si>
  <si>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</si>
  <si>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</si>
  <si>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</si>
  <si>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</si>
  <si>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</si>
  <si>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</si>
  <si>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</si>
  <si>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</si>
  <si>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</si>
  <si>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</si>
  <si>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</si>
  <si>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</si>
  <si>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</si>
  <si>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</si>
  <si>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</si>
  <si>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</si>
  <si>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</si>
  <si>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</si>
  <si>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</si>
  <si>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</si>
  <si>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</si>
  <si>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</si>
  <si>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</si>
  <si>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</si>
  <si>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</si>
  <si>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</si>
  <si>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</si>
  <si>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</si>
  <si>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</si>
  <si>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</si>
  <si>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</si>
  <si>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</si>
  <si>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</si>
  <si>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</si>
  <si>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</si>
  <si>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</si>
  <si>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</si>
  <si>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</si>
  <si>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</si>
  <si>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</si>
  <si>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</si>
  <si>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</si>
  <si>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</si>
  <si>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</si>
  <si>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</si>
  <si>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</si>
  <si>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</si>
  <si>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</si>
  <si>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</si>
  <si>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</si>
  <si>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</si>
  <si>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</si>
  <si>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</si>
  <si>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</si>
  <si>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</si>
  <si>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</si>
  <si>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</si>
  <si>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</si>
  <si>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</si>
  <si>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</si>
  <si>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</si>
  <si>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</si>
  <si>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</si>
  <si>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</si>
  <si>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</si>
  <si>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</si>
  <si>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</si>
  <si>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</si>
  <si>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</si>
  <si>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</si>
  <si>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</si>
  <si>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</si>
  <si>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</si>
  <si>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</si>
  <si>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</si>
  <si>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</si>
  <si>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</si>
  <si>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</si>
  <si>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</si>
  <si>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</si>
  <si>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</si>
  <si>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</si>
  <si>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</si>
  <si>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</si>
  <si>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</si>
  <si>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</si>
  <si>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</si>
  <si>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</si>
  <si>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</si>
  <si>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</si>
  <si>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</si>
  <si>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</si>
  <si>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</si>
  <si>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</si>
  <si>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</si>
  <si>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</si>
  <si>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</si>
  <si>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</si>
  <si>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</si>
  <si>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</si>
  <si>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</si>
  <si>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</si>
  <si>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</si>
  <si>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</si>
  <si>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</si>
  <si>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</si>
  <si>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</si>
  <si>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</si>
  <si>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</si>
  <si>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</si>
  <si>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</si>
  <si>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</si>
  <si>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</si>
  <si>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</si>
  <si>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</si>
  <si>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</si>
  <si>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</si>
  <si>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</si>
  <si>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</si>
  <si>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</si>
  <si>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</si>
  <si>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</si>
  <si>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</si>
  <si>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</si>
  <si>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</si>
  <si>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</si>
  <si>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</si>
  <si>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</si>
  <si>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</si>
  <si>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</si>
  <si>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</si>
  <si>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</si>
  <si>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</si>
  <si>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</si>
  <si>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</si>
  <si>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</si>
  <si>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</si>
  <si>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</si>
  <si>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</si>
  <si>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</si>
  <si>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</si>
  <si>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</si>
  <si>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</si>
  <si>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</si>
  <si>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</si>
  <si>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</si>
  <si>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</si>
  <si>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</si>
  <si>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</si>
  <si>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</si>
  <si>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</si>
  <si>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</si>
  <si>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</si>
  <si>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</si>
  <si>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</si>
  <si>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</si>
  <si>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</si>
  <si>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</si>
  <si>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</si>
  <si>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</si>
  <si>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</si>
  <si>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</si>
  <si>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</si>
  <si>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</si>
  <si>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</si>
  <si>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</si>
  <si>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</si>
  <si>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</si>
  <si>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</si>
  <si>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</si>
  <si>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</si>
  <si>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</si>
  <si>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</si>
  <si>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</si>
  <si>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</si>
  <si>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</si>
  <si>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</si>
  <si>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</si>
  <si>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</si>
  <si>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</si>
  <si>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</si>
  <si>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</si>
  <si>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</si>
  <si>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</si>
  <si>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</si>
  <si>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</si>
  <si>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</si>
  <si>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</si>
  <si>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</si>
  <si>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</si>
  <si>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</si>
  <si>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</si>
  <si>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</si>
  <si>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</si>
  <si>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</si>
  <si>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</si>
  <si>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</si>
  <si>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</si>
  <si>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</si>
  <si>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</si>
  <si>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</si>
  <si>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</si>
  <si>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</si>
  <si>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</si>
  <si>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</si>
  <si>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</si>
  <si>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</si>
  <si>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</si>
  <si>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</si>
  <si>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</si>
  <si>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</si>
  <si>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</si>
  <si>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</si>
  <si>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</si>
  <si>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</si>
  <si>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</si>
  <si>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</si>
  <si>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</si>
  <si>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</si>
  <si>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</si>
  <si>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</si>
  <si>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</si>
  <si>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</si>
  <si>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</si>
  <si>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</si>
  <si>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</si>
  <si>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</si>
  <si>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</si>
  <si>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</si>
  <si>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</si>
  <si>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</si>
  <si>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</si>
  <si>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</si>
  <si>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</si>
  <si>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</si>
  <si>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</si>
  <si>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</si>
  <si>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</si>
  <si>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</si>
  <si>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</si>
  <si>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</si>
  <si>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</si>
  <si>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</si>
  <si>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</si>
  <si>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</si>
  <si>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</si>
  <si>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</si>
  <si>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</si>
  <si>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</si>
  <si>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</si>
  <si>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</si>
  <si>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</si>
  <si>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</si>
  <si>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</si>
  <si>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</si>
  <si>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</si>
  <si>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</si>
  <si>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</si>
  <si>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</si>
  <si>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</si>
  <si>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</si>
  <si>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</si>
  <si>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</si>
  <si>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</si>
  <si>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</si>
  <si>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</si>
  <si>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</si>
  <si>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</si>
  <si>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</si>
  <si>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</si>
  <si>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</si>
  <si>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</si>
  <si>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</si>
  <si>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</si>
  <si>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</si>
  <si>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</si>
  <si>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</si>
  <si>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</si>
  <si>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</si>
  <si>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</si>
  <si>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</si>
  <si>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</si>
  <si>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</si>
  <si>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</si>
  <si>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</si>
  <si>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</si>
  <si>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</si>
  <si>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</si>
  <si>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</si>
  <si>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</si>
  <si>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</si>
  <si>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</si>
  <si>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</si>
  <si>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</si>
  <si>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</si>
  <si>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</si>
  <si>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</si>
  <si>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</si>
  <si>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</si>
  <si>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</si>
  <si>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</si>
  <si>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</si>
  <si>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</si>
  <si>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</si>
  <si>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</si>
  <si>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</si>
  <si>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</si>
  <si>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</si>
  <si>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</si>
  <si>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</si>
  <si>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</si>
  <si>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</si>
  <si>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</si>
  <si>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</si>
  <si>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</si>
  <si>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</si>
  <si>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</si>
  <si>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</si>
  <si>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</si>
  <si>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</si>
  <si>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</si>
  <si>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</si>
  <si>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</si>
  <si>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</si>
  <si>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</si>
  <si>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</si>
  <si>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</si>
  <si>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</si>
  <si>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</si>
  <si>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</si>
  <si>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</si>
  <si>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</si>
  <si>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</si>
  <si>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</si>
  <si>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</si>
  <si>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</si>
  <si>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</si>
  <si>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</si>
  <si>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</si>
  <si>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</si>
  <si>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</si>
  <si>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</si>
  <si>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</si>
  <si>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</si>
  <si>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</si>
  <si>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</si>
  <si>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</si>
  <si>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</si>
  <si>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</si>
  <si>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</si>
  <si>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</si>
  <si>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</si>
  <si>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</si>
  <si>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</si>
  <si>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</si>
  <si>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</si>
  <si>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</si>
  <si>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</si>
  <si>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</si>
  <si>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</si>
  <si>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</si>
  <si>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</si>
  <si>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</si>
  <si>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</si>
  <si>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</si>
  <si>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</si>
  <si>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</si>
  <si>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</si>
  <si>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</si>
  <si>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</si>
  <si>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</si>
  <si>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</si>
  <si>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</si>
  <si>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</si>
  <si>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</si>
  <si>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</si>
  <si>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</si>
  <si>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</si>
  <si>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</si>
  <si>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</si>
  <si>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</si>
  <si>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</si>
  <si>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</si>
  <si>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</si>
  <si>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</si>
  <si>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</si>
  <si>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</si>
  <si>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</si>
  <si>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</si>
  <si>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</si>
  <si>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</si>
  <si>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</si>
  <si>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</si>
  <si>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</si>
  <si>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</si>
  <si>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</si>
  <si>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</si>
  <si>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</si>
  <si>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</si>
  <si>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</si>
  <si>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</si>
  <si>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</si>
  <si>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</si>
  <si>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</si>
  <si>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</si>
  <si>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</si>
  <si>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</si>
  <si>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</si>
  <si>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</si>
  <si>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</si>
  <si>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</si>
  <si>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</si>
  <si>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</si>
  <si>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</si>
  <si>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</si>
  <si>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</si>
  <si>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</si>
  <si>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</si>
  <si>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</si>
  <si>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</si>
  <si>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</si>
  <si>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</si>
  <si>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</si>
  <si>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</si>
  <si>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</si>
  <si>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</si>
  <si>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</si>
  <si>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</si>
  <si>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</si>
  <si>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</si>
  <si>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</si>
  <si>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</si>
  <si>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</si>
  <si>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</si>
  <si>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</si>
  <si>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</si>
  <si>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</si>
  <si>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</si>
  <si>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</si>
  <si>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</si>
  <si>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</si>
  <si>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</si>
  <si>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</si>
  <si>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</si>
  <si>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</si>
  <si>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</si>
  <si>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</si>
  <si>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</si>
  <si>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</si>
  <si>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</si>
  <si>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</si>
  <si>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</si>
  <si>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</si>
  <si>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</si>
  <si>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</si>
  <si>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</si>
  <si>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</si>
  <si>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</si>
  <si>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</si>
  <si>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</si>
  <si>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</si>
  <si>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</si>
  <si>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</si>
  <si>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</si>
  <si>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</si>
  <si>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</si>
  <si>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</si>
  <si>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</si>
  <si>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</si>
  <si>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</si>
  <si>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</si>
  <si>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</si>
  <si>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</si>
  <si>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</si>
  <si>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</si>
  <si>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</si>
  <si>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</si>
  <si>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</si>
  <si>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</si>
  <si>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</si>
  <si>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</si>
  <si>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</si>
  <si>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</si>
  <si>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</si>
  <si>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</si>
  <si>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</si>
  <si>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</si>
  <si>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</si>
  <si>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</si>
  <si>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</si>
  <si>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</si>
  <si>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</si>
  <si>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</si>
  <si>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</si>
  <si>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</si>
  <si>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</si>
  <si>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</si>
  <si>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</si>
  <si>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</si>
  <si>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</si>
  <si>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</si>
  <si>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</si>
  <si>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</si>
  <si>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</si>
  <si>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</si>
  <si>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</si>
  <si>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</si>
  <si>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</si>
  <si>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</si>
  <si>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</si>
  <si>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</si>
  <si>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</si>
  <si>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</si>
  <si>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</si>
  <si>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</si>
  <si>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</si>
  <si>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</si>
  <si>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</si>
  <si>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</si>
  <si>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</si>
  <si>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</si>
  <si>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</si>
  <si>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</si>
  <si>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</si>
  <si>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</si>
  <si>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</si>
  <si>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</si>
  <si>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</si>
  <si>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</si>
  <si>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</si>
  <si>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</si>
  <si>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</si>
  <si>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</si>
  <si>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</si>
  <si>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</si>
  <si>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</si>
  <si>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</si>
  <si>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</si>
  <si>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</si>
  <si>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</si>
  <si>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</si>
  <si>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</si>
  <si>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</si>
  <si>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</si>
  <si>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</si>
  <si>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</si>
  <si>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</si>
  <si>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</si>
  <si>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</si>
  <si>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</si>
  <si>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</si>
  <si>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</si>
  <si>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</si>
  <si>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</si>
  <si>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</si>
  <si>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</si>
  <si>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</si>
  <si>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</si>
  <si>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</si>
  <si>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</si>
  <si>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</si>
  <si>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</si>
  <si>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</si>
  <si>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</si>
  <si>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</si>
  <si>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</si>
  <si>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</si>
  <si>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</si>
  <si>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</si>
  <si>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</si>
  <si>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</si>
  <si>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</si>
  <si>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</si>
  <si>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</si>
  <si>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</si>
  <si>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</si>
  <si>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</si>
  <si>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</si>
  <si>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</si>
  <si>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</si>
  <si>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</si>
  <si>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</si>
  <si>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</si>
  <si>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</si>
  <si>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</si>
  <si>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</si>
  <si>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</si>
  <si>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</si>
  <si>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</si>
  <si>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</si>
  <si>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</si>
  <si>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</si>
  <si>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</si>
  <si>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</si>
  <si>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</si>
  <si>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</si>
  <si>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</si>
  <si>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</si>
  <si>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</si>
  <si>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</si>
  <si>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</si>
  <si>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</si>
  <si>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</si>
  <si>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</si>
  <si>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</si>
  <si>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</si>
  <si>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</si>
  <si>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</si>
  <si>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</si>
  <si>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</si>
  <si>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</si>
  <si>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</si>
  <si>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</si>
  <si>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</si>
  <si>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</si>
  <si>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</si>
  <si>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</si>
  <si>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</si>
  <si>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</si>
  <si>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</si>
  <si>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</si>
  <si>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</si>
  <si>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</si>
  <si>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</si>
  <si>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</si>
  <si>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</si>
  <si>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</si>
  <si>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</si>
  <si>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</si>
  <si>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</si>
  <si>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</si>
  <si>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</si>
  <si>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</si>
  <si>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</si>
  <si>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</si>
  <si>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</si>
  <si>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</si>
  <si>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</si>
  <si>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</si>
  <si>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</si>
  <si>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</si>
  <si>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</si>
  <si>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</si>
  <si>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</si>
  <si>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</si>
  <si>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</si>
  <si>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</si>
  <si>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</si>
  <si>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</si>
  <si>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</si>
  <si>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</si>
  <si>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</si>
  <si>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</si>
  <si>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</si>
  <si>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</si>
  <si>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</si>
  <si>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</si>
  <si>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</si>
  <si>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</si>
  <si>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</si>
  <si>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</si>
  <si>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</si>
  <si>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</si>
  <si>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</si>
  <si>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</si>
  <si>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</si>
  <si>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</si>
  <si>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</si>
  <si>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</si>
  <si>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</si>
  <si>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</si>
  <si>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</si>
  <si>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</si>
  <si>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</si>
  <si>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</si>
  <si>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</si>
  <si>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</si>
  <si>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</si>
  <si>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</si>
  <si>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</si>
  <si>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</si>
  <si>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</si>
  <si>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</si>
  <si>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</si>
  <si>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</si>
  <si>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</si>
  <si>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</si>
  <si>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</si>
  <si>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</si>
  <si>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</si>
  <si>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</si>
  <si>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</si>
  <si>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</si>
  <si>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</si>
  <si>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</si>
  <si>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</si>
  <si>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</si>
  <si>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</si>
  <si>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</si>
  <si>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</si>
  <si>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</si>
  <si>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</si>
  <si>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</si>
  <si>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</si>
  <si>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</si>
  <si>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</si>
  <si>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</si>
  <si>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</si>
  <si>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</si>
  <si>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</si>
  <si>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</si>
  <si>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</si>
  <si>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</si>
  <si>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</si>
  <si>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</si>
  <si>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</si>
  <si>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</si>
  <si>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</si>
  <si>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</si>
  <si>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</si>
  <si>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</si>
  <si>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</si>
  <si>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</si>
  <si>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</si>
  <si>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</si>
  <si>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</si>
  <si>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</si>
  <si>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</si>
  <si>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</si>
  <si>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</si>
  <si>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</si>
  <si>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</si>
  <si>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</si>
  <si>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</si>
  <si>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</si>
  <si>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</si>
  <si>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</si>
  <si>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</si>
  <si>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</si>
  <si>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</si>
  <si>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</si>
  <si>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</si>
  <si>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</si>
  <si>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</si>
  <si>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</si>
  <si>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</si>
  <si>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</si>
  <si>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</si>
  <si>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</si>
  <si>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</si>
  <si>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</si>
  <si>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</si>
  <si>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</si>
  <si>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</si>
  <si>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</si>
  <si>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</si>
  <si>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</si>
  <si>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</si>
  <si>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</si>
  <si>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</si>
  <si>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</si>
  <si>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</si>
  <si>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</si>
  <si>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</si>
  <si>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</si>
  <si>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</si>
  <si>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</si>
  <si>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</si>
  <si>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</si>
  <si>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</si>
  <si>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</si>
  <si>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</si>
  <si>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</si>
  <si>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</si>
  <si>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</si>
  <si>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</si>
  <si>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</si>
  <si>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</si>
  <si>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</si>
  <si>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</si>
  <si>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</si>
  <si>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</si>
  <si>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</si>
  <si>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</si>
  <si>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</si>
  <si>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</si>
  <si>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</si>
  <si>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</si>
  <si>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</si>
  <si>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</si>
  <si>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</si>
  <si>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</si>
  <si>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</si>
  <si>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</si>
  <si>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</si>
  <si>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</si>
  <si>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</si>
  <si>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</si>
  <si>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</si>
  <si>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</si>
  <si>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</si>
  <si>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</si>
  <si>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</si>
  <si>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</si>
  <si>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</si>
  <si>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</si>
  <si>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</si>
  <si>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</si>
  <si>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</si>
  <si>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</si>
  <si>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</si>
  <si>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</si>
  <si>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</si>
  <si>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</si>
  <si>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</si>
  <si>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</si>
  <si>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</si>
  <si>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</si>
  <si>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</si>
  <si>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</si>
  <si>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</si>
  <si>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</si>
  <si>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</si>
  <si>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</si>
  <si>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</si>
  <si>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</si>
  <si>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</si>
  <si>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</si>
  <si>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</si>
  <si>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</si>
  <si>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</si>
  <si>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</si>
  <si>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</si>
  <si>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</si>
  <si>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</si>
  <si>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</si>
  <si>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</si>
  <si>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</si>
  <si>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</si>
  <si>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</si>
  <si>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</si>
  <si>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</si>
  <si>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</si>
  <si>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</si>
  <si>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</si>
  <si>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</si>
  <si>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</si>
  <si>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</si>
  <si>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</si>
  <si>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</si>
  <si>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</si>
  <si>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</si>
  <si>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</si>
  <si>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</si>
  <si>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</si>
  <si>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</si>
  <si>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</si>
  <si>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</si>
  <si>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</si>
  <si>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</si>
  <si>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</si>
  <si>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</si>
  <si>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</si>
  <si>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</si>
  <si>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</si>
  <si>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</si>
  <si>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</si>
  <si>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</si>
  <si>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</si>
  <si>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</si>
  <si>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</si>
  <si>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</si>
  <si>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</si>
  <si>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</si>
  <si>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</si>
  <si>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</si>
  <si>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</si>
  <si>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</si>
  <si>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</si>
  <si>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</si>
  <si>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</si>
  <si>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</si>
  <si>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</si>
  <si>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</si>
  <si>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</si>
  <si>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</si>
  <si>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</si>
  <si>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</si>
  <si>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</si>
  <si>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</si>
  <si>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</si>
  <si>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</si>
  <si>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</si>
  <si>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</si>
  <si>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</si>
  <si>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</si>
  <si>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</si>
  <si>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</si>
  <si>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</si>
  <si>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</si>
  <si>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</si>
  <si>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</si>
  <si>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</si>
  <si>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</si>
  <si>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</si>
  <si>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</si>
  <si>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</si>
  <si>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</si>
  <si>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</si>
  <si>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</si>
  <si>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</si>
  <si>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</si>
  <si>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</si>
  <si>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</si>
  <si>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</si>
  <si>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</si>
  <si>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</si>
  <si>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</si>
  <si>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</si>
  <si>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</si>
  <si>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</si>
  <si>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</si>
  <si>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</si>
  <si>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</si>
  <si>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</si>
  <si>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</si>
  <si>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</si>
  <si>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</si>
  <si>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</si>
  <si>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</si>
  <si>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</si>
  <si>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</si>
  <si>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</si>
  <si>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</si>
  <si>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</si>
  <si>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</si>
  <si>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</si>
  <si>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</si>
  <si>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</si>
  <si>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</si>
  <si>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</si>
  <si>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</si>
  <si>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</si>
  <si>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</si>
  <si>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</si>
  <si>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</si>
  <si>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</si>
  <si>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</si>
  <si>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</si>
  <si>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</si>
  <si>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</si>
  <si>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</si>
  <si>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</si>
  <si>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</si>
  <si>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</si>
  <si>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</si>
  <si>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</si>
  <si>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</si>
  <si>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</si>
  <si>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</si>
  <si>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</si>
  <si>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</si>
  <si>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</si>
  <si>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</si>
  <si>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</si>
  <si>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</si>
  <si>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</si>
  <si>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</si>
  <si>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</si>
  <si>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</si>
  <si>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</si>
  <si>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</si>
  <si>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</si>
  <si>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</si>
  <si>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</si>
  <si>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</si>
  <si>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</si>
  <si>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</si>
  <si>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</si>
  <si>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</si>
  <si>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</si>
  <si>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</si>
  <si>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</si>
  <si>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</si>
  <si>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</si>
  <si>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</si>
  <si>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</si>
  <si>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</si>
  <si>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</si>
  <si>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</si>
  <si>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</si>
  <si>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</si>
  <si>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</si>
  <si>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</si>
  <si>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</si>
  <si>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</si>
  <si>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</si>
  <si>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</si>
  <si>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</si>
  <si>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</si>
  <si>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</si>
  <si>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</si>
  <si>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</si>
  <si>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</si>
  <si>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</si>
  <si>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</si>
  <si>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</si>
  <si>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</si>
  <si>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</si>
  <si>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</si>
  <si>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</si>
  <si>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</si>
  <si>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</si>
  <si>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</si>
  <si>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</si>
  <si>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</si>
  <si>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</si>
  <si>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</si>
  <si>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</si>
  <si>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</si>
  <si>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</si>
  <si>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</si>
  <si>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</si>
  <si>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</si>
  <si>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</si>
  <si>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</si>
  <si>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</si>
  <si>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</si>
  <si>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</si>
  <si>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</si>
  <si>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</si>
  <si>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</si>
  <si>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</si>
  <si>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</si>
  <si>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</si>
  <si>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</si>
  <si>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</si>
  <si>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</si>
  <si>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</si>
  <si>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</si>
  <si>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</si>
  <si>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</si>
  <si>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</si>
  <si>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</si>
  <si>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</si>
  <si>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</si>
  <si>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</si>
  <si>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</si>
  <si>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</si>
  <si>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</si>
  <si>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</si>
  <si>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</si>
  <si>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</si>
  <si>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</si>
  <si>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</si>
  <si>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</si>
  <si>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</si>
  <si>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</si>
  <si>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</si>
  <si>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</si>
  <si>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</si>
  <si>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</si>
  <si>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</si>
  <si>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</si>
  <si>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</si>
  <si>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</si>
  <si>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</si>
  <si>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</si>
  <si>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</si>
  <si>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</si>
  <si>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</si>
  <si>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</si>
  <si>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</si>
  <si>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</si>
  <si>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</si>
  <si>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</si>
  <si>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</si>
  <si>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</si>
  <si>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</si>
  <si>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</si>
  <si>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</si>
  <si>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</si>
  <si>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</si>
  <si>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</si>
  <si>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</si>
  <si>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</si>
  <si>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</si>
  <si>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</si>
  <si>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</si>
  <si>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</si>
  <si>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</si>
  <si>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</si>
  <si>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</si>
  <si>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</si>
  <si>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</si>
  <si>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</si>
  <si>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</si>
  <si>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</si>
  <si>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</si>
  <si>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</si>
  <si>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</si>
  <si>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</si>
  <si>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</si>
  <si>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</si>
  <si>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</si>
  <si>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</si>
  <si>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</si>
  <si>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</si>
  <si>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</si>
  <si>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</si>
  <si>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</si>
  <si>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</si>
  <si>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</si>
  <si>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</si>
  <si>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</si>
  <si>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</si>
  <si>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</si>
  <si>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</si>
  <si>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</si>
  <si>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</si>
  <si>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</si>
  <si>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</si>
  <si>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</si>
  <si>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</si>
  <si>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</si>
  <si>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</si>
  <si>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</si>
  <si>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</si>
  <si>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</si>
  <si>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</si>
  <si>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</si>
  <si>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</si>
  <si>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</si>
  <si>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</si>
  <si>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</si>
  <si>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</si>
  <si>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</si>
  <si>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</si>
  <si>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</si>
  <si>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</si>
  <si>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</si>
  <si>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</si>
  <si>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</si>
  <si>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</si>
  <si>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</si>
  <si>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</si>
  <si>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</si>
  <si>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</si>
  <si>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</si>
  <si>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</si>
  <si>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</si>
  <si>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</si>
  <si>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</si>
  <si>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</si>
  <si>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</si>
  <si>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</si>
  <si>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</si>
  <si>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</si>
  <si>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</si>
  <si>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</si>
  <si>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</si>
  <si>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</si>
  <si>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</si>
  <si>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</si>
  <si>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</si>
  <si>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</si>
  <si>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</si>
  <si>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</si>
  <si>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</si>
  <si>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</si>
  <si>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</si>
  <si>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</si>
  <si>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</si>
  <si>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</si>
  <si>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</si>
  <si>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</si>
  <si>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</si>
  <si>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</si>
  <si>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</si>
  <si>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</si>
  <si>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</si>
  <si>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</si>
  <si>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</si>
  <si>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</si>
  <si>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</si>
  <si>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</si>
  <si>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</si>
  <si>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</si>
  <si>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</si>
  <si>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</si>
  <si>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</si>
  <si>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</si>
  <si>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</si>
  <si>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</si>
  <si>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</si>
  <si>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</si>
  <si>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</si>
  <si>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</si>
  <si>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</si>
  <si>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</si>
  <si>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</si>
  <si>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</si>
  <si>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</si>
  <si>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</si>
  <si>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</si>
  <si>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</si>
  <si>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</si>
  <si>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</si>
  <si>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</si>
  <si>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</si>
  <si>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</si>
  <si>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</si>
  <si>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</si>
  <si>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</si>
  <si>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</si>
  <si>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</si>
  <si>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</si>
  <si>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</si>
  <si>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</si>
  <si>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</si>
  <si>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</si>
  <si>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</si>
  <si>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</si>
  <si>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</si>
  <si>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</si>
  <si>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</si>
  <si>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</si>
  <si>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</si>
  <si>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</si>
  <si>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</si>
  <si>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</si>
  <si>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</si>
  <si>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</si>
  <si>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</si>
  <si>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</si>
  <si>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</si>
  <si>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</si>
  <si>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</si>
  <si>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</si>
  <si>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</si>
  <si>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</si>
  <si>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</si>
  <si>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</si>
  <si>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</si>
  <si>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</si>
  <si>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</si>
  <si>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</si>
  <si>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</si>
  <si>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</si>
  <si>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</si>
  <si>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</si>
  <si>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</si>
  <si>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</si>
  <si>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</si>
  <si>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</si>
  <si>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</si>
  <si>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</si>
  <si>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</si>
  <si>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</si>
  <si>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</si>
  <si>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</si>
  <si>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</si>
  <si>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</si>
  <si>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</si>
  <si>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</si>
  <si>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</si>
  <si>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</si>
  <si>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</si>
  <si>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</si>
  <si>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</si>
  <si>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</si>
  <si>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</si>
  <si>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</si>
  <si>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</si>
  <si>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</si>
  <si>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</si>
  <si>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</si>
  <si>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</si>
  <si>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</si>
  <si>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</si>
  <si>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</si>
  <si>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</si>
  <si>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</si>
  <si>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</si>
  <si>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</si>
  <si>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</si>
  <si>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</si>
  <si>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</si>
  <si>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</si>
  <si>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</si>
  <si>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</si>
  <si>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</si>
  <si>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</si>
  <si>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</si>
  <si>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</si>
  <si>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</si>
  <si>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</si>
  <si>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</si>
  <si>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</si>
  <si>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</si>
  <si>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</si>
  <si>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</si>
  <si>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</si>
  <si>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</si>
  <si>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</si>
  <si>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</si>
  <si>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</si>
  <si>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</si>
  <si>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</si>
  <si>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</si>
  <si>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</si>
  <si>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</si>
  <si>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</si>
  <si>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</si>
  <si>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</si>
  <si>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</si>
  <si>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</si>
  <si>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</si>
  <si>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</si>
  <si>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</si>
  <si>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</si>
  <si>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</si>
  <si>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</si>
  <si>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</si>
  <si>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</si>
  <si>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</si>
  <si>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</si>
  <si>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</si>
  <si>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</si>
  <si>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</si>
  <si>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</si>
  <si>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</si>
  <si>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</si>
  <si>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</si>
  <si>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</si>
  <si>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</si>
  <si>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</si>
  <si>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</si>
  <si>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</si>
  <si>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</si>
  <si>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</si>
  <si>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</si>
  <si>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</si>
  <si>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</si>
  <si>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</si>
  <si>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</si>
  <si>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</si>
  <si>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</si>
  <si>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</si>
  <si>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</si>
  <si>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</si>
  <si>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</si>
  <si>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</si>
  <si>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</si>
  <si>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</si>
  <si>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</si>
  <si>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</si>
  <si>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</si>
  <si>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</si>
  <si>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</si>
  <si>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</si>
  <si>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</si>
  <si>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</si>
  <si>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</si>
  <si>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</si>
  <si>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</si>
  <si>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</si>
  <si>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</si>
  <si>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</si>
  <si>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</si>
  <si>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</si>
  <si>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</si>
  <si>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</si>
  <si>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</si>
  <si>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</si>
  <si>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</si>
  <si>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</si>
  <si>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</si>
  <si>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</si>
  <si>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</si>
  <si>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</si>
  <si>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</si>
  <si>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</si>
  <si>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</si>
  <si>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</si>
  <si>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</si>
  <si>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</si>
  <si>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</si>
  <si>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</si>
  <si>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</si>
  <si>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</si>
  <si>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</si>
  <si>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</si>
  <si>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</si>
  <si>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</si>
  <si>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</si>
  <si>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</si>
  <si>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</si>
  <si>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</si>
  <si>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</si>
  <si>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</si>
  <si>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</si>
  <si>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</si>
  <si>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</si>
  <si>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</si>
  <si>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</si>
  <si>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</si>
  <si>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</si>
  <si>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</si>
  <si>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</si>
  <si>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</si>
  <si>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</si>
  <si>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</si>
  <si>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</si>
  <si>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</si>
  <si>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</si>
  <si>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</si>
  <si>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</si>
  <si>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</si>
  <si>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</si>
  <si>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</si>
  <si>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</si>
  <si>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</si>
  <si>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</si>
  <si>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</si>
  <si>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</si>
  <si>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</si>
  <si>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</si>
  <si>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</si>
  <si>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</si>
  <si>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</si>
  <si>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</si>
  <si>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</si>
  <si>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</si>
  <si>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</si>
  <si>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</si>
  <si>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</si>
  <si>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</si>
  <si>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</si>
  <si>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</si>
  <si>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</si>
  <si>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</si>
  <si>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</si>
  <si>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</si>
  <si>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</si>
  <si>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</si>
  <si>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</si>
  <si>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</si>
  <si>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</si>
  <si>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</si>
  <si>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</si>
  <si>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</si>
  <si>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</si>
  <si>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</si>
  <si>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</si>
  <si>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</si>
  <si>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</si>
  <si>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</si>
  <si>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</si>
  <si>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</si>
  <si>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</si>
  <si>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</si>
  <si>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</si>
  <si>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</si>
  <si>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</si>
  <si>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</si>
  <si>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</si>
  <si>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</si>
  <si>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</si>
  <si>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</si>
  <si>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</si>
  <si>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</si>
  <si>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</si>
  <si>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</si>
  <si>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</si>
  <si>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</si>
  <si>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</si>
  <si>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</si>
  <si>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</si>
  <si>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</si>
  <si>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</si>
  <si>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</si>
  <si>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</si>
  <si>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</si>
  <si>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</si>
  <si>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</si>
  <si>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</si>
  <si>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</si>
  <si>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</si>
  <si>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</si>
  <si>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</si>
  <si>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</si>
  <si>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</si>
  <si>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</si>
  <si>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</si>
  <si>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</si>
  <si>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</si>
  <si>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</si>
  <si>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</si>
  <si>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</si>
  <si>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</si>
  <si>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</si>
  <si>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</si>
  <si>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</si>
  <si>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</si>
  <si>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</si>
  <si>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</si>
  <si>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</si>
  <si>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</si>
  <si>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</si>
  <si>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</si>
  <si>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</si>
  <si>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</si>
  <si>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</si>
  <si>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</si>
  <si>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</si>
  <si>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</si>
  <si>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</si>
  <si>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</si>
  <si>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</si>
  <si>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</si>
  <si>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</si>
  <si>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</si>
  <si>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</si>
  <si>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</si>
  <si>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</si>
  <si>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</si>
  <si>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</si>
  <si>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</si>
  <si>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</si>
  <si>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</si>
  <si>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</si>
  <si>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</si>
  <si>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</si>
  <si>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</si>
  <si>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</si>
  <si>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</si>
  <si>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</si>
  <si>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</si>
  <si>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</si>
  <si>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</si>
  <si>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</si>
  <si>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</si>
  <si>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</si>
  <si>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</si>
  <si>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</si>
  <si>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</si>
  <si>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</si>
  <si>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</si>
  <si>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</si>
  <si>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</si>
  <si>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</si>
  <si>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</si>
  <si>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</si>
  <si>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</si>
  <si>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</si>
  <si>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</si>
  <si>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</si>
  <si>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</si>
  <si>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</si>
  <si>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</si>
  <si>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</si>
  <si>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</si>
  <si>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</si>
  <si>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</si>
  <si>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</si>
  <si>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</si>
  <si>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</si>
  <si>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</si>
  <si>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</si>
  <si>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</si>
  <si>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</si>
  <si>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</si>
  <si>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</si>
  <si>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</si>
  <si>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</si>
  <si>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</si>
  <si>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</si>
  <si>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</si>
  <si>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</si>
  <si>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</si>
  <si>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</si>
  <si>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</si>
  <si>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</si>
  <si>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</si>
  <si>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</si>
  <si>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</si>
  <si>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</si>
  <si>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</si>
  <si>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</si>
  <si>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</si>
  <si>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</si>
  <si>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</si>
  <si>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</si>
  <si>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</si>
  <si>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</si>
  <si>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</si>
  <si>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</si>
  <si>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</si>
  <si>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</si>
  <si>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</si>
  <si>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</si>
  <si>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</si>
  <si>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</si>
  <si>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</si>
  <si>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</si>
  <si>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</si>
  <si>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</si>
  <si>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</si>
  <si>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</si>
  <si>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</si>
  <si>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</si>
  <si>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</si>
  <si>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</si>
  <si>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</si>
  <si>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</si>
  <si>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</si>
  <si>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</si>
  <si>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</si>
  <si>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</si>
  <si>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</si>
  <si>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</si>
  <si>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</si>
  <si>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</si>
  <si>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</si>
  <si>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</si>
  <si>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</si>
  <si>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</si>
  <si>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</si>
  <si>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</si>
  <si>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</si>
  <si>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</si>
  <si>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</si>
  <si>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</si>
  <si>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</si>
  <si>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</si>
  <si>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</si>
  <si>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</si>
  <si>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</si>
  <si>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</si>
  <si>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</si>
  <si>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</si>
  <si>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</si>
  <si>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</si>
  <si>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</si>
  <si>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</si>
  <si>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</si>
  <si>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</si>
  <si>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</si>
  <si>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</si>
  <si>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</si>
  <si>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</si>
  <si>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</si>
  <si>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</si>
  <si>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</si>
  <si>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</si>
  <si>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</si>
  <si>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</si>
  <si>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</si>
  <si>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</si>
  <si>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</si>
  <si>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</si>
  <si>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</si>
  <si>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</si>
  <si>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</si>
  <si>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</si>
  <si>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</si>
  <si>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</si>
  <si>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</si>
  <si>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</si>
  <si>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</si>
  <si>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</si>
  <si>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</si>
  <si>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</si>
  <si>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</si>
  <si>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</si>
  <si>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</si>
  <si>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</si>
  <si>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</si>
  <si>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</si>
  <si>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</si>
  <si>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</si>
  <si>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</si>
  <si>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</si>
  <si>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</si>
  <si>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</si>
  <si>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</si>
  <si>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</si>
  <si>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</si>
  <si>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</si>
  <si>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</si>
  <si>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</si>
  <si>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</si>
  <si>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</si>
  <si>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</si>
  <si>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</si>
  <si>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</si>
  <si>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</si>
  <si>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</si>
  <si>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</si>
  <si>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</si>
  <si>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</si>
  <si>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</si>
  <si>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</si>
  <si>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</si>
  <si>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</si>
  <si>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</si>
  <si>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</si>
  <si>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</si>
  <si>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</si>
  <si>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</si>
  <si>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</si>
  <si>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</si>
  <si>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</si>
  <si>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</si>
  <si>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</si>
  <si>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</si>
  <si>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</si>
  <si>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</si>
  <si>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</si>
  <si>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</si>
  <si>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</si>
  <si>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</si>
  <si>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</si>
  <si>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</si>
  <si>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</si>
  <si>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</si>
  <si>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</si>
  <si>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</si>
  <si>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</si>
  <si>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</si>
  <si>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</si>
  <si>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</si>
  <si>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</si>
  <si>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</si>
  <si>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</si>
  <si>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</si>
  <si>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</si>
  <si>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</si>
  <si>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</si>
  <si>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</si>
  <si>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</si>
  <si>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</si>
  <si>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</si>
  <si>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</si>
  <si>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</si>
  <si>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</si>
  <si>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</si>
  <si>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</si>
  <si>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</si>
  <si>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</si>
  <si>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</si>
  <si>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</si>
  <si>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</si>
  <si>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</si>
  <si>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</si>
  <si>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</si>
  <si>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</si>
  <si>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</si>
  <si>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</si>
  <si>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</si>
  <si>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</si>
  <si>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</si>
  <si>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</si>
  <si>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</si>
  <si>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</si>
  <si>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</si>
  <si>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</si>
  <si>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</si>
  <si>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</si>
  <si>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</si>
  <si>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</si>
  <si>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</si>
  <si>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</si>
  <si>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</si>
  <si>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</si>
  <si>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</si>
  <si>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</si>
  <si>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</si>
  <si>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</si>
  <si>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</si>
  <si>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</si>
  <si>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</si>
  <si>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</si>
  <si>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</si>
  <si>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</si>
  <si>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</si>
  <si>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</si>
  <si>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</si>
  <si>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</si>
  <si>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</si>
  <si>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</si>
  <si>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</si>
  <si>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</si>
  <si>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</si>
  <si>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</si>
  <si>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</si>
  <si>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</si>
  <si>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</si>
  <si>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</si>
  <si>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</si>
  <si>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</si>
  <si>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</si>
  <si>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</si>
  <si>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</si>
  <si>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</si>
  <si>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</si>
  <si>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</si>
  <si>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</si>
  <si>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</si>
  <si>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</si>
  <si>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</si>
  <si>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</si>
  <si>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</si>
  <si>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</si>
  <si>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</si>
  <si>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</si>
  <si>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</si>
  <si>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</si>
  <si>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</si>
  <si>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</si>
  <si>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</si>
  <si>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</si>
  <si>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</si>
  <si>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</si>
  <si>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</si>
  <si>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</si>
  <si>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</si>
  <si>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</si>
  <si>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</si>
  <si>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</si>
  <si>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</si>
  <si>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</si>
  <si>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</si>
  <si>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</si>
  <si>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</si>
  <si>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</si>
  <si>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</si>
  <si>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</si>
  <si>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</si>
  <si>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</si>
  <si>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</si>
  <si>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</si>
  <si>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</si>
  <si>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</si>
  <si>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</si>
  <si>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</si>
  <si>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</si>
  <si>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</si>
  <si>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</si>
  <si>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</si>
  <si>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</si>
  <si>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</si>
  <si>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</si>
  <si>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</si>
  <si>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</si>
  <si>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</si>
  <si>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</si>
  <si>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</si>
  <si>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</si>
  <si>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</si>
  <si>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</si>
  <si>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</si>
  <si>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</si>
  <si>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</si>
  <si>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</si>
  <si>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</si>
  <si>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</si>
  <si>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</si>
  <si>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</si>
  <si>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</si>
  <si>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</si>
  <si>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</si>
  <si>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</si>
  <si>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</si>
  <si>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</si>
  <si>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</si>
  <si>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</si>
  <si>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</si>
  <si>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</si>
  <si>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</si>
  <si>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</si>
  <si>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</si>
  <si>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</si>
  <si>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</si>
  <si>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</si>
  <si>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</si>
  <si>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</si>
  <si>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</si>
  <si>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</si>
  <si>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</si>
  <si>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</si>
  <si>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</si>
  <si>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</si>
  <si>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</si>
  <si>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</si>
  <si>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</si>
  <si>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</si>
  <si>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</si>
  <si>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</si>
  <si>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</si>
  <si>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</si>
  <si>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</si>
  <si>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</si>
  <si>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</si>
  <si>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</si>
  <si>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</si>
  <si>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</si>
  <si>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</si>
  <si>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</si>
  <si>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</si>
  <si>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</si>
  <si>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</si>
  <si>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</si>
  <si>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</si>
  <si>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</si>
  <si>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</si>
  <si>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</si>
  <si>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</si>
  <si>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</si>
  <si>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</si>
  <si>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</si>
  <si>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</si>
  <si>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</si>
  <si>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</si>
  <si>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</si>
  <si>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</si>
  <si>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</si>
  <si>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</si>
  <si>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</si>
  <si>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</si>
  <si>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</si>
  <si>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</si>
  <si>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</si>
  <si>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</si>
  <si>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</si>
  <si>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</si>
  <si>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</si>
  <si>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</si>
  <si>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</si>
  <si>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</si>
  <si>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</si>
  <si>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</si>
  <si>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</si>
  <si>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</si>
  <si>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</si>
  <si>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</si>
  <si>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</si>
  <si>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</si>
  <si>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</si>
  <si>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</si>
  <si>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</si>
  <si>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</si>
  <si>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</si>
  <si>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</si>
  <si>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</si>
  <si>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</si>
  <si>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</si>
  <si>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</si>
  <si>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</si>
  <si>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</si>
  <si>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</si>
  <si>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</si>
  <si>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</si>
  <si>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</si>
  <si>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</si>
  <si>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</si>
  <si>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</si>
  <si>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</si>
  <si>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</si>
  <si>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</si>
  <si>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</si>
  <si>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</si>
  <si>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</si>
  <si>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</si>
  <si>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</si>
  <si>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</si>
  <si>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</si>
  <si>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</si>
  <si>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</si>
  <si>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</si>
  <si>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</si>
  <si>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</si>
  <si>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</si>
  <si>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</si>
  <si>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</si>
  <si>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</si>
  <si>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</si>
  <si>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</si>
  <si>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</si>
  <si>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</si>
  <si>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</si>
  <si>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</si>
  <si>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</si>
  <si>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</si>
  <si>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</si>
  <si>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</si>
  <si>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</si>
  <si>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</si>
  <si>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</si>
  <si>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</si>
  <si>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</si>
  <si>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</si>
  <si>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</si>
  <si>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</si>
  <si>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</si>
  <si>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</si>
  <si>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</si>
  <si>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</si>
  <si>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</si>
  <si>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</si>
  <si>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</si>
  <si>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</si>
  <si>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</si>
  <si>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</si>
  <si>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</si>
  <si>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</si>
  <si>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</si>
  <si>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</si>
  <si>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</si>
  <si>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</si>
  <si>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</si>
  <si>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</si>
  <si>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</si>
  <si>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</si>
  <si>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</si>
  <si>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</si>
  <si>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</si>
  <si>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</si>
  <si>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</si>
  <si>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</si>
  <si>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</si>
  <si>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</si>
  <si>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</si>
  <si>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</si>
  <si>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</si>
  <si>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</si>
  <si>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</si>
  <si>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</si>
  <si>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</si>
  <si>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</si>
  <si>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</si>
  <si>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</si>
  <si>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</si>
  <si>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</si>
  <si>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</si>
  <si>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</si>
  <si>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</si>
  <si>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</si>
  <si>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</si>
  <si>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</si>
  <si>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</si>
  <si>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</si>
  <si>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</si>
  <si>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</si>
  <si>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</si>
  <si>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</si>
  <si>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</si>
  <si>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</si>
  <si>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</si>
  <si>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</si>
  <si>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</si>
  <si>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</si>
  <si>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</si>
  <si>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</si>
  <si>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</si>
  <si>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</si>
  <si>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</si>
  <si>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</si>
  <si>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</si>
  <si>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</si>
  <si>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</si>
  <si>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</si>
  <si>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</si>
  <si>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</si>
  <si>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</si>
  <si>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</si>
  <si>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</si>
  <si>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</si>
  <si>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</si>
  <si>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</si>
  <si>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</si>
  <si>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</si>
  <si>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</si>
  <si>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</si>
  <si>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</si>
  <si>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</si>
  <si>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</si>
  <si>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</si>
  <si>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</si>
  <si>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</si>
  <si>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</si>
  <si>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</si>
  <si>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</si>
  <si>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</si>
  <si>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</si>
  <si>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</si>
  <si>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</si>
  <si>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</si>
  <si>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</si>
  <si>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</si>
  <si>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</si>
  <si>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</si>
  <si>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</si>
  <si>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</si>
  <si>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</si>
  <si>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</si>
  <si>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</si>
  <si>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</si>
  <si>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</si>
  <si>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</si>
  <si>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</si>
  <si>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</si>
  <si>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</si>
  <si>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</si>
  <si>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</si>
  <si>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</si>
  <si>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</si>
  <si>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</si>
  <si>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</si>
  <si>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</si>
  <si>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</si>
  <si>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</si>
  <si>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</si>
  <si>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</si>
  <si>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</si>
  <si>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</si>
  <si>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</si>
  <si>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</si>
  <si>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</si>
  <si>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</si>
  <si>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</si>
  <si>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</si>
  <si>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</si>
  <si>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</si>
  <si>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</si>
  <si>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</si>
  <si>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</si>
  <si>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</si>
  <si>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</si>
  <si>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</si>
  <si>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</si>
  <si>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</si>
  <si>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</si>
  <si>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</si>
  <si>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</si>
  <si>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</si>
  <si>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</si>
  <si>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</si>
  <si>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</si>
  <si>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</si>
  <si>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</si>
  <si>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</si>
  <si>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</si>
  <si>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</si>
  <si>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</si>
  <si>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</si>
  <si>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</si>
  <si>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</si>
  <si>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</si>
  <si>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</si>
  <si>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</si>
  <si>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</si>
  <si>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</si>
  <si>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</si>
  <si>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</si>
  <si>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</si>
  <si>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</si>
  <si>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</si>
  <si>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</si>
  <si>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</si>
  <si>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</si>
  <si>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</si>
  <si>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</si>
  <si>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</si>
  <si>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</si>
  <si>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</si>
  <si>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</si>
  <si>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</si>
  <si>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</si>
  <si>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</si>
  <si>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</si>
  <si>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</si>
  <si>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</si>
  <si>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</si>
  <si>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</si>
  <si>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</si>
  <si>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</si>
  <si>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</si>
  <si>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</si>
  <si>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</si>
  <si>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</si>
  <si>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</si>
  <si>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</si>
  <si>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</si>
  <si>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</si>
  <si>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</si>
  <si>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</si>
  <si>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</si>
  <si>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</si>
  <si>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</si>
  <si>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</si>
  <si>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</si>
  <si>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</si>
  <si>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</si>
  <si>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</si>
  <si>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</si>
  <si>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</si>
  <si>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</si>
  <si>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</si>
  <si>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</si>
  <si>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</si>
  <si>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</si>
  <si>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</si>
  <si>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</si>
  <si>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</si>
  <si>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</si>
  <si>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</si>
  <si>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</si>
  <si>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</si>
  <si>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</si>
  <si>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</si>
  <si>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</si>
  <si>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</si>
  <si>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</si>
  <si>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</si>
  <si>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</si>
  <si>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</si>
  <si>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</si>
  <si>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</si>
  <si>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</si>
  <si>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</si>
  <si>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</si>
  <si>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</si>
  <si>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</si>
  <si>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</si>
  <si>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</si>
  <si>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</si>
  <si>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</si>
  <si>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</si>
  <si>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</si>
  <si>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</si>
  <si>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</si>
  <si>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</si>
  <si>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</si>
  <si>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</si>
  <si>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</si>
  <si>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</si>
  <si>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</si>
  <si>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</si>
  <si>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</si>
  <si>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</si>
  <si>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</si>
  <si>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</si>
  <si>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</si>
  <si>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</si>
  <si>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</si>
  <si>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</si>
  <si>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</si>
  <si>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</si>
  <si>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</si>
  <si>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</si>
  <si>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</si>
  <si>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</si>
  <si>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</si>
  <si>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</si>
  <si>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</si>
  <si>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</si>
  <si>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</si>
  <si>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</si>
  <si>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</si>
  <si>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</si>
  <si>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</si>
  <si>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</si>
  <si>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</si>
  <si>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</si>
  <si>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</si>
  <si>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</si>
  <si>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</si>
  <si>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</si>
  <si>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</si>
  <si>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</si>
  <si>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</si>
  <si>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</si>
  <si>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</si>
  <si>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</si>
  <si>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</si>
  <si>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</si>
  <si>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</si>
  <si>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</si>
  <si>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</si>
  <si>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</si>
  <si>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</si>
  <si>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</si>
  <si>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</si>
  <si>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</si>
  <si>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</si>
  <si>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</si>
  <si>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</si>
  <si>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</si>
  <si>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</si>
  <si>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</si>
  <si>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</si>
  <si>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</si>
  <si>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</si>
  <si>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</si>
  <si>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</si>
  <si>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</si>
  <si>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</si>
  <si>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</si>
  <si>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</si>
  <si>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</si>
  <si>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</si>
  <si>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</si>
  <si>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</si>
  <si>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</si>
  <si>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</si>
  <si>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</si>
  <si>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</si>
  <si>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</si>
  <si>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</si>
  <si>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</si>
  <si>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</si>
  <si>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</si>
  <si>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</si>
  <si>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</si>
  <si>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</si>
  <si>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</si>
  <si>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</si>
  <si>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</si>
  <si>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</si>
  <si>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</si>
  <si>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</si>
  <si>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</si>
  <si>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</si>
  <si>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</si>
  <si>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</si>
  <si>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</si>
  <si>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</si>
  <si>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</si>
  <si>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</si>
  <si>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</si>
  <si>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</si>
  <si>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</si>
  <si>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</si>
  <si>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</si>
  <si>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</si>
  <si>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</si>
  <si>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</si>
  <si>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</si>
  <si>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</si>
  <si>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</si>
  <si>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</si>
  <si>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</si>
  <si>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</si>
  <si>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</si>
  <si>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</si>
  <si>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</si>
  <si>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</si>
  <si>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</si>
  <si>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</si>
  <si>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</si>
  <si>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</si>
  <si>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</si>
  <si>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</si>
  <si>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</si>
  <si>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</si>
  <si>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</si>
  <si>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</si>
  <si>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</si>
  <si>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</si>
  <si>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</si>
  <si>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</si>
  <si>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</si>
  <si>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</si>
  <si>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</si>
  <si>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</si>
  <si>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</si>
  <si>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</si>
  <si>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</si>
  <si>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</si>
  <si>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</si>
  <si>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</si>
  <si>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</si>
  <si>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</si>
  <si>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</si>
  <si>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</si>
  <si>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</si>
  <si>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</si>
  <si>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</si>
  <si>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</si>
  <si>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</si>
  <si>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</si>
  <si>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</si>
  <si>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</si>
  <si>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</si>
  <si>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</si>
  <si>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</si>
  <si>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</si>
  <si>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</si>
  <si>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</si>
  <si>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</si>
  <si>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</si>
  <si>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</si>
  <si>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</si>
  <si>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</si>
  <si>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</si>
  <si>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</si>
  <si>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</si>
  <si>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</si>
  <si>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</si>
  <si>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</si>
  <si>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</si>
  <si>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</si>
  <si>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</si>
  <si>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</si>
  <si>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</si>
  <si>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</si>
  <si>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</si>
  <si>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</si>
  <si>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</si>
  <si>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</si>
  <si>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</si>
  <si>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</si>
  <si>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</si>
  <si>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</si>
  <si>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</si>
  <si>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</si>
  <si>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</si>
  <si>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</si>
  <si>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</si>
  <si>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</si>
  <si>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</si>
  <si>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</si>
  <si>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</si>
  <si>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</si>
  <si>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</si>
  <si>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</si>
  <si>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</si>
  <si>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</si>
  <si>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</si>
  <si>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</si>
  <si>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</si>
  <si>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</si>
  <si>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</si>
  <si>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</si>
  <si>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</si>
  <si>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</si>
  <si>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</si>
  <si>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</si>
  <si>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</si>
  <si>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</si>
  <si>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</si>
  <si>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</si>
  <si>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</si>
  <si>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</si>
  <si>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</si>
  <si>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</si>
  <si>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</si>
  <si>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</si>
  <si>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</si>
  <si>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</si>
  <si>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</si>
  <si>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</si>
  <si>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</si>
  <si>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</si>
  <si>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</si>
  <si>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</si>
  <si>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</si>
  <si>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</si>
  <si>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</si>
  <si>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</si>
  <si>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</si>
  <si>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</si>
  <si>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</si>
  <si>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</si>
  <si>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</si>
  <si>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</si>
  <si>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</si>
  <si>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</si>
  <si>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</si>
  <si>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</si>
  <si>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</si>
  <si>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</si>
  <si>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</si>
  <si>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</si>
  <si>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</si>
  <si>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</si>
  <si>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</si>
  <si>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</si>
  <si>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</si>
  <si>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</si>
  <si>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</si>
  <si>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</si>
  <si>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</si>
  <si>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</si>
  <si>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</si>
  <si>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</si>
  <si>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</si>
  <si>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</si>
  <si>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</si>
  <si>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</si>
  <si>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</si>
  <si>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</si>
  <si>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</si>
  <si>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</si>
  <si>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</si>
  <si>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</si>
  <si>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</si>
  <si>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</si>
  <si>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</si>
  <si>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</si>
  <si>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</si>
  <si>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</si>
  <si>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</si>
  <si>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</si>
  <si>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</si>
  <si>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</si>
  <si>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</si>
  <si>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</si>
  <si>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</si>
  <si>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</si>
  <si>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</si>
  <si>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</si>
  <si>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</si>
  <si>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</si>
  <si>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</si>
  <si>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</si>
  <si>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</si>
  <si>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</si>
  <si>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</si>
  <si>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</si>
  <si>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</si>
  <si>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</si>
  <si>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</si>
  <si>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</si>
  <si>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</si>
  <si>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</si>
  <si>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</si>
  <si>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</si>
  <si>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</si>
  <si>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</si>
  <si>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</si>
  <si>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</si>
  <si>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</si>
  <si>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</si>
  <si>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</si>
  <si>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</si>
  <si>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</si>
  <si>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</si>
  <si>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</si>
  <si>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</si>
  <si>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</si>
  <si>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</si>
  <si>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</si>
  <si>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</si>
  <si>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</si>
  <si>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</si>
  <si>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</si>
  <si>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</si>
  <si>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</si>
  <si>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</si>
  <si>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</si>
  <si>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</si>
  <si>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</si>
  <si>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</si>
  <si>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</si>
  <si>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</si>
  <si>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</si>
  <si>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</si>
  <si>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</si>
  <si>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</si>
  <si>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</si>
  <si>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</si>
  <si>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</si>
  <si>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</si>
  <si>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</si>
  <si>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</si>
  <si>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</si>
  <si>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</si>
  <si>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</si>
  <si>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</si>
  <si>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</si>
  <si>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</si>
  <si>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</si>
  <si>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</si>
  <si>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</si>
  <si>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</si>
  <si>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</si>
  <si>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</si>
  <si>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</si>
  <si>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</si>
  <si>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</si>
  <si>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</si>
  <si>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</si>
  <si>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</si>
  <si>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</si>
  <si>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</si>
  <si>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</si>
  <si>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</si>
  <si>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</si>
  <si>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</si>
  <si>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</si>
  <si>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</si>
  <si>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</si>
  <si>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</si>
  <si>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</si>
  <si>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</si>
  <si>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</si>
  <si>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</si>
  <si>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</si>
  <si>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</si>
  <si>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</si>
  <si>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</si>
  <si>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</si>
  <si>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</si>
  <si>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</si>
  <si>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</si>
  <si>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</si>
  <si>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</si>
  <si>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</si>
  <si>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</si>
  <si>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</si>
  <si>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</si>
  <si>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</si>
  <si>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</si>
  <si>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</si>
  <si>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</si>
  <si>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</si>
  <si>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</si>
  <si>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</si>
  <si>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</si>
  <si>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</si>
  <si>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</si>
  <si>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</si>
  <si>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</si>
  <si>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</si>
  <si>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</si>
  <si>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</si>
  <si>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</si>
  <si>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</si>
  <si>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</si>
  <si>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</si>
  <si>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</si>
  <si>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</si>
  <si>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</si>
  <si>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</si>
  <si>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</si>
  <si>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</si>
  <si>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</si>
  <si>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</si>
  <si>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</si>
  <si>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</si>
  <si>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</si>
  <si>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</si>
  <si>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</si>
  <si>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</si>
  <si>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</si>
  <si>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</si>
  <si>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</si>
  <si>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</si>
  <si>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</si>
  <si>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</si>
  <si>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</si>
  <si>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</si>
  <si>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</si>
  <si>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</si>
  <si>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</si>
  <si>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</si>
  <si>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</si>
  <si>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</si>
  <si>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</si>
  <si>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</si>
  <si>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</si>
  <si>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</si>
  <si>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</si>
  <si>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</si>
  <si>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</si>
  <si>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</si>
  <si>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</si>
  <si>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</si>
  <si>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</si>
  <si>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</si>
  <si>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</si>
  <si>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</si>
  <si>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</si>
  <si>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</si>
  <si>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</si>
  <si>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</si>
  <si>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</si>
  <si>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</si>
  <si>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</si>
  <si>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</si>
  <si>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</si>
  <si>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</si>
  <si>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</si>
  <si>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</si>
  <si>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</si>
  <si>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</si>
  <si>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</si>
  <si>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</si>
  <si>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</si>
  <si>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</si>
  <si>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</si>
  <si>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</si>
  <si>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</si>
  <si>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</si>
  <si>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</si>
  <si>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</si>
  <si>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</si>
  <si>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</si>
  <si>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</si>
  <si>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</si>
  <si>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</si>
  <si>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</si>
  <si>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</si>
  <si>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</si>
  <si>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</si>
  <si>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</si>
  <si>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</si>
  <si>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</si>
  <si>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</si>
  <si>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</si>
  <si>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</si>
  <si>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</si>
  <si>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</si>
  <si>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</si>
  <si>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</si>
  <si>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</si>
  <si>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</si>
  <si>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</si>
  <si>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</si>
  <si>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</si>
  <si>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</si>
  <si>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</si>
  <si>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</si>
  <si>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</si>
  <si>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</si>
  <si>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</si>
  <si>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</si>
  <si>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</si>
  <si>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</si>
  <si>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</si>
  <si>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</si>
  <si>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</si>
  <si>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</si>
  <si>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</si>
  <si>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</si>
  <si>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</si>
  <si>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</si>
  <si>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</si>
  <si>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</si>
  <si>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</si>
  <si>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</si>
  <si>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</si>
  <si>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</si>
  <si>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</si>
  <si>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</si>
  <si>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</si>
  <si>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</si>
  <si>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</si>
  <si>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</si>
  <si>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</si>
  <si>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</si>
  <si>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</si>
  <si>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</si>
  <si>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</si>
  <si>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</si>
  <si>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</si>
  <si>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</si>
  <si>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</si>
  <si>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</si>
  <si>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</si>
  <si>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</si>
  <si>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</si>
  <si>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</si>
  <si>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</si>
  <si>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</si>
  <si>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</si>
  <si>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</si>
  <si>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</si>
  <si>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</si>
  <si>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</si>
  <si>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</si>
  <si>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</si>
  <si>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</si>
  <si>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</si>
  <si>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</si>
  <si>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</si>
  <si>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</si>
  <si>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</si>
  <si>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</si>
  <si>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</si>
  <si>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</si>
  <si>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</si>
  <si>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</si>
  <si>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</si>
  <si>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</si>
  <si>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</si>
  <si>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</si>
  <si>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</si>
  <si>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</si>
  <si>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</si>
  <si>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</si>
  <si>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</si>
  <si>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</si>
  <si>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</si>
  <si>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</si>
  <si>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</si>
  <si>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</si>
  <si>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</si>
  <si>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</si>
  <si>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</si>
  <si>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</si>
  <si>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</si>
  <si>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</si>
  <si>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</si>
  <si>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</si>
  <si>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</si>
  <si>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</si>
  <si>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</si>
  <si>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</si>
  <si>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</si>
  <si>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</si>
  <si>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</si>
  <si>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</si>
  <si>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</si>
  <si>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</si>
  <si>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</si>
  <si>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</si>
  <si>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</si>
  <si>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</si>
  <si>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</si>
  <si>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</si>
  <si>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</si>
  <si>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</si>
  <si>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</si>
  <si>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</si>
  <si>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</si>
  <si>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</si>
  <si>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</si>
  <si>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</si>
  <si>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</si>
  <si>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</si>
  <si>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</si>
  <si>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</si>
  <si>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</si>
  <si>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</si>
  <si>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</si>
  <si>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</si>
  <si>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</si>
  <si>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</si>
  <si>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</si>
  <si>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</si>
  <si>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</si>
  <si>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</si>
  <si>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</si>
  <si>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</si>
  <si>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</si>
  <si>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</si>
  <si>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</si>
  <si>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</si>
  <si>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</si>
  <si>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</si>
  <si>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</si>
  <si>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</si>
  <si>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</si>
  <si>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</si>
  <si>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</si>
  <si>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</si>
  <si>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</si>
  <si>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</si>
  <si>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</si>
  <si>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</si>
  <si>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</si>
  <si>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</si>
  <si>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</si>
  <si>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</si>
  <si>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</si>
  <si>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</si>
  <si>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</si>
  <si>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</si>
  <si>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</si>
  <si>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</si>
  <si>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</si>
  <si>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</si>
  <si>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</si>
  <si>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</si>
  <si>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</si>
  <si>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</si>
  <si>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</si>
  <si>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</si>
  <si>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</si>
  <si>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</si>
  <si>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</si>
  <si>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</si>
  <si>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</si>
  <si>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</si>
  <si>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</si>
  <si>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</si>
  <si>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</si>
  <si>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</si>
  <si>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</si>
  <si>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</si>
  <si>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</si>
  <si>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</si>
  <si>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</si>
  <si>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</si>
  <si>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</si>
  <si>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</si>
  <si>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</si>
  <si>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</si>
  <si>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</si>
  <si>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</si>
  <si>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</si>
  <si>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</si>
  <si>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</si>
  <si>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</si>
  <si>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</si>
  <si>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</si>
  <si>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</si>
  <si>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</si>
  <si>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</si>
  <si>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</si>
  <si>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</si>
  <si>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</si>
  <si>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</si>
  <si>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</si>
  <si>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</si>
  <si>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</si>
  <si>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</si>
  <si>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</si>
  <si>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</si>
  <si>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</si>
  <si>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</si>
  <si>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</si>
  <si>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</si>
  <si>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</si>
  <si>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</si>
  <si>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</si>
  <si>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</si>
  <si>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</si>
  <si>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</si>
  <si>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</si>
  <si>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</si>
  <si>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</si>
  <si>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</si>
  <si>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</si>
  <si>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</si>
  <si>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</si>
  <si>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</si>
  <si>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</si>
  <si>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</si>
  <si>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</si>
  <si>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</si>
  <si>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</si>
  <si>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</si>
  <si>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</si>
  <si>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</si>
  <si>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</si>
  <si>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</si>
  <si>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</si>
  <si>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</si>
  <si>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</si>
  <si>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</si>
  <si>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</si>
  <si>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</si>
  <si>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</si>
  <si>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</si>
  <si>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</si>
  <si>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</si>
  <si>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</si>
  <si>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</si>
  <si>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</si>
  <si>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</si>
  <si>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</si>
  <si>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</si>
  <si>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</si>
  <si>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</si>
  <si>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</si>
  <si>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</si>
  <si>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</si>
  <si>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</si>
  <si>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</si>
  <si>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</si>
  <si>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</si>
  <si>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</si>
  <si>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</si>
  <si>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</si>
  <si>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</si>
  <si>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</si>
  <si>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</si>
  <si>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</si>
  <si>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</si>
  <si>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</si>
  <si>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</si>
  <si>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</si>
  <si>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</si>
  <si>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</si>
  <si>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</si>
  <si>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</si>
  <si>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</si>
  <si>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</si>
  <si>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</si>
  <si>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</si>
  <si>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</si>
  <si>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</si>
  <si>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</si>
  <si>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</si>
  <si>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</si>
  <si>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</si>
  <si>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</si>
  <si>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</si>
  <si>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</si>
  <si>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</si>
  <si>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</si>
  <si>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</si>
  <si>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</si>
  <si>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</si>
  <si>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</si>
  <si>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</si>
  <si>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</si>
  <si>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</si>
  <si>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</si>
  <si>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</si>
  <si>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</si>
  <si>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</si>
  <si>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</si>
  <si>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</si>
  <si>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</si>
  <si>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</si>
  <si>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</si>
  <si>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</si>
  <si>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</si>
  <si>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</si>
  <si>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</si>
  <si>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</si>
  <si>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</si>
  <si>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</si>
  <si>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</si>
  <si>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</si>
  <si>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</si>
  <si>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</si>
  <si>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</si>
  <si>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</si>
  <si>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</si>
  <si>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</si>
  <si>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</si>
  <si>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</si>
  <si>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</si>
  <si>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</si>
  <si>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</si>
  <si>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</si>
  <si>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</si>
  <si>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</si>
  <si>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</si>
  <si>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</si>
  <si>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</si>
  <si>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</si>
  <si>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</si>
  <si>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</si>
  <si>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</si>
  <si>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</si>
  <si>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</si>
  <si>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</si>
  <si>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</si>
  <si>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</si>
  <si>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</si>
  <si>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</si>
  <si>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</si>
  <si>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</si>
  <si>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</si>
  <si>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</si>
  <si>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</si>
  <si>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</si>
  <si>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</si>
  <si>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</si>
  <si>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</si>
  <si>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</si>
  <si>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</si>
  <si>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</si>
  <si>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</si>
  <si>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</si>
  <si>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</si>
  <si>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</si>
  <si>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</si>
  <si>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</si>
  <si>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</si>
  <si>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</si>
  <si>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</si>
  <si>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</si>
  <si>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</si>
  <si>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</si>
  <si>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</si>
  <si>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</si>
  <si>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</si>
  <si>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</si>
  <si>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</si>
  <si>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</si>
  <si>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</si>
  <si>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</si>
  <si>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</si>
  <si>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</si>
  <si>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</si>
  <si>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</si>
  <si>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</si>
  <si>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</si>
  <si>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</si>
  <si>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</si>
  <si>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</si>
  <si>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</si>
  <si>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</si>
  <si>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</si>
  <si>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</si>
  <si>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</si>
  <si>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</si>
  <si>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</si>
  <si>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</si>
  <si>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</si>
  <si>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</si>
  <si>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</si>
  <si>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</si>
  <si>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</si>
  <si>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</si>
  <si>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</si>
  <si>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</si>
  <si>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</si>
  <si>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</si>
  <si>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</si>
  <si>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</si>
  <si>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</si>
  <si>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</si>
  <si>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</si>
  <si>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</si>
  <si>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</si>
  <si>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</si>
  <si>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</si>
  <si>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</si>
  <si>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</si>
  <si>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</si>
  <si>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</si>
  <si>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</si>
  <si>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</si>
  <si>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</si>
  <si>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</si>
  <si>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</si>
  <si>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</si>
  <si>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</si>
  <si>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</si>
  <si>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</si>
  <si>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</si>
  <si>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</si>
  <si>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</si>
  <si>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</si>
  <si>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</si>
  <si>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</si>
  <si>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</si>
  <si>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</si>
  <si>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</si>
  <si>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</si>
  <si>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</si>
  <si>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</si>
  <si>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</si>
  <si>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</si>
  <si>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</si>
  <si>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</si>
  <si>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</si>
  <si>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</si>
  <si>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</si>
  <si>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</si>
  <si>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</si>
  <si>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</si>
  <si>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</si>
  <si>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</si>
  <si>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</si>
  <si>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</si>
  <si>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</si>
  <si>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</si>
  <si>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</si>
  <si>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</si>
  <si>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</si>
  <si>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</si>
  <si>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</si>
  <si>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</si>
  <si>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</si>
  <si>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</si>
  <si>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</si>
  <si>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</si>
  <si>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</si>
  <si>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</si>
  <si>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</si>
  <si>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</si>
  <si>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</si>
  <si>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</si>
  <si>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</si>
  <si>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</si>
  <si>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</si>
  <si>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</si>
  <si>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</si>
  <si>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</si>
  <si>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</si>
  <si>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</si>
  <si>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</si>
  <si>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</si>
  <si>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</si>
  <si>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</si>
  <si>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</si>
  <si>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</si>
  <si>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</si>
  <si>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</si>
  <si>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</si>
  <si>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</si>
  <si>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</si>
  <si>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</si>
  <si>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</si>
  <si>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</si>
  <si>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</si>
  <si>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</si>
  <si>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</si>
  <si>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</si>
  <si>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</si>
  <si>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</si>
  <si>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</si>
  <si>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</si>
  <si>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</si>
  <si>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</si>
  <si>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</si>
  <si>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</si>
  <si>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</si>
  <si>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</si>
  <si>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</si>
  <si>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</si>
  <si>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</si>
  <si>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</si>
  <si>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</si>
  <si>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</si>
  <si>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</si>
  <si>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</si>
  <si>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</si>
  <si>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</si>
  <si>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</si>
  <si>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</si>
  <si>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</si>
  <si>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</si>
  <si>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</si>
  <si>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</si>
  <si>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</si>
  <si>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</si>
  <si>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</si>
  <si>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</si>
  <si>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</si>
  <si>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</si>
  <si>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</si>
  <si>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</si>
  <si>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</si>
  <si>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</si>
  <si>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</si>
  <si>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</si>
  <si>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</si>
  <si>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</si>
  <si>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</si>
  <si>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</si>
  <si>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</si>
  <si>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</si>
  <si>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</si>
  <si>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</si>
  <si>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</si>
  <si>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</si>
  <si>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</si>
  <si>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</si>
  <si>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</si>
  <si>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</si>
  <si>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</si>
  <si>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</si>
  <si>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</si>
  <si>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</si>
  <si>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</si>
  <si>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</si>
  <si>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</si>
  <si>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</si>
  <si>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</si>
  <si>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</si>
  <si>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</si>
  <si>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</si>
  <si>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</si>
  <si>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</si>
  <si>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</si>
  <si>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</si>
  <si>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</si>
  <si>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</si>
  <si>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</si>
  <si>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</si>
  <si>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</si>
  <si>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</si>
  <si>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</si>
  <si>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</si>
  <si>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</si>
  <si>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</si>
  <si>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</si>
  <si>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</si>
  <si>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</si>
  <si>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</si>
  <si>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</si>
  <si>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</si>
  <si>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</si>
  <si>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</si>
  <si>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</si>
  <si>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</si>
  <si>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</si>
  <si>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</si>
  <si>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</si>
  <si>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</si>
  <si>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</si>
  <si>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</si>
  <si>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</si>
  <si>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</si>
  <si>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</si>
  <si>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</si>
  <si>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</si>
  <si>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</si>
  <si>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</si>
  <si>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</si>
  <si>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</si>
  <si>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</si>
  <si>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</si>
  <si>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</si>
  <si>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</si>
  <si>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</si>
  <si>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</si>
  <si>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</si>
  <si>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</si>
  <si>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</si>
  <si>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</si>
  <si>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</si>
  <si>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</si>
  <si>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</si>
  <si>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</si>
  <si>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</si>
  <si>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</si>
  <si>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</si>
  <si>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</si>
  <si>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</si>
  <si>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</si>
  <si>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</si>
  <si>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</si>
  <si>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</si>
  <si>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</si>
  <si>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</si>
  <si>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</si>
  <si>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</si>
  <si>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</si>
  <si>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</si>
  <si>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</si>
  <si>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</si>
  <si>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</si>
  <si>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</si>
  <si>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</si>
  <si>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</si>
  <si>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</si>
  <si>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</si>
  <si>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</si>
  <si>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</si>
  <si>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</si>
  <si>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</si>
  <si>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</si>
  <si>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</si>
  <si>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</si>
  <si>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</si>
  <si>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</si>
  <si>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</si>
  <si>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</si>
  <si>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</si>
  <si>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</si>
  <si>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</si>
  <si>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</si>
  <si>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</si>
  <si>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</si>
  <si>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</si>
  <si>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</si>
  <si>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</si>
  <si>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</si>
  <si>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</si>
  <si>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</si>
  <si>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</si>
  <si>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</si>
  <si>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</si>
  <si>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</si>
  <si>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</si>
  <si>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</si>
  <si>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</si>
  <si>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</si>
  <si>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</si>
  <si>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</si>
  <si>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</si>
  <si>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</si>
  <si>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</si>
  <si>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</si>
  <si>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</si>
  <si>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</si>
  <si>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</si>
  <si>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</si>
  <si>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</si>
  <si>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</si>
  <si>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</si>
  <si>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</si>
  <si>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</si>
  <si>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</si>
  <si>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</si>
  <si>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</si>
  <si>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</si>
  <si>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</si>
  <si>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</si>
  <si>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</si>
  <si>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</si>
  <si>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</si>
  <si>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</si>
  <si>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</si>
  <si>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</si>
  <si>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</si>
  <si>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</si>
  <si>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</si>
  <si>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</si>
  <si>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</si>
  <si>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</si>
  <si>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</si>
  <si>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</si>
  <si>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</si>
  <si>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</si>
  <si>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</si>
  <si>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</si>
  <si>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</si>
  <si>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</si>
  <si>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</si>
  <si>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</si>
  <si>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</si>
  <si>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</si>
  <si>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</si>
  <si>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</si>
  <si>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</si>
  <si>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</si>
  <si>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</si>
  <si>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</si>
  <si>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</si>
  <si>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</si>
  <si>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</si>
  <si>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</si>
  <si>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</si>
  <si>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</si>
  <si>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</si>
  <si>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</si>
  <si>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</si>
  <si>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</si>
  <si>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</si>
  <si>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</si>
  <si>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</si>
  <si>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</si>
  <si>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</si>
  <si>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</si>
  <si>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</si>
  <si>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</si>
  <si>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</si>
  <si>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</si>
  <si>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</si>
  <si>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</si>
  <si>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</si>
  <si>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</si>
  <si>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</si>
  <si>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</si>
  <si>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</si>
  <si>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</si>
  <si>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</si>
  <si>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</si>
  <si>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</si>
  <si>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</si>
  <si>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</si>
  <si>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</si>
  <si>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</si>
  <si>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</si>
  <si>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</si>
  <si>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</si>
  <si>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</si>
  <si>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</si>
  <si>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</si>
  <si>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</si>
  <si>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</si>
  <si>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</si>
  <si>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</si>
  <si>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</si>
  <si>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</si>
  <si>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</si>
  <si>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</si>
  <si>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</si>
  <si>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</si>
  <si>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</si>
  <si>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</si>
  <si>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</si>
  <si>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</si>
  <si>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</si>
  <si>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</si>
  <si>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</si>
  <si>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</si>
  <si>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</si>
  <si>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</si>
  <si>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</si>
  <si>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</si>
  <si>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</si>
  <si>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</si>
  <si>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</si>
  <si>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</si>
  <si>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</si>
  <si>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</si>
  <si>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</si>
  <si>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</si>
  <si>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</si>
  <si>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</si>
  <si>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</si>
  <si>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</si>
  <si>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</si>
  <si>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</si>
  <si>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</si>
  <si>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</si>
  <si>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</si>
  <si>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</si>
  <si>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</si>
  <si>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</si>
  <si>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</si>
  <si>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</si>
  <si>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</si>
  <si>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</si>
  <si>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</si>
  <si>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</si>
  <si>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</si>
  <si>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</si>
  <si>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</si>
  <si>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</si>
  <si>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</si>
  <si>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</si>
  <si>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</si>
  <si>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</si>
  <si>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</si>
  <si>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</si>
  <si>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</si>
  <si>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</si>
  <si>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</si>
  <si>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</si>
  <si>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</si>
  <si>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</si>
  <si>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</si>
  <si>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</si>
  <si>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</si>
  <si>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</si>
  <si>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</si>
  <si>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</si>
  <si>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</si>
  <si>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</si>
  <si>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</si>
  <si>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</si>
  <si>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</si>
  <si>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</si>
  <si>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</si>
  <si>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</si>
  <si>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</si>
  <si>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</si>
  <si>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</si>
  <si>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</si>
  <si>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</si>
  <si>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</si>
  <si>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</si>
  <si>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</si>
  <si>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</si>
  <si>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</si>
  <si>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</si>
  <si>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</si>
  <si>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</si>
  <si>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</si>
  <si>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</si>
  <si>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</si>
  <si>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</si>
  <si>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</si>
  <si>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</si>
  <si>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</si>
  <si>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</si>
  <si>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</si>
  <si>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</si>
  <si>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</si>
  <si>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</si>
  <si>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</si>
  <si>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</si>
  <si>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</si>
  <si>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</si>
  <si>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</si>
  <si>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</si>
  <si>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</si>
  <si>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</si>
  <si>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</si>
  <si>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</si>
  <si>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</si>
  <si>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</si>
  <si>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</si>
  <si>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</si>
  <si>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</si>
  <si>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</si>
  <si>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</si>
  <si>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</si>
  <si>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</si>
  <si>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</si>
  <si>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</si>
  <si>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</si>
  <si>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</si>
  <si>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</si>
  <si>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</si>
  <si>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</si>
  <si>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</si>
  <si>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</si>
  <si>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</si>
  <si>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</si>
  <si>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</si>
  <si>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</si>
  <si>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</si>
  <si>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</si>
  <si>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</si>
  <si>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</si>
  <si>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</si>
  <si>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</si>
  <si>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</si>
  <si>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</si>
  <si>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</si>
  <si>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</si>
  <si>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</si>
  <si>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</si>
  <si>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</si>
  <si>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</si>
  <si>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</si>
  <si>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</si>
  <si>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</si>
  <si>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</si>
  <si>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</si>
  <si>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</si>
  <si>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</si>
  <si>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</si>
  <si>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</si>
  <si>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</si>
  <si>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</si>
  <si>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</si>
  <si>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</si>
  <si>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</si>
  <si>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</si>
  <si>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</si>
  <si>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</si>
  <si>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</si>
  <si>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</si>
  <si>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</si>
  <si>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</si>
  <si>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</si>
  <si>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</si>
  <si>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</si>
  <si>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</si>
  <si>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</si>
  <si>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</si>
  <si>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</si>
  <si>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</si>
  <si>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</si>
  <si>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</si>
  <si>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</si>
  <si>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</si>
  <si>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</si>
  <si>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</si>
  <si>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</si>
  <si>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</si>
  <si>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</si>
  <si>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</si>
  <si>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</si>
  <si>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</si>
  <si>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</si>
  <si>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</si>
  <si>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</si>
  <si>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</si>
  <si>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</si>
  <si>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</si>
  <si>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</si>
  <si>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</si>
  <si>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</si>
  <si>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</si>
  <si>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</si>
  <si>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</si>
  <si>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</si>
  <si>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</si>
  <si>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</si>
  <si>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</si>
  <si>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</si>
  <si>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</si>
  <si>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</si>
  <si>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</si>
  <si>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</si>
  <si>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</si>
  <si>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</si>
  <si>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</si>
  <si>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</si>
  <si>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</si>
  <si>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</si>
  <si>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</si>
  <si>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</si>
  <si>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</si>
  <si>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</si>
  <si>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</si>
  <si>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</si>
  <si>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</si>
  <si>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</si>
  <si>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</si>
  <si>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</si>
  <si>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</si>
  <si>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</si>
  <si>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</si>
  <si>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</si>
  <si>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</si>
  <si>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</si>
  <si>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</si>
  <si>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</si>
  <si>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</si>
  <si>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</si>
  <si>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</si>
  <si>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</si>
  <si>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</si>
  <si>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</si>
  <si>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</si>
  <si>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</si>
  <si>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</si>
  <si>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</si>
  <si>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</si>
  <si>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</si>
  <si>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</si>
  <si>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</si>
  <si>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</si>
  <si>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</si>
  <si>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</si>
  <si>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</si>
  <si>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</si>
  <si>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</si>
  <si>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</si>
  <si>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</si>
  <si>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</si>
  <si>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</si>
  <si>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</si>
  <si>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</si>
  <si>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</si>
  <si>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</si>
  <si>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</si>
  <si>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</si>
  <si>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</si>
  <si>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</si>
  <si>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</si>
  <si>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</si>
  <si>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</si>
  <si>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</si>
  <si>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</si>
  <si>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</si>
  <si>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</si>
  <si>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</si>
  <si>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</si>
  <si>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</si>
  <si>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</si>
  <si>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</si>
  <si>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</si>
  <si>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</si>
  <si>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</si>
  <si>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</si>
  <si>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</si>
  <si>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</si>
  <si>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</si>
  <si>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</si>
  <si>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</si>
  <si>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</si>
  <si>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</si>
  <si>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</si>
  <si>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</si>
  <si>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</si>
  <si>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</si>
  <si>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</si>
  <si>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</si>
  <si>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</si>
  <si>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</si>
  <si>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</si>
  <si>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</si>
  <si>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</si>
  <si>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</si>
  <si>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</si>
  <si>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</si>
  <si>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</si>
  <si>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</si>
  <si>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</si>
  <si>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</si>
  <si>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</si>
  <si>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</si>
  <si>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</si>
  <si>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</si>
  <si>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</si>
  <si>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</si>
  <si>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</si>
  <si>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</si>
  <si>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</si>
  <si>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</si>
  <si>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</si>
  <si>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</si>
  <si>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</si>
  <si>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</si>
  <si>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</si>
  <si>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</si>
  <si>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</si>
  <si>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</si>
  <si>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</si>
  <si>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</si>
  <si>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</si>
  <si>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</si>
  <si>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</si>
  <si>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</si>
  <si>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</si>
  <si>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</si>
  <si>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</si>
  <si>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</si>
  <si>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</si>
  <si>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</si>
  <si>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</si>
  <si>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</si>
  <si>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</si>
  <si>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</si>
  <si>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</si>
  <si>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</si>
  <si>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</si>
  <si>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</si>
  <si>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</si>
  <si>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</si>
  <si>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</si>
  <si>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</si>
  <si>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</si>
  <si>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</si>
  <si>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</si>
  <si>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</si>
  <si>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</si>
  <si>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</si>
  <si>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</si>
  <si>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</si>
  <si>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</si>
  <si>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</si>
  <si>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</si>
  <si>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</si>
  <si>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</si>
  <si>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</si>
  <si>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</si>
  <si>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</si>
  <si>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</si>
  <si>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</si>
  <si>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</si>
  <si>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</si>
  <si>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</si>
  <si>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</si>
  <si>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</si>
  <si>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</si>
  <si>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</si>
  <si>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</si>
  <si>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</si>
  <si>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</si>
  <si>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</si>
  <si>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</si>
  <si>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</si>
  <si>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</si>
  <si>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</si>
  <si>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</si>
  <si>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</si>
  <si>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</si>
  <si>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</si>
  <si>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</si>
  <si>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</si>
  <si>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</si>
  <si>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</si>
  <si>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</si>
  <si>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</si>
  <si>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</si>
  <si>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</si>
  <si>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</si>
  <si>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</si>
  <si>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</si>
  <si>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</si>
  <si>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</si>
  <si>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</si>
  <si>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</si>
  <si>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</si>
  <si>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</si>
  <si>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</si>
  <si>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</si>
  <si>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</si>
  <si>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</si>
  <si>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</si>
  <si>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</si>
  <si>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</si>
  <si>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</si>
  <si>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</si>
  <si>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</si>
  <si>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</si>
  <si>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</si>
  <si>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</si>
  <si>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</si>
  <si>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</si>
  <si>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</si>
  <si>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</si>
  <si>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</si>
  <si>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</si>
  <si>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</si>
  <si>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</si>
  <si>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</si>
  <si>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</si>
  <si>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</si>
  <si>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</si>
  <si>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</si>
  <si>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</si>
  <si>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</si>
  <si>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</si>
  <si>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</si>
  <si>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</si>
  <si>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</si>
  <si>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</si>
  <si>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</si>
  <si>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</si>
  <si>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</si>
  <si>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</si>
  <si>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</si>
  <si>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</si>
  <si>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</si>
  <si>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</si>
  <si>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</si>
  <si>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</si>
  <si>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</si>
  <si>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</si>
  <si>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</si>
  <si>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</si>
  <si>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</si>
  <si>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</si>
  <si>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</si>
  <si>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</si>
  <si>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</si>
  <si>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</si>
  <si>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</si>
  <si>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</si>
  <si>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</si>
  <si>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</si>
  <si>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</si>
  <si>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</si>
  <si>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</si>
  <si>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</si>
  <si>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</si>
  <si>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</si>
  <si>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</si>
  <si>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</si>
  <si>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</si>
  <si>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</si>
  <si>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</si>
  <si>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</si>
  <si>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</si>
  <si>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</si>
  <si>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</si>
  <si>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</si>
  <si>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</si>
  <si>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</si>
  <si>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</si>
  <si>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</si>
  <si>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</si>
  <si>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</si>
  <si>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</si>
  <si>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</si>
  <si>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</si>
  <si>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</si>
  <si>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</si>
  <si>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</si>
  <si>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</si>
  <si>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</si>
  <si>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</si>
  <si>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</si>
  <si>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</si>
  <si>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</si>
  <si>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</si>
  <si>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</si>
  <si>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</si>
  <si>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</si>
  <si>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</si>
  <si>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</si>
  <si>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</si>
  <si>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</si>
  <si>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</si>
  <si>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</si>
  <si>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</si>
  <si>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</si>
  <si>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</si>
  <si>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</si>
  <si>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</si>
  <si>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</si>
  <si>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</si>
  <si>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</si>
  <si>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</si>
  <si>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</si>
  <si>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</si>
  <si>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</si>
  <si>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</si>
  <si>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</si>
  <si>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</si>
  <si>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</si>
  <si>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</si>
  <si>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</si>
  <si>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</si>
  <si>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</si>
  <si>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</si>
  <si>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</si>
  <si>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</si>
  <si>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</si>
  <si>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</si>
  <si>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</si>
  <si>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</si>
  <si>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</si>
  <si>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</si>
  <si>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</si>
  <si>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</si>
  <si>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</si>
  <si>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</si>
  <si>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</si>
  <si>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</si>
  <si>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</si>
  <si>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</si>
  <si>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</si>
  <si>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</si>
  <si>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</si>
  <si>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</si>
  <si>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</si>
  <si>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</si>
  <si>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</si>
  <si>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</si>
  <si>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</si>
  <si>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</si>
  <si>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</si>
  <si>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</si>
  <si>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</si>
  <si>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</si>
  <si>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</si>
  <si>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</si>
  <si>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</si>
  <si>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</si>
  <si>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</si>
  <si>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</si>
  <si>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</si>
  <si>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</si>
  <si>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</si>
  <si>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</si>
  <si>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</si>
  <si>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</si>
  <si>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</si>
  <si>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</si>
  <si>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</si>
  <si>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</si>
  <si>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</si>
  <si>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</si>
  <si>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</si>
  <si>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</si>
  <si>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</si>
  <si>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</si>
  <si>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</si>
  <si>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</si>
  <si>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</si>
  <si>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</si>
  <si>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</si>
  <si>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</si>
  <si>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</si>
  <si>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</si>
  <si>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</si>
  <si>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</si>
  <si>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</si>
  <si>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</si>
  <si>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</si>
  <si>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</si>
  <si>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</si>
  <si>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</si>
  <si>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</si>
  <si>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</si>
  <si>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</si>
  <si>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</si>
  <si>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</si>
  <si>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</si>
  <si>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</si>
  <si>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</si>
  <si>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</si>
  <si>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</si>
  <si>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</si>
  <si>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</si>
  <si>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</si>
  <si>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</si>
  <si>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</si>
  <si>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</si>
  <si>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</si>
  <si>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</si>
  <si>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</si>
  <si>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</si>
  <si>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</si>
  <si>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</si>
  <si>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</si>
  <si>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</si>
  <si>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</si>
  <si>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</si>
  <si>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</si>
  <si>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</si>
  <si>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</si>
  <si>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</si>
  <si>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</si>
  <si>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</si>
  <si>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</si>
  <si>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</si>
  <si>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</si>
  <si>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</si>
  <si>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</si>
  <si>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</si>
  <si>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</si>
  <si>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</si>
  <si>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</si>
  <si>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</si>
  <si>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</si>
  <si>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</si>
  <si>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</si>
  <si>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</si>
  <si>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</si>
  <si>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</si>
  <si>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</si>
  <si>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</si>
  <si>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</si>
  <si>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</si>
  <si>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</si>
  <si>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</si>
  <si>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</si>
  <si>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</si>
  <si>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</si>
  <si>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</si>
  <si>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</si>
  <si>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</si>
  <si>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</si>
  <si>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</si>
  <si>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</si>
  <si>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</si>
  <si>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</si>
  <si>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</si>
  <si>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</si>
  <si>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</si>
  <si>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</si>
  <si>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</si>
  <si>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</si>
  <si>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</si>
  <si>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</si>
  <si>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</si>
  <si>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</si>
  <si>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</si>
  <si>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</si>
  <si>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</si>
  <si>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</si>
  <si>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</si>
  <si>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</si>
  <si>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</si>
  <si>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</si>
  <si>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</si>
  <si>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</si>
  <si>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</si>
  <si>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</si>
  <si>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</si>
  <si>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</si>
  <si>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</si>
  <si>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</si>
  <si>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</si>
  <si>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</si>
  <si>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</si>
  <si>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</si>
  <si>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</si>
  <si>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</si>
  <si>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</si>
  <si>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</si>
  <si>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</si>
  <si>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</si>
  <si>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</si>
  <si>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</si>
  <si>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</si>
  <si>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</si>
  <si>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</si>
  <si>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</si>
  <si>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</si>
  <si>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</si>
  <si>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</si>
  <si>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</si>
  <si>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</si>
  <si>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</si>
  <si>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</si>
  <si>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</si>
  <si>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</si>
  <si>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</si>
  <si>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</si>
  <si>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</si>
  <si>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</si>
  <si>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</si>
  <si>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</si>
  <si>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</si>
  <si>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</si>
  <si>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</si>
  <si>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</si>
  <si>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</si>
  <si>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</si>
  <si>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</si>
  <si>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</si>
  <si>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</si>
  <si>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</si>
  <si>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</si>
  <si>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</si>
  <si>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</si>
  <si>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</si>
  <si>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</si>
  <si>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</si>
  <si>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</si>
  <si>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</si>
  <si>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</si>
  <si>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</si>
  <si>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</si>
  <si>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</si>
  <si>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</si>
  <si>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</si>
  <si>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</si>
  <si>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</si>
  <si>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</si>
  <si>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</si>
  <si>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</si>
  <si>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</si>
  <si>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</si>
  <si>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</si>
  <si>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</si>
  <si>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</si>
  <si>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</si>
  <si>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</si>
  <si>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</si>
  <si>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</si>
  <si>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</si>
  <si>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</si>
  <si>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</si>
  <si>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</si>
  <si>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</si>
  <si>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</si>
  <si>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</si>
  <si>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</si>
  <si>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</si>
  <si>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</si>
  <si>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</si>
  <si>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</si>
  <si>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</si>
  <si>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</si>
  <si>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</si>
  <si>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</si>
  <si>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</si>
  <si>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</si>
  <si>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</si>
  <si>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</si>
  <si>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</si>
  <si>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</si>
  <si>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</si>
  <si>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</si>
  <si>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</si>
  <si>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</si>
  <si>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</si>
  <si>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</si>
  <si>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</si>
  <si>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</si>
  <si>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</si>
  <si>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</si>
  <si>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</si>
  <si>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</si>
  <si>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</si>
  <si>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</si>
  <si>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</si>
  <si>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</si>
  <si>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</si>
  <si>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</si>
  <si>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</si>
  <si>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</si>
  <si>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</si>
  <si>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</si>
  <si>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</si>
  <si>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</si>
  <si>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</si>
  <si>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</si>
  <si>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</si>
  <si>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</si>
  <si>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</si>
  <si>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</si>
  <si>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</si>
  <si>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</si>
  <si>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</si>
  <si>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</si>
  <si>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</si>
  <si>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</si>
  <si>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</si>
  <si>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</si>
  <si>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</si>
  <si>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</si>
  <si>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</si>
  <si>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</si>
  <si>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</si>
  <si>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</si>
  <si>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</si>
  <si>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</si>
  <si>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</si>
  <si>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</si>
  <si>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</si>
  <si>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</si>
  <si>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</si>
  <si>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</si>
  <si>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</si>
  <si>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</si>
  <si>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</si>
  <si>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</si>
  <si>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</si>
  <si>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</si>
  <si>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</si>
  <si>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</si>
  <si>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</si>
  <si>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</si>
  <si>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</si>
  <si>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</si>
  <si>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</si>
  <si>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</si>
  <si>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</si>
  <si>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</si>
  <si>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</si>
  <si>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</si>
  <si>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</si>
  <si>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</si>
  <si>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</si>
  <si>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</si>
  <si>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</si>
  <si>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</si>
  <si>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</si>
  <si>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</si>
  <si>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</si>
  <si>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</si>
  <si>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</si>
  <si>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</si>
  <si>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</si>
  <si>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</si>
  <si>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</si>
  <si>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</si>
  <si>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</si>
  <si>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</si>
  <si>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</si>
  <si>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</si>
  <si>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</si>
  <si>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</si>
  <si>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</si>
  <si>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</si>
  <si>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</si>
  <si>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</si>
  <si>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</si>
  <si>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</si>
  <si>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</si>
  <si>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</si>
  <si>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</si>
  <si>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</si>
  <si>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</si>
  <si>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</si>
  <si>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</si>
  <si>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</si>
  <si>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</si>
  <si>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</si>
  <si>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</si>
  <si>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</si>
  <si>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</si>
  <si>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</si>
  <si>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</si>
  <si>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</si>
  <si>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</si>
  <si>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</si>
  <si>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</si>
  <si>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</si>
  <si>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</si>
  <si>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</si>
  <si>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</si>
  <si>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</si>
  <si>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</si>
  <si>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</si>
  <si>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</si>
  <si>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</si>
  <si>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</si>
  <si>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</si>
  <si>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</si>
  <si>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</si>
  <si>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</si>
  <si>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</si>
  <si>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</si>
  <si>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</si>
  <si>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</si>
  <si>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</si>
  <si>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</si>
  <si>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</si>
  <si>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</si>
  <si>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</si>
  <si>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</si>
  <si>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</si>
  <si>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</si>
  <si>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</si>
  <si>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</si>
  <si>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</si>
  <si>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</si>
  <si>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</si>
  <si>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</si>
  <si>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</si>
  <si>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</si>
  <si>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</si>
  <si>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</si>
  <si>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</si>
  <si>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</si>
  <si>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</si>
  <si>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</si>
  <si>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</si>
  <si>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</si>
  <si>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</si>
  <si>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</si>
  <si>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</si>
  <si>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</si>
  <si>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</si>
  <si>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</si>
  <si>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</si>
  <si>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</si>
  <si>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</si>
  <si>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</si>
  <si>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</si>
  <si>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</si>
  <si>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</si>
  <si>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</si>
  <si>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</si>
  <si>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</si>
  <si>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</si>
  <si>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</si>
  <si>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</si>
  <si>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</si>
  <si>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</si>
  <si>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</si>
  <si>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</si>
  <si>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</si>
  <si>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</si>
  <si>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</si>
  <si>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</si>
  <si>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</si>
  <si>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</si>
  <si>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</si>
  <si>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</si>
  <si>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</si>
  <si>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</si>
  <si>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</si>
  <si>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</si>
  <si>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</si>
  <si>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</si>
  <si>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</si>
  <si>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</si>
  <si>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</si>
  <si>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</si>
  <si>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</si>
  <si>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</si>
  <si>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</si>
  <si>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</si>
  <si>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</si>
  <si>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</si>
  <si>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</si>
  <si>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</si>
  <si>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</si>
  <si>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</si>
  <si>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</si>
  <si>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</si>
  <si>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</si>
  <si>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</si>
  <si>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</si>
  <si>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</si>
  <si>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</si>
  <si>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</si>
  <si>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</si>
  <si>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</si>
  <si>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</si>
  <si>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</si>
  <si>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</si>
  <si>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</si>
  <si>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</si>
  <si>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</si>
  <si>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</si>
  <si>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</si>
  <si>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</si>
  <si>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</si>
  <si>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</si>
  <si>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</si>
  <si>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</si>
  <si>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</si>
  <si>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</si>
  <si>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</si>
  <si>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</si>
  <si>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</si>
  <si>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</si>
  <si>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</si>
  <si>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</si>
  <si>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</si>
  <si>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</si>
  <si>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</si>
  <si>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</si>
  <si>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</si>
  <si>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</si>
  <si>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</si>
  <si>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</si>
  <si>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</si>
  <si>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</si>
  <si>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</si>
  <si>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</si>
  <si>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</si>
  <si>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</si>
  <si>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</si>
  <si>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</si>
  <si>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</si>
  <si>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</si>
  <si>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</si>
  <si>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</si>
  <si>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</si>
  <si>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</si>
  <si>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</si>
  <si>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</si>
  <si>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</si>
  <si>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</si>
  <si>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</si>
  <si>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</si>
  <si>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</si>
  <si>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</si>
  <si>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</si>
  <si>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</si>
  <si>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</si>
  <si>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</si>
  <si>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</si>
  <si>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</si>
  <si>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</si>
  <si>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</si>
  <si>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</si>
  <si>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</si>
  <si>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</si>
  <si>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</si>
  <si>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</si>
  <si>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</si>
  <si>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</si>
  <si>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</si>
  <si>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</si>
  <si>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</si>
  <si>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</si>
  <si>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</si>
  <si>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</si>
  <si>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</si>
  <si>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</si>
  <si>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</si>
  <si>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</si>
  <si>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</si>
  <si>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</si>
  <si>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</si>
  <si>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</si>
  <si>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</si>
  <si>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</si>
  <si>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</si>
  <si>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</si>
  <si>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</si>
  <si>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</si>
  <si>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</si>
  <si>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</si>
  <si>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</si>
  <si>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</si>
  <si>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</si>
  <si>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</si>
  <si>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</si>
  <si>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</si>
  <si>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</si>
  <si>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</si>
  <si>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</si>
  <si>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</si>
  <si>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</si>
  <si>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</si>
  <si>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</si>
  <si>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</si>
  <si>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</si>
  <si>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</si>
  <si>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</si>
  <si>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</si>
  <si>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</si>
  <si>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</si>
  <si>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</si>
  <si>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</si>
  <si>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</si>
  <si>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</si>
  <si>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</si>
  <si>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</si>
  <si>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</si>
  <si>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</si>
  <si>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</si>
  <si>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</si>
  <si>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</si>
  <si>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</si>
  <si>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</si>
  <si>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</si>
  <si>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</si>
  <si>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</si>
  <si>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</si>
  <si>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</si>
  <si>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</si>
  <si>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</si>
  <si>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</si>
  <si>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</si>
  <si>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</si>
  <si>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</si>
  <si>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</si>
  <si>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</si>
  <si>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</si>
  <si>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</si>
  <si>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</si>
  <si>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</si>
  <si>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</si>
  <si>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</si>
  <si>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</si>
  <si>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</si>
  <si>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</si>
  <si>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</si>
  <si>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</si>
  <si>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</si>
  <si>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</si>
  <si>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</si>
  <si>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</si>
  <si>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</si>
  <si>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</si>
  <si>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</si>
  <si>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</si>
  <si>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</si>
  <si>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</si>
  <si>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</si>
  <si>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</si>
  <si>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</si>
  <si>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</si>
  <si>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</si>
  <si>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</si>
  <si>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</si>
  <si>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</si>
  <si>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</si>
  <si>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</si>
  <si>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</si>
  <si>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</si>
  <si>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</si>
  <si>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</si>
  <si>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</si>
  <si>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</si>
  <si>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</si>
  <si>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</si>
  <si>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</si>
  <si>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</si>
  <si>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</si>
  <si>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</si>
  <si>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</si>
  <si>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</si>
  <si>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</si>
  <si>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</si>
  <si>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</si>
  <si>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</si>
  <si>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</si>
  <si>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</si>
  <si>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</si>
  <si>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</si>
  <si>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</si>
  <si>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</si>
  <si>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</si>
  <si>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</si>
  <si>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</si>
  <si>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</si>
  <si>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</si>
  <si>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</si>
  <si>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</si>
  <si>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</si>
  <si>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</si>
  <si>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</si>
  <si>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</si>
  <si>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</si>
  <si>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</si>
  <si>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</si>
  <si>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</si>
  <si>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</si>
  <si>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</si>
  <si>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</si>
  <si>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</si>
  <si>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</si>
  <si>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</si>
  <si>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</si>
  <si>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</si>
  <si>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</si>
  <si>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</si>
  <si>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</si>
  <si>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</si>
  <si>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</si>
  <si>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</si>
  <si>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</si>
  <si>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</si>
  <si>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</si>
  <si>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</si>
  <si>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</si>
  <si>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</si>
  <si>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</si>
  <si>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</si>
  <si>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</si>
  <si>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</si>
  <si>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</si>
  <si>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</si>
  <si>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</si>
  <si>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</si>
  <si>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</si>
  <si>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</si>
  <si>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</si>
  <si>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</si>
  <si>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</si>
  <si>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</si>
  <si>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</si>
  <si>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</si>
  <si>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</si>
  <si>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</si>
  <si>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</si>
  <si>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</si>
  <si>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</si>
  <si>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</si>
  <si>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</si>
  <si>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</si>
  <si>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</si>
  <si>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</si>
  <si>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</si>
  <si>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</si>
  <si>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</si>
  <si>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</si>
  <si>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</si>
  <si>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</si>
  <si>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</si>
  <si>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</si>
  <si>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</si>
  <si>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</si>
  <si>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</si>
  <si>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</si>
  <si>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</si>
  <si>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</si>
  <si>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</si>
  <si>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</si>
  <si>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</si>
  <si>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</si>
  <si>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</si>
  <si>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</si>
  <si>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</si>
  <si>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</si>
  <si>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</si>
  <si>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</si>
  <si>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</si>
  <si>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</si>
  <si>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</si>
  <si>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</si>
  <si>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</si>
  <si>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</si>
  <si>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</si>
  <si>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</si>
  <si>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</si>
  <si>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</si>
  <si>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</si>
  <si>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</si>
  <si>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</si>
  <si>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</si>
  <si>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</si>
  <si>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</si>
  <si>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</si>
  <si>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</si>
  <si>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</si>
  <si>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</si>
  <si>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</si>
  <si>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</si>
  <si>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</si>
  <si>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</si>
  <si>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</si>
  <si>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</si>
  <si>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</si>
  <si>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</si>
  <si>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</si>
  <si>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</si>
  <si>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</si>
  <si>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</si>
  <si>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</si>
  <si>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</si>
  <si>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</si>
  <si>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</si>
  <si>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</si>
  <si>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</si>
  <si>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</si>
  <si>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</si>
  <si>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</si>
  <si>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</si>
  <si>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</si>
  <si>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</si>
  <si>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</si>
  <si>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</si>
  <si>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</si>
  <si>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</si>
  <si>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</si>
  <si>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</si>
  <si>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</si>
  <si>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</si>
  <si>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</si>
  <si>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</si>
  <si>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</si>
  <si>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</si>
  <si>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</si>
  <si>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</si>
  <si>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</si>
  <si>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</si>
  <si>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</si>
  <si>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</si>
  <si>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</si>
  <si>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</si>
  <si>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</si>
  <si>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</si>
  <si>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</si>
  <si>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</si>
  <si>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</si>
  <si>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</si>
  <si>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</si>
  <si>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</si>
  <si>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</si>
  <si>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</si>
  <si>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</si>
  <si>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</si>
  <si>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</si>
  <si>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</si>
  <si>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</si>
  <si>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</si>
  <si>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</si>
  <si>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</si>
  <si>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</si>
  <si>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</si>
  <si>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</si>
  <si>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</si>
  <si>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</si>
  <si>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</si>
  <si>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</si>
  <si>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</si>
  <si>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</si>
  <si>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</si>
  <si>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</si>
  <si>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</si>
  <si>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</si>
  <si>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</si>
  <si>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</si>
  <si>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</si>
  <si>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</si>
  <si>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</si>
  <si>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</si>
  <si>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</si>
  <si>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</si>
  <si>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</si>
  <si>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</si>
  <si>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</si>
  <si>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</si>
  <si>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</si>
  <si>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</si>
  <si>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</si>
  <si>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</si>
  <si>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</si>
  <si>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</si>
  <si>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</si>
  <si>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</si>
  <si>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</si>
  <si>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</si>
  <si>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</si>
  <si>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</si>
  <si>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</si>
  <si>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</si>
  <si>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</si>
  <si>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</si>
  <si>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</si>
  <si>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</si>
  <si>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</si>
  <si>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</si>
  <si>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</si>
  <si>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</si>
  <si>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</si>
  <si>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</si>
  <si>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</si>
  <si>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</si>
  <si>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</si>
  <si>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</si>
  <si>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</si>
  <si>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</si>
  <si>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</si>
  <si>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</si>
  <si>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</si>
  <si>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</si>
  <si>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</si>
  <si>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</si>
  <si>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</si>
  <si>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</si>
  <si>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</si>
  <si>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</si>
  <si>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</si>
  <si>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</si>
  <si>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</si>
  <si>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</si>
  <si>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</si>
  <si>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</si>
  <si>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</si>
  <si>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</si>
  <si>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</si>
  <si>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</si>
  <si>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</si>
  <si>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</si>
  <si>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</si>
  <si>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</si>
  <si>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</si>
  <si>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</si>
  <si>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</si>
  <si>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</si>
  <si>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</si>
  <si>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</si>
  <si>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</si>
  <si>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</si>
  <si>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</si>
  <si>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</si>
  <si>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</si>
  <si>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</si>
  <si>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</si>
  <si>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</si>
  <si>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</si>
  <si>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</si>
  <si>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</si>
  <si>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</si>
  <si>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</si>
  <si>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</si>
  <si>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</si>
  <si>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</si>
  <si>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</si>
  <si>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</si>
  <si>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</si>
  <si>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</si>
  <si>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</si>
  <si>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</si>
  <si>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</si>
  <si>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</si>
  <si>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</si>
  <si>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</si>
  <si>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</si>
  <si>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</si>
  <si>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</si>
  <si>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</si>
  <si>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</si>
  <si>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</si>
  <si>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</si>
  <si>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SAMPAI DENGAN 28 JUNI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</si>
</sst>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8"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0">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16" fillId="0" borderId="2" xfId="8" applyFont="1" applyBorder="1" applyAlignment="1">
      <alignment horizontal="center" vertic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1264">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2914648</xdr:colOff>
      <xdr:row>14</xdr:row>
      <xdr:rowOff>476250</xdr:rowOff>
    </xdr:from>
    <xdr:to>
      <xdr:col>19</xdr:col>
      <xdr:colOff>5714999</xdr:colOff>
      <xdr:row>19</xdr:row>
      <xdr:rowOff>95249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123902</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735584</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253092</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52157"/>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489"/>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20.492406018515" createdVersion="7" refreshedVersion="7" minRefreshableVersion="3" recordCount="141" xr:uid="{747D84F9-65C0-43C2-B10F-78F3B94757F4}">
  <cacheSource type="worksheet">
    <worksheetSource ref="A3:BA144" sheet="SP2D"/>
  </cacheSource>
  <cacheFields count="50">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1899365591"/>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5799503942"/>
    </cacheField>
    <cacheField name="Real %" numFmtId="0">
      <sharedItems containsSemiMixedTypes="0" containsString="0" containsNumber="1" minValue="0" maxValue="100"/>
    </cacheField>
    <cacheField name="Sisa" numFmtId="0">
      <sharedItems containsSemiMixedTypes="0" containsString="0" containsNumber="1" containsInteger="1" minValue="0" maxValue="11063660058"/>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0.394927199071"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184327085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393066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3091000"/>
    <n v="0"/>
    <n v="0"/>
    <n v="0"/>
    <n v="0"/>
    <n v="0"/>
    <n v="0"/>
    <n v="0"/>
    <s v="Pusat Pendidikan KP"/>
    <x v="0"/>
    <x v="0"/>
    <s v="52"/>
    <s v="SEKRETARIAT BADAN RISET DAN SUMBERDAYA MANUSIA KELAUTAN DAN PERIKANAN"/>
    <n v="5581000"/>
    <n v="28.080503144654088"/>
    <n v="14294000"/>
    <n v="71.919496855345912"/>
    <s v="DL.2376.AFA.001.051.A.521211"/>
    <s v="Non COVID"/>
    <s v="BELANJA BAHAN"/>
    <s v="Belanja Barang Non Operasional"/>
    <n v="0"/>
    <n v="990000"/>
    <n v="1500000"/>
    <n v="0"/>
    <n v="0"/>
    <n v="1606000"/>
    <n v="148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1800000"/>
    <n v="0"/>
    <n v="0"/>
    <n v="0"/>
    <n v="0"/>
    <n v="0"/>
    <n v="0"/>
    <n v="0"/>
    <s v="Pusat Pendidikan KP"/>
    <x v="0"/>
    <x v="0"/>
    <s v="52"/>
    <s v="SEKRETARIAT BADAN RISET DAN SUMBERDAYA MANUSIA KELAUTAN DAN PERIKANAN"/>
    <n v="24466000"/>
    <n v="56.555709662505784"/>
    <n v="18794000"/>
    <n v="43.444290337494223"/>
    <s v="DL.2376.AFA.001.051.A.524111"/>
    <s v="Non COVID"/>
    <s v="PERJALANAN DINAS"/>
    <s v="Belanja Barang Non Operasional"/>
    <n v="0"/>
    <n v="10950000"/>
    <n v="0"/>
    <n v="0"/>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660000"/>
    <n v="0"/>
    <n v="0"/>
    <n v="0"/>
    <n v="0"/>
    <n v="0"/>
    <n v="0"/>
    <n v="0"/>
    <s v="Pusat Pendidikan KP"/>
    <x v="0"/>
    <x v="1"/>
    <s v="52"/>
    <s v="SEKRETARIAT BADAN RISET DAN SUMBERDAYA MANUSIA KELAUTAN DAN PERIKANAN"/>
    <n v="3120000"/>
    <n v="14.682352941176472"/>
    <n v="18130000"/>
    <n v="85.317647058823525"/>
    <s v="DL.2376.AFA.001.052.A.521211"/>
    <s v="Non COVID"/>
    <s v="BELANJA BAHAN"/>
    <s v="Belanja Barang Non Operasional"/>
    <n v="0"/>
    <n v="2460000"/>
    <n v="0"/>
    <n v="0"/>
    <n v="0"/>
    <n v="6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14114500"/>
    <n v="0"/>
    <n v="0"/>
    <n v="0"/>
    <n v="0"/>
    <n v="0"/>
    <n v="0"/>
    <n v="0"/>
    <s v="Pusat Pendidikan KP"/>
    <x v="0"/>
    <x v="1"/>
    <s v="52"/>
    <s v="SEKRETARIAT BADAN RISET DAN SUMBERDAYA MANUSIA KELAUTAN DAN PERIKANAN"/>
    <n v="20734500"/>
    <n v="62.359398496240601"/>
    <n v="12515500"/>
    <n v="37.640601503759399"/>
    <s v="DL.2376.AFA.001.052.A.524111"/>
    <s v="Non COVID"/>
    <s v="PERJALANAN DINAS"/>
    <s v="Belanja Barang Non Operasional"/>
    <n v="0"/>
    <n v="1080000"/>
    <n v="2700000"/>
    <n v="0"/>
    <n v="0"/>
    <n v="3620000"/>
    <n v="9244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36948850"/>
    <n v="27294800"/>
    <n v="0"/>
    <n v="0"/>
    <n v="0"/>
    <n v="0"/>
    <n v="0"/>
    <n v="0"/>
    <s v="Pusat Pendidikan KP"/>
    <x v="1"/>
    <x v="2"/>
    <s v="52"/>
    <s v="SEKRETARIAT BADAN RISET DAN SUMBERDAYA MANUSIA KELAUTAN DAN PERIKANAN"/>
    <n v="82621650"/>
    <n v="59.801425883034163"/>
    <n v="55538350"/>
    <n v="40.198574116965837"/>
    <s v="DL.2376.AFA.001.053.B.524111"/>
    <s v="Non COVID"/>
    <s v="PERJALANAN DINAS"/>
    <s v="Belanja Barang Non Operasional"/>
    <n v="0"/>
    <n v="18378000"/>
    <n v="0"/>
    <n v="0"/>
    <n v="0"/>
    <n v="0"/>
    <n v="3694885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1500000"/>
    <n v="0"/>
    <n v="0"/>
    <n v="0"/>
    <n v="0"/>
    <n v="0"/>
    <n v="0"/>
    <n v="0"/>
    <s v="Pusat Pendidikan KP"/>
    <x v="1"/>
    <x v="3"/>
    <s v="52"/>
    <s v="SEKRETARIAT BADAN RISET DAN SUMBERDAYA MANUSIA KELAUTAN DAN PERIKANAN"/>
    <n v="9490750"/>
    <n v="68.27877697841727"/>
    <n v="4409250"/>
    <n v="31.721223021582734"/>
    <s v="DL.2376.AFA.001.054.B.521211"/>
    <s v="Non COVID"/>
    <s v="BELANJA BAHAN"/>
    <s v="Belanja Barang Non Operasional"/>
    <n v="0"/>
    <n v="5497250"/>
    <n v="2493500"/>
    <n v="0"/>
    <n v="15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2151"/>
    <s v="Non COVID"/>
    <s v="BELANJA BAHAN"/>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22748610"/>
    <n v="0"/>
    <n v="0"/>
    <n v="0"/>
    <n v="0"/>
    <n v="0"/>
    <n v="0"/>
    <s v="Pusat Pendidikan KP"/>
    <x v="1"/>
    <x v="3"/>
    <s v="52"/>
    <s v="SEKRETARIAT BADAN RISET DAN SUMBERDAYA MANUSIA KELAUTAN DAN PERIKANAN"/>
    <n v="57918610"/>
    <n v="59.454925268949651"/>
    <n v="39497390"/>
    <n v="40.545074731050342"/>
    <s v="DL.2376.AFA.001.054.B.524111"/>
    <s v="Non COVID"/>
    <s v="PERJALANAN DINAS"/>
    <s v="Belanja Barang Non Operasional"/>
    <n v="0"/>
    <n v="17010000"/>
    <n v="1184000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114200000"/>
    <n v="0"/>
    <n v="0"/>
    <n v="0"/>
    <n v="0"/>
    <n v="0"/>
    <n v="0"/>
    <n v="0"/>
    <s v="Pusat Pendidikan KP"/>
    <x v="2"/>
    <x v="4"/>
    <n v="53"/>
    <s v="SEKRETARIAT BADAN RISET DAN SUMBERDAYA MANUSIA KELAUTAN DAN PERIKANAN"/>
    <n v="114200000"/>
    <n v="99.304347826086953"/>
    <n v="800000"/>
    <n v="0.69565217391304346"/>
    <s v="WA.2378.CAN.00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3071500"/>
    <n v="0"/>
    <n v="0"/>
    <n v="0"/>
    <n v="0"/>
    <n v="0"/>
    <n v="0"/>
    <n v="0"/>
    <s v="Pusat Pendidikan KP"/>
    <x v="3"/>
    <x v="5"/>
    <s v="52"/>
    <s v="SEKRETARIAT BADAN RISET DAN SUMBERDAYA MANUSIA KELAUTAN DAN PERIKANAN"/>
    <n v="5947500"/>
    <n v="41.302083333333336"/>
    <n v="8452500"/>
    <n v="58.697916666666671"/>
    <s v="WA.2378.EBA.958.311.A.521211"/>
    <s v="Non COVID"/>
    <s v="BELANJA BAHAN"/>
    <s v="Belanja Barang Non Operasional"/>
    <n v="0"/>
    <n v="986000"/>
    <n v="1890000"/>
    <n v="0"/>
    <n v="0"/>
    <n v="0"/>
    <n v="30715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1929000"/>
    <n v="0"/>
    <n v="0"/>
    <n v="0"/>
    <n v="0"/>
    <n v="0"/>
    <n v="0"/>
    <n v="0"/>
    <s v="Pusat Pendidikan KP"/>
    <x v="3"/>
    <x v="5"/>
    <s v="52"/>
    <s v="SEKRETARIAT BADAN RISET DAN SUMBERDAYA MANUSIA KELAUTAN DAN PERIKANAN"/>
    <n v="4379750"/>
    <n v="36.497916666666669"/>
    <n v="7620250"/>
    <n v="63.502083333333339"/>
    <s v="WA.2378.EBA.958.311.A.521811"/>
    <s v="Non COVID"/>
    <s v="PERSEDIAAN"/>
    <s v="Belanja Barang Non Operasional"/>
    <n v="0"/>
    <n v="2450750"/>
    <n v="0"/>
    <n v="0"/>
    <n v="0"/>
    <n v="0"/>
    <n v="1929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10960600"/>
    <n v="3840000"/>
    <n v="0"/>
    <n v="0"/>
    <n v="0"/>
    <n v="0"/>
    <n v="0"/>
    <n v="0"/>
    <s v="Pusat Pendidikan KP"/>
    <x v="3"/>
    <x v="5"/>
    <s v="52"/>
    <s v="SEKRETARIAT BADAN RISET DAN SUMBERDAYA MANUSIA KELAUTAN DAN PERIKANAN"/>
    <n v="18370600"/>
    <n v="15.921823539608251"/>
    <n v="97009400"/>
    <n v="84.078176460391745"/>
    <s v="WA.2378.EBA.958.31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21211"/>
    <s v="Non COVID"/>
    <s v="BELANJA BAHAN"/>
    <s v="Belanja Barang Non Operasional"/>
    <n v="0"/>
    <n v="39988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3043500"/>
    <n v="0"/>
    <n v="0"/>
    <n v="0"/>
    <n v="0"/>
    <n v="0"/>
    <n v="0"/>
    <n v="0"/>
    <s v="Pusat Pendidikan KP"/>
    <x v="2"/>
    <x v="4"/>
    <s v="52"/>
    <s v="SEKRETARIAT BADAN RISET DAN SUMBERDAYA MANUSIA KELAUTAN DAN PERIKANAN"/>
    <n v="11338500"/>
    <n v="41.994444444444447"/>
    <n v="15661500"/>
    <n v="58.005555555555553"/>
    <s v="WA.2378.EBA.962.301.A.524111"/>
    <s v="Non COVID"/>
    <s v="PERJALANAN DINAS"/>
    <s v="Belanja Barang Non Operasional"/>
    <n v="2685000"/>
    <n v="1650000"/>
    <n v="0"/>
    <n v="3960000"/>
    <n v="0"/>
    <n v="30435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25199501"/>
    <n v="0"/>
    <n v="0"/>
    <n v="0"/>
    <n v="0"/>
    <n v="0"/>
    <n v="0"/>
    <n v="0"/>
    <s v="Pusat Pendidikan KP"/>
    <x v="2"/>
    <x v="4"/>
    <s v="52"/>
    <s v="SEKRETARIAT BADAN RISET DAN SUMBERDAYA MANUSIA KELAUTAN DAN PERIKANAN"/>
    <n v="160580461"/>
    <n v="31.210973955296407"/>
    <n v="353919539"/>
    <n v="68.78902604470359"/>
    <s v="WA.2378.EBA.962.301.B.524111"/>
    <s v="Non COVID"/>
    <s v="PERJALANAN DINAS"/>
    <s v="Belanja Barang Non Operasional"/>
    <n v="45385600"/>
    <n v="23429900"/>
    <n v="0"/>
    <n v="31588000"/>
    <n v="10477701"/>
    <n v="4081050"/>
    <n v="1064075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29384740"/>
    <n v="0"/>
    <n v="0"/>
    <n v="0"/>
    <n v="0"/>
    <n v="0"/>
    <n v="0"/>
    <n v="0"/>
    <s v="Pusat Pendidikan KP"/>
    <x v="2"/>
    <x v="4"/>
    <s v="52"/>
    <s v="SEKRETARIAT BADAN RISET DAN SUMBERDAYA MANUSIA KELAUTAN DAN PERIKANAN"/>
    <n v="33371740"/>
    <n v="72.547260869565221"/>
    <n v="12628260"/>
    <n v="27.452739130434782"/>
    <s v="WA.2378.EBA.962.301.C.521211"/>
    <s v="Non COVID"/>
    <s v="BELANJA BAHAN"/>
    <s v="Belanja Barang Non Operasional"/>
    <n v="0"/>
    <n v="3987000"/>
    <n v="0"/>
    <n v="0"/>
    <n v="0"/>
    <n v="0"/>
    <n v="293847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5762838"/>
    <n v="3691500"/>
    <n v="0"/>
    <n v="0"/>
    <n v="0"/>
    <n v="0"/>
    <n v="0"/>
    <n v="0"/>
    <n v="0"/>
    <s v="Pusat Pendidikan KP"/>
    <x v="2"/>
    <x v="4"/>
    <s v="52"/>
    <s v="SEKRETARIAT BADAN RISET DAN SUMBERDAYA MANUSIA KELAUTAN DAN PERIKANAN"/>
    <n v="27681738"/>
    <n v="38.851562105263163"/>
    <n v="43568262"/>
    <n v="61.148437894736837"/>
    <s v="WA.2378.EBA.962.301.D.524111"/>
    <s v="Non COVID"/>
    <s v="PERJALANAN DINAS"/>
    <s v="Belanja Barang Non Operasional"/>
    <n v="4907400"/>
    <n v="3320000"/>
    <n v="0"/>
    <n v="1410000"/>
    <n v="0"/>
    <n v="0"/>
    <n v="3691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6600000"/>
    <n v="0"/>
    <n v="0"/>
    <n v="0"/>
    <n v="0"/>
    <n v="0"/>
    <n v="0"/>
    <n v="0"/>
    <s v="Pusat Pendidikan KP"/>
    <x v="2"/>
    <x v="4"/>
    <s v="52"/>
    <s v="SEKRETARIAT BADAN RISET DAN SUMBERDAYA MANUSIA KELAUTAN DAN PERIKANAN"/>
    <n v="38095000"/>
    <n v="66.137152777777771"/>
    <n v="19505000"/>
    <n v="33.862847222222221"/>
    <s v="WA.2378.EBA.962.301.E.524113"/>
    <s v="Non COVID"/>
    <s v="BELANJA BAHAN"/>
    <s v="Belanja Barang Non Operasional"/>
    <n v="0"/>
    <n v="31495000"/>
    <n v="0"/>
    <n v="0"/>
    <n v="0"/>
    <n v="0"/>
    <n v="66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20031830"/>
    <n v="0"/>
    <n v="0"/>
    <n v="0"/>
    <n v="0"/>
    <n v="0"/>
    <n v="0"/>
    <n v="0"/>
    <s v="Pusat Pendidikan KP"/>
    <x v="2"/>
    <x v="4"/>
    <s v="52"/>
    <s v="SEKRETARIAT BADAN RISET DAN SUMBERDAYA MANUSIA KELAUTAN DAN PERIKANAN"/>
    <n v="67164280"/>
    <n v="29.692431476569407"/>
    <n v="159035720"/>
    <n v="70.307568523430604"/>
    <s v="WA.2378.EBA.962.301.E.521241"/>
    <s v="COVID"/>
    <s v="BELANJA JASA"/>
    <s v="Belanja Barang Non Operasional"/>
    <n v="0"/>
    <n v="35332450"/>
    <n v="11800000"/>
    <n v="0"/>
    <n v="0"/>
    <n v="0"/>
    <n v="2003183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215000"/>
    <n v="0"/>
    <n v="0"/>
    <n v="0"/>
    <n v="0"/>
    <n v="0"/>
    <n v="0"/>
    <n v="0"/>
    <s v="Pusat Pendidikan KP"/>
    <x v="2"/>
    <x v="4"/>
    <s v="52"/>
    <s v="SEKRETARIAT BADAN RISET DAN SUMBERDAYA MANUSIA KELAUTAN DAN PERIKANAN"/>
    <n v="4246000"/>
    <n v="8.8458333333333332"/>
    <n v="43754000"/>
    <n v="91.154166666666669"/>
    <s v="WA.2378.EBA.962.301.E.522192"/>
    <s v="COVID"/>
    <s v="BELANJA JASA"/>
    <s v="Belanja Barang Non Operasional"/>
    <n v="0"/>
    <n v="802000"/>
    <n v="0"/>
    <n v="3229000"/>
    <n v="0"/>
    <n v="0"/>
    <n v="215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3712700"/>
    <n v="9888000"/>
    <n v="0"/>
    <n v="0"/>
    <n v="0"/>
    <n v="0"/>
    <n v="0"/>
    <n v="0"/>
    <n v="0"/>
    <s v="Pusat Pendidikan KP"/>
    <x v="2"/>
    <x v="4"/>
    <s v="52"/>
    <s v="SEKRETARIAT BADAN RISET DAN SUMBERDAYA MANUSIA KELAUTAN DAN PERIKANAN"/>
    <n v="21850700"/>
    <n v="51.08645843074909"/>
    <n v="20921300"/>
    <n v="48.91354156925091"/>
    <s v="WA.2378.EBA.962.301.E.524111"/>
    <s v="Non COVID"/>
    <s v="PERJALANAN DINAS"/>
    <s v="Belanja Barang Non Operasional"/>
    <n v="1560000"/>
    <n v="6690000"/>
    <n v="0"/>
    <n v="0"/>
    <n v="1860000"/>
    <n v="3748000"/>
    <n v="428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3603218"/>
    <n v="0"/>
    <n v="0"/>
    <n v="0"/>
    <n v="0"/>
    <n v="0"/>
    <n v="0"/>
    <n v="0"/>
    <s v="Pusat Pendidikan KP"/>
    <x v="1"/>
    <x v="3"/>
    <s v="52"/>
    <s v="SEKRETARIAT BADAN RISET DAN SUMBERDAYA MANUSIA KELAUTAN DAN PERIKANAN"/>
    <n v="4297458"/>
    <n v="1.4414179867914845"/>
    <n v="293843542"/>
    <n v="98.558582013208522"/>
    <s v="WA.2378.EBA.962.301.F.521219"/>
    <s v="Non COVID"/>
    <s v="NON OPS LAINNYA"/>
    <s v="Belanja Barang Non Operasional"/>
    <n v="0"/>
    <n v="450000"/>
    <n v="244240"/>
    <n v="0"/>
    <n v="3351204"/>
    <n v="252014"/>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5350700"/>
    <n v="0"/>
    <n v="0"/>
    <n v="0"/>
    <n v="0"/>
    <n v="0"/>
    <n v="0"/>
    <s v="Pusat Pendidikan KP"/>
    <x v="1"/>
    <x v="3"/>
    <s v="52"/>
    <s v="SEKRETARIAT BADAN RISET DAN SUMBERDAYA MANUSIA KELAUTAN DAN PERIKANAN"/>
    <n v="5350700"/>
    <n v="6.5364834654711146"/>
    <n v="76508300"/>
    <n v="93.463516534528893"/>
    <s v="WA.2378.EBA.962.301.F.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10342500"/>
    <n v="0"/>
    <n v="0"/>
    <n v="0"/>
    <n v="0"/>
    <n v="0"/>
    <n v="0"/>
    <n v="0"/>
    <s v="Pusat Pendidikan KP"/>
    <x v="0"/>
    <x v="0"/>
    <s v="52"/>
    <s v="SEKRETARIAT BADAN RISET DAN SUMBERDAYA MANUSIA KELAUTAN DAN PERIKANAN"/>
    <n v="11542500"/>
    <n v="37.233870967741936"/>
    <n v="19457500"/>
    <n v="62.766129032258064"/>
    <s v="WA.2378.EBA.962.301.G.521211"/>
    <s v="Non COVID"/>
    <s v="BELANJA BAHAN"/>
    <s v="Belanja Barang Non Operasional"/>
    <n v="0"/>
    <n v="1200000"/>
    <n v="0"/>
    <n v="0"/>
    <n v="0"/>
    <n v="7854000"/>
    <n v="24885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481211"/>
    <n v="0"/>
    <n v="0"/>
    <n v="0"/>
    <n v="0"/>
    <n v="0"/>
    <n v="0"/>
    <n v="0"/>
    <s v="Pusat Pendidikan KP"/>
    <x v="0"/>
    <x v="0"/>
    <s v="52"/>
    <s v="SEKRETARIAT BADAN RISET DAN SUMBERDAYA MANUSIA KELAUTAN DAN PERIKANAN"/>
    <n v="1191418"/>
    <n v="39.713933333333337"/>
    <n v="1808582"/>
    <n v="60.28606666666667"/>
    <s v="WA.2378.EBA.962.301.G.521219"/>
    <s v="Non COVID"/>
    <s v="NON OPS LAINNYA"/>
    <s v="Belanja Barang Non Operasional"/>
    <n v="0"/>
    <n v="236994"/>
    <n v="473213"/>
    <n v="0"/>
    <n v="0"/>
    <n v="238833"/>
    <n v="242378"/>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1000000"/>
    <n v="2000000"/>
    <n v="0"/>
    <n v="0"/>
    <n v="0"/>
    <n v="0"/>
    <n v="0"/>
    <n v="0"/>
    <n v="0"/>
    <s v="Pusat Pendidikan KP"/>
    <x v="0"/>
    <x v="0"/>
    <s v="52"/>
    <s v="SEKRETARIAT BADAN RISET DAN SUMBERDAYA MANUSIA KELAUTAN DAN PERIKANAN"/>
    <n v="4800000"/>
    <n v="6.8571428571428577"/>
    <n v="65200000"/>
    <n v="93.142857142857139"/>
    <s v="WA.2378.EBA.962.301.G.522151"/>
    <s v="Non COVID"/>
    <s v="BELANJA JASA"/>
    <s v="Belanja Barang Non Operasional"/>
    <n v="0"/>
    <n v="1800000"/>
    <n v="0"/>
    <n v="0"/>
    <n v="0"/>
    <n v="0"/>
    <n v="2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27528345"/>
    <n v="28425327"/>
    <n v="0"/>
    <n v="0"/>
    <n v="0"/>
    <n v="0"/>
    <n v="0"/>
    <n v="0"/>
    <s v="Pusat Pendidikan KP"/>
    <x v="0"/>
    <x v="0"/>
    <s v="52"/>
    <s v="SEKRETARIAT BADAN RISET DAN SUMBERDAYA MANUSIA KELAUTAN DAN PERIKANAN"/>
    <n v="58653672"/>
    <n v="23.842956097560975"/>
    <n v="187346328"/>
    <n v="76.157043902439028"/>
    <s v="WA.2378.EBA.962.301.G.524111"/>
    <s v="Non COVID"/>
    <s v="PERJALANAN DINAS"/>
    <s v="Belanja Barang Non Operasional"/>
    <n v="0"/>
    <n v="0"/>
    <n v="2700000"/>
    <n v="0"/>
    <n v="0"/>
    <n v="0"/>
    <n v="8114345"/>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111"/>
    <s v="521111. Belanja Keperluan Perkantoran"/>
    <n v="1076220000"/>
    <n v="0"/>
    <n v="63640000"/>
    <n v="80776487"/>
    <n v="135515096"/>
    <n v="79486568"/>
    <n v="63640000"/>
    <n v="0"/>
    <n v="0"/>
    <n v="0"/>
    <n v="0"/>
    <n v="0"/>
    <n v="0"/>
    <s v="Pusat Pendidikan KP"/>
    <x v="2"/>
    <x v="4"/>
    <s v="52"/>
    <s v="SEKRETARIAT BADAN RISET DAN SUMBERDAYA MANUSIA KELAUTAN DAN PERIKANAN"/>
    <n v="423058151"/>
    <n v="39.309634740108898"/>
    <n v="653161849"/>
    <n v="60.690365259891102"/>
    <s v="WA.2378.EBA.994.002.GA.521111"/>
    <s v="Non COVID"/>
    <s v="BELANJA BAHAN"/>
    <s v="Belanja Barang Operasional"/>
    <n v="2178865"/>
    <n v="8107900"/>
    <n v="6849722"/>
    <n v="8235096"/>
    <n v="8616711"/>
    <n v="7229857"/>
    <n v="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2. Operasional dan Pemeliharaan Kantor"/>
    <s v="GA"/>
    <s v="GA. Operasional dan Pemeliharaan Kantor Pusat Pendidikan KP"/>
    <n v="521811"/>
    <s v="521811. Belanja Barang Persediaan Barang Konsumsi"/>
    <n v="17816000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BELANJA PERSEDIAAN"/>
    <s v="Belanja Barang Operasional"/>
    <n v="13175000"/>
    <n v="19299000"/>
    <n v="0"/>
    <n v="8952000"/>
    <n v="1680000"/>
    <n v="21602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1114"/>
    <s v="521114. Belanja Pengiriman Surat Dinas Pos Pusat"/>
    <n v="30000000"/>
    <n v="0"/>
    <n v="0"/>
    <n v="354050"/>
    <n v="603000"/>
    <n v="1329000"/>
    <n v="0"/>
    <n v="0"/>
    <n v="0"/>
    <n v="0"/>
    <n v="0"/>
    <n v="0"/>
    <n v="0"/>
    <s v="Pusat Pendidikan KP"/>
    <x v="2"/>
    <x v="4"/>
    <s v="52"/>
    <s v="SEKRETARIAT BADAN RISET DAN SUMBERDAYA MANUSIA KELAUTAN DAN PERIKANAN"/>
    <n v="2286050"/>
    <n v="7.620166666666667"/>
    <n v="27713950"/>
    <n v="92.379833333333337"/>
    <s v="WA.2378.EBA.994.002.GB.521114"/>
    <s v="Non COVID"/>
    <s v="BELANJA PENGIRIMAN"/>
    <s v="Belanja Barang Operasional"/>
    <n v="295050"/>
    <n v="0"/>
    <n v="59000"/>
    <n v="603000"/>
    <n v="276000"/>
    <n v="1053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B"/>
    <s v="GB. Langganan Daya dan Jasa Pusat Pendidikan KP"/>
    <n v="522141"/>
    <s v="522141. Belanja Sewa"/>
    <n v="118852000"/>
    <n v="0"/>
    <n v="0"/>
    <n v="4950000"/>
    <n v="9900000"/>
    <n v="4950000"/>
    <n v="0"/>
    <n v="0"/>
    <n v="0"/>
    <n v="0"/>
    <n v="0"/>
    <n v="0"/>
    <n v="0"/>
    <s v="Pusat Pendidikan KP"/>
    <x v="2"/>
    <x v="4"/>
    <s v="52"/>
    <s v="SEKRETARIAT BADAN RISET DAN SUMBERDAYA MANUSIA KELAUTAN DAN PERIKANAN"/>
    <n v="19800000"/>
    <n v="16.659374684481541"/>
    <n v="99052000"/>
    <n v="83.340625315518452"/>
    <s v="WA.2378.EBA.994.002.GB.522141"/>
    <s v="Non COVID"/>
    <s v="BELANJA SEWA"/>
    <s v="Belanja Barang Operasional"/>
    <n v="0"/>
    <n v="4950000"/>
    <n v="0"/>
    <n v="9900000"/>
    <n v="0"/>
    <n v="495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21"/>
    <s v="523121. Belanja Pemeliharaan Peralatan dan Mesin"/>
    <n v="497050000"/>
    <n v="0"/>
    <n v="0"/>
    <n v="59591400"/>
    <n v="7448700"/>
    <n v="18835340"/>
    <n v="0"/>
    <n v="0"/>
    <n v="0"/>
    <n v="0"/>
    <n v="0"/>
    <n v="0"/>
    <n v="0"/>
    <s v="Pusat Pendidikan KP"/>
    <x v="2"/>
    <x v="4"/>
    <s v="52"/>
    <s v="SEKRETARIAT BADAN RISET DAN SUMBERDAYA MANUSIA KELAUTAN DAN PERIKANAN"/>
    <n v="85875440"/>
    <n v="17.277022432350869"/>
    <n v="411174560"/>
    <n v="82.722977567649124"/>
    <s v="WA.2378.EBA.994.002.GC.523121"/>
    <s v="Non COVID"/>
    <s v="BELANJA PEMELIHARAAN"/>
    <s v="Belanja Barang Operasional"/>
    <n v="25004200"/>
    <n v="32727500"/>
    <n v="1859700"/>
    <n v="7448700"/>
    <n v="6968000"/>
    <n v="1186734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C"/>
    <s v="GC. Pemeliharaan Kantor Pusat Pendidikan KP"/>
    <n v="523199"/>
    <s v="523199. Belanja Pemeliharaan Lainnya"/>
    <n v="3600000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1"/>
    <s v="521111. Belanja Keperluan Perkantoran"/>
    <n v="10104000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PERJALANAN DINAS"/>
    <s v="Belanja Barang Operasional"/>
    <n v="0"/>
    <n v="0"/>
    <n v="0"/>
    <n v="0"/>
    <n v="4441000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D"/>
    <s v="GD. Pembayaran Pelaksanaan Operasional Kantor Pusat Pendidikan KP"/>
    <n v="521115"/>
    <s v="521115. Belanja Honor Operasional Satuan Kerja"/>
    <n v="58336000"/>
    <n v="0"/>
    <n v="0"/>
    <n v="9456000"/>
    <n v="0"/>
    <n v="4728000"/>
    <n v="0"/>
    <n v="0"/>
    <n v="0"/>
    <n v="0"/>
    <n v="0"/>
    <n v="0"/>
    <n v="0"/>
    <s v="Pusat Pendidikan KP"/>
    <x v="2"/>
    <x v="4"/>
    <s v="52"/>
    <s v="SEKRETARIAT BADAN RISET DAN SUMBERDAYA MANUSIA KELAUTAN DAN PERIKANAN"/>
    <n v="14184000"/>
    <n v="24.314317059791552"/>
    <n v="44152000"/>
    <n v="75.685682940208437"/>
    <s v="WA.2378.EBA.994.002.GD.521115"/>
    <s v="Non COVID"/>
    <s v="BELANJA HONOR"/>
    <s v="Belanja Barang Operasional"/>
    <n v="0"/>
    <n v="9456000"/>
    <n v="0"/>
    <n v="0"/>
    <n v="0"/>
    <n v="4728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2.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540000000"/>
    <n v="0"/>
    <n v="0"/>
    <n v="0"/>
    <n v="0"/>
    <n v="0"/>
    <n v="0"/>
    <n v="0"/>
    <s v="Pusat Pendidikan KP"/>
    <x v="2"/>
    <x v="4"/>
    <n v="53"/>
    <s v="SEKRETARIAT BADAN RISET DAN SUMBERDAYA MANUSIA KELAUTAN DAN PERIKANAN"/>
    <n v="540000000"/>
    <n v="99.827335682356804"/>
    <n v="934000"/>
    <n v="0.17266431764318754"/>
    <s v="WA.2378.EBB.951.301.A.532111"/>
    <s v="Non COVID"/>
    <s v="BELANJA MOD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1493000"/>
    <n v="0"/>
    <n v="0"/>
    <n v="0"/>
    <n v="0"/>
    <n v="0"/>
    <n v="0"/>
    <n v="0"/>
    <s v="Pusat Pendidikan KP"/>
    <x v="3"/>
    <x v="5"/>
    <s v="52"/>
    <s v="SEKRETARIAT BADAN RISET DAN SUMBERDAYA MANUSIA KELAUTAN DAN PERIKANAN"/>
    <n v="2991000"/>
    <n v="13.205298013245034"/>
    <n v="19659000"/>
    <n v="86.794701986754959"/>
    <s v="WA.2378.EBD.952.301.A.521211"/>
    <s v="Non COVID"/>
    <s v="BELANJA BAHAN"/>
    <s v="Belanja Barang Non Operasional"/>
    <n v="0"/>
    <n v="1498000"/>
    <n v="0"/>
    <n v="0"/>
    <n v="0"/>
    <n v="0"/>
    <n v="149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2390000"/>
    <n v="0"/>
    <n v="0"/>
    <n v="0"/>
    <n v="0"/>
    <n v="0"/>
    <n v="0"/>
    <n v="0"/>
    <s v="Pusat Pendidikan KP"/>
    <x v="3"/>
    <x v="5"/>
    <s v="52"/>
    <s v="SEKRETARIAT BADAN RISET DAN SUMBERDAYA MANUSIA KELAUTAN DAN PERIKANAN"/>
    <n v="4849000"/>
    <n v="32.326666666666668"/>
    <n v="10151000"/>
    <n v="67.673333333333332"/>
    <s v="WA.2378.EBD.952.301.A.521811"/>
    <s v="Non COVID"/>
    <s v="BELANJA PERSEDIAAN"/>
    <s v="Belanja Barang Non Operasional"/>
    <n v="0"/>
    <n v="2459000"/>
    <n v="0"/>
    <n v="0"/>
    <n v="0"/>
    <n v="0"/>
    <n v="2390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1348500"/>
    <n v="0"/>
    <n v="0"/>
    <n v="0"/>
    <n v="0"/>
    <n v="0"/>
    <n v="0"/>
    <n v="0"/>
    <s v="Pusat Pendidikan KP"/>
    <x v="3"/>
    <x v="5"/>
    <s v="52"/>
    <s v="SEKRETARIAT BADAN RISET DAN SUMBERDAYA MANUSIA KELAUTAN DAN PERIKANAN"/>
    <n v="5163500"/>
    <n v="8.2748397435897427"/>
    <n v="57236500"/>
    <n v="91.725160256410248"/>
    <s v="WA.2378.EBD.952.301.A.524111"/>
    <s v="Non COVID"/>
    <s v="PERJALANAN DINAS"/>
    <s v="Belanja Barang Non Operasional"/>
    <n v="0"/>
    <n v="0"/>
    <n v="280500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2975000"/>
    <n v="0"/>
    <n v="0"/>
    <n v="0"/>
    <n v="0"/>
    <n v="0"/>
    <n v="0"/>
    <n v="0"/>
    <s v="Pusat Pendidikan KP"/>
    <x v="3"/>
    <x v="5"/>
    <s v="52"/>
    <s v="SEKRETARIAT BADAN RISET DAN SUMBERDAYA MANUSIA KELAUTAN DAN PERIKANAN"/>
    <n v="5939000"/>
    <n v="12.046653144016227"/>
    <n v="43361000"/>
    <n v="87.953346855983767"/>
    <s v="WA.2378.EBD.952.301.B.521211"/>
    <s v="Non COVID"/>
    <s v="BELANJA BAHAN"/>
    <s v="Belanja Barang Non Operasional"/>
    <n v="0"/>
    <n v="2964000"/>
    <n v="0"/>
    <n v="0"/>
    <n v="0"/>
    <n v="0"/>
    <n v="297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4873000"/>
    <n v="0"/>
    <n v="0"/>
    <n v="0"/>
    <n v="0"/>
    <n v="0"/>
    <n v="0"/>
    <n v="0"/>
    <s v="Pusat Pendidikan KP"/>
    <x v="3"/>
    <x v="5"/>
    <s v="52"/>
    <s v="SEKRETARIAT BADAN RISET DAN SUMBERDAYA MANUSIA KELAUTAN DAN PERIKANAN"/>
    <n v="9783000"/>
    <n v="39.131999999999998"/>
    <n v="15217000"/>
    <n v="60.868000000000002"/>
    <s v="WA.2378.EBD.952.301.B.521811"/>
    <s v="Non COVID"/>
    <s v="BELANJA PERSEDIAAN"/>
    <s v="Belanja Barang Non Operasional"/>
    <n v="0"/>
    <n v="4910000"/>
    <n v="0"/>
    <n v="0"/>
    <n v="0"/>
    <n v="0"/>
    <n v="4873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205000"/>
    <n v="4224000"/>
    <n v="0"/>
    <n v="0"/>
    <n v="0"/>
    <n v="0"/>
    <n v="0"/>
    <n v="0"/>
    <n v="0"/>
    <s v="Pusat Pendidikan KP"/>
    <x v="3"/>
    <x v="5"/>
    <s v="52"/>
    <s v="SEKRETARIAT BADAN RISET DAN SUMBERDAYA MANUSIA KELAUTAN DAN PERIKANAN"/>
    <n v="4429000"/>
    <n v="1.7121010638297871"/>
    <n v="254259000"/>
    <n v="98.287898936170208"/>
    <s v="WA.2378.EBD.952.301.B.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2933500"/>
    <n v="10500000"/>
    <n v="0"/>
    <n v="0"/>
    <n v="0"/>
    <n v="0"/>
    <n v="0"/>
    <n v="0"/>
    <s v="Pusat Pendidikan KP"/>
    <x v="3"/>
    <x v="5"/>
    <s v="52"/>
    <s v="SEKRETARIAT BADAN RISET DAN SUMBERDAYA MANUSIA KELAUTAN DAN PERIKANAN"/>
    <n v="16388500"/>
    <n v="41.489873417721519"/>
    <n v="23111500"/>
    <n v="58.510126582278474"/>
    <s v="WA.2378.EBD.952.301.C.521211"/>
    <s v="Non COVID"/>
    <s v="BELANJA BAHAN"/>
    <s v="Belanja Barang Non Operasional"/>
    <n v="0"/>
    <n v="2955000"/>
    <n v="0"/>
    <n v="0"/>
    <n v="0"/>
    <n v="0"/>
    <n v="29335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4878000"/>
    <n v="0"/>
    <n v="0"/>
    <n v="0"/>
    <n v="0"/>
    <n v="0"/>
    <n v="0"/>
    <n v="0"/>
    <s v="Pusat Pendidikan KP"/>
    <x v="3"/>
    <x v="5"/>
    <s v="52"/>
    <s v="SEKRETARIAT BADAN RISET DAN SUMBERDAYA MANUSIA KELAUTAN DAN PERIKANAN"/>
    <n v="9825750"/>
    <n v="39.302999999999997"/>
    <n v="15174250"/>
    <n v="60.697000000000003"/>
    <s v="WA.2378.EBD.952.301.C.521811"/>
    <s v="Non COVID"/>
    <s v="BELANJA PERSEDIAAN"/>
    <s v="Belanja Barang Non Operasional"/>
    <n v="0"/>
    <n v="4947750"/>
    <n v="0"/>
    <n v="0"/>
    <n v="0"/>
    <n v="0"/>
    <n v="4878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10000000"/>
    <n v="0"/>
    <n v="0"/>
    <n v="0"/>
    <n v="0"/>
    <n v="0"/>
    <n v="0"/>
    <n v="0"/>
    <n v="0"/>
    <n v="0"/>
    <n v="0"/>
    <n v="0"/>
    <n v="0"/>
    <s v="Pusat Pendidikan KP"/>
    <x v="3"/>
    <x v="5"/>
    <s v="52"/>
    <s v="SEKRETARIAT BADAN RISET DAN SUMBERDAYA MANUSIA KELAUTAN DAN PERIKANAN"/>
    <n v="0"/>
    <n v="0"/>
    <n v="10000000"/>
    <n v="100"/>
    <s v="WA.2378.EBD.952.301.C.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3600000"/>
    <n v="0"/>
    <n v="0"/>
    <n v="0"/>
    <n v="0"/>
    <n v="0"/>
    <n v="0"/>
    <n v="0"/>
    <s v="Pusat Pendidikan KP"/>
    <x v="3"/>
    <x v="5"/>
    <s v="52"/>
    <s v="SEKRETARIAT BADAN RISET DAN SUMBERDAYA MANUSIA KELAUTAN DAN PERIKANAN"/>
    <n v="41907800"/>
    <n v="44.7732905982906"/>
    <n v="51692200"/>
    <n v="55.226709401709407"/>
    <s v="WA.2378.EBD.952.301.C.524111"/>
    <s v="Non COVID"/>
    <s v="PERJALANAN DINAS"/>
    <s v="Belanja Barang Non Operasional"/>
    <n v="0"/>
    <n v="17350000"/>
    <n v="504000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6278500"/>
    <n v="0"/>
    <n v="0"/>
    <n v="0"/>
    <n v="0"/>
    <n v="0"/>
    <n v="0"/>
    <n v="0"/>
    <s v="Pusat Pendidikan KP"/>
    <x v="3"/>
    <x v="6"/>
    <s v="52"/>
    <s v="SEKRETARIAT BADAN RISET DAN SUMBERDAYA MANUSIA KELAUTAN DAN PERIKANAN"/>
    <n v="6278500"/>
    <n v="13.648913043478261"/>
    <n v="39721500"/>
    <n v="86.35108695652174"/>
    <s v="WA.2378.EBD.953.301.A.521211"/>
    <s v="Non COVID"/>
    <s v="BELANJA BAHAN"/>
    <s v="Belanja Barang Non Operasional"/>
    <n v="0"/>
    <n v="0"/>
    <n v="0"/>
    <n v="0"/>
    <n v="0"/>
    <n v="0"/>
    <n v="62785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3500000"/>
    <n v="2640000"/>
    <n v="0"/>
    <n v="0"/>
    <n v="0"/>
    <n v="0"/>
    <n v="0"/>
    <n v="0"/>
    <s v="Pusat Pendidikan KP"/>
    <x v="3"/>
    <x v="6"/>
    <s v="52"/>
    <s v="SEKRETARIAT BADAN RISET DAN SUMBERDAYA MANUSIA KELAUTAN DAN PERIKANAN"/>
    <n v="9519000"/>
    <n v="23.217073170731709"/>
    <n v="31481000"/>
    <n v="76.782926829268291"/>
    <s v="WA.2378.EBD.953.301.B.521211"/>
    <s v="Non COVID"/>
    <s v="BELANJA BAHAN"/>
    <s v="Belanja Barang Non Operasional"/>
    <n v="0"/>
    <n v="2499000"/>
    <n v="880000"/>
    <n v="0"/>
    <n v="0"/>
    <n v="0"/>
    <n v="3500000"/>
    <n v="2640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603014"/>
    <n v="0"/>
    <n v="0"/>
    <n v="0"/>
    <n v="0"/>
    <n v="0"/>
    <n v="0"/>
    <n v="0"/>
    <s v="Pusat Pendidikan KP"/>
    <x v="3"/>
    <x v="6"/>
    <s v="52"/>
    <s v="SEKRETARIAT BADAN RISET DAN SUMBERDAYA MANUSIA KELAUTAN DAN PERIKANAN"/>
    <n v="603014"/>
    <n v="1.8844187500000003"/>
    <n v="31396986"/>
    <n v="98.115581249999991"/>
    <s v="WA.2378.EBD.953.301.B.521219"/>
    <s v="Non COVID"/>
    <s v="NON OPS LAINNYA"/>
    <s v="Belanja Barang Non Operasional"/>
    <n v="0"/>
    <n v="0"/>
    <n v="0"/>
    <n v="0"/>
    <n v="0"/>
    <n v="300383"/>
    <n v="302631"/>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10000000"/>
    <n v="0"/>
    <n v="0"/>
    <n v="0"/>
    <n v="0"/>
    <n v="0"/>
    <n v="0"/>
    <n v="0"/>
    <n v="0"/>
    <n v="0"/>
    <n v="0"/>
    <n v="0"/>
    <n v="0"/>
    <s v="Pusat Pendidikan KP"/>
    <x v="3"/>
    <x v="6"/>
    <s v="52"/>
    <s v="SEKRETARIAT BADAN RISET DAN SUMBERDAYA MANUSIA KELAUTAN DAN PERIKANAN"/>
    <n v="0"/>
    <n v="0"/>
    <n v="10000000"/>
    <n v="100"/>
    <s v="WA.2378.EBD.953.301.B.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524500"/>
    <n v="21422224"/>
    <n v="0"/>
    <n v="0"/>
    <n v="0"/>
    <n v="0"/>
    <n v="0"/>
    <n v="0"/>
    <n v="0"/>
    <s v="Pusat Pendidikan KP"/>
    <x v="3"/>
    <x v="6"/>
    <s v="52"/>
    <s v="SEKRETARIAT BADAN RISET DAN SUMBERDAYA MANUSIA KELAUTAN DAN PERIKANAN"/>
    <n v="21946724"/>
    <n v="18.288936666666665"/>
    <n v="98053276"/>
    <n v="81.711063333333328"/>
    <s v="WA.2378.EBD.953.301.B.524111"/>
    <s v="Non COVID"/>
    <s v="PERJALANAN DINAS"/>
    <s v="Belanja Barang Non Operasional"/>
    <n v="0"/>
    <n v="0"/>
    <n v="0"/>
    <n v="0"/>
    <n v="0"/>
    <n v="0"/>
    <n v="21422224"/>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4074431"/>
    <n v="0"/>
    <n v="0"/>
    <n v="0"/>
    <n v="0"/>
    <n v="0"/>
    <n v="0"/>
    <s v="Pusat Pendidikan KP"/>
    <x v="3"/>
    <x v="6"/>
    <s v="52"/>
    <s v="SEKRETARIAT BADAN RISET DAN SUMBERDAYA MANUSIA KELAUTAN DAN PERIKANAN"/>
    <n v="4074431"/>
    <n v="45.271455555555555"/>
    <n v="4925569"/>
    <n v="54.728544444444452"/>
    <s v="WA.2378.EBD.953.301.B.524113"/>
    <s v="Non COVID"/>
    <s v="TRANSPORT LOKAL"/>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4986000"/>
    <n v="0"/>
    <n v="0"/>
    <n v="0"/>
    <n v="0"/>
    <n v="0"/>
    <n v="0"/>
    <n v="0"/>
    <s v="Pusat Pendidikan KP"/>
    <x v="3"/>
    <x v="6"/>
    <s v="52"/>
    <s v="SEKRETARIAT BADAN RISET DAN SUMBERDAYA MANUSIA KELAUTAN DAN PERIKANAN"/>
    <n v="8344000"/>
    <n v="23.504225352112677"/>
    <n v="27156000"/>
    <n v="76.49577464788733"/>
    <s v="WA.2378.EBD.953.302.B.521211"/>
    <s v="Non COVID"/>
    <s v="BELANJA BAHAN"/>
    <s v="Belanja Barang Non Operasional"/>
    <n v="0"/>
    <n v="2498000"/>
    <n v="860000"/>
    <n v="0"/>
    <n v="0"/>
    <n v="0"/>
    <n v="4986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5530000"/>
    <n v="0"/>
    <n v="2118000"/>
    <n v="0"/>
    <n v="0"/>
    <n v="0"/>
    <n v="0"/>
    <n v="0"/>
    <n v="0"/>
    <s v="Pusat Pendidikan KP"/>
    <x v="3"/>
    <x v="6"/>
    <s v="52"/>
    <s v="SEKRETARIAT BADAN RISET DAN SUMBERDAYA MANUSIA KELAUTAN DAN PERIKANAN"/>
    <n v="20138000"/>
    <n v="22.618833677778778"/>
    <n v="68894000"/>
    <n v="77.381166322221233"/>
    <s v="WA.2378.EBD.953.302.B.524111"/>
    <s v="Non COVID"/>
    <s v="PERJALANAN DINAS"/>
    <s v="Belanja Barang Non Operasional"/>
    <n v="0"/>
    <n v="0"/>
    <n v="2490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5660000"/>
    <n v="0"/>
    <n v="0"/>
    <n v="0"/>
    <n v="0"/>
    <n v="0"/>
    <n v="0"/>
    <n v="0"/>
    <s v="Pusat Pendidikan KP"/>
    <x v="2"/>
    <x v="7"/>
    <s v="52"/>
    <s v="SEKRETARIAT BADAN RISET DAN SUMBERDAYA MANUSIA KELAUTAN DAN PERIKANAN"/>
    <n v="13831000"/>
    <n v="57.870292887029287"/>
    <n v="10069000"/>
    <n v="42.129707112970713"/>
    <s v="WA.2378.EBD.955.301.A.521211"/>
    <s v="Non COVID"/>
    <s v="BELANJA BAHAN"/>
    <s v="Belanja Barang Non Operasional"/>
    <n v="0"/>
    <n v="3275000"/>
    <n v="2450000"/>
    <n v="2446000"/>
    <n v="1810000"/>
    <n v="0"/>
    <n v="385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8701552"/>
    <n v="0"/>
    <n v="0"/>
    <n v="0"/>
    <n v="0"/>
    <n v="0"/>
    <n v="0"/>
    <n v="0"/>
    <s v="Pusat Pendidikan KP"/>
    <x v="2"/>
    <x v="7"/>
    <s v="52"/>
    <s v="SEKRETARIAT BADAN RISET DAN SUMBERDAYA MANUSIA KELAUTAN DAN PERIKANAN"/>
    <n v="8701552"/>
    <n v="58.010346666666671"/>
    <n v="6298448"/>
    <n v="41.989653333333329"/>
    <s v="WA.2378.EBD.955.301.A.524111"/>
    <s v="Non COVID"/>
    <s v="PERJALANAN DINAS"/>
    <s v="Belanja Barang Non Operasional"/>
    <n v="0"/>
    <n v="0"/>
    <n v="0"/>
    <n v="0"/>
    <n v="0"/>
    <n v="0"/>
    <n v="8701552"/>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2444000"/>
    <n v="0"/>
    <n v="0"/>
    <n v="0"/>
    <n v="0"/>
    <n v="0"/>
    <n v="0"/>
    <n v="0"/>
    <s v="Pusat Pendidikan KP"/>
    <x v="2"/>
    <x v="7"/>
    <s v="52"/>
    <s v="SEKRETARIAT BADAN RISET DAN SUMBERDAYA MANUSIA KELAUTAN DAN PERIKANAN"/>
    <n v="4944000"/>
    <n v="43.368421052631575"/>
    <n v="6456000"/>
    <n v="56.631578947368425"/>
    <s v="WA.2378.EBD.955.301.B.521211"/>
    <s v="Non COVID"/>
    <s v="BELANJA BAHAN"/>
    <s v="Belanja Barang Non Operasional"/>
    <n v="0"/>
    <n v="2500000"/>
    <n v="0"/>
    <n v="0"/>
    <n v="0"/>
    <n v="2444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2499000"/>
    <n v="0"/>
    <n v="0"/>
    <n v="0"/>
    <n v="0"/>
    <n v="0"/>
    <n v="0"/>
    <n v="0"/>
    <s v="Pusat Pendidikan KP"/>
    <x v="2"/>
    <x v="7"/>
    <s v="52"/>
    <s v="SEKRETARIAT BADAN RISET DAN SUMBERDAYA MANUSIA KELAUTAN DAN PERIKANAN"/>
    <n v="4968500"/>
    <n v="49.685000000000002"/>
    <n v="5031500"/>
    <n v="50.314999999999998"/>
    <s v="WA.2378.EBD.955.301.C.521211"/>
    <s v="Non COVID"/>
    <s v="BELANJA BAHAN"/>
    <s v="Belanja Barang Non Operasional"/>
    <n v="0"/>
    <n v="0"/>
    <n v="24695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5085000"/>
    <n v="0"/>
    <n v="0"/>
    <n v="0"/>
    <n v="0"/>
    <n v="0"/>
    <n v="0"/>
    <n v="0"/>
    <s v="Pusat Pendidikan KP"/>
    <x v="2"/>
    <x v="7"/>
    <s v="52"/>
    <s v="SEKRETARIAT BADAN RISET DAN SUMBERDAYA MANUSIA KELAUTAN DAN PERIKANAN"/>
    <n v="10985000"/>
    <n v="31.083757781550652"/>
    <n v="24355000"/>
    <n v="68.916242218449355"/>
    <s v="WA.2378.EBD.955.301.D.521211"/>
    <s v="Non COVID"/>
    <s v="BELANJA BAHAN"/>
    <s v="Belanja Barang Non Operasional"/>
    <n v="0"/>
    <n v="2500000"/>
    <n v="0"/>
    <n v="3400000"/>
    <n v="2590000"/>
    <n v="2495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9041268"/>
    <n v="0"/>
    <n v="0"/>
    <n v="0"/>
    <n v="0"/>
    <n v="0"/>
    <n v="0"/>
    <n v="0"/>
    <s v="Pusat Pendidikan KP"/>
    <x v="2"/>
    <x v="7"/>
    <s v="52"/>
    <s v="SEKRETARIAT BADAN RISET DAN SUMBERDAYA MANUSIA KELAUTAN DAN PERIKANAN"/>
    <n v="20634468"/>
    <n v="49.129685714285714"/>
    <n v="21365532"/>
    <n v="50.870314285714294"/>
    <s v="WA.2378.EBD.955.301.D.524111"/>
    <s v="Non COVID"/>
    <s v="PERJALANAN DINAS"/>
    <s v="Belanja Barang Non Operasional"/>
    <n v="0"/>
    <n v="0"/>
    <n v="0"/>
    <n v="11593200"/>
    <n v="0"/>
    <n v="0"/>
    <n v="9041268"/>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2444500"/>
    <n v="0"/>
    <n v="0"/>
    <n v="0"/>
    <n v="0"/>
    <n v="0"/>
    <n v="0"/>
    <n v="0"/>
    <s v="Pusat Pendidikan KP"/>
    <x v="2"/>
    <x v="7"/>
    <s v="52"/>
    <s v="SEKRETARIAT BADAN RISET DAN SUMBERDAYA MANUSIA KELAUTAN DAN PERIKANAN"/>
    <n v="4944000"/>
    <n v="32.96"/>
    <n v="10056000"/>
    <n v="67.040000000000006"/>
    <s v="WA.2378.EBD.955.301.E.521211"/>
    <s v="Non COVID"/>
    <s v="BELANJA BAHAN"/>
    <s v="Belanja Barang Non Operasional"/>
    <n v="0"/>
    <n v="2499500"/>
    <n v="0"/>
    <n v="0"/>
    <n v="0"/>
    <n v="2444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4980000"/>
    <n v="2490000"/>
    <n v="2490000"/>
    <n v="0"/>
    <n v="0"/>
    <n v="0"/>
    <n v="0"/>
    <n v="0"/>
    <n v="0"/>
    <n v="0"/>
    <s v="Pusat Pendidikan KP"/>
    <x v="2"/>
    <x v="7"/>
    <s v="52"/>
    <s v="SEKRETARIAT BADAN RISET DAN SUMBERDAYA MANUSIA KELAUTAN DAN PERIKANAN"/>
    <n v="9960000"/>
    <n v="36.218181818181819"/>
    <n v="17540000"/>
    <n v="63.781818181818181"/>
    <s v="WA.2378.EBD.955.301.F.521811"/>
    <s v="Non COVID"/>
    <s v="BELANJA PERSEDIAAN"/>
    <s v="Belanja Barang Non Operasional"/>
    <n v="0"/>
    <n v="2490000"/>
    <n v="2490000"/>
    <n v="2490000"/>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7280000"/>
    <n v="2030000"/>
    <n v="0"/>
    <n v="0"/>
    <n v="0"/>
    <n v="0"/>
    <n v="0"/>
    <n v="0"/>
    <s v="Pusat Pendidikan KP"/>
    <x v="2"/>
    <x v="7"/>
    <s v="52"/>
    <s v="SEKRETARIAT BADAN RISET DAN SUMBERDAYA MANUSIA KELAUTAN DAN PERIKANAN"/>
    <n v="54730000"/>
    <n v="97.073430294430651"/>
    <n v="1650000"/>
    <n v="2.9265697055693507"/>
    <s v="WA.2378.EBD.955.301.F.524111"/>
    <s v="Non COVID"/>
    <s v="PERJALANAN DINAS"/>
    <s v="Belanja Barang Non Operasional"/>
    <n v="0"/>
    <n v="34560000"/>
    <n v="10860000"/>
    <n v="0"/>
    <n v="5600000"/>
    <n v="0"/>
    <n v="1680000"/>
    <n v="203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BELANJA PERSEDIAAN"/>
    <s v="Belanja Barang Non Operasional"/>
    <n v="0"/>
    <n v="0"/>
    <n v="0"/>
    <n v="0"/>
    <n v="0"/>
    <n v="0"/>
    <n v="4855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549795356"/>
    <n v="0"/>
    <n v="1678775000"/>
    <n v="0"/>
    <n v="0"/>
    <n v="0"/>
    <n v="0"/>
    <n v="0"/>
    <n v="0"/>
    <s v="Pusat Pendidikan KP"/>
    <x v="3"/>
    <x v="5"/>
    <s v="52"/>
    <s v="SEKRETARIAT BADAN RISET DAN SUMBERDAYA MANUSIA KELAUTAN DAN PERIKANAN"/>
    <n v="3228570356"/>
    <n v="51.176516791507595"/>
    <n v="3080124644"/>
    <n v="48.823483208492405"/>
    <s v="WA.4345.EBC.996.301.B.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BELANJA PERSEDIAAN"/>
    <s v="Belanja Barang Non Operasional"/>
    <n v="0"/>
    <n v="0"/>
    <n v="0"/>
    <n v="0"/>
    <n v="0"/>
    <n v="0"/>
    <n v="3364000"/>
    <n v="144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20392633"/>
    <n v="22330573"/>
    <n v="0"/>
    <n v="0"/>
    <n v="0"/>
    <n v="0"/>
    <n v="0"/>
    <n v="0"/>
    <s v="Pusat Pendidikan KP"/>
    <x v="3"/>
    <x v="5"/>
    <s v="52"/>
    <s v="SEKRETARIAT BADAN RISET DAN SUMBERDAYA MANUSIA KELAUTAN DAN PERIKANAN"/>
    <n v="42723206"/>
    <n v="22.969465591397849"/>
    <n v="143276794"/>
    <n v="77.030534408602151"/>
    <s v="WA.4345.EBC.996.301.B.524111"/>
    <s v="Non COVID"/>
    <s v="PERJALANAN DINAS"/>
    <s v="Belanja Barang Non Operasional"/>
    <n v="0"/>
    <n v="0"/>
    <n v="0"/>
    <n v="0"/>
    <n v="0"/>
    <n v="0"/>
    <n v="20392633"/>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2961000"/>
    <n v="0"/>
    <n v="0"/>
    <n v="0"/>
    <n v="0"/>
    <n v="0"/>
    <n v="0"/>
    <n v="0"/>
    <s v="Pusat Pendidikan KP"/>
    <x v="3"/>
    <x v="5"/>
    <s v="52"/>
    <s v="SEKRETARIAT BADAN RISET DAN SUMBERDAYA MANUSIA KELAUTAN DAN PERIKANAN"/>
    <n v="2961000"/>
    <n v="11.844000000000001"/>
    <n v="22039000"/>
    <n v="88.156000000000006"/>
    <s v="WA.4345.EBC.996.301.A.521211"/>
    <s v="Non COVID"/>
    <s v="BELANJA BAHAN"/>
    <s v="Belanja Barang Non Operasional"/>
    <n v="0"/>
    <n v="0"/>
    <n v="0"/>
    <n v="0"/>
    <n v="0"/>
    <n v="0"/>
    <n v="2961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4845000"/>
    <n v="0"/>
    <n v="0"/>
    <n v="0"/>
    <n v="0"/>
    <n v="0"/>
    <n v="0"/>
    <n v="0"/>
    <s v="Pusat Pendidikan KP"/>
    <x v="3"/>
    <x v="5"/>
    <s v="52"/>
    <s v="SEKRETARIAT BADAN RISET DAN SUMBERDAYA MANUSIA KELAUTAN DAN PERIKANAN"/>
    <n v="4845000"/>
    <n v="16.150000000000002"/>
    <n v="25155000"/>
    <n v="83.850000000000009"/>
    <s v="WA.4345.EBC.996.301.A.521811"/>
    <s v="Non COVID"/>
    <s v="BELANJA PERSEDIAAN"/>
    <s v="Belanja Barang Non Operasional"/>
    <n v="0"/>
    <n v="0"/>
    <n v="0"/>
    <n v="0"/>
    <n v="0"/>
    <n v="0"/>
    <n v="484500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n v="0"/>
    <n v="0"/>
    <n v="0"/>
    <n v="0"/>
  </r>
  <r>
    <m/>
    <m/>
    <m/>
    <m/>
    <m/>
    <m/>
    <m/>
    <m/>
    <m/>
    <m/>
    <m/>
    <m/>
    <m/>
    <m/>
    <m/>
    <m/>
    <n v="16863164000"/>
    <n v="0"/>
    <n v="74237800"/>
    <n v="672277677"/>
    <n v="1892688850"/>
    <n v="1260934024"/>
    <n v="1899365591"/>
    <n v="0"/>
    <n v="0"/>
    <n v="0"/>
    <n v="0"/>
    <n v="0"/>
    <n v="0"/>
    <m/>
    <x v="4"/>
    <x v="8"/>
    <m/>
    <m/>
    <n v="5799503942"/>
    <n v="34.391552747752442"/>
    <n v="11063660058"/>
    <n v="65.608447252247558"/>
    <m/>
    <m/>
    <m/>
    <m/>
    <n v="99961115"/>
    <n v="410500187"/>
    <n v="98176375"/>
    <n v="95254996"/>
    <n v="95439616"/>
    <n v="93838577"/>
    <n v="312088731"/>
    <n v="75595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0"/>
    <n v="0"/>
    <n v="0"/>
    <n v="0"/>
    <n v="0"/>
    <n v="0"/>
    <x v="0"/>
    <x v="0"/>
    <x v="0"/>
    <s v="52"/>
    <s v="SEKRETARIAT BADAN RISET DAN SUMBERDAYA MANUSIA KELAUTAN DAN PERIKANAN"/>
    <n v="5581000"/>
    <n v="28.080503144654088"/>
    <n v="14294000"/>
    <n v="71.91949685534591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0"/>
    <n v="0"/>
    <n v="0"/>
    <n v="0"/>
    <n v="0"/>
    <n v="0"/>
    <x v="0"/>
    <x v="0"/>
    <x v="0"/>
    <s v="52"/>
    <s v="SEKRETARIAT BADAN RISET DAN SUMBERDAYA MANUSIA KELAUTAN DAN PERIKANAN"/>
    <n v="26276000"/>
    <n v="60.739713361072589"/>
    <n v="16984000"/>
    <n v="39.260286638927418"/>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0"/>
    <n v="0"/>
    <n v="0"/>
    <n v="0"/>
    <n v="0"/>
    <n v="0"/>
    <x v="0"/>
    <x v="0"/>
    <x v="1"/>
    <s v="52"/>
    <s v="SEKRETARIAT BADAN RISET DAN SUMBERDAYA MANUSIA KELAUTAN DAN PERIKANAN"/>
    <n v="3120000"/>
    <n v="14.682352941176472"/>
    <n v="18130000"/>
    <n v="85.317647058823525"/>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0"/>
    <n v="0"/>
    <n v="0"/>
    <n v="0"/>
    <n v="0"/>
    <n v="0"/>
    <x v="0"/>
    <x v="1"/>
    <x v="2"/>
    <s v="52"/>
    <s v="SEKRETARIAT BADAN RISET DAN SUMBERDAYA MANUSIA KELAUTAN DAN PERIKANAN"/>
    <n v="33228650"/>
    <n v="13.117055628365257"/>
    <n v="220095350"/>
    <n v="86.882944371634736"/>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0"/>
    <n v="0"/>
    <n v="0"/>
    <n v="0"/>
    <n v="0"/>
    <n v="0"/>
    <x v="0"/>
    <x v="1"/>
    <x v="3"/>
    <s v="52"/>
    <s v="SEKRETARIAT BADAN RISET DAN SUMBERDAYA MANUSIA KELAUTAN DAN PERIKANAN"/>
    <n v="57918610"/>
    <n v="59.454925268949651"/>
    <n v="39497390"/>
    <n v="40.545074731050342"/>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0"/>
    <n v="0"/>
    <n v="0"/>
    <n v="0"/>
    <n v="0"/>
    <n v="0"/>
    <x v="0"/>
    <x v="2"/>
    <x v="4"/>
    <s v="52"/>
    <s v="SEKRETARIAT BADAN RISET DAN SUMBERDAYA MANUSIA KELAUTAN DAN PERIKANAN"/>
    <n v="160580461"/>
    <n v="42.978010834131794"/>
    <n v="213053539"/>
    <n v="57.021989165868206"/>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0"/>
    <n v="0"/>
    <n v="0"/>
    <n v="0"/>
    <n v="0"/>
    <n v="0"/>
    <x v="0"/>
    <x v="0"/>
    <x v="0"/>
    <s v="52"/>
    <s v="SEKRETARIAT BADAN RISET DAN SUMBERDAYA MANUSIA KELAUTAN DAN PERIKANAN"/>
    <n v="11542500"/>
    <n v="91.972111553784856"/>
    <n v="1007500"/>
    <n v="8.0278884462151403"/>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0"/>
    <n v="0"/>
    <n v="0"/>
    <n v="0"/>
    <n v="0"/>
    <n v="0"/>
    <x v="0"/>
    <x v="0"/>
    <x v="0"/>
    <s v="52"/>
    <s v="SEKRETARIAT BADAN RISET DAN SUMBERDAYA MANUSIA KELAUTAN DAN PERIKANAN"/>
    <n v="4800000"/>
    <n v="53.333333333333336"/>
    <n v="4200000"/>
    <n v="46.666666666666664"/>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0"/>
    <n v="0"/>
    <n v="0"/>
    <n v="0"/>
    <n v="0"/>
    <n v="0"/>
    <x v="0"/>
    <x v="0"/>
    <x v="1"/>
    <s v="52"/>
    <s v="SEKRETARIAT BADAN RISET DAN SUMBERDAYA MANUSIA KELAUTAN DAN PERIKANAN"/>
    <n v="14000000"/>
    <n v="35"/>
    <n v="26000000"/>
    <n v="65"/>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0"/>
    <n v="0"/>
    <n v="0"/>
    <n v="0"/>
    <n v="0"/>
    <n v="0"/>
    <x v="0"/>
    <x v="2"/>
    <x v="4"/>
    <s v="52"/>
    <s v="SEKRETARIAT BADAN RISET DAN SUMBERDAYA MANUSIA KELAUTAN DAN PERIKANAN"/>
    <n v="423058151"/>
    <n v="39.309634740108898"/>
    <n v="653161849"/>
    <n v="60.690365259891102"/>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0"/>
    <n v="0"/>
    <n v="0"/>
    <n v="0"/>
    <n v="0"/>
    <n v="0"/>
    <x v="0"/>
    <x v="2"/>
    <x v="4"/>
    <s v="52"/>
    <s v="SEKRETARIAT BADAN RISET DAN SUMBERDAYA MANUSIA KELAUTAN DAN PERIKANAN"/>
    <n v="2286050"/>
    <n v="7.620166666666667"/>
    <n v="27713950"/>
    <n v="92.379833333333337"/>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0"/>
    <n v="0"/>
    <n v="0"/>
    <n v="0"/>
    <n v="0"/>
    <n v="0"/>
    <x v="0"/>
    <x v="2"/>
    <x v="4"/>
    <s v="52"/>
    <s v="SEKRETARIAT BADAN RISET DAN SUMBERDAYA MANUSIA KELAUTAN DAN PERIKANAN"/>
    <n v="19800000"/>
    <n v="16.659374684481541"/>
    <n v="99052000"/>
    <n v="83.34062531551845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0"/>
    <n v="0"/>
    <n v="0"/>
    <n v="0"/>
    <n v="0"/>
    <n v="0"/>
    <x v="0"/>
    <x v="2"/>
    <x v="4"/>
    <s v="52"/>
    <s v="SEKRETARIAT BADAN RISET DAN SUMBERDAYA MANUSIA KELAUTAN DAN PERIKANAN"/>
    <n v="85875440"/>
    <n v="17.277022432350869"/>
    <n v="411174560"/>
    <n v="82.722977567649124"/>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0"/>
    <n v="0"/>
    <n v="0"/>
    <n v="0"/>
    <n v="0"/>
    <n v="0"/>
    <x v="0"/>
    <x v="2"/>
    <x v="4"/>
    <s v="52"/>
    <s v="SEKRETARIAT BADAN RISET DAN SUMBERDAYA MANUSIA KELAUTAN DAN PERIKANAN"/>
    <n v="14184000"/>
    <n v="24.314317059791552"/>
    <n v="44152000"/>
    <n v="75.68568294020843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0"/>
    <n v="0"/>
    <n v="0"/>
    <n v="0"/>
    <n v="0"/>
    <n v="0"/>
    <x v="0"/>
    <x v="2"/>
    <x v="7"/>
    <s v="52"/>
    <s v="SEKRETARIAT BADAN RISET DAN SUMBERDAYA MANUSIA KELAUTAN DAN PERIKANAN"/>
    <n v="13831000"/>
    <n v="75.168478260869563"/>
    <n v="4569000"/>
    <n v="24.831521739130437"/>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0"/>
    <n v="0"/>
    <n v="0"/>
    <n v="0"/>
    <n v="0"/>
    <n v="0"/>
    <x v="0"/>
    <x v="2"/>
    <x v="7"/>
    <s v="52"/>
    <s v="SEKRETARIAT BADAN RISET DAN SUMBERDAYA MANUSIA KELAUTAN DAN PERIKANAN"/>
    <n v="4968500"/>
    <n v="66.24666666666667"/>
    <n v="2531500"/>
    <n v="33.753333333333337"/>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0"/>
    <n v="0"/>
    <n v="0"/>
    <n v="0"/>
    <n v="0"/>
    <n v="0"/>
    <x v="0"/>
    <x v="2"/>
    <x v="7"/>
    <s v="52"/>
    <s v="SEKRETARIAT BADAN RISET DAN SUMBERDAYA MANUSIA KELAUTAN DAN PERIKANAN"/>
    <n v="10985000"/>
    <n v="78.464285714285722"/>
    <n v="3015000"/>
    <n v="21.535714285714285"/>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0"/>
    <n v="0"/>
    <n v="0"/>
    <n v="0"/>
    <n v="0"/>
    <n v="0"/>
    <x v="0"/>
    <x v="2"/>
    <x v="7"/>
    <s v="52"/>
    <s v="SEKRETARIAT BADAN RISET DAN SUMBERDAYA MANUSIA KELAUTAN DAN PERIKANAN"/>
    <n v="9960000"/>
    <n v="36.218181818181819"/>
    <n v="17540000"/>
    <n v="63.781818181818181"/>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1843270850"/>
    <n v="0"/>
    <n v="0"/>
    <n v="0"/>
    <n v="0"/>
    <n v="0"/>
    <n v="0"/>
    <x v="0"/>
    <x v="3"/>
    <x v="5"/>
    <s v="52"/>
    <s v="SEKRETARIAT BADAN RISET DAN SUMBERDAYA MANUSIA KELAUTAN DAN PERIKANAN"/>
    <n v="3393066206"/>
    <n v="89.087369978430928"/>
    <n v="415628794"/>
    <n v="10.912630021569068"/>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0"/>
    <n v="0"/>
    <n v="0"/>
    <n v="0"/>
    <n v="0"/>
    <n v="0"/>
    <x v="0"/>
    <x v="3"/>
    <x v="5"/>
    <s v="52"/>
    <s v="SEKRETARIAT BADAN RISET DAN SUMBERDAYA MANUSIA KELAUTAN DAN PERIKANAN"/>
    <n v="42723206"/>
    <n v="19.779262037037036"/>
    <n v="173276794"/>
    <n v="80.220737962962957"/>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4"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3">
    <format dxfId="1258">
      <pivotArea outline="0" collapsedLevelsAreSubtotals="1" fieldPosition="0">
        <references count="1">
          <reference field="4294967294" count="1" selected="0">
            <x v="2"/>
          </reference>
        </references>
      </pivotArea>
    </format>
    <format dxfId="1257">
      <pivotArea outline="0" collapsedLevelsAreSubtotals="1" fieldPosition="0">
        <references count="1">
          <reference field="4294967294" count="1" selected="0">
            <x v="4"/>
          </reference>
        </references>
      </pivotArea>
    </format>
    <format dxfId="1256">
      <pivotArea outline="0" collapsedLevelsAreSubtotals="1" fieldPosition="0">
        <references count="1">
          <reference field="4294967294" count="1" selected="0">
            <x v="3"/>
          </reference>
        </references>
      </pivotArea>
    </format>
    <format dxfId="1255">
      <pivotArea outline="0" collapsedLevelsAreSubtotals="1" fieldPosition="0">
        <references count="1">
          <reference field="4294967294" count="1" selected="0">
            <x v="1"/>
          </reference>
        </references>
      </pivotArea>
    </format>
    <format dxfId="1254">
      <pivotArea outline="0" collapsedLevelsAreSubtotals="1" fieldPosition="0">
        <references count="1">
          <reference field="4294967294" count="1" selected="0">
            <x v="0"/>
          </reference>
        </references>
      </pivotArea>
    </format>
    <format dxfId="1253">
      <pivotArea dataOnly="0" labelOnly="1" fieldPosition="0">
        <references count="1">
          <reference field="3" count="0"/>
        </references>
      </pivotArea>
    </format>
    <format dxfId="1252">
      <pivotArea dataOnly="0" labelOnly="1" fieldPosition="0">
        <references count="1">
          <reference field="5" count="0"/>
        </references>
      </pivotArea>
    </format>
    <format dxfId="1251">
      <pivotArea dataOnly="0" labelOnly="1" fieldPosition="0">
        <references count="1">
          <reference field="9" count="0"/>
        </references>
      </pivotArea>
    </format>
    <format dxfId="1250">
      <pivotArea dataOnly="0" labelOnly="1" fieldPosition="0">
        <references count="1">
          <reference field="11" count="0"/>
        </references>
      </pivotArea>
    </format>
    <format dxfId="1249">
      <pivotArea dataOnly="0" labelOnly="1" fieldPosition="0">
        <references count="1">
          <reference field="13" count="0"/>
        </references>
      </pivotArea>
    </format>
    <format dxfId="1248">
      <pivotArea dataOnly="0" labelOnly="1" outline="0" fieldPosition="0">
        <references count="1">
          <reference field="4294967294" count="5">
            <x v="0"/>
            <x v="1"/>
            <x v="2"/>
            <x v="3"/>
            <x v="4"/>
          </reference>
        </references>
      </pivotArea>
    </format>
    <format dxfId="1247">
      <pivotArea type="all" dataOnly="0" outline="0" fieldPosition="0"/>
    </format>
    <format dxfId="1246">
      <pivotArea outline="0" collapsedLevelsAreSubtotals="1" fieldPosition="0"/>
    </format>
    <format dxfId="1245">
      <pivotArea field="3" type="button" dataOnly="0" labelOnly="1" outline="0" axis="axisRow" fieldPosition="1"/>
    </format>
    <format dxfId="1244">
      <pivotArea dataOnly="0" labelOnly="1" fieldPosition="0">
        <references count="1">
          <reference field="3" count="0"/>
        </references>
      </pivotArea>
    </format>
    <format dxfId="1243">
      <pivotArea dataOnly="0" labelOnly="1" grandRow="1" outline="0" fieldPosition="0"/>
    </format>
    <format dxfId="1242">
      <pivotArea dataOnly="0" labelOnly="1" fieldPosition="0">
        <references count="2">
          <reference field="3" count="1" selected="0">
            <x v="0"/>
          </reference>
          <reference field="5" count="1">
            <x v="0"/>
          </reference>
        </references>
      </pivotArea>
    </format>
    <format dxfId="1241">
      <pivotArea dataOnly="0" labelOnly="1" fieldPosition="0">
        <references count="2">
          <reference field="3" count="1" selected="0">
            <x v="1"/>
          </reference>
          <reference field="5" count="2">
            <x v="1"/>
            <x v="2"/>
          </reference>
        </references>
      </pivotArea>
    </format>
    <format dxfId="1240">
      <pivotArea dataOnly="0" labelOnly="1" fieldPosition="0">
        <references count="3">
          <reference field="3" count="1" selected="0">
            <x v="0"/>
          </reference>
          <reference field="5" count="1" selected="0">
            <x v="0"/>
          </reference>
          <reference field="9" count="1">
            <x v="0"/>
          </reference>
        </references>
      </pivotArea>
    </format>
    <format dxfId="1239">
      <pivotArea dataOnly="0" labelOnly="1" fieldPosition="0">
        <references count="3">
          <reference field="3" count="1" selected="0">
            <x v="1"/>
          </reference>
          <reference field="5" count="1" selected="0">
            <x v="1"/>
          </reference>
          <reference field="9" count="8">
            <x v="1"/>
            <x v="2"/>
            <x v="3"/>
            <x v="4"/>
            <x v="5"/>
            <x v="6"/>
            <x v="7"/>
            <x v="8"/>
          </reference>
        </references>
      </pivotArea>
    </format>
    <format dxfId="1238">
      <pivotArea dataOnly="0" labelOnly="1" fieldPosition="0">
        <references count="3">
          <reference field="3" count="1" selected="0">
            <x v="1"/>
          </reference>
          <reference field="5" count="1" selected="0">
            <x v="2"/>
          </reference>
          <reference field="9" count="1">
            <x v="9"/>
          </reference>
        </references>
      </pivotArea>
    </format>
    <format dxfId="123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3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3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3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3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3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3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3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2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2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2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2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2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2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2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2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2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2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1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1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1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1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1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1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1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12">
      <pivotArea dataOnly="0" labelOnly="1" outline="0" fieldPosition="0">
        <references count="1">
          <reference field="4294967294" count="5">
            <x v="0"/>
            <x v="1"/>
            <x v="2"/>
            <x v="3"/>
            <x v="4"/>
          </reference>
        </references>
      </pivotArea>
    </format>
    <format dxfId="1211">
      <pivotArea type="all" dataOnly="0" outline="0" fieldPosition="0"/>
    </format>
    <format dxfId="1210">
      <pivotArea outline="0" collapsedLevelsAreSubtotals="1" fieldPosition="0"/>
    </format>
    <format dxfId="1209">
      <pivotArea field="3" type="button" dataOnly="0" labelOnly="1" outline="0" axis="axisRow" fieldPosition="1"/>
    </format>
    <format dxfId="1208">
      <pivotArea dataOnly="0" labelOnly="1" fieldPosition="0">
        <references count="1">
          <reference field="3" count="0"/>
        </references>
      </pivotArea>
    </format>
    <format dxfId="1207">
      <pivotArea dataOnly="0" labelOnly="1" grandRow="1" outline="0" fieldPosition="0"/>
    </format>
    <format dxfId="1206">
      <pivotArea dataOnly="0" labelOnly="1" fieldPosition="0">
        <references count="2">
          <reference field="3" count="1" selected="0">
            <x v="0"/>
          </reference>
          <reference field="5" count="1">
            <x v="0"/>
          </reference>
        </references>
      </pivotArea>
    </format>
    <format dxfId="1205">
      <pivotArea dataOnly="0" labelOnly="1" fieldPosition="0">
        <references count="2">
          <reference field="3" count="1" selected="0">
            <x v="1"/>
          </reference>
          <reference field="5" count="2">
            <x v="1"/>
            <x v="2"/>
          </reference>
        </references>
      </pivotArea>
    </format>
    <format dxfId="1204">
      <pivotArea dataOnly="0" labelOnly="1" fieldPosition="0">
        <references count="3">
          <reference field="3" count="1" selected="0">
            <x v="0"/>
          </reference>
          <reference field="5" count="1" selected="0">
            <x v="0"/>
          </reference>
          <reference field="9" count="1">
            <x v="0"/>
          </reference>
        </references>
      </pivotArea>
    </format>
    <format dxfId="1203">
      <pivotArea dataOnly="0" labelOnly="1" fieldPosition="0">
        <references count="3">
          <reference field="3" count="1" selected="0">
            <x v="1"/>
          </reference>
          <reference field="5" count="1" selected="0">
            <x v="1"/>
          </reference>
          <reference field="9" count="8">
            <x v="1"/>
            <x v="2"/>
            <x v="3"/>
            <x v="4"/>
            <x v="5"/>
            <x v="6"/>
            <x v="7"/>
            <x v="8"/>
          </reference>
        </references>
      </pivotArea>
    </format>
    <format dxfId="1202">
      <pivotArea dataOnly="0" labelOnly="1" fieldPosition="0">
        <references count="3">
          <reference field="3" count="1" selected="0">
            <x v="1"/>
          </reference>
          <reference field="5" count="1" selected="0">
            <x v="2"/>
          </reference>
          <reference field="9" count="1">
            <x v="9"/>
          </reference>
        </references>
      </pivotArea>
    </format>
    <format dxfId="120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0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9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9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9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9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9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9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9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9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9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9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8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8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8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8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8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8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8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8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8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8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7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7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7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76">
      <pivotArea dataOnly="0" labelOnly="1" outline="0" fieldPosition="0">
        <references count="1">
          <reference field="4294967294" count="5">
            <x v="0"/>
            <x v="1"/>
            <x v="2"/>
            <x v="3"/>
            <x v="4"/>
          </reference>
        </references>
      </pivotArea>
    </format>
    <format dxfId="1175">
      <pivotArea collapsedLevelsAreSubtotals="1" fieldPosition="0">
        <references count="1">
          <reference field="3" count="1">
            <x v="0"/>
          </reference>
        </references>
      </pivotArea>
    </format>
    <format dxfId="1174">
      <pivotArea collapsedLevelsAreSubtotals="1" fieldPosition="0">
        <references count="1">
          <reference field="3" count="1">
            <x v="1"/>
          </reference>
        </references>
      </pivotArea>
    </format>
    <format dxfId="1173">
      <pivotArea collapsedLevelsAreSubtotals="1" fieldPosition="0">
        <references count="3">
          <reference field="3" count="1" selected="0">
            <x v="0"/>
          </reference>
          <reference field="5" count="1" selected="0">
            <x v="0"/>
          </reference>
          <reference field="9" count="1">
            <x v="0"/>
          </reference>
        </references>
      </pivotArea>
    </format>
    <format dxfId="1172">
      <pivotArea collapsedLevelsAreSubtotals="1" fieldPosition="0">
        <references count="3">
          <reference field="3" count="1" selected="0">
            <x v="1"/>
          </reference>
          <reference field="5" count="1" selected="0">
            <x v="1"/>
          </reference>
          <reference field="9" count="1">
            <x v="1"/>
          </reference>
        </references>
      </pivotArea>
    </format>
    <format dxfId="1171">
      <pivotArea collapsedLevelsAreSubtotals="1" fieldPosition="0">
        <references count="3">
          <reference field="3" count="1" selected="0">
            <x v="1"/>
          </reference>
          <reference field="5" count="1" selected="0">
            <x v="1"/>
          </reference>
          <reference field="9" count="1">
            <x v="2"/>
          </reference>
        </references>
      </pivotArea>
    </format>
    <format dxfId="1170">
      <pivotArea collapsedLevelsAreSubtotals="1" fieldPosition="0">
        <references count="3">
          <reference field="3" count="1" selected="0">
            <x v="1"/>
          </reference>
          <reference field="5" count="1" selected="0">
            <x v="1"/>
          </reference>
          <reference field="9" count="1">
            <x v="3"/>
          </reference>
        </references>
      </pivotArea>
    </format>
    <format dxfId="1169">
      <pivotArea collapsedLevelsAreSubtotals="1" fieldPosition="0">
        <references count="3">
          <reference field="3" count="1" selected="0">
            <x v="1"/>
          </reference>
          <reference field="5" count="1" selected="0">
            <x v="1"/>
          </reference>
          <reference field="9" count="1">
            <x v="4"/>
          </reference>
        </references>
      </pivotArea>
    </format>
    <format dxfId="1168">
      <pivotArea collapsedLevelsAreSubtotals="1" fieldPosition="0">
        <references count="3">
          <reference field="3" count="1" selected="0">
            <x v="1"/>
          </reference>
          <reference field="5" count="1" selected="0">
            <x v="1"/>
          </reference>
          <reference field="9" count="1">
            <x v="5"/>
          </reference>
        </references>
      </pivotArea>
    </format>
    <format dxfId="1167">
      <pivotArea collapsedLevelsAreSubtotals="1" fieldPosition="0">
        <references count="3">
          <reference field="3" count="1" selected="0">
            <x v="1"/>
          </reference>
          <reference field="5" count="1" selected="0">
            <x v="1"/>
          </reference>
          <reference field="9" count="1">
            <x v="6"/>
          </reference>
        </references>
      </pivotArea>
    </format>
    <format dxfId="1166">
      <pivotArea collapsedLevelsAreSubtotals="1" fieldPosition="0">
        <references count="3">
          <reference field="3" count="1" selected="0">
            <x v="1"/>
          </reference>
          <reference field="5" count="1" selected="0">
            <x v="1"/>
          </reference>
          <reference field="9" count="1">
            <x v="7"/>
          </reference>
        </references>
      </pivotArea>
    </format>
    <format dxfId="1165">
      <pivotArea collapsedLevelsAreSubtotals="1" fieldPosition="0">
        <references count="3">
          <reference field="3" count="1" selected="0">
            <x v="1"/>
          </reference>
          <reference field="5" count="1" selected="0">
            <x v="1"/>
          </reference>
          <reference field="9" count="1">
            <x v="8"/>
          </reference>
        </references>
      </pivotArea>
    </format>
    <format dxfId="1164">
      <pivotArea collapsedLevelsAreSubtotals="1" fieldPosition="0">
        <references count="3">
          <reference field="3" count="1" selected="0">
            <x v="1"/>
          </reference>
          <reference field="5" count="1" selected="0">
            <x v="2"/>
          </reference>
          <reference field="9" count="1">
            <x v="9"/>
          </reference>
        </references>
      </pivotArea>
    </format>
    <format dxfId="1163">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162">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161">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160">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159">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158">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157">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156">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155">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154">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153">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152">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151">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150">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149">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148">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14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146">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4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14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14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142">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41">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40">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3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13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13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13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13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13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13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13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13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13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12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12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12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12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125">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2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12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12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12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12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119">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1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11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11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11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11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11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11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11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11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10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108">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07">
      <pivotArea collapsedLevelsAreSubtotals="1" fieldPosition="0">
        <references count="2">
          <reference field="3" count="1" selected="0">
            <x v="1"/>
          </reference>
          <reference field="5" count="1">
            <x v="1"/>
          </reference>
        </references>
      </pivotArea>
    </format>
    <format dxfId="1106">
      <pivotArea field="3" type="button" dataOnly="0" labelOnly="1" outline="0" axis="axisRow" fieldPosition="1"/>
    </format>
    <format dxfId="1105">
      <pivotArea collapsedLevelsAreSubtotals="1" fieldPosition="0">
        <references count="2">
          <reference field="3" count="1" selected="0">
            <x v="1"/>
          </reference>
          <reference field="5" count="1">
            <x v="2"/>
          </reference>
        </references>
      </pivotArea>
    </format>
    <format dxfId="1104">
      <pivotArea collapsedLevelsAreSubtotals="1" fieldPosition="0">
        <references count="2">
          <reference field="3" count="1" selected="0">
            <x v="0"/>
          </reference>
          <reference field="5" count="1">
            <x v="0"/>
          </reference>
        </references>
      </pivotArea>
    </format>
    <format dxfId="1103">
      <pivotArea field="3" type="button" dataOnly="0" labelOnly="1" outline="0" axis="axisRow" fieldPosition="1"/>
    </format>
    <format dxfId="1102">
      <pivotArea dataOnly="0" labelOnly="1" outline="0" fieldPosition="0">
        <references count="1">
          <reference field="4294967294" count="5">
            <x v="0"/>
            <x v="1"/>
            <x v="2"/>
            <x v="3"/>
            <x v="4"/>
          </reference>
        </references>
      </pivotArea>
    </format>
    <format dxfId="1101">
      <pivotArea field="3" type="button" dataOnly="0" labelOnly="1" outline="0" axis="axisRow" fieldPosition="1"/>
    </format>
    <format dxfId="1100">
      <pivotArea dataOnly="0" labelOnly="1" outline="0" fieldPosition="0">
        <references count="1">
          <reference field="4294967294" count="5">
            <x v="0"/>
            <x v="1"/>
            <x v="2"/>
            <x v="3"/>
            <x v="4"/>
          </reference>
        </references>
      </pivotArea>
    </format>
    <format dxfId="1099">
      <pivotArea field="3" type="button" dataOnly="0" labelOnly="1" outline="0" axis="axisRow" fieldPosition="1"/>
    </format>
    <format dxfId="1098">
      <pivotArea dataOnly="0" labelOnly="1" fieldPosition="0">
        <references count="1">
          <reference field="3" count="0"/>
        </references>
      </pivotArea>
    </format>
    <format dxfId="1097">
      <pivotArea dataOnly="0" labelOnly="1" grandRow="1" outline="0" fieldPosition="0"/>
    </format>
    <format dxfId="1096">
      <pivotArea dataOnly="0" labelOnly="1" fieldPosition="0">
        <references count="2">
          <reference field="3" count="1" selected="0">
            <x v="0"/>
          </reference>
          <reference field="5" count="1">
            <x v="0"/>
          </reference>
        </references>
      </pivotArea>
    </format>
    <format dxfId="1095">
      <pivotArea dataOnly="0" labelOnly="1" fieldPosition="0">
        <references count="2">
          <reference field="3" count="1" selected="0">
            <x v="1"/>
          </reference>
          <reference field="5" count="2">
            <x v="1"/>
            <x v="2"/>
          </reference>
        </references>
      </pivotArea>
    </format>
    <format dxfId="1094">
      <pivotArea dataOnly="0" labelOnly="1" fieldPosition="0">
        <references count="3">
          <reference field="3" count="1" selected="0">
            <x v="0"/>
          </reference>
          <reference field="5" count="1" selected="0">
            <x v="0"/>
          </reference>
          <reference field="9" count="1">
            <x v="0"/>
          </reference>
        </references>
      </pivotArea>
    </format>
    <format dxfId="1093">
      <pivotArea dataOnly="0" labelOnly="1" fieldPosition="0">
        <references count="3">
          <reference field="3" count="1" selected="0">
            <x v="1"/>
          </reference>
          <reference field="5" count="1" selected="0">
            <x v="1"/>
          </reference>
          <reference field="9" count="8">
            <x v="1"/>
            <x v="2"/>
            <x v="3"/>
            <x v="4"/>
            <x v="5"/>
            <x v="6"/>
            <x v="7"/>
            <x v="8"/>
          </reference>
        </references>
      </pivotArea>
    </format>
    <format dxfId="1092">
      <pivotArea dataOnly="0" labelOnly="1" fieldPosition="0">
        <references count="3">
          <reference field="3" count="1" selected="0">
            <x v="1"/>
          </reference>
          <reference field="5" count="1" selected="0">
            <x v="2"/>
          </reference>
          <reference field="9" count="1">
            <x v="9"/>
          </reference>
        </references>
      </pivotArea>
    </format>
    <format dxfId="109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090">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089">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08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087">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08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085">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084">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08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082">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08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080">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079">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07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077">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07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075">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074">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07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072">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07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070">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069">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06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067">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066">
      <pivotArea dataOnly="0" labelOnly="1" fieldPosition="0">
        <references count="1">
          <reference field="13" count="0"/>
        </references>
      </pivotArea>
    </format>
    <format dxfId="1065">
      <pivotArea dataOnly="0" labelOnly="1" fieldPosition="0">
        <references count="1">
          <reference field="13" count="0"/>
        </references>
      </pivotArea>
    </format>
    <format dxfId="1064">
      <pivotArea type="all" dataOnly="0" outline="0" fieldPosition="0"/>
    </format>
    <format dxfId="1063">
      <pivotArea outline="0" collapsedLevelsAreSubtotals="1" fieldPosition="0"/>
    </format>
    <format dxfId="1062">
      <pivotArea field="32" type="button" dataOnly="0" labelOnly="1" outline="0" axis="axisRow" fieldPosition="0"/>
    </format>
    <format dxfId="1061">
      <pivotArea dataOnly="0" labelOnly="1" grandRow="1" outline="0" fieldPosition="0"/>
    </format>
    <format dxfId="1060">
      <pivotArea dataOnly="0" labelOnly="1" fieldPosition="0">
        <references count="2">
          <reference field="3" count="0"/>
          <reference field="32" count="0" selected="0"/>
        </references>
      </pivotArea>
    </format>
    <format dxfId="1059">
      <pivotArea dataOnly="0" labelOnly="1" fieldPosition="0">
        <references count="3">
          <reference field="3" count="1" selected="0">
            <x v="0"/>
          </reference>
          <reference field="5" count="1">
            <x v="0"/>
          </reference>
          <reference field="32" count="0" selected="0"/>
        </references>
      </pivotArea>
    </format>
    <format dxfId="1058">
      <pivotArea dataOnly="0" labelOnly="1" fieldPosition="0">
        <references count="3">
          <reference field="3" count="1" selected="0">
            <x v="1"/>
          </reference>
          <reference field="5" count="2">
            <x v="1"/>
            <x v="2"/>
          </reference>
          <reference field="32" count="0" selected="0"/>
        </references>
      </pivotArea>
    </format>
    <format dxfId="1057">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105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1055">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1054">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1053">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1052">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105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1050">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1049">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1048">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1047">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1046">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1045">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1044">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1043">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104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104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104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103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1038">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1037">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103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1035">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103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103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1032">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103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1030">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1029">
      <pivotArea dataOnly="0" labelOnly="1" outline="0" fieldPosition="0">
        <references count="1">
          <reference field="4294967294" count="5">
            <x v="0"/>
            <x v="1"/>
            <x v="2"/>
            <x v="3"/>
            <x v="4"/>
          </reference>
        </references>
      </pivotArea>
    </format>
    <format dxfId="1028">
      <pivotArea dataOnly="0" labelOnly="1" fieldPosition="0">
        <references count="1">
          <reference field="33" count="0"/>
        </references>
      </pivotArea>
    </format>
    <format dxfId="1027">
      <pivotArea dataOnly="0" labelOnly="1" fieldPosition="0">
        <references count="1">
          <reference field="34" count="0"/>
        </references>
      </pivotArea>
    </format>
    <format dxfId="1026">
      <pivotArea dataOnly="0" labelOnly="1" fieldPosition="0">
        <references count="1">
          <reference field="34" count="0"/>
        </references>
      </pivotArea>
    </format>
    <format dxfId="1025">
      <pivotArea dataOnly="0" labelOnly="1" fieldPosition="0">
        <references count="1">
          <reference field="34" count="0"/>
        </references>
      </pivotArea>
    </format>
    <format dxfId="1024">
      <pivotArea dataOnly="0" labelOnly="1" fieldPosition="0">
        <references count="1">
          <reference field="34" count="0"/>
        </references>
      </pivotArea>
    </format>
    <format dxfId="1023">
      <pivotArea dataOnly="0" labelOnly="1" fieldPosition="0">
        <references count="1">
          <reference field="33" count="0"/>
        </references>
      </pivotArea>
    </format>
    <format dxfId="1022">
      <pivotArea dataOnly="0" labelOnly="1" fieldPosition="0">
        <references count="1">
          <reference field="33" count="0"/>
        </references>
      </pivotArea>
    </format>
    <format dxfId="1021">
      <pivotArea dataOnly="0" labelOnly="1" fieldPosition="0">
        <references count="1">
          <reference field="33" count="0"/>
        </references>
      </pivotArea>
    </format>
    <format dxfId="1020">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1019">
      <pivotArea dataOnly="0" labelOnly="1" fieldPosition="0">
        <references count="4">
          <reference field="3" count="1" selected="0">
            <x v="0"/>
          </reference>
          <reference field="5" count="1" selected="0">
            <x v="0"/>
          </reference>
          <reference field="32" count="0" selected="0"/>
          <reference field="33" count="1">
            <x v="0"/>
          </reference>
        </references>
      </pivotArea>
    </format>
    <format dxfId="1018">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1017">
      <pivotArea dataOnly="0" labelOnly="1" fieldPosition="0">
        <references count="4">
          <reference field="3" count="1" selected="0">
            <x v="0"/>
          </reference>
          <reference field="5" count="1" selected="0">
            <x v="0"/>
          </reference>
          <reference field="32" count="0" selected="0"/>
          <reference field="33" count="1">
            <x v="1"/>
          </reference>
        </references>
      </pivotArea>
    </format>
    <format dxfId="1016">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1015">
      <pivotArea dataOnly="0" labelOnly="1" fieldPosition="0">
        <references count="4">
          <reference field="3" count="1" selected="0">
            <x v="1"/>
          </reference>
          <reference field="5" count="1" selected="0">
            <x v="1"/>
          </reference>
          <reference field="32" count="0" selected="0"/>
          <reference field="33" count="1">
            <x v="0"/>
          </reference>
        </references>
      </pivotArea>
    </format>
    <format dxfId="1014">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1013">
      <pivotArea dataOnly="0" labelOnly="1" fieldPosition="0">
        <references count="4">
          <reference field="3" count="1" selected="0">
            <x v="1"/>
          </reference>
          <reference field="5" count="1" selected="0">
            <x v="1"/>
          </reference>
          <reference field="32" count="0" selected="0"/>
          <reference field="33" count="1">
            <x v="1"/>
          </reference>
        </references>
      </pivotArea>
    </format>
    <format dxfId="1012">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1011">
      <pivotArea dataOnly="0" labelOnly="1" fieldPosition="0">
        <references count="4">
          <reference field="3" count="1" selected="0">
            <x v="1"/>
          </reference>
          <reference field="5" count="1" selected="0">
            <x v="1"/>
          </reference>
          <reference field="32" count="0" selected="0"/>
          <reference field="33" count="1">
            <x v="2"/>
          </reference>
        </references>
      </pivotArea>
    </format>
    <format dxfId="1010">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1009">
      <pivotArea dataOnly="0" labelOnly="1" fieldPosition="0">
        <references count="4">
          <reference field="3" count="1" selected="0">
            <x v="1"/>
          </reference>
          <reference field="5" count="1" selected="0">
            <x v="1"/>
          </reference>
          <reference field="32" count="0" selected="0"/>
          <reference field="33" count="1">
            <x v="3"/>
          </reference>
        </references>
      </pivotArea>
    </format>
    <format dxfId="1008">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1007">
      <pivotArea dataOnly="0" labelOnly="1" fieldPosition="0">
        <references count="4">
          <reference field="3" count="1" selected="0">
            <x v="1"/>
          </reference>
          <reference field="5" count="1" selected="0">
            <x v="2"/>
          </reference>
          <reference field="32" count="0" selected="0"/>
          <reference field="33" count="1">
            <x v="2"/>
          </reference>
        </references>
      </pivotArea>
    </format>
    <format dxfId="1006">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005">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1004">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003">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1002">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001">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1000">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99">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998">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97">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996">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95">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994">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93">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992">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91">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990">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89">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988">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87">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98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85">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984">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983">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982">
      <pivotArea dataOnly="0" labelOnly="1" fieldPosition="0">
        <references count="1">
          <reference field="32" count="0"/>
        </references>
      </pivotArea>
    </format>
    <format dxfId="981">
      <pivotArea collapsedLevelsAreSubtotals="1" fieldPosition="0">
        <references count="1">
          <reference field="32" count="0"/>
        </references>
      </pivotArea>
    </format>
    <format dxfId="980">
      <pivotArea dataOnly="0" labelOnly="1" fieldPosition="0">
        <references count="1">
          <reference field="32" count="0"/>
        </references>
      </pivotArea>
    </format>
    <format dxfId="979">
      <pivotArea dataOnly="0" labelOnly="1" fieldPosition="0">
        <references count="1">
          <reference field="13" count="0"/>
        </references>
      </pivotArea>
    </format>
    <format dxfId="97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97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97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97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97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97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972">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97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97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96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968">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96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966">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96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9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9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9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9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96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95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9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9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95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95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954">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95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952">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95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950">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94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94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94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94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94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94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94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94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94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94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9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93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93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93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93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93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93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93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93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930">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2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9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9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9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92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2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92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91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1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91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1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91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1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91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1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91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0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908">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0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90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0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90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0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90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0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90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9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98">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9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96">
      <pivotArea dataOnly="0" labelOnly="1" fieldPosition="0">
        <references count="1">
          <reference field="11" count="0"/>
        </references>
      </pivotArea>
    </format>
    <format dxfId="895">
      <pivotArea dataOnly="0" labelOnly="1" fieldPosition="0">
        <references count="1">
          <reference field="11" count="0"/>
        </references>
      </pivotArea>
    </format>
    <format dxfId="894">
      <pivotArea dataOnly="0" labelOnly="1" fieldPosition="0">
        <references count="1">
          <reference field="13" count="0"/>
        </references>
      </pivotArea>
    </format>
    <format dxfId="893">
      <pivotArea dataOnly="0" labelOnly="1" fieldPosition="0">
        <references count="1">
          <reference field="13" count="0"/>
        </references>
      </pivotArea>
    </format>
    <format dxfId="892">
      <pivotArea dataOnly="0" labelOnly="1" fieldPosition="0">
        <references count="1">
          <reference field="34" count="0"/>
        </references>
      </pivotArea>
    </format>
    <format dxfId="891">
      <pivotArea dataOnly="0" labelOnly="1" fieldPosition="0">
        <references count="1">
          <reference field="34" count="0"/>
        </references>
      </pivotArea>
    </format>
    <format dxfId="8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5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5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5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5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5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5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4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84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84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84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84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844">
      <pivotArea dataOnly="0" labelOnly="1" fieldPosition="0">
        <references count="1">
          <reference field="11" count="0"/>
        </references>
      </pivotArea>
    </format>
    <format dxfId="843">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42">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4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40">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3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38">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37">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83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83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83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83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83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83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3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82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28">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827">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2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825">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2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823">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22">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82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20">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81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1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81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1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815">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1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813">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12">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81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10">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80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08">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807">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06">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805">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04">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803">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02">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801">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800">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9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9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9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9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9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9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93">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92">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791">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90">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789">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88">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87">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8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85">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84">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83">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82">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8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8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79">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7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777">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76">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75">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74">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773">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72">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771">
      <pivotArea outline="0" collapsedLevelsAreSubtotals="1" fieldPosition="0"/>
    </format>
    <format dxfId="77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76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76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76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766">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08277B-4F95-40CF-8FB5-DC4D7924AD4F}"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J20" firstHeaderRow="0" firstDataRow="1" firstDataCol="1"/>
  <pivotFields count="50">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8">
    <i>
      <x/>
    </i>
    <i i="1">
      <x v="1"/>
    </i>
    <i i="2">
      <x v="2"/>
    </i>
    <i i="3">
      <x v="3"/>
    </i>
    <i i="4">
      <x v="4"/>
    </i>
    <i i="5">
      <x v="5"/>
    </i>
    <i i="6">
      <x v="6"/>
    </i>
    <i i="7">
      <x v="7"/>
    </i>
  </colItems>
  <dataFields count="8">
    <dataField name="Sum of GUP 1" fld="42" baseField="0" baseItem="0"/>
    <dataField name="Sum of TUP 1" fld="43" baseField="0" baseItem="0"/>
    <dataField name="Sum of GUP 2" fld="44" baseField="0" baseItem="0"/>
    <dataField name="Sum of GUP 3" fld="45" baseField="0" baseItem="0"/>
    <dataField name="Sum of GUP 4" fld="46" baseField="0" baseItem="0"/>
    <dataField name="Sum of GUP 5" fld="47" baseField="0" baseItem="0"/>
    <dataField name="Sum of TUP 2 (1)" fld="48" baseField="0" baseItem="0"/>
    <dataField name="Sum of TUP 2 (2)" fld="49" baseField="0" baseItem="0"/>
  </dataFields>
  <formats count="15">
    <format dxfId="765">
      <pivotArea outline="0" collapsedLevelsAreSubtotals="1" fieldPosition="0"/>
    </format>
    <format dxfId="764">
      <pivotArea type="all" dataOnly="0" outline="0" fieldPosition="0"/>
    </format>
    <format dxfId="763">
      <pivotArea outline="0" collapsedLevelsAreSubtotals="1" fieldPosition="0"/>
    </format>
    <format dxfId="762">
      <pivotArea field="30" type="button" dataOnly="0" labelOnly="1" outline="0" axis="axisRow" fieldPosition="0"/>
    </format>
    <format dxfId="761">
      <pivotArea dataOnly="0" labelOnly="1" grandRow="1" outline="0" fieldPosition="0"/>
    </format>
    <format dxfId="760">
      <pivotArea dataOnly="0" labelOnly="1" outline="0" fieldPosition="0">
        <references count="1">
          <reference field="4294967294" count="4">
            <x v="0"/>
            <x v="1"/>
            <x v="2"/>
            <x v="3"/>
          </reference>
        </references>
      </pivotArea>
    </format>
    <format dxfId="759">
      <pivotArea dataOnly="0" labelOnly="1" fieldPosition="0">
        <references count="1">
          <reference field="30" count="0"/>
        </references>
      </pivotArea>
    </format>
    <format dxfId="758">
      <pivotArea collapsedLevelsAreSubtotals="1" fieldPosition="0">
        <references count="1">
          <reference field="30" count="1">
            <x v="0"/>
          </reference>
        </references>
      </pivotArea>
    </format>
    <format dxfId="757">
      <pivotArea dataOnly="0" labelOnly="1" fieldPosition="0">
        <references count="1">
          <reference field="30" count="1">
            <x v="0"/>
          </reference>
        </references>
      </pivotArea>
    </format>
    <format dxfId="756">
      <pivotArea collapsedLevelsAreSubtotals="1" fieldPosition="0">
        <references count="1">
          <reference field="30" count="1">
            <x v="1"/>
          </reference>
        </references>
      </pivotArea>
    </format>
    <format dxfId="755">
      <pivotArea dataOnly="0" labelOnly="1" fieldPosition="0">
        <references count="1">
          <reference field="30" count="1">
            <x v="1"/>
          </reference>
        </references>
      </pivotArea>
    </format>
    <format dxfId="754">
      <pivotArea collapsedLevelsAreSubtotals="1" fieldPosition="0">
        <references count="1">
          <reference field="30" count="1">
            <x v="2"/>
          </reference>
        </references>
      </pivotArea>
    </format>
    <format dxfId="753">
      <pivotArea dataOnly="0" labelOnly="1" fieldPosition="0">
        <references count="1">
          <reference field="30" count="1">
            <x v="2"/>
          </reference>
        </references>
      </pivotArea>
    </format>
    <format dxfId="752">
      <pivotArea collapsedLevelsAreSubtotals="1" fieldPosition="0">
        <references count="1">
          <reference field="30" count="1">
            <x v="3"/>
          </reference>
        </references>
      </pivotArea>
    </format>
    <format dxfId="751">
      <pivotArea dataOnly="0" labelOnly="1" fieldPosition="0">
        <references count="1">
          <reference field="3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1263">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1262">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1261">
      <calculatedColumnFormula>_xlfn.TEXTJOIN(" - ",TRUE,Subkoord[[#This Row],[id]],Subkoord[[#This Row],[skrdklpk]])</calculatedColumnFormula>
    </tableColumn>
    <tableColumn id="7" xr3:uid="{BB0E08D1-7433-45E1-9A8E-F09478BEE345}" name="Koordinator" dataDxfId="1260">
      <calculatedColumnFormula array="1">INDEX(Koord[Koordinator],MATCH(1,(Subkoord[[#This Row],[id2]]=Koord[id2])*(Subkoord[[#This Row],[id3]]=Koord[id]),0))</calculatedColumnFormula>
    </tableColumn>
    <tableColumn id="8" xr3:uid="{CE9A8D26-5115-4AB0-A0D6-173532BAC073}" name="Eselon2" dataDxfId="1259">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73" totalsRowShown="0" headerRowDxfId="586" dataDxfId="585" tableBorderDxfId="584">
  <autoFilter ref="B10:O173" xr:uid="{5439E600-4AE6-4A9C-BF96-1F8B4649EF5E}"/>
  <sortState xmlns:xlrd2="http://schemas.microsoft.com/office/spreadsheetml/2017/richdata2" ref="B11:O171">
    <sortCondition ref="C10:C171"/>
  </sortState>
  <tableColumns count="14">
    <tableColumn id="1" xr3:uid="{EA3EA993-E9B8-4175-AE78-56C2DE826084}" name="No" dataDxfId="582" totalsRowDxfId="583" dataCellStyle="Normal 4" totalsRowCellStyle="Normal 4"/>
    <tableColumn id="14" xr3:uid="{39BE1E11-4C0D-43C9-A7CF-CFD7B6D88EC1}" name="Urut" dataDxfId="580" totalsRowDxfId="581" dataCellStyle="Normal 4" totalsRowCellStyle="Normal 4"/>
    <tableColumn id="2" xr3:uid="{55765DF9-9B2D-49B2-8C10-51C6F4795A2B}" name="Nomor SP2D" dataDxfId="578" totalsRowDxfId="579" totalsRowCellStyle="Normal 4"/>
    <tableColumn id="3" xr3:uid="{95F2A4A6-178D-4D09-BEC2-A35DA9DD284C}" name="Tanggal SP2D" dataDxfId="576" totalsRowDxfId="577" totalsRowCellStyle="Normal 4"/>
    <tableColumn id="4" xr3:uid="{1BFC6E15-B107-44FC-880F-0FA398A70437}" name="Nilai SP2D" dataDxfId="574" totalsRowDxfId="575" dataCellStyle="Comma [0]" totalsRowCellStyle="Comma [0]"/>
    <tableColumn id="5" xr3:uid="{BA79B4B6-6D4D-4C40-A794-FBA956D546A8}" name="Jenis SPM" dataDxfId="572" totalsRowDxfId="573" totalsRowCellStyle="Normal 4"/>
    <tableColumn id="6" xr3:uid="{0728F6B3-877B-4801-849D-78A7FD394756}" name="Nomor Invoice" dataDxfId="570" totalsRowDxfId="571" totalsRowCellStyle="Normal 4"/>
    <tableColumn id="7" xr3:uid="{BC8C9A9E-906E-4F73-AA7C-36C21228DCD0}" name="Tanggal Invoice" dataDxfId="568" totalsRowDxfId="569" totalsRowCellStyle="Normal 4"/>
    <tableColumn id="8" xr3:uid="{4F370E97-CC92-41D4-B70A-C2C397F13E5F}" name="Jenis SP2D" dataDxfId="566" totalsRowDxfId="567" totalsRowCellStyle="Normal 4"/>
    <tableColumn id="9" xr3:uid="{5AB0F2BB-729E-4A36-99C2-531506F2E0D4}" name="Deskripsi" dataDxfId="564" totalsRowDxfId="565" totalsRowCellStyle="Normal 4"/>
    <tableColumn id="10" xr3:uid="{E9855FB4-726E-4E0F-A40E-89C5AF4CAAE7}" name="Bagian / Bidang" dataDxfId="562" totalsRowDxfId="563" dataCellStyle="Normal 4" totalsRowCellStyle="Normal 4"/>
    <tableColumn id="11" xr3:uid="{07CEE088-AC9A-406D-AECA-D9F23626D4D5}" name="Subbagian / Subbidang" dataDxfId="560" totalsRowDxfId="561" dataCellStyle="Normal 4" totalsRowCellStyle="Normal 4"/>
    <tableColumn id="13" xr3:uid="{7D701C80-B1AD-4D78-B3C3-525A71261916}" name="Status Realisasi" dataDxfId="559" dataCellStyle="Normal 4"/>
    <tableColumn id="12" xr3:uid="{BE916C21-2F59-4DE9-9BDF-707A1C1956B2}" name="all" dataDxfId="558"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750" dataDxfId="749">
  <autoFilter ref="A3:BA143" xr:uid="{0C46C9EE-53F2-428C-9BE4-AA19FA2987DF}"/>
  <tableColumns count="53">
    <tableColumn id="1" xr3:uid="{A2BC3788-B1CE-4A3F-B6F3-D1D27F201210}" name="kddept" dataDxfId="748"/>
    <tableColumn id="2" xr3:uid="{2DB0BCF7-353A-4057-BFD0-5A9AFD7AD377}" name="kdunit" dataDxfId="747"/>
    <tableColumn id="3" xr3:uid="{6BCC3689-465C-41AB-AA41-B61148952378}" name="kdprogram" dataDxfId="746"/>
    <tableColumn id="4" xr3:uid="{2A5A7B58-839E-4216-A115-BA31451747CC}" name="Program" dataDxfId="745"/>
    <tableColumn id="5" xr3:uid="{B90B5CFD-D8F4-48C4-81DF-60CCA43D8B33}" name="kdgiat" dataDxfId="744"/>
    <tableColumn id="6" xr3:uid="{665306DE-5004-4796-BA54-AF3E581B23DE}" name="Kegiatan" dataDxfId="743"/>
    <tableColumn id="7" xr3:uid="{896282BA-49FB-4172-920C-20AE0DBD436D}" name="kdoutput" dataDxfId="742"/>
    <tableColumn id="8" xr3:uid="{81ACE6BC-C81E-44B5-AC16-FA7339E6C95D}" name="Output" dataDxfId="741"/>
    <tableColumn id="9" xr3:uid="{B9A79FBA-908D-418C-864B-733536EBB6AD}" name="kdsoutput" dataDxfId="740"/>
    <tableColumn id="10" xr3:uid="{8730A0E5-24CD-4DD0-97C9-7EB5897F6937}" name="SubOutput" dataDxfId="739"/>
    <tableColumn id="11" xr3:uid="{A1213678-0772-43DE-9A68-4CCAC2CAB97F}" name="kdkmpnen" dataDxfId="738"/>
    <tableColumn id="12" xr3:uid="{13F01672-806F-47CD-8E7B-DBEF02211C49}" name="Komponen" dataDxfId="737"/>
    <tableColumn id="13" xr3:uid="{EE24777D-4C50-49CF-9D51-B1D10E6B59C5}" name="kdskmpnen" dataDxfId="736"/>
    <tableColumn id="14" xr3:uid="{6B16732C-65AB-40BC-9BE7-38F27B545CA4}" name="SubKomponen" dataDxfId="735"/>
    <tableColumn id="15" xr3:uid="{9DE11426-CAD6-4307-AF79-5BA31FE425C4}" name="kdakun" dataDxfId="734"/>
    <tableColumn id="16" xr3:uid="{95D2AD80-8C0A-4582-9C73-FCD7148568BD}" name="Akun" dataDxfId="733"/>
    <tableColumn id="17" xr3:uid="{1099A73B-6EFE-4758-9112-C98BE9AF6233}" name="Pagu" dataDxfId="732" dataCellStyle="Comma [0]">
      <calculatedColumnFormula array="1">SUM(_xlfn._xlws.FILTER(DIPA2[PaguRevisi],DIPA2[Akun]=SP2D[[#This Row],[Kode Akun]],0))</calculatedColumnFormula>
    </tableColumn>
    <tableColumn id="18" xr3:uid="{F5761B11-9E81-4F7C-BD95-CB52A5BA049C}" name="Pagu Semula" dataDxfId="731" dataCellStyle="Comma [0]"/>
    <tableColumn id="52" xr3:uid="{756AF1CD-7E6D-49D5-9982-55502306D24E}" name="Blokir AA ke 1" dataDxfId="730" dataCellStyle="Comma [0]"/>
    <tableColumn id="53" xr3:uid="{6DF30DE6-28F7-4458-802A-BCB387ECC2BB}" name="Blokir AA ke 2" dataDxfId="729" dataCellStyle="Comma [0]">
      <calculatedColumnFormula>SP2D[[#This Row],[Pagu Semula]]-SP2D[[#This Row],[Pagu]]</calculatedColumnFormula>
    </tableColumn>
    <tableColumn id="19" xr3:uid="{D85464D1-34A4-4D62-B202-AA5B44380AE8}" name="Jan" dataDxfId="728">
      <calculatedColumnFormula>SUM('PER BULAN'!J92:L92)</calculatedColumnFormula>
    </tableColumn>
    <tableColumn id="20" xr3:uid="{59AFB7C3-9561-4F72-BA75-233CA8574E0E}" name="Feb" dataDxfId="727"/>
    <tableColumn id="21" xr3:uid="{339941D9-EB6A-4D9E-AAFD-8BC87914D9CD}" name="Mar" dataDxfId="726"/>
    <tableColumn id="22" xr3:uid="{4DB8271D-A562-4BDB-AF86-6803F5A0D6B6}" name="Apr" dataDxfId="725"/>
    <tableColumn id="23" xr3:uid="{A6296B83-2C3A-4B7B-B349-C7B81EF82E20}" name="Mei" dataDxfId="724"/>
    <tableColumn id="24" xr3:uid="{E35B9BB8-2C59-4938-BD17-AB6DA6D49836}" name="Jun" dataDxfId="723"/>
    <tableColumn id="25" xr3:uid="{0B56CE2F-22F5-4935-B179-82B908FFA45C}" name="Jul" dataDxfId="722"/>
    <tableColumn id="26" xr3:uid="{C5C2C340-1544-4521-9059-33AEBE3423A8}" name="Ags" dataDxfId="721"/>
    <tableColumn id="27" xr3:uid="{86511B91-6FBB-44C6-BFE0-FC75035E6D40}" name="Sep" dataDxfId="720"/>
    <tableColumn id="28" xr3:uid="{2C0763CA-B0D1-4434-BD74-3778A7A332E6}" name="Okt" dataDxfId="719"/>
    <tableColumn id="29" xr3:uid="{1D2AE206-2433-4713-B023-179D69FA3E25}" name="Nov" dataDxfId="718"/>
    <tableColumn id="30" xr3:uid="{C1E5584B-01F1-4175-8FA8-D285D3701F44}" name="Des" dataDxfId="717"/>
    <tableColumn id="31" xr3:uid="{3BEE2055-AE9D-40FE-AE62-8E331B1816BF}" name="eselon2" dataDxfId="716"/>
    <tableColumn id="32" xr3:uid="{A002471B-4101-4577-BC3A-704405B733FB}" name="koordinator" dataDxfId="715"/>
    <tableColumn id="33" xr3:uid="{D023DF90-D6C9-428C-971B-7DDF8C7D5F03}" name="Subkoordinator" dataDxfId="714"/>
    <tableColumn id="34" xr3:uid="{FE48F7A1-0956-4644-89C0-EA36C183F595}" name="Jns_Belanja" dataDxfId="713"/>
    <tableColumn id="35" xr3:uid="{BE3FC102-4A2C-4D3D-B515-5052A70FFDEB}" name="satker" dataDxfId="712"/>
    <tableColumn id="36" xr3:uid="{C44DBFA7-2D15-465C-8D00-F06B638B5ED4}" name="Realisasi" dataDxfId="711" dataCellStyle="Comma [0]">
      <calculatedColumnFormula>SUM(U4:AF4)</calculatedColumnFormula>
    </tableColumn>
    <tableColumn id="37" xr3:uid="{DE361282-2992-4D2B-992E-4096AF6D8E40}" name="Real %" dataDxfId="710">
      <calculatedColumnFormula>IFERROR(AL4/Q4*100,0)</calculatedColumnFormula>
    </tableColumn>
    <tableColumn id="38" xr3:uid="{EEF961EF-FF6A-40D5-A0B6-ED634EBADFBC}" name="Sisa" dataDxfId="709" dataCellStyle="Comma [0]">
      <calculatedColumnFormula>Q4-AL4</calculatedColumnFormula>
    </tableColumn>
    <tableColumn id="39" xr3:uid="{85643851-7A65-42C2-A08E-B6A7A8DA03F0}" name="Real %2" dataDxfId="708">
      <calculatedColumnFormula>IFERROR(AN4/Q4*100,0)</calculatedColumnFormula>
    </tableColumn>
    <tableColumn id="40" xr3:uid="{9E4F31F6-8A80-4410-976A-8EEA7368EA20}" name="Kode Akun" dataDxfId="707">
      <calculatedColumnFormula>_xlfn.TEXTJOIN(".",TRUE,C4,E4,G4,I4,K4,M4,O4)</calculatedColumnFormula>
    </tableColumn>
    <tableColumn id="41" xr3:uid="{0FDDBC90-1CC8-4C07-8122-50D2362EF739}" name="Status Covid" dataDxfId="706">
      <calculatedColumnFormula>IF(ISNUMBER(SEARCH("COVID",SP2D[[#This Row],[Akun]])),"COVID","Non COVID")</calculatedColumnFormula>
    </tableColumn>
    <tableColumn id="42" xr3:uid="{3D9BDB80-A0C7-4422-BA12-733AF91AF0E5}" name="Status Realisasi" dataDxfId="705">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704">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703"/>
    <tableColumn id="45" xr3:uid="{4B827D21-BED7-493A-98C2-BF92D20ACB6E}" name="TUP 1" dataDxfId="702"/>
    <tableColumn id="46" xr3:uid="{1A108E85-F9A8-4C5A-B9B2-E8E733C3D3EB}" name="GUP 2" dataDxfId="701"/>
    <tableColumn id="47" xr3:uid="{197D7FA7-EA56-478F-AC63-0B5D47D9765B}" name="GUP 3" dataDxfId="700"/>
    <tableColumn id="48" xr3:uid="{4614C9FA-2AB0-4D2D-AA55-13680C8EE8C5}" name="GUP 4" dataDxfId="699"/>
    <tableColumn id="49" xr3:uid="{9B9C7D3C-BD3B-413C-9633-5B1476894793}" name="GUP 5" dataDxfId="698"/>
    <tableColumn id="50" xr3:uid="{7F81D278-F155-4728-BD7E-4DD553D05EAC}" name="TUP 2 (1)" dataDxfId="697"/>
    <tableColumn id="51" xr3:uid="{40F6E74E-B62F-4684-A934-E1FBCD0EDECE}" name="TUP 2 (2)" dataDxfId="69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695" dataDxfId="694">
  <autoFilter ref="A3:BA15" xr:uid="{0218787B-FAFB-4E31-BAF7-C07090CCABB5}"/>
  <tableColumns count="53">
    <tableColumn id="1" xr3:uid="{80105D8C-B6CC-4C67-A0D5-A51108634790}" name="kddept" dataDxfId="693"/>
    <tableColumn id="2" xr3:uid="{79F788C4-BE24-4442-B4A5-787846FC3242}" name="kdunit" dataDxfId="692"/>
    <tableColumn id="3" xr3:uid="{F5607343-B1C5-442F-9F62-66DAB70DF978}" name="kdprogram" dataDxfId="691"/>
    <tableColumn id="4" xr3:uid="{67275D4D-383A-492A-9FB0-586605819489}" name="Program" dataDxfId="690"/>
    <tableColumn id="5" xr3:uid="{7E089115-5279-4639-B5C8-B5B142691A5E}" name="kdgiat" dataDxfId="689"/>
    <tableColumn id="6" xr3:uid="{86B452FA-0999-4C13-97B6-34303305E62C}" name="Kegiatan" dataDxfId="688"/>
    <tableColumn id="7" xr3:uid="{098073A3-0D75-44F5-98F3-9D58ABD0F494}" name="kdoutput" dataDxfId="687"/>
    <tableColumn id="8" xr3:uid="{DD29FD42-F6B4-48DB-ABD5-0B9035D7350B}" name="Output" dataDxfId="686"/>
    <tableColumn id="9" xr3:uid="{DD7BECAC-0FA2-4D83-AFED-EA1423BBAE3B}" name="kdsoutput" dataDxfId="685"/>
    <tableColumn id="10" xr3:uid="{41EDA2EB-4FE5-485A-9A85-BC1CF6F808E6}" name="SubOutput" dataDxfId="684"/>
    <tableColumn id="11" xr3:uid="{0C0092F1-3B9A-4262-87F2-DF8809ADB48A}" name="kdkmpnen" dataDxfId="683"/>
    <tableColumn id="12" xr3:uid="{7F02E6EE-4073-428C-A01E-C7F9404E22AB}" name="Komponen" dataDxfId="682"/>
    <tableColumn id="13" xr3:uid="{D5E22675-8A73-40C8-BA6D-4D22AD4BD880}" name="kdskmpnen" dataDxfId="681"/>
    <tableColumn id="14" xr3:uid="{21C5F2BB-4B18-41F3-8B47-CA7C999E1D95}" name="SubKomponen" dataDxfId="680"/>
    <tableColumn id="15" xr3:uid="{7EF6CEAB-DE31-4DEA-B8DF-BDD5AD5C3604}" name="kdakun" dataDxfId="679"/>
    <tableColumn id="16" xr3:uid="{897A6630-15AA-4E92-AF17-989B50249F0B}" name="Akun" dataDxfId="678"/>
    <tableColumn id="17" xr3:uid="{F469B670-C97B-4C45-BFA1-11EC2F3BBE30}" name="Pagu" dataDxfId="677" dataCellStyle="Comma [0]">
      <calculatedColumnFormula array="1">SUM(_xlfn._xlws.FILTER(DIPA2[PaguRevisi],DIPA2[Akun]=SP2D_GAJI[[#This Row],[Kode Akun]],0))</calculatedColumnFormula>
    </tableColumn>
    <tableColumn id="18" xr3:uid="{331F462C-70B7-43E1-8F2C-778E95ACAEA1}" name="Pagu Semula" dataDxfId="676" dataCellStyle="Comma [0]"/>
    <tableColumn id="52" xr3:uid="{2F016D06-D133-47D7-B695-4667F3490729}" name="Blokir AA ke 1" dataDxfId="675" dataCellStyle="Comma [0]"/>
    <tableColumn id="53" xr3:uid="{165EF6BA-1776-4571-B8AD-920C3A030766}" name="Blokir AA ke 2" dataDxfId="674" dataCellStyle="Comma [0]"/>
    <tableColumn id="19" xr3:uid="{D0C2276A-7026-4576-85D7-919441521A6C}" name="Jan" dataDxfId="673">
      <calculatedColumnFormula>SUM('PER BULAN'!J238:L238)</calculatedColumnFormula>
    </tableColumn>
    <tableColumn id="20" xr3:uid="{A9EF8502-8C6E-4766-AD68-658B4D1E747D}" name="Feb" dataDxfId="672">
      <calculatedColumnFormula>SUM('PER BULAN'!M238:O238)</calculatedColumnFormula>
    </tableColumn>
    <tableColumn id="21" xr3:uid="{746DC00C-C89E-4DDA-BBC9-1D134830D029}" name="Mar" dataDxfId="671">
      <calculatedColumnFormula>SUM('PER BULAN'!P238:R238)</calculatedColumnFormula>
    </tableColumn>
    <tableColumn id="22" xr3:uid="{05F5FC17-0CBB-4151-889F-60CFCD7C34DD}" name="Apr" dataDxfId="670">
      <calculatedColumnFormula>SUM('PER BULAN'!S238:U238)</calculatedColumnFormula>
    </tableColumn>
    <tableColumn id="23" xr3:uid="{C42FB8F4-7097-4474-A778-F18CBF2B07B1}" name="Mei" dataDxfId="669">
      <calculatedColumnFormula>SUM('PER BULAN'!V238:X238)</calculatedColumnFormula>
    </tableColumn>
    <tableColumn id="24" xr3:uid="{F4454E89-E22D-410A-82EB-5F0DC627F170}" name="Jun" dataDxfId="668">
      <calculatedColumnFormula>SUM('PER BULAN'!Y238:AA238)</calculatedColumnFormula>
    </tableColumn>
    <tableColumn id="25" xr3:uid="{2AA6CCE9-FDEE-48C4-8B21-D75DF41DA271}" name="Jul" dataDxfId="667">
      <calculatedColumnFormula>SUM('PER BULAN'!AB238:AD238)</calculatedColumnFormula>
    </tableColumn>
    <tableColumn id="26" xr3:uid="{7FACB806-C5A3-48BA-9D07-F51AF74D0E09}" name="Ags" dataDxfId="666">
      <calculatedColumnFormula>SUM('PER BULAN'!AE238:AG238)</calculatedColumnFormula>
    </tableColumn>
    <tableColumn id="27" xr3:uid="{C4B9A446-705C-463E-B7DA-7A0740B8C905}" name="Sep" dataDxfId="665">
      <calculatedColumnFormula>SUM('PER BULAN'!AH238:AJ238)</calculatedColumnFormula>
    </tableColumn>
    <tableColumn id="28" xr3:uid="{5AAFBEBC-03FC-4E4A-83F9-E67BEB3D5981}" name="Okt" dataDxfId="664">
      <calculatedColumnFormula>SUM('PER BULAN'!AK238:AM238)</calculatedColumnFormula>
    </tableColumn>
    <tableColumn id="29" xr3:uid="{4906B5CD-CEE5-4A98-B22E-AC637B561A64}" name="Nov" dataDxfId="663">
      <calculatedColumnFormula>SUM('PER BULAN'!AN238:AP238)</calculatedColumnFormula>
    </tableColumn>
    <tableColumn id="30" xr3:uid="{CE67CAFB-1501-4D81-9EF9-85B2D20132C0}" name="Des" dataDxfId="662">
      <calculatedColumnFormula>SUM('PER BULAN'!AQ238:AS238)</calculatedColumnFormula>
    </tableColumn>
    <tableColumn id="31" xr3:uid="{68D2BC5B-AA42-4205-92C2-22EE6E2A455F}" name="eselon2" dataDxfId="661"/>
    <tableColumn id="32" xr3:uid="{BA84A518-BE39-4F09-B013-2F165F75B2C4}" name="koordinator" dataDxfId="660"/>
    <tableColumn id="33" xr3:uid="{056A603E-AF28-4BB5-BFC3-BCB9B9C999CA}" name="Subkoordinator" dataDxfId="659"/>
    <tableColumn id="34" xr3:uid="{D4673DE9-E399-427A-A7FA-55224584489E}" name="Jns_Belanja" dataDxfId="658"/>
    <tableColumn id="35" xr3:uid="{A8855799-45D2-43E8-83A2-AA11614A2AB5}" name="satker" dataDxfId="657"/>
    <tableColumn id="36" xr3:uid="{7FE40A5B-7697-4CF3-B532-E8DEA6942EA1}" name="Realisasi" dataDxfId="656" dataCellStyle="Comma [0]">
      <calculatedColumnFormula>SUM(U4:AF4)</calculatedColumnFormula>
    </tableColumn>
    <tableColumn id="37" xr3:uid="{485221C0-0D00-438E-BDE5-343CD7B9DEA0}" name="Real %" dataDxfId="655">
      <calculatedColumnFormula>IFERROR(AL4/Q4*100,0)</calculatedColumnFormula>
    </tableColumn>
    <tableColumn id="38" xr3:uid="{8B93FCA3-495B-49BB-8273-31AF01368B83}" name="Sisa" dataDxfId="654" dataCellStyle="Comma [0]">
      <calculatedColumnFormula>Q4-AL4</calculatedColumnFormula>
    </tableColumn>
    <tableColumn id="39" xr3:uid="{E92777FB-21B0-4FEC-B74B-99E5CBE0B3F9}" name="Real %2" dataDxfId="653">
      <calculatedColumnFormula>IFERROR(AN4/Q4*100,0)</calculatedColumnFormula>
    </tableColumn>
    <tableColumn id="40" xr3:uid="{AF8769F5-B4D9-4C85-9DA8-FD27BDBB1A6C}" name="Kode Akun" dataDxfId="652">
      <calculatedColumnFormula>_xlfn.TEXTJOIN(".",TRUE,C4,E4,G4,I4,K4,M4,O4)</calculatedColumnFormula>
    </tableColumn>
    <tableColumn id="41" xr3:uid="{3D3B549A-EABA-490D-9DA6-37523724BE61}" name="Status Covid" dataDxfId="651">
      <calculatedColumnFormula>IF(ISNUMBER(SEARCH("COVID",SP2D_GAJI[[#This Row],[Akun]])),"COVID","Non COVID")</calculatedColumnFormula>
    </tableColumn>
    <tableColumn id="42" xr3:uid="{184FBB69-68B1-4E38-891F-51917E4DC587}" name="Status Realisasi" dataDxfId="650">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649">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648"/>
    <tableColumn id="45" xr3:uid="{9C1934D8-99CF-4988-9800-1BFA557120E5}" name="TUP 1" dataDxfId="647"/>
    <tableColumn id="46" xr3:uid="{A4CF8F3D-CD3D-44F3-9820-88903E09EF80}" name="GUP 2" dataDxfId="646"/>
    <tableColumn id="47" xr3:uid="{099E42CD-67D0-44DB-B845-55EC12EB7D6E}" name="GUP 3" dataDxfId="645"/>
    <tableColumn id="48" xr3:uid="{B5E0BACE-F6DB-4087-90C7-B2D17ED966B6}" name="GUP 4" dataDxfId="644"/>
    <tableColumn id="49" xr3:uid="{BDAA27ED-0F52-48FE-B061-0279E351DC40}" name="GUP 5" dataDxfId="643"/>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642" headerRowBorderDxfId="641" tableBorderDxfId="640">
  <autoFilter ref="B234:BH250" xr:uid="{A3F03F6D-6A59-461B-A929-C35C787407F3}"/>
  <tableColumns count="59">
    <tableColumn id="1" xr3:uid="{006731C9-F32D-4A40-8CDB-A1548E10C0D4}" name="KODE" dataDxfId="639"/>
    <tableColumn id="2" xr3:uid="{A9307D7A-2701-4752-B274-B25BEF4C5078}" name="URAIAN" dataDxfId="638"/>
    <tableColumn id="3" xr3:uid="{FCCF3154-C285-471C-AC86-6DCF2BB5907D}" name="VOL" dataDxfId="637"/>
    <tableColumn id="4" xr3:uid="{C6A127B2-6CDD-4E0C-AF9D-730F6DDD09BC}" name="SATUAN" dataDxfId="636"/>
    <tableColumn id="5" xr3:uid="{3F90CE26-DF36-4D37-9C47-12A1CEB8D773}" name="Pagu Revisi" dataDxfId="635" dataCellStyle="Comma [0]"/>
    <tableColumn id="6" xr3:uid="{A2F11568-8A8E-4AFC-9F99-BFB17EAEEC9C}" name="Pagu Semula" dataDxfId="634" dataCellStyle="Comma [0]"/>
    <tableColumn id="7" xr3:uid="{B7EE8BCB-D0ED-4450-8EBB-6FD673560D7C}" name="Blokir AA ke 1" dataDxfId="633" dataCellStyle="Comma [0]"/>
    <tableColumn id="8" xr3:uid="{9EDAF3A8-6D97-400A-848D-D47BF571F43E}" name="Blokir AA ke 2" dataDxfId="632" dataCellStyle="Comma [0]">
      <calculatedColumnFormula>G235-F235</calculatedColumnFormula>
    </tableColumn>
    <tableColumn id="9" xr3:uid="{63315451-3A2B-4613-A63E-C9450FC73D6C}" name="JANUARI" dataDxfId="631" dataCellStyle="Comma [0]"/>
    <tableColumn id="10" xr3:uid="{16EC35FF-13CF-4870-920C-AAB913E770C7}" name="Column4" dataDxfId="630" dataCellStyle="Comma [0]"/>
    <tableColumn id="11" xr3:uid="{729D99E3-0A52-4B2E-A9C0-DE02E05ED840}" name="Column5" dataDxfId="629" dataCellStyle="Comma [0]"/>
    <tableColumn id="12" xr3:uid="{AB374DB6-7598-4C30-A85F-F63F132B7BA1}" name="FEBRUARI" dataDxfId="628" dataCellStyle="Normal 5"/>
    <tableColumn id="13" xr3:uid="{2D1151EC-AD11-4F11-9D1D-698FBA569F26}" name="Column6" dataDxfId="627" dataCellStyle="Comma [0]"/>
    <tableColumn id="14" xr3:uid="{C25F446B-37CA-4C46-8DE3-5CBDF83F99DF}" name="Column7" dataDxfId="626" dataCellStyle="Comma [0]"/>
    <tableColumn id="15" xr3:uid="{2B771376-C41A-4F53-BC5F-03146D6453D2}" name="MARET" dataDxfId="625" dataCellStyle="Normal 5"/>
    <tableColumn id="16" xr3:uid="{26AE15C1-AF2B-46A7-ADBC-F20B8677DE0D}" name="Column8" dataDxfId="624" dataCellStyle="Comma [0]"/>
    <tableColumn id="17" xr3:uid="{DFBDA772-EF7F-41E6-9DFB-E477C75E4388}" name="Column9" dataDxfId="623" dataCellStyle="Comma [0]"/>
    <tableColumn id="18" xr3:uid="{041FDBBB-13D6-40FC-B497-A1E84A4034E8}" name="APRIL" dataDxfId="622" dataCellStyle="Normal 5"/>
    <tableColumn id="19" xr3:uid="{6168E056-C134-418C-BAA8-73541257F097}" name="Column10" dataDxfId="621" dataCellStyle="Comma [0]"/>
    <tableColumn id="20" xr3:uid="{ECE7E801-4FE3-4CB0-B83E-AEDB75DF320F}" name="Column11" dataDxfId="620" dataCellStyle="Comma [0]"/>
    <tableColumn id="21" xr3:uid="{44FEDD28-091B-4680-A5C6-30F0F745EBBE}" name="MEI" dataDxfId="619"/>
    <tableColumn id="22" xr3:uid="{34244EC1-125A-49F5-8D4B-77C41595EB78}" name="Column12" dataDxfId="618" dataCellStyle="Comma [0]"/>
    <tableColumn id="23" xr3:uid="{695AAE0C-3DE2-4C12-A556-529DF387A4B7}" name="Column13" dataDxfId="617" dataCellStyle="Comma [0]"/>
    <tableColumn id="24" xr3:uid="{EE45409D-1AE3-4403-87A9-813634308CF5}" name="JUNI" dataDxfId="616" dataCellStyle="Comma [0]"/>
    <tableColumn id="25" xr3:uid="{5F933D02-7432-46D2-889E-A346FBEB81C1}" name="Column14" dataDxfId="615" dataCellStyle="Comma [0]"/>
    <tableColumn id="26" xr3:uid="{E340073A-FA27-4696-9028-62785F671D51}" name="Column15" dataDxfId="614" dataCellStyle="Comma [0]"/>
    <tableColumn id="27" xr3:uid="{3C80F9B3-4335-4BCB-A2DB-8F873DB578A1}" name="JULI" dataDxfId="613" dataCellStyle="Comma [0]"/>
    <tableColumn id="28" xr3:uid="{0B52D128-430F-4AE8-AF42-C77BCC1DE967}" name="Column16" dataDxfId="612" dataCellStyle="Comma [0]"/>
    <tableColumn id="29" xr3:uid="{9AA400AA-D217-47D3-8A29-9AD35366E1E5}" name="Column17" dataDxfId="611" dataCellStyle="Comma [0]"/>
    <tableColumn id="30" xr3:uid="{7A16243F-CC4F-4632-957C-54DF727D1493}" name="AGUSTUS" dataDxfId="610" dataCellStyle="Comma [0]"/>
    <tableColumn id="31" xr3:uid="{F53FA9C1-6878-4D23-96E5-3E23407112F3}" name="Column18" dataDxfId="609" dataCellStyle="Comma [0]"/>
    <tableColumn id="32" xr3:uid="{56226304-FD99-45E9-B47F-4A0989BC4182}" name="Column19" dataDxfId="608" dataCellStyle="Comma [0]"/>
    <tableColumn id="33" xr3:uid="{918328DE-54FE-4538-8A7A-0C76AA1E939A}" name="SEPTEMBER" dataDxfId="607" dataCellStyle="Comma [0]"/>
    <tableColumn id="34" xr3:uid="{D961E510-3ED4-4CF9-A7AF-9649B976EA3E}" name="Column20" dataDxfId="606" dataCellStyle="Comma [0]"/>
    <tableColumn id="35" xr3:uid="{91DB1DE3-8092-461D-A09A-AE460872B6BA}" name="Column21" dataDxfId="605" dataCellStyle="Comma [0]"/>
    <tableColumn id="36" xr3:uid="{CE58699D-2136-4257-BAD1-7398B982526B}" name="OKTOBER" dataDxfId="604" dataCellStyle="Comma [0]"/>
    <tableColumn id="37" xr3:uid="{1F4E6F0B-F4F1-4921-A7D5-72862BF6A622}" name="Column22" dataDxfId="603" dataCellStyle="Comma [0]"/>
    <tableColumn id="38" xr3:uid="{B76BAD65-739D-4E3A-852D-D26916987757}" name="Column23" dataDxfId="602" dataCellStyle="Comma [0]"/>
    <tableColumn id="39" xr3:uid="{12105BE2-33F4-4402-9A97-62E8F6987E7A}" name="NOVEMBER" dataDxfId="601" dataCellStyle="Comma [0]"/>
    <tableColumn id="40" xr3:uid="{C58384D0-120F-4BEC-B941-E06587266945}" name="Column24" dataDxfId="600" dataCellStyle="Comma [0]"/>
    <tableColumn id="41" xr3:uid="{A058820D-F058-4589-9874-D1A00D172D60}" name="Column25" dataDxfId="599" dataCellStyle="Comma [0]"/>
    <tableColumn id="42" xr3:uid="{CE32C95C-C534-407E-B4B0-C5BE507ACC7B}" name="DESEMBER" dataDxfId="598" dataCellStyle="Comma [0]"/>
    <tableColumn id="43" xr3:uid="{4AA20C6C-166D-40D3-B153-84B32F3DA47E}" name="Column26" dataDxfId="597" dataCellStyle="Comma [0]"/>
    <tableColumn id="44" xr3:uid="{B6199075-DD1D-4379-9C80-D5E0E5D4086B}" name="Column27" dataDxfId="596" dataCellStyle="Comma [0]"/>
    <tableColumn id="45" xr3:uid="{025D8148-41D1-493D-8F91-43A4491832E5}" name="REALISASI" dataDxfId="595" dataCellStyle="Comma [0]">
      <calculatedColumnFormula>SUM(J235:AS235)</calculatedColumnFormula>
    </tableColumn>
    <tableColumn id="46" xr3:uid="{EB91123A-1AE6-419C-99DE-3A8BFD669434}" name="%" dataDxfId="594">
      <calculatedColumnFormula>IFERROR(AT235/F235*100,0)</calculatedColumnFormula>
    </tableColumn>
    <tableColumn id="47" xr3:uid="{B367B8B8-4A10-4559-8042-C79AD776D92F}" name="SISA PAGU" dataDxfId="593">
      <calculatedColumnFormula>F235-AT235</calculatedColumnFormula>
    </tableColumn>
    <tableColumn id="48" xr3:uid="{4447787F-4DC2-4E59-B3FB-02DC54A3FEB4}" name="%28" dataDxfId="592">
      <calculatedColumnFormula>AV235/F235*100</calculatedColumnFormula>
    </tableColumn>
    <tableColumn id="49" xr3:uid="{C7CC6506-6ABE-4181-9F4B-FEC5B702B017}" name="KOORDINATOR" dataDxfId="591"/>
    <tableColumn id="50" xr3:uid="{048FA016-E7FA-4ECE-BABA-429AD0AEF890}" name="Subkoordinator"/>
    <tableColumn id="51" xr3:uid="{B38F358A-82BF-496A-A23D-71F2B98B29E5}" name="Jenis Belanja Barang"/>
    <tableColumn id="52" xr3:uid="{DB80BE10-1DFD-4F7D-BB32-35C9FE353EFD}" name="SPBy" dataDxfId="590" dataCellStyle="Comma [0]"/>
    <tableColumn id="53" xr3:uid="{078C675B-A0F3-404E-848C-5D5DFFD077BC}" name="Column29"/>
    <tableColumn id="54" xr3:uid="{434FFD64-27FE-4383-9669-FEE5F6BE4180}" name="Column30" dataDxfId="589"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588" totalsRowDxfId="587"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6" t="s">
        <v>598</v>
      </c>
      <c r="C1" s="446"/>
      <c r="D1" s="446"/>
      <c r="E1" s="446"/>
      <c r="F1" s="446"/>
      <c r="G1" s="446"/>
      <c r="I1" s="9"/>
    </row>
    <row r="2" spans="1:10" ht="15" x14ac:dyDescent="0.25">
      <c r="B2" s="447" t="s">
        <v>614</v>
      </c>
      <c r="C2" s="447"/>
      <c r="D2" s="447"/>
      <c r="E2" s="447"/>
      <c r="F2" s="447"/>
      <c r="G2" s="447"/>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48" t="s">
        <v>606</v>
      </c>
      <c r="C9" s="450" t="s">
        <v>607</v>
      </c>
      <c r="D9" s="451" t="s">
        <v>608</v>
      </c>
      <c r="E9" s="448" t="s">
        <v>609</v>
      </c>
      <c r="F9" s="451" t="s">
        <v>610</v>
      </c>
      <c r="G9" s="451" t="s">
        <v>611</v>
      </c>
      <c r="I9" s="14"/>
    </row>
    <row r="10" spans="1:10" s="16" customFormat="1" ht="15" x14ac:dyDescent="0.25">
      <c r="A10" s="15" t="s">
        <v>499</v>
      </c>
      <c r="B10" s="449"/>
      <c r="C10" s="449"/>
      <c r="D10" s="449"/>
      <c r="E10" s="452"/>
      <c r="F10" s="449"/>
      <c r="G10" s="449"/>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3" t="s">
        <v>596</v>
      </c>
      <c r="J13" s="444" t="s">
        <v>597</v>
      </c>
    </row>
    <row r="14" spans="1:10" x14ac:dyDescent="0.2">
      <c r="A14" s="7" t="s">
        <v>199</v>
      </c>
      <c r="B14" s="25" t="s">
        <v>194</v>
      </c>
      <c r="C14" s="26" t="s">
        <v>2</v>
      </c>
      <c r="D14" s="25"/>
      <c r="E14" s="55"/>
      <c r="F14" s="27"/>
      <c r="G14" s="27">
        <v>1500000000</v>
      </c>
      <c r="I14" s="443"/>
      <c r="J14" s="444"/>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5"/>
      <c r="J22" s="445"/>
    </row>
    <row r="23" spans="1:10" x14ac:dyDescent="0.2">
      <c r="A23" s="7" t="s">
        <v>208</v>
      </c>
      <c r="B23" s="43" t="s">
        <v>195</v>
      </c>
      <c r="C23" s="44" t="s">
        <v>620</v>
      </c>
      <c r="D23" s="47">
        <v>1</v>
      </c>
      <c r="E23" s="61" t="s">
        <v>9</v>
      </c>
      <c r="F23" s="45">
        <v>1000000</v>
      </c>
      <c r="G23" s="45">
        <v>1000000</v>
      </c>
      <c r="I23" s="445"/>
      <c r="J23" s="445"/>
    </row>
    <row r="24" spans="1:10" x14ac:dyDescent="0.2">
      <c r="A24" s="7" t="s">
        <v>209</v>
      </c>
      <c r="B24" s="40" t="s">
        <v>516</v>
      </c>
      <c r="C24" s="41" t="s">
        <v>11</v>
      </c>
      <c r="D24" s="40"/>
      <c r="E24" s="60"/>
      <c r="F24" s="42"/>
      <c r="G24" s="42">
        <v>9000000</v>
      </c>
      <c r="I24" s="445"/>
      <c r="J24" s="445"/>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6" t="s">
        <v>598</v>
      </c>
      <c r="C1" s="446"/>
      <c r="D1" s="446"/>
      <c r="E1" s="446"/>
      <c r="F1" s="446"/>
      <c r="G1" s="454"/>
      <c r="H1" s="269"/>
      <c r="I1" s="269"/>
      <c r="J1" s="269"/>
      <c r="K1" s="269"/>
    </row>
    <row r="2" spans="1:13" ht="15.75" x14ac:dyDescent="0.25">
      <c r="B2" s="455" t="s">
        <v>4186</v>
      </c>
      <c r="C2" s="455"/>
      <c r="D2" s="455"/>
      <c r="E2" s="455"/>
      <c r="F2" s="455"/>
      <c r="G2" s="456"/>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57" t="s">
        <v>606</v>
      </c>
      <c r="C9" s="458" t="s">
        <v>607</v>
      </c>
      <c r="D9" s="459" t="s">
        <v>608</v>
      </c>
      <c r="E9" s="457" t="s">
        <v>609</v>
      </c>
      <c r="F9" s="459" t="s">
        <v>610</v>
      </c>
      <c r="G9" s="453" t="s">
        <v>3848</v>
      </c>
      <c r="H9" s="453" t="s">
        <v>3849</v>
      </c>
      <c r="I9" s="453" t="s">
        <v>3846</v>
      </c>
      <c r="J9" s="453" t="s">
        <v>3850</v>
      </c>
      <c r="K9" s="453" t="s">
        <v>3846</v>
      </c>
    </row>
    <row r="10" spans="1:13" s="133" customFormat="1" ht="14.25" customHeight="1" x14ac:dyDescent="0.2">
      <c r="A10" s="132" t="s">
        <v>499</v>
      </c>
      <c r="B10" s="449"/>
      <c r="C10" s="449"/>
      <c r="D10" s="452"/>
      <c r="E10" s="452"/>
      <c r="F10" s="449"/>
      <c r="G10" s="449"/>
      <c r="H10" s="453"/>
      <c r="I10" s="453"/>
      <c r="J10" s="453"/>
      <c r="K10" s="453"/>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557" priority="18">
      <formula>NOT(_xlfn.ISFORMULA(G12))</formula>
    </cfRule>
  </conditionalFormatting>
  <conditionalFormatting sqref="B11:K12 K56:K57">
    <cfRule type="expression" dxfId="556" priority="19">
      <formula>AND(#REF!="Ya",#REF!=ROW())</formula>
    </cfRule>
  </conditionalFormatting>
  <conditionalFormatting sqref="B13:J57">
    <cfRule type="expression" dxfId="555" priority="22">
      <formula>AND(#REF!="Ya",#REF!=ROW())</formula>
    </cfRule>
  </conditionalFormatting>
  <conditionalFormatting sqref="K13:K56">
    <cfRule type="expression" dxfId="554" priority="4">
      <formula>AND(#REF!="Ya",#REF!=ROW())</formula>
    </cfRule>
  </conditionalFormatting>
  <conditionalFormatting sqref="I55:I56 I53 I49 I47 I45 I41 I37 I33 I29 I25 I21 I13:I17">
    <cfRule type="expression" dxfId="553" priority="3">
      <formula>AND(#REF!="Ya",#REF!=ROW())</formula>
    </cfRule>
  </conditionalFormatting>
  <conditionalFormatting sqref="J55:J56 J53 J49 J47 J45 J41 J37 J33 J29 J25 J21 J13:J17">
    <cfRule type="expression" dxfId="552" priority="2">
      <formula>AND(#REF!="Ya",#REF!=ROW())</formula>
    </cfRule>
  </conditionalFormatting>
  <conditionalFormatting sqref="K55 K53 K49 K47 K45 K41 K37 K33 K29 K25 K21 K13:K17">
    <cfRule type="expression" dxfId="551"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6" t="s">
        <v>598</v>
      </c>
      <c r="C1" s="446"/>
      <c r="D1" s="446"/>
      <c r="E1" s="446"/>
      <c r="F1" s="446"/>
      <c r="G1" s="454"/>
      <c r="H1" s="234"/>
      <c r="I1" s="234"/>
      <c r="J1" s="234"/>
    </row>
    <row r="2" spans="1:24" ht="15.75" x14ac:dyDescent="0.25">
      <c r="B2" s="455" t="s">
        <v>4012</v>
      </c>
      <c r="C2" s="455"/>
      <c r="D2" s="455"/>
      <c r="E2" s="455"/>
      <c r="F2" s="455"/>
      <c r="G2" s="456"/>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550" priority="14">
      <formula>NOT(_xlfn.ISFORMULA(G12))</formula>
    </cfRule>
  </conditionalFormatting>
  <conditionalFormatting sqref="B11:J12 H13:J545">
    <cfRule type="expression" dxfId="549" priority="15">
      <formula>AND(#REF!="Ya",#REF!=ROW())</formula>
    </cfRule>
  </conditionalFormatting>
  <conditionalFormatting sqref="B517:F517 G542:G543 G539:G540 G535 G532 G530 G526:G528 G522:G523 G520 G517:G518 B13:G516">
    <cfRule type="expression" dxfId="548" priority="13">
      <formula>AND($R$4="Ya",$Q$2=ROW())</formula>
    </cfRule>
  </conditionalFormatting>
  <conditionalFormatting sqref="G545">
    <cfRule type="expression" dxfId="547" priority="12">
      <formula>AND($R$4="Ya",$Q$2=ROW())</formula>
    </cfRule>
  </conditionalFormatting>
  <conditionalFormatting sqref="G545 G542:G543 G539:G540 G535 G532 G530 G526:G528 G522:G523 G520 G517:G518">
    <cfRule type="expression" dxfId="546" priority="11">
      <formula>NOT(_xlfn.ISFORMULA(G517))</formula>
    </cfRule>
  </conditionalFormatting>
  <conditionalFormatting sqref="G529">
    <cfRule type="expression" dxfId="545" priority="10">
      <formula>NOT(_xlfn.ISFORMULA(G529))</formula>
    </cfRule>
  </conditionalFormatting>
  <conditionalFormatting sqref="G529">
    <cfRule type="expression" dxfId="544" priority="9">
      <formula>AND($R$4="Ya",$Q$2=ROW())</formula>
    </cfRule>
  </conditionalFormatting>
  <conditionalFormatting sqref="G519">
    <cfRule type="expression" dxfId="543" priority="8">
      <formula>NOT(_xlfn.ISFORMULA(G519))</formula>
    </cfRule>
  </conditionalFormatting>
  <conditionalFormatting sqref="G519">
    <cfRule type="expression" dxfId="542" priority="7">
      <formula>AND($R$4="Ya",$Q$2=ROW())</formula>
    </cfRule>
  </conditionalFormatting>
  <conditionalFormatting sqref="G544">
    <cfRule type="expression" dxfId="541" priority="6">
      <formula>NOT(_xlfn.ISFORMULA(G544))</formula>
    </cfRule>
  </conditionalFormatting>
  <conditionalFormatting sqref="G544">
    <cfRule type="expression" dxfId="540" priority="5">
      <formula>AND($R$4="Ya",$Q$2=ROW())</formula>
    </cfRule>
  </conditionalFormatting>
  <conditionalFormatting sqref="G541">
    <cfRule type="expression" dxfId="539" priority="4">
      <formula>NOT(_xlfn.ISFORMULA(G541))</formula>
    </cfRule>
  </conditionalFormatting>
  <conditionalFormatting sqref="G541">
    <cfRule type="expression" dxfId="538" priority="3">
      <formula>AND($R$4="Ya",$Q$2=ROW())</formula>
    </cfRule>
  </conditionalFormatting>
  <conditionalFormatting sqref="G538">
    <cfRule type="expression" dxfId="537" priority="2">
      <formula>NOT(_xlfn.ISFORMULA(G538))</formula>
    </cfRule>
  </conditionalFormatting>
  <conditionalFormatting sqref="G538">
    <cfRule type="expression" dxfId="536"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6" t="s">
        <v>598</v>
      </c>
      <c r="C1" s="446"/>
      <c r="D1" s="446"/>
      <c r="E1" s="446"/>
      <c r="F1" s="446"/>
      <c r="G1" s="454"/>
      <c r="H1" s="158"/>
      <c r="I1" s="177"/>
      <c r="J1" s="177"/>
    </row>
    <row r="2" spans="1:24" ht="15.75" x14ac:dyDescent="0.25">
      <c r="B2" s="455" t="s">
        <v>3826</v>
      </c>
      <c r="C2" s="455"/>
      <c r="D2" s="455"/>
      <c r="E2" s="455"/>
      <c r="F2" s="455"/>
      <c r="G2" s="456"/>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57" t="s">
        <v>606</v>
      </c>
      <c r="C9" s="458" t="s">
        <v>607</v>
      </c>
      <c r="D9" s="459" t="s">
        <v>608</v>
      </c>
      <c r="E9" s="457" t="s">
        <v>609</v>
      </c>
      <c r="F9" s="459" t="s">
        <v>610</v>
      </c>
      <c r="G9" s="453" t="s">
        <v>611</v>
      </c>
      <c r="H9" s="152"/>
      <c r="I9" s="152"/>
      <c r="J9" s="152"/>
      <c r="K9" s="460" t="s">
        <v>3827</v>
      </c>
      <c r="L9" s="460"/>
      <c r="M9" s="460"/>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49"/>
      <c r="C10" s="449"/>
      <c r="D10" s="452"/>
      <c r="E10" s="452"/>
      <c r="F10" s="449"/>
      <c r="G10" s="449"/>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535" priority="14">
      <formula>NOT(_xlfn.ISFORMULA(G12))</formula>
    </cfRule>
  </conditionalFormatting>
  <conditionalFormatting sqref="B11:J12 H13:J589">
    <cfRule type="expression" dxfId="534" priority="15">
      <formula>AND(#REF!="Ya",#REF!=ROW())</formula>
    </cfRule>
  </conditionalFormatting>
  <conditionalFormatting sqref="B561:F561 G586:G587 G583:G584 G579 G576 G574 G570:G572 G566:G567 G564 G561:G562 B13:G560">
    <cfRule type="expression" dxfId="533" priority="13">
      <formula>AND($R$4="Ya",$Q$2=ROW())</formula>
    </cfRule>
  </conditionalFormatting>
  <conditionalFormatting sqref="G589">
    <cfRule type="expression" dxfId="532" priority="12">
      <formula>AND($R$4="Ya",$Q$2=ROW())</formula>
    </cfRule>
  </conditionalFormatting>
  <conditionalFormatting sqref="G589 G586:G587 G583:G584 G579 G576 G574 G570:G572 G566:G567 G564 G561:G562">
    <cfRule type="expression" dxfId="531" priority="11">
      <formula>NOT(_xlfn.ISFORMULA(G561))</formula>
    </cfRule>
  </conditionalFormatting>
  <conditionalFormatting sqref="G573">
    <cfRule type="expression" dxfId="530" priority="10">
      <formula>NOT(_xlfn.ISFORMULA(G573))</formula>
    </cfRule>
  </conditionalFormatting>
  <conditionalFormatting sqref="G573">
    <cfRule type="expression" dxfId="529" priority="9">
      <formula>AND($R$4="Ya",$Q$2=ROW())</formula>
    </cfRule>
  </conditionalFormatting>
  <conditionalFormatting sqref="G563">
    <cfRule type="expression" dxfId="528" priority="8">
      <formula>NOT(_xlfn.ISFORMULA(G563))</formula>
    </cfRule>
  </conditionalFormatting>
  <conditionalFormatting sqref="G563">
    <cfRule type="expression" dxfId="527" priority="7">
      <formula>AND($R$4="Ya",$Q$2=ROW())</formula>
    </cfRule>
  </conditionalFormatting>
  <conditionalFormatting sqref="G588">
    <cfRule type="expression" dxfId="526" priority="6">
      <formula>NOT(_xlfn.ISFORMULA(G588))</formula>
    </cfRule>
  </conditionalFormatting>
  <conditionalFormatting sqref="G588">
    <cfRule type="expression" dxfId="525" priority="5">
      <formula>AND($R$4="Ya",$Q$2=ROW())</formula>
    </cfRule>
  </conditionalFormatting>
  <conditionalFormatting sqref="G585">
    <cfRule type="expression" dxfId="524" priority="4">
      <formula>NOT(_xlfn.ISFORMULA(G585))</formula>
    </cfRule>
  </conditionalFormatting>
  <conditionalFormatting sqref="G585">
    <cfRule type="expression" dxfId="523" priority="3">
      <formula>AND($R$4="Ya",$Q$2=ROW())</formula>
    </cfRule>
  </conditionalFormatting>
  <conditionalFormatting sqref="G582">
    <cfRule type="expression" dxfId="522" priority="2">
      <formula>NOT(_xlfn.ISFORMULA(G582))</formula>
    </cfRule>
  </conditionalFormatting>
  <conditionalFormatting sqref="G582">
    <cfRule type="expression" dxfId="521"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6" t="s">
        <v>598</v>
      </c>
      <c r="C1" s="446"/>
      <c r="D1" s="446"/>
      <c r="E1" s="446"/>
      <c r="F1" s="446"/>
      <c r="G1" s="454"/>
      <c r="H1" s="150"/>
    </row>
    <row r="2" spans="1:22" ht="15.75" x14ac:dyDescent="0.25">
      <c r="B2" s="455" t="s">
        <v>3826</v>
      </c>
      <c r="C2" s="455"/>
      <c r="D2" s="455"/>
      <c r="E2" s="455"/>
      <c r="F2" s="455"/>
      <c r="G2" s="456"/>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57" t="s">
        <v>606</v>
      </c>
      <c r="C9" s="458" t="s">
        <v>607</v>
      </c>
      <c r="D9" s="459" t="s">
        <v>608</v>
      </c>
      <c r="E9" s="457" t="s">
        <v>609</v>
      </c>
      <c r="F9" s="459" t="s">
        <v>610</v>
      </c>
      <c r="G9" s="453" t="s">
        <v>611</v>
      </c>
      <c r="H9" s="152"/>
      <c r="I9" s="460" t="s">
        <v>3827</v>
      </c>
      <c r="J9" s="460"/>
      <c r="K9" s="460"/>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49"/>
      <c r="C10" s="449"/>
      <c r="D10" s="452"/>
      <c r="E10" s="452"/>
      <c r="F10" s="449"/>
      <c r="G10" s="449"/>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520" priority="15">
      <formula>NOT(_xlfn.ISFORMULA(G12))</formula>
    </cfRule>
  </conditionalFormatting>
  <conditionalFormatting sqref="B11:H12 H13:H589">
    <cfRule type="expression" dxfId="519" priority="17">
      <formula>AND(#REF!="Ya",#REF!=ROW())</formula>
    </cfRule>
  </conditionalFormatting>
  <conditionalFormatting sqref="B561:F561 G586:G587 G583:G584 G579 G576 G574 G570:G572 G566:G567 G564 G561:G562 B13:G560">
    <cfRule type="expression" dxfId="518" priority="14">
      <formula>AND($P$4="Ya",$O$2=ROW())</formula>
    </cfRule>
  </conditionalFormatting>
  <conditionalFormatting sqref="G589">
    <cfRule type="expression" dxfId="517" priority="12">
      <formula>AND($P$4="Ya",$O$2=ROW())</formula>
    </cfRule>
  </conditionalFormatting>
  <conditionalFormatting sqref="G589 G586:G587 G583:G584 G579 G576 G574 G570:G572 G566:G567 G564 G561:G562">
    <cfRule type="expression" dxfId="516" priority="11">
      <formula>NOT(_xlfn.ISFORMULA(G561))</formula>
    </cfRule>
  </conditionalFormatting>
  <conditionalFormatting sqref="G573">
    <cfRule type="expression" dxfId="515" priority="10">
      <formula>NOT(_xlfn.ISFORMULA(G573))</formula>
    </cfRule>
  </conditionalFormatting>
  <conditionalFormatting sqref="G573">
    <cfRule type="expression" dxfId="514" priority="9">
      <formula>AND($P$4="Ya",$O$2=ROW())</formula>
    </cfRule>
  </conditionalFormatting>
  <conditionalFormatting sqref="G563">
    <cfRule type="expression" dxfId="513" priority="8">
      <formula>NOT(_xlfn.ISFORMULA(G563))</formula>
    </cfRule>
  </conditionalFormatting>
  <conditionalFormatting sqref="G563">
    <cfRule type="expression" dxfId="512" priority="7">
      <formula>AND($P$4="Ya",$O$2=ROW())</formula>
    </cfRule>
  </conditionalFormatting>
  <conditionalFormatting sqref="G588">
    <cfRule type="expression" dxfId="511" priority="6">
      <formula>NOT(_xlfn.ISFORMULA(G588))</formula>
    </cfRule>
  </conditionalFormatting>
  <conditionalFormatting sqref="G588">
    <cfRule type="expression" dxfId="510" priority="5">
      <formula>AND($P$4="Ya",$O$2=ROW())</formula>
    </cfRule>
  </conditionalFormatting>
  <conditionalFormatting sqref="G585">
    <cfRule type="expression" dxfId="509" priority="4">
      <formula>NOT(_xlfn.ISFORMULA(G585))</formula>
    </cfRule>
  </conditionalFormatting>
  <conditionalFormatting sqref="G585">
    <cfRule type="expression" dxfId="508" priority="3">
      <formula>AND($P$4="Ya",$O$2=ROW())</formula>
    </cfRule>
  </conditionalFormatting>
  <conditionalFormatting sqref="G582">
    <cfRule type="expression" dxfId="507" priority="2">
      <formula>NOT(_xlfn.ISFORMULA(G582))</formula>
    </cfRule>
  </conditionalFormatting>
  <conditionalFormatting sqref="G582">
    <cfRule type="expression" dxfId="506"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73"/>
  <sheetViews>
    <sheetView tabSelected="1" zoomScale="70" zoomScaleNormal="70" workbookViewId="0">
      <pane ySplit="10" topLeftCell="A11" activePane="bottomLeft" state="frozen"/>
      <selection pane="bottomLeft" activeCell="K6" sqref="K6"/>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3.8554687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15" x14ac:dyDescent="0.2">
      <c r="E3" s="283"/>
      <c r="K3" s="285"/>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2940382304</v>
      </c>
    </row>
    <row r="8" spans="2:20" ht="15" x14ac:dyDescent="0.2">
      <c r="E8" s="283"/>
      <c r="F8" s="282"/>
      <c r="K8" s="285"/>
      <c r="N8" s="329">
        <v>52</v>
      </c>
      <c r="O8" s="328">
        <f>SUMIF(Table1[all],N8,Table1[Nilai SP2D])</f>
        <v>5424217032</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89">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89">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sheetData>
  <sortState xmlns:xlrd2="http://schemas.microsoft.com/office/spreadsheetml/2017/richdata2" ref="B11:K51">
    <sortCondition ref="H11:H51"/>
  </sortState>
  <conditionalFormatting sqref="D113:D116">
    <cfRule type="duplicateValues" dxfId="505" priority="3"/>
  </conditionalFormatting>
  <conditionalFormatting sqref="D11:D171">
    <cfRule type="duplicateValues" dxfId="504" priority="28"/>
    <cfRule type="duplicateValues" dxfId="503"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L11:L173</xm:sqref>
        </x14:dataValidation>
        <x14:dataValidation type="list" allowBlank="1" showInputMessage="1" showErrorMessage="1" xr:uid="{1D7AA939-12B2-4A2A-99CA-5C400ED59A4C}">
          <x14:formula1>
            <xm:f>Eselon2!$R$2:$R$9</xm:f>
          </x14:formula1>
          <xm:sqref>M11:M173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25" zoomScale="70" zoomScaleNormal="70" zoomScaleSheetLayoutView="70" workbookViewId="0">
      <selection activeCell="C3" sqref="C3:H3"/>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1" t="str">
        <f>'PERSUBBID - Gaji'!A1</f>
        <v>REALISASI TANPA GAJI (BERDASARKAN PAGU SETELAH BLOKIR)</v>
      </c>
      <c r="D1" s="461"/>
      <c r="E1" s="461"/>
      <c r="F1" s="461"/>
      <c r="G1" s="461"/>
      <c r="H1" s="461"/>
    </row>
    <row r="2" spans="3:18" ht="19.5" x14ac:dyDescent="0.4">
      <c r="C2" s="461" t="str">
        <f>'PER BULAN'!B5</f>
        <v>Berdasarkan DIPA Revisi 2 TA. 2022 (Tanggal 9 Juni 2022)</v>
      </c>
      <c r="D2" s="461"/>
      <c r="E2" s="461"/>
      <c r="F2" s="461"/>
      <c r="G2" s="461"/>
      <c r="H2" s="461"/>
    </row>
    <row r="3" spans="3:18" ht="19.5" x14ac:dyDescent="0.4">
      <c r="C3" s="461" t="str">
        <f>'PER BULAN'!B6</f>
        <v>SAMPAI DENGAN 28 JUNI 2022</v>
      </c>
      <c r="D3" s="461"/>
      <c r="E3" s="461"/>
      <c r="F3" s="461"/>
      <c r="G3" s="461"/>
      <c r="H3" s="461"/>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6078417032</v>
      </c>
      <c r="F6" s="350">
        <v>53.432856543590233</v>
      </c>
      <c r="G6" s="349">
        <v>5297386968</v>
      </c>
      <c r="H6" s="350">
        <v>46.567143456409759</v>
      </c>
      <c r="R6" s="215"/>
    </row>
    <row r="7" spans="3:18" x14ac:dyDescent="0.25">
      <c r="C7" s="309" t="s">
        <v>3888</v>
      </c>
      <c r="D7" s="351">
        <v>1000000000</v>
      </c>
      <c r="E7" s="351">
        <v>368522100</v>
      </c>
      <c r="F7" s="352">
        <v>36.852209999999999</v>
      </c>
      <c r="G7" s="351">
        <v>631477900</v>
      </c>
      <c r="H7" s="352">
        <v>63.147790000000001</v>
      </c>
      <c r="R7" s="215"/>
    </row>
    <row r="8" spans="3:18" x14ac:dyDescent="0.25">
      <c r="C8" s="309" t="s">
        <v>3898</v>
      </c>
      <c r="D8" s="351">
        <v>1000000000</v>
      </c>
      <c r="E8" s="351">
        <v>368522100</v>
      </c>
      <c r="F8" s="352">
        <v>36.852209999999999</v>
      </c>
      <c r="G8" s="351">
        <v>631477900</v>
      </c>
      <c r="H8" s="352">
        <v>63.147790000000001</v>
      </c>
    </row>
    <row r="9" spans="3:18" x14ac:dyDescent="0.25">
      <c r="C9" s="310" t="s">
        <v>535</v>
      </c>
      <c r="D9" s="353">
        <v>821400000</v>
      </c>
      <c r="E9" s="353">
        <v>288789600</v>
      </c>
      <c r="F9" s="354">
        <v>35.158217677136591</v>
      </c>
      <c r="G9" s="353">
        <v>532610400</v>
      </c>
      <c r="H9" s="354">
        <v>64.841782322863409</v>
      </c>
    </row>
    <row r="10" spans="3:18" x14ac:dyDescent="0.25">
      <c r="C10" s="170" t="s">
        <v>536</v>
      </c>
      <c r="D10" s="355">
        <v>686300000</v>
      </c>
      <c r="E10" s="355">
        <v>214180240</v>
      </c>
      <c r="F10" s="356">
        <v>31.207961532857354</v>
      </c>
      <c r="G10" s="355">
        <v>472119760</v>
      </c>
      <c r="H10" s="356">
        <v>68.792038467142646</v>
      </c>
    </row>
    <row r="11" spans="3:18" x14ac:dyDescent="0.25">
      <c r="C11" s="309" t="s">
        <v>3900</v>
      </c>
      <c r="D11" s="351">
        <v>686300000</v>
      </c>
      <c r="E11" s="351">
        <v>214180240</v>
      </c>
      <c r="F11" s="352">
        <v>31.207961532857354</v>
      </c>
      <c r="G11" s="351">
        <v>472119760</v>
      </c>
      <c r="H11" s="352">
        <v>68.792038467142646</v>
      </c>
    </row>
    <row r="12" spans="3:18" x14ac:dyDescent="0.25">
      <c r="C12" s="325" t="s">
        <v>3906</v>
      </c>
      <c r="D12" s="357">
        <v>686300000</v>
      </c>
      <c r="E12" s="357">
        <v>214180240</v>
      </c>
      <c r="F12" s="358">
        <v>31.207961532857354</v>
      </c>
      <c r="G12" s="357">
        <v>472119760</v>
      </c>
      <c r="H12" s="358">
        <v>68.792038467142646</v>
      </c>
    </row>
    <row r="13" spans="3:18" x14ac:dyDescent="0.25">
      <c r="C13" s="311" t="s">
        <v>3907</v>
      </c>
      <c r="D13" s="359">
        <v>386924000</v>
      </c>
      <c r="E13" s="359">
        <v>58923650</v>
      </c>
      <c r="F13" s="360">
        <v>15.228740010958225</v>
      </c>
      <c r="G13" s="359">
        <v>328000350</v>
      </c>
      <c r="H13" s="360">
        <v>84.771259989041781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33228650</v>
      </c>
      <c r="F19" s="352">
        <v>13.117055628365257</v>
      </c>
      <c r="G19" s="351">
        <v>220095350</v>
      </c>
      <c r="H19" s="352">
        <v>86.882944371634736</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74609360</v>
      </c>
      <c r="F33" s="356">
        <v>55.22528497409327</v>
      </c>
      <c r="G33" s="355">
        <v>60490640</v>
      </c>
      <c r="H33" s="356">
        <v>44.774715025906737</v>
      </c>
    </row>
    <row r="34" spans="3:15" x14ac:dyDescent="0.25">
      <c r="C34" s="309" t="s">
        <v>3900</v>
      </c>
      <c r="D34" s="351">
        <v>135100000</v>
      </c>
      <c r="E34" s="351">
        <v>74609360</v>
      </c>
      <c r="F34" s="352">
        <v>55.22528497409327</v>
      </c>
      <c r="G34" s="351">
        <v>60490640</v>
      </c>
      <c r="H34" s="352">
        <v>44.774715025906737</v>
      </c>
      <c r="O34" s="217"/>
    </row>
    <row r="35" spans="3:15" x14ac:dyDescent="0.25">
      <c r="C35" s="325" t="s">
        <v>3910</v>
      </c>
      <c r="D35" s="357">
        <v>135100000</v>
      </c>
      <c r="E35" s="357">
        <v>74609360</v>
      </c>
      <c r="F35" s="358">
        <v>55.22528497409327</v>
      </c>
      <c r="G35" s="357">
        <v>60490640</v>
      </c>
      <c r="H35" s="358">
        <v>44.774715025906737</v>
      </c>
    </row>
    <row r="36" spans="3:15" x14ac:dyDescent="0.25">
      <c r="C36" s="311" t="s">
        <v>3911</v>
      </c>
      <c r="D36" s="359">
        <v>135100000</v>
      </c>
      <c r="E36" s="359">
        <v>74609360</v>
      </c>
      <c r="F36" s="360">
        <v>55.22528497409327</v>
      </c>
      <c r="G36" s="359">
        <v>60490640</v>
      </c>
      <c r="H36" s="360">
        <v>44.774715025906737</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57918610</v>
      </c>
      <c r="F41" s="352">
        <v>59.454925268949651</v>
      </c>
      <c r="G41" s="351">
        <v>39497390</v>
      </c>
      <c r="H41" s="352">
        <v>40.545074731050342</v>
      </c>
    </row>
    <row r="42" spans="3:15" x14ac:dyDescent="0.25">
      <c r="C42" s="310" t="s">
        <v>531</v>
      </c>
      <c r="D42" s="353">
        <v>178600000</v>
      </c>
      <c r="E42" s="353">
        <v>79732500</v>
      </c>
      <c r="F42" s="354">
        <v>44.643057110862259</v>
      </c>
      <c r="G42" s="353">
        <v>98867500</v>
      </c>
      <c r="H42" s="354">
        <v>55.356942889137741</v>
      </c>
    </row>
    <row r="43" spans="3:15" x14ac:dyDescent="0.25">
      <c r="C43" s="170" t="s">
        <v>532</v>
      </c>
      <c r="D43" s="355">
        <v>124100000</v>
      </c>
      <c r="E43" s="355">
        <v>55518000</v>
      </c>
      <c r="F43" s="356">
        <v>44.736502820306207</v>
      </c>
      <c r="G43" s="355">
        <v>68582000</v>
      </c>
      <c r="H43" s="356">
        <v>55.2634971796938</v>
      </c>
    </row>
    <row r="44" spans="3:15" x14ac:dyDescent="0.25">
      <c r="C44" s="309" t="s">
        <v>3900</v>
      </c>
      <c r="D44" s="351">
        <v>124100000</v>
      </c>
      <c r="E44" s="351">
        <v>55518000</v>
      </c>
      <c r="F44" s="352">
        <v>44.736502820306207</v>
      </c>
      <c r="G44" s="351">
        <v>68582000</v>
      </c>
      <c r="H44" s="352">
        <v>55.2634971796938</v>
      </c>
    </row>
    <row r="45" spans="3:15" x14ac:dyDescent="0.25">
      <c r="C45" s="325" t="s">
        <v>3901</v>
      </c>
      <c r="D45" s="357">
        <v>124100000</v>
      </c>
      <c r="E45" s="357">
        <v>55518000</v>
      </c>
      <c r="F45" s="358">
        <v>44.736502820306207</v>
      </c>
      <c r="G45" s="357">
        <v>68582000</v>
      </c>
      <c r="H45" s="358">
        <v>55.2634971796938</v>
      </c>
    </row>
    <row r="46" spans="3:15" x14ac:dyDescent="0.25">
      <c r="C46" s="311" t="s">
        <v>3902</v>
      </c>
      <c r="D46" s="359">
        <v>83135000</v>
      </c>
      <c r="E46" s="359">
        <v>33957000</v>
      </c>
      <c r="F46" s="360">
        <v>40.845612557887776</v>
      </c>
      <c r="G46" s="359">
        <v>49178000</v>
      </c>
      <c r="H46" s="360">
        <v>59.154387442112224</v>
      </c>
    </row>
    <row r="47" spans="3:15" x14ac:dyDescent="0.25">
      <c r="C47" s="315" t="s">
        <v>3890</v>
      </c>
      <c r="D47" s="351">
        <v>19875000</v>
      </c>
      <c r="E47" s="351">
        <v>5581000</v>
      </c>
      <c r="F47" s="352">
        <v>28.080503144654088</v>
      </c>
      <c r="G47" s="351">
        <v>14294000</v>
      </c>
      <c r="H47" s="352">
        <v>71.919496855345912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26276000</v>
      </c>
      <c r="F49" s="352">
        <v>60.739713361072589</v>
      </c>
      <c r="G49" s="351">
        <v>16984000</v>
      </c>
      <c r="H49" s="352">
        <v>39.260286638927418</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24214500</v>
      </c>
      <c r="F54" s="356">
        <v>44.430275229357797</v>
      </c>
      <c r="G54" s="355">
        <v>30285500</v>
      </c>
      <c r="H54" s="356">
        <v>55.569724770642203</v>
      </c>
    </row>
    <row r="55" spans="3:8" x14ac:dyDescent="0.25">
      <c r="C55" s="309" t="s">
        <v>3900</v>
      </c>
      <c r="D55" s="351">
        <v>54500000</v>
      </c>
      <c r="E55" s="351">
        <v>24214500</v>
      </c>
      <c r="F55" s="352">
        <v>44.430275229357797</v>
      </c>
      <c r="G55" s="351">
        <v>30285500</v>
      </c>
      <c r="H55" s="352">
        <v>55.569724770642203</v>
      </c>
    </row>
    <row r="56" spans="3:8" x14ac:dyDescent="0.25">
      <c r="C56" s="325" t="s">
        <v>3905</v>
      </c>
      <c r="D56" s="357">
        <v>54500000</v>
      </c>
      <c r="E56" s="357">
        <v>24214500</v>
      </c>
      <c r="F56" s="358">
        <v>44.430275229357797</v>
      </c>
      <c r="G56" s="357">
        <v>30285500</v>
      </c>
      <c r="H56" s="358">
        <v>55.569724770642203</v>
      </c>
    </row>
    <row r="57" spans="3:8" x14ac:dyDescent="0.25">
      <c r="C57" s="311" t="s">
        <v>3922</v>
      </c>
      <c r="D57" s="359">
        <v>54500000</v>
      </c>
      <c r="E57" s="359">
        <v>24214500</v>
      </c>
      <c r="F57" s="360">
        <v>44.430275229357797</v>
      </c>
      <c r="G57" s="359">
        <v>30285500</v>
      </c>
      <c r="H57" s="360">
        <v>55.569724770642203</v>
      </c>
    </row>
    <row r="58" spans="3:8" x14ac:dyDescent="0.25">
      <c r="C58" s="315" t="s">
        <v>3890</v>
      </c>
      <c r="D58" s="351">
        <v>21250000</v>
      </c>
      <c r="E58" s="351">
        <v>3120000</v>
      </c>
      <c r="F58" s="352">
        <v>14.682352941176472</v>
      </c>
      <c r="G58" s="351">
        <v>18130000</v>
      </c>
      <c r="H58" s="352">
        <v>85.317647058823525</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5709894932</v>
      </c>
      <c r="F60" s="352">
        <v>55.030867313993213</v>
      </c>
      <c r="G60" s="351">
        <v>4665909068</v>
      </c>
      <c r="H60" s="352">
        <v>44.969132686006787</v>
      </c>
    </row>
    <row r="61" spans="3:8" x14ac:dyDescent="0.25">
      <c r="C61" s="309" t="s">
        <v>3914</v>
      </c>
      <c r="D61" s="351">
        <v>4293304000</v>
      </c>
      <c r="E61" s="351">
        <v>2233181020</v>
      </c>
      <c r="F61" s="352">
        <v>52.015441254567577</v>
      </c>
      <c r="G61" s="351">
        <v>2060122980</v>
      </c>
      <c r="H61" s="352">
        <v>47.984558745432423</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127448590</v>
      </c>
      <c r="F70" s="354">
        <v>65.773467376102474</v>
      </c>
      <c r="G70" s="353">
        <v>66320410</v>
      </c>
      <c r="H70" s="354">
        <v>34.226532623897526</v>
      </c>
    </row>
    <row r="71" spans="3:8" x14ac:dyDescent="0.25">
      <c r="C71" s="170" t="s">
        <v>532</v>
      </c>
      <c r="D71" s="355">
        <v>83506000</v>
      </c>
      <c r="E71" s="355">
        <v>78297590</v>
      </c>
      <c r="F71" s="356">
        <v>93.762831413311616</v>
      </c>
      <c r="G71" s="355">
        <v>5208410</v>
      </c>
      <c r="H71" s="356">
        <v>6.2371685866883819</v>
      </c>
    </row>
    <row r="72" spans="3:8" x14ac:dyDescent="0.25">
      <c r="C72" s="309" t="s">
        <v>3935</v>
      </c>
      <c r="D72" s="351">
        <v>83506000</v>
      </c>
      <c r="E72" s="351">
        <v>78297590</v>
      </c>
      <c r="F72" s="352">
        <v>93.762831413311616</v>
      </c>
      <c r="G72" s="351">
        <v>5208410</v>
      </c>
      <c r="H72" s="352">
        <v>6.2371685866883819</v>
      </c>
    </row>
    <row r="73" spans="3:8" x14ac:dyDescent="0.25">
      <c r="C73" s="325" t="s">
        <v>3934</v>
      </c>
      <c r="D73" s="357">
        <v>83506000</v>
      </c>
      <c r="E73" s="357">
        <v>78297590</v>
      </c>
      <c r="F73" s="358">
        <v>93.762831413311616</v>
      </c>
      <c r="G73" s="357">
        <v>5208410</v>
      </c>
      <c r="H73" s="358">
        <v>6.2371685866883819</v>
      </c>
    </row>
    <row r="74" spans="3:8" x14ac:dyDescent="0.25">
      <c r="C74" s="311" t="s">
        <v>3940</v>
      </c>
      <c r="D74" s="359">
        <v>83506000</v>
      </c>
      <c r="E74" s="359">
        <v>78297590</v>
      </c>
      <c r="F74" s="360">
        <v>93.762831413311616</v>
      </c>
      <c r="G74" s="359">
        <v>5208410</v>
      </c>
      <c r="H74" s="360">
        <v>6.2371685866883819</v>
      </c>
    </row>
    <row r="75" spans="3:8" x14ac:dyDescent="0.25">
      <c r="C75" s="315" t="s">
        <v>3890</v>
      </c>
      <c r="D75" s="351">
        <v>12550000</v>
      </c>
      <c r="E75" s="351">
        <v>11542500</v>
      </c>
      <c r="F75" s="352">
        <v>91.972111553784856</v>
      </c>
      <c r="G75" s="351">
        <v>1007500</v>
      </c>
      <c r="H75" s="352">
        <v>8.0278884462151403</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4800000</v>
      </c>
      <c r="F77" s="352">
        <v>53.333333333333336</v>
      </c>
      <c r="G77" s="351">
        <v>4200000</v>
      </c>
      <c r="H77" s="352">
        <v>46.666666666666664</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49151000</v>
      </c>
      <c r="F79" s="356">
        <v>44.576149751049762</v>
      </c>
      <c r="G79" s="355">
        <v>61112000</v>
      </c>
      <c r="H79" s="356">
        <v>55.423850248950238</v>
      </c>
    </row>
    <row r="80" spans="3:8" x14ac:dyDescent="0.25">
      <c r="C80" s="309" t="s">
        <v>3935</v>
      </c>
      <c r="D80" s="351">
        <v>110263000</v>
      </c>
      <c r="E80" s="351">
        <v>49151000</v>
      </c>
      <c r="F80" s="352">
        <v>44.576149751049762</v>
      </c>
      <c r="G80" s="351">
        <v>61112000</v>
      </c>
      <c r="H80" s="352">
        <v>55.423850248950238</v>
      </c>
    </row>
    <row r="81" spans="3:8" x14ac:dyDescent="0.25">
      <c r="C81" s="325" t="s">
        <v>3934</v>
      </c>
      <c r="D81" s="357">
        <v>110263000</v>
      </c>
      <c r="E81" s="357">
        <v>49151000</v>
      </c>
      <c r="F81" s="358">
        <v>44.576149751049762</v>
      </c>
      <c r="G81" s="357">
        <v>61112000</v>
      </c>
      <c r="H81" s="358">
        <v>55.423850248950238</v>
      </c>
    </row>
    <row r="82" spans="3:8" x14ac:dyDescent="0.25">
      <c r="C82" s="311" t="s">
        <v>3942</v>
      </c>
      <c r="D82" s="359">
        <v>110263000</v>
      </c>
      <c r="E82" s="359">
        <v>49151000</v>
      </c>
      <c r="F82" s="360">
        <v>44.576149751049762</v>
      </c>
      <c r="G82" s="359">
        <v>61112000</v>
      </c>
      <c r="H82" s="360">
        <v>55.423850248950238</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14000000</v>
      </c>
      <c r="F85" s="352">
        <v>35</v>
      </c>
      <c r="G85" s="351">
        <v>26000000</v>
      </c>
      <c r="H85" s="352">
        <v>65</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1844517380</v>
      </c>
      <c r="F127" s="354">
        <v>50.97517619364249</v>
      </c>
      <c r="G127" s="353">
        <v>1773944620</v>
      </c>
      <c r="H127" s="354">
        <v>49.02482380635751</v>
      </c>
    </row>
    <row r="128" spans="3:8" x14ac:dyDescent="0.25">
      <c r="C128" s="170" t="s">
        <v>546</v>
      </c>
      <c r="D128" s="355">
        <v>197920000</v>
      </c>
      <c r="E128" s="355">
        <v>136548520</v>
      </c>
      <c r="F128" s="356">
        <v>68.991774454324982</v>
      </c>
      <c r="G128" s="355">
        <v>61371480</v>
      </c>
      <c r="H128" s="356">
        <v>31.008225545675021</v>
      </c>
    </row>
    <row r="129" spans="3:8" x14ac:dyDescent="0.25">
      <c r="C129" s="309" t="s">
        <v>3970</v>
      </c>
      <c r="D129" s="351">
        <v>197920000</v>
      </c>
      <c r="E129" s="351">
        <v>136548520</v>
      </c>
      <c r="F129" s="352">
        <v>68.991774454324982</v>
      </c>
      <c r="G129" s="351">
        <v>61371480</v>
      </c>
      <c r="H129" s="352">
        <v>31.008225545675021</v>
      </c>
    </row>
    <row r="130" spans="3:8" x14ac:dyDescent="0.25">
      <c r="C130" s="325" t="s">
        <v>3971</v>
      </c>
      <c r="D130" s="357">
        <v>197920000</v>
      </c>
      <c r="E130" s="357">
        <v>136548520</v>
      </c>
      <c r="F130" s="358">
        <v>68.991774454324982</v>
      </c>
      <c r="G130" s="357">
        <v>61371480</v>
      </c>
      <c r="H130" s="358">
        <v>31.008225545675021</v>
      </c>
    </row>
    <row r="131" spans="3:8" x14ac:dyDescent="0.25">
      <c r="C131" s="311" t="s">
        <v>3972</v>
      </c>
      <c r="D131" s="359">
        <v>27102000</v>
      </c>
      <c r="E131" s="359">
        <v>22532552</v>
      </c>
      <c r="F131" s="360">
        <v>83.139812559958671</v>
      </c>
      <c r="G131" s="359">
        <v>4569448</v>
      </c>
      <c r="H131" s="360">
        <v>16.860187440041326</v>
      </c>
    </row>
    <row r="132" spans="3:8" x14ac:dyDescent="0.25">
      <c r="C132" s="315" t="s">
        <v>3890</v>
      </c>
      <c r="D132" s="351">
        <v>18400000</v>
      </c>
      <c r="E132" s="351">
        <v>13831000</v>
      </c>
      <c r="F132" s="352">
        <v>75.168478260869563</v>
      </c>
      <c r="G132" s="351">
        <v>4569000</v>
      </c>
      <c r="H132" s="352">
        <v>24.831521739130437</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4968500</v>
      </c>
      <c r="F137" s="360">
        <v>66.24666666666667</v>
      </c>
      <c r="G137" s="359">
        <v>2531500</v>
      </c>
      <c r="H137" s="360">
        <v>33.753333333333337</v>
      </c>
    </row>
    <row r="138" spans="3:8" ht="17.100000000000001" customHeight="1" x14ac:dyDescent="0.25">
      <c r="C138" s="315" t="s">
        <v>3890</v>
      </c>
      <c r="D138" s="351">
        <v>7500000</v>
      </c>
      <c r="E138" s="351">
        <v>4968500</v>
      </c>
      <c r="F138" s="352">
        <v>66.24666666666667</v>
      </c>
      <c r="G138" s="351">
        <v>2531500</v>
      </c>
      <c r="H138" s="352">
        <v>33.753333333333337</v>
      </c>
    </row>
    <row r="139" spans="3:8" x14ac:dyDescent="0.25">
      <c r="C139" s="311" t="s">
        <v>3975</v>
      </c>
      <c r="D139" s="359">
        <v>34635000</v>
      </c>
      <c r="E139" s="359">
        <v>31619468</v>
      </c>
      <c r="F139" s="360">
        <v>91.293396852894475</v>
      </c>
      <c r="G139" s="359">
        <v>3015532</v>
      </c>
      <c r="H139" s="360">
        <v>8.706603147105529</v>
      </c>
    </row>
    <row r="140" spans="3:8" ht="17.100000000000001" customHeight="1" x14ac:dyDescent="0.25">
      <c r="C140" s="315" t="s">
        <v>3890</v>
      </c>
      <c r="D140" s="351">
        <v>14000000</v>
      </c>
      <c r="E140" s="351">
        <v>10985000</v>
      </c>
      <c r="F140" s="352">
        <v>78.464285714285722</v>
      </c>
      <c r="G140" s="351">
        <v>3015000</v>
      </c>
      <c r="H140" s="352">
        <v>21.535714285714285</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64690000</v>
      </c>
      <c r="F144" s="360">
        <v>59.714029889322738</v>
      </c>
      <c r="G144" s="359">
        <v>43643000</v>
      </c>
      <c r="H144" s="360">
        <v>40.285970110677269</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9960000</v>
      </c>
      <c r="F146" s="352">
        <v>36.218181818181819</v>
      </c>
      <c r="G146" s="351">
        <v>17540000</v>
      </c>
      <c r="H146" s="352">
        <v>63.781818181818181</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1707968860</v>
      </c>
      <c r="F148" s="356">
        <v>49.932696631118695</v>
      </c>
      <c r="G148" s="355">
        <v>1712573140</v>
      </c>
      <c r="H148" s="356">
        <v>50.067303368881312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390447219</v>
      </c>
      <c r="F153" s="352">
        <v>58.216271597354343</v>
      </c>
      <c r="G153" s="351">
        <v>280236781</v>
      </c>
      <c r="H153" s="352">
        <v>41.783728402645657</v>
      </c>
    </row>
    <row r="154" spans="3:8" x14ac:dyDescent="0.25">
      <c r="C154" s="325" t="s">
        <v>3934</v>
      </c>
      <c r="D154" s="357">
        <v>670684000</v>
      </c>
      <c r="E154" s="357">
        <v>390447219</v>
      </c>
      <c r="F154" s="358">
        <v>58.216271597354343</v>
      </c>
      <c r="G154" s="357">
        <v>280236781</v>
      </c>
      <c r="H154" s="358">
        <v>41.783728402645657</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167581461</v>
      </c>
      <c r="F159" s="360">
        <v>43.452597720819881</v>
      </c>
      <c r="G159" s="359">
        <v>218083539</v>
      </c>
      <c r="H159" s="360">
        <v>56.547402279180112</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160580461</v>
      </c>
      <c r="F162" s="352">
        <v>42.978010834131794</v>
      </c>
      <c r="G162" s="351">
        <v>213053539</v>
      </c>
      <c r="H162" s="352">
        <v>57.021989165868206</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663321641</v>
      </c>
      <c r="F181" s="352">
        <v>31.652189479390241</v>
      </c>
      <c r="G181" s="351">
        <v>1432336359</v>
      </c>
      <c r="H181" s="352">
        <v>68.347810520609755</v>
      </c>
    </row>
    <row r="182" spans="3:8" ht="17.100000000000001" customHeight="1" x14ac:dyDescent="0.25">
      <c r="C182" s="440" t="s">
        <v>3851</v>
      </c>
      <c r="D182" s="441">
        <v>2095658000</v>
      </c>
      <c r="E182" s="441">
        <v>663321641</v>
      </c>
      <c r="F182" s="442">
        <v>31.652189479390241</v>
      </c>
      <c r="G182" s="441">
        <v>1432336359</v>
      </c>
      <c r="H182" s="442">
        <v>68.347810520609755</v>
      </c>
    </row>
    <row r="183" spans="3:8" ht="17.100000000000001" customHeight="1" x14ac:dyDescent="0.25">
      <c r="C183" s="439" t="s">
        <v>3944</v>
      </c>
      <c r="D183" s="359">
        <v>1254380000</v>
      </c>
      <c r="E183" s="359">
        <v>487766151</v>
      </c>
      <c r="F183" s="360">
        <v>38.885038903681505</v>
      </c>
      <c r="G183" s="359">
        <v>766613849</v>
      </c>
      <c r="H183" s="360">
        <v>61.114961096318495</v>
      </c>
    </row>
    <row r="184" spans="3:8" x14ac:dyDescent="0.25">
      <c r="C184" s="315" t="s">
        <v>3945</v>
      </c>
      <c r="D184" s="351">
        <v>1076220000</v>
      </c>
      <c r="E184" s="351">
        <v>423058151</v>
      </c>
      <c r="F184" s="352">
        <v>39.309634740108898</v>
      </c>
      <c r="G184" s="351">
        <v>653161849</v>
      </c>
      <c r="H184" s="352">
        <v>60.690365259891102</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22086050</v>
      </c>
      <c r="F186" s="360">
        <v>14.837590358208153</v>
      </c>
      <c r="G186" s="359">
        <v>126765950</v>
      </c>
      <c r="H186" s="360">
        <v>85.162409641791854</v>
      </c>
    </row>
    <row r="187" spans="3:8" ht="17.100000000000001" customHeight="1" x14ac:dyDescent="0.25">
      <c r="C187" s="315" t="s">
        <v>3947</v>
      </c>
      <c r="D187" s="351">
        <v>30000000</v>
      </c>
      <c r="E187" s="351">
        <v>2286050</v>
      </c>
      <c r="F187" s="352">
        <v>7.620166666666667</v>
      </c>
      <c r="G187" s="351">
        <v>27713950</v>
      </c>
      <c r="H187" s="352">
        <v>92.379833333333337</v>
      </c>
    </row>
    <row r="188" spans="3:8" x14ac:dyDescent="0.25">
      <c r="C188" s="315" t="s">
        <v>3896</v>
      </c>
      <c r="D188" s="351">
        <v>118852000</v>
      </c>
      <c r="E188" s="351">
        <v>19800000</v>
      </c>
      <c r="F188" s="352">
        <v>16.659374684481541</v>
      </c>
      <c r="G188" s="351">
        <v>99052000</v>
      </c>
      <c r="H188" s="352">
        <v>83.340625315518452</v>
      </c>
    </row>
    <row r="189" spans="3:8" ht="17.100000000000001" customHeight="1" x14ac:dyDescent="0.25">
      <c r="C189" s="439" t="s">
        <v>3948</v>
      </c>
      <c r="D189" s="359">
        <v>533050000</v>
      </c>
      <c r="E189" s="359">
        <v>94875440</v>
      </c>
      <c r="F189" s="360">
        <v>17.798600506519087</v>
      </c>
      <c r="G189" s="359">
        <v>438174560</v>
      </c>
      <c r="H189" s="360">
        <v>82.201399493480906</v>
      </c>
    </row>
    <row r="190" spans="3:8" ht="17.100000000000001" customHeight="1" x14ac:dyDescent="0.25">
      <c r="C190" s="315" t="s">
        <v>3949</v>
      </c>
      <c r="D190" s="351">
        <v>497050000</v>
      </c>
      <c r="E190" s="351">
        <v>85875440</v>
      </c>
      <c r="F190" s="352">
        <v>17.277022432350869</v>
      </c>
      <c r="G190" s="351">
        <v>411174560</v>
      </c>
      <c r="H190" s="352">
        <v>82.722977567649124</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58594000</v>
      </c>
      <c r="F192" s="360">
        <v>36.764632065053711</v>
      </c>
      <c r="G192" s="359">
        <v>100782000</v>
      </c>
      <c r="H192" s="360">
        <v>63.235367934946296</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14184000</v>
      </c>
      <c r="F194" s="352">
        <v>24.314317059791552</v>
      </c>
      <c r="G194" s="351">
        <v>44152000</v>
      </c>
      <c r="H194" s="352">
        <v>75.685682940208437</v>
      </c>
    </row>
    <row r="195" spans="3:8" x14ac:dyDescent="0.25">
      <c r="C195" s="309" t="s">
        <v>3920</v>
      </c>
      <c r="D195" s="351">
        <v>6082500000</v>
      </c>
      <c r="E195" s="351">
        <v>3476713912</v>
      </c>
      <c r="F195" s="352">
        <v>57.159291607069463</v>
      </c>
      <c r="G195" s="351">
        <v>2605786088</v>
      </c>
      <c r="H195" s="352">
        <v>42.840708392930537</v>
      </c>
    </row>
    <row r="196" spans="3:8" x14ac:dyDescent="0.25">
      <c r="C196" s="310" t="s">
        <v>542</v>
      </c>
      <c r="D196" s="353">
        <v>6082500000</v>
      </c>
      <c r="E196" s="353">
        <v>3476713912</v>
      </c>
      <c r="F196" s="354">
        <v>57.159291607069463</v>
      </c>
      <c r="G196" s="353">
        <v>2605786088</v>
      </c>
      <c r="H196" s="354">
        <v>42.840708392930537</v>
      </c>
    </row>
    <row r="197" spans="3:8" x14ac:dyDescent="0.25">
      <c r="C197" s="170" t="s">
        <v>543</v>
      </c>
      <c r="D197" s="355">
        <v>6082500000</v>
      </c>
      <c r="E197" s="355">
        <v>3476713912</v>
      </c>
      <c r="F197" s="356">
        <v>57.159291607069463</v>
      </c>
      <c r="G197" s="355">
        <v>2605786088</v>
      </c>
      <c r="H197" s="356">
        <v>42.840708392930537</v>
      </c>
    </row>
    <row r="198" spans="3:8" x14ac:dyDescent="0.25">
      <c r="C198" s="309" t="s">
        <v>3980</v>
      </c>
      <c r="D198" s="351">
        <v>6082500000</v>
      </c>
      <c r="E198" s="351">
        <v>3476713912</v>
      </c>
      <c r="F198" s="352">
        <v>57.159291607069463</v>
      </c>
      <c r="G198" s="351">
        <v>2605786088</v>
      </c>
      <c r="H198" s="352">
        <v>42.840708392930537</v>
      </c>
    </row>
    <row r="199" spans="3:8" x14ac:dyDescent="0.25">
      <c r="C199" s="325" t="s">
        <v>3981</v>
      </c>
      <c r="D199" s="357">
        <v>5973300000</v>
      </c>
      <c r="E199" s="357">
        <v>3468907912</v>
      </c>
      <c r="F199" s="358">
        <v>58.073559205129484</v>
      </c>
      <c r="G199" s="357">
        <v>2504392088</v>
      </c>
      <c r="H199" s="358">
        <v>41.926440794870508</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3443517912</v>
      </c>
      <c r="F207" s="360">
        <v>84.282304773116934</v>
      </c>
      <c r="G207" s="359">
        <v>642177088</v>
      </c>
      <c r="H207" s="360">
        <v>15.717695226883063</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3393066206</v>
      </c>
      <c r="F209" s="352">
        <v>89.087369978430928</v>
      </c>
      <c r="G209" s="351">
        <v>415628794</v>
      </c>
      <c r="H209" s="352">
        <v>10.912630021569068</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42723206</v>
      </c>
      <c r="F212" s="352">
        <v>19.779262037037036</v>
      </c>
      <c r="G212" s="351">
        <v>173276794</v>
      </c>
      <c r="H212" s="352">
        <v>80.220737962962957</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309" t="s">
        <v>4004</v>
      </c>
      <c r="D222" s="351">
        <v>11375804000</v>
      </c>
      <c r="E222" s="351">
        <v>6078417032</v>
      </c>
      <c r="F222" s="352">
        <v>53.432856543590233</v>
      </c>
      <c r="G222" s="351">
        <v>5297386968</v>
      </c>
      <c r="H222" s="352">
        <v>46.567143456409759</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5512106120</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78" bottom="0.65" header="0.65" footer="0.56999999999999995"/>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J20"/>
  <sheetViews>
    <sheetView workbookViewId="0">
      <selection activeCell="K20" sqref="K20"/>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0" x14ac:dyDescent="0.25">
      <c r="B5" s="295" t="s">
        <v>4029</v>
      </c>
      <c r="C5" s="296" t="s">
        <v>4013</v>
      </c>
      <c r="D5" s="296" t="s">
        <v>4014</v>
      </c>
      <c r="E5" s="296" t="s">
        <v>4015</v>
      </c>
      <c r="F5" s="296" t="s">
        <v>4023</v>
      </c>
      <c r="G5" s="296" t="s">
        <v>4341</v>
      </c>
      <c r="H5" s="296" t="s">
        <v>4377</v>
      </c>
      <c r="I5" s="296" t="s">
        <v>4414</v>
      </c>
      <c r="J5" s="296" t="s">
        <v>4553</v>
      </c>
    </row>
    <row r="6" spans="2:10" x14ac:dyDescent="0.25">
      <c r="B6" s="295" t="s">
        <v>4027</v>
      </c>
      <c r="C6" s="297" t="s">
        <v>4346</v>
      </c>
      <c r="D6" s="297" t="s">
        <v>4347</v>
      </c>
      <c r="E6" s="297" t="s">
        <v>4345</v>
      </c>
      <c r="F6" s="297" t="s">
        <v>4344</v>
      </c>
      <c r="G6" s="298" t="s">
        <v>4343</v>
      </c>
      <c r="H6" s="298" t="s">
        <v>4413</v>
      </c>
      <c r="I6" s="298" t="s">
        <v>4413</v>
      </c>
      <c r="J6" s="298" t="s">
        <v>4554</v>
      </c>
    </row>
    <row r="7" spans="2:10" hidden="1" x14ac:dyDescent="0.25">
      <c r="B7" s="254" t="s">
        <v>4021</v>
      </c>
      <c r="C7" s="164" t="s">
        <v>4018</v>
      </c>
      <c r="D7" s="164" t="s">
        <v>4019</v>
      </c>
      <c r="E7" s="164" t="s">
        <v>4020</v>
      </c>
      <c r="F7" s="164" t="s">
        <v>4024</v>
      </c>
      <c r="G7" s="164" t="s">
        <v>4342</v>
      </c>
      <c r="H7" s="164" t="s">
        <v>4411</v>
      </c>
      <c r="I7" s="164" t="s">
        <v>4412</v>
      </c>
      <c r="J7" s="164" t="s">
        <v>4552</v>
      </c>
    </row>
    <row r="8" spans="2:10" x14ac:dyDescent="0.25">
      <c r="B8" s="316" t="s">
        <v>576</v>
      </c>
      <c r="C8" s="314">
        <v>99961115</v>
      </c>
      <c r="D8" s="314">
        <v>249311050</v>
      </c>
      <c r="E8" s="314">
        <v>39291922</v>
      </c>
      <c r="F8" s="314">
        <v>95254996</v>
      </c>
      <c r="G8" s="314">
        <v>90588412</v>
      </c>
      <c r="H8" s="314">
        <v>75905247</v>
      </c>
      <c r="I8" s="314">
        <v>103091640</v>
      </c>
      <c r="J8" s="314">
        <v>2030000</v>
      </c>
    </row>
    <row r="9" spans="2:10" x14ac:dyDescent="0.25">
      <c r="B9" s="268" t="s">
        <v>546</v>
      </c>
      <c r="C9" s="169">
        <v>0</v>
      </c>
      <c r="D9" s="169">
        <v>50674500</v>
      </c>
      <c r="E9" s="169">
        <v>18269500</v>
      </c>
      <c r="F9" s="169">
        <v>19929200</v>
      </c>
      <c r="G9" s="169">
        <v>10000000</v>
      </c>
      <c r="H9" s="169">
        <v>9882500</v>
      </c>
      <c r="I9" s="169">
        <v>25762820</v>
      </c>
      <c r="J9" s="169">
        <v>2030000</v>
      </c>
    </row>
    <row r="10" spans="2:10" x14ac:dyDescent="0.25">
      <c r="B10" s="268" t="s">
        <v>560</v>
      </c>
      <c r="C10" s="169">
        <v>99961115</v>
      </c>
      <c r="D10" s="169">
        <v>198636550</v>
      </c>
      <c r="E10" s="169">
        <v>21022422</v>
      </c>
      <c r="F10" s="169">
        <v>75325796</v>
      </c>
      <c r="G10" s="169">
        <v>80588412</v>
      </c>
      <c r="H10" s="169">
        <v>66022747</v>
      </c>
      <c r="I10" s="169">
        <v>77328820</v>
      </c>
      <c r="J10" s="169">
        <v>0</v>
      </c>
    </row>
    <row r="11" spans="2:10" x14ac:dyDescent="0.25">
      <c r="B11" s="316" t="s">
        <v>542</v>
      </c>
      <c r="C11" s="314">
        <v>0</v>
      </c>
      <c r="D11" s="314">
        <v>46363943</v>
      </c>
      <c r="E11" s="314">
        <v>13965000</v>
      </c>
      <c r="F11" s="314">
        <v>0</v>
      </c>
      <c r="G11" s="314">
        <v>0</v>
      </c>
      <c r="H11" s="314">
        <v>300383</v>
      </c>
      <c r="I11" s="314">
        <v>99280968</v>
      </c>
      <c r="J11" s="314">
        <v>5529500</v>
      </c>
    </row>
    <row r="12" spans="2:10" x14ac:dyDescent="0.25">
      <c r="B12" s="268" t="s">
        <v>591</v>
      </c>
      <c r="C12" s="169">
        <v>0</v>
      </c>
      <c r="D12" s="169">
        <v>5496528</v>
      </c>
      <c r="E12" s="169">
        <v>4230000</v>
      </c>
      <c r="F12" s="169">
        <v>0</v>
      </c>
      <c r="G12" s="169">
        <v>0</v>
      </c>
      <c r="H12" s="169">
        <v>300383</v>
      </c>
      <c r="I12" s="169">
        <v>36489355</v>
      </c>
      <c r="J12" s="169">
        <v>2640000</v>
      </c>
    </row>
    <row r="13" spans="2:10" x14ac:dyDescent="0.25">
      <c r="B13" s="268" t="s">
        <v>543</v>
      </c>
      <c r="C13" s="169">
        <v>0</v>
      </c>
      <c r="D13" s="169">
        <v>40867415</v>
      </c>
      <c r="E13" s="169">
        <v>9735000</v>
      </c>
      <c r="F13" s="169">
        <v>0</v>
      </c>
      <c r="G13" s="169">
        <v>0</v>
      </c>
      <c r="H13" s="169">
        <v>0</v>
      </c>
      <c r="I13" s="169">
        <v>62791613</v>
      </c>
      <c r="J13" s="169">
        <v>2889500</v>
      </c>
    </row>
    <row r="14" spans="2:10" x14ac:dyDescent="0.25">
      <c r="B14" s="316" t="s">
        <v>531</v>
      </c>
      <c r="C14" s="314">
        <v>0</v>
      </c>
      <c r="D14" s="314">
        <v>53677994</v>
      </c>
      <c r="E14" s="314">
        <v>21269213</v>
      </c>
      <c r="F14" s="314">
        <v>0</v>
      </c>
      <c r="G14" s="314">
        <v>0</v>
      </c>
      <c r="H14" s="314">
        <v>16306833</v>
      </c>
      <c r="I14" s="314">
        <v>45801723</v>
      </c>
      <c r="J14" s="314">
        <v>0</v>
      </c>
    </row>
    <row r="15" spans="2:10" x14ac:dyDescent="0.25">
      <c r="B15" s="268" t="s">
        <v>532</v>
      </c>
      <c r="C15" s="169">
        <v>0</v>
      </c>
      <c r="D15" s="169">
        <v>31461994</v>
      </c>
      <c r="E15" s="169">
        <v>9369213</v>
      </c>
      <c r="F15" s="169">
        <v>0</v>
      </c>
      <c r="G15" s="169">
        <v>0</v>
      </c>
      <c r="H15" s="169">
        <v>11498833</v>
      </c>
      <c r="I15" s="169">
        <v>15810223</v>
      </c>
      <c r="J15" s="169">
        <v>0</v>
      </c>
    </row>
    <row r="16" spans="2:10" x14ac:dyDescent="0.25">
      <c r="B16" s="268" t="s">
        <v>534</v>
      </c>
      <c r="C16" s="169">
        <v>0</v>
      </c>
      <c r="D16" s="169">
        <v>22216000</v>
      </c>
      <c r="E16" s="169">
        <v>11900000</v>
      </c>
      <c r="F16" s="169">
        <v>0</v>
      </c>
      <c r="G16" s="169">
        <v>0</v>
      </c>
      <c r="H16" s="169">
        <v>4808000</v>
      </c>
      <c r="I16" s="169">
        <v>29991500</v>
      </c>
      <c r="J16" s="169">
        <v>0</v>
      </c>
    </row>
    <row r="17" spans="2:10" x14ac:dyDescent="0.25">
      <c r="B17" s="316" t="s">
        <v>535</v>
      </c>
      <c r="C17" s="314">
        <v>0</v>
      </c>
      <c r="D17" s="314">
        <v>61147200</v>
      </c>
      <c r="E17" s="314">
        <v>23650240</v>
      </c>
      <c r="F17" s="314">
        <v>0</v>
      </c>
      <c r="G17" s="314">
        <v>4851204</v>
      </c>
      <c r="H17" s="314">
        <v>1326114</v>
      </c>
      <c r="I17" s="314">
        <v>63914400</v>
      </c>
      <c r="J17" s="314">
        <v>0</v>
      </c>
    </row>
    <row r="18" spans="2:10" x14ac:dyDescent="0.25">
      <c r="B18" s="268" t="s">
        <v>536</v>
      </c>
      <c r="C18" s="169">
        <v>0</v>
      </c>
      <c r="D18" s="169">
        <v>35690450</v>
      </c>
      <c r="E18" s="169">
        <v>7572800</v>
      </c>
      <c r="F18" s="169">
        <v>0</v>
      </c>
      <c r="G18" s="169">
        <v>0</v>
      </c>
      <c r="H18" s="169">
        <v>1074100</v>
      </c>
      <c r="I18" s="169">
        <v>63914400</v>
      </c>
      <c r="J18" s="169">
        <v>0</v>
      </c>
    </row>
    <row r="19" spans="2:10" x14ac:dyDescent="0.25">
      <c r="B19" s="268" t="s">
        <v>538</v>
      </c>
      <c r="C19" s="169">
        <v>0</v>
      </c>
      <c r="D19" s="169">
        <v>25456750</v>
      </c>
      <c r="E19" s="169">
        <v>16077440</v>
      </c>
      <c r="F19" s="169">
        <v>0</v>
      </c>
      <c r="G19" s="169">
        <v>4851204</v>
      </c>
      <c r="H19" s="169">
        <v>252014</v>
      </c>
      <c r="I19" s="169">
        <v>0</v>
      </c>
      <c r="J19" s="169">
        <v>0</v>
      </c>
    </row>
    <row r="20" spans="2:10" x14ac:dyDescent="0.25">
      <c r="B20" s="255" t="s">
        <v>4004</v>
      </c>
      <c r="C20" s="169">
        <v>99961115</v>
      </c>
      <c r="D20" s="169">
        <v>410500187</v>
      </c>
      <c r="E20" s="169">
        <v>98176375</v>
      </c>
      <c r="F20" s="169">
        <v>95254996</v>
      </c>
      <c r="G20" s="169">
        <v>95439616</v>
      </c>
      <c r="H20" s="169">
        <v>93838577</v>
      </c>
      <c r="I20" s="169">
        <v>312088731</v>
      </c>
      <c r="J20" s="169">
        <v>7559500</v>
      </c>
    </row>
  </sheetData>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A145"/>
  <sheetViews>
    <sheetView showGridLines="0" topLeftCell="P1" zoomScale="85" zoomScaleNormal="85" workbookViewId="0">
      <pane ySplit="3" topLeftCell="A112" activePane="bottomLeft" state="frozen"/>
      <selection activeCell="N1" sqref="N1"/>
      <selection pane="bottomLeft" activeCell="W149" sqref="W149"/>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AD2" t="s">
        <v>3842</v>
      </c>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5581000</v>
      </c>
      <c r="AM4" s="231">
        <f>IFERROR(AL4/Q4*100,0)</f>
        <v>28.080503144654088</v>
      </c>
      <c r="AN4" s="380">
        <f>Q4-AL4</f>
        <v>14294000</v>
      </c>
      <c r="AO4" s="231">
        <f>IFERROR(AN4/Q4*100,0)</f>
        <v>71.919496855345912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row>
    <row r="5" spans="1:53"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row>
    <row r="6" spans="1:53"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26276000</v>
      </c>
      <c r="AM6" s="231">
        <f t="shared" si="1"/>
        <v>60.739713361072589</v>
      </c>
      <c r="AN6" s="380">
        <f t="shared" si="2"/>
        <v>16984000</v>
      </c>
      <c r="AO6" s="231">
        <f t="shared" si="3"/>
        <v>39.260286638927418</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row>
    <row r="7" spans="1:53"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row>
    <row r="8" spans="1:53"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row>
    <row r="9" spans="1:53"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row>
    <row r="10" spans="1:53"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3120000</v>
      </c>
      <c r="AM10" s="231">
        <f t="shared" si="1"/>
        <v>14.682352941176472</v>
      </c>
      <c r="AN10" s="380">
        <f t="shared" si="2"/>
        <v>18130000</v>
      </c>
      <c r="AO10" s="231">
        <f t="shared" si="3"/>
        <v>85.317647058823525</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row>
    <row r="11" spans="1:53"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row>
    <row r="12" spans="1:53"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row>
    <row r="13" spans="1:53"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row>
    <row r="14" spans="1:53"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row>
    <row r="15" spans="1:53"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row>
    <row r="16" spans="1:53"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row>
    <row r="17" spans="1:53"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33228650</v>
      </c>
      <c r="AM17" s="231">
        <f t="shared" si="1"/>
        <v>13.117055628365257</v>
      </c>
      <c r="AN17" s="380">
        <f t="shared" si="2"/>
        <v>220095350</v>
      </c>
      <c r="AO17" s="231">
        <f t="shared" si="3"/>
        <v>86.882944371634736</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row>
    <row r="18" spans="1:53"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row>
    <row r="19" spans="1:53"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row>
    <row r="20" spans="1:53"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row>
    <row r="21" spans="1:53"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row>
    <row r="22" spans="1:53"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row>
    <row r="23" spans="1:53"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row>
    <row r="24" spans="1:53"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row>
    <row r="25" spans="1:53"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row>
    <row r="26" spans="1:53"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row>
    <row r="27" spans="1:53"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row>
    <row r="28" spans="1:53"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row>
    <row r="29" spans="1:53"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row>
    <row r="30" spans="1:53"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row>
    <row r="31" spans="1:53"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row>
    <row r="32" spans="1:53"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row>
    <row r="33" spans="1:53"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57918610</v>
      </c>
      <c r="AM33" s="231">
        <f t="shared" si="1"/>
        <v>59.454925268949651</v>
      </c>
      <c r="AN33" s="380">
        <f t="shared" si="2"/>
        <v>39497390</v>
      </c>
      <c r="AO33" s="231">
        <f t="shared" si="3"/>
        <v>40.545074731050342</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row>
    <row r="34" spans="1:53"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row>
    <row r="35" spans="1:53"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row>
    <row r="36" spans="1:53"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row>
    <row r="37" spans="1:53"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row>
    <row r="38" spans="1:53"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row>
    <row r="39" spans="1:53"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row>
    <row r="40" spans="1:53"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row>
    <row r="41" spans="1:53"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row>
    <row r="42" spans="1:53"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row>
    <row r="43" spans="1:53"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row>
    <row r="44" spans="1:53"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row>
    <row r="45" spans="1:53"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160580461</v>
      </c>
      <c r="AM45" s="231">
        <f t="shared" si="1"/>
        <v>42.978010834131794</v>
      </c>
      <c r="AN45" s="380">
        <f t="shared" si="2"/>
        <v>213053539</v>
      </c>
      <c r="AO45" s="231">
        <f t="shared" si="3"/>
        <v>57.021989165868206</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row>
    <row r="46" spans="1:53"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row>
    <row r="47" spans="1:53"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row>
    <row r="48" spans="1:53"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row>
    <row r="49" spans="1:53"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row>
    <row r="50" spans="1:53"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row>
    <row r="51" spans="1:53"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row>
    <row r="52" spans="1:53"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row>
    <row r="53" spans="1:53"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row>
    <row r="54" spans="1:53"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row>
    <row r="55" spans="1:53"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row>
    <row r="56" spans="1:53"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row>
    <row r="57" spans="1:53"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row>
    <row r="58" spans="1:53"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row>
    <row r="59" spans="1:53"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row>
    <row r="60" spans="1:53"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row>
    <row r="61" spans="1:53"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row>
    <row r="62" spans="1:53"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row>
    <row r="63" spans="1:53"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row>
    <row r="64" spans="1:53"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11542500</v>
      </c>
      <c r="AM64" s="231">
        <f t="shared" si="1"/>
        <v>91.972111553784856</v>
      </c>
      <c r="AN64" s="380">
        <f t="shared" si="2"/>
        <v>1007500</v>
      </c>
      <c r="AO64" s="231">
        <f t="shared" si="3"/>
        <v>8.0278884462151403</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row>
    <row r="65" spans="1:53"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row>
    <row r="66" spans="1:53"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4800000</v>
      </c>
      <c r="AM66" s="231">
        <f t="shared" si="1"/>
        <v>53.333333333333336</v>
      </c>
      <c r="AN66" s="380">
        <f t="shared" si="2"/>
        <v>4200000</v>
      </c>
      <c r="AO66" s="231">
        <f t="shared" si="3"/>
        <v>46.666666666666664</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row>
    <row r="67" spans="1:53"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row>
    <row r="68" spans="1:53"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row>
    <row r="69" spans="1:53"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row>
    <row r="70" spans="1:53"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row>
    <row r="71" spans="1:53"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row>
    <row r="72" spans="1:53"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row>
    <row r="73" spans="1:53"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row>
    <row r="74" spans="1:53"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14000000</v>
      </c>
      <c r="AM74" s="231">
        <f t="shared" si="8"/>
        <v>35</v>
      </c>
      <c r="AN74" s="380">
        <f t="shared" si="9"/>
        <v>26000000</v>
      </c>
      <c r="AO74" s="231">
        <f t="shared" si="10"/>
        <v>65</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row>
    <row r="75" spans="1:53"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row>
    <row r="76" spans="1:53"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0</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423058151</v>
      </c>
      <c r="AM76" s="231">
        <f t="shared" si="8"/>
        <v>39.309634740108898</v>
      </c>
      <c r="AN76" s="380">
        <f t="shared" si="9"/>
        <v>653161849</v>
      </c>
      <c r="AO76" s="231">
        <f t="shared" si="10"/>
        <v>60.690365259891102</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row>
    <row r="77" spans="1:53"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row>
    <row r="78" spans="1:53"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2286050</v>
      </c>
      <c r="AM78" s="231">
        <f t="shared" si="8"/>
        <v>7.620166666666667</v>
      </c>
      <c r="AN78" s="380">
        <f t="shared" si="9"/>
        <v>27713950</v>
      </c>
      <c r="AO78" s="231">
        <f t="shared" si="10"/>
        <v>92.379833333333337</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row>
    <row r="79" spans="1:53"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19800000</v>
      </c>
      <c r="AM79" s="231">
        <f t="shared" si="8"/>
        <v>16.659374684481541</v>
      </c>
      <c r="AN79" s="380">
        <f t="shared" si="9"/>
        <v>99052000</v>
      </c>
      <c r="AO79" s="231">
        <f t="shared" si="10"/>
        <v>83.340625315518452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row>
    <row r="80" spans="1:53"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85875440</v>
      </c>
      <c r="AM80" s="231">
        <f t="shared" si="8"/>
        <v>17.277022432350869</v>
      </c>
      <c r="AN80" s="380">
        <f t="shared" si="9"/>
        <v>411174560</v>
      </c>
      <c r="AO80" s="231">
        <f t="shared" si="10"/>
        <v>82.722977567649124</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row>
    <row r="81" spans="1:53"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row>
    <row r="82" spans="1:53"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row>
    <row r="83" spans="1:53"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14184000</v>
      </c>
      <c r="AM83" s="231">
        <f t="shared" si="8"/>
        <v>24.314317059791552</v>
      </c>
      <c r="AN83" s="380">
        <f t="shared" si="9"/>
        <v>44152000</v>
      </c>
      <c r="AO83" s="231">
        <f t="shared" si="10"/>
        <v>75.685682940208437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row>
    <row r="84" spans="1:53"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row>
    <row r="85" spans="1:53"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row>
    <row r="86" spans="1:53"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row>
    <row r="87" spans="1:53"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row>
    <row r="88" spans="1:53"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row>
    <row r="89" spans="1:53"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row>
    <row r="90" spans="1:53"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row>
    <row r="91" spans="1:53"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row>
    <row r="92" spans="1:53"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row>
    <row r="93" spans="1:53"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row>
    <row r="94" spans="1:53"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row>
    <row r="95" spans="1:53"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row>
    <row r="96" spans="1:53"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row>
    <row r="97" spans="1:53"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row>
    <row r="98" spans="1:53"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row>
    <row r="99" spans="1:53"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row>
    <row r="100" spans="1:53"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row>
    <row r="101" spans="1:53"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row>
    <row r="102" spans="1:53"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row>
    <row r="103" spans="1:53"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row>
    <row r="104" spans="1:53"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row>
    <row r="105" spans="1:53"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row>
    <row r="106" spans="1:53"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row>
    <row r="107" spans="1:53"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row>
    <row r="108" spans="1:53"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row>
    <row r="109" spans="1:53"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row>
    <row r="110" spans="1:53"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row>
    <row r="111" spans="1:53"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row>
    <row r="112" spans="1:53"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13831000</v>
      </c>
      <c r="AM112" s="231">
        <f t="shared" si="8"/>
        <v>75.168478260869563</v>
      </c>
      <c r="AN112" s="380">
        <f t="shared" si="9"/>
        <v>4569000</v>
      </c>
      <c r="AO112" s="231">
        <f t="shared" si="10"/>
        <v>24.831521739130437</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row>
    <row r="113" spans="1:53"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row>
    <row r="114" spans="1:53"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row>
    <row r="115" spans="1:53"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row>
    <row r="116" spans="1:53"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4968500</v>
      </c>
      <c r="AM116" s="231">
        <f t="shared" si="8"/>
        <v>66.24666666666667</v>
      </c>
      <c r="AN116" s="380">
        <f t="shared" si="9"/>
        <v>2531500</v>
      </c>
      <c r="AO116" s="231">
        <f t="shared" si="10"/>
        <v>33.753333333333337</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row>
    <row r="117" spans="1:53"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row>
    <row r="118" spans="1:53"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10985000</v>
      </c>
      <c r="AM118" s="231">
        <f t="shared" si="8"/>
        <v>78.464285714285722</v>
      </c>
      <c r="AN118" s="380">
        <f t="shared" si="9"/>
        <v>3015000</v>
      </c>
      <c r="AO118" s="231">
        <f t="shared" si="10"/>
        <v>21.535714285714285</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row>
    <row r="119" spans="1:53"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row>
    <row r="120" spans="1:53"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row>
    <row r="121" spans="1:53"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row>
    <row r="122" spans="1:53"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row>
    <row r="123" spans="1:53"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row>
    <row r="124" spans="1:53"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9960000</v>
      </c>
      <c r="AM124" s="231">
        <f t="shared" si="8"/>
        <v>36.218181818181819</v>
      </c>
      <c r="AN124" s="380">
        <f t="shared" si="9"/>
        <v>17540000</v>
      </c>
      <c r="AO124" s="231">
        <f t="shared" si="10"/>
        <v>63.781818181818181</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row>
    <row r="125" spans="1:53"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row>
    <row r="126" spans="1:53"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row>
    <row r="127" spans="1:53"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row>
    <row r="128" spans="1:53"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row>
    <row r="129" spans="1:53"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row>
    <row r="130" spans="1:53"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row>
    <row r="131" spans="1:53"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row>
    <row r="132" spans="1:53"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row>
    <row r="133" spans="1:53"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1843270850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3393066206</v>
      </c>
      <c r="AM133" s="231">
        <f t="shared" ref="AM133:AM143" si="14">IFERROR(AL133/Q133*100,0)</f>
        <v>89.087369978430928</v>
      </c>
      <c r="AN133" s="380">
        <f t="shared" si="13"/>
        <v>415628794</v>
      </c>
      <c r="AO133" s="231">
        <f t="shared" ref="AO133:AO143" si="15">IFERROR(AN133/Q133*100,0)</f>
        <v>10.912630021569068</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row>
    <row r="134" spans="1:53"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row>
    <row r="135" spans="1:53"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row>
    <row r="136" spans="1:53"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42723206</v>
      </c>
      <c r="AM136" s="231">
        <f t="shared" si="14"/>
        <v>19.779262037037036</v>
      </c>
      <c r="AN136" s="380">
        <f t="shared" si="13"/>
        <v>173276794</v>
      </c>
      <c r="AO136" s="231">
        <f t="shared" si="15"/>
        <v>80.220737962962957</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row>
    <row r="137" spans="1:53"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row>
    <row r="138" spans="1:53"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row>
    <row r="139" spans="1:53"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row>
    <row r="140" spans="1:53"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row>
    <row r="141" spans="1:53"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row>
    <row r="142" spans="1:53"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row>
    <row r="143" spans="1:53"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row>
    <row r="144" spans="1:53"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2178278681</v>
      </c>
      <c r="AA144" s="237">
        <f t="shared" si="17"/>
        <v>0</v>
      </c>
      <c r="AB144" s="237">
        <f t="shared" si="17"/>
        <v>0</v>
      </c>
      <c r="AC144" s="237">
        <f t="shared" si="17"/>
        <v>0</v>
      </c>
      <c r="AD144" s="237">
        <f t="shared" si="17"/>
        <v>0</v>
      </c>
      <c r="AE144" s="237">
        <f t="shared" si="17"/>
        <v>0</v>
      </c>
      <c r="AF144" s="237">
        <f t="shared" si="17"/>
        <v>0</v>
      </c>
      <c r="AL144" s="237">
        <f>SUM(AL4:AL143)</f>
        <v>6078417032</v>
      </c>
      <c r="AM144" s="238">
        <f>AL144/Q144*100</f>
        <v>53.432856543590233</v>
      </c>
      <c r="AN144" s="237">
        <f>SUM(AN4:AN143)</f>
        <v>5297386968</v>
      </c>
      <c r="AO144" s="238">
        <f>AN144/Q144*100</f>
        <v>46.567143456409759</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row>
    <row r="145" spans="23:23" x14ac:dyDescent="0.25">
      <c r="W145" s="217"/>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1182051100</v>
      </c>
      <c r="AM4" s="231">
        <f t="shared" ref="AM4:AM14" si="1">IFERROR(AL4/Q4*100,0)</f>
        <v>47.596619578115686</v>
      </c>
      <c r="AN4" s="380">
        <f t="shared" ref="AN4:AN14" si="2">Q4-AL4</f>
        <v>1301425900</v>
      </c>
      <c r="AO4" s="231">
        <f t="shared" ref="AO4:AO14" si="3">IFERROR(AN4/Q4*100,0)</f>
        <v>52.403380421884314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0</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18339</v>
      </c>
      <c r="AM5" s="231">
        <f t="shared" si="1"/>
        <v>48.260526315789477</v>
      </c>
      <c r="AN5" s="348">
        <f t="shared" si="2"/>
        <v>19661</v>
      </c>
      <c r="AO5" s="231">
        <f t="shared" si="3"/>
        <v>51.739473684210523</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76945360</v>
      </c>
      <c r="AM6" s="231">
        <f t="shared" si="1"/>
        <v>44.746340697491846</v>
      </c>
      <c r="AN6" s="348">
        <f t="shared" si="2"/>
        <v>95013640</v>
      </c>
      <c r="AO6" s="231">
        <f t="shared" si="3"/>
        <v>55.253659302508154</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0</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22886520</v>
      </c>
      <c r="AM7" s="231">
        <f t="shared" si="1"/>
        <v>49.007537473233405</v>
      </c>
      <c r="AN7" s="348">
        <f t="shared" si="2"/>
        <v>23813480</v>
      </c>
      <c r="AO7" s="231">
        <f t="shared" si="3"/>
        <v>50.992462526766587</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68110000</v>
      </c>
      <c r="AM8" s="231">
        <f t="shared" si="1"/>
        <v>43.107594936708857</v>
      </c>
      <c r="AN8" s="348">
        <f t="shared" si="2"/>
        <v>89890000</v>
      </c>
      <c r="AO8" s="231">
        <f t="shared" si="3"/>
        <v>56.892405063291143</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33802000</v>
      </c>
      <c r="AM9" s="231">
        <f t="shared" si="1"/>
        <v>70.157741801577416</v>
      </c>
      <c r="AN9" s="348">
        <f t="shared" si="2"/>
        <v>14378000</v>
      </c>
      <c r="AO9" s="231">
        <f t="shared" si="3"/>
        <v>29.842258198422584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0</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4367936</v>
      </c>
      <c r="AM10" s="231">
        <f t="shared" si="1"/>
        <v>33.259240082235593</v>
      </c>
      <c r="AN10" s="348">
        <f t="shared" si="2"/>
        <v>8765064</v>
      </c>
      <c r="AO10" s="231">
        <f t="shared" si="3"/>
        <v>66.740759917764407</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62136360</v>
      </c>
      <c r="AM11" s="380">
        <f t="shared" si="1"/>
        <v>47.675078452886069</v>
      </c>
      <c r="AN11" s="348">
        <f t="shared" si="2"/>
        <v>68196640</v>
      </c>
      <c r="AO11" s="231">
        <f t="shared" si="3"/>
        <v>52.324921547113931</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38965000</v>
      </c>
      <c r="AM13" s="231">
        <f t="shared" si="1"/>
        <v>44.098008148483473</v>
      </c>
      <c r="AN13" s="348">
        <f t="shared" si="2"/>
        <v>49395000</v>
      </c>
      <c r="AO13" s="231">
        <f t="shared" si="3"/>
        <v>55.90199185151652</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0</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1324672689</v>
      </c>
      <c r="AM14" s="231">
        <f t="shared" si="1"/>
        <v>50.262899660328564</v>
      </c>
      <c r="AN14" s="348">
        <f t="shared" si="2"/>
        <v>1310815311</v>
      </c>
      <c r="AO14" s="231">
        <f t="shared" si="3"/>
        <v>49.737100339671436</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T141" activePane="bottomRight" state="frozen"/>
      <selection pane="topRight" activeCell="D1" sqref="D1"/>
      <selection pane="bottomLeft" activeCell="A15" sqref="A15"/>
      <selection pane="bottomRight" activeCell="B7" sqref="B7"/>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bestFit="1" customWidth="1"/>
    <col min="25" max="25" width="14.85546875" bestFit="1" customWidth="1"/>
    <col min="26" max="26" width="11.85546875" customWidth="1"/>
    <col min="27" max="27" width="12.140625" customWidth="1"/>
    <col min="28" max="28" width="9.140625" customWidth="1"/>
    <col min="29"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5" width="15" bestFit="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s>
  <sheetData>
    <row r="4" spans="2:60" x14ac:dyDescent="0.25">
      <c r="B4" s="189" t="s">
        <v>598</v>
      </c>
      <c r="C4" s="189"/>
    </row>
    <row r="5" spans="2:60" x14ac:dyDescent="0.25">
      <c r="B5" s="189" t="s">
        <v>5595</v>
      </c>
      <c r="C5" s="189"/>
    </row>
    <row r="6" spans="2:60" x14ac:dyDescent="0.25">
      <c r="B6" s="189" t="s">
        <v>5604</v>
      </c>
      <c r="C6" s="189"/>
    </row>
    <row r="7" spans="2:60" x14ac:dyDescent="0.25">
      <c r="B7" s="189" t="s">
        <v>599</v>
      </c>
      <c r="C7" s="189" t="s">
        <v>600</v>
      </c>
    </row>
    <row r="8" spans="2:60" x14ac:dyDescent="0.25">
      <c r="B8" s="189" t="s">
        <v>601</v>
      </c>
      <c r="C8" s="189" t="s">
        <v>602</v>
      </c>
    </row>
    <row r="9" spans="2:60" x14ac:dyDescent="0.25">
      <c r="B9" s="189" t="s">
        <v>603</v>
      </c>
      <c r="C9" s="189" t="s">
        <v>604</v>
      </c>
    </row>
    <row r="10" spans="2:60" x14ac:dyDescent="0.25">
      <c r="B10" s="189" t="s">
        <v>605</v>
      </c>
      <c r="C10" s="189" t="s">
        <v>4003</v>
      </c>
    </row>
    <row r="12" spans="2:60" s="163" customFormat="1" x14ac:dyDescent="0.25">
      <c r="B12" s="245" t="s">
        <v>606</v>
      </c>
      <c r="C12" s="245" t="s">
        <v>607</v>
      </c>
      <c r="D12" s="245" t="s">
        <v>608</v>
      </c>
      <c r="E12" s="245" t="s">
        <v>609</v>
      </c>
      <c r="F12" s="245" t="s">
        <v>5413</v>
      </c>
      <c r="G12" s="342" t="s">
        <v>5414</v>
      </c>
      <c r="H12" s="363" t="s">
        <v>5543</v>
      </c>
      <c r="I12" s="363" t="s">
        <v>5544</v>
      </c>
      <c r="J12" s="465" t="s">
        <v>3827</v>
      </c>
      <c r="K12" s="465"/>
      <c r="L12" s="465"/>
      <c r="M12" s="465" t="s">
        <v>3828</v>
      </c>
      <c r="N12" s="465"/>
      <c r="O12" s="465"/>
      <c r="P12" s="465" t="s">
        <v>3829</v>
      </c>
      <c r="Q12" s="465"/>
      <c r="R12" s="465"/>
      <c r="S12" s="465" t="s">
        <v>3830</v>
      </c>
      <c r="T12" s="465"/>
      <c r="U12" s="465"/>
      <c r="V12" s="465" t="s">
        <v>3831</v>
      </c>
      <c r="W12" s="465"/>
      <c r="X12" s="465"/>
      <c r="Y12" s="465" t="s">
        <v>3832</v>
      </c>
      <c r="Z12" s="465"/>
      <c r="AA12" s="465"/>
      <c r="AB12" s="465" t="s">
        <v>3833</v>
      </c>
      <c r="AC12" s="465"/>
      <c r="AD12" s="465"/>
      <c r="AE12" s="465" t="s">
        <v>3834</v>
      </c>
      <c r="AF12" s="465"/>
      <c r="AG12" s="465"/>
      <c r="AH12" s="465" t="s">
        <v>3835</v>
      </c>
      <c r="AI12" s="465"/>
      <c r="AJ12" s="465"/>
      <c r="AK12" s="465" t="s">
        <v>3836</v>
      </c>
      <c r="AL12" s="465"/>
      <c r="AM12" s="465"/>
      <c r="AN12" s="465" t="s">
        <v>3837</v>
      </c>
      <c r="AO12" s="465"/>
      <c r="AP12" s="465"/>
      <c r="AQ12" s="465" t="s">
        <v>3838</v>
      </c>
      <c r="AR12" s="465"/>
      <c r="AS12" s="465"/>
      <c r="AT12" s="463" t="s">
        <v>3845</v>
      </c>
      <c r="AU12" s="464" t="s">
        <v>3846</v>
      </c>
      <c r="AV12" s="462" t="s">
        <v>3847</v>
      </c>
      <c r="AW12" s="462" t="s">
        <v>3846</v>
      </c>
      <c r="AX12" s="244" t="s">
        <v>4017</v>
      </c>
      <c r="AY12" s="244" t="s">
        <v>500</v>
      </c>
      <c r="AZ12" s="244" t="s">
        <v>4001</v>
      </c>
      <c r="BA12" s="243" t="s">
        <v>4016</v>
      </c>
      <c r="BB12" s="243"/>
      <c r="BC12" s="243"/>
      <c r="BD12" s="243"/>
      <c r="BE12" s="243"/>
      <c r="BF12" s="243"/>
      <c r="BG12" s="243"/>
      <c r="BH12" s="243"/>
    </row>
    <row r="13" spans="2:60"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3"/>
      <c r="AU13" s="464"/>
      <c r="AV13" s="462"/>
      <c r="AW13" s="462"/>
      <c r="AX13" s="244"/>
      <c r="AY13" s="244"/>
      <c r="AZ13" s="244"/>
      <c r="BA13" s="242" t="s">
        <v>4013</v>
      </c>
      <c r="BB13" s="241" t="s">
        <v>4014</v>
      </c>
      <c r="BC13" s="242" t="s">
        <v>4015</v>
      </c>
      <c r="BD13" s="241" t="s">
        <v>4023</v>
      </c>
      <c r="BE13" s="294" t="s">
        <v>4341</v>
      </c>
      <c r="BF13" s="294" t="s">
        <v>4377</v>
      </c>
      <c r="BG13" s="294" t="s">
        <v>4378</v>
      </c>
      <c r="BH13" s="294" t="s">
        <v>4533</v>
      </c>
    </row>
    <row r="14" spans="2:60"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2170719181</v>
      </c>
      <c r="Z14" s="249">
        <f t="shared" si="1"/>
        <v>0</v>
      </c>
      <c r="AA14" s="249">
        <f t="shared" si="1"/>
        <v>7559500</v>
      </c>
      <c r="AB14" s="249">
        <f t="shared" si="1"/>
        <v>0</v>
      </c>
      <c r="AC14" s="249">
        <f t="shared" si="1"/>
        <v>0</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 t="shared" si="1"/>
        <v>0</v>
      </c>
      <c r="AP14" s="249">
        <f t="shared" si="1"/>
        <v>0</v>
      </c>
      <c r="AQ14" s="249">
        <f>AQ15+AQ60</f>
        <v>0</v>
      </c>
      <c r="AR14" s="249">
        <f>AR15+AR60</f>
        <v>0</v>
      </c>
      <c r="AS14" s="249">
        <f t="shared" si="1"/>
        <v>0</v>
      </c>
      <c r="AT14" s="249">
        <f>SUM(J14:AS14)</f>
        <v>6078417032</v>
      </c>
      <c r="AU14" s="250">
        <f>IFERROR(AT14/F14*100,0)</f>
        <v>52.967243358286709</v>
      </c>
      <c r="AV14" s="251">
        <f>F14-AT14</f>
        <v>5397386968</v>
      </c>
      <c r="AW14" s="250">
        <f>AV14/F14*100</f>
        <v>47.032756641713299</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 si="4">BH15+BH60</f>
        <v>7559500</v>
      </c>
    </row>
    <row r="15" spans="2:60"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0</v>
      </c>
      <c r="AC15" s="192">
        <f t="shared" si="5"/>
        <v>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368522100</v>
      </c>
      <c r="AU15" s="193">
        <f t="shared" ref="AU15:AU78" si="6">IFERROR(AT15/F15*100,0)</f>
        <v>36.852209999999999</v>
      </c>
      <c r="AV15" s="194">
        <f t="shared" ref="AV15:AV78" si="7">F15-AT15</f>
        <v>631477900</v>
      </c>
      <c r="AW15" s="193">
        <f>AV15/F15*100</f>
        <v>63.147790000000001</v>
      </c>
      <c r="AX15" s="164"/>
      <c r="AY15" s="164"/>
      <c r="AZ15" s="164" t="s">
        <v>3921</v>
      </c>
      <c r="BA15" s="192">
        <f t="shared" ref="BA15:BH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row>
    <row r="16" spans="2:60"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0</v>
      </c>
      <c r="AC16" s="186">
        <f t="shared" si="5"/>
        <v>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368522100</v>
      </c>
      <c r="AU16" s="187">
        <f t="shared" si="6"/>
        <v>36.852209999999999</v>
      </c>
      <c r="AV16" s="188">
        <f t="shared" si="7"/>
        <v>631477900</v>
      </c>
      <c r="AW16" s="187">
        <f t="shared" ref="AW16:AW78" si="10">AV16/F16*100</f>
        <v>63.147790000000001</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row>
    <row r="17" spans="2:60"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0</v>
      </c>
      <c r="AC17" s="179">
        <f t="shared" si="5"/>
        <v>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368522100</v>
      </c>
      <c r="AU17" s="182">
        <f t="shared" si="6"/>
        <v>36.852209999999999</v>
      </c>
      <c r="AV17" s="183">
        <f t="shared" si="7"/>
        <v>631477900</v>
      </c>
      <c r="AW17" s="182">
        <f>AV17/F17*100</f>
        <v>63.147790000000001</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row>
    <row r="18" spans="2:60"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0</v>
      </c>
      <c r="AC18" s="172">
        <f t="shared" si="11"/>
        <v>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368522100</v>
      </c>
      <c r="AU18" s="173">
        <f t="shared" si="6"/>
        <v>36.852209999999999</v>
      </c>
      <c r="AV18" s="174">
        <f t="shared" si="7"/>
        <v>631477900</v>
      </c>
      <c r="AW18" s="173">
        <f t="shared" si="10"/>
        <v>63.147790000000001</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 si="14">BH19+BH28+BH32+BH53</f>
        <v>0</v>
      </c>
    </row>
    <row r="19" spans="2:60"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0</v>
      </c>
      <c r="AC19" s="198">
        <f t="shared" si="15"/>
        <v>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55518000</v>
      </c>
      <c r="AU19" s="199">
        <f t="shared" si="6"/>
        <v>44.736502820306207</v>
      </c>
      <c r="AV19" s="200">
        <f t="shared" si="7"/>
        <v>68582000</v>
      </c>
      <c r="AW19" s="199">
        <f t="shared" si="10"/>
        <v>55.2634971796938</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 si="21">BH20+BH24</f>
        <v>0</v>
      </c>
    </row>
    <row r="20" spans="2:60"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0</v>
      </c>
      <c r="AC20" s="167">
        <f t="shared" si="22"/>
        <v>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33957000</v>
      </c>
      <c r="AU20" s="175">
        <f t="shared" si="6"/>
        <v>40.845612557887776</v>
      </c>
      <c r="AV20" s="176">
        <f t="shared" si="7"/>
        <v>49178000</v>
      </c>
      <c r="AW20" s="175">
        <f t="shared" si="10"/>
        <v>59.154387442112224</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 si="25">SUM(BH21:BH23)</f>
        <v>0</v>
      </c>
    </row>
    <row r="21" spans="2:60"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c r="AD21" s="165"/>
      <c r="AE21" s="165"/>
      <c r="AF21" s="165"/>
      <c r="AG21" s="165"/>
      <c r="AH21" s="165"/>
      <c r="AI21" s="165"/>
      <c r="AJ21" s="165"/>
      <c r="AK21" s="165"/>
      <c r="AL21" s="165"/>
      <c r="AM21" s="165"/>
      <c r="AN21" s="165"/>
      <c r="AO21" s="165"/>
      <c r="AP21" s="165"/>
      <c r="AQ21" s="165"/>
      <c r="AR21" s="165"/>
      <c r="AS21" s="165"/>
      <c r="AT21" s="165">
        <f t="shared" si="16"/>
        <v>5581000</v>
      </c>
      <c r="AU21" s="168">
        <f t="shared" si="6"/>
        <v>28.080503144654088</v>
      </c>
      <c r="AV21" s="169">
        <f t="shared" si="7"/>
        <v>14294000</v>
      </c>
      <c r="AW21" s="168">
        <f t="shared" si="10"/>
        <v>71.919496855345912</v>
      </c>
      <c r="AX21" s="164" t="s">
        <v>531</v>
      </c>
      <c r="AY21" s="164" t="s">
        <v>532</v>
      </c>
      <c r="AZ21" s="164" t="s">
        <v>3921</v>
      </c>
      <c r="BA21" s="165"/>
      <c r="BB21" s="240">
        <v>990000</v>
      </c>
      <c r="BC21" s="240">
        <v>1500000</v>
      </c>
      <c r="BD21" s="165"/>
      <c r="BE21" s="165"/>
      <c r="BF21" s="165">
        <v>1606000</v>
      </c>
      <c r="BG21" s="165">
        <v>1485000</v>
      </c>
      <c r="BH21" s="165"/>
    </row>
    <row r="22" spans="2:60"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row>
    <row r="23" spans="2:60"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c r="AC23" s="165"/>
      <c r="AD23" s="165"/>
      <c r="AE23" s="165"/>
      <c r="AF23" s="165"/>
      <c r="AG23" s="165"/>
      <c r="AH23" s="165"/>
      <c r="AI23" s="165"/>
      <c r="AJ23" s="165"/>
      <c r="AK23" s="165"/>
      <c r="AL23" s="165"/>
      <c r="AM23" s="165"/>
      <c r="AN23" s="165"/>
      <c r="AO23" s="165"/>
      <c r="AP23" s="165"/>
      <c r="AQ23" s="165"/>
      <c r="AR23" s="165"/>
      <c r="AS23" s="165"/>
      <c r="AT23" s="165">
        <f t="shared" si="16"/>
        <v>26276000</v>
      </c>
      <c r="AU23" s="168">
        <f t="shared" si="6"/>
        <v>60.739713361072589</v>
      </c>
      <c r="AV23" s="169">
        <f t="shared" si="7"/>
        <v>16984000</v>
      </c>
      <c r="AW23" s="168">
        <f t="shared" si="10"/>
        <v>39.260286638927418</v>
      </c>
      <c r="AX23" s="164" t="s">
        <v>531</v>
      </c>
      <c r="AY23" s="164" t="s">
        <v>532</v>
      </c>
      <c r="AZ23" s="164" t="s">
        <v>3921</v>
      </c>
      <c r="BA23" s="165"/>
      <c r="BB23" s="240">
        <v>10950000</v>
      </c>
      <c r="BC23" s="240"/>
      <c r="BD23" s="165"/>
      <c r="BE23" s="165"/>
      <c r="BF23" s="165">
        <v>1800000</v>
      </c>
      <c r="BG23" s="165"/>
      <c r="BH23" s="165"/>
    </row>
    <row r="24" spans="2:60"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 si="31">SUM(BH25:BH27)</f>
        <v>0</v>
      </c>
    </row>
    <row r="25" spans="2:60"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row>
    <row r="26" spans="2:60"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row>
    <row r="27" spans="2:60"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row>
    <row r="28" spans="2:60"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24214500</v>
      </c>
      <c r="AU28" s="199">
        <f t="shared" si="6"/>
        <v>44.430275229357797</v>
      </c>
      <c r="AV28" s="200">
        <f>F28-AT28</f>
        <v>30285500</v>
      </c>
      <c r="AW28" s="199">
        <f t="shared" si="10"/>
        <v>55.569724770642203</v>
      </c>
      <c r="AX28" s="164" t="s">
        <v>531</v>
      </c>
      <c r="AY28" s="164" t="s">
        <v>534</v>
      </c>
      <c r="AZ28" s="164" t="s">
        <v>3921</v>
      </c>
      <c r="BA28" s="198">
        <f t="shared" ref="BA28:BH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row>
    <row r="29" spans="2:60"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24214500</v>
      </c>
      <c r="AU29" s="175">
        <f t="shared" si="6"/>
        <v>44.430275229357797</v>
      </c>
      <c r="AV29" s="176">
        <f t="shared" si="7"/>
        <v>30285500</v>
      </c>
      <c r="AW29" s="175">
        <f t="shared" si="10"/>
        <v>55.569724770642203</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 si="42">SUM(BH30:BH31)</f>
        <v>0</v>
      </c>
    </row>
    <row r="30" spans="2:60"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c r="AD30" s="165"/>
      <c r="AE30" s="165"/>
      <c r="AF30" s="165"/>
      <c r="AG30" s="165"/>
      <c r="AH30" s="165"/>
      <c r="AI30" s="165"/>
      <c r="AJ30" s="165"/>
      <c r="AK30" s="165"/>
      <c r="AL30" s="165"/>
      <c r="AM30" s="165"/>
      <c r="AN30" s="165"/>
      <c r="AO30" s="165"/>
      <c r="AP30" s="165"/>
      <c r="AQ30" s="165"/>
      <c r="AR30" s="165"/>
      <c r="AS30" s="165"/>
      <c r="AT30" s="165">
        <f t="shared" si="33"/>
        <v>3120000</v>
      </c>
      <c r="AU30" s="168">
        <f t="shared" si="6"/>
        <v>14.682352941176472</v>
      </c>
      <c r="AV30" s="169">
        <f>F30-AT30</f>
        <v>18130000</v>
      </c>
      <c r="AW30" s="168">
        <f t="shared" si="10"/>
        <v>85.317647058823525</v>
      </c>
      <c r="AX30" s="164" t="s">
        <v>531</v>
      </c>
      <c r="AY30" s="164" t="s">
        <v>534</v>
      </c>
      <c r="AZ30" s="164" t="s">
        <v>3921</v>
      </c>
      <c r="BA30" s="165"/>
      <c r="BB30" s="240">
        <v>2460000</v>
      </c>
      <c r="BC30" s="240"/>
      <c r="BD30" s="165"/>
      <c r="BE30" s="165"/>
      <c r="BF30" s="165">
        <v>660000</v>
      </c>
      <c r="BG30" s="165"/>
      <c r="BH30" s="165"/>
    </row>
    <row r="31" spans="2:60"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row>
    <row r="32" spans="2:60"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214180240</v>
      </c>
      <c r="AU32" s="199">
        <f t="shared" si="6"/>
        <v>31.207961532857354</v>
      </c>
      <c r="AV32" s="200">
        <f t="shared" si="7"/>
        <v>472119760</v>
      </c>
      <c r="AW32" s="199">
        <f t="shared" si="10"/>
        <v>68.792038467142646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 si="50">BH33+BH41+BH48</f>
        <v>0</v>
      </c>
    </row>
    <row r="33" spans="2:60"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58923650</v>
      </c>
      <c r="AU33" s="175">
        <f t="shared" si="6"/>
        <v>15.228740010958225</v>
      </c>
      <c r="AV33" s="176">
        <f t="shared" si="7"/>
        <v>328000350</v>
      </c>
      <c r="AW33" s="175">
        <f t="shared" si="10"/>
        <v>84.771259989041781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 si="57">SUM(BH34:BH40)</f>
        <v>0</v>
      </c>
    </row>
    <row r="34" spans="2:60"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row>
    <row r="35" spans="2:60"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row>
    <row r="36" spans="2:60"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row>
    <row r="37" spans="2:60"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row>
    <row r="38" spans="2:60"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row>
    <row r="39" spans="2:60"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c r="AC39" s="165"/>
      <c r="AD39" s="165"/>
      <c r="AE39" s="165"/>
      <c r="AF39" s="165"/>
      <c r="AG39" s="165"/>
      <c r="AH39" s="165"/>
      <c r="AI39" s="165"/>
      <c r="AJ39" s="165"/>
      <c r="AK39" s="165"/>
      <c r="AL39" s="165"/>
      <c r="AM39" s="165"/>
      <c r="AN39" s="165"/>
      <c r="AO39" s="165"/>
      <c r="AP39" s="165"/>
      <c r="AQ39" s="165"/>
      <c r="AR39" s="165"/>
      <c r="AS39" s="165"/>
      <c r="AT39" s="165">
        <f t="shared" si="33"/>
        <v>33228650</v>
      </c>
      <c r="AU39" s="168">
        <f t="shared" si="6"/>
        <v>13.117055628365257</v>
      </c>
      <c r="AV39" s="169">
        <f>F39-AT39</f>
        <v>220095350</v>
      </c>
      <c r="AW39" s="168">
        <f t="shared" si="10"/>
        <v>86.882944371634736</v>
      </c>
      <c r="AX39" s="164" t="s">
        <v>535</v>
      </c>
      <c r="AY39" s="164" t="s">
        <v>536</v>
      </c>
      <c r="AZ39" s="164" t="s">
        <v>3921</v>
      </c>
      <c r="BA39" s="165"/>
      <c r="BB39" s="240">
        <v>7130000</v>
      </c>
      <c r="BC39" s="240">
        <v>3480000</v>
      </c>
      <c r="BD39" s="165"/>
      <c r="BE39" s="165"/>
      <c r="BF39" s="165"/>
      <c r="BG39" s="165"/>
      <c r="BH39" s="165"/>
    </row>
    <row r="40" spans="2:60"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row>
    <row r="41" spans="2:60"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 si="63">SUM(BH42:BH47)</f>
        <v>0</v>
      </c>
    </row>
    <row r="42" spans="2:60"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row>
    <row r="43" spans="2:60"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row>
    <row r="44" spans="2:60"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row>
    <row r="45" spans="2:60"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row>
    <row r="46" spans="2:60"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row>
    <row r="47" spans="2:60"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row>
    <row r="48" spans="2:60"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row>
    <row r="49" spans="2:60" x14ac:dyDescent="0.25">
      <c r="B49" s="228">
        <v>521211</v>
      </c>
      <c r="C49" s="164" t="s">
        <v>7</v>
      </c>
      <c r="D49" s="164"/>
      <c r="E49" s="164"/>
      <c r="F49" s="165">
        <v>20830000</v>
      </c>
      <c r="G49" s="165">
        <v>20830000</v>
      </c>
      <c r="H49" s="165"/>
      <c r="I49" s="165">
        <f t="shared" ref="I49:I52" si="7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row>
    <row r="50" spans="2:60" x14ac:dyDescent="0.25">
      <c r="B50" s="228">
        <v>521219</v>
      </c>
      <c r="C50" s="164" t="s">
        <v>53</v>
      </c>
      <c r="D50" s="164"/>
      <c r="E50" s="164"/>
      <c r="F50" s="165">
        <v>500000</v>
      </c>
      <c r="G50" s="165">
        <v>500000</v>
      </c>
      <c r="H50" s="165"/>
      <c r="I50" s="165">
        <f t="shared" si="7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row>
    <row r="51" spans="2:60" x14ac:dyDescent="0.25">
      <c r="B51" s="228">
        <v>522151</v>
      </c>
      <c r="C51" s="164" t="s">
        <v>11</v>
      </c>
      <c r="D51" s="164"/>
      <c r="E51" s="164"/>
      <c r="F51" s="165">
        <v>7200000</v>
      </c>
      <c r="G51" s="165">
        <v>7200000</v>
      </c>
      <c r="H51" s="165"/>
      <c r="I51" s="165">
        <f t="shared" si="7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row>
    <row r="52" spans="2:60" x14ac:dyDescent="0.25">
      <c r="B52" s="228">
        <v>524111</v>
      </c>
      <c r="C52" s="164" t="s">
        <v>19</v>
      </c>
      <c r="D52" s="164"/>
      <c r="E52" s="164"/>
      <c r="F52" s="165">
        <v>23030000</v>
      </c>
      <c r="G52" s="165">
        <v>23030000</v>
      </c>
      <c r="H52" s="165"/>
      <c r="I52" s="165">
        <f t="shared" si="7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row>
    <row r="53" spans="2:60" x14ac:dyDescent="0.25">
      <c r="B53" s="196" t="s">
        <v>526</v>
      </c>
      <c r="C53" s="197" t="s">
        <v>67</v>
      </c>
      <c r="D53" s="197"/>
      <c r="E53" s="197"/>
      <c r="F53" s="198">
        <f>F54</f>
        <v>135100000</v>
      </c>
      <c r="G53" s="198">
        <f>G54</f>
        <v>135100000</v>
      </c>
      <c r="H53" s="198">
        <f>H54</f>
        <v>0</v>
      </c>
      <c r="I53" s="198">
        <f>I54</f>
        <v>0</v>
      </c>
      <c r="J53" s="198">
        <f t="shared" ref="J53:AS53" si="73">J54</f>
        <v>0</v>
      </c>
      <c r="K53" s="198">
        <f t="shared" si="73"/>
        <v>0</v>
      </c>
      <c r="L53" s="198">
        <f t="shared" si="73"/>
        <v>0</v>
      </c>
      <c r="M53" s="198">
        <f t="shared" si="73"/>
        <v>0</v>
      </c>
      <c r="N53" s="198">
        <f t="shared" si="73"/>
        <v>0</v>
      </c>
      <c r="O53" s="198">
        <f t="shared" si="73"/>
        <v>0</v>
      </c>
      <c r="P53" s="198">
        <f t="shared" si="73"/>
        <v>0</v>
      </c>
      <c r="Q53" s="198">
        <f t="shared" si="73"/>
        <v>14333500</v>
      </c>
      <c r="R53" s="198">
        <f t="shared" si="73"/>
        <v>22507250</v>
      </c>
      <c r="S53" s="198">
        <f t="shared" si="73"/>
        <v>13520000</v>
      </c>
      <c r="T53" s="198">
        <f t="shared" si="73"/>
        <v>0</v>
      </c>
      <c r="U53" s="198">
        <f t="shared" si="73"/>
        <v>0</v>
      </c>
      <c r="V53" s="198">
        <f t="shared" si="73"/>
        <v>0</v>
      </c>
      <c r="W53" s="198">
        <f t="shared" si="73"/>
        <v>1500000</v>
      </c>
      <c r="X53" s="198">
        <f t="shared" si="73"/>
        <v>0</v>
      </c>
      <c r="Y53" s="198">
        <f t="shared" si="73"/>
        <v>22748610</v>
      </c>
      <c r="Z53" s="198">
        <f t="shared" si="73"/>
        <v>0</v>
      </c>
      <c r="AA53" s="198">
        <f t="shared" si="73"/>
        <v>0</v>
      </c>
      <c r="AB53" s="198">
        <f t="shared" si="73"/>
        <v>0</v>
      </c>
      <c r="AC53" s="198">
        <f t="shared" si="73"/>
        <v>0</v>
      </c>
      <c r="AD53" s="198">
        <f t="shared" si="73"/>
        <v>0</v>
      </c>
      <c r="AE53" s="198">
        <f t="shared" si="73"/>
        <v>0</v>
      </c>
      <c r="AF53" s="198">
        <f t="shared" si="73"/>
        <v>0</v>
      </c>
      <c r="AG53" s="198">
        <f t="shared" si="73"/>
        <v>0</v>
      </c>
      <c r="AH53" s="198">
        <f t="shared" si="73"/>
        <v>0</v>
      </c>
      <c r="AI53" s="198">
        <f t="shared" si="73"/>
        <v>0</v>
      </c>
      <c r="AJ53" s="198">
        <f t="shared" si="73"/>
        <v>0</v>
      </c>
      <c r="AK53" s="198">
        <f t="shared" si="73"/>
        <v>0</v>
      </c>
      <c r="AL53" s="198">
        <f t="shared" si="73"/>
        <v>0</v>
      </c>
      <c r="AM53" s="198">
        <f t="shared" si="73"/>
        <v>0</v>
      </c>
      <c r="AN53" s="198">
        <f t="shared" si="73"/>
        <v>0</v>
      </c>
      <c r="AO53" s="198">
        <f t="shared" si="73"/>
        <v>0</v>
      </c>
      <c r="AP53" s="198">
        <f t="shared" si="73"/>
        <v>0</v>
      </c>
      <c r="AQ53" s="198">
        <f t="shared" si="73"/>
        <v>0</v>
      </c>
      <c r="AR53" s="198">
        <f t="shared" si="73"/>
        <v>0</v>
      </c>
      <c r="AS53" s="198">
        <f t="shared" si="73"/>
        <v>0</v>
      </c>
      <c r="AT53" s="198">
        <f>SUM(J53:AS53)</f>
        <v>74609360</v>
      </c>
      <c r="AU53" s="199">
        <f t="shared" si="6"/>
        <v>55.22528497409327</v>
      </c>
      <c r="AV53" s="200">
        <f t="shared" si="7"/>
        <v>60490640</v>
      </c>
      <c r="AW53" s="199">
        <f t="shared" si="10"/>
        <v>44.774715025906737</v>
      </c>
      <c r="AX53" s="164" t="s">
        <v>535</v>
      </c>
      <c r="AY53" s="164" t="s">
        <v>538</v>
      </c>
      <c r="AZ53" s="164" t="s">
        <v>3921</v>
      </c>
      <c r="BA53" s="198">
        <f t="shared" ref="BA53:BH53" si="74">BA54</f>
        <v>0</v>
      </c>
      <c r="BB53" s="198">
        <f t="shared" si="74"/>
        <v>22507250</v>
      </c>
      <c r="BC53" s="198">
        <f t="shared" si="74"/>
        <v>14333500</v>
      </c>
      <c r="BD53" s="198">
        <f t="shared" si="74"/>
        <v>0</v>
      </c>
      <c r="BE53" s="198">
        <f t="shared" si="74"/>
        <v>1500000</v>
      </c>
      <c r="BF53" s="198">
        <f t="shared" si="74"/>
        <v>0</v>
      </c>
      <c r="BG53" s="198">
        <f t="shared" si="74"/>
        <v>0</v>
      </c>
      <c r="BH53" s="198">
        <f t="shared" si="74"/>
        <v>0</v>
      </c>
    </row>
    <row r="54" spans="2:60" x14ac:dyDescent="0.25">
      <c r="B54" s="230" t="s">
        <v>8</v>
      </c>
      <c r="C54" s="166" t="s">
        <v>68</v>
      </c>
      <c r="D54" s="166"/>
      <c r="E54" s="166"/>
      <c r="F54" s="167">
        <f>SUM(F55:F59)</f>
        <v>135100000</v>
      </c>
      <c r="G54" s="167">
        <f>SUM(G55:G59)</f>
        <v>135100000</v>
      </c>
      <c r="H54" s="167">
        <f>SUM(H55:H59)</f>
        <v>0</v>
      </c>
      <c r="I54" s="167">
        <f>SUM(I55:I59)</f>
        <v>0</v>
      </c>
      <c r="J54" s="167">
        <f t="shared" ref="J54:AS54" si="75">SUM(J55:J59)</f>
        <v>0</v>
      </c>
      <c r="K54" s="167">
        <f t="shared" si="75"/>
        <v>0</v>
      </c>
      <c r="L54" s="167">
        <f t="shared" si="75"/>
        <v>0</v>
      </c>
      <c r="M54" s="167">
        <f t="shared" si="75"/>
        <v>0</v>
      </c>
      <c r="N54" s="167">
        <f t="shared" si="75"/>
        <v>0</v>
      </c>
      <c r="O54" s="167">
        <f t="shared" si="75"/>
        <v>0</v>
      </c>
      <c r="P54" s="167">
        <f t="shared" si="75"/>
        <v>0</v>
      </c>
      <c r="Q54" s="167">
        <f t="shared" si="75"/>
        <v>14333500</v>
      </c>
      <c r="R54" s="167">
        <f t="shared" si="75"/>
        <v>22507250</v>
      </c>
      <c r="S54" s="167">
        <f t="shared" si="75"/>
        <v>13520000</v>
      </c>
      <c r="T54" s="167">
        <f t="shared" si="75"/>
        <v>0</v>
      </c>
      <c r="U54" s="167">
        <f t="shared" si="75"/>
        <v>0</v>
      </c>
      <c r="V54" s="167">
        <f t="shared" si="75"/>
        <v>0</v>
      </c>
      <c r="W54" s="167">
        <f t="shared" si="75"/>
        <v>1500000</v>
      </c>
      <c r="X54" s="167">
        <f t="shared" si="75"/>
        <v>0</v>
      </c>
      <c r="Y54" s="167">
        <f t="shared" si="75"/>
        <v>22748610</v>
      </c>
      <c r="Z54" s="167">
        <f t="shared" si="75"/>
        <v>0</v>
      </c>
      <c r="AA54" s="167">
        <f t="shared" si="75"/>
        <v>0</v>
      </c>
      <c r="AB54" s="167">
        <f t="shared" si="75"/>
        <v>0</v>
      </c>
      <c r="AC54" s="167">
        <f t="shared" si="75"/>
        <v>0</v>
      </c>
      <c r="AD54" s="167">
        <f t="shared" si="75"/>
        <v>0</v>
      </c>
      <c r="AE54" s="167">
        <f t="shared" si="75"/>
        <v>0</v>
      </c>
      <c r="AF54" s="167">
        <f t="shared" si="75"/>
        <v>0</v>
      </c>
      <c r="AG54" s="167">
        <f t="shared" si="75"/>
        <v>0</v>
      </c>
      <c r="AH54" s="167">
        <f t="shared" si="75"/>
        <v>0</v>
      </c>
      <c r="AI54" s="167">
        <f t="shared" si="75"/>
        <v>0</v>
      </c>
      <c r="AJ54" s="167">
        <f t="shared" si="75"/>
        <v>0</v>
      </c>
      <c r="AK54" s="167">
        <f t="shared" si="75"/>
        <v>0</v>
      </c>
      <c r="AL54" s="167">
        <f t="shared" si="75"/>
        <v>0</v>
      </c>
      <c r="AM54" s="167">
        <f t="shared" si="75"/>
        <v>0</v>
      </c>
      <c r="AN54" s="167">
        <f t="shared" si="75"/>
        <v>0</v>
      </c>
      <c r="AO54" s="167">
        <f t="shared" si="75"/>
        <v>0</v>
      </c>
      <c r="AP54" s="167">
        <f t="shared" si="75"/>
        <v>0</v>
      </c>
      <c r="AQ54" s="167">
        <f t="shared" si="75"/>
        <v>0</v>
      </c>
      <c r="AR54" s="167">
        <f t="shared" si="75"/>
        <v>0</v>
      </c>
      <c r="AS54" s="167">
        <f t="shared" si="75"/>
        <v>0</v>
      </c>
      <c r="AT54" s="167">
        <f>SUM(J54:AS54)</f>
        <v>74609360</v>
      </c>
      <c r="AU54" s="175">
        <f t="shared" si="6"/>
        <v>55.22528497409327</v>
      </c>
      <c r="AV54" s="176">
        <f t="shared" si="7"/>
        <v>60490640</v>
      </c>
      <c r="AW54" s="175">
        <f t="shared" si="10"/>
        <v>44.774715025906737</v>
      </c>
      <c r="AX54" s="164" t="s">
        <v>535</v>
      </c>
      <c r="AY54" s="164" t="s">
        <v>538</v>
      </c>
      <c r="AZ54" s="164" t="s">
        <v>3921</v>
      </c>
      <c r="BA54" s="167">
        <f t="shared" ref="BA54" si="76">SUM(BA55:BA59)</f>
        <v>0</v>
      </c>
      <c r="BB54" s="167">
        <f t="shared" ref="BB54:BC54" si="77">SUM(BB55:BB59)</f>
        <v>22507250</v>
      </c>
      <c r="BC54" s="167">
        <f t="shared" si="77"/>
        <v>14333500</v>
      </c>
      <c r="BD54" s="167">
        <f t="shared" ref="BD54" si="78">SUM(BD55:BD59)</f>
        <v>0</v>
      </c>
      <c r="BE54" s="167">
        <f t="shared" ref="BE54" si="79">SUM(BE55:BE59)</f>
        <v>1500000</v>
      </c>
      <c r="BF54" s="167">
        <f t="shared" ref="BF54:BG54" si="80">SUM(BF55:BF59)</f>
        <v>0</v>
      </c>
      <c r="BG54" s="167">
        <f t="shared" si="80"/>
        <v>0</v>
      </c>
      <c r="BH54" s="167">
        <f t="shared" ref="BH54" si="81">SUM(BH55:BH59)</f>
        <v>0</v>
      </c>
    </row>
    <row r="55" spans="2:60" x14ac:dyDescent="0.25">
      <c r="B55" s="228">
        <v>521211</v>
      </c>
      <c r="C55" s="164" t="s">
        <v>7</v>
      </c>
      <c r="D55" s="164"/>
      <c r="E55" s="164"/>
      <c r="F55" s="165">
        <v>13900000</v>
      </c>
      <c r="G55" s="165">
        <v>13900000</v>
      </c>
      <c r="H55" s="165"/>
      <c r="I55" s="165">
        <f t="shared" ref="I55:I59" si="82">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row>
    <row r="56" spans="2:60" x14ac:dyDescent="0.25">
      <c r="B56" s="228">
        <v>521219</v>
      </c>
      <c r="C56" s="164" t="s">
        <v>53</v>
      </c>
      <c r="D56" s="164"/>
      <c r="E56" s="164"/>
      <c r="F56" s="165">
        <v>8784000</v>
      </c>
      <c r="G56" s="165">
        <v>8784000</v>
      </c>
      <c r="H56" s="165"/>
      <c r="I56" s="165">
        <f t="shared" si="82"/>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row>
    <row r="57" spans="2:60" x14ac:dyDescent="0.25">
      <c r="B57" s="228">
        <v>522151</v>
      </c>
      <c r="C57" s="164" t="s">
        <v>11</v>
      </c>
      <c r="D57" s="164"/>
      <c r="E57" s="164"/>
      <c r="F57" s="165">
        <v>10000000</v>
      </c>
      <c r="G57" s="165">
        <v>10000000</v>
      </c>
      <c r="H57" s="165"/>
      <c r="I57" s="165">
        <f t="shared" si="82"/>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row>
    <row r="58" spans="2:60" x14ac:dyDescent="0.25">
      <c r="B58" s="228">
        <v>522192</v>
      </c>
      <c r="C58" s="164" t="s">
        <v>24</v>
      </c>
      <c r="D58" s="164"/>
      <c r="E58" s="164"/>
      <c r="F58" s="165">
        <v>5000000</v>
      </c>
      <c r="G58" s="165">
        <v>5000000</v>
      </c>
      <c r="H58" s="165"/>
      <c r="I58" s="165">
        <f t="shared" si="82"/>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row>
    <row r="59" spans="2:60" x14ac:dyDescent="0.25">
      <c r="B59" s="228">
        <v>524111</v>
      </c>
      <c r="C59" s="164" t="s">
        <v>19</v>
      </c>
      <c r="D59" s="164"/>
      <c r="E59" s="164"/>
      <c r="F59" s="165">
        <v>97416000</v>
      </c>
      <c r="G59" s="165">
        <v>97416000</v>
      </c>
      <c r="H59" s="165"/>
      <c r="I59" s="165">
        <f t="shared" si="82"/>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c r="AC59" s="165"/>
      <c r="AD59" s="165"/>
      <c r="AE59" s="165"/>
      <c r="AF59" s="165"/>
      <c r="AG59" s="165"/>
      <c r="AH59" s="165"/>
      <c r="AI59" s="165"/>
      <c r="AJ59" s="165"/>
      <c r="AK59" s="165"/>
      <c r="AL59" s="165"/>
      <c r="AM59" s="165"/>
      <c r="AN59" s="165"/>
      <c r="AO59" s="165"/>
      <c r="AP59" s="165"/>
      <c r="AQ59" s="165"/>
      <c r="AR59" s="165"/>
      <c r="AS59" s="165"/>
      <c r="AT59" s="165">
        <f t="shared" si="33"/>
        <v>57918610</v>
      </c>
      <c r="AU59" s="168">
        <f t="shared" si="6"/>
        <v>59.454925268949651</v>
      </c>
      <c r="AV59" s="169">
        <f t="shared" si="7"/>
        <v>39497390</v>
      </c>
      <c r="AW59" s="168">
        <f t="shared" si="10"/>
        <v>40.545074731050342</v>
      </c>
      <c r="AX59" s="164" t="s">
        <v>535</v>
      </c>
      <c r="AY59" s="164" t="s">
        <v>538</v>
      </c>
      <c r="AZ59" s="164" t="s">
        <v>3921</v>
      </c>
      <c r="BA59" s="165"/>
      <c r="BB59" s="240">
        <v>17010000</v>
      </c>
      <c r="BC59" s="240">
        <v>11840000</v>
      </c>
      <c r="BD59" s="165"/>
      <c r="BE59" s="165"/>
      <c r="BF59" s="165"/>
      <c r="BG59" s="165"/>
      <c r="BH59" s="165"/>
    </row>
    <row r="60" spans="2:60" x14ac:dyDescent="0.25">
      <c r="B60" s="190" t="s">
        <v>69</v>
      </c>
      <c r="C60" s="191" t="s">
        <v>70</v>
      </c>
      <c r="D60" s="191"/>
      <c r="E60" s="191"/>
      <c r="F60" s="192">
        <f t="shared" ref="F60:AS60" si="83">F61+F204</f>
        <v>10475804000</v>
      </c>
      <c r="G60" s="192">
        <f t="shared" ref="G60:H60" si="84">G61+G204</f>
        <v>15863164000</v>
      </c>
      <c r="H60" s="192">
        <f t="shared" si="84"/>
        <v>100000000</v>
      </c>
      <c r="I60" s="192">
        <f t="shared" ref="I60" si="85">I61+I204</f>
        <v>5387360000</v>
      </c>
      <c r="J60" s="192">
        <f t="shared" si="83"/>
        <v>0</v>
      </c>
      <c r="K60" s="192">
        <f t="shared" si="83"/>
        <v>0</v>
      </c>
      <c r="L60" s="192">
        <f t="shared" si="83"/>
        <v>0</v>
      </c>
      <c r="M60" s="192">
        <f t="shared" si="83"/>
        <v>74237800</v>
      </c>
      <c r="N60" s="192">
        <f t="shared" si="83"/>
        <v>0</v>
      </c>
      <c r="O60" s="192">
        <f t="shared" si="83"/>
        <v>0</v>
      </c>
      <c r="P60" s="192">
        <f t="shared" si="83"/>
        <v>63640000</v>
      </c>
      <c r="Q60" s="192">
        <f t="shared" si="83"/>
        <v>167335190</v>
      </c>
      <c r="R60" s="192">
        <f t="shared" si="83"/>
        <v>320537487</v>
      </c>
      <c r="S60" s="192">
        <f t="shared" si="83"/>
        <v>1763177854</v>
      </c>
      <c r="T60" s="192">
        <f t="shared" si="83"/>
        <v>95254996</v>
      </c>
      <c r="U60" s="192">
        <f t="shared" si="83"/>
        <v>0</v>
      </c>
      <c r="V60" s="192">
        <f t="shared" si="83"/>
        <v>757387100</v>
      </c>
      <c r="W60" s="192">
        <f t="shared" si="83"/>
        <v>179018093</v>
      </c>
      <c r="X60" s="192">
        <f t="shared" si="83"/>
        <v>235964831</v>
      </c>
      <c r="Y60" s="192">
        <f t="shared" si="83"/>
        <v>2045782081</v>
      </c>
      <c r="Z60" s="192">
        <f t="shared" si="83"/>
        <v>0</v>
      </c>
      <c r="AA60" s="192">
        <f t="shared" si="83"/>
        <v>7559500</v>
      </c>
      <c r="AB60" s="192">
        <f t="shared" si="83"/>
        <v>0</v>
      </c>
      <c r="AC60" s="192">
        <f t="shared" si="83"/>
        <v>0</v>
      </c>
      <c r="AD60" s="192">
        <f t="shared" si="83"/>
        <v>0</v>
      </c>
      <c r="AE60" s="192">
        <f t="shared" si="83"/>
        <v>0</v>
      </c>
      <c r="AF60" s="192">
        <f t="shared" si="83"/>
        <v>0</v>
      </c>
      <c r="AG60" s="192">
        <f t="shared" si="83"/>
        <v>0</v>
      </c>
      <c r="AH60" s="192">
        <f t="shared" si="83"/>
        <v>0</v>
      </c>
      <c r="AI60" s="192">
        <f t="shared" si="83"/>
        <v>0</v>
      </c>
      <c r="AJ60" s="192">
        <f t="shared" si="83"/>
        <v>0</v>
      </c>
      <c r="AK60" s="192">
        <f t="shared" si="83"/>
        <v>0</v>
      </c>
      <c r="AL60" s="192">
        <f t="shared" si="83"/>
        <v>0</v>
      </c>
      <c r="AM60" s="192">
        <f t="shared" si="83"/>
        <v>0</v>
      </c>
      <c r="AN60" s="192">
        <f t="shared" si="83"/>
        <v>0</v>
      </c>
      <c r="AO60" s="192">
        <f t="shared" si="83"/>
        <v>0</v>
      </c>
      <c r="AP60" s="192">
        <f t="shared" si="83"/>
        <v>0</v>
      </c>
      <c r="AQ60" s="192">
        <f t="shared" si="83"/>
        <v>0</v>
      </c>
      <c r="AR60" s="192">
        <f t="shared" si="83"/>
        <v>0</v>
      </c>
      <c r="AS60" s="192">
        <f t="shared" si="83"/>
        <v>0</v>
      </c>
      <c r="AT60" s="192">
        <f>SUM(J60:AS60)</f>
        <v>5709894932</v>
      </c>
      <c r="AU60" s="193">
        <f t="shared" si="6"/>
        <v>54.505553292138721</v>
      </c>
      <c r="AV60" s="194">
        <f t="shared" ref="AV60:AV64" si="86">F60-AT60</f>
        <v>4765909068</v>
      </c>
      <c r="AW60" s="193">
        <f t="shared" ref="AW60:AW65" si="87">AV60/F60*100</f>
        <v>45.494446707861272</v>
      </c>
      <c r="AX60" s="164"/>
      <c r="AY60" s="164"/>
      <c r="AZ60" s="164" t="s">
        <v>3921</v>
      </c>
      <c r="BA60" s="192">
        <f>BA61+BA204</f>
        <v>99961115</v>
      </c>
      <c r="BB60" s="192">
        <f>BB61+BB204</f>
        <v>320537487</v>
      </c>
      <c r="BC60" s="192">
        <f>BC61+BC204</f>
        <v>67374075</v>
      </c>
      <c r="BD60" s="192">
        <f>BD61+BD204</f>
        <v>95254996</v>
      </c>
      <c r="BE60" s="192">
        <f t="shared" ref="BE60" si="88">BE61+BE204</f>
        <v>93939616</v>
      </c>
      <c r="BF60" s="192">
        <f t="shared" ref="BF60:BG60" si="89">BF61+BF204</f>
        <v>85078477</v>
      </c>
      <c r="BG60" s="192">
        <f t="shared" si="89"/>
        <v>235964831</v>
      </c>
      <c r="BH60" s="192">
        <f t="shared" ref="BH60" si="90">BH61+BH204</f>
        <v>7559500</v>
      </c>
    </row>
    <row r="61" spans="2:60" x14ac:dyDescent="0.25">
      <c r="B61" s="184">
        <v>2378</v>
      </c>
      <c r="C61" s="185" t="s">
        <v>71</v>
      </c>
      <c r="D61" s="185"/>
      <c r="E61" s="185"/>
      <c r="F61" s="186">
        <f t="shared" ref="F61:AS61" si="91">F62+F67+F141+F146</f>
        <v>4393304000</v>
      </c>
      <c r="G61" s="186">
        <f t="shared" ref="G61:H61" si="92">G62+G67+G141+G146</f>
        <v>7280664000</v>
      </c>
      <c r="H61" s="186">
        <f t="shared" si="92"/>
        <v>100000000</v>
      </c>
      <c r="I61" s="186">
        <f t="shared" ref="I61" si="93">I62+I67+I141+I146</f>
        <v>2887360000</v>
      </c>
      <c r="J61" s="186">
        <f t="shared" si="91"/>
        <v>0</v>
      </c>
      <c r="K61" s="186">
        <f t="shared" si="91"/>
        <v>0</v>
      </c>
      <c r="L61" s="186">
        <f t="shared" si="91"/>
        <v>0</v>
      </c>
      <c r="M61" s="186">
        <f t="shared" si="91"/>
        <v>74237800</v>
      </c>
      <c r="N61" s="186">
        <f t="shared" si="91"/>
        <v>0</v>
      </c>
      <c r="O61" s="186">
        <f t="shared" si="91"/>
        <v>0</v>
      </c>
      <c r="P61" s="186">
        <f t="shared" si="91"/>
        <v>63640000</v>
      </c>
      <c r="Q61" s="186">
        <f t="shared" si="91"/>
        <v>167335190</v>
      </c>
      <c r="R61" s="186">
        <f t="shared" si="91"/>
        <v>320537487</v>
      </c>
      <c r="S61" s="186">
        <f t="shared" si="91"/>
        <v>207482498</v>
      </c>
      <c r="T61" s="186">
        <f t="shared" si="91"/>
        <v>95254996</v>
      </c>
      <c r="U61" s="186">
        <f t="shared" si="91"/>
        <v>0</v>
      </c>
      <c r="V61" s="186">
        <f t="shared" si="91"/>
        <v>757387100</v>
      </c>
      <c r="W61" s="186">
        <f t="shared" si="91"/>
        <v>179018093</v>
      </c>
      <c r="X61" s="186">
        <f t="shared" si="91"/>
        <v>198072198</v>
      </c>
      <c r="Y61" s="186">
        <f>Y62+Y67+Y141+Y146</f>
        <v>165545658</v>
      </c>
      <c r="Z61" s="186">
        <f t="shared" si="91"/>
        <v>0</v>
      </c>
      <c r="AA61" s="186">
        <f t="shared" si="91"/>
        <v>4670000</v>
      </c>
      <c r="AB61" s="186">
        <f t="shared" si="91"/>
        <v>0</v>
      </c>
      <c r="AC61" s="186">
        <f t="shared" si="91"/>
        <v>0</v>
      </c>
      <c r="AD61" s="186">
        <f t="shared" si="91"/>
        <v>0</v>
      </c>
      <c r="AE61" s="186">
        <f t="shared" si="91"/>
        <v>0</v>
      </c>
      <c r="AF61" s="186">
        <f t="shared" si="91"/>
        <v>0</v>
      </c>
      <c r="AG61" s="186">
        <f t="shared" si="91"/>
        <v>0</v>
      </c>
      <c r="AH61" s="186">
        <f t="shared" si="91"/>
        <v>0</v>
      </c>
      <c r="AI61" s="186">
        <f t="shared" si="91"/>
        <v>0</v>
      </c>
      <c r="AJ61" s="186">
        <f t="shared" si="91"/>
        <v>0</v>
      </c>
      <c r="AK61" s="186">
        <f t="shared" si="91"/>
        <v>0</v>
      </c>
      <c r="AL61" s="186">
        <f t="shared" si="91"/>
        <v>0</v>
      </c>
      <c r="AM61" s="186">
        <f t="shared" si="91"/>
        <v>0</v>
      </c>
      <c r="AN61" s="186">
        <f t="shared" si="91"/>
        <v>0</v>
      </c>
      <c r="AO61" s="186">
        <f t="shared" si="91"/>
        <v>0</v>
      </c>
      <c r="AP61" s="186">
        <f t="shared" si="91"/>
        <v>0</v>
      </c>
      <c r="AQ61" s="186">
        <f t="shared" si="91"/>
        <v>0</v>
      </c>
      <c r="AR61" s="186">
        <f t="shared" si="91"/>
        <v>0</v>
      </c>
      <c r="AS61" s="186">
        <f t="shared" si="91"/>
        <v>0</v>
      </c>
      <c r="AT61" s="186">
        <f t="shared" si="33"/>
        <v>2233181020</v>
      </c>
      <c r="AU61" s="187">
        <f t="shared" si="6"/>
        <v>50.831470346691233</v>
      </c>
      <c r="AV61" s="188">
        <f t="shared" si="86"/>
        <v>2160122980</v>
      </c>
      <c r="AW61" s="187">
        <f t="shared" si="87"/>
        <v>49.168529653308759</v>
      </c>
      <c r="AX61" s="164"/>
      <c r="AY61" s="164"/>
      <c r="AZ61" s="164" t="s">
        <v>3921</v>
      </c>
      <c r="BA61" s="186">
        <f>BA62+BA67+BA141+BA146</f>
        <v>99961115</v>
      </c>
      <c r="BB61" s="186">
        <f>BB62+BB67+BB141+BB146</f>
        <v>320537487</v>
      </c>
      <c r="BC61" s="186">
        <f>BC62+BC67+BC141+BC146</f>
        <v>67374075</v>
      </c>
      <c r="BD61" s="186">
        <f>BD62+BD67+BD141+BD146</f>
        <v>95254996</v>
      </c>
      <c r="BE61" s="186">
        <f t="shared" ref="BE61" si="94">BE62+BE67+BE141+BE146</f>
        <v>93939616</v>
      </c>
      <c r="BF61" s="186">
        <f t="shared" ref="BF61:BG61" si="95">BF62+BF67+BF141+BF146</f>
        <v>85078477</v>
      </c>
      <c r="BG61" s="186">
        <f t="shared" si="95"/>
        <v>198072198</v>
      </c>
      <c r="BH61" s="186">
        <f t="shared" ref="BH61" si="96">BH62+BH67+BH141+BH146</f>
        <v>4670000</v>
      </c>
    </row>
    <row r="62" spans="2:60" x14ac:dyDescent="0.25">
      <c r="B62" s="180" t="s">
        <v>820</v>
      </c>
      <c r="C62" s="181" t="s">
        <v>821</v>
      </c>
      <c r="D62" s="181">
        <v>1</v>
      </c>
      <c r="E62" s="181" t="s">
        <v>42</v>
      </c>
      <c r="F62" s="179">
        <f t="shared" ref="F62:X64" si="97">F63</f>
        <v>114200000</v>
      </c>
      <c r="G62" s="179">
        <f t="shared" si="97"/>
        <v>115000000</v>
      </c>
      <c r="H62" s="179">
        <f t="shared" si="97"/>
        <v>0</v>
      </c>
      <c r="I62" s="179">
        <f t="shared" si="97"/>
        <v>800000</v>
      </c>
      <c r="J62" s="179">
        <f t="shared" si="97"/>
        <v>0</v>
      </c>
      <c r="K62" s="179">
        <f t="shared" si="97"/>
        <v>0</v>
      </c>
      <c r="L62" s="179">
        <f t="shared" si="97"/>
        <v>0</v>
      </c>
      <c r="M62" s="179">
        <f t="shared" si="97"/>
        <v>0</v>
      </c>
      <c r="N62" s="179">
        <f t="shared" si="97"/>
        <v>0</v>
      </c>
      <c r="O62" s="179">
        <f t="shared" si="97"/>
        <v>0</v>
      </c>
      <c r="P62" s="179">
        <f t="shared" si="97"/>
        <v>0</v>
      </c>
      <c r="Q62" s="179">
        <f t="shared" si="97"/>
        <v>0</v>
      </c>
      <c r="R62" s="179">
        <f t="shared" si="97"/>
        <v>0</v>
      </c>
      <c r="S62" s="179">
        <f t="shared" si="97"/>
        <v>0</v>
      </c>
      <c r="T62" s="179">
        <f t="shared" si="97"/>
        <v>0</v>
      </c>
      <c r="U62" s="179">
        <f t="shared" si="97"/>
        <v>0</v>
      </c>
      <c r="V62" s="179">
        <f t="shared" si="97"/>
        <v>114200000</v>
      </c>
      <c r="W62" s="179">
        <f t="shared" si="97"/>
        <v>0</v>
      </c>
      <c r="X62" s="179">
        <f t="shared" si="97"/>
        <v>0</v>
      </c>
      <c r="Y62" s="179">
        <f t="shared" ref="J62:AS64" si="98">Y63</f>
        <v>0</v>
      </c>
      <c r="Z62" s="179">
        <f t="shared" si="98"/>
        <v>0</v>
      </c>
      <c r="AA62" s="179">
        <f t="shared" si="98"/>
        <v>0</v>
      </c>
      <c r="AB62" s="179">
        <f t="shared" si="98"/>
        <v>0</v>
      </c>
      <c r="AC62" s="179">
        <f t="shared" si="98"/>
        <v>0</v>
      </c>
      <c r="AD62" s="179">
        <f t="shared" si="98"/>
        <v>0</v>
      </c>
      <c r="AE62" s="179">
        <f t="shared" si="98"/>
        <v>0</v>
      </c>
      <c r="AF62" s="179">
        <f t="shared" si="98"/>
        <v>0</v>
      </c>
      <c r="AG62" s="179">
        <f t="shared" si="98"/>
        <v>0</v>
      </c>
      <c r="AH62" s="179">
        <f t="shared" si="98"/>
        <v>0</v>
      </c>
      <c r="AI62" s="179">
        <f t="shared" si="98"/>
        <v>0</v>
      </c>
      <c r="AJ62" s="179">
        <f t="shared" si="98"/>
        <v>0</v>
      </c>
      <c r="AK62" s="179">
        <f t="shared" si="98"/>
        <v>0</v>
      </c>
      <c r="AL62" s="179">
        <f t="shared" si="98"/>
        <v>0</v>
      </c>
      <c r="AM62" s="179">
        <f t="shared" si="98"/>
        <v>0</v>
      </c>
      <c r="AN62" s="179">
        <f t="shared" si="98"/>
        <v>0</v>
      </c>
      <c r="AO62" s="179">
        <f t="shared" si="98"/>
        <v>0</v>
      </c>
      <c r="AP62" s="179">
        <f t="shared" si="98"/>
        <v>0</v>
      </c>
      <c r="AQ62" s="179">
        <f t="shared" si="98"/>
        <v>0</v>
      </c>
      <c r="AR62" s="179">
        <f t="shared" si="98"/>
        <v>0</v>
      </c>
      <c r="AS62" s="179">
        <f t="shared" si="98"/>
        <v>0</v>
      </c>
      <c r="AT62" s="179">
        <f t="shared" si="33"/>
        <v>114200000</v>
      </c>
      <c r="AU62" s="182">
        <f t="shared" si="6"/>
        <v>100</v>
      </c>
      <c r="AV62" s="183">
        <f t="shared" si="86"/>
        <v>0</v>
      </c>
      <c r="AW62" s="182">
        <f t="shared" si="87"/>
        <v>0</v>
      </c>
      <c r="AX62" s="164" t="s">
        <v>576</v>
      </c>
      <c r="AY62" s="164" t="s">
        <v>560</v>
      </c>
      <c r="AZ62" s="164" t="s">
        <v>3998</v>
      </c>
      <c r="BA62" s="179">
        <f t="shared" ref="BA62:BH64" si="99">BA63</f>
        <v>0</v>
      </c>
      <c r="BB62" s="179">
        <f t="shared" si="99"/>
        <v>0</v>
      </c>
      <c r="BC62" s="179">
        <f t="shared" si="99"/>
        <v>0</v>
      </c>
      <c r="BD62" s="179">
        <f t="shared" si="99"/>
        <v>0</v>
      </c>
      <c r="BE62" s="179">
        <f t="shared" si="99"/>
        <v>0</v>
      </c>
      <c r="BF62" s="179">
        <f t="shared" si="99"/>
        <v>0</v>
      </c>
      <c r="BG62" s="179">
        <f t="shared" si="99"/>
        <v>0</v>
      </c>
      <c r="BH62" s="179">
        <f t="shared" si="99"/>
        <v>0</v>
      </c>
    </row>
    <row r="63" spans="2:60" x14ac:dyDescent="0.25">
      <c r="B63" s="170" t="s">
        <v>3625</v>
      </c>
      <c r="C63" s="171" t="s">
        <v>824</v>
      </c>
      <c r="D63" s="171">
        <v>1</v>
      </c>
      <c r="E63" s="171" t="s">
        <v>42</v>
      </c>
      <c r="F63" s="172">
        <f t="shared" si="97"/>
        <v>114200000</v>
      </c>
      <c r="G63" s="172">
        <f t="shared" si="97"/>
        <v>115000000</v>
      </c>
      <c r="H63" s="172">
        <f t="shared" si="97"/>
        <v>0</v>
      </c>
      <c r="I63" s="172">
        <f t="shared" si="97"/>
        <v>800000</v>
      </c>
      <c r="J63" s="172">
        <f t="shared" si="98"/>
        <v>0</v>
      </c>
      <c r="K63" s="172">
        <f t="shared" si="98"/>
        <v>0</v>
      </c>
      <c r="L63" s="172">
        <f t="shared" si="98"/>
        <v>0</v>
      </c>
      <c r="M63" s="172">
        <f t="shared" si="98"/>
        <v>0</v>
      </c>
      <c r="N63" s="172">
        <f t="shared" si="98"/>
        <v>0</v>
      </c>
      <c r="O63" s="172">
        <f t="shared" si="98"/>
        <v>0</v>
      </c>
      <c r="P63" s="172">
        <f t="shared" si="98"/>
        <v>0</v>
      </c>
      <c r="Q63" s="172">
        <f t="shared" si="98"/>
        <v>0</v>
      </c>
      <c r="R63" s="172">
        <f t="shared" si="98"/>
        <v>0</v>
      </c>
      <c r="S63" s="172">
        <f t="shared" si="98"/>
        <v>0</v>
      </c>
      <c r="T63" s="172">
        <f t="shared" si="98"/>
        <v>0</v>
      </c>
      <c r="U63" s="172">
        <f t="shared" si="98"/>
        <v>0</v>
      </c>
      <c r="V63" s="172">
        <f t="shared" si="98"/>
        <v>114200000</v>
      </c>
      <c r="W63" s="172">
        <f t="shared" si="98"/>
        <v>0</v>
      </c>
      <c r="X63" s="172">
        <f t="shared" si="98"/>
        <v>0</v>
      </c>
      <c r="Y63" s="172">
        <f t="shared" si="98"/>
        <v>0</v>
      </c>
      <c r="Z63" s="172">
        <f t="shared" si="98"/>
        <v>0</v>
      </c>
      <c r="AA63" s="172">
        <f t="shared" si="98"/>
        <v>0</v>
      </c>
      <c r="AB63" s="172">
        <f t="shared" si="98"/>
        <v>0</v>
      </c>
      <c r="AC63" s="172">
        <f t="shared" si="98"/>
        <v>0</v>
      </c>
      <c r="AD63" s="172">
        <f t="shared" si="98"/>
        <v>0</v>
      </c>
      <c r="AE63" s="172">
        <f t="shared" si="98"/>
        <v>0</v>
      </c>
      <c r="AF63" s="172">
        <f t="shared" si="98"/>
        <v>0</v>
      </c>
      <c r="AG63" s="172">
        <f t="shared" si="98"/>
        <v>0</v>
      </c>
      <c r="AH63" s="172">
        <f t="shared" si="98"/>
        <v>0</v>
      </c>
      <c r="AI63" s="172">
        <f t="shared" si="98"/>
        <v>0</v>
      </c>
      <c r="AJ63" s="172">
        <f t="shared" si="98"/>
        <v>0</v>
      </c>
      <c r="AK63" s="172">
        <f t="shared" si="98"/>
        <v>0</v>
      </c>
      <c r="AL63" s="172">
        <f t="shared" si="98"/>
        <v>0</v>
      </c>
      <c r="AM63" s="172">
        <f t="shared" si="98"/>
        <v>0</v>
      </c>
      <c r="AN63" s="172">
        <f t="shared" si="98"/>
        <v>0</v>
      </c>
      <c r="AO63" s="172">
        <f t="shared" si="98"/>
        <v>0</v>
      </c>
      <c r="AP63" s="172">
        <f t="shared" si="98"/>
        <v>0</v>
      </c>
      <c r="AQ63" s="172">
        <f t="shared" si="98"/>
        <v>0</v>
      </c>
      <c r="AR63" s="172">
        <f t="shared" si="98"/>
        <v>0</v>
      </c>
      <c r="AS63" s="172">
        <f t="shared" si="98"/>
        <v>0</v>
      </c>
      <c r="AT63" s="172">
        <f t="shared" si="33"/>
        <v>114200000</v>
      </c>
      <c r="AU63" s="173">
        <f t="shared" si="6"/>
        <v>100</v>
      </c>
      <c r="AV63" s="174">
        <f t="shared" si="86"/>
        <v>0</v>
      </c>
      <c r="AW63" s="173">
        <f t="shared" si="87"/>
        <v>0</v>
      </c>
      <c r="AX63" s="164" t="s">
        <v>576</v>
      </c>
      <c r="AY63" s="164" t="s">
        <v>560</v>
      </c>
      <c r="AZ63" s="164" t="s">
        <v>3998</v>
      </c>
      <c r="BA63" s="172">
        <f t="shared" si="99"/>
        <v>0</v>
      </c>
      <c r="BB63" s="172">
        <f t="shared" si="99"/>
        <v>0</v>
      </c>
      <c r="BC63" s="172">
        <f t="shared" si="99"/>
        <v>0</v>
      </c>
      <c r="BD63" s="172">
        <f t="shared" si="99"/>
        <v>0</v>
      </c>
      <c r="BE63" s="172">
        <f t="shared" si="99"/>
        <v>0</v>
      </c>
      <c r="BF63" s="172">
        <f t="shared" si="99"/>
        <v>0</v>
      </c>
      <c r="BG63" s="172">
        <f t="shared" si="99"/>
        <v>0</v>
      </c>
      <c r="BH63" s="172">
        <f t="shared" si="99"/>
        <v>0</v>
      </c>
    </row>
    <row r="64" spans="2:60" x14ac:dyDescent="0.25">
      <c r="B64" s="170">
        <v>301</v>
      </c>
      <c r="C64" s="171" t="s">
        <v>834</v>
      </c>
      <c r="D64" s="171"/>
      <c r="E64" s="171"/>
      <c r="F64" s="172">
        <f t="shared" si="97"/>
        <v>114200000</v>
      </c>
      <c r="G64" s="172">
        <f t="shared" si="97"/>
        <v>115000000</v>
      </c>
      <c r="H64" s="172">
        <f t="shared" si="97"/>
        <v>0</v>
      </c>
      <c r="I64" s="172">
        <f t="shared" si="97"/>
        <v>800000</v>
      </c>
      <c r="J64" s="172">
        <f t="shared" si="98"/>
        <v>0</v>
      </c>
      <c r="K64" s="172">
        <f t="shared" si="98"/>
        <v>0</v>
      </c>
      <c r="L64" s="172">
        <f t="shared" si="98"/>
        <v>0</v>
      </c>
      <c r="M64" s="172">
        <f t="shared" si="98"/>
        <v>0</v>
      </c>
      <c r="N64" s="172">
        <f t="shared" si="98"/>
        <v>0</v>
      </c>
      <c r="O64" s="172">
        <f t="shared" si="98"/>
        <v>0</v>
      </c>
      <c r="P64" s="172">
        <f t="shared" si="98"/>
        <v>0</v>
      </c>
      <c r="Q64" s="172">
        <f t="shared" si="98"/>
        <v>0</v>
      </c>
      <c r="R64" s="172">
        <f t="shared" si="98"/>
        <v>0</v>
      </c>
      <c r="S64" s="172">
        <f t="shared" si="98"/>
        <v>0</v>
      </c>
      <c r="T64" s="172">
        <f t="shared" si="98"/>
        <v>0</v>
      </c>
      <c r="U64" s="172">
        <f t="shared" si="98"/>
        <v>0</v>
      </c>
      <c r="V64" s="172">
        <f t="shared" si="98"/>
        <v>114200000</v>
      </c>
      <c r="W64" s="172">
        <f t="shared" si="98"/>
        <v>0</v>
      </c>
      <c r="X64" s="172">
        <f t="shared" si="98"/>
        <v>0</v>
      </c>
      <c r="Y64" s="172">
        <f t="shared" si="98"/>
        <v>0</v>
      </c>
      <c r="Z64" s="172">
        <f t="shared" si="98"/>
        <v>0</v>
      </c>
      <c r="AA64" s="172">
        <f t="shared" si="98"/>
        <v>0</v>
      </c>
      <c r="AB64" s="172">
        <f t="shared" si="98"/>
        <v>0</v>
      </c>
      <c r="AC64" s="172">
        <f t="shared" si="98"/>
        <v>0</v>
      </c>
      <c r="AD64" s="172">
        <f t="shared" si="98"/>
        <v>0</v>
      </c>
      <c r="AE64" s="172">
        <f t="shared" si="98"/>
        <v>0</v>
      </c>
      <c r="AF64" s="172">
        <f t="shared" si="98"/>
        <v>0</v>
      </c>
      <c r="AG64" s="172">
        <f t="shared" si="98"/>
        <v>0</v>
      </c>
      <c r="AH64" s="172">
        <f t="shared" si="98"/>
        <v>0</v>
      </c>
      <c r="AI64" s="172">
        <f t="shared" si="98"/>
        <v>0</v>
      </c>
      <c r="AJ64" s="172">
        <f t="shared" si="98"/>
        <v>0</v>
      </c>
      <c r="AK64" s="172">
        <f t="shared" si="98"/>
        <v>0</v>
      </c>
      <c r="AL64" s="172">
        <f t="shared" si="98"/>
        <v>0</v>
      </c>
      <c r="AM64" s="172">
        <f t="shared" si="98"/>
        <v>0</v>
      </c>
      <c r="AN64" s="172">
        <f t="shared" si="98"/>
        <v>0</v>
      </c>
      <c r="AO64" s="172">
        <f t="shared" si="98"/>
        <v>0</v>
      </c>
      <c r="AP64" s="172">
        <f t="shared" si="98"/>
        <v>0</v>
      </c>
      <c r="AQ64" s="172">
        <f t="shared" si="98"/>
        <v>0</v>
      </c>
      <c r="AR64" s="172">
        <f t="shared" si="98"/>
        <v>0</v>
      </c>
      <c r="AS64" s="172">
        <f t="shared" si="98"/>
        <v>0</v>
      </c>
      <c r="AT64" s="172">
        <f t="shared" si="33"/>
        <v>114200000</v>
      </c>
      <c r="AU64" s="173">
        <f t="shared" si="6"/>
        <v>100</v>
      </c>
      <c r="AV64" s="174">
        <f t="shared" si="86"/>
        <v>0</v>
      </c>
      <c r="AW64" s="173">
        <f t="shared" si="87"/>
        <v>0</v>
      </c>
      <c r="AX64" s="164" t="s">
        <v>576</v>
      </c>
      <c r="AY64" s="164" t="s">
        <v>560</v>
      </c>
      <c r="AZ64" s="164" t="s">
        <v>3998</v>
      </c>
      <c r="BA64" s="172">
        <f t="shared" si="99"/>
        <v>0</v>
      </c>
      <c r="BB64" s="172">
        <f t="shared" si="99"/>
        <v>0</v>
      </c>
      <c r="BC64" s="172">
        <f t="shared" si="99"/>
        <v>0</v>
      </c>
      <c r="BD64" s="172">
        <f t="shared" si="99"/>
        <v>0</v>
      </c>
      <c r="BE64" s="172">
        <f t="shared" si="99"/>
        <v>0</v>
      </c>
      <c r="BF64" s="172">
        <f t="shared" si="99"/>
        <v>0</v>
      </c>
      <c r="BG64" s="172">
        <f t="shared" si="99"/>
        <v>0</v>
      </c>
      <c r="BH64" s="172">
        <f t="shared" si="99"/>
        <v>0</v>
      </c>
    </row>
    <row r="65" spans="2:60" x14ac:dyDescent="0.25">
      <c r="B65" s="230" t="s">
        <v>8</v>
      </c>
      <c r="C65" s="166" t="s">
        <v>836</v>
      </c>
      <c r="D65" s="166"/>
      <c r="E65" s="166"/>
      <c r="F65" s="167">
        <f>SUM(F66)</f>
        <v>114200000</v>
      </c>
      <c r="G65" s="167">
        <f>SUM(G66)</f>
        <v>115000000</v>
      </c>
      <c r="H65" s="167">
        <f>SUM(H66)</f>
        <v>0</v>
      </c>
      <c r="I65" s="167">
        <f>SUM(I66)</f>
        <v>800000</v>
      </c>
      <c r="J65" s="167">
        <f t="shared" ref="J65:AS65" si="100">SUM(J66)</f>
        <v>0</v>
      </c>
      <c r="K65" s="167">
        <f t="shared" si="100"/>
        <v>0</v>
      </c>
      <c r="L65" s="167">
        <f t="shared" si="100"/>
        <v>0</v>
      </c>
      <c r="M65" s="167">
        <f t="shared" si="100"/>
        <v>0</v>
      </c>
      <c r="N65" s="167">
        <f t="shared" si="100"/>
        <v>0</v>
      </c>
      <c r="O65" s="167">
        <f t="shared" si="100"/>
        <v>0</v>
      </c>
      <c r="P65" s="167">
        <f t="shared" si="100"/>
        <v>0</v>
      </c>
      <c r="Q65" s="167">
        <f t="shared" si="100"/>
        <v>0</v>
      </c>
      <c r="R65" s="167">
        <f t="shared" si="100"/>
        <v>0</v>
      </c>
      <c r="S65" s="167">
        <f t="shared" si="100"/>
        <v>0</v>
      </c>
      <c r="T65" s="167">
        <f t="shared" si="100"/>
        <v>0</v>
      </c>
      <c r="U65" s="167">
        <f t="shared" si="100"/>
        <v>0</v>
      </c>
      <c r="V65" s="167">
        <f t="shared" si="100"/>
        <v>114200000</v>
      </c>
      <c r="W65" s="167">
        <f t="shared" si="100"/>
        <v>0</v>
      </c>
      <c r="X65" s="167">
        <f t="shared" si="100"/>
        <v>0</v>
      </c>
      <c r="Y65" s="167">
        <f t="shared" si="100"/>
        <v>0</v>
      </c>
      <c r="Z65" s="167">
        <f t="shared" si="100"/>
        <v>0</v>
      </c>
      <c r="AA65" s="167">
        <f t="shared" si="100"/>
        <v>0</v>
      </c>
      <c r="AB65" s="167">
        <f t="shared" si="100"/>
        <v>0</v>
      </c>
      <c r="AC65" s="167">
        <f t="shared" si="100"/>
        <v>0</v>
      </c>
      <c r="AD65" s="167">
        <f t="shared" si="100"/>
        <v>0</v>
      </c>
      <c r="AE65" s="167">
        <f t="shared" si="100"/>
        <v>0</v>
      </c>
      <c r="AF65" s="167">
        <f t="shared" si="100"/>
        <v>0</v>
      </c>
      <c r="AG65" s="167">
        <f t="shared" si="100"/>
        <v>0</v>
      </c>
      <c r="AH65" s="167">
        <f t="shared" si="100"/>
        <v>0</v>
      </c>
      <c r="AI65" s="167">
        <f t="shared" si="100"/>
        <v>0</v>
      </c>
      <c r="AJ65" s="167">
        <f t="shared" si="100"/>
        <v>0</v>
      </c>
      <c r="AK65" s="167">
        <f t="shared" si="100"/>
        <v>0</v>
      </c>
      <c r="AL65" s="167">
        <f t="shared" si="100"/>
        <v>0</v>
      </c>
      <c r="AM65" s="167">
        <f t="shared" si="100"/>
        <v>0</v>
      </c>
      <c r="AN65" s="167">
        <f t="shared" si="100"/>
        <v>0</v>
      </c>
      <c r="AO65" s="167">
        <f t="shared" si="100"/>
        <v>0</v>
      </c>
      <c r="AP65" s="167">
        <f t="shared" si="100"/>
        <v>0</v>
      </c>
      <c r="AQ65" s="167">
        <f t="shared" si="100"/>
        <v>0</v>
      </c>
      <c r="AR65" s="167">
        <f t="shared" si="100"/>
        <v>0</v>
      </c>
      <c r="AS65" s="167">
        <f t="shared" si="100"/>
        <v>0</v>
      </c>
      <c r="AT65" s="167">
        <f t="shared" si="33"/>
        <v>114200000</v>
      </c>
      <c r="AU65" s="175">
        <f t="shared" si="6"/>
        <v>100</v>
      </c>
      <c r="AV65" s="176">
        <f>F65-AT65</f>
        <v>0</v>
      </c>
      <c r="AW65" s="175">
        <f t="shared" si="87"/>
        <v>0</v>
      </c>
      <c r="AX65" s="164" t="s">
        <v>576</v>
      </c>
      <c r="AY65" s="164" t="s">
        <v>560</v>
      </c>
      <c r="AZ65" s="164" t="s">
        <v>3998</v>
      </c>
      <c r="BA65" s="167">
        <f t="shared" ref="BA65:BH65" si="101">SUM(BA66)</f>
        <v>0</v>
      </c>
      <c r="BB65" s="167">
        <f t="shared" si="101"/>
        <v>0</v>
      </c>
      <c r="BC65" s="167">
        <f t="shared" si="101"/>
        <v>0</v>
      </c>
      <c r="BD65" s="167">
        <f t="shared" si="101"/>
        <v>0</v>
      </c>
      <c r="BE65" s="167">
        <f t="shared" si="101"/>
        <v>0</v>
      </c>
      <c r="BF65" s="167">
        <f t="shared" si="101"/>
        <v>0</v>
      </c>
      <c r="BG65" s="167">
        <f t="shared" si="101"/>
        <v>0</v>
      </c>
      <c r="BH65" s="167">
        <f t="shared" si="101"/>
        <v>0</v>
      </c>
    </row>
    <row r="66" spans="2:60"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row>
    <row r="67" spans="2:60" x14ac:dyDescent="0.25">
      <c r="B67" s="180" t="s">
        <v>841</v>
      </c>
      <c r="C67" s="181" t="s">
        <v>842</v>
      </c>
      <c r="D67" s="181">
        <v>9</v>
      </c>
      <c r="E67" s="181" t="s">
        <v>3627</v>
      </c>
      <c r="F67" s="179">
        <f t="shared" ref="F67:AS67" si="102">F68+F76+F123</f>
        <v>3190814000</v>
      </c>
      <c r="G67" s="179">
        <f t="shared" ref="G67:H67" si="103">G68+G76+G123</f>
        <v>5085940000</v>
      </c>
      <c r="H67" s="179">
        <f t="shared" si="103"/>
        <v>100000000</v>
      </c>
      <c r="I67" s="179">
        <f t="shared" ref="I67" si="104">I68+I76+I123</f>
        <v>1895126000</v>
      </c>
      <c r="J67" s="179">
        <f t="shared" si="102"/>
        <v>0</v>
      </c>
      <c r="K67" s="179">
        <f t="shared" si="102"/>
        <v>0</v>
      </c>
      <c r="L67" s="179">
        <f t="shared" si="102"/>
        <v>0</v>
      </c>
      <c r="M67" s="179">
        <f t="shared" si="102"/>
        <v>63640000</v>
      </c>
      <c r="N67" s="179">
        <f t="shared" si="102"/>
        <v>0</v>
      </c>
      <c r="O67" s="179">
        <f t="shared" si="102"/>
        <v>0</v>
      </c>
      <c r="P67" s="179">
        <f t="shared" si="102"/>
        <v>63640000</v>
      </c>
      <c r="Q67" s="179">
        <f t="shared" si="102"/>
        <v>136990690</v>
      </c>
      <c r="R67" s="179">
        <f t="shared" si="102"/>
        <v>226935794</v>
      </c>
      <c r="S67" s="179">
        <f t="shared" si="102"/>
        <v>184892998</v>
      </c>
      <c r="T67" s="179">
        <f t="shared" si="102"/>
        <v>75325796</v>
      </c>
      <c r="U67" s="179">
        <f t="shared" si="102"/>
        <v>0</v>
      </c>
      <c r="V67" s="179">
        <f t="shared" si="102"/>
        <v>94014600</v>
      </c>
      <c r="W67" s="179">
        <f t="shared" si="102"/>
        <v>158835210</v>
      </c>
      <c r="X67" s="179">
        <f t="shared" si="102"/>
        <v>115921543</v>
      </c>
      <c r="Y67" s="179">
        <f>Y68+Y76+Y123</f>
        <v>104503027</v>
      </c>
      <c r="Z67" s="179">
        <f t="shared" si="102"/>
        <v>0</v>
      </c>
      <c r="AA67" s="179">
        <f t="shared" si="102"/>
        <v>0</v>
      </c>
      <c r="AB67" s="179">
        <f t="shared" si="102"/>
        <v>0</v>
      </c>
      <c r="AC67" s="179">
        <f t="shared" si="102"/>
        <v>0</v>
      </c>
      <c r="AD67" s="179">
        <f t="shared" si="102"/>
        <v>0</v>
      </c>
      <c r="AE67" s="179">
        <f t="shared" si="102"/>
        <v>0</v>
      </c>
      <c r="AF67" s="179">
        <f t="shared" si="102"/>
        <v>0</v>
      </c>
      <c r="AG67" s="179">
        <f t="shared" si="102"/>
        <v>0</v>
      </c>
      <c r="AH67" s="179">
        <f t="shared" si="102"/>
        <v>0</v>
      </c>
      <c r="AI67" s="179">
        <f t="shared" si="102"/>
        <v>0</v>
      </c>
      <c r="AJ67" s="179">
        <f t="shared" si="102"/>
        <v>0</v>
      </c>
      <c r="AK67" s="179">
        <f t="shared" si="102"/>
        <v>0</v>
      </c>
      <c r="AL67" s="179">
        <f t="shared" si="102"/>
        <v>0</v>
      </c>
      <c r="AM67" s="179">
        <f t="shared" si="102"/>
        <v>0</v>
      </c>
      <c r="AN67" s="179">
        <f t="shared" si="102"/>
        <v>0</v>
      </c>
      <c r="AO67" s="179">
        <f t="shared" si="102"/>
        <v>0</v>
      </c>
      <c r="AP67" s="179">
        <f t="shared" si="102"/>
        <v>0</v>
      </c>
      <c r="AQ67" s="179">
        <f t="shared" si="102"/>
        <v>0</v>
      </c>
      <c r="AR67" s="179">
        <f t="shared" si="102"/>
        <v>0</v>
      </c>
      <c r="AS67" s="179">
        <f t="shared" si="102"/>
        <v>0</v>
      </c>
      <c r="AT67" s="179">
        <f>SUM(J67:AS67)</f>
        <v>1224699658</v>
      </c>
      <c r="AU67" s="182">
        <f t="shared" si="6"/>
        <v>38.382044769767212</v>
      </c>
      <c r="AV67" s="183">
        <f>F67-AT67</f>
        <v>1966114342</v>
      </c>
      <c r="AW67" s="182">
        <f>AV67/F67*100</f>
        <v>61.617955230232788</v>
      </c>
      <c r="AX67" s="164"/>
      <c r="AY67" s="164"/>
      <c r="AZ67" s="164" t="s">
        <v>3921</v>
      </c>
      <c r="BA67" s="179">
        <f>BA68+BA76+BA123</f>
        <v>99961115</v>
      </c>
      <c r="BB67" s="179">
        <f>BB68+BB76+BB123</f>
        <v>226935794</v>
      </c>
      <c r="BC67" s="179">
        <f>BC68+BC76+BC123</f>
        <v>37029575</v>
      </c>
      <c r="BD67" s="179">
        <f>BD68+BD76+BD123</f>
        <v>75325796</v>
      </c>
      <c r="BE67" s="179">
        <f t="shared" ref="BE67" si="105">BE68+BE76+BE123</f>
        <v>83939616</v>
      </c>
      <c r="BF67" s="179">
        <f t="shared" ref="BF67:BG67" si="106">BF68+BF76+BF123</f>
        <v>74895594</v>
      </c>
      <c r="BG67" s="179">
        <f t="shared" si="106"/>
        <v>115921543</v>
      </c>
      <c r="BH67" s="179">
        <f t="shared" ref="BH67" si="107">BH68+BH76+BH123</f>
        <v>0</v>
      </c>
    </row>
    <row r="68" spans="2:60" x14ac:dyDescent="0.25">
      <c r="B68" s="170" t="s">
        <v>3628</v>
      </c>
      <c r="C68" s="171" t="s">
        <v>1037</v>
      </c>
      <c r="D68" s="171">
        <v>2</v>
      </c>
      <c r="E68" s="171" t="s">
        <v>3627</v>
      </c>
      <c r="F68" s="172">
        <f t="shared" ref="F68:I69" si="108">F69</f>
        <v>113346000</v>
      </c>
      <c r="G68" s="172">
        <f t="shared" si="108"/>
        <v>153780000</v>
      </c>
      <c r="H68" s="172">
        <f t="shared" si="108"/>
        <v>0</v>
      </c>
      <c r="I68" s="172">
        <f t="shared" si="108"/>
        <v>40434000</v>
      </c>
      <c r="J68" s="172">
        <f t="shared" ref="J68:X68" si="109">J69</f>
        <v>0</v>
      </c>
      <c r="K68" s="172">
        <f t="shared" si="109"/>
        <v>0</v>
      </c>
      <c r="L68" s="172">
        <f t="shared" si="109"/>
        <v>0</v>
      </c>
      <c r="M68" s="172">
        <f t="shared" si="109"/>
        <v>0</v>
      </c>
      <c r="N68" s="172">
        <f t="shared" si="109"/>
        <v>0</v>
      </c>
      <c r="O68" s="172">
        <f t="shared" si="109"/>
        <v>0</v>
      </c>
      <c r="P68" s="172">
        <f t="shared" si="109"/>
        <v>0</v>
      </c>
      <c r="Q68" s="172">
        <f t="shared" si="109"/>
        <v>1890000</v>
      </c>
      <c r="R68" s="172">
        <f t="shared" si="109"/>
        <v>3436750</v>
      </c>
      <c r="S68" s="172">
        <f t="shared" si="109"/>
        <v>3570000</v>
      </c>
      <c r="T68" s="172">
        <f t="shared" si="109"/>
        <v>0</v>
      </c>
      <c r="U68" s="172">
        <f t="shared" si="109"/>
        <v>0</v>
      </c>
      <c r="V68" s="172">
        <f t="shared" si="109"/>
        <v>10960600</v>
      </c>
      <c r="W68" s="172">
        <f t="shared" si="109"/>
        <v>0</v>
      </c>
      <c r="X68" s="172">
        <f t="shared" si="109"/>
        <v>5000500</v>
      </c>
      <c r="Y68" s="172">
        <f>Y69</f>
        <v>4977000</v>
      </c>
      <c r="Z68" s="172">
        <f t="shared" ref="J68:AS69" si="110">Z69</f>
        <v>0</v>
      </c>
      <c r="AA68" s="172">
        <f t="shared" si="110"/>
        <v>0</v>
      </c>
      <c r="AB68" s="172">
        <f t="shared" si="110"/>
        <v>0</v>
      </c>
      <c r="AC68" s="172">
        <f t="shared" si="110"/>
        <v>0</v>
      </c>
      <c r="AD68" s="172">
        <f t="shared" si="110"/>
        <v>0</v>
      </c>
      <c r="AE68" s="172">
        <f t="shared" si="110"/>
        <v>0</v>
      </c>
      <c r="AF68" s="172">
        <f t="shared" si="110"/>
        <v>0</v>
      </c>
      <c r="AG68" s="172">
        <f t="shared" si="110"/>
        <v>0</v>
      </c>
      <c r="AH68" s="172">
        <f t="shared" si="110"/>
        <v>0</v>
      </c>
      <c r="AI68" s="172">
        <f t="shared" si="110"/>
        <v>0</v>
      </c>
      <c r="AJ68" s="172">
        <f t="shared" si="110"/>
        <v>0</v>
      </c>
      <c r="AK68" s="172">
        <f t="shared" si="110"/>
        <v>0</v>
      </c>
      <c r="AL68" s="172">
        <f t="shared" si="110"/>
        <v>0</v>
      </c>
      <c r="AM68" s="172">
        <f t="shared" si="110"/>
        <v>0</v>
      </c>
      <c r="AN68" s="172">
        <f t="shared" si="110"/>
        <v>0</v>
      </c>
      <c r="AO68" s="172">
        <f t="shared" si="110"/>
        <v>0</v>
      </c>
      <c r="AP68" s="172">
        <f t="shared" si="110"/>
        <v>0</v>
      </c>
      <c r="AQ68" s="172">
        <f t="shared" si="110"/>
        <v>0</v>
      </c>
      <c r="AR68" s="172">
        <f t="shared" si="110"/>
        <v>0</v>
      </c>
      <c r="AS68" s="172">
        <f t="shared" si="110"/>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H69" si="111">BA69</f>
        <v>0</v>
      </c>
      <c r="BB68" s="172">
        <f t="shared" si="111"/>
        <v>3436750</v>
      </c>
      <c r="BC68" s="172">
        <f t="shared" si="111"/>
        <v>1890000</v>
      </c>
      <c r="BD68" s="172">
        <f t="shared" si="111"/>
        <v>0</v>
      </c>
      <c r="BE68" s="172">
        <f t="shared" si="111"/>
        <v>0</v>
      </c>
      <c r="BF68" s="172">
        <f t="shared" si="111"/>
        <v>0</v>
      </c>
      <c r="BG68" s="172">
        <f t="shared" si="111"/>
        <v>5000500</v>
      </c>
      <c r="BH68" s="172">
        <f t="shared" si="111"/>
        <v>0</v>
      </c>
    </row>
    <row r="69" spans="2:60" x14ac:dyDescent="0.25">
      <c r="B69" s="170">
        <v>311</v>
      </c>
      <c r="C69" s="171" t="s">
        <v>1186</v>
      </c>
      <c r="D69" s="171"/>
      <c r="E69" s="171"/>
      <c r="F69" s="172">
        <f t="shared" si="108"/>
        <v>113346000</v>
      </c>
      <c r="G69" s="172">
        <f t="shared" si="108"/>
        <v>153780000</v>
      </c>
      <c r="H69" s="172">
        <f t="shared" si="108"/>
        <v>0</v>
      </c>
      <c r="I69" s="172">
        <f t="shared" si="108"/>
        <v>40434000</v>
      </c>
      <c r="J69" s="172">
        <f t="shared" si="110"/>
        <v>0</v>
      </c>
      <c r="K69" s="172">
        <f t="shared" si="110"/>
        <v>0</v>
      </c>
      <c r="L69" s="172">
        <f t="shared" si="110"/>
        <v>0</v>
      </c>
      <c r="M69" s="172">
        <f t="shared" si="110"/>
        <v>0</v>
      </c>
      <c r="N69" s="172">
        <f t="shared" si="110"/>
        <v>0</v>
      </c>
      <c r="O69" s="172">
        <f t="shared" si="110"/>
        <v>0</v>
      </c>
      <c r="P69" s="172">
        <f t="shared" si="110"/>
        <v>0</v>
      </c>
      <c r="Q69" s="172">
        <f t="shared" si="110"/>
        <v>1890000</v>
      </c>
      <c r="R69" s="172">
        <f t="shared" si="110"/>
        <v>3436750</v>
      </c>
      <c r="S69" s="172">
        <f t="shared" si="110"/>
        <v>3570000</v>
      </c>
      <c r="T69" s="172">
        <f t="shared" si="110"/>
        <v>0</v>
      </c>
      <c r="U69" s="172">
        <f t="shared" si="110"/>
        <v>0</v>
      </c>
      <c r="V69" s="172">
        <f t="shared" si="110"/>
        <v>10960600</v>
      </c>
      <c r="W69" s="172">
        <f t="shared" si="110"/>
        <v>0</v>
      </c>
      <c r="X69" s="172">
        <f t="shared" si="110"/>
        <v>5000500</v>
      </c>
      <c r="Y69" s="172">
        <f t="shared" si="110"/>
        <v>4977000</v>
      </c>
      <c r="Z69" s="172">
        <f t="shared" si="110"/>
        <v>0</v>
      </c>
      <c r="AA69" s="172">
        <f t="shared" si="110"/>
        <v>0</v>
      </c>
      <c r="AB69" s="172">
        <f t="shared" si="110"/>
        <v>0</v>
      </c>
      <c r="AC69" s="172">
        <f t="shared" si="110"/>
        <v>0</v>
      </c>
      <c r="AD69" s="172">
        <f t="shared" si="110"/>
        <v>0</v>
      </c>
      <c r="AE69" s="172">
        <f t="shared" si="110"/>
        <v>0</v>
      </c>
      <c r="AF69" s="172">
        <f t="shared" si="110"/>
        <v>0</v>
      </c>
      <c r="AG69" s="172">
        <f t="shared" si="110"/>
        <v>0</v>
      </c>
      <c r="AH69" s="172">
        <f t="shared" si="110"/>
        <v>0</v>
      </c>
      <c r="AI69" s="172">
        <f t="shared" si="110"/>
        <v>0</v>
      </c>
      <c r="AJ69" s="172">
        <f t="shared" si="110"/>
        <v>0</v>
      </c>
      <c r="AK69" s="172">
        <f t="shared" si="110"/>
        <v>0</v>
      </c>
      <c r="AL69" s="172">
        <f t="shared" si="110"/>
        <v>0</v>
      </c>
      <c r="AM69" s="172">
        <f t="shared" si="110"/>
        <v>0</v>
      </c>
      <c r="AN69" s="172">
        <f t="shared" si="110"/>
        <v>0</v>
      </c>
      <c r="AO69" s="172">
        <f t="shared" si="110"/>
        <v>0</v>
      </c>
      <c r="AP69" s="172">
        <f t="shared" si="110"/>
        <v>0</v>
      </c>
      <c r="AQ69" s="172">
        <f t="shared" si="110"/>
        <v>0</v>
      </c>
      <c r="AR69" s="172">
        <f t="shared" si="110"/>
        <v>0</v>
      </c>
      <c r="AS69" s="172">
        <f t="shared" si="110"/>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1"/>
        <v>0</v>
      </c>
      <c r="BB69" s="172">
        <f t="shared" si="111"/>
        <v>3436750</v>
      </c>
      <c r="BC69" s="172">
        <f t="shared" si="111"/>
        <v>1890000</v>
      </c>
      <c r="BD69" s="172">
        <f t="shared" si="111"/>
        <v>0</v>
      </c>
      <c r="BE69" s="172">
        <f t="shared" si="111"/>
        <v>0</v>
      </c>
      <c r="BF69" s="172">
        <f t="shared" si="111"/>
        <v>0</v>
      </c>
      <c r="BG69" s="172">
        <f t="shared" si="111"/>
        <v>5000500</v>
      </c>
      <c r="BH69" s="172">
        <f t="shared" si="111"/>
        <v>0</v>
      </c>
    </row>
    <row r="70" spans="2:60" x14ac:dyDescent="0.25">
      <c r="B70" s="230" t="s">
        <v>8</v>
      </c>
      <c r="C70" s="166" t="s">
        <v>75</v>
      </c>
      <c r="D70" s="166"/>
      <c r="E70" s="166"/>
      <c r="F70" s="167">
        <f>SUM(F71:F75)</f>
        <v>113346000</v>
      </c>
      <c r="G70" s="167">
        <f>SUM(G71:G75)</f>
        <v>153780000</v>
      </c>
      <c r="H70" s="167">
        <f>SUM(H71:H75)</f>
        <v>0</v>
      </c>
      <c r="I70" s="167">
        <f>SUM(I71:I75)</f>
        <v>40434000</v>
      </c>
      <c r="J70" s="167">
        <f t="shared" ref="J70:AS70" si="112">SUM(J71:J75)</f>
        <v>0</v>
      </c>
      <c r="K70" s="167">
        <f t="shared" si="112"/>
        <v>0</v>
      </c>
      <c r="L70" s="167">
        <f t="shared" si="112"/>
        <v>0</v>
      </c>
      <c r="M70" s="167">
        <f t="shared" si="112"/>
        <v>0</v>
      </c>
      <c r="N70" s="167">
        <f t="shared" si="112"/>
        <v>0</v>
      </c>
      <c r="O70" s="167">
        <f t="shared" si="112"/>
        <v>0</v>
      </c>
      <c r="P70" s="167">
        <f t="shared" si="112"/>
        <v>0</v>
      </c>
      <c r="Q70" s="167">
        <f t="shared" si="112"/>
        <v>1890000</v>
      </c>
      <c r="R70" s="167">
        <f t="shared" si="112"/>
        <v>3436750</v>
      </c>
      <c r="S70" s="167">
        <f t="shared" si="112"/>
        <v>3570000</v>
      </c>
      <c r="T70" s="167">
        <f t="shared" si="112"/>
        <v>0</v>
      </c>
      <c r="U70" s="167">
        <f t="shared" si="112"/>
        <v>0</v>
      </c>
      <c r="V70" s="167">
        <f t="shared" si="112"/>
        <v>10960600</v>
      </c>
      <c r="W70" s="167">
        <f t="shared" si="112"/>
        <v>0</v>
      </c>
      <c r="X70" s="167">
        <f t="shared" si="112"/>
        <v>5000500</v>
      </c>
      <c r="Y70" s="167">
        <f t="shared" si="112"/>
        <v>4977000</v>
      </c>
      <c r="Z70" s="167">
        <f t="shared" si="112"/>
        <v>0</v>
      </c>
      <c r="AA70" s="167">
        <f t="shared" si="112"/>
        <v>0</v>
      </c>
      <c r="AB70" s="167">
        <f t="shared" si="112"/>
        <v>0</v>
      </c>
      <c r="AC70" s="167">
        <f t="shared" si="112"/>
        <v>0</v>
      </c>
      <c r="AD70" s="167">
        <f t="shared" si="112"/>
        <v>0</v>
      </c>
      <c r="AE70" s="167">
        <f t="shared" si="112"/>
        <v>0</v>
      </c>
      <c r="AF70" s="167">
        <f t="shared" si="112"/>
        <v>0</v>
      </c>
      <c r="AG70" s="167">
        <f t="shared" si="112"/>
        <v>0</v>
      </c>
      <c r="AH70" s="167">
        <f t="shared" si="112"/>
        <v>0</v>
      </c>
      <c r="AI70" s="167">
        <f t="shared" si="112"/>
        <v>0</v>
      </c>
      <c r="AJ70" s="167">
        <f t="shared" si="112"/>
        <v>0</v>
      </c>
      <c r="AK70" s="167">
        <f t="shared" si="112"/>
        <v>0</v>
      </c>
      <c r="AL70" s="167">
        <f t="shared" si="112"/>
        <v>0</v>
      </c>
      <c r="AM70" s="167">
        <f t="shared" si="112"/>
        <v>0</v>
      </c>
      <c r="AN70" s="167">
        <f t="shared" si="112"/>
        <v>0</v>
      </c>
      <c r="AO70" s="167">
        <f t="shared" si="112"/>
        <v>0</v>
      </c>
      <c r="AP70" s="167">
        <f t="shared" si="112"/>
        <v>0</v>
      </c>
      <c r="AQ70" s="167">
        <f t="shared" si="112"/>
        <v>0</v>
      </c>
      <c r="AR70" s="167">
        <f t="shared" si="112"/>
        <v>0</v>
      </c>
      <c r="AS70" s="167">
        <f t="shared" si="112"/>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3">SUM(BA71:BA75)</f>
        <v>0</v>
      </c>
      <c r="BB70" s="167">
        <f t="shared" ref="BB70:BC70" si="114">SUM(BB71:BB75)</f>
        <v>3436750</v>
      </c>
      <c r="BC70" s="167">
        <f t="shared" si="114"/>
        <v>1890000</v>
      </c>
      <c r="BD70" s="167">
        <f t="shared" ref="BD70" si="115">SUM(BD71:BD75)</f>
        <v>0</v>
      </c>
      <c r="BE70" s="167">
        <f t="shared" ref="BE70" si="116">SUM(BE71:BE75)</f>
        <v>0</v>
      </c>
      <c r="BF70" s="167">
        <f t="shared" ref="BF70:BG70" si="117">SUM(BF71:BF75)</f>
        <v>0</v>
      </c>
      <c r="BG70" s="167">
        <f t="shared" si="117"/>
        <v>5000500</v>
      </c>
      <c r="BH70" s="167">
        <f t="shared" ref="BH70" si="118">SUM(BH71:BH75)</f>
        <v>0</v>
      </c>
    </row>
    <row r="71" spans="2:60" x14ac:dyDescent="0.25">
      <c r="B71" s="228">
        <v>521211</v>
      </c>
      <c r="C71" s="164" t="s">
        <v>7</v>
      </c>
      <c r="D71" s="164"/>
      <c r="E71" s="164"/>
      <c r="F71" s="165">
        <v>12400000</v>
      </c>
      <c r="G71" s="165">
        <v>14400000</v>
      </c>
      <c r="H71" s="165"/>
      <c r="I71" s="165">
        <f t="shared" ref="I71:I75" si="119">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row>
    <row r="72" spans="2:60" x14ac:dyDescent="0.25">
      <c r="B72" s="228">
        <v>521219</v>
      </c>
      <c r="C72" s="164" t="s">
        <v>53</v>
      </c>
      <c r="D72" s="164"/>
      <c r="E72" s="164"/>
      <c r="F72" s="165">
        <v>0</v>
      </c>
      <c r="G72" s="165">
        <v>8000000</v>
      </c>
      <c r="H72" s="165"/>
      <c r="I72" s="165">
        <f t="shared" si="119"/>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row>
    <row r="73" spans="2:60" x14ac:dyDescent="0.25">
      <c r="B73" s="228">
        <v>521811</v>
      </c>
      <c r="C73" s="164" t="s">
        <v>64</v>
      </c>
      <c r="D73" s="164"/>
      <c r="E73" s="164"/>
      <c r="F73" s="165">
        <v>10000000</v>
      </c>
      <c r="G73" s="165">
        <v>12000000</v>
      </c>
      <c r="H73" s="165"/>
      <c r="I73" s="165">
        <f t="shared" si="119"/>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row>
    <row r="74" spans="2:60" x14ac:dyDescent="0.25">
      <c r="B74" s="228">
        <v>522151</v>
      </c>
      <c r="C74" s="164" t="s">
        <v>11</v>
      </c>
      <c r="D74" s="164"/>
      <c r="E74" s="164"/>
      <c r="F74" s="165">
        <v>0</v>
      </c>
      <c r="G74" s="165">
        <v>4000000</v>
      </c>
      <c r="H74" s="165"/>
      <c r="I74" s="165">
        <f t="shared" si="119"/>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row>
    <row r="75" spans="2:60" x14ac:dyDescent="0.25">
      <c r="B75" s="228">
        <v>524111</v>
      </c>
      <c r="C75" s="164" t="s">
        <v>19</v>
      </c>
      <c r="D75" s="164"/>
      <c r="E75" s="164"/>
      <c r="F75" s="165">
        <v>90946000</v>
      </c>
      <c r="G75" s="165">
        <v>115380000</v>
      </c>
      <c r="H75" s="165"/>
      <c r="I75" s="165">
        <f t="shared" si="119"/>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row>
    <row r="76" spans="2:60" x14ac:dyDescent="0.25">
      <c r="B76" s="170" t="s">
        <v>3632</v>
      </c>
      <c r="C76" s="171" t="s">
        <v>1270</v>
      </c>
      <c r="D76" s="171">
        <v>1</v>
      </c>
      <c r="E76" s="171" t="s">
        <v>3627</v>
      </c>
      <c r="F76" s="172">
        <f t="shared" ref="F76:AS76" si="120">F77</f>
        <v>881810000</v>
      </c>
      <c r="G76" s="172">
        <f t="shared" si="120"/>
        <v>2736502000</v>
      </c>
      <c r="H76" s="172">
        <f t="shared" si="120"/>
        <v>0</v>
      </c>
      <c r="I76" s="172">
        <f t="shared" si="120"/>
        <v>1854692000</v>
      </c>
      <c r="J76" s="172">
        <f t="shared" si="120"/>
        <v>0</v>
      </c>
      <c r="K76" s="172">
        <f t="shared" si="120"/>
        <v>0</v>
      </c>
      <c r="L76" s="172">
        <f t="shared" si="120"/>
        <v>0</v>
      </c>
      <c r="M76" s="172">
        <f t="shared" si="120"/>
        <v>0</v>
      </c>
      <c r="N76" s="172">
        <f t="shared" si="120"/>
        <v>0</v>
      </c>
      <c r="O76" s="172">
        <f t="shared" si="120"/>
        <v>0</v>
      </c>
      <c r="P76" s="172">
        <f t="shared" si="120"/>
        <v>0</v>
      </c>
      <c r="Q76" s="172">
        <f t="shared" si="120"/>
        <v>85679153</v>
      </c>
      <c r="R76" s="172">
        <f t="shared" si="120"/>
        <v>142958644</v>
      </c>
      <c r="S76" s="172">
        <f t="shared" si="120"/>
        <v>54042998</v>
      </c>
      <c r="T76" s="172">
        <f t="shared" si="120"/>
        <v>40187000</v>
      </c>
      <c r="U76" s="172">
        <f t="shared" si="120"/>
        <v>0</v>
      </c>
      <c r="V76" s="172">
        <f t="shared" si="120"/>
        <v>19414000</v>
      </c>
      <c r="W76" s="172">
        <f t="shared" si="120"/>
        <v>42454302</v>
      </c>
      <c r="X76" s="172">
        <f t="shared" si="120"/>
        <v>110921043</v>
      </c>
      <c r="Y76" s="172">
        <f t="shared" si="120"/>
        <v>35886027</v>
      </c>
      <c r="Z76" s="172">
        <f t="shared" si="120"/>
        <v>0</v>
      </c>
      <c r="AA76" s="172">
        <f t="shared" si="120"/>
        <v>0</v>
      </c>
      <c r="AB76" s="172">
        <f t="shared" si="120"/>
        <v>0</v>
      </c>
      <c r="AC76" s="172">
        <f t="shared" si="120"/>
        <v>0</v>
      </c>
      <c r="AD76" s="172">
        <f t="shared" si="120"/>
        <v>0</v>
      </c>
      <c r="AE76" s="172">
        <f t="shared" si="120"/>
        <v>0</v>
      </c>
      <c r="AF76" s="172">
        <f t="shared" si="120"/>
        <v>0</v>
      </c>
      <c r="AG76" s="172">
        <f t="shared" si="120"/>
        <v>0</v>
      </c>
      <c r="AH76" s="172">
        <f t="shared" si="120"/>
        <v>0</v>
      </c>
      <c r="AI76" s="172">
        <f t="shared" si="120"/>
        <v>0</v>
      </c>
      <c r="AJ76" s="172">
        <f t="shared" si="120"/>
        <v>0</v>
      </c>
      <c r="AK76" s="172">
        <f t="shared" si="120"/>
        <v>0</v>
      </c>
      <c r="AL76" s="172">
        <f t="shared" si="120"/>
        <v>0</v>
      </c>
      <c r="AM76" s="172">
        <f t="shared" si="120"/>
        <v>0</v>
      </c>
      <c r="AN76" s="172">
        <f t="shared" si="120"/>
        <v>0</v>
      </c>
      <c r="AO76" s="172">
        <f t="shared" si="120"/>
        <v>0</v>
      </c>
      <c r="AP76" s="172">
        <f t="shared" si="120"/>
        <v>0</v>
      </c>
      <c r="AQ76" s="172">
        <f t="shared" si="120"/>
        <v>0</v>
      </c>
      <c r="AR76" s="172">
        <f t="shared" si="120"/>
        <v>0</v>
      </c>
      <c r="AS76" s="172">
        <f t="shared" si="120"/>
        <v>0</v>
      </c>
      <c r="AT76" s="172">
        <f t="shared" si="33"/>
        <v>531543167</v>
      </c>
      <c r="AU76" s="173">
        <f t="shared" si="6"/>
        <v>60.278650389539699</v>
      </c>
      <c r="AV76" s="174">
        <f t="shared" si="7"/>
        <v>350266833</v>
      </c>
      <c r="AW76" s="173">
        <f t="shared" si="10"/>
        <v>39.721349610460308</v>
      </c>
      <c r="AX76" s="164"/>
      <c r="AY76" s="164"/>
      <c r="AZ76" s="164" t="s">
        <v>3921</v>
      </c>
      <c r="BA76" s="172">
        <f t="shared" ref="BA76:BH76" si="121">BA77</f>
        <v>59308000</v>
      </c>
      <c r="BB76" s="172">
        <f t="shared" si="121"/>
        <v>142958644</v>
      </c>
      <c r="BC76" s="172">
        <f t="shared" si="121"/>
        <v>26371153</v>
      </c>
      <c r="BD76" s="172">
        <f t="shared" si="121"/>
        <v>40187000</v>
      </c>
      <c r="BE76" s="172">
        <f t="shared" si="121"/>
        <v>18988905</v>
      </c>
      <c r="BF76" s="172">
        <f t="shared" si="121"/>
        <v>23465397</v>
      </c>
      <c r="BG76" s="172">
        <f t="shared" si="121"/>
        <v>110921043</v>
      </c>
      <c r="BH76" s="172">
        <f t="shared" si="121"/>
        <v>0</v>
      </c>
    </row>
    <row r="77" spans="2:60" x14ac:dyDescent="0.25">
      <c r="B77" s="170">
        <v>301</v>
      </c>
      <c r="C77" s="171" t="s">
        <v>1389</v>
      </c>
      <c r="D77" s="171"/>
      <c r="E77" s="171"/>
      <c r="F77" s="172">
        <f t="shared" ref="F77:AS77" si="122">F78+F82+F86+F91+F95+F102+F108+F113+F118</f>
        <v>881810000</v>
      </c>
      <c r="G77" s="172">
        <f t="shared" ref="G77:H77" si="123">G78+G82+G86+G91+G95+G102+G108+G113+G118</f>
        <v>2736502000</v>
      </c>
      <c r="H77" s="172">
        <f t="shared" si="123"/>
        <v>0</v>
      </c>
      <c r="I77" s="172">
        <f t="shared" ref="I77" si="124">I78+I82+I86+I91+I95+I102+I108+I113+I118</f>
        <v>1854692000</v>
      </c>
      <c r="J77" s="172">
        <f t="shared" si="122"/>
        <v>0</v>
      </c>
      <c r="K77" s="172">
        <f t="shared" si="122"/>
        <v>0</v>
      </c>
      <c r="L77" s="172">
        <f t="shared" si="122"/>
        <v>0</v>
      </c>
      <c r="M77" s="172">
        <f t="shared" si="122"/>
        <v>0</v>
      </c>
      <c r="N77" s="172">
        <f t="shared" si="122"/>
        <v>0</v>
      </c>
      <c r="O77" s="172">
        <f t="shared" si="122"/>
        <v>0</v>
      </c>
      <c r="P77" s="172">
        <f t="shared" si="122"/>
        <v>0</v>
      </c>
      <c r="Q77" s="172">
        <f t="shared" si="122"/>
        <v>85679153</v>
      </c>
      <c r="R77" s="172">
        <f t="shared" si="122"/>
        <v>142958644</v>
      </c>
      <c r="S77" s="172">
        <f t="shared" si="122"/>
        <v>54042998</v>
      </c>
      <c r="T77" s="172">
        <f t="shared" si="122"/>
        <v>40187000</v>
      </c>
      <c r="U77" s="172">
        <f t="shared" si="122"/>
        <v>0</v>
      </c>
      <c r="V77" s="172">
        <f t="shared" si="122"/>
        <v>19414000</v>
      </c>
      <c r="W77" s="172">
        <f t="shared" si="122"/>
        <v>42454302</v>
      </c>
      <c r="X77" s="172">
        <f t="shared" si="122"/>
        <v>110921043</v>
      </c>
      <c r="Y77" s="172">
        <f t="shared" si="122"/>
        <v>35886027</v>
      </c>
      <c r="Z77" s="172">
        <f t="shared" si="122"/>
        <v>0</v>
      </c>
      <c r="AA77" s="172">
        <f t="shared" si="122"/>
        <v>0</v>
      </c>
      <c r="AB77" s="172">
        <f t="shared" si="122"/>
        <v>0</v>
      </c>
      <c r="AC77" s="172">
        <f t="shared" si="122"/>
        <v>0</v>
      </c>
      <c r="AD77" s="172">
        <f t="shared" si="122"/>
        <v>0</v>
      </c>
      <c r="AE77" s="172">
        <f t="shared" si="122"/>
        <v>0</v>
      </c>
      <c r="AF77" s="172">
        <f t="shared" si="122"/>
        <v>0</v>
      </c>
      <c r="AG77" s="172">
        <f t="shared" si="122"/>
        <v>0</v>
      </c>
      <c r="AH77" s="172">
        <f t="shared" si="122"/>
        <v>0</v>
      </c>
      <c r="AI77" s="172">
        <f t="shared" si="122"/>
        <v>0</v>
      </c>
      <c r="AJ77" s="172">
        <f t="shared" si="122"/>
        <v>0</v>
      </c>
      <c r="AK77" s="172">
        <f t="shared" si="122"/>
        <v>0</v>
      </c>
      <c r="AL77" s="172">
        <f t="shared" si="122"/>
        <v>0</v>
      </c>
      <c r="AM77" s="172">
        <f t="shared" si="122"/>
        <v>0</v>
      </c>
      <c r="AN77" s="172">
        <f t="shared" si="122"/>
        <v>0</v>
      </c>
      <c r="AO77" s="172">
        <f t="shared" si="122"/>
        <v>0</v>
      </c>
      <c r="AP77" s="172">
        <f t="shared" si="122"/>
        <v>0</v>
      </c>
      <c r="AQ77" s="172">
        <f t="shared" si="122"/>
        <v>0</v>
      </c>
      <c r="AR77" s="172">
        <f t="shared" si="122"/>
        <v>0</v>
      </c>
      <c r="AS77" s="172">
        <f t="shared" si="122"/>
        <v>0</v>
      </c>
      <c r="AT77" s="172">
        <f t="shared" si="33"/>
        <v>531543167</v>
      </c>
      <c r="AU77" s="173">
        <f t="shared" si="6"/>
        <v>60.278650389539699</v>
      </c>
      <c r="AV77" s="174">
        <f t="shared" si="7"/>
        <v>350266833</v>
      </c>
      <c r="AW77" s="173">
        <f t="shared" si="10"/>
        <v>39.721349610460308</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5">BE78+BE82+BE86+BE91+BE95+BE102+BE108+BE113+BE118</f>
        <v>18988905</v>
      </c>
      <c r="BF77" s="172">
        <f t="shared" ref="BF77:BG77" si="126">BF78+BF82+BF86+BF91+BF95+BF102+BF108+BF113+BF118</f>
        <v>23465397</v>
      </c>
      <c r="BG77" s="172">
        <f t="shared" si="126"/>
        <v>110921043</v>
      </c>
      <c r="BH77" s="172">
        <f t="shared" ref="BH77" si="127">BH78+BH82+BH86+BH91+BH95+BH102+BH108+BH113+BH118</f>
        <v>0</v>
      </c>
    </row>
    <row r="78" spans="2:60" x14ac:dyDescent="0.25">
      <c r="B78" s="230" t="s">
        <v>8</v>
      </c>
      <c r="C78" s="166" t="s">
        <v>148</v>
      </c>
      <c r="D78" s="166"/>
      <c r="E78" s="166"/>
      <c r="F78" s="167">
        <f t="shared" ref="F78:G78" si="128">SUM(F79:F81)</f>
        <v>18739000</v>
      </c>
      <c r="G78" s="167">
        <f t="shared" si="128"/>
        <v>51100000</v>
      </c>
      <c r="H78" s="167">
        <f t="shared" ref="H78" si="129">SUM(H79:H81)</f>
        <v>0</v>
      </c>
      <c r="I78" s="167">
        <f t="shared" ref="I78" si="130">SUM(I79:I81)</f>
        <v>32361000</v>
      </c>
      <c r="J78" s="167">
        <f t="shared" ref="J78:AS78" si="131">SUM(J79:J81)</f>
        <v>0</v>
      </c>
      <c r="K78" s="167">
        <f t="shared" si="131"/>
        <v>0</v>
      </c>
      <c r="L78" s="167">
        <f t="shared" si="131"/>
        <v>0</v>
      </c>
      <c r="M78" s="167">
        <f t="shared" si="131"/>
        <v>0</v>
      </c>
      <c r="N78" s="167">
        <f t="shared" si="131"/>
        <v>0</v>
      </c>
      <c r="O78" s="167">
        <f t="shared" si="131"/>
        <v>0</v>
      </c>
      <c r="P78" s="167">
        <f t="shared" si="131"/>
        <v>0</v>
      </c>
      <c r="Q78" s="167">
        <f t="shared" si="131"/>
        <v>3135000</v>
      </c>
      <c r="R78" s="167">
        <f t="shared" si="131"/>
        <v>5948800</v>
      </c>
      <c r="S78" s="167">
        <f t="shared" si="131"/>
        <v>0</v>
      </c>
      <c r="T78" s="167">
        <f t="shared" si="131"/>
        <v>3960000</v>
      </c>
      <c r="U78" s="167">
        <f t="shared" si="131"/>
        <v>0</v>
      </c>
      <c r="V78" s="167">
        <f t="shared" si="131"/>
        <v>0</v>
      </c>
      <c r="W78" s="167">
        <f t="shared" si="131"/>
        <v>3043500</v>
      </c>
      <c r="X78" s="167">
        <f t="shared" si="131"/>
        <v>0</v>
      </c>
      <c r="Y78" s="167">
        <f t="shared" si="131"/>
        <v>0</v>
      </c>
      <c r="Z78" s="167">
        <f t="shared" si="131"/>
        <v>0</v>
      </c>
      <c r="AA78" s="167">
        <f t="shared" si="131"/>
        <v>0</v>
      </c>
      <c r="AB78" s="167">
        <f t="shared" si="131"/>
        <v>0</v>
      </c>
      <c r="AC78" s="167">
        <f t="shared" si="131"/>
        <v>0</v>
      </c>
      <c r="AD78" s="167">
        <f t="shared" si="131"/>
        <v>0</v>
      </c>
      <c r="AE78" s="167">
        <f t="shared" si="131"/>
        <v>0</v>
      </c>
      <c r="AF78" s="167">
        <f t="shared" si="131"/>
        <v>0</v>
      </c>
      <c r="AG78" s="167">
        <f t="shared" si="131"/>
        <v>0</v>
      </c>
      <c r="AH78" s="167">
        <f t="shared" si="131"/>
        <v>0</v>
      </c>
      <c r="AI78" s="167">
        <f t="shared" si="131"/>
        <v>0</v>
      </c>
      <c r="AJ78" s="167">
        <f t="shared" si="131"/>
        <v>0</v>
      </c>
      <c r="AK78" s="167">
        <f t="shared" si="131"/>
        <v>0</v>
      </c>
      <c r="AL78" s="167">
        <f t="shared" si="131"/>
        <v>0</v>
      </c>
      <c r="AM78" s="167">
        <f t="shared" si="131"/>
        <v>0</v>
      </c>
      <c r="AN78" s="167">
        <f t="shared" si="131"/>
        <v>0</v>
      </c>
      <c r="AO78" s="167">
        <f t="shared" si="131"/>
        <v>0</v>
      </c>
      <c r="AP78" s="167">
        <f t="shared" si="131"/>
        <v>0</v>
      </c>
      <c r="AQ78" s="167">
        <f t="shared" si="131"/>
        <v>0</v>
      </c>
      <c r="AR78" s="167">
        <f t="shared" si="131"/>
        <v>0</v>
      </c>
      <c r="AS78" s="167">
        <f t="shared" si="131"/>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2">SUM(BA79:BA81)</f>
        <v>3135000</v>
      </c>
      <c r="BB78" s="167">
        <f t="shared" ref="BB78:BC78" si="133">SUM(BB79:BB81)</f>
        <v>5948800</v>
      </c>
      <c r="BC78" s="167">
        <f t="shared" si="133"/>
        <v>0</v>
      </c>
      <c r="BD78" s="167">
        <f t="shared" ref="BD78" si="134">SUM(BD79:BD81)</f>
        <v>3960000</v>
      </c>
      <c r="BE78" s="167">
        <f t="shared" ref="BE78" si="135">SUM(BE79:BE81)</f>
        <v>0</v>
      </c>
      <c r="BF78" s="167">
        <f t="shared" ref="BF78:BG78" si="136">SUM(BF79:BF81)</f>
        <v>3043500</v>
      </c>
      <c r="BG78" s="167">
        <f t="shared" si="136"/>
        <v>0</v>
      </c>
      <c r="BH78" s="167">
        <f t="shared" ref="BH78" si="137">SUM(BH79:BH81)</f>
        <v>0</v>
      </c>
    </row>
    <row r="79" spans="2:60" x14ac:dyDescent="0.25">
      <c r="B79" s="228">
        <v>521211</v>
      </c>
      <c r="C79" s="164" t="s">
        <v>7</v>
      </c>
      <c r="D79" s="164"/>
      <c r="E79" s="164"/>
      <c r="F79" s="165">
        <v>5000000</v>
      </c>
      <c r="G79" s="165">
        <v>22000000</v>
      </c>
      <c r="H79" s="165"/>
      <c r="I79" s="165">
        <f t="shared" ref="I79:I81" si="138">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39">SUM(J79:AS79)</f>
        <v>3998800</v>
      </c>
      <c r="AU79" s="168">
        <f t="shared" ref="AU79:AU142" si="140">IFERROR(AT79/F79*100,0)</f>
        <v>79.975999999999999</v>
      </c>
      <c r="AV79" s="169">
        <f t="shared" ref="AV79:AV122" si="141">F79-AT79</f>
        <v>1001200</v>
      </c>
      <c r="AW79" s="168">
        <f t="shared" ref="AW79:AW127" si="142">AV79/F79*100</f>
        <v>20.024000000000001</v>
      </c>
      <c r="AX79" s="164" t="s">
        <v>576</v>
      </c>
      <c r="AY79" s="164" t="s">
        <v>560</v>
      </c>
      <c r="AZ79" s="164" t="s">
        <v>3921</v>
      </c>
      <c r="BA79" s="165"/>
      <c r="BB79" s="165">
        <v>3998800</v>
      </c>
      <c r="BC79" s="240"/>
      <c r="BD79" s="165"/>
      <c r="BE79" s="165"/>
      <c r="BF79" s="165"/>
      <c r="BG79" s="165"/>
      <c r="BH79" s="165"/>
    </row>
    <row r="80" spans="2:60" x14ac:dyDescent="0.25">
      <c r="B80" s="228">
        <v>524111</v>
      </c>
      <c r="C80" s="164" t="s">
        <v>19</v>
      </c>
      <c r="D80" s="164"/>
      <c r="E80" s="164"/>
      <c r="F80" s="165">
        <v>12989000</v>
      </c>
      <c r="G80" s="165">
        <v>27000000</v>
      </c>
      <c r="H80" s="165"/>
      <c r="I80" s="165">
        <f t="shared" si="138"/>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39"/>
        <v>11338500</v>
      </c>
      <c r="AU80" s="168">
        <f t="shared" si="140"/>
        <v>87.293094156594037</v>
      </c>
      <c r="AV80" s="169">
        <f t="shared" si="141"/>
        <v>1650500</v>
      </c>
      <c r="AW80" s="168">
        <f t="shared" si="142"/>
        <v>12.706905843405957</v>
      </c>
      <c r="AX80" s="164" t="s">
        <v>576</v>
      </c>
      <c r="AY80" s="164" t="s">
        <v>560</v>
      </c>
      <c r="AZ80" s="164" t="s">
        <v>3921</v>
      </c>
      <c r="BA80" s="165">
        <v>2685000</v>
      </c>
      <c r="BB80" s="165">
        <v>1650000</v>
      </c>
      <c r="BC80" s="240"/>
      <c r="BD80" s="165">
        <v>3960000</v>
      </c>
      <c r="BE80" s="165"/>
      <c r="BF80" s="165">
        <v>3043500</v>
      </c>
      <c r="BG80" s="165"/>
      <c r="BH80" s="165"/>
    </row>
    <row r="81" spans="2:62" x14ac:dyDescent="0.25">
      <c r="B81" s="228">
        <v>524113</v>
      </c>
      <c r="C81" s="164" t="s">
        <v>13</v>
      </c>
      <c r="D81" s="164"/>
      <c r="E81" s="164"/>
      <c r="F81" s="165">
        <v>750000</v>
      </c>
      <c r="G81" s="165">
        <v>2100000</v>
      </c>
      <c r="H81" s="165"/>
      <c r="I81" s="165">
        <f t="shared" si="138"/>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39"/>
        <v>750000</v>
      </c>
      <c r="AU81" s="168">
        <f t="shared" si="140"/>
        <v>100</v>
      </c>
      <c r="AV81" s="169">
        <f t="shared" si="141"/>
        <v>0</v>
      </c>
      <c r="AW81" s="168">
        <f t="shared" si="142"/>
        <v>0</v>
      </c>
      <c r="AX81" s="164" t="s">
        <v>576</v>
      </c>
      <c r="AY81" s="164" t="s">
        <v>560</v>
      </c>
      <c r="AZ81" s="164" t="s">
        <v>3921</v>
      </c>
      <c r="BA81" s="165">
        <v>450000</v>
      </c>
      <c r="BB81" s="165">
        <v>300000</v>
      </c>
      <c r="BC81" s="240"/>
      <c r="BD81" s="165"/>
      <c r="BE81" s="165"/>
      <c r="BF81" s="165"/>
      <c r="BG81" s="165"/>
      <c r="BH81" s="165"/>
    </row>
    <row r="82" spans="2:62" x14ac:dyDescent="0.25">
      <c r="B82" s="230" t="s">
        <v>511</v>
      </c>
      <c r="C82" s="166" t="s">
        <v>150</v>
      </c>
      <c r="D82" s="166"/>
      <c r="E82" s="166"/>
      <c r="F82" s="167">
        <f t="shared" ref="F82:AS82" si="143">SUM(F83:F85)</f>
        <v>385665000</v>
      </c>
      <c r="G82" s="167">
        <f t="shared" ref="G82:H82" si="144">SUM(G83:G85)</f>
        <v>548180000</v>
      </c>
      <c r="H82" s="167">
        <f t="shared" si="144"/>
        <v>0</v>
      </c>
      <c r="I82" s="167">
        <f t="shared" ref="I82" si="145">SUM(I83:I85)</f>
        <v>162515000</v>
      </c>
      <c r="J82" s="167">
        <f t="shared" si="143"/>
        <v>0</v>
      </c>
      <c r="K82" s="167">
        <f t="shared" si="143"/>
        <v>0</v>
      </c>
      <c r="L82" s="167">
        <f t="shared" si="143"/>
        <v>0</v>
      </c>
      <c r="M82" s="167">
        <f t="shared" si="143"/>
        <v>0</v>
      </c>
      <c r="N82" s="167">
        <f t="shared" si="143"/>
        <v>0</v>
      </c>
      <c r="O82" s="167">
        <f t="shared" si="143"/>
        <v>0</v>
      </c>
      <c r="P82" s="167">
        <f t="shared" si="143"/>
        <v>0</v>
      </c>
      <c r="Q82" s="167">
        <f t="shared" si="143"/>
        <v>49559600</v>
      </c>
      <c r="R82" s="167">
        <f t="shared" si="143"/>
        <v>23771900</v>
      </c>
      <c r="S82" s="167">
        <f t="shared" si="143"/>
        <v>34977460</v>
      </c>
      <c r="T82" s="167">
        <f t="shared" si="143"/>
        <v>31588000</v>
      </c>
      <c r="U82" s="167">
        <f t="shared" si="143"/>
        <v>0</v>
      </c>
      <c r="V82" s="167">
        <f t="shared" si="143"/>
        <v>0</v>
      </c>
      <c r="W82" s="167">
        <f t="shared" si="143"/>
        <v>14558751</v>
      </c>
      <c r="X82" s="167">
        <f t="shared" si="143"/>
        <v>13125750</v>
      </c>
      <c r="Y82" s="167">
        <f t="shared" si="143"/>
        <v>0</v>
      </c>
      <c r="Z82" s="167">
        <f t="shared" si="143"/>
        <v>0</v>
      </c>
      <c r="AA82" s="167">
        <f t="shared" si="143"/>
        <v>0</v>
      </c>
      <c r="AB82" s="167">
        <f t="shared" si="143"/>
        <v>0</v>
      </c>
      <c r="AC82" s="167">
        <f t="shared" si="143"/>
        <v>0</v>
      </c>
      <c r="AD82" s="167">
        <f t="shared" si="143"/>
        <v>0</v>
      </c>
      <c r="AE82" s="167">
        <f t="shared" si="143"/>
        <v>0</v>
      </c>
      <c r="AF82" s="167">
        <f t="shared" si="143"/>
        <v>0</v>
      </c>
      <c r="AG82" s="167">
        <f t="shared" si="143"/>
        <v>0</v>
      </c>
      <c r="AH82" s="167">
        <f t="shared" si="143"/>
        <v>0</v>
      </c>
      <c r="AI82" s="167">
        <f t="shared" si="143"/>
        <v>0</v>
      </c>
      <c r="AJ82" s="167">
        <f t="shared" si="143"/>
        <v>0</v>
      </c>
      <c r="AK82" s="167">
        <f t="shared" si="143"/>
        <v>0</v>
      </c>
      <c r="AL82" s="167">
        <f t="shared" si="143"/>
        <v>0</v>
      </c>
      <c r="AM82" s="167">
        <f t="shared" si="143"/>
        <v>0</v>
      </c>
      <c r="AN82" s="167">
        <f t="shared" si="143"/>
        <v>0</v>
      </c>
      <c r="AO82" s="167">
        <f t="shared" si="143"/>
        <v>0</v>
      </c>
      <c r="AP82" s="167">
        <f t="shared" si="143"/>
        <v>0</v>
      </c>
      <c r="AQ82" s="167">
        <f t="shared" si="143"/>
        <v>0</v>
      </c>
      <c r="AR82" s="167">
        <f t="shared" si="143"/>
        <v>0</v>
      </c>
      <c r="AS82" s="167">
        <f t="shared" si="143"/>
        <v>0</v>
      </c>
      <c r="AT82" s="167">
        <f t="shared" si="139"/>
        <v>167581461</v>
      </c>
      <c r="AU82" s="175">
        <f t="shared" si="140"/>
        <v>43.452597720819881</v>
      </c>
      <c r="AV82" s="176">
        <f t="shared" si="141"/>
        <v>218083539</v>
      </c>
      <c r="AW82" s="175">
        <f t="shared" si="142"/>
        <v>56.547402279180112</v>
      </c>
      <c r="AX82" s="164" t="s">
        <v>576</v>
      </c>
      <c r="AY82" s="164" t="s">
        <v>560</v>
      </c>
      <c r="AZ82" s="164" t="s">
        <v>3921</v>
      </c>
      <c r="BA82" s="167">
        <f>SUM(BA83:BA85)</f>
        <v>49105600</v>
      </c>
      <c r="BB82" s="167">
        <f>SUM(BB83:BB85)</f>
        <v>23771900</v>
      </c>
      <c r="BC82" s="167">
        <f>SUM(BC83:BC85)</f>
        <v>454000</v>
      </c>
      <c r="BD82" s="167">
        <f>SUM(BD83:BD85)</f>
        <v>31588000</v>
      </c>
      <c r="BE82" s="167">
        <f t="shared" ref="BE82" si="146">SUM(BE83:BE85)</f>
        <v>10477701</v>
      </c>
      <c r="BF82" s="167">
        <f t="shared" ref="BF82:BG82" si="147">SUM(BF83:BF85)</f>
        <v>4081050</v>
      </c>
      <c r="BG82" s="167">
        <f t="shared" si="147"/>
        <v>13125750</v>
      </c>
      <c r="BH82" s="167">
        <f t="shared" ref="BH82" si="148">SUM(BH83:BH85)</f>
        <v>0</v>
      </c>
    </row>
    <row r="83" spans="2:62" x14ac:dyDescent="0.25">
      <c r="B83" s="228">
        <v>521211</v>
      </c>
      <c r="C83" s="164" t="s">
        <v>7</v>
      </c>
      <c r="D83" s="164"/>
      <c r="E83" s="164"/>
      <c r="F83" s="165">
        <v>10000000</v>
      </c>
      <c r="G83" s="165">
        <v>10000000</v>
      </c>
      <c r="H83" s="165"/>
      <c r="I83" s="165">
        <f t="shared" ref="I83:I85" si="149">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39"/>
        <v>4970000</v>
      </c>
      <c r="AU83" s="168">
        <f t="shared" si="140"/>
        <v>49.7</v>
      </c>
      <c r="AV83" s="169">
        <f t="shared" si="141"/>
        <v>5030000</v>
      </c>
      <c r="AW83" s="168">
        <f t="shared" si="142"/>
        <v>50.3</v>
      </c>
      <c r="AX83" s="164" t="s">
        <v>576</v>
      </c>
      <c r="AY83" s="164" t="s">
        <v>560</v>
      </c>
      <c r="AZ83" s="164" t="s">
        <v>3921</v>
      </c>
      <c r="BA83" s="165">
        <v>2485000</v>
      </c>
      <c r="BB83" s="165"/>
      <c r="BC83" s="240"/>
      <c r="BD83" s="165"/>
      <c r="BE83" s="165"/>
      <c r="BF83" s="165"/>
      <c r="BG83" s="165">
        <v>2485000</v>
      </c>
      <c r="BH83" s="165"/>
    </row>
    <row r="84" spans="2:62" x14ac:dyDescent="0.25">
      <c r="B84" s="228">
        <v>522192</v>
      </c>
      <c r="C84" s="164" t="s">
        <v>24</v>
      </c>
      <c r="D84" s="164"/>
      <c r="E84" s="164"/>
      <c r="F84" s="165">
        <v>2031000</v>
      </c>
      <c r="G84" s="165">
        <v>23680000</v>
      </c>
      <c r="H84" s="165"/>
      <c r="I84" s="165">
        <f t="shared" si="149"/>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39"/>
        <v>2031000</v>
      </c>
      <c r="AU84" s="168">
        <f t="shared" si="140"/>
        <v>100</v>
      </c>
      <c r="AV84" s="169">
        <f t="shared" si="141"/>
        <v>0</v>
      </c>
      <c r="AW84" s="168">
        <f t="shared" si="142"/>
        <v>0</v>
      </c>
      <c r="AX84" s="164" t="s">
        <v>576</v>
      </c>
      <c r="AY84" s="164" t="s">
        <v>560</v>
      </c>
      <c r="AZ84" s="164" t="s">
        <v>3921</v>
      </c>
      <c r="BA84" s="165">
        <v>1235000</v>
      </c>
      <c r="BB84" s="165">
        <v>342000</v>
      </c>
      <c r="BC84" s="240">
        <v>454000</v>
      </c>
      <c r="BD84" s="165"/>
      <c r="BE84" s="165"/>
      <c r="BF84" s="165"/>
      <c r="BG84" s="165"/>
      <c r="BH84" s="165"/>
    </row>
    <row r="85" spans="2:62" x14ac:dyDescent="0.25">
      <c r="B85" s="228">
        <v>524111</v>
      </c>
      <c r="C85" s="164" t="s">
        <v>19</v>
      </c>
      <c r="D85" s="164"/>
      <c r="E85" s="164"/>
      <c r="F85" s="165">
        <v>373634000</v>
      </c>
      <c r="G85" s="165">
        <v>514500000</v>
      </c>
      <c r="H85" s="165"/>
      <c r="I85" s="165">
        <f t="shared" si="149"/>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c r="AC85" s="165"/>
      <c r="AD85" s="165"/>
      <c r="AE85" s="165"/>
      <c r="AF85" s="165"/>
      <c r="AG85" s="165"/>
      <c r="AH85" s="165"/>
      <c r="AI85" s="165"/>
      <c r="AJ85" s="165"/>
      <c r="AK85" s="165"/>
      <c r="AL85" s="165"/>
      <c r="AM85" s="165"/>
      <c r="AN85" s="165"/>
      <c r="AO85" s="165"/>
      <c r="AP85" s="165"/>
      <c r="AQ85" s="165"/>
      <c r="AR85" s="165"/>
      <c r="AS85" s="165"/>
      <c r="AT85" s="165">
        <f t="shared" si="139"/>
        <v>160580461</v>
      </c>
      <c r="AU85" s="168">
        <f t="shared" si="140"/>
        <v>42.978010834131794</v>
      </c>
      <c r="AV85" s="169">
        <f t="shared" si="141"/>
        <v>213053539</v>
      </c>
      <c r="AW85" s="168">
        <f t="shared" si="142"/>
        <v>57.021989165868206</v>
      </c>
      <c r="AX85" s="164" t="s">
        <v>576</v>
      </c>
      <c r="AY85" s="164" t="s">
        <v>560</v>
      </c>
      <c r="AZ85" s="164" t="s">
        <v>3921</v>
      </c>
      <c r="BA85" s="165">
        <v>45385600</v>
      </c>
      <c r="BB85" s="165">
        <v>23429900</v>
      </c>
      <c r="BC85" s="240"/>
      <c r="BD85" s="165">
        <v>31588000</v>
      </c>
      <c r="BE85" s="165">
        <v>10477701</v>
      </c>
      <c r="BF85" s="165">
        <v>4081050</v>
      </c>
      <c r="BG85" s="165">
        <v>10640750</v>
      </c>
      <c r="BH85" s="165"/>
    </row>
    <row r="86" spans="2:62" x14ac:dyDescent="0.25">
      <c r="B86" s="230" t="s">
        <v>512</v>
      </c>
      <c r="C86" s="166" t="s">
        <v>1418</v>
      </c>
      <c r="D86" s="166"/>
      <c r="E86" s="166"/>
      <c r="F86" s="167">
        <f t="shared" ref="F86:AS86" si="150">SUM(F87:F90)</f>
        <v>56750000</v>
      </c>
      <c r="G86" s="167">
        <f t="shared" ref="G86:H86" si="151">SUM(G87:G90)</f>
        <v>74500000</v>
      </c>
      <c r="H86" s="167">
        <f t="shared" si="151"/>
        <v>0</v>
      </c>
      <c r="I86" s="167">
        <f t="shared" ref="I86" si="152">SUM(I87:I90)</f>
        <v>17750000</v>
      </c>
      <c r="J86" s="167">
        <f t="shared" si="150"/>
        <v>0</v>
      </c>
      <c r="K86" s="167">
        <f t="shared" si="150"/>
        <v>0</v>
      </c>
      <c r="L86" s="167">
        <f t="shared" si="150"/>
        <v>0</v>
      </c>
      <c r="M86" s="167">
        <f t="shared" si="150"/>
        <v>0</v>
      </c>
      <c r="N86" s="167">
        <f t="shared" si="150"/>
        <v>0</v>
      </c>
      <c r="O86" s="167">
        <f t="shared" si="150"/>
        <v>0</v>
      </c>
      <c r="P86" s="167">
        <f t="shared" si="150"/>
        <v>0</v>
      </c>
      <c r="Q86" s="167">
        <f t="shared" si="150"/>
        <v>600000</v>
      </c>
      <c r="R86" s="167">
        <f t="shared" si="150"/>
        <v>5277000</v>
      </c>
      <c r="S86" s="167">
        <f t="shared" si="150"/>
        <v>0</v>
      </c>
      <c r="T86" s="167">
        <f t="shared" si="150"/>
        <v>0</v>
      </c>
      <c r="U86" s="167">
        <f t="shared" si="150"/>
        <v>0</v>
      </c>
      <c r="V86" s="167">
        <f t="shared" si="150"/>
        <v>0</v>
      </c>
      <c r="W86" s="167">
        <f t="shared" si="150"/>
        <v>7020000</v>
      </c>
      <c r="X86" s="167">
        <f t="shared" si="150"/>
        <v>29384740</v>
      </c>
      <c r="Y86" s="167">
        <f t="shared" si="150"/>
        <v>0</v>
      </c>
      <c r="Z86" s="167">
        <f t="shared" si="150"/>
        <v>0</v>
      </c>
      <c r="AA86" s="167">
        <f t="shared" si="150"/>
        <v>0</v>
      </c>
      <c r="AB86" s="167">
        <f t="shared" si="150"/>
        <v>0</v>
      </c>
      <c r="AC86" s="167">
        <f t="shared" si="150"/>
        <v>0</v>
      </c>
      <c r="AD86" s="167">
        <f t="shared" si="150"/>
        <v>0</v>
      </c>
      <c r="AE86" s="167">
        <f t="shared" si="150"/>
        <v>0</v>
      </c>
      <c r="AF86" s="167">
        <f t="shared" si="150"/>
        <v>0</v>
      </c>
      <c r="AG86" s="167">
        <f t="shared" si="150"/>
        <v>0</v>
      </c>
      <c r="AH86" s="167">
        <f t="shared" si="150"/>
        <v>0</v>
      </c>
      <c r="AI86" s="167">
        <f t="shared" si="150"/>
        <v>0</v>
      </c>
      <c r="AJ86" s="167">
        <f t="shared" si="150"/>
        <v>0</v>
      </c>
      <c r="AK86" s="167">
        <f t="shared" si="150"/>
        <v>0</v>
      </c>
      <c r="AL86" s="167">
        <f t="shared" si="150"/>
        <v>0</v>
      </c>
      <c r="AM86" s="167">
        <f t="shared" si="150"/>
        <v>0</v>
      </c>
      <c r="AN86" s="167">
        <f t="shared" si="150"/>
        <v>0</v>
      </c>
      <c r="AO86" s="167">
        <f t="shared" si="150"/>
        <v>0</v>
      </c>
      <c r="AP86" s="167">
        <f t="shared" si="150"/>
        <v>0</v>
      </c>
      <c r="AQ86" s="167">
        <f t="shared" si="150"/>
        <v>0</v>
      </c>
      <c r="AR86" s="167">
        <f t="shared" si="150"/>
        <v>0</v>
      </c>
      <c r="AS86" s="167">
        <f t="shared" si="150"/>
        <v>0</v>
      </c>
      <c r="AT86" s="167">
        <f t="shared" si="139"/>
        <v>42281740</v>
      </c>
      <c r="AU86" s="175">
        <f t="shared" si="140"/>
        <v>74.505268722466951</v>
      </c>
      <c r="AV86" s="176">
        <f t="shared" si="141"/>
        <v>14468260</v>
      </c>
      <c r="AW86" s="175">
        <f t="shared" si="142"/>
        <v>25.494731277533038</v>
      </c>
      <c r="AX86" s="164" t="s">
        <v>576</v>
      </c>
      <c r="AY86" s="164" t="s">
        <v>560</v>
      </c>
      <c r="AZ86" s="164" t="s">
        <v>3921</v>
      </c>
      <c r="BA86" s="167">
        <f t="shared" ref="BA86:BD86" si="153">SUM(BA87:BA90)</f>
        <v>600000</v>
      </c>
      <c r="BB86" s="167">
        <f t="shared" si="153"/>
        <v>5277000</v>
      </c>
      <c r="BC86" s="167">
        <f t="shared" si="153"/>
        <v>0</v>
      </c>
      <c r="BD86" s="167">
        <f t="shared" si="153"/>
        <v>0</v>
      </c>
      <c r="BE86" s="167">
        <f t="shared" ref="BE86" si="154">SUM(BE87:BE90)</f>
        <v>3300000</v>
      </c>
      <c r="BF86" s="167">
        <f t="shared" ref="BF86:BG86" si="155">SUM(BF87:BF90)</f>
        <v>3720000</v>
      </c>
      <c r="BG86" s="167">
        <f t="shared" si="155"/>
        <v>29384740</v>
      </c>
      <c r="BH86" s="167">
        <f t="shared" ref="BH86" si="156">SUM(BH87:BH90)</f>
        <v>0</v>
      </c>
    </row>
    <row r="87" spans="2:62" x14ac:dyDescent="0.25">
      <c r="B87" s="228">
        <v>521211</v>
      </c>
      <c r="C87" s="164" t="s">
        <v>7</v>
      </c>
      <c r="D87" s="164"/>
      <c r="E87" s="164"/>
      <c r="F87" s="165">
        <v>33500000</v>
      </c>
      <c r="G87" s="165">
        <v>46000000</v>
      </c>
      <c r="H87" s="165"/>
      <c r="I87" s="165">
        <f t="shared" ref="I87:I90" si="157">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39"/>
        <v>33371740</v>
      </c>
      <c r="AU87" s="168">
        <f t="shared" si="140"/>
        <v>99.617134328358219</v>
      </c>
      <c r="AV87" s="169">
        <f t="shared" si="141"/>
        <v>128260</v>
      </c>
      <c r="AW87" s="168">
        <f t="shared" si="142"/>
        <v>0.38286567164179103</v>
      </c>
      <c r="AX87" s="164" t="s">
        <v>576</v>
      </c>
      <c r="AY87" s="164" t="s">
        <v>560</v>
      </c>
      <c r="AZ87" s="164" t="s">
        <v>3921</v>
      </c>
      <c r="BA87" s="165"/>
      <c r="BB87" s="165">
        <v>3987000</v>
      </c>
      <c r="BC87" s="240"/>
      <c r="BD87" s="165"/>
      <c r="BE87" s="165"/>
      <c r="BF87" s="165"/>
      <c r="BG87" s="165">
        <v>29384740</v>
      </c>
      <c r="BH87" s="165"/>
    </row>
    <row r="88" spans="2:62" x14ac:dyDescent="0.25">
      <c r="B88" s="228">
        <v>522141</v>
      </c>
      <c r="C88" s="164" t="s">
        <v>95</v>
      </c>
      <c r="D88" s="164"/>
      <c r="E88" s="164"/>
      <c r="F88" s="165">
        <v>3000000</v>
      </c>
      <c r="G88" s="165">
        <v>6000000</v>
      </c>
      <c r="H88" s="165"/>
      <c r="I88" s="165">
        <f t="shared" si="157"/>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39"/>
        <v>0</v>
      </c>
      <c r="AU88" s="168">
        <f t="shared" si="140"/>
        <v>0</v>
      </c>
      <c r="AV88" s="169">
        <f t="shared" si="141"/>
        <v>3000000</v>
      </c>
      <c r="AW88" s="168">
        <f t="shared" si="142"/>
        <v>100</v>
      </c>
      <c r="AX88" s="164" t="s">
        <v>576</v>
      </c>
      <c r="AY88" s="164" t="s">
        <v>560</v>
      </c>
      <c r="AZ88" s="164" t="s">
        <v>3921</v>
      </c>
      <c r="BA88" s="165"/>
      <c r="BB88" s="165"/>
      <c r="BC88" s="240"/>
      <c r="BD88" s="165"/>
      <c r="BE88" s="165"/>
      <c r="BF88" s="165"/>
      <c r="BG88" s="165"/>
      <c r="BH88" s="165"/>
    </row>
    <row r="89" spans="2:62" x14ac:dyDescent="0.25">
      <c r="B89" s="228">
        <v>524111</v>
      </c>
      <c r="C89" s="164" t="s">
        <v>19</v>
      </c>
      <c r="D89" s="164"/>
      <c r="E89" s="164"/>
      <c r="F89" s="165">
        <v>18000000</v>
      </c>
      <c r="G89" s="165">
        <v>18000000</v>
      </c>
      <c r="H89" s="165"/>
      <c r="I89" s="165">
        <f t="shared" si="157"/>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39"/>
        <v>8310000</v>
      </c>
      <c r="AU89" s="168">
        <f t="shared" si="140"/>
        <v>46.166666666666664</v>
      </c>
      <c r="AV89" s="169">
        <f t="shared" si="141"/>
        <v>9690000</v>
      </c>
      <c r="AW89" s="168">
        <f t="shared" si="142"/>
        <v>53.833333333333336</v>
      </c>
      <c r="AX89" s="164" t="s">
        <v>576</v>
      </c>
      <c r="AY89" s="164" t="s">
        <v>560</v>
      </c>
      <c r="AZ89" s="164" t="s">
        <v>3921</v>
      </c>
      <c r="BA89" s="165"/>
      <c r="BB89" s="165">
        <v>1290000</v>
      </c>
      <c r="BC89" s="240"/>
      <c r="BD89" s="165"/>
      <c r="BE89" s="165">
        <v>3300000</v>
      </c>
      <c r="BF89" s="165">
        <v>3720000</v>
      </c>
      <c r="BG89" s="165"/>
      <c r="BH89" s="165"/>
      <c r="BJ89" t="s">
        <v>3842</v>
      </c>
    </row>
    <row r="90" spans="2:62" x14ac:dyDescent="0.25">
      <c r="B90" s="228">
        <v>524113</v>
      </c>
      <c r="C90" s="164" t="s">
        <v>13</v>
      </c>
      <c r="D90" s="164"/>
      <c r="E90" s="164"/>
      <c r="F90" s="165">
        <v>2250000</v>
      </c>
      <c r="G90" s="165">
        <v>4500000</v>
      </c>
      <c r="H90" s="165"/>
      <c r="I90" s="165">
        <f t="shared" si="157"/>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39"/>
        <v>600000</v>
      </c>
      <c r="AU90" s="168">
        <f t="shared" si="140"/>
        <v>26.666666666666668</v>
      </c>
      <c r="AV90" s="169">
        <f t="shared" si="141"/>
        <v>1650000</v>
      </c>
      <c r="AW90" s="168">
        <f t="shared" si="142"/>
        <v>73.333333333333329</v>
      </c>
      <c r="AX90" s="164" t="s">
        <v>576</v>
      </c>
      <c r="AY90" s="164" t="s">
        <v>560</v>
      </c>
      <c r="AZ90" s="164" t="s">
        <v>3921</v>
      </c>
      <c r="BA90" s="165">
        <v>600000</v>
      </c>
      <c r="BB90" s="165"/>
      <c r="BC90" s="240"/>
      <c r="BD90" s="165"/>
      <c r="BE90" s="165"/>
      <c r="BF90" s="165"/>
      <c r="BG90" s="165"/>
      <c r="BH90" s="165"/>
    </row>
    <row r="91" spans="2:62" x14ac:dyDescent="0.25">
      <c r="B91" s="230" t="s">
        <v>514</v>
      </c>
      <c r="C91" s="166" t="s">
        <v>151</v>
      </c>
      <c r="D91" s="166"/>
      <c r="E91" s="166"/>
      <c r="F91" s="167">
        <f t="shared" ref="F91:AS91" si="158">SUM(F92:F94)</f>
        <v>61193000</v>
      </c>
      <c r="G91" s="167">
        <f t="shared" ref="G91:H91" si="159">SUM(G92:G94)</f>
        <v>101050000</v>
      </c>
      <c r="H91" s="167">
        <f t="shared" si="159"/>
        <v>0</v>
      </c>
      <c r="I91" s="167">
        <f t="shared" ref="I91" si="160">SUM(I92:I94)</f>
        <v>39857000</v>
      </c>
      <c r="J91" s="167">
        <f t="shared" si="158"/>
        <v>0</v>
      </c>
      <c r="K91" s="167">
        <f t="shared" si="158"/>
        <v>0</v>
      </c>
      <c r="L91" s="167">
        <f t="shared" si="158"/>
        <v>0</v>
      </c>
      <c r="M91" s="167">
        <f t="shared" si="158"/>
        <v>0</v>
      </c>
      <c r="N91" s="167">
        <f t="shared" si="158"/>
        <v>0</v>
      </c>
      <c r="O91" s="167">
        <f t="shared" si="158"/>
        <v>0</v>
      </c>
      <c r="P91" s="167">
        <f t="shared" si="158"/>
        <v>0</v>
      </c>
      <c r="Q91" s="167">
        <f t="shared" si="158"/>
        <v>4907400</v>
      </c>
      <c r="R91" s="167">
        <f t="shared" si="158"/>
        <v>8779000</v>
      </c>
      <c r="S91" s="167">
        <f t="shared" si="158"/>
        <v>14352838</v>
      </c>
      <c r="T91" s="167">
        <f t="shared" si="158"/>
        <v>1410000</v>
      </c>
      <c r="U91" s="167">
        <f t="shared" si="158"/>
        <v>0</v>
      </c>
      <c r="V91" s="167">
        <f t="shared" si="158"/>
        <v>0</v>
      </c>
      <c r="W91" s="167">
        <f t="shared" si="158"/>
        <v>0</v>
      </c>
      <c r="X91" s="167">
        <f t="shared" si="158"/>
        <v>3691500</v>
      </c>
      <c r="Y91" s="167">
        <f t="shared" si="158"/>
        <v>0</v>
      </c>
      <c r="Z91" s="167">
        <f t="shared" si="158"/>
        <v>0</v>
      </c>
      <c r="AA91" s="167">
        <f t="shared" si="158"/>
        <v>0</v>
      </c>
      <c r="AB91" s="167">
        <f t="shared" si="158"/>
        <v>0</v>
      </c>
      <c r="AC91" s="167">
        <f t="shared" si="158"/>
        <v>0</v>
      </c>
      <c r="AD91" s="167">
        <f t="shared" si="158"/>
        <v>0</v>
      </c>
      <c r="AE91" s="167">
        <f t="shared" si="158"/>
        <v>0</v>
      </c>
      <c r="AF91" s="167">
        <f t="shared" si="158"/>
        <v>0</v>
      </c>
      <c r="AG91" s="167">
        <f t="shared" si="158"/>
        <v>0</v>
      </c>
      <c r="AH91" s="167">
        <f t="shared" si="158"/>
        <v>0</v>
      </c>
      <c r="AI91" s="167">
        <f t="shared" si="158"/>
        <v>0</v>
      </c>
      <c r="AJ91" s="167">
        <f t="shared" si="158"/>
        <v>0</v>
      </c>
      <c r="AK91" s="167">
        <f t="shared" si="158"/>
        <v>0</v>
      </c>
      <c r="AL91" s="167">
        <f t="shared" si="158"/>
        <v>0</v>
      </c>
      <c r="AM91" s="167">
        <f t="shared" si="158"/>
        <v>0</v>
      </c>
      <c r="AN91" s="167">
        <f t="shared" si="158"/>
        <v>0</v>
      </c>
      <c r="AO91" s="167">
        <f t="shared" si="158"/>
        <v>0</v>
      </c>
      <c r="AP91" s="167">
        <f t="shared" si="158"/>
        <v>0</v>
      </c>
      <c r="AQ91" s="167">
        <f t="shared" si="158"/>
        <v>0</v>
      </c>
      <c r="AR91" s="167">
        <f t="shared" si="158"/>
        <v>0</v>
      </c>
      <c r="AS91" s="167">
        <f t="shared" si="158"/>
        <v>0</v>
      </c>
      <c r="AT91" s="167">
        <f t="shared" si="139"/>
        <v>33140738</v>
      </c>
      <c r="AU91" s="175">
        <f t="shared" si="140"/>
        <v>54.15772719101858</v>
      </c>
      <c r="AV91" s="176">
        <f t="shared" si="141"/>
        <v>28052262</v>
      </c>
      <c r="AW91" s="175">
        <f t="shared" si="142"/>
        <v>45.84227280898142</v>
      </c>
      <c r="AX91" s="164" t="s">
        <v>576</v>
      </c>
      <c r="AY91" s="164" t="s">
        <v>560</v>
      </c>
      <c r="AZ91" s="164" t="s">
        <v>3921</v>
      </c>
      <c r="BA91" s="167">
        <f t="shared" ref="BA91:BD91" si="161">SUM(BA92:BA94)</f>
        <v>4907400</v>
      </c>
      <c r="BB91" s="167">
        <f t="shared" si="161"/>
        <v>8779000</v>
      </c>
      <c r="BC91" s="167">
        <f t="shared" si="161"/>
        <v>0</v>
      </c>
      <c r="BD91" s="167">
        <f t="shared" si="161"/>
        <v>1410000</v>
      </c>
      <c r="BE91" s="167">
        <f t="shared" ref="BE91" si="162">SUM(BE92:BE94)</f>
        <v>0</v>
      </c>
      <c r="BF91" s="167">
        <f t="shared" ref="BF91:BG91" si="163">SUM(BF92:BF94)</f>
        <v>0</v>
      </c>
      <c r="BG91" s="167">
        <f t="shared" si="163"/>
        <v>3691500</v>
      </c>
      <c r="BH91" s="167">
        <f t="shared" ref="BH91" si="164">SUM(BH92:BH94)</f>
        <v>0</v>
      </c>
    </row>
    <row r="92" spans="2:62" x14ac:dyDescent="0.25">
      <c r="B92" s="228">
        <v>521211</v>
      </c>
      <c r="C92" s="164" t="s">
        <v>7</v>
      </c>
      <c r="D92" s="164"/>
      <c r="E92" s="164"/>
      <c r="F92" s="165">
        <v>13500000</v>
      </c>
      <c r="G92" s="165">
        <v>28000000</v>
      </c>
      <c r="H92" s="165"/>
      <c r="I92" s="165">
        <f t="shared" ref="I92:I94" si="16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39"/>
        <v>5459000</v>
      </c>
      <c r="AU92" s="168">
        <f t="shared" si="140"/>
        <v>40.437037037037037</v>
      </c>
      <c r="AV92" s="169">
        <f t="shared" si="141"/>
        <v>8041000</v>
      </c>
      <c r="AW92" s="168">
        <f t="shared" si="142"/>
        <v>59.562962962962963</v>
      </c>
      <c r="AX92" s="164" t="s">
        <v>576</v>
      </c>
      <c r="AY92" s="164" t="s">
        <v>560</v>
      </c>
      <c r="AZ92" s="164" t="s">
        <v>3921</v>
      </c>
      <c r="BA92" s="165"/>
      <c r="BB92" s="165">
        <v>5459000</v>
      </c>
      <c r="BC92" s="240"/>
      <c r="BD92" s="165"/>
      <c r="BE92" s="165"/>
      <c r="BF92" s="165"/>
      <c r="BG92" s="165"/>
      <c r="BH92" s="165"/>
    </row>
    <row r="93" spans="2:62" x14ac:dyDescent="0.25">
      <c r="B93" s="228">
        <v>524111</v>
      </c>
      <c r="C93" s="164" t="s">
        <v>19</v>
      </c>
      <c r="D93" s="164"/>
      <c r="E93" s="164"/>
      <c r="F93" s="165">
        <v>47693000</v>
      </c>
      <c r="G93" s="165">
        <v>71250000</v>
      </c>
      <c r="H93" s="165"/>
      <c r="I93" s="165">
        <f t="shared" si="16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39"/>
        <v>27681738</v>
      </c>
      <c r="AU93" s="168">
        <f t="shared" si="140"/>
        <v>58.041511332900008</v>
      </c>
      <c r="AV93" s="169">
        <f t="shared" si="141"/>
        <v>20011262</v>
      </c>
      <c r="AW93" s="168">
        <f t="shared" si="142"/>
        <v>41.958488667099992</v>
      </c>
      <c r="AX93" s="164" t="s">
        <v>576</v>
      </c>
      <c r="AY93" s="164" t="s">
        <v>560</v>
      </c>
      <c r="AZ93" s="164" t="s">
        <v>3921</v>
      </c>
      <c r="BA93" s="165">
        <v>4907400</v>
      </c>
      <c r="BB93" s="165">
        <v>3320000</v>
      </c>
      <c r="BC93" s="240"/>
      <c r="BD93" s="165">
        <v>1410000</v>
      </c>
      <c r="BE93" s="165"/>
      <c r="BF93" s="165"/>
      <c r="BG93" s="165">
        <v>3691500</v>
      </c>
      <c r="BH93" s="165"/>
    </row>
    <row r="94" spans="2:62" x14ac:dyDescent="0.25">
      <c r="B94" s="228">
        <v>524113</v>
      </c>
      <c r="C94" s="164" t="s">
        <v>13</v>
      </c>
      <c r="D94" s="164"/>
      <c r="E94" s="164"/>
      <c r="F94" s="165">
        <v>0</v>
      </c>
      <c r="G94" s="165">
        <v>1800000</v>
      </c>
      <c r="H94" s="165"/>
      <c r="I94" s="165">
        <f t="shared" si="16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39"/>
        <v>0</v>
      </c>
      <c r="AU94" s="168">
        <f t="shared" si="140"/>
        <v>0</v>
      </c>
      <c r="AV94" s="169">
        <f t="shared" si="141"/>
        <v>0</v>
      </c>
      <c r="AW94" s="168" t="e">
        <f t="shared" si="142"/>
        <v>#DIV/0!</v>
      </c>
      <c r="AX94" s="164" t="s">
        <v>576</v>
      </c>
      <c r="AY94" s="164" t="s">
        <v>560</v>
      </c>
      <c r="AZ94" s="164" t="s">
        <v>3921</v>
      </c>
      <c r="BA94" s="165"/>
      <c r="BB94" s="165"/>
      <c r="BC94" s="240"/>
      <c r="BD94" s="165"/>
      <c r="BE94" s="165"/>
      <c r="BF94" s="165"/>
      <c r="BG94" s="165"/>
      <c r="BH94" s="165"/>
    </row>
    <row r="95" spans="2:62" x14ac:dyDescent="0.25">
      <c r="B95" s="230" t="s">
        <v>519</v>
      </c>
      <c r="C95" s="166" t="s">
        <v>152</v>
      </c>
      <c r="D95" s="166"/>
      <c r="E95" s="166"/>
      <c r="F95" s="167">
        <f t="shared" ref="F95:AS95" si="166">SUM(F96:F101)</f>
        <v>148337000</v>
      </c>
      <c r="G95" s="167">
        <f t="shared" ref="G95:H95" si="167">SUM(G96:G101)</f>
        <v>411672000</v>
      </c>
      <c r="H95" s="167">
        <f t="shared" si="167"/>
        <v>0</v>
      </c>
      <c r="I95" s="167">
        <f t="shared" ref="I95" si="168">SUM(I96:I101)</f>
        <v>263335000</v>
      </c>
      <c r="J95" s="167">
        <f t="shared" si="166"/>
        <v>0</v>
      </c>
      <c r="K95" s="167">
        <f t="shared" si="166"/>
        <v>0</v>
      </c>
      <c r="L95" s="167">
        <f t="shared" si="166"/>
        <v>0</v>
      </c>
      <c r="M95" s="167">
        <f t="shared" si="166"/>
        <v>0</v>
      </c>
      <c r="N95" s="167">
        <f t="shared" si="166"/>
        <v>0</v>
      </c>
      <c r="O95" s="167">
        <f t="shared" si="166"/>
        <v>0</v>
      </c>
      <c r="P95" s="167">
        <f t="shared" si="166"/>
        <v>0</v>
      </c>
      <c r="Q95" s="167">
        <f t="shared" si="166"/>
        <v>13360000</v>
      </c>
      <c r="R95" s="167">
        <f t="shared" si="166"/>
        <v>74319450</v>
      </c>
      <c r="S95" s="167">
        <f t="shared" si="166"/>
        <v>3712700</v>
      </c>
      <c r="T95" s="167">
        <f t="shared" si="166"/>
        <v>3229000</v>
      </c>
      <c r="U95" s="167">
        <f t="shared" si="166"/>
        <v>0</v>
      </c>
      <c r="V95" s="167">
        <f t="shared" si="166"/>
        <v>0</v>
      </c>
      <c r="W95" s="167">
        <f t="shared" si="166"/>
        <v>5608000</v>
      </c>
      <c r="X95" s="167">
        <f t="shared" si="166"/>
        <v>31126830</v>
      </c>
      <c r="Y95" s="167">
        <f t="shared" si="166"/>
        <v>0</v>
      </c>
      <c r="Z95" s="167">
        <f t="shared" si="166"/>
        <v>0</v>
      </c>
      <c r="AA95" s="167">
        <f t="shared" si="166"/>
        <v>0</v>
      </c>
      <c r="AB95" s="167">
        <f t="shared" si="166"/>
        <v>0</v>
      </c>
      <c r="AC95" s="167">
        <f t="shared" si="166"/>
        <v>0</v>
      </c>
      <c r="AD95" s="167">
        <f t="shared" si="166"/>
        <v>0</v>
      </c>
      <c r="AE95" s="167">
        <f t="shared" si="166"/>
        <v>0</v>
      </c>
      <c r="AF95" s="167">
        <f t="shared" si="166"/>
        <v>0</v>
      </c>
      <c r="AG95" s="167">
        <f t="shared" si="166"/>
        <v>0</v>
      </c>
      <c r="AH95" s="167">
        <f t="shared" si="166"/>
        <v>0</v>
      </c>
      <c r="AI95" s="167">
        <f t="shared" si="166"/>
        <v>0</v>
      </c>
      <c r="AJ95" s="167">
        <f t="shared" si="166"/>
        <v>0</v>
      </c>
      <c r="AK95" s="167">
        <f t="shared" si="166"/>
        <v>0</v>
      </c>
      <c r="AL95" s="167">
        <f t="shared" si="166"/>
        <v>0</v>
      </c>
      <c r="AM95" s="167">
        <f t="shared" si="166"/>
        <v>0</v>
      </c>
      <c r="AN95" s="167">
        <f t="shared" si="166"/>
        <v>0</v>
      </c>
      <c r="AO95" s="167">
        <f t="shared" si="166"/>
        <v>0</v>
      </c>
      <c r="AP95" s="167">
        <f t="shared" si="166"/>
        <v>0</v>
      </c>
      <c r="AQ95" s="167">
        <f t="shared" si="166"/>
        <v>0</v>
      </c>
      <c r="AR95" s="167">
        <f t="shared" si="166"/>
        <v>0</v>
      </c>
      <c r="AS95" s="167">
        <f t="shared" si="166"/>
        <v>0</v>
      </c>
      <c r="AT95" s="167">
        <f t="shared" si="139"/>
        <v>131355980</v>
      </c>
      <c r="AU95" s="175">
        <f t="shared" si="140"/>
        <v>88.55240432258978</v>
      </c>
      <c r="AV95" s="176">
        <f t="shared" si="141"/>
        <v>16981020</v>
      </c>
      <c r="AW95" s="175">
        <f t="shared" si="142"/>
        <v>11.447595677410222</v>
      </c>
      <c r="AX95" s="164" t="s">
        <v>576</v>
      </c>
      <c r="AY95" s="164" t="s">
        <v>560</v>
      </c>
      <c r="AZ95" s="164" t="s">
        <v>3921</v>
      </c>
      <c r="BA95" s="167">
        <f t="shared" ref="BA95:BD95" si="169">SUM(BA96:BA101)</f>
        <v>1560000</v>
      </c>
      <c r="BB95" s="167">
        <f t="shared" si="169"/>
        <v>74319450</v>
      </c>
      <c r="BC95" s="167">
        <f t="shared" si="169"/>
        <v>11800000</v>
      </c>
      <c r="BD95" s="167">
        <f t="shared" si="169"/>
        <v>3229000</v>
      </c>
      <c r="BE95" s="167">
        <f t="shared" ref="BE95" si="170">SUM(BE96:BE101)</f>
        <v>1860000</v>
      </c>
      <c r="BF95" s="167">
        <f t="shared" ref="BF95:BG95" si="171">SUM(BF96:BF101)</f>
        <v>3748000</v>
      </c>
      <c r="BG95" s="167">
        <f t="shared" si="171"/>
        <v>31126830</v>
      </c>
      <c r="BH95" s="167">
        <f t="shared" ref="BH95" si="172">SUM(BH96:BH101)</f>
        <v>0</v>
      </c>
    </row>
    <row r="96" spans="2:62" x14ac:dyDescent="0.25">
      <c r="B96" s="228">
        <v>521211</v>
      </c>
      <c r="C96" s="164" t="s">
        <v>7</v>
      </c>
      <c r="D96" s="164"/>
      <c r="E96" s="164"/>
      <c r="F96" s="165">
        <v>38100000</v>
      </c>
      <c r="G96" s="165">
        <v>57600000</v>
      </c>
      <c r="H96" s="165"/>
      <c r="I96" s="165">
        <f t="shared" ref="I96:I101" si="173">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39"/>
        <v>38095000</v>
      </c>
      <c r="AU96" s="168">
        <f t="shared" si="140"/>
        <v>99.98687664041995</v>
      </c>
      <c r="AV96" s="169">
        <f t="shared" si="141"/>
        <v>5000</v>
      </c>
      <c r="AW96" s="168">
        <f t="shared" si="142"/>
        <v>1.3123359580052493E-2</v>
      </c>
      <c r="AX96" s="164" t="s">
        <v>576</v>
      </c>
      <c r="AY96" s="164" t="s">
        <v>560</v>
      </c>
      <c r="AZ96" s="164" t="s">
        <v>3921</v>
      </c>
      <c r="BA96" s="165"/>
      <c r="BB96" s="165">
        <v>31495000</v>
      </c>
      <c r="BC96" s="240"/>
      <c r="BD96" s="165"/>
      <c r="BE96" s="165"/>
      <c r="BF96" s="165"/>
      <c r="BG96" s="165">
        <v>6600000</v>
      </c>
      <c r="BH96" s="165"/>
    </row>
    <row r="97" spans="2:60" x14ac:dyDescent="0.25">
      <c r="B97" s="228">
        <v>521241</v>
      </c>
      <c r="C97" s="164" t="s">
        <v>642</v>
      </c>
      <c r="D97" s="164"/>
      <c r="E97" s="164"/>
      <c r="F97" s="165">
        <v>82534000</v>
      </c>
      <c r="G97" s="165">
        <v>226200000</v>
      </c>
      <c r="H97" s="165"/>
      <c r="I97" s="165">
        <f t="shared" si="173"/>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39"/>
        <v>67164280</v>
      </c>
      <c r="AU97" s="168">
        <f t="shared" si="140"/>
        <v>81.377711003949884</v>
      </c>
      <c r="AV97" s="169">
        <f t="shared" si="141"/>
        <v>15369720</v>
      </c>
      <c r="AW97" s="168">
        <f t="shared" si="142"/>
        <v>18.622288996050113</v>
      </c>
      <c r="AX97" s="164" t="s">
        <v>576</v>
      </c>
      <c r="AY97" s="164" t="s">
        <v>560</v>
      </c>
      <c r="AZ97" s="164" t="s">
        <v>3921</v>
      </c>
      <c r="BA97" s="165"/>
      <c r="BB97" s="165">
        <v>35332450</v>
      </c>
      <c r="BC97" s="240">
        <v>11800000</v>
      </c>
      <c r="BD97" s="165"/>
      <c r="BE97" s="165"/>
      <c r="BF97" s="165"/>
      <c r="BG97" s="165">
        <v>20031830</v>
      </c>
      <c r="BH97" s="165"/>
    </row>
    <row r="98" spans="2:60" x14ac:dyDescent="0.25">
      <c r="B98" s="228">
        <v>522191</v>
      </c>
      <c r="C98" s="164" t="s">
        <v>22</v>
      </c>
      <c r="D98" s="164"/>
      <c r="E98" s="164"/>
      <c r="F98" s="165">
        <v>1606000</v>
      </c>
      <c r="G98" s="165">
        <v>35000000</v>
      </c>
      <c r="H98" s="165"/>
      <c r="I98" s="165">
        <f t="shared" si="173"/>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0"/>
        <v>0</v>
      </c>
      <c r="AV98" s="169"/>
      <c r="AW98" s="168"/>
      <c r="AX98" s="164" t="s">
        <v>576</v>
      </c>
      <c r="AY98" s="164" t="s">
        <v>560</v>
      </c>
      <c r="AZ98" s="164" t="s">
        <v>3921</v>
      </c>
      <c r="BA98" s="165"/>
      <c r="BB98" s="165"/>
      <c r="BC98" s="240"/>
      <c r="BD98" s="165"/>
      <c r="BE98" s="165"/>
      <c r="BF98" s="165"/>
      <c r="BG98" s="165"/>
      <c r="BH98" s="165"/>
    </row>
    <row r="99" spans="2:60" x14ac:dyDescent="0.25">
      <c r="B99" s="228">
        <v>522192</v>
      </c>
      <c r="C99" s="164" t="s">
        <v>24</v>
      </c>
      <c r="D99" s="164"/>
      <c r="E99" s="164"/>
      <c r="F99" s="165">
        <v>4246000</v>
      </c>
      <c r="G99" s="165">
        <v>48000000</v>
      </c>
      <c r="H99" s="165"/>
      <c r="I99" s="165">
        <f t="shared" si="173"/>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39"/>
        <v>4246000</v>
      </c>
      <c r="AU99" s="168">
        <f t="shared" si="140"/>
        <v>100</v>
      </c>
      <c r="AV99" s="169">
        <f t="shared" si="141"/>
        <v>0</v>
      </c>
      <c r="AW99" s="168">
        <f t="shared" si="142"/>
        <v>0</v>
      </c>
      <c r="AX99" s="164" t="s">
        <v>576</v>
      </c>
      <c r="AY99" s="164" t="s">
        <v>560</v>
      </c>
      <c r="AZ99" s="164" t="s">
        <v>3921</v>
      </c>
      <c r="BA99" s="165"/>
      <c r="BB99" s="165">
        <v>802000</v>
      </c>
      <c r="BC99" s="240"/>
      <c r="BD99" s="165">
        <v>3229000</v>
      </c>
      <c r="BE99" s="165"/>
      <c r="BF99" s="165"/>
      <c r="BG99" s="165">
        <v>215000</v>
      </c>
      <c r="BH99" s="165"/>
    </row>
    <row r="100" spans="2:60" x14ac:dyDescent="0.25">
      <c r="B100" s="228">
        <v>524111</v>
      </c>
      <c r="C100" s="164" t="s">
        <v>19</v>
      </c>
      <c r="D100" s="164"/>
      <c r="E100" s="164"/>
      <c r="F100" s="165">
        <v>21851000</v>
      </c>
      <c r="G100" s="165">
        <v>42772000</v>
      </c>
      <c r="H100" s="165"/>
      <c r="I100" s="165">
        <f t="shared" si="173"/>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39"/>
        <v>21850700</v>
      </c>
      <c r="AU100" s="168">
        <f t="shared" si="140"/>
        <v>99.998627065122875</v>
      </c>
      <c r="AV100" s="169">
        <f t="shared" si="141"/>
        <v>300</v>
      </c>
      <c r="AW100" s="168">
        <f t="shared" si="142"/>
        <v>1.3729348771223285E-3</v>
      </c>
      <c r="AX100" s="164" t="s">
        <v>576</v>
      </c>
      <c r="AY100" s="164" t="s">
        <v>560</v>
      </c>
      <c r="AZ100" s="164" t="s">
        <v>3921</v>
      </c>
      <c r="BA100" s="165">
        <v>1560000</v>
      </c>
      <c r="BB100" s="165">
        <v>6690000</v>
      </c>
      <c r="BC100" s="240"/>
      <c r="BD100" s="165"/>
      <c r="BE100" s="165">
        <v>1860000</v>
      </c>
      <c r="BF100" s="165">
        <v>3748000</v>
      </c>
      <c r="BG100" s="165">
        <v>4280000</v>
      </c>
      <c r="BH100" s="165"/>
    </row>
    <row r="101" spans="2:60" x14ac:dyDescent="0.25">
      <c r="B101" s="228">
        <v>524113</v>
      </c>
      <c r="C101" s="164" t="s">
        <v>13</v>
      </c>
      <c r="D101" s="164"/>
      <c r="E101" s="164"/>
      <c r="F101" s="165">
        <v>0</v>
      </c>
      <c r="G101" s="165">
        <v>2100000</v>
      </c>
      <c r="H101" s="165"/>
      <c r="I101" s="165">
        <f t="shared" si="173"/>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39"/>
        <v>0</v>
      </c>
      <c r="AU101" s="168">
        <f t="shared" si="140"/>
        <v>0</v>
      </c>
      <c r="AV101" s="169">
        <f t="shared" si="141"/>
        <v>0</v>
      </c>
      <c r="AW101" s="168" t="e">
        <f t="shared" si="142"/>
        <v>#DIV/0!</v>
      </c>
      <c r="AX101" s="164" t="s">
        <v>576</v>
      </c>
      <c r="AY101" s="164" t="s">
        <v>560</v>
      </c>
      <c r="AZ101" s="164" t="s">
        <v>3921</v>
      </c>
      <c r="BA101" s="165"/>
      <c r="BB101" s="165"/>
      <c r="BC101" s="240"/>
      <c r="BD101" s="165"/>
      <c r="BE101" s="165"/>
      <c r="BF101" s="165"/>
      <c r="BG101" s="165"/>
      <c r="BH101" s="165"/>
    </row>
    <row r="102" spans="2:60" x14ac:dyDescent="0.25">
      <c r="B102" s="230" t="s">
        <v>578</v>
      </c>
      <c r="C102" s="166" t="s">
        <v>154</v>
      </c>
      <c r="D102" s="166"/>
      <c r="E102" s="166"/>
      <c r="F102" s="167">
        <f t="shared" ref="F102:AS102" si="174">SUM(F103:F107)</f>
        <v>17357000</v>
      </c>
      <c r="G102" s="167">
        <f t="shared" ref="G102:H102" si="175">SUM(G103:G107)</f>
        <v>450000000</v>
      </c>
      <c r="H102" s="167">
        <f t="shared" si="175"/>
        <v>0</v>
      </c>
      <c r="I102" s="167">
        <f t="shared" ref="I102" si="176">SUM(I103:I107)</f>
        <v>432643000</v>
      </c>
      <c r="J102" s="167">
        <f t="shared" si="174"/>
        <v>0</v>
      </c>
      <c r="K102" s="167">
        <f t="shared" si="174"/>
        <v>0</v>
      </c>
      <c r="L102" s="167">
        <f t="shared" si="174"/>
        <v>0</v>
      </c>
      <c r="M102" s="167">
        <f t="shared" si="174"/>
        <v>0</v>
      </c>
      <c r="N102" s="167">
        <f t="shared" si="174"/>
        <v>0</v>
      </c>
      <c r="O102" s="167">
        <f t="shared" si="174"/>
        <v>0</v>
      </c>
      <c r="P102" s="167">
        <f t="shared" si="174"/>
        <v>0</v>
      </c>
      <c r="Q102" s="167">
        <f t="shared" si="174"/>
        <v>1743940</v>
      </c>
      <c r="R102" s="167">
        <f t="shared" si="174"/>
        <v>2949500</v>
      </c>
      <c r="S102" s="167">
        <f t="shared" si="174"/>
        <v>0</v>
      </c>
      <c r="T102" s="167">
        <f t="shared" si="174"/>
        <v>0</v>
      </c>
      <c r="U102" s="167">
        <f t="shared" si="174"/>
        <v>0</v>
      </c>
      <c r="V102" s="167">
        <f t="shared" si="174"/>
        <v>0</v>
      </c>
      <c r="W102" s="167">
        <f t="shared" si="174"/>
        <v>3603218</v>
      </c>
      <c r="X102" s="167">
        <f t="shared" si="174"/>
        <v>0</v>
      </c>
      <c r="Y102" s="167">
        <f t="shared" si="174"/>
        <v>5350700</v>
      </c>
      <c r="Z102" s="167">
        <f t="shared" si="174"/>
        <v>0</v>
      </c>
      <c r="AA102" s="167">
        <f t="shared" si="174"/>
        <v>0</v>
      </c>
      <c r="AB102" s="167">
        <f t="shared" si="174"/>
        <v>0</v>
      </c>
      <c r="AC102" s="167">
        <f t="shared" si="174"/>
        <v>0</v>
      </c>
      <c r="AD102" s="167">
        <f t="shared" si="174"/>
        <v>0</v>
      </c>
      <c r="AE102" s="167">
        <f t="shared" si="174"/>
        <v>0</v>
      </c>
      <c r="AF102" s="167">
        <f t="shared" si="174"/>
        <v>0</v>
      </c>
      <c r="AG102" s="167">
        <f t="shared" si="174"/>
        <v>0</v>
      </c>
      <c r="AH102" s="167">
        <f t="shared" si="174"/>
        <v>0</v>
      </c>
      <c r="AI102" s="167">
        <f t="shared" si="174"/>
        <v>0</v>
      </c>
      <c r="AJ102" s="167">
        <f t="shared" si="174"/>
        <v>0</v>
      </c>
      <c r="AK102" s="167">
        <f t="shared" si="174"/>
        <v>0</v>
      </c>
      <c r="AL102" s="167">
        <f t="shared" si="174"/>
        <v>0</v>
      </c>
      <c r="AM102" s="167">
        <f t="shared" si="174"/>
        <v>0</v>
      </c>
      <c r="AN102" s="167">
        <f t="shared" si="174"/>
        <v>0</v>
      </c>
      <c r="AO102" s="167">
        <f t="shared" si="174"/>
        <v>0</v>
      </c>
      <c r="AP102" s="167">
        <f t="shared" si="174"/>
        <v>0</v>
      </c>
      <c r="AQ102" s="167">
        <f t="shared" si="174"/>
        <v>0</v>
      </c>
      <c r="AR102" s="167">
        <f t="shared" si="174"/>
        <v>0</v>
      </c>
      <c r="AS102" s="167">
        <f t="shared" si="174"/>
        <v>0</v>
      </c>
      <c r="AT102" s="167">
        <f t="shared" si="139"/>
        <v>13647358</v>
      </c>
      <c r="AU102" s="175">
        <f t="shared" si="140"/>
        <v>78.627401048568302</v>
      </c>
      <c r="AV102" s="176">
        <f t="shared" si="141"/>
        <v>3709642</v>
      </c>
      <c r="AW102" s="175">
        <f>AV102/F102*100</f>
        <v>21.372598951431698</v>
      </c>
      <c r="AX102" s="164" t="s">
        <v>535</v>
      </c>
      <c r="AY102" s="164" t="s">
        <v>538</v>
      </c>
      <c r="AZ102" s="164" t="s">
        <v>3921</v>
      </c>
      <c r="BA102" s="167">
        <f t="shared" ref="BA102:BD102" si="177">SUM(BA103:BA107)</f>
        <v>0</v>
      </c>
      <c r="BB102" s="167">
        <f t="shared" si="177"/>
        <v>2949500</v>
      </c>
      <c r="BC102" s="167">
        <f t="shared" si="177"/>
        <v>1743940</v>
      </c>
      <c r="BD102" s="167">
        <f t="shared" si="177"/>
        <v>0</v>
      </c>
      <c r="BE102" s="167">
        <f t="shared" ref="BE102" si="178">SUM(BE103:BE107)</f>
        <v>3351204</v>
      </c>
      <c r="BF102" s="167">
        <f t="shared" ref="BF102:BG102" si="179">SUM(BF103:BF107)</f>
        <v>252014</v>
      </c>
      <c r="BG102" s="167">
        <f t="shared" si="179"/>
        <v>0</v>
      </c>
      <c r="BH102" s="167">
        <f t="shared" ref="BH102" si="180">SUM(BH103:BH107)</f>
        <v>0</v>
      </c>
    </row>
    <row r="103" spans="2:60" x14ac:dyDescent="0.25">
      <c r="B103" s="228">
        <v>521211</v>
      </c>
      <c r="C103" s="164" t="s">
        <v>7</v>
      </c>
      <c r="D103" s="164"/>
      <c r="E103" s="164"/>
      <c r="F103" s="165">
        <v>4000000</v>
      </c>
      <c r="G103" s="165">
        <v>32000000</v>
      </c>
      <c r="H103" s="165"/>
      <c r="I103" s="165">
        <f t="shared" ref="I103:I107" si="181">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39"/>
        <v>3999200</v>
      </c>
      <c r="AU103" s="168">
        <f t="shared" si="140"/>
        <v>99.98</v>
      </c>
      <c r="AV103" s="169">
        <f t="shared" si="141"/>
        <v>800</v>
      </c>
      <c r="AW103" s="168">
        <f t="shared" si="142"/>
        <v>0.02</v>
      </c>
      <c r="AX103" s="164" t="s">
        <v>535</v>
      </c>
      <c r="AY103" s="164" t="s">
        <v>538</v>
      </c>
      <c r="AZ103" s="164" t="s">
        <v>3921</v>
      </c>
      <c r="BA103" s="165"/>
      <c r="BB103" s="165">
        <v>2499500</v>
      </c>
      <c r="BC103" s="240">
        <v>1499700</v>
      </c>
      <c r="BD103" s="165"/>
      <c r="BE103" s="165"/>
      <c r="BF103" s="165"/>
      <c r="BG103" s="165"/>
      <c r="BH103" s="165"/>
    </row>
    <row r="104" spans="2:60" x14ac:dyDescent="0.25">
      <c r="B104" s="228">
        <v>521219</v>
      </c>
      <c r="C104" s="164" t="s">
        <v>53</v>
      </c>
      <c r="D104" s="164"/>
      <c r="E104" s="164"/>
      <c r="F104" s="165">
        <v>4298000</v>
      </c>
      <c r="G104" s="165">
        <v>298141000</v>
      </c>
      <c r="H104" s="165"/>
      <c r="I104" s="165">
        <f t="shared" si="181"/>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39"/>
        <v>4297458</v>
      </c>
      <c r="AU104" s="168">
        <f t="shared" si="140"/>
        <v>99.987389483480698</v>
      </c>
      <c r="AV104" s="169">
        <f t="shared" si="141"/>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row>
    <row r="105" spans="2:60" x14ac:dyDescent="0.25">
      <c r="B105" s="228">
        <v>522151</v>
      </c>
      <c r="C105" s="164" t="s">
        <v>11</v>
      </c>
      <c r="D105" s="164"/>
      <c r="E105" s="164"/>
      <c r="F105" s="165">
        <v>0</v>
      </c>
      <c r="G105" s="165">
        <v>30000000</v>
      </c>
      <c r="H105" s="165"/>
      <c r="I105" s="165">
        <f t="shared" si="181"/>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39"/>
        <v>0</v>
      </c>
      <c r="AU105" s="168">
        <f t="shared" si="140"/>
        <v>0</v>
      </c>
      <c r="AV105" s="169">
        <f t="shared" si="141"/>
        <v>0</v>
      </c>
      <c r="AW105" s="168" t="e">
        <f t="shared" si="142"/>
        <v>#DIV/0!</v>
      </c>
      <c r="AX105" s="164" t="s">
        <v>535</v>
      </c>
      <c r="AY105" s="164" t="s">
        <v>538</v>
      </c>
      <c r="AZ105" s="164" t="s">
        <v>3921</v>
      </c>
      <c r="BA105" s="165"/>
      <c r="BB105" s="165"/>
      <c r="BC105" s="240"/>
      <c r="BD105" s="165"/>
      <c r="BE105" s="165"/>
      <c r="BF105" s="165"/>
      <c r="BG105" s="165"/>
      <c r="BH105" s="165"/>
    </row>
    <row r="106" spans="2:60" x14ac:dyDescent="0.25">
      <c r="B106" s="228">
        <v>522192</v>
      </c>
      <c r="C106" s="164" t="s">
        <v>24</v>
      </c>
      <c r="D106" s="164"/>
      <c r="E106" s="164"/>
      <c r="F106" s="165">
        <v>0</v>
      </c>
      <c r="G106" s="165">
        <v>8000000</v>
      </c>
      <c r="H106" s="165"/>
      <c r="I106" s="165">
        <f t="shared" si="181"/>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39"/>
        <v>0</v>
      </c>
      <c r="AU106" s="168">
        <f t="shared" si="140"/>
        <v>0</v>
      </c>
      <c r="AV106" s="169">
        <f t="shared" si="141"/>
        <v>0</v>
      </c>
      <c r="AW106" s="168" t="e">
        <f t="shared" si="142"/>
        <v>#DIV/0!</v>
      </c>
      <c r="AX106" s="164" t="s">
        <v>535</v>
      </c>
      <c r="AY106" s="164" t="s">
        <v>538</v>
      </c>
      <c r="AZ106" s="164" t="s">
        <v>3921</v>
      </c>
      <c r="BA106" s="165"/>
      <c r="BB106" s="165"/>
      <c r="BC106" s="240"/>
      <c r="BD106" s="165"/>
      <c r="BE106" s="165"/>
      <c r="BF106" s="165"/>
      <c r="BG106" s="165"/>
      <c r="BH106" s="165"/>
    </row>
    <row r="107" spans="2:60" x14ac:dyDescent="0.25">
      <c r="B107" s="228">
        <v>524111</v>
      </c>
      <c r="C107" s="164" t="s">
        <v>19</v>
      </c>
      <c r="D107" s="164"/>
      <c r="E107" s="164"/>
      <c r="F107" s="165">
        <v>9059000</v>
      </c>
      <c r="G107" s="165">
        <v>81859000</v>
      </c>
      <c r="H107" s="165"/>
      <c r="I107" s="165">
        <f t="shared" si="181"/>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39"/>
        <v>5350700</v>
      </c>
      <c r="AU107" s="168">
        <f t="shared" si="140"/>
        <v>59.065018213930898</v>
      </c>
      <c r="AV107" s="169">
        <f t="shared" si="141"/>
        <v>3708300</v>
      </c>
      <c r="AW107" s="168">
        <f t="shared" si="142"/>
        <v>40.934981786069102</v>
      </c>
      <c r="AX107" s="164" t="s">
        <v>535</v>
      </c>
      <c r="AY107" s="164" t="s">
        <v>538</v>
      </c>
      <c r="AZ107" s="164" t="s">
        <v>3921</v>
      </c>
      <c r="BA107" s="165"/>
      <c r="BB107" s="165"/>
      <c r="BC107" s="240"/>
      <c r="BD107" s="165"/>
      <c r="BE107" s="165"/>
      <c r="BF107" s="165"/>
      <c r="BG107" s="165"/>
      <c r="BH107" s="165"/>
    </row>
    <row r="108" spans="2:60" x14ac:dyDescent="0.25">
      <c r="B108" s="230" t="s">
        <v>579</v>
      </c>
      <c r="C108" s="166" t="s">
        <v>56</v>
      </c>
      <c r="D108" s="166"/>
      <c r="E108" s="166"/>
      <c r="F108" s="167">
        <f t="shared" ref="F108:AS108" si="182">SUM(F109:F112)</f>
        <v>83506000</v>
      </c>
      <c r="G108" s="167">
        <f t="shared" ref="G108:H108" si="183">SUM(G109:G112)</f>
        <v>350000000</v>
      </c>
      <c r="H108" s="167">
        <f t="shared" si="183"/>
        <v>0</v>
      </c>
      <c r="I108" s="167">
        <f t="shared" ref="I108" si="184">SUM(I109:I112)</f>
        <v>266494000</v>
      </c>
      <c r="J108" s="167">
        <f t="shared" si="182"/>
        <v>0</v>
      </c>
      <c r="K108" s="167">
        <f t="shared" si="182"/>
        <v>0</v>
      </c>
      <c r="L108" s="167">
        <f t="shared" si="182"/>
        <v>0</v>
      </c>
      <c r="M108" s="167">
        <f t="shared" si="182"/>
        <v>0</v>
      </c>
      <c r="N108" s="167">
        <f t="shared" si="182"/>
        <v>0</v>
      </c>
      <c r="O108" s="167">
        <f t="shared" si="182"/>
        <v>0</v>
      </c>
      <c r="P108" s="167">
        <f t="shared" si="182"/>
        <v>0</v>
      </c>
      <c r="Q108" s="167">
        <f t="shared" si="182"/>
        <v>3173213</v>
      </c>
      <c r="R108" s="167">
        <f t="shared" si="182"/>
        <v>3236994</v>
      </c>
      <c r="S108" s="167">
        <f t="shared" si="182"/>
        <v>1000000</v>
      </c>
      <c r="T108" s="167">
        <f t="shared" si="182"/>
        <v>0</v>
      </c>
      <c r="U108" s="167">
        <f t="shared" si="182"/>
        <v>0</v>
      </c>
      <c r="V108" s="167">
        <f t="shared" si="182"/>
        <v>19414000</v>
      </c>
      <c r="W108" s="167">
        <f t="shared" si="182"/>
        <v>8092833</v>
      </c>
      <c r="X108" s="167">
        <f t="shared" si="182"/>
        <v>12845223</v>
      </c>
      <c r="Y108" s="167">
        <f t="shared" si="182"/>
        <v>30535327</v>
      </c>
      <c r="Z108" s="167">
        <f t="shared" si="182"/>
        <v>0</v>
      </c>
      <c r="AA108" s="167">
        <f t="shared" si="182"/>
        <v>0</v>
      </c>
      <c r="AB108" s="167">
        <f t="shared" si="182"/>
        <v>0</v>
      </c>
      <c r="AC108" s="167">
        <f t="shared" si="182"/>
        <v>0</v>
      </c>
      <c r="AD108" s="167">
        <f t="shared" si="182"/>
        <v>0</v>
      </c>
      <c r="AE108" s="167">
        <f t="shared" si="182"/>
        <v>0</v>
      </c>
      <c r="AF108" s="167">
        <f t="shared" si="182"/>
        <v>0</v>
      </c>
      <c r="AG108" s="167">
        <f t="shared" si="182"/>
        <v>0</v>
      </c>
      <c r="AH108" s="167">
        <f t="shared" si="182"/>
        <v>0</v>
      </c>
      <c r="AI108" s="167">
        <f t="shared" si="182"/>
        <v>0</v>
      </c>
      <c r="AJ108" s="167">
        <f t="shared" si="182"/>
        <v>0</v>
      </c>
      <c r="AK108" s="167">
        <f t="shared" si="182"/>
        <v>0</v>
      </c>
      <c r="AL108" s="167">
        <f t="shared" si="182"/>
        <v>0</v>
      </c>
      <c r="AM108" s="167">
        <f t="shared" si="182"/>
        <v>0</v>
      </c>
      <c r="AN108" s="167">
        <f t="shared" si="182"/>
        <v>0</v>
      </c>
      <c r="AO108" s="167">
        <f t="shared" si="182"/>
        <v>0</v>
      </c>
      <c r="AP108" s="167">
        <f t="shared" si="182"/>
        <v>0</v>
      </c>
      <c r="AQ108" s="167">
        <f t="shared" si="182"/>
        <v>0</v>
      </c>
      <c r="AR108" s="167">
        <f t="shared" si="182"/>
        <v>0</v>
      </c>
      <c r="AS108" s="167">
        <f t="shared" si="182"/>
        <v>0</v>
      </c>
      <c r="AT108" s="167">
        <f t="shared" si="139"/>
        <v>78297590</v>
      </c>
      <c r="AU108" s="175">
        <f t="shared" si="140"/>
        <v>93.762831413311616</v>
      </c>
      <c r="AV108" s="176">
        <f t="shared" si="141"/>
        <v>5208410</v>
      </c>
      <c r="AW108" s="175">
        <f t="shared" si="142"/>
        <v>6.2371685866883819</v>
      </c>
      <c r="AX108" s="164" t="s">
        <v>531</v>
      </c>
      <c r="AY108" s="164" t="s">
        <v>532</v>
      </c>
      <c r="AZ108" s="164" t="s">
        <v>3921</v>
      </c>
      <c r="BA108" s="167">
        <f t="shared" ref="BA108:BD108" si="185">SUM(BA109:BA112)</f>
        <v>0</v>
      </c>
      <c r="BB108" s="167">
        <f t="shared" si="185"/>
        <v>3236994</v>
      </c>
      <c r="BC108" s="167">
        <f t="shared" si="185"/>
        <v>3173213</v>
      </c>
      <c r="BD108" s="167">
        <f t="shared" si="185"/>
        <v>0</v>
      </c>
      <c r="BE108" s="167">
        <f t="shared" ref="BE108" si="186">SUM(BE109:BE112)</f>
        <v>0</v>
      </c>
      <c r="BF108" s="167">
        <f t="shared" ref="BF108:BG108" si="187">SUM(BF109:BF112)</f>
        <v>8092833</v>
      </c>
      <c r="BG108" s="167">
        <f t="shared" si="187"/>
        <v>12845223</v>
      </c>
      <c r="BH108" s="167">
        <f t="shared" ref="BH108" si="188">SUM(BH109:BH112)</f>
        <v>0</v>
      </c>
    </row>
    <row r="109" spans="2:60" x14ac:dyDescent="0.25">
      <c r="B109" s="228">
        <v>521211</v>
      </c>
      <c r="C109" s="164" t="s">
        <v>7</v>
      </c>
      <c r="D109" s="164"/>
      <c r="E109" s="164"/>
      <c r="F109" s="165">
        <v>12550000</v>
      </c>
      <c r="G109" s="165">
        <v>31000000</v>
      </c>
      <c r="H109" s="165"/>
      <c r="I109" s="165">
        <f t="shared" ref="I109:I112" si="189">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c r="AD109" s="165"/>
      <c r="AE109" s="165"/>
      <c r="AF109" s="165"/>
      <c r="AG109" s="165"/>
      <c r="AH109" s="165"/>
      <c r="AI109" s="165"/>
      <c r="AJ109" s="165"/>
      <c r="AK109" s="165"/>
      <c r="AL109" s="165"/>
      <c r="AM109" s="165"/>
      <c r="AN109" s="165"/>
      <c r="AO109" s="165"/>
      <c r="AP109" s="165"/>
      <c r="AQ109" s="165"/>
      <c r="AR109" s="165"/>
      <c r="AS109" s="165"/>
      <c r="AT109" s="165">
        <f t="shared" si="139"/>
        <v>11542500</v>
      </c>
      <c r="AU109" s="168">
        <f t="shared" si="140"/>
        <v>91.972111553784856</v>
      </c>
      <c r="AV109" s="169">
        <f t="shared" si="141"/>
        <v>1007500</v>
      </c>
      <c r="AW109" s="168">
        <f t="shared" si="142"/>
        <v>8.0278884462151403</v>
      </c>
      <c r="AX109" s="164" t="s">
        <v>531</v>
      </c>
      <c r="AY109" s="164" t="s">
        <v>532</v>
      </c>
      <c r="AZ109" s="164" t="s">
        <v>3921</v>
      </c>
      <c r="BA109" s="165"/>
      <c r="BB109" s="165">
        <v>1200000</v>
      </c>
      <c r="BC109" s="240"/>
      <c r="BD109" s="165"/>
      <c r="BE109" s="165"/>
      <c r="BF109" s="165">
        <v>7854000</v>
      </c>
      <c r="BG109" s="165">
        <v>2488500</v>
      </c>
      <c r="BH109" s="165"/>
    </row>
    <row r="110" spans="2:60" x14ac:dyDescent="0.25">
      <c r="B110" s="228">
        <v>521219</v>
      </c>
      <c r="C110" s="164" t="s">
        <v>53</v>
      </c>
      <c r="D110" s="164"/>
      <c r="E110" s="164"/>
      <c r="F110" s="165">
        <v>1192000</v>
      </c>
      <c r="G110" s="165">
        <v>3000000</v>
      </c>
      <c r="H110" s="165"/>
      <c r="I110" s="165">
        <f t="shared" si="189"/>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39"/>
        <v>1191418</v>
      </c>
      <c r="AU110" s="168">
        <f t="shared" si="140"/>
        <v>99.951174496644285</v>
      </c>
      <c r="AV110" s="169">
        <f t="shared" si="141"/>
        <v>582</v>
      </c>
      <c r="AW110" s="168">
        <f t="shared" si="142"/>
        <v>4.8825503355704701E-2</v>
      </c>
      <c r="AX110" s="164" t="s">
        <v>531</v>
      </c>
      <c r="AY110" s="164" t="s">
        <v>532</v>
      </c>
      <c r="AZ110" s="164" t="s">
        <v>3921</v>
      </c>
      <c r="BA110" s="165"/>
      <c r="BB110" s="165">
        <v>236994</v>
      </c>
      <c r="BC110" s="240">
        <v>473213</v>
      </c>
      <c r="BD110" s="165"/>
      <c r="BE110" s="165"/>
      <c r="BF110" s="165">
        <v>238833</v>
      </c>
      <c r="BG110" s="165">
        <v>242378</v>
      </c>
      <c r="BH110" s="165"/>
    </row>
    <row r="111" spans="2:60" x14ac:dyDescent="0.25">
      <c r="B111" s="228">
        <v>522151</v>
      </c>
      <c r="C111" s="164" t="s">
        <v>11</v>
      </c>
      <c r="D111" s="164"/>
      <c r="E111" s="164"/>
      <c r="F111" s="165">
        <v>9000000</v>
      </c>
      <c r="G111" s="165">
        <v>70000000</v>
      </c>
      <c r="H111" s="165"/>
      <c r="I111" s="165">
        <f t="shared" si="189"/>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c r="AD111" s="165"/>
      <c r="AE111" s="165"/>
      <c r="AF111" s="165"/>
      <c r="AG111" s="165"/>
      <c r="AH111" s="165"/>
      <c r="AI111" s="165"/>
      <c r="AJ111" s="165"/>
      <c r="AK111" s="165"/>
      <c r="AL111" s="165"/>
      <c r="AM111" s="165"/>
      <c r="AN111" s="165"/>
      <c r="AO111" s="165"/>
      <c r="AP111" s="165"/>
      <c r="AQ111" s="165"/>
      <c r="AR111" s="165"/>
      <c r="AS111" s="165"/>
      <c r="AT111" s="165">
        <f t="shared" si="139"/>
        <v>4800000</v>
      </c>
      <c r="AU111" s="168">
        <f t="shared" si="140"/>
        <v>53.333333333333336</v>
      </c>
      <c r="AV111" s="169">
        <f t="shared" si="141"/>
        <v>4200000</v>
      </c>
      <c r="AW111" s="168">
        <f t="shared" si="142"/>
        <v>46.666666666666664</v>
      </c>
      <c r="AX111" s="164" t="s">
        <v>531</v>
      </c>
      <c r="AY111" s="164" t="s">
        <v>532</v>
      </c>
      <c r="AZ111" s="164" t="s">
        <v>3921</v>
      </c>
      <c r="BA111" s="165"/>
      <c r="BB111" s="165">
        <v>1800000</v>
      </c>
      <c r="BC111" s="240"/>
      <c r="BD111" s="165"/>
      <c r="BE111" s="165"/>
      <c r="BF111" s="165"/>
      <c r="BG111" s="165">
        <v>2000000</v>
      </c>
      <c r="BH111" s="165"/>
    </row>
    <row r="112" spans="2:60" x14ac:dyDescent="0.25">
      <c r="B112" s="228">
        <v>524111</v>
      </c>
      <c r="C112" s="164" t="s">
        <v>19</v>
      </c>
      <c r="D112" s="164"/>
      <c r="E112" s="164"/>
      <c r="F112" s="165">
        <v>60764000</v>
      </c>
      <c r="G112" s="165">
        <v>246000000</v>
      </c>
      <c r="H112" s="165"/>
      <c r="I112" s="165">
        <f t="shared" si="189"/>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39"/>
        <v>60763672</v>
      </c>
      <c r="AU112" s="168">
        <f t="shared" si="140"/>
        <v>99.999460206701343</v>
      </c>
      <c r="AV112" s="169">
        <f t="shared" si="141"/>
        <v>328</v>
      </c>
      <c r="AW112" s="168">
        <f t="shared" si="142"/>
        <v>5.3979329866368244E-4</v>
      </c>
      <c r="AX112" s="164" t="s">
        <v>531</v>
      </c>
      <c r="AY112" s="164" t="s">
        <v>532</v>
      </c>
      <c r="AZ112" s="164" t="s">
        <v>3921</v>
      </c>
      <c r="BA112" s="165"/>
      <c r="BB112" s="165"/>
      <c r="BC112" s="240">
        <v>2700000</v>
      </c>
      <c r="BD112" s="165"/>
      <c r="BE112" s="165"/>
      <c r="BF112" s="165"/>
      <c r="BG112" s="165">
        <v>8114345</v>
      </c>
      <c r="BH112" s="165"/>
    </row>
    <row r="113" spans="2:60" x14ac:dyDescent="0.25">
      <c r="B113" s="230" t="s">
        <v>580</v>
      </c>
      <c r="C113" s="166" t="s">
        <v>1505</v>
      </c>
      <c r="D113" s="166"/>
      <c r="E113" s="166"/>
      <c r="F113" s="167">
        <f t="shared" ref="F113:AS113" si="190">SUM(F114:F117)</f>
        <v>0</v>
      </c>
      <c r="G113" s="167">
        <f t="shared" ref="G113:H113" si="191">SUM(G114:G117)</f>
        <v>639737000</v>
      </c>
      <c r="H113" s="167">
        <f t="shared" si="191"/>
        <v>0</v>
      </c>
      <c r="I113" s="167">
        <f t="shared" ref="I113" si="192">SUM(I114:I117)</f>
        <v>639737000</v>
      </c>
      <c r="J113" s="167">
        <f t="shared" si="190"/>
        <v>0</v>
      </c>
      <c r="K113" s="167">
        <f t="shared" si="190"/>
        <v>0</v>
      </c>
      <c r="L113" s="167">
        <f t="shared" si="190"/>
        <v>0</v>
      </c>
      <c r="M113" s="167">
        <f t="shared" si="190"/>
        <v>0</v>
      </c>
      <c r="N113" s="167">
        <f t="shared" si="190"/>
        <v>0</v>
      </c>
      <c r="O113" s="167">
        <f t="shared" si="190"/>
        <v>0</v>
      </c>
      <c r="P113" s="167">
        <f t="shared" si="190"/>
        <v>0</v>
      </c>
      <c r="Q113" s="167">
        <f t="shared" si="190"/>
        <v>0</v>
      </c>
      <c r="R113" s="167">
        <f t="shared" si="190"/>
        <v>0</v>
      </c>
      <c r="S113" s="167">
        <f t="shared" si="190"/>
        <v>0</v>
      </c>
      <c r="T113" s="167">
        <f t="shared" si="190"/>
        <v>0</v>
      </c>
      <c r="U113" s="167">
        <f t="shared" si="190"/>
        <v>0</v>
      </c>
      <c r="V113" s="167">
        <f t="shared" si="190"/>
        <v>0</v>
      </c>
      <c r="W113" s="167">
        <f t="shared" si="190"/>
        <v>0</v>
      </c>
      <c r="X113" s="167">
        <f t="shared" si="190"/>
        <v>0</v>
      </c>
      <c r="Y113" s="167">
        <f t="shared" si="190"/>
        <v>0</v>
      </c>
      <c r="Z113" s="167">
        <f t="shared" si="190"/>
        <v>0</v>
      </c>
      <c r="AA113" s="167">
        <f t="shared" si="190"/>
        <v>0</v>
      </c>
      <c r="AB113" s="167">
        <f t="shared" si="190"/>
        <v>0</v>
      </c>
      <c r="AC113" s="167">
        <f t="shared" si="190"/>
        <v>0</v>
      </c>
      <c r="AD113" s="167">
        <f t="shared" si="190"/>
        <v>0</v>
      </c>
      <c r="AE113" s="167">
        <f t="shared" si="190"/>
        <v>0</v>
      </c>
      <c r="AF113" s="167">
        <f t="shared" si="190"/>
        <v>0</v>
      </c>
      <c r="AG113" s="167">
        <f t="shared" si="190"/>
        <v>0</v>
      </c>
      <c r="AH113" s="167">
        <f t="shared" si="190"/>
        <v>0</v>
      </c>
      <c r="AI113" s="167">
        <f t="shared" si="190"/>
        <v>0</v>
      </c>
      <c r="AJ113" s="167">
        <f t="shared" si="190"/>
        <v>0</v>
      </c>
      <c r="AK113" s="167">
        <f t="shared" si="190"/>
        <v>0</v>
      </c>
      <c r="AL113" s="167">
        <f t="shared" si="190"/>
        <v>0</v>
      </c>
      <c r="AM113" s="167">
        <f t="shared" si="190"/>
        <v>0</v>
      </c>
      <c r="AN113" s="167">
        <f t="shared" si="190"/>
        <v>0</v>
      </c>
      <c r="AO113" s="167">
        <f t="shared" si="190"/>
        <v>0</v>
      </c>
      <c r="AP113" s="167">
        <f t="shared" si="190"/>
        <v>0</v>
      </c>
      <c r="AQ113" s="167">
        <f t="shared" si="190"/>
        <v>0</v>
      </c>
      <c r="AR113" s="167">
        <f t="shared" si="190"/>
        <v>0</v>
      </c>
      <c r="AS113" s="167">
        <f t="shared" si="190"/>
        <v>0</v>
      </c>
      <c r="AT113" s="167">
        <f t="shared" si="139"/>
        <v>0</v>
      </c>
      <c r="AU113" s="175">
        <f t="shared" si="140"/>
        <v>0</v>
      </c>
      <c r="AV113" s="176">
        <f t="shared" si="141"/>
        <v>0</v>
      </c>
      <c r="AW113" s="175" t="e">
        <f t="shared" si="142"/>
        <v>#DIV/0!</v>
      </c>
      <c r="AX113" s="164" t="s">
        <v>531</v>
      </c>
      <c r="AY113" s="164" t="s">
        <v>534</v>
      </c>
      <c r="AZ113" s="164" t="s">
        <v>3921</v>
      </c>
      <c r="BA113" s="167">
        <f t="shared" ref="BA113:BD113" si="193">SUM(BA114:BA117)</f>
        <v>0</v>
      </c>
      <c r="BB113" s="167">
        <f t="shared" si="193"/>
        <v>0</v>
      </c>
      <c r="BC113" s="167">
        <f t="shared" si="193"/>
        <v>0</v>
      </c>
      <c r="BD113" s="167">
        <f t="shared" si="193"/>
        <v>0</v>
      </c>
      <c r="BE113" s="167">
        <f t="shared" ref="BE113" si="194">SUM(BE114:BE117)</f>
        <v>0</v>
      </c>
      <c r="BF113" s="167">
        <f t="shared" ref="BF113:BG113" si="195">SUM(BF114:BF117)</f>
        <v>0</v>
      </c>
      <c r="BG113" s="167">
        <f t="shared" si="195"/>
        <v>0</v>
      </c>
      <c r="BH113" s="167">
        <f t="shared" ref="BH113" si="196">SUM(BH114:BH117)</f>
        <v>0</v>
      </c>
    </row>
    <row r="114" spans="2:60" x14ac:dyDescent="0.25">
      <c r="B114" s="228">
        <v>521211</v>
      </c>
      <c r="C114" s="164" t="s">
        <v>7</v>
      </c>
      <c r="D114" s="164"/>
      <c r="E114" s="164"/>
      <c r="F114" s="165">
        <v>0</v>
      </c>
      <c r="G114" s="165">
        <v>118575000</v>
      </c>
      <c r="H114" s="165"/>
      <c r="I114" s="165">
        <f t="shared" ref="I114:I117" si="197">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39"/>
        <v>0</v>
      </c>
      <c r="AU114" s="168">
        <f t="shared" si="140"/>
        <v>0</v>
      </c>
      <c r="AV114" s="169">
        <f t="shared" si="141"/>
        <v>0</v>
      </c>
      <c r="AW114" s="168" t="e">
        <f t="shared" si="142"/>
        <v>#DIV/0!</v>
      </c>
      <c r="AX114" s="164" t="s">
        <v>531</v>
      </c>
      <c r="AY114" s="164" t="s">
        <v>534</v>
      </c>
      <c r="AZ114" s="164" t="s">
        <v>3921</v>
      </c>
      <c r="BA114" s="165"/>
      <c r="BB114" s="165"/>
      <c r="BC114" s="240"/>
      <c r="BD114" s="165"/>
      <c r="BE114" s="165"/>
      <c r="BF114" s="165"/>
      <c r="BG114" s="165"/>
      <c r="BH114" s="165"/>
    </row>
    <row r="115" spans="2:60" x14ac:dyDescent="0.25">
      <c r="B115" s="228">
        <v>521219</v>
      </c>
      <c r="C115" s="164" t="s">
        <v>53</v>
      </c>
      <c r="D115" s="164"/>
      <c r="E115" s="164"/>
      <c r="F115" s="165">
        <v>0</v>
      </c>
      <c r="G115" s="165">
        <v>393200000</v>
      </c>
      <c r="H115" s="165"/>
      <c r="I115" s="165">
        <f t="shared" si="197"/>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39"/>
        <v>0</v>
      </c>
      <c r="AU115" s="168">
        <f t="shared" si="140"/>
        <v>0</v>
      </c>
      <c r="AV115" s="169">
        <f t="shared" si="141"/>
        <v>0</v>
      </c>
      <c r="AW115" s="168" t="e">
        <f t="shared" si="142"/>
        <v>#DIV/0!</v>
      </c>
      <c r="AX115" s="164" t="s">
        <v>531</v>
      </c>
      <c r="AY115" s="164" t="s">
        <v>534</v>
      </c>
      <c r="AZ115" s="164" t="s">
        <v>3921</v>
      </c>
      <c r="BA115" s="165"/>
      <c r="BB115" s="165"/>
      <c r="BC115" s="240"/>
      <c r="BD115" s="165"/>
      <c r="BE115" s="165"/>
      <c r="BF115" s="165"/>
      <c r="BG115" s="165"/>
      <c r="BH115" s="165"/>
    </row>
    <row r="116" spans="2:60" x14ac:dyDescent="0.25">
      <c r="B116" s="228">
        <v>522141</v>
      </c>
      <c r="C116" s="164" t="s">
        <v>95</v>
      </c>
      <c r="D116" s="164"/>
      <c r="E116" s="164"/>
      <c r="F116" s="165">
        <v>0</v>
      </c>
      <c r="G116" s="165">
        <v>120000000</v>
      </c>
      <c r="H116" s="165"/>
      <c r="I116" s="165">
        <f t="shared" si="197"/>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39"/>
        <v>0</v>
      </c>
      <c r="AU116" s="168">
        <f t="shared" si="140"/>
        <v>0</v>
      </c>
      <c r="AV116" s="169">
        <f>F116-AT116</f>
        <v>0</v>
      </c>
      <c r="AW116" s="168" t="e">
        <f t="shared" si="142"/>
        <v>#DIV/0!</v>
      </c>
      <c r="AX116" s="164" t="s">
        <v>531</v>
      </c>
      <c r="AY116" s="164" t="s">
        <v>534</v>
      </c>
      <c r="AZ116" s="164" t="s">
        <v>3921</v>
      </c>
      <c r="BA116" s="165"/>
      <c r="BB116" s="165"/>
      <c r="BC116" s="240"/>
      <c r="BD116" s="165"/>
      <c r="BE116" s="165"/>
      <c r="BF116" s="165"/>
      <c r="BG116" s="165"/>
      <c r="BH116" s="165"/>
    </row>
    <row r="117" spans="2:60" x14ac:dyDescent="0.25">
      <c r="B117" s="228">
        <v>524111</v>
      </c>
      <c r="C117" s="164" t="s">
        <v>19</v>
      </c>
      <c r="D117" s="164"/>
      <c r="E117" s="164"/>
      <c r="F117" s="165">
        <v>0</v>
      </c>
      <c r="G117" s="165">
        <v>7962000</v>
      </c>
      <c r="H117" s="165"/>
      <c r="I117" s="165">
        <f t="shared" si="197"/>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39"/>
        <v>0</v>
      </c>
      <c r="AU117" s="168">
        <f t="shared" si="140"/>
        <v>0</v>
      </c>
      <c r="AV117" s="169">
        <f t="shared" si="141"/>
        <v>0</v>
      </c>
      <c r="AW117" s="168" t="e">
        <f t="shared" si="142"/>
        <v>#DIV/0!</v>
      </c>
      <c r="AX117" s="164" t="s">
        <v>531</v>
      </c>
      <c r="AY117" s="164" t="s">
        <v>534</v>
      </c>
      <c r="AZ117" s="164" t="s">
        <v>3921</v>
      </c>
      <c r="BA117" s="165"/>
      <c r="BB117" s="165"/>
      <c r="BC117" s="240"/>
      <c r="BD117" s="165"/>
      <c r="BE117" s="165"/>
      <c r="BF117" s="165"/>
      <c r="BG117" s="165"/>
      <c r="BH117" s="165"/>
    </row>
    <row r="118" spans="2:60"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198">SUM(J119:J122)</f>
        <v>0</v>
      </c>
      <c r="K118" s="167">
        <f t="shared" si="198"/>
        <v>0</v>
      </c>
      <c r="L118" s="167">
        <f t="shared" si="198"/>
        <v>0</v>
      </c>
      <c r="M118" s="167">
        <f t="shared" si="198"/>
        <v>0</v>
      </c>
      <c r="N118" s="167">
        <f t="shared" si="198"/>
        <v>0</v>
      </c>
      <c r="O118" s="167">
        <f t="shared" si="198"/>
        <v>0</v>
      </c>
      <c r="P118" s="167">
        <f t="shared" si="198"/>
        <v>0</v>
      </c>
      <c r="Q118" s="167">
        <f t="shared" si="198"/>
        <v>9200000</v>
      </c>
      <c r="R118" s="167">
        <f t="shared" si="198"/>
        <v>18676000</v>
      </c>
      <c r="S118" s="167">
        <f t="shared" si="198"/>
        <v>0</v>
      </c>
      <c r="T118" s="167">
        <f t="shared" si="198"/>
        <v>0</v>
      </c>
      <c r="U118" s="167">
        <f t="shared" si="198"/>
        <v>0</v>
      </c>
      <c r="V118" s="167">
        <f t="shared" si="198"/>
        <v>0</v>
      </c>
      <c r="W118" s="167">
        <f t="shared" si="198"/>
        <v>528000</v>
      </c>
      <c r="X118" s="167">
        <f t="shared" si="198"/>
        <v>20747000</v>
      </c>
      <c r="Y118" s="167">
        <f t="shared" si="198"/>
        <v>0</v>
      </c>
      <c r="Z118" s="167">
        <f t="shared" si="198"/>
        <v>0</v>
      </c>
      <c r="AA118" s="167">
        <f t="shared" si="198"/>
        <v>0</v>
      </c>
      <c r="AB118" s="167">
        <f t="shared" si="198"/>
        <v>0</v>
      </c>
      <c r="AC118" s="167">
        <f t="shared" si="198"/>
        <v>0</v>
      </c>
      <c r="AD118" s="167">
        <f t="shared" si="198"/>
        <v>0</v>
      </c>
      <c r="AE118" s="167">
        <f t="shared" si="198"/>
        <v>0</v>
      </c>
      <c r="AF118" s="167">
        <f t="shared" si="198"/>
        <v>0</v>
      </c>
      <c r="AG118" s="167">
        <f t="shared" si="198"/>
        <v>0</v>
      </c>
      <c r="AH118" s="167">
        <f t="shared" si="198"/>
        <v>0</v>
      </c>
      <c r="AI118" s="167">
        <f t="shared" si="198"/>
        <v>0</v>
      </c>
      <c r="AJ118" s="167">
        <f t="shared" si="198"/>
        <v>0</v>
      </c>
      <c r="AK118" s="167">
        <f t="shared" si="198"/>
        <v>0</v>
      </c>
      <c r="AL118" s="167">
        <f t="shared" si="198"/>
        <v>0</v>
      </c>
      <c r="AM118" s="167">
        <f t="shared" si="198"/>
        <v>0</v>
      </c>
      <c r="AN118" s="167">
        <f t="shared" si="198"/>
        <v>0</v>
      </c>
      <c r="AO118" s="167">
        <f t="shared" si="198"/>
        <v>0</v>
      </c>
      <c r="AP118" s="167">
        <f t="shared" si="198"/>
        <v>0</v>
      </c>
      <c r="AQ118" s="167">
        <f t="shared" si="198"/>
        <v>0</v>
      </c>
      <c r="AR118" s="167">
        <f t="shared" si="198"/>
        <v>0</v>
      </c>
      <c r="AS118" s="167">
        <f t="shared" si="198"/>
        <v>0</v>
      </c>
      <c r="AT118" s="167">
        <f t="shared" si="139"/>
        <v>49151000</v>
      </c>
      <c r="AU118" s="175">
        <f t="shared" si="140"/>
        <v>44.576149751049762</v>
      </c>
      <c r="AV118" s="176">
        <f t="shared" si="141"/>
        <v>61112000</v>
      </c>
      <c r="AW118" s="175">
        <f t="shared" si="142"/>
        <v>55.423850248950238</v>
      </c>
      <c r="AX118" s="164" t="s">
        <v>531</v>
      </c>
      <c r="AY118" s="164" t="s">
        <v>534</v>
      </c>
      <c r="AZ118" s="164" t="s">
        <v>3921</v>
      </c>
      <c r="BA118" s="167">
        <f t="shared" ref="BA118:BD118" si="199">SUM(BA119:BA122)</f>
        <v>0</v>
      </c>
      <c r="BB118" s="167">
        <f t="shared" si="199"/>
        <v>18676000</v>
      </c>
      <c r="BC118" s="167">
        <f t="shared" si="199"/>
        <v>9200000</v>
      </c>
      <c r="BD118" s="167">
        <f t="shared" si="199"/>
        <v>0</v>
      </c>
      <c r="BE118" s="167">
        <f t="shared" ref="BE118" si="200">SUM(BE119:BE122)</f>
        <v>0</v>
      </c>
      <c r="BF118" s="167">
        <f t="shared" ref="BF118:BG118" si="201">SUM(BF119:BF122)</f>
        <v>528000</v>
      </c>
      <c r="BG118" s="167">
        <f t="shared" si="201"/>
        <v>20747000</v>
      </c>
      <c r="BH118" s="167">
        <f t="shared" ref="BH118" si="202">SUM(BH119:BH122)</f>
        <v>0</v>
      </c>
    </row>
    <row r="119" spans="2:60" x14ac:dyDescent="0.25">
      <c r="B119" s="228">
        <v>521211</v>
      </c>
      <c r="C119" s="164" t="s">
        <v>7</v>
      </c>
      <c r="D119" s="164"/>
      <c r="E119" s="164"/>
      <c r="F119" s="165">
        <v>17550000</v>
      </c>
      <c r="G119" s="165">
        <v>17550000</v>
      </c>
      <c r="H119" s="165"/>
      <c r="I119" s="165">
        <f t="shared" ref="I119:I122" si="203">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39"/>
        <v>9469000</v>
      </c>
      <c r="AU119" s="168">
        <f t="shared" si="140"/>
        <v>53.954415954415957</v>
      </c>
      <c r="AV119" s="169">
        <f t="shared" si="141"/>
        <v>8081000</v>
      </c>
      <c r="AW119" s="168">
        <f t="shared" si="142"/>
        <v>46.04558404558405</v>
      </c>
      <c r="AX119" s="164" t="s">
        <v>531</v>
      </c>
      <c r="AY119" s="164" t="s">
        <v>534</v>
      </c>
      <c r="AZ119" s="164" t="s">
        <v>3921</v>
      </c>
      <c r="BA119" s="165"/>
      <c r="BB119" s="165">
        <v>2444000</v>
      </c>
      <c r="BC119" s="240"/>
      <c r="BD119" s="165"/>
      <c r="BE119" s="165"/>
      <c r="BF119" s="165">
        <v>528000</v>
      </c>
      <c r="BG119" s="165">
        <v>6497000</v>
      </c>
      <c r="BH119" s="165"/>
    </row>
    <row r="120" spans="2:60" x14ac:dyDescent="0.25">
      <c r="B120" s="228">
        <v>521219</v>
      </c>
      <c r="C120" s="164" t="s">
        <v>53</v>
      </c>
      <c r="D120" s="164"/>
      <c r="E120" s="164"/>
      <c r="F120" s="165">
        <v>27651000</v>
      </c>
      <c r="G120" s="165">
        <v>27651000</v>
      </c>
      <c r="H120" s="165"/>
      <c r="I120" s="165">
        <f t="shared" si="203"/>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39"/>
        <v>620000</v>
      </c>
      <c r="AU120" s="168">
        <f t="shared" si="140"/>
        <v>2.2422335539401832</v>
      </c>
      <c r="AV120" s="169">
        <f t="shared" si="141"/>
        <v>27031000</v>
      </c>
      <c r="AW120" s="168">
        <f t="shared" si="142"/>
        <v>97.757766446059819</v>
      </c>
      <c r="AX120" s="164" t="s">
        <v>531</v>
      </c>
      <c r="AY120" s="164" t="s">
        <v>534</v>
      </c>
      <c r="AZ120" s="318" t="s">
        <v>3921</v>
      </c>
      <c r="BA120" s="165"/>
      <c r="BB120" s="165">
        <v>250000</v>
      </c>
      <c r="BC120" s="240">
        <v>120000</v>
      </c>
      <c r="BD120" s="165"/>
      <c r="BE120" s="165"/>
      <c r="BF120" s="165"/>
      <c r="BG120" s="165">
        <v>250000</v>
      </c>
      <c r="BH120" s="165"/>
    </row>
    <row r="121" spans="2:60" x14ac:dyDescent="0.25">
      <c r="B121" s="228">
        <v>522151</v>
      </c>
      <c r="C121" s="164" t="s">
        <v>11</v>
      </c>
      <c r="D121" s="164"/>
      <c r="E121" s="164"/>
      <c r="F121" s="165">
        <v>40000000</v>
      </c>
      <c r="G121" s="165">
        <v>40000000</v>
      </c>
      <c r="H121" s="165"/>
      <c r="I121" s="165">
        <f t="shared" si="203"/>
        <v>0</v>
      </c>
      <c r="J121" s="165"/>
      <c r="K121" s="165"/>
      <c r="L121" s="165"/>
      <c r="M121" s="165"/>
      <c r="N121" s="165"/>
      <c r="O121" s="165"/>
      <c r="P121" s="165"/>
      <c r="Q121" s="165"/>
      <c r="R121" s="165"/>
      <c r="S121" s="165"/>
      <c r="T121" s="165"/>
      <c r="U121" s="165"/>
      <c r="V121" s="165"/>
      <c r="W121" s="165"/>
      <c r="X121" s="165">
        <v>14000000</v>
      </c>
      <c r="Y121" s="165"/>
      <c r="Z121" s="165"/>
      <c r="AA121" s="165"/>
      <c r="AB121" s="165"/>
      <c r="AC121" s="165"/>
      <c r="AD121" s="165"/>
      <c r="AE121" s="165"/>
      <c r="AF121" s="165"/>
      <c r="AG121" s="165"/>
      <c r="AH121" s="165"/>
      <c r="AI121" s="165"/>
      <c r="AJ121" s="165"/>
      <c r="AK121" s="165"/>
      <c r="AL121" s="165"/>
      <c r="AM121" s="165"/>
      <c r="AN121" s="165"/>
      <c r="AO121" s="165"/>
      <c r="AP121" s="165"/>
      <c r="AQ121" s="165"/>
      <c r="AR121" s="165"/>
      <c r="AS121" s="165"/>
      <c r="AT121" s="165">
        <f t="shared" si="139"/>
        <v>14000000</v>
      </c>
      <c r="AU121" s="168">
        <f t="shared" si="140"/>
        <v>35</v>
      </c>
      <c r="AV121" s="169">
        <f>F121-AT121</f>
        <v>26000000</v>
      </c>
      <c r="AW121" s="168">
        <f t="shared" si="142"/>
        <v>65</v>
      </c>
      <c r="AX121" s="164" t="s">
        <v>531</v>
      </c>
      <c r="AY121" s="164" t="s">
        <v>534</v>
      </c>
      <c r="AZ121" s="164" t="s">
        <v>3921</v>
      </c>
      <c r="BA121" s="165"/>
      <c r="BB121" s="165"/>
      <c r="BC121" s="240"/>
      <c r="BD121" s="165"/>
      <c r="BE121" s="165"/>
      <c r="BF121" s="165"/>
      <c r="BG121" s="165">
        <v>14000000</v>
      </c>
      <c r="BH121" s="165"/>
    </row>
    <row r="122" spans="2:60" x14ac:dyDescent="0.25">
      <c r="B122" s="228">
        <v>524111</v>
      </c>
      <c r="C122" s="164" t="s">
        <v>19</v>
      </c>
      <c r="D122" s="164"/>
      <c r="E122" s="164"/>
      <c r="F122" s="165">
        <v>25062000</v>
      </c>
      <c r="G122" s="165">
        <v>25062000</v>
      </c>
      <c r="H122" s="165"/>
      <c r="I122" s="165">
        <f t="shared" si="203"/>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39"/>
        <v>25062000</v>
      </c>
      <c r="AU122" s="168">
        <f t="shared" si="140"/>
        <v>100</v>
      </c>
      <c r="AV122" s="169">
        <f t="shared" si="141"/>
        <v>0</v>
      </c>
      <c r="AW122" s="168">
        <f t="shared" si="142"/>
        <v>0</v>
      </c>
      <c r="AX122" s="164" t="s">
        <v>531</v>
      </c>
      <c r="AY122" s="164" t="s">
        <v>534</v>
      </c>
      <c r="AZ122" s="164" t="s">
        <v>3921</v>
      </c>
      <c r="BA122" s="165"/>
      <c r="BB122" s="165">
        <v>15982000</v>
      </c>
      <c r="BC122" s="240">
        <v>9080000</v>
      </c>
      <c r="BD122" s="165"/>
      <c r="BE122" s="165"/>
      <c r="BF122" s="165"/>
      <c r="BG122" s="165"/>
      <c r="BH122" s="165"/>
    </row>
    <row r="123" spans="2:60"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04">J124</f>
        <v>0</v>
      </c>
      <c r="K123" s="172">
        <f t="shared" si="204"/>
        <v>0</v>
      </c>
      <c r="L123" s="172">
        <f t="shared" si="204"/>
        <v>0</v>
      </c>
      <c r="M123" s="172">
        <f t="shared" si="204"/>
        <v>63640000</v>
      </c>
      <c r="N123" s="172">
        <f t="shared" si="204"/>
        <v>0</v>
      </c>
      <c r="O123" s="172">
        <f t="shared" si="204"/>
        <v>0</v>
      </c>
      <c r="P123" s="172">
        <f t="shared" si="204"/>
        <v>63640000</v>
      </c>
      <c r="Q123" s="172">
        <f t="shared" si="204"/>
        <v>49421537</v>
      </c>
      <c r="R123" s="172">
        <f t="shared" si="204"/>
        <v>80540400</v>
      </c>
      <c r="S123" s="172">
        <f t="shared" si="204"/>
        <v>127280000</v>
      </c>
      <c r="T123" s="172">
        <f t="shared" si="204"/>
        <v>35138796</v>
      </c>
      <c r="U123" s="172">
        <f t="shared" si="204"/>
        <v>0</v>
      </c>
      <c r="V123" s="172">
        <f t="shared" si="204"/>
        <v>63640000</v>
      </c>
      <c r="W123" s="172">
        <f t="shared" si="204"/>
        <v>116380908</v>
      </c>
      <c r="X123" s="172">
        <f t="shared" si="204"/>
        <v>0</v>
      </c>
      <c r="Y123" s="172">
        <f t="shared" si="204"/>
        <v>63640000</v>
      </c>
      <c r="Z123" s="172">
        <f t="shared" si="204"/>
        <v>0</v>
      </c>
      <c r="AA123" s="172">
        <f t="shared" si="204"/>
        <v>0</v>
      </c>
      <c r="AB123" s="172">
        <f t="shared" si="204"/>
        <v>0</v>
      </c>
      <c r="AC123" s="172">
        <f t="shared" si="204"/>
        <v>0</v>
      </c>
      <c r="AD123" s="172">
        <f t="shared" si="204"/>
        <v>0</v>
      </c>
      <c r="AE123" s="172">
        <f t="shared" si="204"/>
        <v>0</v>
      </c>
      <c r="AF123" s="172">
        <f t="shared" si="204"/>
        <v>0</v>
      </c>
      <c r="AG123" s="172">
        <f t="shared" si="204"/>
        <v>0</v>
      </c>
      <c r="AH123" s="172">
        <f t="shared" si="204"/>
        <v>0</v>
      </c>
      <c r="AI123" s="172">
        <f t="shared" si="204"/>
        <v>0</v>
      </c>
      <c r="AJ123" s="172">
        <f t="shared" si="204"/>
        <v>0</v>
      </c>
      <c r="AK123" s="172">
        <f t="shared" si="204"/>
        <v>0</v>
      </c>
      <c r="AL123" s="172">
        <f t="shared" si="204"/>
        <v>0</v>
      </c>
      <c r="AM123" s="172">
        <f t="shared" si="204"/>
        <v>0</v>
      </c>
      <c r="AN123" s="172">
        <f t="shared" si="204"/>
        <v>0</v>
      </c>
      <c r="AO123" s="172">
        <f t="shared" si="204"/>
        <v>0</v>
      </c>
      <c r="AP123" s="172">
        <f t="shared" si="204"/>
        <v>0</v>
      </c>
      <c r="AQ123" s="172">
        <f t="shared" si="204"/>
        <v>0</v>
      </c>
      <c r="AR123" s="172">
        <f t="shared" si="204"/>
        <v>0</v>
      </c>
      <c r="AS123" s="172">
        <f t="shared" si="204"/>
        <v>0</v>
      </c>
      <c r="AT123" s="172">
        <f>SUM(J123:AS123)</f>
        <v>663321641</v>
      </c>
      <c r="AU123" s="173">
        <f t="shared" si="140"/>
        <v>30.210608437197411</v>
      </c>
      <c r="AV123" s="174">
        <f>F123-AT123</f>
        <v>1532336359</v>
      </c>
      <c r="AW123" s="173">
        <f>AV123/F123*100</f>
        <v>69.789391562802578</v>
      </c>
      <c r="AX123" s="164" t="s">
        <v>576</v>
      </c>
      <c r="AY123" s="164" t="s">
        <v>560</v>
      </c>
      <c r="AZ123" s="164" t="s">
        <v>3999</v>
      </c>
      <c r="BA123" s="172">
        <f t="shared" ref="BA123:BH123" si="205">BA124</f>
        <v>40653115</v>
      </c>
      <c r="BB123" s="172">
        <f t="shared" si="205"/>
        <v>80540400</v>
      </c>
      <c r="BC123" s="172">
        <f t="shared" si="205"/>
        <v>8768422</v>
      </c>
      <c r="BD123" s="172">
        <f t="shared" si="205"/>
        <v>35138796</v>
      </c>
      <c r="BE123" s="172">
        <f t="shared" si="205"/>
        <v>64950711</v>
      </c>
      <c r="BF123" s="172">
        <f t="shared" si="205"/>
        <v>51430197</v>
      </c>
      <c r="BG123" s="172">
        <f t="shared" si="205"/>
        <v>0</v>
      </c>
      <c r="BH123" s="172">
        <f t="shared" si="205"/>
        <v>0</v>
      </c>
    </row>
    <row r="124" spans="2:60"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06">J125+J128+J131+J134+J137</f>
        <v>0</v>
      </c>
      <c r="K124" s="172">
        <f t="shared" si="206"/>
        <v>0</v>
      </c>
      <c r="L124" s="172">
        <f t="shared" si="206"/>
        <v>0</v>
      </c>
      <c r="M124" s="172">
        <f t="shared" si="206"/>
        <v>63640000</v>
      </c>
      <c r="N124" s="172">
        <f t="shared" si="206"/>
        <v>0</v>
      </c>
      <c r="O124" s="172">
        <f t="shared" si="206"/>
        <v>0</v>
      </c>
      <c r="P124" s="172">
        <f t="shared" si="206"/>
        <v>63640000</v>
      </c>
      <c r="Q124" s="172">
        <f t="shared" si="206"/>
        <v>49421537</v>
      </c>
      <c r="R124" s="172">
        <f t="shared" si="206"/>
        <v>80540400</v>
      </c>
      <c r="S124" s="172">
        <f t="shared" si="206"/>
        <v>127280000</v>
      </c>
      <c r="T124" s="172">
        <f t="shared" si="206"/>
        <v>35138796</v>
      </c>
      <c r="U124" s="172">
        <f t="shared" si="206"/>
        <v>0</v>
      </c>
      <c r="V124" s="172">
        <f t="shared" si="206"/>
        <v>63640000</v>
      </c>
      <c r="W124" s="172">
        <f t="shared" si="206"/>
        <v>116380908</v>
      </c>
      <c r="X124" s="172">
        <f t="shared" si="206"/>
        <v>0</v>
      </c>
      <c r="Y124" s="172">
        <f t="shared" si="206"/>
        <v>63640000</v>
      </c>
      <c r="Z124" s="172">
        <f t="shared" si="206"/>
        <v>0</v>
      </c>
      <c r="AA124" s="172">
        <f t="shared" si="206"/>
        <v>0</v>
      </c>
      <c r="AB124" s="172">
        <f t="shared" si="206"/>
        <v>0</v>
      </c>
      <c r="AC124" s="172">
        <f t="shared" si="206"/>
        <v>0</v>
      </c>
      <c r="AD124" s="172">
        <f t="shared" si="206"/>
        <v>0</v>
      </c>
      <c r="AE124" s="172">
        <f t="shared" si="206"/>
        <v>0</v>
      </c>
      <c r="AF124" s="172">
        <f t="shared" si="206"/>
        <v>0</v>
      </c>
      <c r="AG124" s="172">
        <f t="shared" si="206"/>
        <v>0</v>
      </c>
      <c r="AH124" s="172">
        <f t="shared" si="206"/>
        <v>0</v>
      </c>
      <c r="AI124" s="172">
        <f t="shared" si="206"/>
        <v>0</v>
      </c>
      <c r="AJ124" s="172">
        <f t="shared" si="206"/>
        <v>0</v>
      </c>
      <c r="AK124" s="172">
        <f t="shared" si="206"/>
        <v>0</v>
      </c>
      <c r="AL124" s="172">
        <f t="shared" si="206"/>
        <v>0</v>
      </c>
      <c r="AM124" s="172">
        <f t="shared" si="206"/>
        <v>0</v>
      </c>
      <c r="AN124" s="172">
        <f t="shared" si="206"/>
        <v>0</v>
      </c>
      <c r="AO124" s="172">
        <f t="shared" si="206"/>
        <v>0</v>
      </c>
      <c r="AP124" s="172">
        <f t="shared" si="206"/>
        <v>0</v>
      </c>
      <c r="AQ124" s="172">
        <f t="shared" si="206"/>
        <v>0</v>
      </c>
      <c r="AR124" s="172">
        <f t="shared" si="206"/>
        <v>0</v>
      </c>
      <c r="AS124" s="172">
        <f t="shared" si="206"/>
        <v>0</v>
      </c>
      <c r="AT124" s="172">
        <f>SUM(J124:AS124)</f>
        <v>663321641</v>
      </c>
      <c r="AU124" s="173">
        <f t="shared" si="140"/>
        <v>30.210608437197411</v>
      </c>
      <c r="AV124" s="174">
        <f>F124-AT124</f>
        <v>1532336359</v>
      </c>
      <c r="AW124" s="173">
        <f t="shared" si="142"/>
        <v>69.789391562802578</v>
      </c>
      <c r="AX124" s="164" t="s">
        <v>576</v>
      </c>
      <c r="AY124" s="164" t="s">
        <v>560</v>
      </c>
      <c r="AZ124" s="164" t="s">
        <v>3999</v>
      </c>
      <c r="BA124" s="172">
        <f t="shared" ref="BA124:BC124" si="207">BA125+BA128+BA131+BA134+BA137</f>
        <v>40653115</v>
      </c>
      <c r="BB124" s="172">
        <f t="shared" si="207"/>
        <v>80540400</v>
      </c>
      <c r="BC124" s="172">
        <f t="shared" si="207"/>
        <v>8768422</v>
      </c>
      <c r="BD124" s="172">
        <f t="shared" ref="BD124" si="208">BD125+BD128+BD131+BD134+BD137</f>
        <v>35138796</v>
      </c>
      <c r="BE124" s="172">
        <f t="shared" ref="BE124" si="209">BE125+BE128+BE131+BE134+BE137</f>
        <v>64950711</v>
      </c>
      <c r="BF124" s="172">
        <f t="shared" ref="BF124:BG124" si="210">BF125+BF128+BF131+BF134+BF137</f>
        <v>51430197</v>
      </c>
      <c r="BG124" s="172">
        <f t="shared" si="210"/>
        <v>0</v>
      </c>
      <c r="BH124" s="172">
        <f t="shared" ref="BH124" si="211">BH125+BH128+BH131+BH134+BH137</f>
        <v>0</v>
      </c>
    </row>
    <row r="125" spans="2:60"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2">SUM(J126:J127)</f>
        <v>0</v>
      </c>
      <c r="K125" s="167">
        <f t="shared" si="212"/>
        <v>0</v>
      </c>
      <c r="L125" s="167">
        <f t="shared" si="212"/>
        <v>0</v>
      </c>
      <c r="M125" s="167">
        <f t="shared" si="212"/>
        <v>63640000</v>
      </c>
      <c r="N125" s="167">
        <f t="shared" si="212"/>
        <v>0</v>
      </c>
      <c r="O125" s="167">
        <f t="shared" si="212"/>
        <v>0</v>
      </c>
      <c r="P125" s="167">
        <f t="shared" si="212"/>
        <v>63640000</v>
      </c>
      <c r="Q125" s="167">
        <f t="shared" si="212"/>
        <v>22203587</v>
      </c>
      <c r="R125" s="167">
        <f t="shared" si="212"/>
        <v>27406900</v>
      </c>
      <c r="S125" s="167">
        <f t="shared" si="212"/>
        <v>127280000</v>
      </c>
      <c r="T125" s="167">
        <f t="shared" si="212"/>
        <v>17187096</v>
      </c>
      <c r="U125" s="167">
        <f t="shared" si="212"/>
        <v>0</v>
      </c>
      <c r="V125" s="167">
        <f t="shared" si="212"/>
        <v>63640000</v>
      </c>
      <c r="W125" s="167">
        <f t="shared" si="212"/>
        <v>39128568</v>
      </c>
      <c r="X125" s="167">
        <f t="shared" si="212"/>
        <v>0</v>
      </c>
      <c r="Y125" s="167">
        <f t="shared" si="212"/>
        <v>63640000</v>
      </c>
      <c r="Z125" s="167">
        <f t="shared" si="212"/>
        <v>0</v>
      </c>
      <c r="AA125" s="167">
        <f t="shared" si="212"/>
        <v>0</v>
      </c>
      <c r="AB125" s="167">
        <f t="shared" si="212"/>
        <v>0</v>
      </c>
      <c r="AC125" s="167">
        <f t="shared" si="212"/>
        <v>0</v>
      </c>
      <c r="AD125" s="167">
        <f t="shared" si="212"/>
        <v>0</v>
      </c>
      <c r="AE125" s="167">
        <f t="shared" si="212"/>
        <v>0</v>
      </c>
      <c r="AF125" s="167">
        <f t="shared" si="212"/>
        <v>0</v>
      </c>
      <c r="AG125" s="167">
        <f t="shared" si="212"/>
        <v>0</v>
      </c>
      <c r="AH125" s="167">
        <f t="shared" si="212"/>
        <v>0</v>
      </c>
      <c r="AI125" s="167">
        <f t="shared" si="212"/>
        <v>0</v>
      </c>
      <c r="AJ125" s="167">
        <f t="shared" si="212"/>
        <v>0</v>
      </c>
      <c r="AK125" s="167">
        <f t="shared" si="212"/>
        <v>0</v>
      </c>
      <c r="AL125" s="167">
        <f t="shared" si="212"/>
        <v>0</v>
      </c>
      <c r="AM125" s="167">
        <f t="shared" si="212"/>
        <v>0</v>
      </c>
      <c r="AN125" s="167">
        <f t="shared" si="212"/>
        <v>0</v>
      </c>
      <c r="AO125" s="167">
        <f t="shared" si="212"/>
        <v>0</v>
      </c>
      <c r="AP125" s="167">
        <f t="shared" si="212"/>
        <v>0</v>
      </c>
      <c r="AQ125" s="167">
        <f t="shared" si="212"/>
        <v>0</v>
      </c>
      <c r="AR125" s="167">
        <f t="shared" si="212"/>
        <v>0</v>
      </c>
      <c r="AS125" s="167">
        <f t="shared" si="212"/>
        <v>0</v>
      </c>
      <c r="AT125" s="167">
        <f>SUM(J125:AS125)</f>
        <v>487766151</v>
      </c>
      <c r="AU125" s="175">
        <f t="shared" si="140"/>
        <v>38.885038903681505</v>
      </c>
      <c r="AV125" s="176">
        <f>F125-AT125</f>
        <v>766613849</v>
      </c>
      <c r="AW125" s="175">
        <f>AV125/F125*100</f>
        <v>61.114961096318495</v>
      </c>
      <c r="AX125" s="164" t="s">
        <v>576</v>
      </c>
      <c r="AY125" s="164" t="s">
        <v>560</v>
      </c>
      <c r="AZ125" s="164" t="s">
        <v>3999</v>
      </c>
      <c r="BA125" s="167">
        <f t="shared" ref="BA125:BC125" si="213">SUM(BA126:BA127)</f>
        <v>15353865</v>
      </c>
      <c r="BB125" s="167">
        <f t="shared" si="213"/>
        <v>27406900</v>
      </c>
      <c r="BC125" s="167">
        <f t="shared" si="213"/>
        <v>6849722</v>
      </c>
      <c r="BD125" s="167">
        <f t="shared" ref="BD125" si="214">SUM(BD126:BD127)</f>
        <v>17187096</v>
      </c>
      <c r="BE125" s="167">
        <f t="shared" ref="BE125" si="215">SUM(BE126:BE127)</f>
        <v>10296711</v>
      </c>
      <c r="BF125" s="167">
        <f t="shared" ref="BF125:BG125" si="216">SUM(BF126:BF127)</f>
        <v>28831857</v>
      </c>
      <c r="BG125" s="167">
        <f t="shared" si="216"/>
        <v>0</v>
      </c>
      <c r="BH125" s="167">
        <f t="shared" ref="BH125" si="217">SUM(BH126:BH127)</f>
        <v>0</v>
      </c>
    </row>
    <row r="126" spans="2:60" x14ac:dyDescent="0.25">
      <c r="B126" s="228">
        <v>521111</v>
      </c>
      <c r="C126" s="164" t="s">
        <v>90</v>
      </c>
      <c r="D126" s="164"/>
      <c r="E126" s="164"/>
      <c r="F126" s="165">
        <v>1076220000</v>
      </c>
      <c r="G126" s="165">
        <v>1076220000</v>
      </c>
      <c r="H126" s="165"/>
      <c r="I126" s="165">
        <f t="shared" ref="I126:I127" si="218">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c r="AC126" s="165"/>
      <c r="AD126" s="165"/>
      <c r="AE126" s="165"/>
      <c r="AF126" s="165"/>
      <c r="AG126" s="165"/>
      <c r="AH126" s="165"/>
      <c r="AI126" s="165"/>
      <c r="AJ126" s="165"/>
      <c r="AK126" s="165"/>
      <c r="AL126" s="165"/>
      <c r="AM126" s="165"/>
      <c r="AN126" s="165"/>
      <c r="AO126" s="165"/>
      <c r="AP126" s="165"/>
      <c r="AQ126" s="165"/>
      <c r="AR126" s="165"/>
      <c r="AS126" s="165"/>
      <c r="AT126" s="165">
        <f>SUM(J126:AS126)</f>
        <v>423058151</v>
      </c>
      <c r="AU126" s="168">
        <f t="shared" si="140"/>
        <v>39.309634740108898</v>
      </c>
      <c r="AV126" s="169">
        <f>F126-AT126</f>
        <v>653161849</v>
      </c>
      <c r="AW126" s="168">
        <f>AV126/F126*100</f>
        <v>60.690365259891102</v>
      </c>
      <c r="AX126" s="164" t="s">
        <v>576</v>
      </c>
      <c r="AY126" s="164" t="s">
        <v>560</v>
      </c>
      <c r="AZ126" s="164" t="s">
        <v>3999</v>
      </c>
      <c r="BA126" s="165">
        <v>2178865</v>
      </c>
      <c r="BB126" s="165">
        <v>8107900</v>
      </c>
      <c r="BC126" s="240">
        <v>6849722</v>
      </c>
      <c r="BD126" s="165">
        <v>8235096</v>
      </c>
      <c r="BE126" s="165">
        <v>8616711</v>
      </c>
      <c r="BF126" s="165">
        <v>7229857</v>
      </c>
      <c r="BG126" s="165"/>
      <c r="BH126" s="165"/>
    </row>
    <row r="127" spans="2:60" x14ac:dyDescent="0.25">
      <c r="B127" s="228">
        <v>521811</v>
      </c>
      <c r="C127" s="164" t="s">
        <v>64</v>
      </c>
      <c r="D127" s="164"/>
      <c r="E127" s="164"/>
      <c r="F127" s="165">
        <v>178160000</v>
      </c>
      <c r="G127" s="165">
        <v>178160000</v>
      </c>
      <c r="H127" s="165"/>
      <c r="I127" s="165">
        <f t="shared" si="218"/>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39"/>
        <v>64708000</v>
      </c>
      <c r="AU127" s="168">
        <f t="shared" si="140"/>
        <v>36.320161652447233</v>
      </c>
      <c r="AV127" s="169">
        <f>F127-AT127</f>
        <v>113452000</v>
      </c>
      <c r="AW127" s="168">
        <f t="shared" si="142"/>
        <v>63.679838347552767</v>
      </c>
      <c r="AX127" s="164" t="s">
        <v>576</v>
      </c>
      <c r="AY127" s="164" t="s">
        <v>560</v>
      </c>
      <c r="AZ127" s="164" t="s">
        <v>3999</v>
      </c>
      <c r="BA127" s="165">
        <v>13175000</v>
      </c>
      <c r="BB127" s="165">
        <v>19299000</v>
      </c>
      <c r="BC127" s="240"/>
      <c r="BD127" s="165">
        <v>8952000</v>
      </c>
      <c r="BE127" s="165">
        <v>1680000</v>
      </c>
      <c r="BF127" s="165">
        <v>21602000</v>
      </c>
      <c r="BG127" s="165"/>
      <c r="BH127" s="165"/>
    </row>
    <row r="128" spans="2:60" x14ac:dyDescent="0.25">
      <c r="B128" s="230" t="s">
        <v>2208</v>
      </c>
      <c r="C128" s="166" t="s">
        <v>2209</v>
      </c>
      <c r="D128" s="166"/>
      <c r="E128" s="166"/>
      <c r="F128" s="167">
        <f t="shared" ref="F128:AS128" si="219">SUM(F129:F130)</f>
        <v>148852000</v>
      </c>
      <c r="G128" s="167">
        <f t="shared" ref="G128:H128" si="220">SUM(G129:G130)</f>
        <v>148852000</v>
      </c>
      <c r="H128" s="167">
        <f t="shared" si="220"/>
        <v>0</v>
      </c>
      <c r="I128" s="167">
        <f t="shared" ref="I128" si="221">SUM(I129:I130)</f>
        <v>0</v>
      </c>
      <c r="J128" s="167">
        <f t="shared" si="219"/>
        <v>0</v>
      </c>
      <c r="K128" s="167">
        <f t="shared" si="219"/>
        <v>0</v>
      </c>
      <c r="L128" s="167">
        <f t="shared" si="219"/>
        <v>0</v>
      </c>
      <c r="M128" s="167">
        <f t="shared" si="219"/>
        <v>0</v>
      </c>
      <c r="N128" s="167">
        <f t="shared" si="219"/>
        <v>0</v>
      </c>
      <c r="O128" s="167">
        <f t="shared" si="219"/>
        <v>0</v>
      </c>
      <c r="P128" s="167">
        <f t="shared" si="219"/>
        <v>0</v>
      </c>
      <c r="Q128" s="167">
        <f t="shared" si="219"/>
        <v>354050</v>
      </c>
      <c r="R128" s="167">
        <f t="shared" si="219"/>
        <v>4950000</v>
      </c>
      <c r="S128" s="167">
        <f t="shared" si="219"/>
        <v>0</v>
      </c>
      <c r="T128" s="167">
        <f t="shared" si="219"/>
        <v>10503000</v>
      </c>
      <c r="U128" s="167">
        <f t="shared" si="219"/>
        <v>0</v>
      </c>
      <c r="V128" s="167">
        <f t="shared" si="219"/>
        <v>0</v>
      </c>
      <c r="W128" s="167">
        <f t="shared" si="219"/>
        <v>6279000</v>
      </c>
      <c r="X128" s="167">
        <f t="shared" si="219"/>
        <v>0</v>
      </c>
      <c r="Y128" s="167">
        <f t="shared" si="219"/>
        <v>0</v>
      </c>
      <c r="Z128" s="167">
        <f t="shared" si="219"/>
        <v>0</v>
      </c>
      <c r="AA128" s="167">
        <f t="shared" si="219"/>
        <v>0</v>
      </c>
      <c r="AB128" s="167">
        <f t="shared" si="219"/>
        <v>0</v>
      </c>
      <c r="AC128" s="167">
        <f t="shared" si="219"/>
        <v>0</v>
      </c>
      <c r="AD128" s="167">
        <f t="shared" si="219"/>
        <v>0</v>
      </c>
      <c r="AE128" s="167">
        <f t="shared" si="219"/>
        <v>0</v>
      </c>
      <c r="AF128" s="167">
        <f t="shared" si="219"/>
        <v>0</v>
      </c>
      <c r="AG128" s="167">
        <f t="shared" si="219"/>
        <v>0</v>
      </c>
      <c r="AH128" s="167">
        <f t="shared" si="219"/>
        <v>0</v>
      </c>
      <c r="AI128" s="167">
        <f t="shared" si="219"/>
        <v>0</v>
      </c>
      <c r="AJ128" s="167">
        <f t="shared" si="219"/>
        <v>0</v>
      </c>
      <c r="AK128" s="167">
        <f t="shared" si="219"/>
        <v>0</v>
      </c>
      <c r="AL128" s="167">
        <f t="shared" si="219"/>
        <v>0</v>
      </c>
      <c r="AM128" s="167">
        <f t="shared" si="219"/>
        <v>0</v>
      </c>
      <c r="AN128" s="167">
        <f t="shared" si="219"/>
        <v>0</v>
      </c>
      <c r="AO128" s="167">
        <f t="shared" si="219"/>
        <v>0</v>
      </c>
      <c r="AP128" s="167">
        <f t="shared" si="219"/>
        <v>0</v>
      </c>
      <c r="AQ128" s="167">
        <f t="shared" si="219"/>
        <v>0</v>
      </c>
      <c r="AR128" s="167">
        <f t="shared" si="219"/>
        <v>0</v>
      </c>
      <c r="AS128" s="167">
        <f t="shared" si="219"/>
        <v>0</v>
      </c>
      <c r="AT128" s="167">
        <f t="shared" ref="AT128:AT138" si="222">SUM(J128:AS128)</f>
        <v>22086050</v>
      </c>
      <c r="AU128" s="175">
        <f t="shared" si="140"/>
        <v>14.837590358208153</v>
      </c>
      <c r="AV128" s="176">
        <f t="shared" ref="AV128" si="223">F128-AT128</f>
        <v>126765950</v>
      </c>
      <c r="AW128" s="175">
        <f t="shared" ref="AW128:AW135" si="224">AV128/F128*100</f>
        <v>85.162409641791854</v>
      </c>
      <c r="AX128" s="164" t="s">
        <v>576</v>
      </c>
      <c r="AY128" s="164" t="s">
        <v>560</v>
      </c>
      <c r="AZ128" s="164" t="s">
        <v>3999</v>
      </c>
      <c r="BA128" s="167">
        <f>SUM(BA129:BA130)</f>
        <v>295050</v>
      </c>
      <c r="BB128" s="167">
        <f t="shared" ref="BB128:BD128" si="225">SUM(BB129:BB130)</f>
        <v>4950000</v>
      </c>
      <c r="BC128" s="167">
        <f t="shared" si="225"/>
        <v>59000</v>
      </c>
      <c r="BD128" s="167">
        <f t="shared" si="225"/>
        <v>10503000</v>
      </c>
      <c r="BE128" s="167">
        <f t="shared" ref="BE128" si="226">SUM(BE129:BE130)</f>
        <v>276000</v>
      </c>
      <c r="BF128" s="167">
        <f t="shared" ref="BF128:BG128" si="227">SUM(BF129:BF130)</f>
        <v>6003000</v>
      </c>
      <c r="BG128" s="167">
        <f t="shared" si="227"/>
        <v>0</v>
      </c>
      <c r="BH128" s="167">
        <f t="shared" ref="BH128" si="228">SUM(BH129:BH130)</f>
        <v>0</v>
      </c>
    </row>
    <row r="129" spans="2:60" x14ac:dyDescent="0.25">
      <c r="B129" s="228">
        <v>521114</v>
      </c>
      <c r="C129" s="164" t="s">
        <v>94</v>
      </c>
      <c r="D129" s="164"/>
      <c r="E129" s="164"/>
      <c r="F129" s="165">
        <v>30000000</v>
      </c>
      <c r="G129" s="165">
        <v>30000000</v>
      </c>
      <c r="H129" s="165"/>
      <c r="I129" s="165">
        <f t="shared" ref="I129:I130" si="229">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c r="AD129" s="165"/>
      <c r="AE129" s="165"/>
      <c r="AF129" s="165"/>
      <c r="AG129" s="165"/>
      <c r="AH129" s="165"/>
      <c r="AI129" s="165"/>
      <c r="AJ129" s="165"/>
      <c r="AK129" s="165"/>
      <c r="AL129" s="165"/>
      <c r="AM129" s="165"/>
      <c r="AN129" s="165"/>
      <c r="AO129" s="165"/>
      <c r="AP129" s="165"/>
      <c r="AQ129" s="165"/>
      <c r="AR129" s="165"/>
      <c r="AS129" s="165"/>
      <c r="AT129" s="165">
        <f t="shared" si="222"/>
        <v>2286050</v>
      </c>
      <c r="AU129" s="168">
        <f t="shared" si="140"/>
        <v>7.620166666666667</v>
      </c>
      <c r="AV129" s="169">
        <f t="shared" ref="AV129:AV138" si="230">F129-AT129</f>
        <v>27713950</v>
      </c>
      <c r="AW129" s="168">
        <f t="shared" si="224"/>
        <v>92.379833333333337</v>
      </c>
      <c r="AX129" s="164" t="s">
        <v>576</v>
      </c>
      <c r="AY129" s="164" t="s">
        <v>560</v>
      </c>
      <c r="AZ129" s="164" t="s">
        <v>3999</v>
      </c>
      <c r="BA129" s="165">
        <v>295050</v>
      </c>
      <c r="BB129" s="165"/>
      <c r="BC129" s="240">
        <v>59000</v>
      </c>
      <c r="BD129" s="165">
        <v>603000</v>
      </c>
      <c r="BE129" s="165">
        <v>276000</v>
      </c>
      <c r="BF129" s="165">
        <v>1053000</v>
      </c>
      <c r="BG129" s="165"/>
      <c r="BH129" s="165"/>
    </row>
    <row r="130" spans="2:60" x14ac:dyDescent="0.25">
      <c r="B130" s="228">
        <v>522141</v>
      </c>
      <c r="C130" s="164" t="s">
        <v>95</v>
      </c>
      <c r="D130" s="164"/>
      <c r="E130" s="164"/>
      <c r="F130" s="165">
        <v>118852000</v>
      </c>
      <c r="G130" s="165">
        <v>118852000</v>
      </c>
      <c r="H130" s="165"/>
      <c r="I130" s="165">
        <f t="shared" si="229"/>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c r="AD130" s="165"/>
      <c r="AE130" s="165"/>
      <c r="AF130" s="165"/>
      <c r="AG130" s="165"/>
      <c r="AH130" s="165"/>
      <c r="AI130" s="165"/>
      <c r="AJ130" s="165"/>
      <c r="AK130" s="165"/>
      <c r="AL130" s="165"/>
      <c r="AM130" s="165"/>
      <c r="AN130" s="165"/>
      <c r="AO130" s="165"/>
      <c r="AP130" s="165"/>
      <c r="AQ130" s="165"/>
      <c r="AR130" s="165"/>
      <c r="AS130" s="165"/>
      <c r="AT130" s="165">
        <f t="shared" si="222"/>
        <v>19800000</v>
      </c>
      <c r="AU130" s="168">
        <f t="shared" si="140"/>
        <v>16.659374684481541</v>
      </c>
      <c r="AV130" s="169">
        <f t="shared" si="230"/>
        <v>99052000</v>
      </c>
      <c r="AW130" s="168">
        <f t="shared" si="224"/>
        <v>83.340625315518452</v>
      </c>
      <c r="AX130" s="164" t="s">
        <v>576</v>
      </c>
      <c r="AY130" s="164" t="s">
        <v>560</v>
      </c>
      <c r="AZ130" s="164" t="s">
        <v>3999</v>
      </c>
      <c r="BA130" s="165"/>
      <c r="BB130" s="165">
        <v>4950000</v>
      </c>
      <c r="BC130" s="240"/>
      <c r="BD130" s="165">
        <v>9900000</v>
      </c>
      <c r="BE130" s="165"/>
      <c r="BF130" s="165">
        <v>4950000</v>
      </c>
      <c r="BG130" s="165"/>
      <c r="BH130" s="165"/>
    </row>
    <row r="131" spans="2:60"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1">SUM(J132:J133)</f>
        <v>0</v>
      </c>
      <c r="K131" s="167">
        <f t="shared" si="231"/>
        <v>0</v>
      </c>
      <c r="L131" s="167">
        <f t="shared" si="231"/>
        <v>0</v>
      </c>
      <c r="M131" s="167">
        <f t="shared" si="231"/>
        <v>0</v>
      </c>
      <c r="N131" s="167">
        <f t="shared" si="231"/>
        <v>0</v>
      </c>
      <c r="O131" s="167">
        <f t="shared" si="231"/>
        <v>0</v>
      </c>
      <c r="P131" s="167">
        <f t="shared" si="231"/>
        <v>0</v>
      </c>
      <c r="Q131" s="167">
        <f t="shared" si="231"/>
        <v>26863900</v>
      </c>
      <c r="R131" s="167">
        <f t="shared" si="231"/>
        <v>38727500</v>
      </c>
      <c r="S131" s="167">
        <f t="shared" si="231"/>
        <v>0</v>
      </c>
      <c r="T131" s="167">
        <f t="shared" si="231"/>
        <v>7448700</v>
      </c>
      <c r="U131" s="167">
        <f t="shared" si="231"/>
        <v>0</v>
      </c>
      <c r="V131" s="167">
        <f t="shared" si="231"/>
        <v>0</v>
      </c>
      <c r="W131" s="167">
        <f t="shared" si="231"/>
        <v>21835340</v>
      </c>
      <c r="X131" s="167">
        <f t="shared" si="231"/>
        <v>0</v>
      </c>
      <c r="Y131" s="167">
        <f t="shared" si="231"/>
        <v>0</v>
      </c>
      <c r="Z131" s="167">
        <f t="shared" si="231"/>
        <v>0</v>
      </c>
      <c r="AA131" s="167">
        <f t="shared" si="231"/>
        <v>0</v>
      </c>
      <c r="AB131" s="167">
        <f t="shared" si="231"/>
        <v>0</v>
      </c>
      <c r="AC131" s="167">
        <f t="shared" si="231"/>
        <v>0</v>
      </c>
      <c r="AD131" s="167">
        <f t="shared" si="231"/>
        <v>0</v>
      </c>
      <c r="AE131" s="167">
        <f t="shared" si="231"/>
        <v>0</v>
      </c>
      <c r="AF131" s="167">
        <f t="shared" si="231"/>
        <v>0</v>
      </c>
      <c r="AG131" s="167">
        <f t="shared" si="231"/>
        <v>0</v>
      </c>
      <c r="AH131" s="167">
        <f t="shared" si="231"/>
        <v>0</v>
      </c>
      <c r="AI131" s="167">
        <f t="shared" si="231"/>
        <v>0</v>
      </c>
      <c r="AJ131" s="167">
        <f t="shared" si="231"/>
        <v>0</v>
      </c>
      <c r="AK131" s="167">
        <f t="shared" si="231"/>
        <v>0</v>
      </c>
      <c r="AL131" s="167">
        <f t="shared" si="231"/>
        <v>0</v>
      </c>
      <c r="AM131" s="167">
        <f t="shared" si="231"/>
        <v>0</v>
      </c>
      <c r="AN131" s="167">
        <f t="shared" si="231"/>
        <v>0</v>
      </c>
      <c r="AO131" s="167">
        <f t="shared" si="231"/>
        <v>0</v>
      </c>
      <c r="AP131" s="167">
        <f t="shared" si="231"/>
        <v>0</v>
      </c>
      <c r="AQ131" s="167">
        <f t="shared" si="231"/>
        <v>0</v>
      </c>
      <c r="AR131" s="167">
        <f t="shared" si="231"/>
        <v>0</v>
      </c>
      <c r="AS131" s="167">
        <f t="shared" si="231"/>
        <v>0</v>
      </c>
      <c r="AT131" s="167">
        <f t="shared" si="222"/>
        <v>94875440</v>
      </c>
      <c r="AU131" s="175">
        <f t="shared" si="140"/>
        <v>17.798600506519087</v>
      </c>
      <c r="AV131" s="176">
        <f t="shared" si="230"/>
        <v>438174560</v>
      </c>
      <c r="AW131" s="175">
        <f t="shared" si="224"/>
        <v>82.201399493480906</v>
      </c>
      <c r="AX131" s="164" t="s">
        <v>576</v>
      </c>
      <c r="AY131" s="164" t="s">
        <v>560</v>
      </c>
      <c r="AZ131" s="164" t="s">
        <v>3999</v>
      </c>
      <c r="BA131" s="167">
        <f t="shared" si="231"/>
        <v>25004200</v>
      </c>
      <c r="BB131" s="167">
        <f t="shared" si="231"/>
        <v>38727500</v>
      </c>
      <c r="BC131" s="167">
        <f t="shared" si="231"/>
        <v>1859700</v>
      </c>
      <c r="BD131" s="167">
        <f t="shared" si="231"/>
        <v>7448700</v>
      </c>
      <c r="BE131" s="167">
        <f t="shared" ref="BE131" si="232">SUM(BE132:BE133)</f>
        <v>9968000</v>
      </c>
      <c r="BF131" s="167">
        <f t="shared" ref="BF131:BG131" si="233">SUM(BF132:BF133)</f>
        <v>11867340</v>
      </c>
      <c r="BG131" s="167">
        <f t="shared" si="233"/>
        <v>0</v>
      </c>
      <c r="BH131" s="167">
        <f t="shared" ref="BH131" si="234">SUM(BH132:BH133)</f>
        <v>0</v>
      </c>
    </row>
    <row r="132" spans="2:60" x14ac:dyDescent="0.25">
      <c r="B132" s="228">
        <v>523121</v>
      </c>
      <c r="C132" s="164" t="s">
        <v>99</v>
      </c>
      <c r="D132" s="164"/>
      <c r="E132" s="164"/>
      <c r="F132" s="165">
        <v>497050000</v>
      </c>
      <c r="G132" s="165">
        <v>497050000</v>
      </c>
      <c r="H132" s="165"/>
      <c r="I132" s="165">
        <f t="shared" ref="I132:I133" si="235">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c r="AD132" s="165"/>
      <c r="AE132" s="165"/>
      <c r="AF132" s="165"/>
      <c r="AG132" s="165"/>
      <c r="AH132" s="165"/>
      <c r="AI132" s="165"/>
      <c r="AJ132" s="165"/>
      <c r="AK132" s="165"/>
      <c r="AL132" s="165"/>
      <c r="AM132" s="165"/>
      <c r="AN132" s="165"/>
      <c r="AO132" s="165"/>
      <c r="AP132" s="165"/>
      <c r="AQ132" s="165"/>
      <c r="AR132" s="165"/>
      <c r="AS132" s="165"/>
      <c r="AT132" s="165">
        <f t="shared" si="222"/>
        <v>85875440</v>
      </c>
      <c r="AU132" s="168">
        <f t="shared" si="140"/>
        <v>17.277022432350869</v>
      </c>
      <c r="AV132" s="169">
        <f t="shared" si="230"/>
        <v>411174560</v>
      </c>
      <c r="AW132" s="168">
        <f t="shared" si="224"/>
        <v>82.722977567649124</v>
      </c>
      <c r="AX132" s="164" t="s">
        <v>576</v>
      </c>
      <c r="AY132" s="164" t="s">
        <v>560</v>
      </c>
      <c r="AZ132" s="164" t="s">
        <v>3999</v>
      </c>
      <c r="BA132" s="165">
        <v>25004200</v>
      </c>
      <c r="BB132" s="165">
        <v>32727500</v>
      </c>
      <c r="BC132" s="240">
        <v>1859700</v>
      </c>
      <c r="BD132" s="165">
        <v>7448700</v>
      </c>
      <c r="BE132" s="165">
        <v>6968000</v>
      </c>
      <c r="BF132" s="165">
        <v>11867340</v>
      </c>
      <c r="BG132" s="165"/>
      <c r="BH132" s="165"/>
    </row>
    <row r="133" spans="2:60" x14ac:dyDescent="0.25">
      <c r="B133" s="228">
        <v>523199</v>
      </c>
      <c r="C133" s="164" t="s">
        <v>102</v>
      </c>
      <c r="D133" s="164"/>
      <c r="E133" s="164"/>
      <c r="F133" s="165">
        <v>36000000</v>
      </c>
      <c r="G133" s="165">
        <v>36000000</v>
      </c>
      <c r="H133" s="165"/>
      <c r="I133" s="165">
        <f t="shared" si="235"/>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2"/>
        <v>9000000</v>
      </c>
      <c r="AU133" s="168">
        <f t="shared" si="140"/>
        <v>25</v>
      </c>
      <c r="AV133" s="169">
        <f t="shared" si="230"/>
        <v>27000000</v>
      </c>
      <c r="AW133" s="168">
        <f t="shared" si="224"/>
        <v>75</v>
      </c>
      <c r="AX133" s="164" t="s">
        <v>576</v>
      </c>
      <c r="AY133" s="164" t="s">
        <v>560</v>
      </c>
      <c r="AZ133" s="164" t="s">
        <v>3999</v>
      </c>
      <c r="BA133" s="165"/>
      <c r="BB133" s="165">
        <v>6000000</v>
      </c>
      <c r="BC133" s="240"/>
      <c r="BD133" s="165"/>
      <c r="BE133" s="165">
        <v>3000000</v>
      </c>
      <c r="BF133" s="165"/>
      <c r="BG133" s="165"/>
      <c r="BH133" s="165"/>
    </row>
    <row r="134" spans="2:60" x14ac:dyDescent="0.25">
      <c r="B134" s="230" t="s">
        <v>2239</v>
      </c>
      <c r="C134" s="166" t="s">
        <v>2240</v>
      </c>
      <c r="D134" s="166"/>
      <c r="E134" s="166"/>
      <c r="F134" s="167">
        <f t="shared" ref="F134:BD134" si="236">SUM(F135:F136)</f>
        <v>159376000</v>
      </c>
      <c r="G134" s="167">
        <f t="shared" ref="G134:H134" si="237">SUM(G135:G136)</f>
        <v>159376000</v>
      </c>
      <c r="H134" s="167">
        <f t="shared" si="237"/>
        <v>0</v>
      </c>
      <c r="I134" s="167">
        <f t="shared" ref="I134" si="238">SUM(I135:I136)</f>
        <v>0</v>
      </c>
      <c r="J134" s="167">
        <f t="shared" si="236"/>
        <v>0</v>
      </c>
      <c r="K134" s="167">
        <f t="shared" si="236"/>
        <v>0</v>
      </c>
      <c r="L134" s="167">
        <f t="shared" si="236"/>
        <v>0</v>
      </c>
      <c r="M134" s="167">
        <f t="shared" si="236"/>
        <v>0</v>
      </c>
      <c r="N134" s="167">
        <f t="shared" si="236"/>
        <v>0</v>
      </c>
      <c r="O134" s="167">
        <f t="shared" si="236"/>
        <v>0</v>
      </c>
      <c r="P134" s="167">
        <f t="shared" si="236"/>
        <v>0</v>
      </c>
      <c r="Q134" s="167">
        <f t="shared" si="236"/>
        <v>0</v>
      </c>
      <c r="R134" s="167">
        <f t="shared" si="236"/>
        <v>9456000</v>
      </c>
      <c r="S134" s="167">
        <f t="shared" si="236"/>
        <v>0</v>
      </c>
      <c r="T134" s="167">
        <f t="shared" si="236"/>
        <v>0</v>
      </c>
      <c r="U134" s="167">
        <f t="shared" si="236"/>
        <v>0</v>
      </c>
      <c r="V134" s="167">
        <f t="shared" si="236"/>
        <v>0</v>
      </c>
      <c r="W134" s="167">
        <f t="shared" si="236"/>
        <v>49138000</v>
      </c>
      <c r="X134" s="167">
        <f t="shared" si="236"/>
        <v>0</v>
      </c>
      <c r="Y134" s="167">
        <f t="shared" si="236"/>
        <v>0</v>
      </c>
      <c r="Z134" s="167">
        <f t="shared" si="236"/>
        <v>0</v>
      </c>
      <c r="AA134" s="167">
        <f t="shared" si="236"/>
        <v>0</v>
      </c>
      <c r="AB134" s="167">
        <f t="shared" si="236"/>
        <v>0</v>
      </c>
      <c r="AC134" s="167">
        <f t="shared" si="236"/>
        <v>0</v>
      </c>
      <c r="AD134" s="167">
        <f t="shared" si="236"/>
        <v>0</v>
      </c>
      <c r="AE134" s="167">
        <f t="shared" si="236"/>
        <v>0</v>
      </c>
      <c r="AF134" s="167">
        <f t="shared" si="236"/>
        <v>0</v>
      </c>
      <c r="AG134" s="167">
        <f t="shared" si="236"/>
        <v>0</v>
      </c>
      <c r="AH134" s="167">
        <f t="shared" si="236"/>
        <v>0</v>
      </c>
      <c r="AI134" s="167">
        <f t="shared" si="236"/>
        <v>0</v>
      </c>
      <c r="AJ134" s="167">
        <f t="shared" si="236"/>
        <v>0</v>
      </c>
      <c r="AK134" s="167">
        <f t="shared" si="236"/>
        <v>0</v>
      </c>
      <c r="AL134" s="167">
        <f t="shared" si="236"/>
        <v>0</v>
      </c>
      <c r="AM134" s="167">
        <f t="shared" si="236"/>
        <v>0</v>
      </c>
      <c r="AN134" s="167">
        <f t="shared" si="236"/>
        <v>0</v>
      </c>
      <c r="AO134" s="167">
        <f t="shared" si="236"/>
        <v>0</v>
      </c>
      <c r="AP134" s="167">
        <f t="shared" si="236"/>
        <v>0</v>
      </c>
      <c r="AQ134" s="167">
        <f t="shared" si="236"/>
        <v>0</v>
      </c>
      <c r="AR134" s="167">
        <f t="shared" si="236"/>
        <v>0</v>
      </c>
      <c r="AS134" s="167">
        <f t="shared" si="236"/>
        <v>0</v>
      </c>
      <c r="AT134" s="167">
        <f t="shared" si="222"/>
        <v>58594000</v>
      </c>
      <c r="AU134" s="175">
        <f t="shared" si="140"/>
        <v>36.764632065053711</v>
      </c>
      <c r="AV134" s="176">
        <f t="shared" si="230"/>
        <v>100782000</v>
      </c>
      <c r="AW134" s="175">
        <f t="shared" si="224"/>
        <v>63.235367934946296</v>
      </c>
      <c r="AX134" s="164" t="s">
        <v>576</v>
      </c>
      <c r="AY134" s="164" t="s">
        <v>560</v>
      </c>
      <c r="AZ134" s="164" t="s">
        <v>3999</v>
      </c>
      <c r="BA134" s="167">
        <f t="shared" si="236"/>
        <v>0</v>
      </c>
      <c r="BB134" s="167">
        <f t="shared" si="236"/>
        <v>9456000</v>
      </c>
      <c r="BC134" s="167">
        <f t="shared" si="236"/>
        <v>0</v>
      </c>
      <c r="BD134" s="167">
        <f t="shared" si="236"/>
        <v>0</v>
      </c>
      <c r="BE134" s="167">
        <f t="shared" ref="BE134" si="239">SUM(BE135:BE136)</f>
        <v>44410000</v>
      </c>
      <c r="BF134" s="167">
        <f t="shared" ref="BF134:BG134" si="240">SUM(BF135:BF136)</f>
        <v>4728000</v>
      </c>
      <c r="BG134" s="167">
        <f t="shared" si="240"/>
        <v>0</v>
      </c>
      <c r="BH134" s="167">
        <f t="shared" ref="BH134" si="241">SUM(BH135:BH136)</f>
        <v>0</v>
      </c>
    </row>
    <row r="135" spans="2:60" x14ac:dyDescent="0.25">
      <c r="B135" s="228">
        <v>521111</v>
      </c>
      <c r="C135" s="164" t="s">
        <v>90</v>
      </c>
      <c r="D135" s="164"/>
      <c r="E135" s="164"/>
      <c r="F135" s="165">
        <v>101040000</v>
      </c>
      <c r="G135" s="165">
        <v>101040000</v>
      </c>
      <c r="H135" s="165"/>
      <c r="I135" s="165">
        <f t="shared" ref="I135:I136" si="24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2"/>
        <v>44410000</v>
      </c>
      <c r="AU135" s="168">
        <f t="shared" si="140"/>
        <v>43.952889944576405</v>
      </c>
      <c r="AV135" s="169">
        <f t="shared" si="230"/>
        <v>56630000</v>
      </c>
      <c r="AW135" s="168">
        <f t="shared" si="224"/>
        <v>56.047110055423602</v>
      </c>
      <c r="AX135" s="164" t="s">
        <v>576</v>
      </c>
      <c r="AY135" s="164" t="s">
        <v>560</v>
      </c>
      <c r="AZ135" s="164" t="s">
        <v>3999</v>
      </c>
      <c r="BA135" s="165"/>
      <c r="BB135" s="165"/>
      <c r="BC135" s="240"/>
      <c r="BD135" s="165"/>
      <c r="BE135" s="165">
        <v>44410000</v>
      </c>
      <c r="BF135" s="165"/>
      <c r="BG135" s="165"/>
      <c r="BH135" s="165"/>
    </row>
    <row r="136" spans="2:60" x14ac:dyDescent="0.25">
      <c r="B136" s="228">
        <v>521115</v>
      </c>
      <c r="C136" s="164" t="s">
        <v>104</v>
      </c>
      <c r="D136" s="164"/>
      <c r="E136" s="164"/>
      <c r="F136" s="165">
        <v>58336000</v>
      </c>
      <c r="G136" s="165">
        <v>58336000</v>
      </c>
      <c r="H136" s="165"/>
      <c r="I136" s="165">
        <f t="shared" si="24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c r="AD136" s="165"/>
      <c r="AE136" s="165"/>
      <c r="AF136" s="165"/>
      <c r="AG136" s="165"/>
      <c r="AH136" s="165"/>
      <c r="AI136" s="165"/>
      <c r="AJ136" s="165"/>
      <c r="AK136" s="165"/>
      <c r="AL136" s="165"/>
      <c r="AM136" s="165"/>
      <c r="AN136" s="165"/>
      <c r="AO136" s="165"/>
      <c r="AP136" s="165"/>
      <c r="AQ136" s="165"/>
      <c r="AR136" s="165"/>
      <c r="AS136" s="165"/>
      <c r="AT136" s="165">
        <f t="shared" si="222"/>
        <v>14184000</v>
      </c>
      <c r="AU136" s="168">
        <f t="shared" si="140"/>
        <v>24.314317059791552</v>
      </c>
      <c r="AV136" s="169">
        <f t="shared" si="230"/>
        <v>44152000</v>
      </c>
      <c r="AW136" s="168">
        <f t="shared" ref="AW136:AW189" si="243">AV136/F136*100</f>
        <v>75.685682940208437</v>
      </c>
      <c r="AX136" s="164" t="s">
        <v>576</v>
      </c>
      <c r="AY136" s="164" t="s">
        <v>560</v>
      </c>
      <c r="AZ136" s="164" t="s">
        <v>3999</v>
      </c>
      <c r="BA136" s="165"/>
      <c r="BB136" s="165">
        <v>9456000</v>
      </c>
      <c r="BC136" s="240"/>
      <c r="BD136" s="165"/>
      <c r="BE136" s="165"/>
      <c r="BF136" s="165">
        <v>4728000</v>
      </c>
      <c r="BG136" s="165"/>
      <c r="BH136" s="165"/>
    </row>
    <row r="137" spans="2:60" x14ac:dyDescent="0.25">
      <c r="B137" s="230" t="s">
        <v>3750</v>
      </c>
      <c r="C137" s="166" t="s">
        <v>3751</v>
      </c>
      <c r="D137" s="166"/>
      <c r="E137" s="166"/>
      <c r="F137" s="167">
        <f t="shared" ref="F137:BD137" si="244">SUM(F138:F140)</f>
        <v>100000000</v>
      </c>
      <c r="G137" s="167">
        <f t="shared" ref="G137:H137" si="245">SUM(G138:G140)</f>
        <v>100000000</v>
      </c>
      <c r="H137" s="167">
        <f t="shared" si="245"/>
        <v>100000000</v>
      </c>
      <c r="I137" s="167">
        <f t="shared" ref="I137" si="246">SUM(I138:I140)</f>
        <v>0</v>
      </c>
      <c r="J137" s="167">
        <f t="shared" si="244"/>
        <v>0</v>
      </c>
      <c r="K137" s="167">
        <f t="shared" si="244"/>
        <v>0</v>
      </c>
      <c r="L137" s="167">
        <f t="shared" si="244"/>
        <v>0</v>
      </c>
      <c r="M137" s="167">
        <f t="shared" si="244"/>
        <v>0</v>
      </c>
      <c r="N137" s="167">
        <f t="shared" si="244"/>
        <v>0</v>
      </c>
      <c r="O137" s="167">
        <f t="shared" si="244"/>
        <v>0</v>
      </c>
      <c r="P137" s="167">
        <f t="shared" si="244"/>
        <v>0</v>
      </c>
      <c r="Q137" s="167">
        <f t="shared" si="244"/>
        <v>0</v>
      </c>
      <c r="R137" s="167">
        <f t="shared" si="244"/>
        <v>0</v>
      </c>
      <c r="S137" s="167">
        <f t="shared" si="244"/>
        <v>0</v>
      </c>
      <c r="T137" s="167">
        <f t="shared" si="244"/>
        <v>0</v>
      </c>
      <c r="U137" s="167">
        <f t="shared" si="244"/>
        <v>0</v>
      </c>
      <c r="V137" s="167">
        <f t="shared" si="244"/>
        <v>0</v>
      </c>
      <c r="W137" s="167">
        <f t="shared" si="244"/>
        <v>0</v>
      </c>
      <c r="X137" s="167">
        <f t="shared" si="244"/>
        <v>0</v>
      </c>
      <c r="Y137" s="167">
        <f t="shared" si="244"/>
        <v>0</v>
      </c>
      <c r="Z137" s="167">
        <f t="shared" si="244"/>
        <v>0</v>
      </c>
      <c r="AA137" s="167">
        <f t="shared" si="244"/>
        <v>0</v>
      </c>
      <c r="AB137" s="167">
        <f t="shared" si="244"/>
        <v>0</v>
      </c>
      <c r="AC137" s="167">
        <f t="shared" si="244"/>
        <v>0</v>
      </c>
      <c r="AD137" s="167">
        <f t="shared" si="244"/>
        <v>0</v>
      </c>
      <c r="AE137" s="167">
        <f t="shared" si="244"/>
        <v>0</v>
      </c>
      <c r="AF137" s="167">
        <f t="shared" si="244"/>
        <v>0</v>
      </c>
      <c r="AG137" s="167">
        <f t="shared" si="244"/>
        <v>0</v>
      </c>
      <c r="AH137" s="167">
        <f t="shared" si="244"/>
        <v>0</v>
      </c>
      <c r="AI137" s="167">
        <f t="shared" si="244"/>
        <v>0</v>
      </c>
      <c r="AJ137" s="167">
        <f t="shared" si="244"/>
        <v>0</v>
      </c>
      <c r="AK137" s="167">
        <f t="shared" si="244"/>
        <v>0</v>
      </c>
      <c r="AL137" s="167">
        <f t="shared" si="244"/>
        <v>0</v>
      </c>
      <c r="AM137" s="167">
        <f t="shared" si="244"/>
        <v>0</v>
      </c>
      <c r="AN137" s="167">
        <f t="shared" si="244"/>
        <v>0</v>
      </c>
      <c r="AO137" s="167">
        <f t="shared" si="244"/>
        <v>0</v>
      </c>
      <c r="AP137" s="167">
        <f t="shared" si="244"/>
        <v>0</v>
      </c>
      <c r="AQ137" s="167">
        <f t="shared" si="244"/>
        <v>0</v>
      </c>
      <c r="AR137" s="167">
        <f t="shared" si="244"/>
        <v>0</v>
      </c>
      <c r="AS137" s="167">
        <f t="shared" si="244"/>
        <v>0</v>
      </c>
      <c r="AT137" s="167">
        <f t="shared" si="222"/>
        <v>0</v>
      </c>
      <c r="AU137" s="175">
        <f t="shared" si="140"/>
        <v>0</v>
      </c>
      <c r="AV137" s="176">
        <f t="shared" si="230"/>
        <v>100000000</v>
      </c>
      <c r="AW137" s="175">
        <f>AV137/F137*100</f>
        <v>100</v>
      </c>
      <c r="AX137" s="164" t="s">
        <v>576</v>
      </c>
      <c r="AY137" s="164" t="s">
        <v>560</v>
      </c>
      <c r="AZ137" s="164" t="s">
        <v>3999</v>
      </c>
      <c r="BA137" s="167">
        <f t="shared" si="244"/>
        <v>0</v>
      </c>
      <c r="BB137" s="167">
        <f t="shared" si="244"/>
        <v>0</v>
      </c>
      <c r="BC137" s="167">
        <f t="shared" si="244"/>
        <v>0</v>
      </c>
      <c r="BD137" s="167">
        <f t="shared" si="244"/>
        <v>0</v>
      </c>
      <c r="BE137" s="167">
        <f t="shared" ref="BE137" si="247">SUM(BE138:BE140)</f>
        <v>0</v>
      </c>
      <c r="BF137" s="167">
        <f t="shared" ref="BF137:BG137" si="248">SUM(BF138:BF140)</f>
        <v>0</v>
      </c>
      <c r="BG137" s="167">
        <f t="shared" si="248"/>
        <v>0</v>
      </c>
      <c r="BH137" s="167">
        <f t="shared" ref="BH137" si="249">SUM(BH138:BH140)</f>
        <v>0</v>
      </c>
    </row>
    <row r="138" spans="2:60"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2"/>
        <v>0</v>
      </c>
      <c r="AU138" s="168">
        <f t="shared" si="140"/>
        <v>0</v>
      </c>
      <c r="AV138" s="169">
        <f t="shared" si="230"/>
        <v>45000000</v>
      </c>
      <c r="AW138" s="168">
        <f>AV138/F138*100</f>
        <v>100</v>
      </c>
      <c r="AX138" s="164" t="s">
        <v>576</v>
      </c>
      <c r="AY138" s="164" t="s">
        <v>560</v>
      </c>
      <c r="AZ138" s="164" t="s">
        <v>3999</v>
      </c>
      <c r="BA138" s="165"/>
      <c r="BB138" s="165"/>
      <c r="BC138" s="240"/>
      <c r="BD138" s="165"/>
      <c r="BE138" s="165"/>
      <c r="BF138" s="165"/>
      <c r="BG138" s="165"/>
      <c r="BH138" s="165"/>
    </row>
    <row r="139" spans="2:60"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50">SUM(J139:AS139)</f>
        <v>0</v>
      </c>
      <c r="AU139" s="168">
        <f t="shared" si="140"/>
        <v>0</v>
      </c>
      <c r="AV139" s="169">
        <f t="shared" ref="AV139:AV140" si="251">F139-AT139</f>
        <v>26000000</v>
      </c>
      <c r="AW139" s="168">
        <f t="shared" ref="AW139:AW140" si="252">AV139/F139*100</f>
        <v>100</v>
      </c>
      <c r="AX139" s="164" t="s">
        <v>576</v>
      </c>
      <c r="AY139" s="164" t="s">
        <v>560</v>
      </c>
      <c r="AZ139" s="164" t="s">
        <v>3999</v>
      </c>
      <c r="BA139" s="165"/>
      <c r="BB139" s="165"/>
      <c r="BC139" s="240"/>
      <c r="BD139" s="165"/>
      <c r="BE139" s="165"/>
      <c r="BF139" s="165"/>
      <c r="BG139" s="165"/>
      <c r="BH139" s="165"/>
    </row>
    <row r="140" spans="2:60"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50"/>
        <v>0</v>
      </c>
      <c r="AU140" s="168">
        <f t="shared" si="140"/>
        <v>0</v>
      </c>
      <c r="AV140" s="169">
        <f t="shared" si="251"/>
        <v>29000000</v>
      </c>
      <c r="AW140" s="168">
        <f t="shared" si="252"/>
        <v>100</v>
      </c>
      <c r="AX140" s="164" t="s">
        <v>576</v>
      </c>
      <c r="AY140" s="164" t="s">
        <v>560</v>
      </c>
      <c r="AZ140" s="164" t="s">
        <v>3999</v>
      </c>
      <c r="BA140" s="165"/>
      <c r="BB140" s="165"/>
      <c r="BC140" s="240"/>
      <c r="BD140" s="165"/>
      <c r="BE140" s="165"/>
      <c r="BF140" s="165"/>
      <c r="BG140" s="165"/>
      <c r="BH140" s="165"/>
    </row>
    <row r="141" spans="2:60" x14ac:dyDescent="0.25">
      <c r="B141" s="180" t="s">
        <v>2269</v>
      </c>
      <c r="C141" s="181" t="s">
        <v>2270</v>
      </c>
      <c r="D141" s="181">
        <v>2</v>
      </c>
      <c r="E141" s="181" t="s">
        <v>42</v>
      </c>
      <c r="F141" s="179">
        <f t="shared" ref="F141:X143" si="253">F142</f>
        <v>540000000</v>
      </c>
      <c r="G141" s="179">
        <f t="shared" si="253"/>
        <v>540934000</v>
      </c>
      <c r="H141" s="179">
        <f t="shared" si="253"/>
        <v>0</v>
      </c>
      <c r="I141" s="179">
        <f t="shared" si="253"/>
        <v>934000</v>
      </c>
      <c r="J141" s="179">
        <f t="shared" si="253"/>
        <v>0</v>
      </c>
      <c r="K141" s="179">
        <f t="shared" si="253"/>
        <v>0</v>
      </c>
      <c r="L141" s="179">
        <f t="shared" si="253"/>
        <v>0</v>
      </c>
      <c r="M141" s="179">
        <f t="shared" si="253"/>
        <v>0</v>
      </c>
      <c r="N141" s="179">
        <f t="shared" si="253"/>
        <v>0</v>
      </c>
      <c r="O141" s="179">
        <f t="shared" si="253"/>
        <v>0</v>
      </c>
      <c r="P141" s="179">
        <f t="shared" si="253"/>
        <v>0</v>
      </c>
      <c r="Q141" s="179">
        <f t="shared" si="253"/>
        <v>0</v>
      </c>
      <c r="R141" s="179">
        <f t="shared" si="253"/>
        <v>0</v>
      </c>
      <c r="S141" s="179">
        <f t="shared" si="253"/>
        <v>0</v>
      </c>
      <c r="T141" s="179">
        <f t="shared" si="253"/>
        <v>0</v>
      </c>
      <c r="U141" s="179">
        <f t="shared" si="253"/>
        <v>0</v>
      </c>
      <c r="V141" s="179">
        <f t="shared" si="253"/>
        <v>540000000</v>
      </c>
      <c r="W141" s="179">
        <f t="shared" si="253"/>
        <v>0</v>
      </c>
      <c r="X141" s="179">
        <f t="shared" si="253"/>
        <v>0</v>
      </c>
      <c r="Y141" s="179">
        <f t="shared" ref="Y141:BB141" si="254">Y142</f>
        <v>0</v>
      </c>
      <c r="Z141" s="179">
        <f t="shared" si="254"/>
        <v>0</v>
      </c>
      <c r="AA141" s="179">
        <f t="shared" si="254"/>
        <v>0</v>
      </c>
      <c r="AB141" s="179">
        <f t="shared" si="254"/>
        <v>0</v>
      </c>
      <c r="AC141" s="179">
        <f t="shared" si="254"/>
        <v>0</v>
      </c>
      <c r="AD141" s="179">
        <f t="shared" si="254"/>
        <v>0</v>
      </c>
      <c r="AE141" s="179">
        <f t="shared" si="254"/>
        <v>0</v>
      </c>
      <c r="AF141" s="179">
        <f t="shared" si="254"/>
        <v>0</v>
      </c>
      <c r="AG141" s="179">
        <f t="shared" si="254"/>
        <v>0</v>
      </c>
      <c r="AH141" s="179">
        <f t="shared" si="254"/>
        <v>0</v>
      </c>
      <c r="AI141" s="179">
        <f t="shared" si="254"/>
        <v>0</v>
      </c>
      <c r="AJ141" s="179">
        <f t="shared" si="254"/>
        <v>0</v>
      </c>
      <c r="AK141" s="179">
        <f t="shared" si="254"/>
        <v>0</v>
      </c>
      <c r="AL141" s="179">
        <f t="shared" si="254"/>
        <v>0</v>
      </c>
      <c r="AM141" s="179">
        <f t="shared" si="254"/>
        <v>0</v>
      </c>
      <c r="AN141" s="179">
        <f t="shared" si="254"/>
        <v>0</v>
      </c>
      <c r="AO141" s="179">
        <f t="shared" si="254"/>
        <v>0</v>
      </c>
      <c r="AP141" s="179">
        <f t="shared" si="254"/>
        <v>0</v>
      </c>
      <c r="AQ141" s="179">
        <f t="shared" si="254"/>
        <v>0</v>
      </c>
      <c r="AR141" s="179">
        <f t="shared" si="254"/>
        <v>0</v>
      </c>
      <c r="AS141" s="179">
        <f t="shared" si="254"/>
        <v>0</v>
      </c>
      <c r="AT141" s="179">
        <f t="shared" ref="AT141:AT150" si="255">SUM(J141:AS141)</f>
        <v>540000000</v>
      </c>
      <c r="AU141" s="182">
        <f t="shared" si="140"/>
        <v>100</v>
      </c>
      <c r="AV141" s="183">
        <f>F141-AT141</f>
        <v>0</v>
      </c>
      <c r="AW141" s="182">
        <f>AV141/F141*100</f>
        <v>0</v>
      </c>
      <c r="AX141" s="164" t="s">
        <v>576</v>
      </c>
      <c r="AY141" s="164" t="s">
        <v>560</v>
      </c>
      <c r="AZ141" s="164" t="s">
        <v>3998</v>
      </c>
      <c r="BA141" s="179">
        <f>BA142</f>
        <v>0</v>
      </c>
      <c r="BB141" s="179">
        <f t="shared" si="254"/>
        <v>0</v>
      </c>
      <c r="BC141" s="179">
        <f t="shared" ref="BB141:BH142" si="256">BC142</f>
        <v>0</v>
      </c>
      <c r="BD141" s="179">
        <f t="shared" si="256"/>
        <v>0</v>
      </c>
      <c r="BE141" s="179">
        <f t="shared" si="256"/>
        <v>0</v>
      </c>
      <c r="BF141" s="179">
        <f t="shared" si="256"/>
        <v>0</v>
      </c>
      <c r="BG141" s="179">
        <f t="shared" si="256"/>
        <v>0</v>
      </c>
      <c r="BH141" s="179">
        <f t="shared" si="256"/>
        <v>0</v>
      </c>
    </row>
    <row r="142" spans="2:60" x14ac:dyDescent="0.25">
      <c r="B142" s="170" t="s">
        <v>3779</v>
      </c>
      <c r="C142" s="171" t="s">
        <v>2273</v>
      </c>
      <c r="D142" s="171">
        <v>1</v>
      </c>
      <c r="E142" s="171" t="s">
        <v>42</v>
      </c>
      <c r="F142" s="172">
        <f t="shared" si="253"/>
        <v>540000000</v>
      </c>
      <c r="G142" s="172">
        <f t="shared" si="253"/>
        <v>540934000</v>
      </c>
      <c r="H142" s="172">
        <f t="shared" si="253"/>
        <v>0</v>
      </c>
      <c r="I142" s="172">
        <f t="shared" si="253"/>
        <v>934000</v>
      </c>
      <c r="J142" s="172">
        <f t="shared" ref="J142:AS143" si="257">J143</f>
        <v>0</v>
      </c>
      <c r="K142" s="172">
        <f t="shared" si="257"/>
        <v>0</v>
      </c>
      <c r="L142" s="172">
        <f t="shared" si="257"/>
        <v>0</v>
      </c>
      <c r="M142" s="172">
        <f t="shared" si="257"/>
        <v>0</v>
      </c>
      <c r="N142" s="172">
        <f t="shared" si="257"/>
        <v>0</v>
      </c>
      <c r="O142" s="172">
        <f t="shared" si="257"/>
        <v>0</v>
      </c>
      <c r="P142" s="172">
        <f t="shared" si="257"/>
        <v>0</v>
      </c>
      <c r="Q142" s="172">
        <f t="shared" si="257"/>
        <v>0</v>
      </c>
      <c r="R142" s="172">
        <f t="shared" si="257"/>
        <v>0</v>
      </c>
      <c r="S142" s="172">
        <f t="shared" si="257"/>
        <v>0</v>
      </c>
      <c r="T142" s="172">
        <f t="shared" si="257"/>
        <v>0</v>
      </c>
      <c r="U142" s="172">
        <f t="shared" si="257"/>
        <v>0</v>
      </c>
      <c r="V142" s="172">
        <f t="shared" si="257"/>
        <v>540000000</v>
      </c>
      <c r="W142" s="172">
        <f t="shared" si="257"/>
        <v>0</v>
      </c>
      <c r="X142" s="172">
        <f t="shared" si="257"/>
        <v>0</v>
      </c>
      <c r="Y142" s="172">
        <f t="shared" si="257"/>
        <v>0</v>
      </c>
      <c r="Z142" s="172">
        <f t="shared" si="257"/>
        <v>0</v>
      </c>
      <c r="AA142" s="172">
        <f t="shared" si="257"/>
        <v>0</v>
      </c>
      <c r="AB142" s="172">
        <f t="shared" si="257"/>
        <v>0</v>
      </c>
      <c r="AC142" s="172">
        <f t="shared" si="257"/>
        <v>0</v>
      </c>
      <c r="AD142" s="172">
        <f t="shared" si="257"/>
        <v>0</v>
      </c>
      <c r="AE142" s="172">
        <f t="shared" si="257"/>
        <v>0</v>
      </c>
      <c r="AF142" s="172">
        <f t="shared" si="257"/>
        <v>0</v>
      </c>
      <c r="AG142" s="172">
        <f t="shared" si="257"/>
        <v>0</v>
      </c>
      <c r="AH142" s="172">
        <f t="shared" si="257"/>
        <v>0</v>
      </c>
      <c r="AI142" s="172">
        <f t="shared" si="257"/>
        <v>0</v>
      </c>
      <c r="AJ142" s="172">
        <f t="shared" si="257"/>
        <v>0</v>
      </c>
      <c r="AK142" s="172">
        <f t="shared" si="257"/>
        <v>0</v>
      </c>
      <c r="AL142" s="172">
        <f t="shared" si="257"/>
        <v>0</v>
      </c>
      <c r="AM142" s="172">
        <f t="shared" si="257"/>
        <v>0</v>
      </c>
      <c r="AN142" s="172">
        <f t="shared" si="257"/>
        <v>0</v>
      </c>
      <c r="AO142" s="172">
        <f t="shared" si="257"/>
        <v>0</v>
      </c>
      <c r="AP142" s="172">
        <f t="shared" si="257"/>
        <v>0</v>
      </c>
      <c r="AQ142" s="172">
        <f t="shared" si="257"/>
        <v>0</v>
      </c>
      <c r="AR142" s="172">
        <f t="shared" si="257"/>
        <v>0</v>
      </c>
      <c r="AS142" s="172">
        <f t="shared" si="257"/>
        <v>0</v>
      </c>
      <c r="AT142" s="172">
        <f t="shared" si="255"/>
        <v>540000000</v>
      </c>
      <c r="AU142" s="173">
        <f t="shared" si="140"/>
        <v>100</v>
      </c>
      <c r="AV142" s="174">
        <f t="shared" ref="AV142" si="258">F142-AT142</f>
        <v>0</v>
      </c>
      <c r="AW142" s="173">
        <f t="shared" ref="AW142" si="259">AV142/F142*100</f>
        <v>0</v>
      </c>
      <c r="AX142" s="164" t="s">
        <v>576</v>
      </c>
      <c r="AY142" s="164" t="s">
        <v>560</v>
      </c>
      <c r="AZ142" s="164" t="s">
        <v>3998</v>
      </c>
      <c r="BA142" s="172">
        <f>BA143</f>
        <v>0</v>
      </c>
      <c r="BB142" s="172">
        <f t="shared" si="256"/>
        <v>0</v>
      </c>
      <c r="BC142" s="172">
        <f t="shared" si="256"/>
        <v>0</v>
      </c>
      <c r="BD142" s="172">
        <f t="shared" si="256"/>
        <v>0</v>
      </c>
      <c r="BE142" s="172">
        <f t="shared" si="256"/>
        <v>0</v>
      </c>
      <c r="BF142" s="172">
        <f t="shared" si="256"/>
        <v>0</v>
      </c>
      <c r="BG142" s="172">
        <f t="shared" si="256"/>
        <v>0</v>
      </c>
      <c r="BH142" s="172">
        <f t="shared" si="256"/>
        <v>0</v>
      </c>
    </row>
    <row r="143" spans="2:60" x14ac:dyDescent="0.25">
      <c r="B143" s="170">
        <v>301</v>
      </c>
      <c r="C143" s="171" t="s">
        <v>2290</v>
      </c>
      <c r="D143" s="171"/>
      <c r="E143" s="171"/>
      <c r="F143" s="172">
        <f t="shared" si="253"/>
        <v>540000000</v>
      </c>
      <c r="G143" s="172">
        <f t="shared" si="253"/>
        <v>540934000</v>
      </c>
      <c r="H143" s="172">
        <f t="shared" si="253"/>
        <v>0</v>
      </c>
      <c r="I143" s="172">
        <f t="shared" si="253"/>
        <v>934000</v>
      </c>
      <c r="J143" s="172">
        <f t="shared" si="257"/>
        <v>0</v>
      </c>
      <c r="K143" s="172">
        <f t="shared" ref="K143:BH143" si="260">K144</f>
        <v>0</v>
      </c>
      <c r="L143" s="172">
        <f t="shared" si="260"/>
        <v>0</v>
      </c>
      <c r="M143" s="172">
        <f t="shared" si="260"/>
        <v>0</v>
      </c>
      <c r="N143" s="172">
        <f t="shared" si="260"/>
        <v>0</v>
      </c>
      <c r="O143" s="172">
        <f t="shared" si="260"/>
        <v>0</v>
      </c>
      <c r="P143" s="172">
        <f t="shared" si="260"/>
        <v>0</v>
      </c>
      <c r="Q143" s="172">
        <f t="shared" si="260"/>
        <v>0</v>
      </c>
      <c r="R143" s="172">
        <f t="shared" si="260"/>
        <v>0</v>
      </c>
      <c r="S143" s="172">
        <f t="shared" si="260"/>
        <v>0</v>
      </c>
      <c r="T143" s="172">
        <f t="shared" si="260"/>
        <v>0</v>
      </c>
      <c r="U143" s="172">
        <f t="shared" si="260"/>
        <v>0</v>
      </c>
      <c r="V143" s="172">
        <f t="shared" si="260"/>
        <v>540000000</v>
      </c>
      <c r="W143" s="172">
        <f t="shared" si="260"/>
        <v>0</v>
      </c>
      <c r="X143" s="172">
        <f t="shared" si="260"/>
        <v>0</v>
      </c>
      <c r="Y143" s="172">
        <f t="shared" si="260"/>
        <v>0</v>
      </c>
      <c r="Z143" s="172">
        <f t="shared" si="260"/>
        <v>0</v>
      </c>
      <c r="AA143" s="172">
        <f t="shared" si="260"/>
        <v>0</v>
      </c>
      <c r="AB143" s="172">
        <f t="shared" si="260"/>
        <v>0</v>
      </c>
      <c r="AC143" s="172">
        <f t="shared" si="260"/>
        <v>0</v>
      </c>
      <c r="AD143" s="172">
        <f t="shared" si="260"/>
        <v>0</v>
      </c>
      <c r="AE143" s="172">
        <f t="shared" si="260"/>
        <v>0</v>
      </c>
      <c r="AF143" s="172">
        <f t="shared" si="260"/>
        <v>0</v>
      </c>
      <c r="AG143" s="172">
        <f t="shared" si="260"/>
        <v>0</v>
      </c>
      <c r="AH143" s="172">
        <f t="shared" si="260"/>
        <v>0</v>
      </c>
      <c r="AI143" s="172">
        <f t="shared" si="260"/>
        <v>0</v>
      </c>
      <c r="AJ143" s="172">
        <f t="shared" si="260"/>
        <v>0</v>
      </c>
      <c r="AK143" s="172">
        <f t="shared" si="260"/>
        <v>0</v>
      </c>
      <c r="AL143" s="172">
        <f t="shared" si="260"/>
        <v>0</v>
      </c>
      <c r="AM143" s="172">
        <f t="shared" si="260"/>
        <v>0</v>
      </c>
      <c r="AN143" s="172">
        <f t="shared" si="260"/>
        <v>0</v>
      </c>
      <c r="AO143" s="172">
        <f t="shared" si="260"/>
        <v>0</v>
      </c>
      <c r="AP143" s="172">
        <f t="shared" si="260"/>
        <v>0</v>
      </c>
      <c r="AQ143" s="172">
        <f t="shared" si="260"/>
        <v>0</v>
      </c>
      <c r="AR143" s="172">
        <f t="shared" si="260"/>
        <v>0</v>
      </c>
      <c r="AS143" s="172">
        <f t="shared" si="260"/>
        <v>0</v>
      </c>
      <c r="AT143" s="172">
        <f t="shared" si="255"/>
        <v>540000000</v>
      </c>
      <c r="AU143" s="173">
        <f t="shared" ref="AU143:AU206" si="261">IFERROR(AT143/F143*100,0)</f>
        <v>100</v>
      </c>
      <c r="AV143" s="174">
        <f t="shared" ref="AV143" si="262">F143-AT143</f>
        <v>0</v>
      </c>
      <c r="AW143" s="173">
        <f t="shared" ref="AW143" si="263">AV143/F143*100</f>
        <v>0</v>
      </c>
      <c r="AX143" s="164" t="s">
        <v>576</v>
      </c>
      <c r="AY143" s="164" t="s">
        <v>560</v>
      </c>
      <c r="AZ143" s="164" t="s">
        <v>3998</v>
      </c>
      <c r="BA143" s="172">
        <f>BA144</f>
        <v>0</v>
      </c>
      <c r="BB143" s="172">
        <f t="shared" si="260"/>
        <v>0</v>
      </c>
      <c r="BC143" s="172">
        <f t="shared" si="260"/>
        <v>0</v>
      </c>
      <c r="BD143" s="172">
        <f t="shared" si="260"/>
        <v>0</v>
      </c>
      <c r="BE143" s="172">
        <f t="shared" si="260"/>
        <v>0</v>
      </c>
      <c r="BF143" s="172">
        <f t="shared" si="260"/>
        <v>0</v>
      </c>
      <c r="BG143" s="172">
        <f t="shared" si="260"/>
        <v>0</v>
      </c>
      <c r="BH143" s="172">
        <f t="shared" si="260"/>
        <v>0</v>
      </c>
    </row>
    <row r="144" spans="2:60" x14ac:dyDescent="0.25">
      <c r="B144" s="230" t="s">
        <v>8</v>
      </c>
      <c r="C144" s="166" t="s">
        <v>2292</v>
      </c>
      <c r="D144" s="166"/>
      <c r="E144" s="166"/>
      <c r="F144" s="167">
        <f t="shared" ref="F144:BA144" si="264">SUM(F145)</f>
        <v>540000000</v>
      </c>
      <c r="G144" s="167">
        <f t="shared" si="264"/>
        <v>540934000</v>
      </c>
      <c r="H144" s="167">
        <f t="shared" si="264"/>
        <v>0</v>
      </c>
      <c r="I144" s="167">
        <f t="shared" si="264"/>
        <v>934000</v>
      </c>
      <c r="J144" s="167">
        <f t="shared" si="264"/>
        <v>0</v>
      </c>
      <c r="K144" s="167">
        <f t="shared" si="264"/>
        <v>0</v>
      </c>
      <c r="L144" s="167">
        <f t="shared" si="264"/>
        <v>0</v>
      </c>
      <c r="M144" s="167">
        <f t="shared" si="264"/>
        <v>0</v>
      </c>
      <c r="N144" s="167">
        <f t="shared" si="264"/>
        <v>0</v>
      </c>
      <c r="O144" s="167">
        <f t="shared" si="264"/>
        <v>0</v>
      </c>
      <c r="P144" s="167">
        <f t="shared" si="264"/>
        <v>0</v>
      </c>
      <c r="Q144" s="167">
        <f t="shared" si="264"/>
        <v>0</v>
      </c>
      <c r="R144" s="167">
        <f t="shared" si="264"/>
        <v>0</v>
      </c>
      <c r="S144" s="167">
        <f t="shared" si="264"/>
        <v>0</v>
      </c>
      <c r="T144" s="167">
        <f t="shared" si="264"/>
        <v>0</v>
      </c>
      <c r="U144" s="167">
        <f t="shared" si="264"/>
        <v>0</v>
      </c>
      <c r="V144" s="167">
        <f t="shared" si="264"/>
        <v>540000000</v>
      </c>
      <c r="W144" s="167">
        <f t="shared" si="264"/>
        <v>0</v>
      </c>
      <c r="X144" s="167">
        <f t="shared" si="264"/>
        <v>0</v>
      </c>
      <c r="Y144" s="167">
        <f t="shared" si="264"/>
        <v>0</v>
      </c>
      <c r="Z144" s="167">
        <f t="shared" si="264"/>
        <v>0</v>
      </c>
      <c r="AA144" s="167">
        <f t="shared" si="264"/>
        <v>0</v>
      </c>
      <c r="AB144" s="167">
        <f t="shared" si="264"/>
        <v>0</v>
      </c>
      <c r="AC144" s="167">
        <f t="shared" si="264"/>
        <v>0</v>
      </c>
      <c r="AD144" s="167">
        <f t="shared" si="264"/>
        <v>0</v>
      </c>
      <c r="AE144" s="167">
        <f t="shared" si="264"/>
        <v>0</v>
      </c>
      <c r="AF144" s="167">
        <f t="shared" si="264"/>
        <v>0</v>
      </c>
      <c r="AG144" s="167">
        <f t="shared" si="264"/>
        <v>0</v>
      </c>
      <c r="AH144" s="167">
        <f t="shared" si="264"/>
        <v>0</v>
      </c>
      <c r="AI144" s="167">
        <f t="shared" si="264"/>
        <v>0</v>
      </c>
      <c r="AJ144" s="167">
        <f t="shared" si="264"/>
        <v>0</v>
      </c>
      <c r="AK144" s="167">
        <f t="shared" si="264"/>
        <v>0</v>
      </c>
      <c r="AL144" s="167">
        <f t="shared" si="264"/>
        <v>0</v>
      </c>
      <c r="AM144" s="167">
        <f t="shared" si="264"/>
        <v>0</v>
      </c>
      <c r="AN144" s="167">
        <f t="shared" si="264"/>
        <v>0</v>
      </c>
      <c r="AO144" s="167">
        <f t="shared" si="264"/>
        <v>0</v>
      </c>
      <c r="AP144" s="167">
        <f t="shared" si="264"/>
        <v>0</v>
      </c>
      <c r="AQ144" s="167">
        <f t="shared" si="264"/>
        <v>0</v>
      </c>
      <c r="AR144" s="167">
        <f t="shared" si="264"/>
        <v>0</v>
      </c>
      <c r="AS144" s="167">
        <f t="shared" si="264"/>
        <v>0</v>
      </c>
      <c r="AT144" s="167">
        <f>SUM(J144:AS144)</f>
        <v>540000000</v>
      </c>
      <c r="AU144" s="175">
        <f t="shared" si="261"/>
        <v>100</v>
      </c>
      <c r="AV144" s="176">
        <f>F144-AT144</f>
        <v>0</v>
      </c>
      <c r="AW144" s="175">
        <f>AV144/F144*100</f>
        <v>0</v>
      </c>
      <c r="AX144" s="164" t="s">
        <v>576</v>
      </c>
      <c r="AY144" s="164" t="s">
        <v>560</v>
      </c>
      <c r="AZ144" s="164" t="s">
        <v>3998</v>
      </c>
      <c r="BA144" s="167">
        <f t="shared" si="264"/>
        <v>0</v>
      </c>
      <c r="BB144" s="167">
        <f>SUM(BB145)</f>
        <v>0</v>
      </c>
      <c r="BC144" s="167">
        <f>SUM(BC145)</f>
        <v>0</v>
      </c>
      <c r="BD144" s="167">
        <f t="shared" ref="BD144:BH144" si="265">SUM(BD145)</f>
        <v>0</v>
      </c>
      <c r="BE144" s="167">
        <f t="shared" si="265"/>
        <v>0</v>
      </c>
      <c r="BF144" s="167">
        <f t="shared" si="265"/>
        <v>0</v>
      </c>
      <c r="BG144" s="167">
        <f t="shared" si="265"/>
        <v>0</v>
      </c>
      <c r="BH144" s="167">
        <f t="shared" si="265"/>
        <v>0</v>
      </c>
    </row>
    <row r="145" spans="2:60" x14ac:dyDescent="0.25">
      <c r="B145" s="228">
        <v>532111</v>
      </c>
      <c r="C145" s="164" t="s">
        <v>43</v>
      </c>
      <c r="D145" s="164"/>
      <c r="E145" s="164"/>
      <c r="F145" s="165">
        <v>540000000</v>
      </c>
      <c r="G145" s="165">
        <v>540934000</v>
      </c>
      <c r="H145" s="165"/>
      <c r="I145" s="165">
        <f t="shared" ref="I145" si="26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55"/>
        <v>540000000</v>
      </c>
      <c r="AU145" s="168">
        <f t="shared" si="261"/>
        <v>100</v>
      </c>
      <c r="AV145" s="169">
        <f>F145-AT145</f>
        <v>0</v>
      </c>
      <c r="AW145" s="168">
        <f>AV145/F145*100</f>
        <v>0</v>
      </c>
      <c r="AX145" s="164" t="s">
        <v>576</v>
      </c>
      <c r="AY145" s="164" t="s">
        <v>560</v>
      </c>
      <c r="AZ145" s="164" t="s">
        <v>3998</v>
      </c>
      <c r="BA145" s="165"/>
      <c r="BB145" s="165"/>
      <c r="BC145" s="165"/>
      <c r="BD145" s="165"/>
      <c r="BE145" s="165"/>
      <c r="BF145" s="165"/>
      <c r="BG145" s="165"/>
      <c r="BH145" s="165"/>
    </row>
    <row r="146" spans="2:60"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67">J147+J165+J182</f>
        <v>0</v>
      </c>
      <c r="K146" s="179">
        <f t="shared" ref="K146:BA146" si="268">K147+K165+K182</f>
        <v>0</v>
      </c>
      <c r="L146" s="179">
        <f t="shared" si="268"/>
        <v>0</v>
      </c>
      <c r="M146" s="179">
        <f t="shared" si="268"/>
        <v>10597800</v>
      </c>
      <c r="N146" s="179">
        <f t="shared" si="268"/>
        <v>0</v>
      </c>
      <c r="O146" s="179">
        <f t="shared" si="268"/>
        <v>0</v>
      </c>
      <c r="P146" s="179">
        <f t="shared" si="268"/>
        <v>0</v>
      </c>
      <c r="Q146" s="179">
        <f t="shared" si="268"/>
        <v>30344500</v>
      </c>
      <c r="R146" s="179">
        <f t="shared" si="268"/>
        <v>93601693</v>
      </c>
      <c r="S146" s="179">
        <f t="shared" si="268"/>
        <v>22589500</v>
      </c>
      <c r="T146" s="179">
        <f t="shared" si="268"/>
        <v>19929200</v>
      </c>
      <c r="U146" s="179">
        <f t="shared" si="268"/>
        <v>0</v>
      </c>
      <c r="V146" s="179">
        <f t="shared" si="268"/>
        <v>9172500</v>
      </c>
      <c r="W146" s="179">
        <f t="shared" si="268"/>
        <v>20182883</v>
      </c>
      <c r="X146" s="179">
        <f t="shared" si="268"/>
        <v>82150655</v>
      </c>
      <c r="Y146" s="179">
        <f t="shared" si="268"/>
        <v>61042631</v>
      </c>
      <c r="Z146" s="179">
        <f t="shared" si="268"/>
        <v>0</v>
      </c>
      <c r="AA146" s="179">
        <f t="shared" si="268"/>
        <v>4670000</v>
      </c>
      <c r="AB146" s="179">
        <f t="shared" si="268"/>
        <v>0</v>
      </c>
      <c r="AC146" s="179">
        <f t="shared" si="268"/>
        <v>0</v>
      </c>
      <c r="AD146" s="179">
        <f t="shared" si="268"/>
        <v>0</v>
      </c>
      <c r="AE146" s="179">
        <f t="shared" si="268"/>
        <v>0</v>
      </c>
      <c r="AF146" s="179">
        <f t="shared" si="268"/>
        <v>0</v>
      </c>
      <c r="AG146" s="179">
        <f t="shared" si="268"/>
        <v>0</v>
      </c>
      <c r="AH146" s="179">
        <f t="shared" si="268"/>
        <v>0</v>
      </c>
      <c r="AI146" s="179">
        <f t="shared" si="268"/>
        <v>0</v>
      </c>
      <c r="AJ146" s="179">
        <f t="shared" si="268"/>
        <v>0</v>
      </c>
      <c r="AK146" s="179">
        <f t="shared" si="268"/>
        <v>0</v>
      </c>
      <c r="AL146" s="179">
        <f t="shared" si="268"/>
        <v>0</v>
      </c>
      <c r="AM146" s="179">
        <f t="shared" si="268"/>
        <v>0</v>
      </c>
      <c r="AN146" s="179">
        <f t="shared" si="268"/>
        <v>0</v>
      </c>
      <c r="AO146" s="179">
        <f t="shared" si="268"/>
        <v>0</v>
      </c>
      <c r="AP146" s="179">
        <f t="shared" si="268"/>
        <v>0</v>
      </c>
      <c r="AQ146" s="179">
        <f t="shared" si="268"/>
        <v>0</v>
      </c>
      <c r="AR146" s="179">
        <f t="shared" si="268"/>
        <v>0</v>
      </c>
      <c r="AS146" s="179">
        <f t="shared" si="268"/>
        <v>0</v>
      </c>
      <c r="AT146" s="179">
        <f t="shared" si="255"/>
        <v>354281362</v>
      </c>
      <c r="AU146" s="182">
        <f t="shared" si="261"/>
        <v>64.61568914260701</v>
      </c>
      <c r="AV146" s="183">
        <f>F146-AT146</f>
        <v>194008638</v>
      </c>
      <c r="AW146" s="182">
        <f>AV146/F146*100</f>
        <v>35.38431085739299</v>
      </c>
      <c r="AX146" s="164"/>
      <c r="AY146" s="164"/>
      <c r="AZ146" s="164" t="s">
        <v>3921</v>
      </c>
      <c r="BA146" s="179">
        <f t="shared" si="268"/>
        <v>0</v>
      </c>
      <c r="BB146" s="179">
        <f t="shared" ref="BB146:BC146" si="269">BB147+BB165+BB182</f>
        <v>93601693</v>
      </c>
      <c r="BC146" s="179">
        <f t="shared" si="269"/>
        <v>30344500</v>
      </c>
      <c r="BD146" s="179">
        <f t="shared" ref="BD146" si="270">BD147+BD165+BD182</f>
        <v>19929200</v>
      </c>
      <c r="BE146" s="179">
        <f t="shared" ref="BE146" si="271">BE147+BE165+BE182</f>
        <v>10000000</v>
      </c>
      <c r="BF146" s="179">
        <f t="shared" ref="BF146:BG146" si="272">BF147+BF165+BF182</f>
        <v>10182883</v>
      </c>
      <c r="BG146" s="179">
        <f t="shared" si="272"/>
        <v>82150655</v>
      </c>
      <c r="BH146" s="179">
        <f t="shared" ref="BH146" si="273">BH147+BH165+BH182</f>
        <v>4670000</v>
      </c>
    </row>
    <row r="147" spans="2:60" x14ac:dyDescent="0.25">
      <c r="B147" s="170" t="s">
        <v>3783</v>
      </c>
      <c r="C147" s="171" t="s">
        <v>2470</v>
      </c>
      <c r="D147" s="171">
        <v>1</v>
      </c>
      <c r="E147" s="171" t="s">
        <v>3782</v>
      </c>
      <c r="F147" s="172">
        <f>F148</f>
        <v>180572000</v>
      </c>
      <c r="G147" s="172">
        <f>G148</f>
        <v>615138000</v>
      </c>
      <c r="H147" s="172">
        <f>H148</f>
        <v>0</v>
      </c>
      <c r="I147" s="172">
        <f>I148</f>
        <v>434566000</v>
      </c>
      <c r="J147" s="172">
        <f t="shared" ref="J147:BH147" si="274">J148</f>
        <v>0</v>
      </c>
      <c r="K147" s="172">
        <f t="shared" si="274"/>
        <v>0</v>
      </c>
      <c r="L147" s="172">
        <f t="shared" si="274"/>
        <v>0</v>
      </c>
      <c r="M147" s="172">
        <f t="shared" si="274"/>
        <v>10597800</v>
      </c>
      <c r="N147" s="172">
        <f t="shared" si="274"/>
        <v>0</v>
      </c>
      <c r="O147" s="172">
        <f t="shared" si="274"/>
        <v>0</v>
      </c>
      <c r="P147" s="172">
        <f t="shared" si="274"/>
        <v>0</v>
      </c>
      <c r="Q147" s="172">
        <f t="shared" si="274"/>
        <v>7845000</v>
      </c>
      <c r="R147" s="172">
        <f t="shared" si="274"/>
        <v>37430665</v>
      </c>
      <c r="S147" s="172">
        <f t="shared" si="274"/>
        <v>6535000</v>
      </c>
      <c r="T147" s="172">
        <f t="shared" si="274"/>
        <v>0</v>
      </c>
      <c r="U147" s="172">
        <f t="shared" si="274"/>
        <v>0</v>
      </c>
      <c r="V147" s="172">
        <f t="shared" si="274"/>
        <v>9172500</v>
      </c>
      <c r="W147" s="172">
        <f t="shared" si="274"/>
        <v>0</v>
      </c>
      <c r="X147" s="172">
        <f t="shared" si="274"/>
        <v>19898480</v>
      </c>
      <c r="Y147" s="172">
        <f t="shared" si="274"/>
        <v>20457100</v>
      </c>
      <c r="Z147" s="172">
        <f t="shared" si="274"/>
        <v>0</v>
      </c>
      <c r="AA147" s="172">
        <f t="shared" si="274"/>
        <v>0</v>
      </c>
      <c r="AB147" s="172">
        <f t="shared" si="274"/>
        <v>0</v>
      </c>
      <c r="AC147" s="172">
        <f t="shared" si="274"/>
        <v>0</v>
      </c>
      <c r="AD147" s="172">
        <f t="shared" si="274"/>
        <v>0</v>
      </c>
      <c r="AE147" s="172">
        <f t="shared" si="274"/>
        <v>0</v>
      </c>
      <c r="AF147" s="172">
        <f t="shared" si="274"/>
        <v>0</v>
      </c>
      <c r="AG147" s="172">
        <f t="shared" si="274"/>
        <v>0</v>
      </c>
      <c r="AH147" s="172">
        <f t="shared" si="274"/>
        <v>0</v>
      </c>
      <c r="AI147" s="172">
        <f t="shared" si="274"/>
        <v>0</v>
      </c>
      <c r="AJ147" s="172">
        <f t="shared" si="274"/>
        <v>0</v>
      </c>
      <c r="AK147" s="172">
        <f t="shared" si="274"/>
        <v>0</v>
      </c>
      <c r="AL147" s="172">
        <f t="shared" si="274"/>
        <v>0</v>
      </c>
      <c r="AM147" s="172">
        <f t="shared" si="274"/>
        <v>0</v>
      </c>
      <c r="AN147" s="172">
        <f t="shared" si="274"/>
        <v>0</v>
      </c>
      <c r="AO147" s="172">
        <f t="shared" si="274"/>
        <v>0</v>
      </c>
      <c r="AP147" s="172">
        <f t="shared" si="274"/>
        <v>0</v>
      </c>
      <c r="AQ147" s="172">
        <f t="shared" si="274"/>
        <v>0</v>
      </c>
      <c r="AR147" s="172">
        <f t="shared" si="274"/>
        <v>0</v>
      </c>
      <c r="AS147" s="172">
        <f t="shared" si="274"/>
        <v>0</v>
      </c>
      <c r="AT147" s="172">
        <f t="shared" si="255"/>
        <v>111936545</v>
      </c>
      <c r="AU147" s="173">
        <f t="shared" si="261"/>
        <v>61.98997906652194</v>
      </c>
      <c r="AV147" s="174">
        <f t="shared" ref="AV147:AV148" si="275">F147-AT147</f>
        <v>68635455</v>
      </c>
      <c r="AW147" s="173">
        <f t="shared" ref="AW147:AW148" si="276">AV147/F147*100</f>
        <v>38.010020933478053</v>
      </c>
      <c r="AX147" s="164" t="s">
        <v>542</v>
      </c>
      <c r="AY147" s="164" t="s">
        <v>543</v>
      </c>
      <c r="AZ147" s="164" t="s">
        <v>3921</v>
      </c>
      <c r="BA147" s="172">
        <f t="shared" si="274"/>
        <v>0</v>
      </c>
      <c r="BB147" s="172">
        <f t="shared" si="274"/>
        <v>37430665</v>
      </c>
      <c r="BC147" s="172">
        <f t="shared" si="274"/>
        <v>7845000</v>
      </c>
      <c r="BD147" s="172">
        <f t="shared" si="274"/>
        <v>0</v>
      </c>
      <c r="BE147" s="172">
        <f t="shared" si="274"/>
        <v>0</v>
      </c>
      <c r="BF147" s="172">
        <f t="shared" si="274"/>
        <v>0</v>
      </c>
      <c r="BG147" s="172">
        <f t="shared" si="274"/>
        <v>19898480</v>
      </c>
      <c r="BH147" s="172">
        <f t="shared" si="274"/>
        <v>0</v>
      </c>
    </row>
    <row r="148" spans="2:60"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77">J149+J154+J160</f>
        <v>0</v>
      </c>
      <c r="K148" s="172">
        <f t="shared" ref="K148:BA148" si="278">K149+K154+K160</f>
        <v>0</v>
      </c>
      <c r="L148" s="172">
        <f t="shared" si="278"/>
        <v>0</v>
      </c>
      <c r="M148" s="172">
        <f t="shared" si="278"/>
        <v>10597800</v>
      </c>
      <c r="N148" s="172">
        <f t="shared" si="278"/>
        <v>0</v>
      </c>
      <c r="O148" s="172">
        <f t="shared" si="278"/>
        <v>0</v>
      </c>
      <c r="P148" s="172">
        <f t="shared" si="278"/>
        <v>0</v>
      </c>
      <c r="Q148" s="172">
        <f t="shared" si="278"/>
        <v>7845000</v>
      </c>
      <c r="R148" s="172">
        <f t="shared" si="278"/>
        <v>37430665</v>
      </c>
      <c r="S148" s="172">
        <f t="shared" si="278"/>
        <v>6535000</v>
      </c>
      <c r="T148" s="172">
        <f t="shared" si="278"/>
        <v>0</v>
      </c>
      <c r="U148" s="172">
        <f t="shared" si="278"/>
        <v>0</v>
      </c>
      <c r="V148" s="172">
        <f t="shared" si="278"/>
        <v>9172500</v>
      </c>
      <c r="W148" s="172">
        <f t="shared" si="278"/>
        <v>0</v>
      </c>
      <c r="X148" s="172">
        <f t="shared" si="278"/>
        <v>19898480</v>
      </c>
      <c r="Y148" s="172">
        <f t="shared" si="278"/>
        <v>20457100</v>
      </c>
      <c r="Z148" s="172">
        <f t="shared" si="278"/>
        <v>0</v>
      </c>
      <c r="AA148" s="172">
        <f t="shared" si="278"/>
        <v>0</v>
      </c>
      <c r="AB148" s="172">
        <f t="shared" si="278"/>
        <v>0</v>
      </c>
      <c r="AC148" s="172">
        <f t="shared" si="278"/>
        <v>0</v>
      </c>
      <c r="AD148" s="172">
        <f t="shared" si="278"/>
        <v>0</v>
      </c>
      <c r="AE148" s="172">
        <f t="shared" si="278"/>
        <v>0</v>
      </c>
      <c r="AF148" s="172">
        <f t="shared" si="278"/>
        <v>0</v>
      </c>
      <c r="AG148" s="172">
        <f t="shared" si="278"/>
        <v>0</v>
      </c>
      <c r="AH148" s="172">
        <f t="shared" si="278"/>
        <v>0</v>
      </c>
      <c r="AI148" s="172">
        <f t="shared" si="278"/>
        <v>0</v>
      </c>
      <c r="AJ148" s="172">
        <f t="shared" si="278"/>
        <v>0</v>
      </c>
      <c r="AK148" s="172">
        <f t="shared" si="278"/>
        <v>0</v>
      </c>
      <c r="AL148" s="172">
        <f t="shared" si="278"/>
        <v>0</v>
      </c>
      <c r="AM148" s="172">
        <f t="shared" si="278"/>
        <v>0</v>
      </c>
      <c r="AN148" s="172">
        <f t="shared" si="278"/>
        <v>0</v>
      </c>
      <c r="AO148" s="172">
        <f t="shared" si="278"/>
        <v>0</v>
      </c>
      <c r="AP148" s="172">
        <f t="shared" si="278"/>
        <v>0</v>
      </c>
      <c r="AQ148" s="172">
        <f t="shared" si="278"/>
        <v>0</v>
      </c>
      <c r="AR148" s="172">
        <f t="shared" si="278"/>
        <v>0</v>
      </c>
      <c r="AS148" s="172">
        <f t="shared" si="278"/>
        <v>0</v>
      </c>
      <c r="AT148" s="172">
        <f t="shared" si="255"/>
        <v>111936545</v>
      </c>
      <c r="AU148" s="173">
        <f t="shared" si="261"/>
        <v>61.98997906652194</v>
      </c>
      <c r="AV148" s="174">
        <f t="shared" si="275"/>
        <v>68635455</v>
      </c>
      <c r="AW148" s="173">
        <f t="shared" si="276"/>
        <v>38.010020933478053</v>
      </c>
      <c r="AX148" s="164" t="s">
        <v>542</v>
      </c>
      <c r="AY148" s="164" t="s">
        <v>543</v>
      </c>
      <c r="AZ148" s="164" t="s">
        <v>3921</v>
      </c>
      <c r="BA148" s="172">
        <f t="shared" si="278"/>
        <v>0</v>
      </c>
      <c r="BB148" s="172">
        <f t="shared" ref="BB148:BC148" si="279">BB149+BB154+BB160</f>
        <v>37430665</v>
      </c>
      <c r="BC148" s="172">
        <f t="shared" si="279"/>
        <v>7845000</v>
      </c>
      <c r="BD148" s="172">
        <f t="shared" ref="BD148" si="280">BD149+BD154+BD160</f>
        <v>0</v>
      </c>
      <c r="BE148" s="172">
        <f t="shared" ref="BE148" si="281">BE149+BE154+BE160</f>
        <v>0</v>
      </c>
      <c r="BF148" s="172">
        <f t="shared" ref="BF148:BG148" si="282">BF149+BF154+BF160</f>
        <v>0</v>
      </c>
      <c r="BG148" s="172">
        <f t="shared" si="282"/>
        <v>19898480</v>
      </c>
      <c r="BH148" s="172">
        <f t="shared" ref="BH148" si="283">BH149+BH154+BH160</f>
        <v>0</v>
      </c>
    </row>
    <row r="149" spans="2:60" x14ac:dyDescent="0.25">
      <c r="B149" s="230" t="s">
        <v>8</v>
      </c>
      <c r="C149" s="166" t="s">
        <v>129</v>
      </c>
      <c r="D149" s="166"/>
      <c r="E149" s="166"/>
      <c r="F149" s="167">
        <f>SUM(F150:F153)</f>
        <v>22164000</v>
      </c>
      <c r="G149" s="167">
        <f>SUM(G150:G153)</f>
        <v>101050000</v>
      </c>
      <c r="H149" s="167">
        <f>SUM(H150:H153)</f>
        <v>0</v>
      </c>
      <c r="I149" s="167">
        <f>SUM(I150:I153)</f>
        <v>78886000</v>
      </c>
      <c r="J149" s="167">
        <f t="shared" ref="J149" si="284">SUM(J150:J153)</f>
        <v>0</v>
      </c>
      <c r="K149" s="167">
        <f t="shared" ref="K149:BA149" si="285">SUM(K150:K153)</f>
        <v>0</v>
      </c>
      <c r="L149" s="167">
        <f t="shared" si="285"/>
        <v>0</v>
      </c>
      <c r="M149" s="167">
        <f t="shared" si="285"/>
        <v>1010000</v>
      </c>
      <c r="N149" s="167">
        <f t="shared" si="285"/>
        <v>0</v>
      </c>
      <c r="O149" s="167">
        <f t="shared" si="285"/>
        <v>0</v>
      </c>
      <c r="P149" s="167">
        <f t="shared" si="285"/>
        <v>0</v>
      </c>
      <c r="Q149" s="167">
        <f t="shared" si="285"/>
        <v>2805000</v>
      </c>
      <c r="R149" s="167">
        <f t="shared" si="285"/>
        <v>4303915</v>
      </c>
      <c r="S149" s="167">
        <f t="shared" si="285"/>
        <v>0</v>
      </c>
      <c r="T149" s="167">
        <f t="shared" si="285"/>
        <v>0</v>
      </c>
      <c r="U149" s="167">
        <f t="shared" si="285"/>
        <v>0</v>
      </c>
      <c r="V149" s="167">
        <f t="shared" si="285"/>
        <v>1348500</v>
      </c>
      <c r="W149" s="167">
        <f t="shared" si="285"/>
        <v>0</v>
      </c>
      <c r="X149" s="167">
        <f t="shared" si="285"/>
        <v>4238980</v>
      </c>
      <c r="Y149" s="167">
        <f t="shared" si="285"/>
        <v>0</v>
      </c>
      <c r="Z149" s="167">
        <f t="shared" si="285"/>
        <v>0</v>
      </c>
      <c r="AA149" s="167">
        <f t="shared" si="285"/>
        <v>0</v>
      </c>
      <c r="AB149" s="167">
        <f t="shared" si="285"/>
        <v>0</v>
      </c>
      <c r="AC149" s="167">
        <f t="shared" si="285"/>
        <v>0</v>
      </c>
      <c r="AD149" s="167">
        <f t="shared" si="285"/>
        <v>0</v>
      </c>
      <c r="AE149" s="167">
        <f t="shared" si="285"/>
        <v>0</v>
      </c>
      <c r="AF149" s="167">
        <f t="shared" si="285"/>
        <v>0</v>
      </c>
      <c r="AG149" s="167">
        <f t="shared" si="285"/>
        <v>0</v>
      </c>
      <c r="AH149" s="167">
        <f t="shared" si="285"/>
        <v>0</v>
      </c>
      <c r="AI149" s="167">
        <f t="shared" si="285"/>
        <v>0</v>
      </c>
      <c r="AJ149" s="167">
        <f t="shared" si="285"/>
        <v>0</v>
      </c>
      <c r="AK149" s="167">
        <f t="shared" si="285"/>
        <v>0</v>
      </c>
      <c r="AL149" s="167">
        <f t="shared" si="285"/>
        <v>0</v>
      </c>
      <c r="AM149" s="167">
        <f t="shared" si="285"/>
        <v>0</v>
      </c>
      <c r="AN149" s="167">
        <f t="shared" si="285"/>
        <v>0</v>
      </c>
      <c r="AO149" s="167">
        <f t="shared" si="285"/>
        <v>0</v>
      </c>
      <c r="AP149" s="167">
        <f t="shared" si="285"/>
        <v>0</v>
      </c>
      <c r="AQ149" s="167">
        <f t="shared" si="285"/>
        <v>0</v>
      </c>
      <c r="AR149" s="167">
        <f t="shared" si="285"/>
        <v>0</v>
      </c>
      <c r="AS149" s="167">
        <f t="shared" si="285"/>
        <v>0</v>
      </c>
      <c r="AT149" s="167">
        <f t="shared" si="255"/>
        <v>13706395</v>
      </c>
      <c r="AU149" s="175">
        <f t="shared" si="261"/>
        <v>61.84080039704024</v>
      </c>
      <c r="AV149" s="176">
        <f>F149-AT149</f>
        <v>8457605</v>
      </c>
      <c r="AW149" s="175">
        <f>AV149/F149*100</f>
        <v>38.159199602959752</v>
      </c>
      <c r="AX149" s="164" t="s">
        <v>542</v>
      </c>
      <c r="AY149" s="164" t="s">
        <v>543</v>
      </c>
      <c r="AZ149" s="164" t="s">
        <v>3921</v>
      </c>
      <c r="BA149" s="167">
        <f t="shared" si="285"/>
        <v>0</v>
      </c>
      <c r="BB149" s="167">
        <f t="shared" ref="BB149:BC149" si="286">SUM(BB150:BB153)</f>
        <v>4303915</v>
      </c>
      <c r="BC149" s="167">
        <f t="shared" si="286"/>
        <v>2805000</v>
      </c>
      <c r="BD149" s="167">
        <f t="shared" ref="BD149" si="287">SUM(BD150:BD153)</f>
        <v>0</v>
      </c>
      <c r="BE149" s="167">
        <f t="shared" ref="BE149" si="288">SUM(BE150:BE153)</f>
        <v>0</v>
      </c>
      <c r="BF149" s="167">
        <f t="shared" ref="BF149:BG149" si="289">SUM(BF150:BF153)</f>
        <v>0</v>
      </c>
      <c r="BG149" s="167">
        <f t="shared" si="289"/>
        <v>4238980</v>
      </c>
      <c r="BH149" s="167">
        <f t="shared" ref="BH149" si="290">SUM(BH150:BH153)</f>
        <v>0</v>
      </c>
    </row>
    <row r="150" spans="2:60" x14ac:dyDescent="0.25">
      <c r="B150" s="228">
        <v>521211</v>
      </c>
      <c r="C150" s="164" t="s">
        <v>7</v>
      </c>
      <c r="D150" s="164"/>
      <c r="E150" s="164"/>
      <c r="F150" s="165">
        <v>6000000</v>
      </c>
      <c r="G150" s="165">
        <v>22650000</v>
      </c>
      <c r="H150" s="165"/>
      <c r="I150" s="165">
        <f t="shared" ref="I150:I153" si="29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55"/>
        <v>2991000</v>
      </c>
      <c r="AU150" s="168">
        <f t="shared" si="26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row>
    <row r="151" spans="2:60" x14ac:dyDescent="0.25">
      <c r="B151" s="228">
        <v>521219</v>
      </c>
      <c r="C151" s="164" t="s">
        <v>53</v>
      </c>
      <c r="D151" s="164"/>
      <c r="E151" s="164"/>
      <c r="F151" s="165">
        <v>1000000</v>
      </c>
      <c r="G151" s="165">
        <v>1000000</v>
      </c>
      <c r="H151" s="165"/>
      <c r="I151" s="165">
        <f t="shared" si="29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292">SUM(J151:AS151)</f>
        <v>702895</v>
      </c>
      <c r="AU151" s="168">
        <f t="shared" si="261"/>
        <v>70.289500000000004</v>
      </c>
      <c r="AV151" s="169">
        <f t="shared" ref="AV151:AV154" si="293">F151-AT151</f>
        <v>297105</v>
      </c>
      <c r="AW151" s="168">
        <f t="shared" ref="AW151:AW153" si="294">AV151/F151*100</f>
        <v>29.7105</v>
      </c>
      <c r="AX151" s="164" t="s">
        <v>542</v>
      </c>
      <c r="AY151" s="164" t="s">
        <v>543</v>
      </c>
      <c r="AZ151" s="318" t="s">
        <v>3921</v>
      </c>
      <c r="BA151" s="165"/>
      <c r="BB151" s="165">
        <v>346915</v>
      </c>
      <c r="BC151" s="240"/>
      <c r="BD151" s="165"/>
      <c r="BE151" s="165"/>
      <c r="BF151" s="165"/>
      <c r="BG151" s="165">
        <v>355980</v>
      </c>
      <c r="BH151" s="165"/>
    </row>
    <row r="152" spans="2:60" x14ac:dyDescent="0.25">
      <c r="B152" s="228">
        <v>521811</v>
      </c>
      <c r="C152" s="164" t="s">
        <v>64</v>
      </c>
      <c r="D152" s="164"/>
      <c r="E152" s="164"/>
      <c r="F152" s="165">
        <v>10000000</v>
      </c>
      <c r="G152" s="165">
        <v>15000000</v>
      </c>
      <c r="H152" s="165"/>
      <c r="I152" s="165">
        <f t="shared" si="29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61"/>
        <v>48.49</v>
      </c>
      <c r="AV152" s="169">
        <f t="shared" si="293"/>
        <v>5151000</v>
      </c>
      <c r="AW152" s="168">
        <f t="shared" si="294"/>
        <v>51.51</v>
      </c>
      <c r="AX152" s="164" t="s">
        <v>542</v>
      </c>
      <c r="AY152" s="164" t="s">
        <v>543</v>
      </c>
      <c r="AZ152" s="164" t="s">
        <v>3921</v>
      </c>
      <c r="BA152" s="165"/>
      <c r="BB152" s="165">
        <v>2459000</v>
      </c>
      <c r="BC152" s="240"/>
      <c r="BD152" s="165"/>
      <c r="BE152" s="165"/>
      <c r="BF152" s="165"/>
      <c r="BG152" s="165">
        <v>2390000</v>
      </c>
      <c r="BH152" s="165"/>
    </row>
    <row r="153" spans="2:60" x14ac:dyDescent="0.25">
      <c r="B153" s="228">
        <v>524111</v>
      </c>
      <c r="C153" s="164" t="s">
        <v>19</v>
      </c>
      <c r="D153" s="164"/>
      <c r="E153" s="164"/>
      <c r="F153" s="165">
        <v>5164000</v>
      </c>
      <c r="G153" s="165">
        <v>62400000</v>
      </c>
      <c r="H153" s="165"/>
      <c r="I153" s="165">
        <f t="shared" si="29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292"/>
        <v>5163500</v>
      </c>
      <c r="AU153" s="168">
        <f t="shared" si="261"/>
        <v>99.990317583268791</v>
      </c>
      <c r="AV153" s="169">
        <f t="shared" si="293"/>
        <v>500</v>
      </c>
      <c r="AW153" s="168">
        <f t="shared" si="294"/>
        <v>9.6824167312161129E-3</v>
      </c>
      <c r="AX153" s="164" t="s">
        <v>542</v>
      </c>
      <c r="AY153" s="164" t="s">
        <v>543</v>
      </c>
      <c r="AZ153" s="164" t="s">
        <v>3921</v>
      </c>
      <c r="BA153" s="165"/>
      <c r="BB153" s="165"/>
      <c r="BC153" s="240">
        <v>2805000</v>
      </c>
      <c r="BD153" s="165"/>
      <c r="BE153" s="165"/>
      <c r="BF153" s="165"/>
      <c r="BG153" s="165"/>
      <c r="BH153" s="165"/>
    </row>
    <row r="154" spans="2:60" x14ac:dyDescent="0.25">
      <c r="B154" s="230" t="s">
        <v>511</v>
      </c>
      <c r="C154" s="166" t="s">
        <v>130</v>
      </c>
      <c r="D154" s="166"/>
      <c r="E154" s="166"/>
      <c r="F154" s="167">
        <f t="shared" ref="F154:AS154" si="295">SUM(F155:F159)</f>
        <v>78000000</v>
      </c>
      <c r="G154" s="167">
        <f t="shared" ref="G154:H154" si="296">SUM(G155:G159)</f>
        <v>345988000</v>
      </c>
      <c r="H154" s="167">
        <f t="shared" si="296"/>
        <v>0</v>
      </c>
      <c r="I154" s="167">
        <f t="shared" ref="I154" si="297">SUM(I155:I159)</f>
        <v>267988000</v>
      </c>
      <c r="J154" s="167">
        <f t="shared" si="295"/>
        <v>0</v>
      </c>
      <c r="K154" s="167">
        <f t="shared" si="295"/>
        <v>0</v>
      </c>
      <c r="L154" s="167">
        <f t="shared" si="295"/>
        <v>0</v>
      </c>
      <c r="M154" s="167">
        <f t="shared" si="295"/>
        <v>0</v>
      </c>
      <c r="N154" s="167">
        <f t="shared" si="295"/>
        <v>0</v>
      </c>
      <c r="O154" s="167">
        <f t="shared" si="295"/>
        <v>0</v>
      </c>
      <c r="P154" s="167">
        <f t="shared" si="295"/>
        <v>0</v>
      </c>
      <c r="Q154" s="167">
        <f t="shared" si="295"/>
        <v>0</v>
      </c>
      <c r="R154" s="167">
        <f t="shared" si="295"/>
        <v>7874000</v>
      </c>
      <c r="S154" s="167">
        <f t="shared" si="295"/>
        <v>205000</v>
      </c>
      <c r="T154" s="167">
        <f t="shared" si="295"/>
        <v>0</v>
      </c>
      <c r="U154" s="167">
        <f t="shared" si="295"/>
        <v>0</v>
      </c>
      <c r="V154" s="167">
        <f t="shared" si="295"/>
        <v>4224000</v>
      </c>
      <c r="W154" s="167">
        <f t="shared" si="295"/>
        <v>0</v>
      </c>
      <c r="X154" s="167">
        <f t="shared" si="295"/>
        <v>7848000</v>
      </c>
      <c r="Y154" s="167">
        <f t="shared" si="295"/>
        <v>9957100</v>
      </c>
      <c r="Z154" s="167">
        <f t="shared" si="295"/>
        <v>0</v>
      </c>
      <c r="AA154" s="167">
        <f t="shared" si="295"/>
        <v>0</v>
      </c>
      <c r="AB154" s="167">
        <f t="shared" si="295"/>
        <v>0</v>
      </c>
      <c r="AC154" s="167">
        <f t="shared" si="295"/>
        <v>0</v>
      </c>
      <c r="AD154" s="167">
        <f t="shared" si="295"/>
        <v>0</v>
      </c>
      <c r="AE154" s="167">
        <f t="shared" si="295"/>
        <v>0</v>
      </c>
      <c r="AF154" s="167">
        <f t="shared" si="295"/>
        <v>0</v>
      </c>
      <c r="AG154" s="167">
        <f t="shared" si="295"/>
        <v>0</v>
      </c>
      <c r="AH154" s="167">
        <f t="shared" si="295"/>
        <v>0</v>
      </c>
      <c r="AI154" s="167">
        <f t="shared" si="295"/>
        <v>0</v>
      </c>
      <c r="AJ154" s="167">
        <f t="shared" si="295"/>
        <v>0</v>
      </c>
      <c r="AK154" s="167">
        <f t="shared" si="295"/>
        <v>0</v>
      </c>
      <c r="AL154" s="167">
        <f t="shared" si="295"/>
        <v>0</v>
      </c>
      <c r="AM154" s="167">
        <f t="shared" si="295"/>
        <v>0</v>
      </c>
      <c r="AN154" s="167">
        <f t="shared" si="295"/>
        <v>0</v>
      </c>
      <c r="AO154" s="167">
        <f t="shared" si="295"/>
        <v>0</v>
      </c>
      <c r="AP154" s="167">
        <f t="shared" si="295"/>
        <v>0</v>
      </c>
      <c r="AQ154" s="167">
        <f t="shared" si="295"/>
        <v>0</v>
      </c>
      <c r="AR154" s="167">
        <f t="shared" si="295"/>
        <v>0</v>
      </c>
      <c r="AS154" s="167">
        <f t="shared" si="295"/>
        <v>0</v>
      </c>
      <c r="AT154" s="167">
        <f>SUM(J154:AS154)</f>
        <v>30108100</v>
      </c>
      <c r="AU154" s="175">
        <f t="shared" si="261"/>
        <v>38.6001282051282</v>
      </c>
      <c r="AV154" s="176">
        <f t="shared" si="29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298">SUM(BD155:BD159)</f>
        <v>0</v>
      </c>
      <c r="BE154" s="167">
        <f t="shared" ref="BE154" si="299">SUM(BE155:BE159)</f>
        <v>0</v>
      </c>
      <c r="BF154" s="167">
        <f t="shared" ref="BF154:BG154" si="300">SUM(BF155:BF159)</f>
        <v>0</v>
      </c>
      <c r="BG154" s="167">
        <f t="shared" si="300"/>
        <v>7848000</v>
      </c>
      <c r="BH154" s="167">
        <f t="shared" ref="BH154" si="301">SUM(BH155:BH159)</f>
        <v>0</v>
      </c>
    </row>
    <row r="155" spans="2:60" x14ac:dyDescent="0.25">
      <c r="B155" s="228">
        <v>521211</v>
      </c>
      <c r="C155" s="164" t="s">
        <v>7</v>
      </c>
      <c r="D155" s="164"/>
      <c r="E155" s="164"/>
      <c r="F155" s="165">
        <v>12000000</v>
      </c>
      <c r="G155" s="165">
        <v>49300000</v>
      </c>
      <c r="H155" s="165"/>
      <c r="I155" s="165">
        <f t="shared" ref="I155:I159" si="302">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61"/>
        <v>49.491666666666667</v>
      </c>
      <c r="AV155" s="169">
        <f t="shared" ref="AV155:AV189" si="303">F155-AT155</f>
        <v>6061000</v>
      </c>
      <c r="AW155" s="168">
        <f t="shared" si="243"/>
        <v>50.508333333333333</v>
      </c>
      <c r="AX155" s="164" t="s">
        <v>542</v>
      </c>
      <c r="AY155" s="164" t="s">
        <v>543</v>
      </c>
      <c r="AZ155" s="164" t="s">
        <v>3921</v>
      </c>
      <c r="BA155" s="165"/>
      <c r="BB155" s="165">
        <v>2964000</v>
      </c>
      <c r="BC155" s="240"/>
      <c r="BD155" s="165"/>
      <c r="BE155" s="165"/>
      <c r="BF155" s="165"/>
      <c r="BG155" s="165">
        <v>2975000</v>
      </c>
      <c r="BH155" s="165"/>
    </row>
    <row r="156" spans="2:60" x14ac:dyDescent="0.25">
      <c r="B156" s="228">
        <v>521219</v>
      </c>
      <c r="C156" s="164" t="s">
        <v>53</v>
      </c>
      <c r="D156" s="164"/>
      <c r="E156" s="164"/>
      <c r="F156" s="165">
        <v>1000000</v>
      </c>
      <c r="G156" s="165">
        <v>1000000</v>
      </c>
      <c r="H156" s="165"/>
      <c r="I156" s="165">
        <f t="shared" si="302"/>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04">SUM(J156:AS156)</f>
        <v>0</v>
      </c>
      <c r="AU156" s="168">
        <f t="shared" si="261"/>
        <v>0</v>
      </c>
      <c r="AV156" s="169">
        <f t="shared" si="303"/>
        <v>1000000</v>
      </c>
      <c r="AW156" s="168">
        <f t="shared" si="243"/>
        <v>100</v>
      </c>
      <c r="AX156" s="164" t="s">
        <v>542</v>
      </c>
      <c r="AY156" s="164" t="s">
        <v>543</v>
      </c>
      <c r="AZ156" s="318" t="s">
        <v>3921</v>
      </c>
      <c r="BA156" s="165"/>
      <c r="BB156" s="165"/>
      <c r="BC156" s="240"/>
      <c r="BD156" s="165"/>
      <c r="BE156" s="165"/>
      <c r="BF156" s="165"/>
      <c r="BG156" s="165"/>
      <c r="BH156" s="165"/>
    </row>
    <row r="157" spans="2:60" x14ac:dyDescent="0.25">
      <c r="B157" s="228">
        <v>521811</v>
      </c>
      <c r="C157" s="164" t="s">
        <v>64</v>
      </c>
      <c r="D157" s="164"/>
      <c r="E157" s="164"/>
      <c r="F157" s="165">
        <v>20000000</v>
      </c>
      <c r="G157" s="165">
        <v>25000000</v>
      </c>
      <c r="H157" s="165"/>
      <c r="I157" s="165">
        <f t="shared" si="302"/>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04"/>
        <v>9783000</v>
      </c>
      <c r="AU157" s="168">
        <f t="shared" si="261"/>
        <v>48.914999999999999</v>
      </c>
      <c r="AV157" s="169">
        <f t="shared" si="303"/>
        <v>10217000</v>
      </c>
      <c r="AW157" s="168">
        <f t="shared" si="243"/>
        <v>51.085000000000001</v>
      </c>
      <c r="AX157" s="164" t="s">
        <v>542</v>
      </c>
      <c r="AY157" s="164" t="s">
        <v>543</v>
      </c>
      <c r="AZ157" s="164" t="s">
        <v>3921</v>
      </c>
      <c r="BA157" s="165"/>
      <c r="BB157" s="165">
        <v>4910000</v>
      </c>
      <c r="BC157" s="240"/>
      <c r="BD157" s="165"/>
      <c r="BE157" s="165"/>
      <c r="BF157" s="165"/>
      <c r="BG157" s="165">
        <v>4873000</v>
      </c>
      <c r="BH157" s="165"/>
    </row>
    <row r="158" spans="2:60" x14ac:dyDescent="0.25">
      <c r="B158" s="228">
        <v>522151</v>
      </c>
      <c r="C158" s="164" t="s">
        <v>11</v>
      </c>
      <c r="D158" s="164"/>
      <c r="E158" s="164"/>
      <c r="F158" s="165">
        <v>0</v>
      </c>
      <c r="G158" s="165">
        <v>12000000</v>
      </c>
      <c r="H158" s="165"/>
      <c r="I158" s="165">
        <f t="shared" si="302"/>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04"/>
        <v>0</v>
      </c>
      <c r="AU158" s="168">
        <f t="shared" si="261"/>
        <v>0</v>
      </c>
      <c r="AV158" s="169">
        <f t="shared" si="303"/>
        <v>0</v>
      </c>
      <c r="AW158" s="168" t="e">
        <f t="shared" si="243"/>
        <v>#DIV/0!</v>
      </c>
      <c r="AX158" s="164" t="s">
        <v>542</v>
      </c>
      <c r="AY158" s="164" t="s">
        <v>543</v>
      </c>
      <c r="AZ158" s="164" t="s">
        <v>3921</v>
      </c>
      <c r="BA158" s="165"/>
      <c r="BB158" s="165"/>
      <c r="BC158" s="240"/>
      <c r="BD158" s="165"/>
      <c r="BE158" s="165"/>
      <c r="BF158" s="165"/>
      <c r="BG158" s="165"/>
      <c r="BH158" s="165"/>
    </row>
    <row r="159" spans="2:60" x14ac:dyDescent="0.25">
      <c r="B159" s="228">
        <v>524111</v>
      </c>
      <c r="C159" s="164" t="s">
        <v>19</v>
      </c>
      <c r="D159" s="164"/>
      <c r="E159" s="164"/>
      <c r="F159" s="165">
        <v>45000000</v>
      </c>
      <c r="G159" s="165">
        <v>258688000</v>
      </c>
      <c r="H159" s="165"/>
      <c r="I159" s="165">
        <f t="shared" si="302"/>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04"/>
        <v>14386100</v>
      </c>
      <c r="AU159" s="168">
        <f t="shared" si="261"/>
        <v>31.969111111111108</v>
      </c>
      <c r="AV159" s="169">
        <f t="shared" si="303"/>
        <v>30613900</v>
      </c>
      <c r="AW159" s="168">
        <f t="shared" si="243"/>
        <v>68.030888888888882</v>
      </c>
      <c r="AX159" s="164" t="s">
        <v>542</v>
      </c>
      <c r="AY159" s="164" t="s">
        <v>543</v>
      </c>
      <c r="AZ159" s="164" t="s">
        <v>3921</v>
      </c>
      <c r="BA159" s="165"/>
      <c r="BB159" s="165"/>
      <c r="BC159" s="240"/>
      <c r="BD159" s="165"/>
      <c r="BE159" s="165"/>
      <c r="BF159" s="165"/>
      <c r="BG159" s="165"/>
      <c r="BH159" s="165"/>
    </row>
    <row r="160" spans="2:60" x14ac:dyDescent="0.25">
      <c r="B160" s="230" t="s">
        <v>512</v>
      </c>
      <c r="C160" s="166" t="s">
        <v>131</v>
      </c>
      <c r="D160" s="166"/>
      <c r="E160" s="166"/>
      <c r="F160" s="167">
        <f t="shared" ref="F160:AS160" si="305">SUM(F161:F164)</f>
        <v>80408000</v>
      </c>
      <c r="G160" s="167">
        <f t="shared" ref="G160:H160" si="306">SUM(G161:G164)</f>
        <v>168100000</v>
      </c>
      <c r="H160" s="167">
        <f t="shared" si="306"/>
        <v>0</v>
      </c>
      <c r="I160" s="167">
        <f t="shared" ref="I160" si="307">SUM(I161:I164)</f>
        <v>87692000</v>
      </c>
      <c r="J160" s="167">
        <f t="shared" si="305"/>
        <v>0</v>
      </c>
      <c r="K160" s="167">
        <f t="shared" si="305"/>
        <v>0</v>
      </c>
      <c r="L160" s="167">
        <f t="shared" si="305"/>
        <v>0</v>
      </c>
      <c r="M160" s="167">
        <f t="shared" si="305"/>
        <v>9587800</v>
      </c>
      <c r="N160" s="167">
        <f t="shared" si="305"/>
        <v>0</v>
      </c>
      <c r="O160" s="167">
        <f t="shared" si="305"/>
        <v>0</v>
      </c>
      <c r="P160" s="167">
        <f t="shared" si="305"/>
        <v>0</v>
      </c>
      <c r="Q160" s="167">
        <f t="shared" si="305"/>
        <v>5040000</v>
      </c>
      <c r="R160" s="167">
        <f t="shared" si="305"/>
        <v>25252750</v>
      </c>
      <c r="S160" s="167">
        <f t="shared" si="305"/>
        <v>6330000</v>
      </c>
      <c r="T160" s="167">
        <f t="shared" si="305"/>
        <v>0</v>
      </c>
      <c r="U160" s="167">
        <f t="shared" si="305"/>
        <v>0</v>
      </c>
      <c r="V160" s="167">
        <f t="shared" si="305"/>
        <v>3600000</v>
      </c>
      <c r="W160" s="167">
        <f t="shared" si="305"/>
        <v>0</v>
      </c>
      <c r="X160" s="167">
        <f t="shared" si="305"/>
        <v>7811500</v>
      </c>
      <c r="Y160" s="167">
        <f t="shared" si="305"/>
        <v>10500000</v>
      </c>
      <c r="Z160" s="167">
        <f t="shared" si="305"/>
        <v>0</v>
      </c>
      <c r="AA160" s="167">
        <f t="shared" si="305"/>
        <v>0</v>
      </c>
      <c r="AB160" s="167">
        <f t="shared" si="305"/>
        <v>0</v>
      </c>
      <c r="AC160" s="167">
        <f t="shared" si="305"/>
        <v>0</v>
      </c>
      <c r="AD160" s="167">
        <f t="shared" si="305"/>
        <v>0</v>
      </c>
      <c r="AE160" s="167">
        <f t="shared" si="305"/>
        <v>0</v>
      </c>
      <c r="AF160" s="167">
        <f t="shared" si="305"/>
        <v>0</v>
      </c>
      <c r="AG160" s="167">
        <f t="shared" si="305"/>
        <v>0</v>
      </c>
      <c r="AH160" s="167">
        <f t="shared" si="305"/>
        <v>0</v>
      </c>
      <c r="AI160" s="167">
        <f t="shared" si="305"/>
        <v>0</v>
      </c>
      <c r="AJ160" s="167">
        <f t="shared" si="305"/>
        <v>0</v>
      </c>
      <c r="AK160" s="167">
        <f t="shared" si="305"/>
        <v>0</v>
      </c>
      <c r="AL160" s="167">
        <f t="shared" si="305"/>
        <v>0</v>
      </c>
      <c r="AM160" s="167">
        <f t="shared" si="305"/>
        <v>0</v>
      </c>
      <c r="AN160" s="167">
        <f t="shared" si="305"/>
        <v>0</v>
      </c>
      <c r="AO160" s="167">
        <f t="shared" si="305"/>
        <v>0</v>
      </c>
      <c r="AP160" s="167">
        <f t="shared" si="305"/>
        <v>0</v>
      </c>
      <c r="AQ160" s="167">
        <f t="shared" si="305"/>
        <v>0</v>
      </c>
      <c r="AR160" s="167">
        <f t="shared" si="305"/>
        <v>0</v>
      </c>
      <c r="AS160" s="167">
        <f t="shared" si="305"/>
        <v>0</v>
      </c>
      <c r="AT160" s="167">
        <f t="shared" si="304"/>
        <v>68122050</v>
      </c>
      <c r="AU160" s="175">
        <f t="shared" si="261"/>
        <v>84.720488011143175</v>
      </c>
      <c r="AV160" s="176">
        <f t="shared" si="303"/>
        <v>12285950</v>
      </c>
      <c r="AW160" s="175">
        <f t="shared" si="243"/>
        <v>15.27951198885683</v>
      </c>
      <c r="AX160" s="164" t="s">
        <v>542</v>
      </c>
      <c r="AY160" s="164" t="s">
        <v>543</v>
      </c>
      <c r="AZ160" s="164" t="s">
        <v>3921</v>
      </c>
      <c r="BA160" s="167">
        <f t="shared" ref="BA160:BD160" si="308">SUM(BA161:BA164)</f>
        <v>0</v>
      </c>
      <c r="BB160" s="167">
        <f t="shared" si="308"/>
        <v>25252750</v>
      </c>
      <c r="BC160" s="167">
        <f t="shared" si="308"/>
        <v>5040000</v>
      </c>
      <c r="BD160" s="167">
        <f t="shared" si="308"/>
        <v>0</v>
      </c>
      <c r="BE160" s="167">
        <f t="shared" ref="BE160" si="309">SUM(BE161:BE164)</f>
        <v>0</v>
      </c>
      <c r="BF160" s="167">
        <f t="shared" ref="BF160:BG160" si="310">SUM(BF161:BF164)</f>
        <v>0</v>
      </c>
      <c r="BG160" s="167">
        <f t="shared" si="310"/>
        <v>7811500</v>
      </c>
      <c r="BH160" s="167">
        <f t="shared" ref="BH160" si="311">SUM(BH161:BH164)</f>
        <v>0</v>
      </c>
    </row>
    <row r="161" spans="2:60" x14ac:dyDescent="0.25">
      <c r="B161" s="228">
        <v>521211</v>
      </c>
      <c r="C161" s="164" t="s">
        <v>7</v>
      </c>
      <c r="D161" s="164"/>
      <c r="E161" s="164"/>
      <c r="F161" s="165">
        <v>21000000</v>
      </c>
      <c r="G161" s="165">
        <v>39500000</v>
      </c>
      <c r="H161" s="165"/>
      <c r="I161" s="165">
        <f t="shared" ref="I161:I164" si="312">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04"/>
        <v>16388500</v>
      </c>
      <c r="AU161" s="168">
        <f t="shared" si="261"/>
        <v>78.040476190476198</v>
      </c>
      <c r="AV161" s="169">
        <f t="shared" si="303"/>
        <v>4611500</v>
      </c>
      <c r="AW161" s="168">
        <f t="shared" si="243"/>
        <v>21.959523809523809</v>
      </c>
      <c r="AX161" s="164" t="s">
        <v>542</v>
      </c>
      <c r="AY161" s="164" t="s">
        <v>543</v>
      </c>
      <c r="AZ161" s="164" t="s">
        <v>3921</v>
      </c>
      <c r="BA161" s="165"/>
      <c r="BB161" s="165">
        <v>2955000</v>
      </c>
      <c r="BC161" s="240"/>
      <c r="BD161" s="165"/>
      <c r="BE161" s="165"/>
      <c r="BF161" s="165"/>
      <c r="BG161" s="165">
        <v>2933500</v>
      </c>
      <c r="BH161" s="165"/>
    </row>
    <row r="162" spans="2:60" x14ac:dyDescent="0.25">
      <c r="B162" s="228">
        <v>521811</v>
      </c>
      <c r="C162" s="164" t="s">
        <v>64</v>
      </c>
      <c r="D162" s="164"/>
      <c r="E162" s="164"/>
      <c r="F162" s="165">
        <v>17500000</v>
      </c>
      <c r="G162" s="165">
        <v>25000000</v>
      </c>
      <c r="H162" s="165"/>
      <c r="I162" s="165">
        <f t="shared" si="312"/>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04"/>
        <v>9825750</v>
      </c>
      <c r="AU162" s="168">
        <f t="shared" si="261"/>
        <v>56.14714285714286</v>
      </c>
      <c r="AV162" s="169">
        <f t="shared" si="303"/>
        <v>7674250</v>
      </c>
      <c r="AW162" s="168">
        <f t="shared" si="243"/>
        <v>43.852857142857147</v>
      </c>
      <c r="AX162" s="164" t="s">
        <v>542</v>
      </c>
      <c r="AY162" s="164" t="s">
        <v>543</v>
      </c>
      <c r="AZ162" s="164" t="s">
        <v>3921</v>
      </c>
      <c r="BA162" s="165"/>
      <c r="BB162" s="165">
        <v>4947750</v>
      </c>
      <c r="BC162" s="240"/>
      <c r="BD162" s="165"/>
      <c r="BE162" s="165"/>
      <c r="BF162" s="165"/>
      <c r="BG162" s="165">
        <v>4878000</v>
      </c>
      <c r="BH162" s="165"/>
    </row>
    <row r="163" spans="2:60" x14ac:dyDescent="0.25">
      <c r="B163" s="228">
        <v>522151</v>
      </c>
      <c r="C163" s="164" t="s">
        <v>11</v>
      </c>
      <c r="D163" s="164"/>
      <c r="E163" s="164"/>
      <c r="F163" s="165">
        <v>0</v>
      </c>
      <c r="G163" s="165">
        <v>10000000</v>
      </c>
      <c r="H163" s="165"/>
      <c r="I163" s="165">
        <f t="shared" si="312"/>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04"/>
        <v>0</v>
      </c>
      <c r="AU163" s="168">
        <f t="shared" si="261"/>
        <v>0</v>
      </c>
      <c r="AV163" s="169">
        <f t="shared" si="303"/>
        <v>0</v>
      </c>
      <c r="AW163" s="168" t="e">
        <f t="shared" si="243"/>
        <v>#DIV/0!</v>
      </c>
      <c r="AX163" s="164" t="s">
        <v>542</v>
      </c>
      <c r="AY163" s="164" t="s">
        <v>543</v>
      </c>
      <c r="AZ163" s="164" t="s">
        <v>3921</v>
      </c>
      <c r="BA163" s="165"/>
      <c r="BB163" s="165"/>
      <c r="BC163" s="240"/>
      <c r="BD163" s="165"/>
      <c r="BE163" s="165"/>
      <c r="BF163" s="165"/>
      <c r="BG163" s="165"/>
      <c r="BH163" s="165"/>
    </row>
    <row r="164" spans="2:60" x14ac:dyDescent="0.25">
      <c r="B164" s="228">
        <v>524111</v>
      </c>
      <c r="C164" s="164" t="s">
        <v>19</v>
      </c>
      <c r="D164" s="164"/>
      <c r="E164" s="164"/>
      <c r="F164" s="165">
        <v>41908000</v>
      </c>
      <c r="G164" s="165">
        <v>93600000</v>
      </c>
      <c r="H164" s="165"/>
      <c r="I164" s="165">
        <f t="shared" si="312"/>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04"/>
        <v>41907800</v>
      </c>
      <c r="AU164" s="168">
        <f t="shared" si="261"/>
        <v>99.999522764150043</v>
      </c>
      <c r="AV164" s="169">
        <f t="shared" si="303"/>
        <v>200</v>
      </c>
      <c r="AW164" s="168">
        <f t="shared" si="243"/>
        <v>4.7723584995704876E-4</v>
      </c>
      <c r="AX164" s="164" t="s">
        <v>542</v>
      </c>
      <c r="AY164" s="164" t="s">
        <v>543</v>
      </c>
      <c r="AZ164" s="164" t="s">
        <v>3921</v>
      </c>
      <c r="BA164" s="165"/>
      <c r="BB164" s="165">
        <v>17350000</v>
      </c>
      <c r="BC164" s="240">
        <v>5040000</v>
      </c>
      <c r="BD164" s="165"/>
      <c r="BE164" s="165"/>
      <c r="BF164" s="165"/>
      <c r="BG164" s="165"/>
      <c r="BH164" s="165"/>
    </row>
    <row r="165" spans="2:60"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13">J166+J177</f>
        <v>0</v>
      </c>
      <c r="K165" s="172">
        <f t="shared" si="313"/>
        <v>0</v>
      </c>
      <c r="L165" s="172">
        <f t="shared" si="313"/>
        <v>0</v>
      </c>
      <c r="M165" s="172">
        <f t="shared" si="313"/>
        <v>0</v>
      </c>
      <c r="N165" s="172">
        <f t="shared" si="313"/>
        <v>0</v>
      </c>
      <c r="O165" s="172">
        <f t="shared" si="313"/>
        <v>0</v>
      </c>
      <c r="P165" s="172">
        <f t="shared" si="313"/>
        <v>0</v>
      </c>
      <c r="Q165" s="172">
        <f t="shared" si="313"/>
        <v>4230000</v>
      </c>
      <c r="R165" s="172">
        <f t="shared" si="313"/>
        <v>5496528</v>
      </c>
      <c r="S165" s="172">
        <f t="shared" si="313"/>
        <v>16054500</v>
      </c>
      <c r="T165" s="172">
        <f t="shared" si="313"/>
        <v>0</v>
      </c>
      <c r="U165" s="172">
        <f t="shared" si="313"/>
        <v>0</v>
      </c>
      <c r="V165" s="172">
        <f t="shared" si="313"/>
        <v>0</v>
      </c>
      <c r="W165" s="172">
        <f t="shared" si="313"/>
        <v>300383</v>
      </c>
      <c r="X165" s="172">
        <f t="shared" si="313"/>
        <v>36489355</v>
      </c>
      <c r="Y165" s="172">
        <f t="shared" si="313"/>
        <v>40585531</v>
      </c>
      <c r="Z165" s="172">
        <f t="shared" si="313"/>
        <v>0</v>
      </c>
      <c r="AA165" s="172">
        <f t="shared" si="313"/>
        <v>2640000</v>
      </c>
      <c r="AB165" s="172">
        <f t="shared" si="313"/>
        <v>0</v>
      </c>
      <c r="AC165" s="172">
        <f t="shared" si="313"/>
        <v>0</v>
      </c>
      <c r="AD165" s="172">
        <f t="shared" si="313"/>
        <v>0</v>
      </c>
      <c r="AE165" s="172">
        <f t="shared" si="313"/>
        <v>0</v>
      </c>
      <c r="AF165" s="172">
        <f t="shared" si="313"/>
        <v>0</v>
      </c>
      <c r="AG165" s="172">
        <f t="shared" si="313"/>
        <v>0</v>
      </c>
      <c r="AH165" s="172">
        <f t="shared" si="313"/>
        <v>0</v>
      </c>
      <c r="AI165" s="172">
        <f t="shared" si="313"/>
        <v>0</v>
      </c>
      <c r="AJ165" s="172">
        <f t="shared" si="313"/>
        <v>0</v>
      </c>
      <c r="AK165" s="172">
        <f t="shared" si="313"/>
        <v>0</v>
      </c>
      <c r="AL165" s="172">
        <f t="shared" si="313"/>
        <v>0</v>
      </c>
      <c r="AM165" s="172">
        <f t="shared" si="313"/>
        <v>0</v>
      </c>
      <c r="AN165" s="172">
        <f t="shared" si="313"/>
        <v>0</v>
      </c>
      <c r="AO165" s="172">
        <f t="shared" si="313"/>
        <v>0</v>
      </c>
      <c r="AP165" s="172">
        <f t="shared" si="313"/>
        <v>0</v>
      </c>
      <c r="AQ165" s="172">
        <f t="shared" si="313"/>
        <v>0</v>
      </c>
      <c r="AR165" s="172">
        <f t="shared" si="313"/>
        <v>0</v>
      </c>
      <c r="AS165" s="172">
        <f t="shared" si="313"/>
        <v>0</v>
      </c>
      <c r="AT165" s="172">
        <f t="shared" si="304"/>
        <v>105796297</v>
      </c>
      <c r="AU165" s="173">
        <f t="shared" si="261"/>
        <v>62.307151438768415</v>
      </c>
      <c r="AV165" s="174">
        <f t="shared" si="303"/>
        <v>64001703</v>
      </c>
      <c r="AW165" s="173">
        <f t="shared" si="243"/>
        <v>37.692848561231578</v>
      </c>
      <c r="AX165" s="164"/>
      <c r="AY165" s="164"/>
      <c r="AZ165" s="164" t="s">
        <v>3921</v>
      </c>
      <c r="BA165" s="172">
        <f t="shared" ref="BA165:BC165" si="314">BA166+BA177</f>
        <v>0</v>
      </c>
      <c r="BB165" s="172">
        <f t="shared" si="314"/>
        <v>5496528</v>
      </c>
      <c r="BC165" s="172">
        <f t="shared" si="314"/>
        <v>4230000</v>
      </c>
      <c r="BD165" s="172">
        <f t="shared" ref="BD165" si="315">BD166+BD177</f>
        <v>0</v>
      </c>
      <c r="BE165" s="172">
        <f t="shared" ref="BE165" si="316">BE166+BE177</f>
        <v>0</v>
      </c>
      <c r="BF165" s="172">
        <f t="shared" ref="BF165:BG165" si="317">BF166+BF177</f>
        <v>300383</v>
      </c>
      <c r="BG165" s="172">
        <f t="shared" si="317"/>
        <v>36489355</v>
      </c>
      <c r="BH165" s="172">
        <f t="shared" ref="BH165" si="318">BH166+BH177</f>
        <v>2640000</v>
      </c>
    </row>
    <row r="166" spans="2:60" x14ac:dyDescent="0.25">
      <c r="B166" s="170">
        <v>301</v>
      </c>
      <c r="C166" s="171" t="s">
        <v>3053</v>
      </c>
      <c r="D166" s="171"/>
      <c r="E166" s="171"/>
      <c r="F166" s="172">
        <f>F167+F171</f>
        <v>119729000</v>
      </c>
      <c r="G166" s="172">
        <f>G167+G171</f>
        <v>507200000</v>
      </c>
      <c r="H166" s="172">
        <f>H167+H171</f>
        <v>0</v>
      </c>
      <c r="I166" s="172">
        <f>I167+I171</f>
        <v>387471000</v>
      </c>
      <c r="J166" s="172">
        <f t="shared" ref="J166:AS166" si="319">J167+J171</f>
        <v>0</v>
      </c>
      <c r="K166" s="172">
        <f t="shared" si="319"/>
        <v>0</v>
      </c>
      <c r="L166" s="172">
        <f t="shared" si="319"/>
        <v>0</v>
      </c>
      <c r="M166" s="172">
        <f t="shared" si="319"/>
        <v>0</v>
      </c>
      <c r="N166" s="172">
        <f t="shared" si="319"/>
        <v>0</v>
      </c>
      <c r="O166" s="172">
        <f t="shared" si="319"/>
        <v>0</v>
      </c>
      <c r="P166" s="172">
        <f t="shared" si="319"/>
        <v>0</v>
      </c>
      <c r="Q166" s="172">
        <f t="shared" si="319"/>
        <v>880000</v>
      </c>
      <c r="R166" s="172">
        <f t="shared" si="319"/>
        <v>2998528</v>
      </c>
      <c r="S166" s="172">
        <f t="shared" si="319"/>
        <v>524500</v>
      </c>
      <c r="T166" s="172">
        <f t="shared" si="319"/>
        <v>0</v>
      </c>
      <c r="U166" s="172">
        <f t="shared" si="319"/>
        <v>0</v>
      </c>
      <c r="V166" s="172">
        <f t="shared" si="319"/>
        <v>0</v>
      </c>
      <c r="W166" s="172">
        <f t="shared" si="319"/>
        <v>300383</v>
      </c>
      <c r="X166" s="172">
        <f t="shared" si="319"/>
        <v>31503355</v>
      </c>
      <c r="Y166" s="172">
        <f t="shared" si="319"/>
        <v>38467531</v>
      </c>
      <c r="Z166" s="172">
        <f t="shared" si="319"/>
        <v>0</v>
      </c>
      <c r="AA166" s="172">
        <f t="shared" si="319"/>
        <v>2640000</v>
      </c>
      <c r="AB166" s="172">
        <f t="shared" si="319"/>
        <v>0</v>
      </c>
      <c r="AC166" s="172">
        <f t="shared" si="319"/>
        <v>0</v>
      </c>
      <c r="AD166" s="172">
        <f t="shared" si="319"/>
        <v>0</v>
      </c>
      <c r="AE166" s="172">
        <f t="shared" si="319"/>
        <v>0</v>
      </c>
      <c r="AF166" s="172">
        <f t="shared" si="319"/>
        <v>0</v>
      </c>
      <c r="AG166" s="172">
        <f t="shared" si="319"/>
        <v>0</v>
      </c>
      <c r="AH166" s="172">
        <f t="shared" si="319"/>
        <v>0</v>
      </c>
      <c r="AI166" s="172">
        <f t="shared" si="319"/>
        <v>0</v>
      </c>
      <c r="AJ166" s="172">
        <f t="shared" si="319"/>
        <v>0</v>
      </c>
      <c r="AK166" s="172">
        <f t="shared" si="319"/>
        <v>0</v>
      </c>
      <c r="AL166" s="172">
        <f t="shared" si="319"/>
        <v>0</v>
      </c>
      <c r="AM166" s="172">
        <f t="shared" si="319"/>
        <v>0</v>
      </c>
      <c r="AN166" s="172">
        <f t="shared" si="319"/>
        <v>0</v>
      </c>
      <c r="AO166" s="172">
        <f t="shared" si="319"/>
        <v>0</v>
      </c>
      <c r="AP166" s="172">
        <f t="shared" si="319"/>
        <v>0</v>
      </c>
      <c r="AQ166" s="172">
        <f t="shared" si="319"/>
        <v>0</v>
      </c>
      <c r="AR166" s="172">
        <f t="shared" si="319"/>
        <v>0</v>
      </c>
      <c r="AS166" s="172">
        <f t="shared" si="319"/>
        <v>0</v>
      </c>
      <c r="AT166" s="172">
        <f t="shared" si="304"/>
        <v>77314297</v>
      </c>
      <c r="AU166" s="173">
        <f t="shared" si="261"/>
        <v>64.574411379030977</v>
      </c>
      <c r="AV166" s="174">
        <f t="shared" si="303"/>
        <v>42414703</v>
      </c>
      <c r="AW166" s="173">
        <f t="shared" si="243"/>
        <v>35.425588620969023</v>
      </c>
      <c r="AX166" s="164" t="s">
        <v>542</v>
      </c>
      <c r="AY166" s="164" t="s">
        <v>591</v>
      </c>
      <c r="AZ166" s="164" t="s">
        <v>3921</v>
      </c>
      <c r="BA166" s="172">
        <f t="shared" ref="BA166:BC166" si="320">BA167+BA171</f>
        <v>0</v>
      </c>
      <c r="BB166" s="172">
        <f t="shared" si="320"/>
        <v>2998528</v>
      </c>
      <c r="BC166" s="172">
        <f t="shared" si="320"/>
        <v>880000</v>
      </c>
      <c r="BD166" s="172">
        <f t="shared" ref="BD166" si="321">BD167+BD171</f>
        <v>0</v>
      </c>
      <c r="BE166" s="172">
        <f t="shared" ref="BE166" si="322">BE167+BE171</f>
        <v>0</v>
      </c>
      <c r="BF166" s="172">
        <f t="shared" ref="BF166:BG166" si="323">BF167+BF171</f>
        <v>300383</v>
      </c>
      <c r="BG166" s="172">
        <f t="shared" si="323"/>
        <v>31503355</v>
      </c>
      <c r="BH166" s="172">
        <f t="shared" ref="BH166" si="324">BH167+BH171</f>
        <v>2640000</v>
      </c>
    </row>
    <row r="167" spans="2:60"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25">SUM(J168:J170)</f>
        <v>0</v>
      </c>
      <c r="K167" s="167">
        <f t="shared" si="325"/>
        <v>0</v>
      </c>
      <c r="L167" s="167">
        <f t="shared" si="325"/>
        <v>0</v>
      </c>
      <c r="M167" s="167">
        <f t="shared" si="325"/>
        <v>0</v>
      </c>
      <c r="N167" s="167">
        <f t="shared" si="325"/>
        <v>0</v>
      </c>
      <c r="O167" s="167">
        <f t="shared" si="325"/>
        <v>0</v>
      </c>
      <c r="P167" s="167">
        <f t="shared" si="325"/>
        <v>0</v>
      </c>
      <c r="Q167" s="167">
        <f t="shared" si="325"/>
        <v>0</v>
      </c>
      <c r="R167" s="167">
        <f t="shared" si="325"/>
        <v>499528</v>
      </c>
      <c r="S167" s="167">
        <f t="shared" si="325"/>
        <v>0</v>
      </c>
      <c r="T167" s="167">
        <f t="shared" si="325"/>
        <v>0</v>
      </c>
      <c r="U167" s="167">
        <f t="shared" si="325"/>
        <v>0</v>
      </c>
      <c r="V167" s="167">
        <f t="shared" si="325"/>
        <v>0</v>
      </c>
      <c r="W167" s="167">
        <f t="shared" si="325"/>
        <v>0</v>
      </c>
      <c r="X167" s="167">
        <f t="shared" si="325"/>
        <v>6278500</v>
      </c>
      <c r="Y167" s="167">
        <f t="shared" si="325"/>
        <v>0</v>
      </c>
      <c r="Z167" s="167">
        <f t="shared" si="325"/>
        <v>0</v>
      </c>
      <c r="AA167" s="167">
        <f t="shared" si="325"/>
        <v>0</v>
      </c>
      <c r="AB167" s="167">
        <f t="shared" si="325"/>
        <v>0</v>
      </c>
      <c r="AC167" s="167">
        <f t="shared" si="325"/>
        <v>0</v>
      </c>
      <c r="AD167" s="167">
        <f t="shared" si="325"/>
        <v>0</v>
      </c>
      <c r="AE167" s="167">
        <f t="shared" si="325"/>
        <v>0</v>
      </c>
      <c r="AF167" s="167">
        <f t="shared" si="325"/>
        <v>0</v>
      </c>
      <c r="AG167" s="167">
        <f t="shared" si="325"/>
        <v>0</v>
      </c>
      <c r="AH167" s="167">
        <f t="shared" si="325"/>
        <v>0</v>
      </c>
      <c r="AI167" s="167">
        <f t="shared" si="325"/>
        <v>0</v>
      </c>
      <c r="AJ167" s="167">
        <f t="shared" si="325"/>
        <v>0</v>
      </c>
      <c r="AK167" s="167">
        <f t="shared" si="325"/>
        <v>0</v>
      </c>
      <c r="AL167" s="167">
        <f t="shared" si="325"/>
        <v>0</v>
      </c>
      <c r="AM167" s="167">
        <f t="shared" si="325"/>
        <v>0</v>
      </c>
      <c r="AN167" s="167">
        <f t="shared" si="325"/>
        <v>0</v>
      </c>
      <c r="AO167" s="167">
        <f t="shared" si="325"/>
        <v>0</v>
      </c>
      <c r="AP167" s="167">
        <f t="shared" si="325"/>
        <v>0</v>
      </c>
      <c r="AQ167" s="167">
        <f t="shared" si="325"/>
        <v>0</v>
      </c>
      <c r="AR167" s="167">
        <f t="shared" si="325"/>
        <v>0</v>
      </c>
      <c r="AS167" s="167">
        <f t="shared" si="325"/>
        <v>0</v>
      </c>
      <c r="AT167" s="167">
        <f>SUM(J167:AS167)</f>
        <v>6778028</v>
      </c>
      <c r="AU167" s="175">
        <f t="shared" si="261"/>
        <v>15.47883715088264</v>
      </c>
      <c r="AV167" s="176">
        <f t="shared" si="303"/>
        <v>37010972</v>
      </c>
      <c r="AW167" s="175">
        <f t="shared" si="243"/>
        <v>84.52116284911736</v>
      </c>
      <c r="AX167" s="164" t="s">
        <v>542</v>
      </c>
      <c r="AY167" s="164" t="s">
        <v>591</v>
      </c>
      <c r="AZ167" s="164" t="s">
        <v>3921</v>
      </c>
      <c r="BA167" s="167">
        <f t="shared" ref="BA167" si="326">SUM(BA168:BA170)</f>
        <v>0</v>
      </c>
      <c r="BB167" s="167">
        <f>SUM(BB168:BB170)</f>
        <v>499528</v>
      </c>
      <c r="BC167" s="167">
        <f>SUM(BC168:BC170)</f>
        <v>0</v>
      </c>
      <c r="BD167" s="167">
        <f t="shared" ref="BD167" si="327">SUM(BD168:BD170)</f>
        <v>0</v>
      </c>
      <c r="BE167" s="167">
        <f t="shared" ref="BE167" si="328">SUM(BE168:BE170)</f>
        <v>0</v>
      </c>
      <c r="BF167" s="167">
        <f t="shared" ref="BF167:BG167" si="329">SUM(BF168:BF170)</f>
        <v>0</v>
      </c>
      <c r="BG167" s="167">
        <f t="shared" si="329"/>
        <v>6278500</v>
      </c>
      <c r="BH167" s="167">
        <f t="shared" ref="BH167" si="330">SUM(BH168:BH170)</f>
        <v>0</v>
      </c>
    </row>
    <row r="168" spans="2:60" x14ac:dyDescent="0.25">
      <c r="B168" s="228">
        <v>521211</v>
      </c>
      <c r="C168" s="164" t="s">
        <v>7</v>
      </c>
      <c r="D168" s="164"/>
      <c r="E168" s="164"/>
      <c r="F168" s="165">
        <v>23250000</v>
      </c>
      <c r="G168" s="165">
        <v>46000000</v>
      </c>
      <c r="H168" s="165"/>
      <c r="I168" s="165">
        <f t="shared" ref="I168:I170" si="331">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04"/>
        <v>6278500</v>
      </c>
      <c r="AU168" s="168">
        <f t="shared" si="261"/>
        <v>27.004301075268817</v>
      </c>
      <c r="AV168" s="169">
        <f t="shared" si="303"/>
        <v>16971500</v>
      </c>
      <c r="AW168" s="168">
        <f t="shared" si="243"/>
        <v>72.995698924731172</v>
      </c>
      <c r="AX168" s="164" t="s">
        <v>542</v>
      </c>
      <c r="AY168" s="164" t="s">
        <v>591</v>
      </c>
      <c r="AZ168" s="164" t="s">
        <v>3921</v>
      </c>
      <c r="BA168" s="165"/>
      <c r="BB168" s="165"/>
      <c r="BC168" s="240"/>
      <c r="BD168" s="165"/>
      <c r="BE168" s="165"/>
      <c r="BF168" s="165"/>
      <c r="BG168" s="165">
        <v>6278500</v>
      </c>
      <c r="BH168" s="165"/>
    </row>
    <row r="169" spans="2:60" x14ac:dyDescent="0.25">
      <c r="B169" s="228">
        <v>521219</v>
      </c>
      <c r="C169" s="164" t="s">
        <v>53</v>
      </c>
      <c r="D169" s="164"/>
      <c r="E169" s="164"/>
      <c r="F169" s="165">
        <v>2000000</v>
      </c>
      <c r="G169" s="165">
        <v>2000000</v>
      </c>
      <c r="H169" s="165"/>
      <c r="I169" s="165">
        <f t="shared" si="331"/>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04"/>
        <v>499528</v>
      </c>
      <c r="AU169" s="168">
        <f t="shared" si="261"/>
        <v>24.976400000000002</v>
      </c>
      <c r="AV169" s="169">
        <f t="shared" si="303"/>
        <v>1500472</v>
      </c>
      <c r="AW169" s="168">
        <f t="shared" si="243"/>
        <v>75.023600000000002</v>
      </c>
      <c r="AX169" s="164" t="s">
        <v>542</v>
      </c>
      <c r="AY169" s="164" t="s">
        <v>591</v>
      </c>
      <c r="AZ169" s="318" t="s">
        <v>3921</v>
      </c>
      <c r="BA169" s="165"/>
      <c r="BB169" s="165">
        <v>499528</v>
      </c>
      <c r="BC169" s="240"/>
      <c r="BD169" s="165"/>
      <c r="BE169" s="165"/>
      <c r="BF169" s="165"/>
      <c r="BG169" s="165"/>
      <c r="BH169" s="165"/>
    </row>
    <row r="170" spans="2:60" x14ac:dyDescent="0.25">
      <c r="B170" s="228">
        <v>524111</v>
      </c>
      <c r="C170" s="164" t="s">
        <v>19</v>
      </c>
      <c r="D170" s="164"/>
      <c r="E170" s="164"/>
      <c r="F170" s="165">
        <v>18539000</v>
      </c>
      <c r="G170" s="165">
        <v>247200000</v>
      </c>
      <c r="H170" s="165"/>
      <c r="I170" s="165">
        <f t="shared" si="331"/>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04"/>
        <v>0</v>
      </c>
      <c r="AU170" s="168">
        <f t="shared" si="261"/>
        <v>0</v>
      </c>
      <c r="AV170" s="169">
        <f t="shared" si="303"/>
        <v>18539000</v>
      </c>
      <c r="AW170" s="168">
        <f t="shared" si="243"/>
        <v>100</v>
      </c>
      <c r="AX170" s="164" t="s">
        <v>542</v>
      </c>
      <c r="AY170" s="164" t="s">
        <v>591</v>
      </c>
      <c r="AZ170" s="164" t="s">
        <v>3921</v>
      </c>
      <c r="BA170" s="165"/>
      <c r="BB170" s="165"/>
      <c r="BC170" s="240"/>
      <c r="BD170" s="165"/>
      <c r="BE170" s="165"/>
      <c r="BF170" s="165"/>
      <c r="BG170" s="165"/>
      <c r="BH170" s="165"/>
    </row>
    <row r="171" spans="2:60" x14ac:dyDescent="0.25">
      <c r="B171" s="230" t="s">
        <v>511</v>
      </c>
      <c r="C171" s="166" t="s">
        <v>175</v>
      </c>
      <c r="D171" s="166"/>
      <c r="E171" s="166"/>
      <c r="F171" s="167">
        <f t="shared" ref="F171:AS171" si="332">SUM(F172:F176)</f>
        <v>75940000</v>
      </c>
      <c r="G171" s="167">
        <f t="shared" ref="G171:H171" si="333">SUM(G172:G176)</f>
        <v>212000000</v>
      </c>
      <c r="H171" s="167">
        <f t="shared" si="333"/>
        <v>0</v>
      </c>
      <c r="I171" s="167">
        <f t="shared" ref="I171" si="334">SUM(I172:I176)</f>
        <v>136060000</v>
      </c>
      <c r="J171" s="167">
        <f t="shared" si="332"/>
        <v>0</v>
      </c>
      <c r="K171" s="167">
        <f t="shared" si="332"/>
        <v>0</v>
      </c>
      <c r="L171" s="167">
        <f t="shared" si="332"/>
        <v>0</v>
      </c>
      <c r="M171" s="167">
        <f t="shared" si="332"/>
        <v>0</v>
      </c>
      <c r="N171" s="167">
        <f t="shared" si="332"/>
        <v>0</v>
      </c>
      <c r="O171" s="167">
        <f t="shared" si="332"/>
        <v>0</v>
      </c>
      <c r="P171" s="167">
        <f t="shared" si="332"/>
        <v>0</v>
      </c>
      <c r="Q171" s="167">
        <f t="shared" si="332"/>
        <v>880000</v>
      </c>
      <c r="R171" s="167">
        <f t="shared" si="332"/>
        <v>2499000</v>
      </c>
      <c r="S171" s="167">
        <f t="shared" si="332"/>
        <v>524500</v>
      </c>
      <c r="T171" s="167">
        <f t="shared" si="332"/>
        <v>0</v>
      </c>
      <c r="U171" s="167">
        <f t="shared" si="332"/>
        <v>0</v>
      </c>
      <c r="V171" s="167">
        <f t="shared" si="332"/>
        <v>0</v>
      </c>
      <c r="W171" s="167">
        <f t="shared" si="332"/>
        <v>300383</v>
      </c>
      <c r="X171" s="167">
        <f t="shared" si="332"/>
        <v>25224855</v>
      </c>
      <c r="Y171" s="167">
        <f t="shared" si="332"/>
        <v>38467531</v>
      </c>
      <c r="Z171" s="167">
        <f t="shared" si="332"/>
        <v>0</v>
      </c>
      <c r="AA171" s="167">
        <f t="shared" si="332"/>
        <v>2640000</v>
      </c>
      <c r="AB171" s="167">
        <f t="shared" si="332"/>
        <v>0</v>
      </c>
      <c r="AC171" s="167">
        <f t="shared" si="332"/>
        <v>0</v>
      </c>
      <c r="AD171" s="167">
        <f t="shared" si="332"/>
        <v>0</v>
      </c>
      <c r="AE171" s="167">
        <f t="shared" si="332"/>
        <v>0</v>
      </c>
      <c r="AF171" s="167">
        <f t="shared" si="332"/>
        <v>0</v>
      </c>
      <c r="AG171" s="167">
        <f t="shared" si="332"/>
        <v>0</v>
      </c>
      <c r="AH171" s="167">
        <f t="shared" si="332"/>
        <v>0</v>
      </c>
      <c r="AI171" s="167">
        <f t="shared" si="332"/>
        <v>0</v>
      </c>
      <c r="AJ171" s="167">
        <f t="shared" si="332"/>
        <v>0</v>
      </c>
      <c r="AK171" s="167">
        <f t="shared" si="332"/>
        <v>0</v>
      </c>
      <c r="AL171" s="167">
        <f t="shared" si="332"/>
        <v>0</v>
      </c>
      <c r="AM171" s="167">
        <f t="shared" si="332"/>
        <v>0</v>
      </c>
      <c r="AN171" s="167">
        <f t="shared" si="332"/>
        <v>0</v>
      </c>
      <c r="AO171" s="167">
        <f t="shared" si="332"/>
        <v>0</v>
      </c>
      <c r="AP171" s="167">
        <f t="shared" si="332"/>
        <v>0</v>
      </c>
      <c r="AQ171" s="167">
        <f t="shared" si="332"/>
        <v>0</v>
      </c>
      <c r="AR171" s="167">
        <f t="shared" si="332"/>
        <v>0</v>
      </c>
      <c r="AS171" s="167">
        <f t="shared" si="332"/>
        <v>0</v>
      </c>
      <c r="AT171" s="167">
        <f t="shared" si="304"/>
        <v>70536269</v>
      </c>
      <c r="AU171" s="175">
        <f t="shared" si="261"/>
        <v>92.884209902554645</v>
      </c>
      <c r="AV171" s="176">
        <f>F171-AT171</f>
        <v>5403731</v>
      </c>
      <c r="AW171" s="175">
        <f t="shared" si="243"/>
        <v>7.1157900974453518</v>
      </c>
      <c r="AX171" s="164" t="s">
        <v>542</v>
      </c>
      <c r="AY171" s="164" t="s">
        <v>591</v>
      </c>
      <c r="AZ171" s="164" t="s">
        <v>3921</v>
      </c>
      <c r="BA171" s="167">
        <f t="shared" ref="BA171:BD171" si="335">SUM(BA172:BA176)</f>
        <v>0</v>
      </c>
      <c r="BB171" s="167">
        <f t="shared" si="335"/>
        <v>2499000</v>
      </c>
      <c r="BC171" s="167">
        <f t="shared" si="335"/>
        <v>880000</v>
      </c>
      <c r="BD171" s="167">
        <f t="shared" si="335"/>
        <v>0</v>
      </c>
      <c r="BE171" s="167">
        <f t="shared" ref="BE171" si="336">SUM(BE172:BE176)</f>
        <v>0</v>
      </c>
      <c r="BF171" s="167">
        <f t="shared" ref="BF171:BG171" si="337">SUM(BF172:BF176)</f>
        <v>300383</v>
      </c>
      <c r="BG171" s="167">
        <f t="shared" si="337"/>
        <v>25224855</v>
      </c>
      <c r="BH171" s="167">
        <f t="shared" ref="BH171" si="338">SUM(BH172:BH176)</f>
        <v>2640000</v>
      </c>
    </row>
    <row r="172" spans="2:60" x14ac:dyDescent="0.25">
      <c r="B172" s="228">
        <v>521211</v>
      </c>
      <c r="C172" s="164" t="s">
        <v>7</v>
      </c>
      <c r="D172" s="164"/>
      <c r="E172" s="164"/>
      <c r="F172" s="165">
        <v>13525000</v>
      </c>
      <c r="G172" s="165">
        <v>41000000</v>
      </c>
      <c r="H172" s="165"/>
      <c r="I172" s="165">
        <f t="shared" ref="I172:I176" si="33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04"/>
        <v>9519000</v>
      </c>
      <c r="AU172" s="168">
        <f t="shared" si="261"/>
        <v>70.380776340110913</v>
      </c>
      <c r="AV172" s="169">
        <f t="shared" si="303"/>
        <v>4006000</v>
      </c>
      <c r="AW172" s="168">
        <f t="shared" si="243"/>
        <v>29.619223659889094</v>
      </c>
      <c r="AX172" s="164" t="s">
        <v>542</v>
      </c>
      <c r="AY172" s="164" t="s">
        <v>591</v>
      </c>
      <c r="AZ172" s="164" t="s">
        <v>3921</v>
      </c>
      <c r="BA172" s="165"/>
      <c r="BB172" s="165">
        <v>2499000</v>
      </c>
      <c r="BC172" s="240">
        <v>880000</v>
      </c>
      <c r="BD172" s="165"/>
      <c r="BE172" s="165"/>
      <c r="BF172" s="165"/>
      <c r="BG172" s="165">
        <v>3500000</v>
      </c>
      <c r="BH172" s="165">
        <v>2640000</v>
      </c>
    </row>
    <row r="173" spans="2:60" x14ac:dyDescent="0.25">
      <c r="B173" s="228">
        <v>521219</v>
      </c>
      <c r="C173" s="164" t="s">
        <v>53</v>
      </c>
      <c r="D173" s="164"/>
      <c r="E173" s="164"/>
      <c r="F173" s="165">
        <v>2000000</v>
      </c>
      <c r="G173" s="165">
        <v>32000000</v>
      </c>
      <c r="H173" s="165"/>
      <c r="I173" s="165">
        <f t="shared" si="33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04"/>
        <v>603014</v>
      </c>
      <c r="AU173" s="168">
        <f t="shared" si="261"/>
        <v>30.150700000000004</v>
      </c>
      <c r="AV173" s="169">
        <f t="shared" si="303"/>
        <v>1396986</v>
      </c>
      <c r="AW173" s="168">
        <f t="shared" si="243"/>
        <v>69.849299999999999</v>
      </c>
      <c r="AX173" s="164" t="s">
        <v>542</v>
      </c>
      <c r="AY173" s="164" t="s">
        <v>591</v>
      </c>
      <c r="AZ173" s="318" t="s">
        <v>3921</v>
      </c>
      <c r="BA173" s="165"/>
      <c r="BB173" s="165"/>
      <c r="BC173" s="240"/>
      <c r="BD173" s="165"/>
      <c r="BE173" s="165"/>
      <c r="BF173" s="165">
        <v>300383</v>
      </c>
      <c r="BG173" s="165">
        <v>302631</v>
      </c>
      <c r="BH173" s="165"/>
    </row>
    <row r="174" spans="2:60" x14ac:dyDescent="0.25">
      <c r="B174" s="228">
        <v>522151</v>
      </c>
      <c r="C174" s="164" t="s">
        <v>11</v>
      </c>
      <c r="D174" s="164"/>
      <c r="E174" s="164"/>
      <c r="F174" s="165">
        <v>0</v>
      </c>
      <c r="G174" s="165">
        <v>10000000</v>
      </c>
      <c r="H174" s="165"/>
      <c r="I174" s="165">
        <f t="shared" si="33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04"/>
        <v>0</v>
      </c>
      <c r="AU174" s="168">
        <f t="shared" si="261"/>
        <v>0</v>
      </c>
      <c r="AV174" s="169">
        <f t="shared" si="303"/>
        <v>0</v>
      </c>
      <c r="AW174" s="168" t="e">
        <f t="shared" si="243"/>
        <v>#DIV/0!</v>
      </c>
      <c r="AX174" s="164" t="s">
        <v>542</v>
      </c>
      <c r="AY174" s="164" t="s">
        <v>591</v>
      </c>
      <c r="AZ174" s="164" t="s">
        <v>3921</v>
      </c>
      <c r="BA174" s="165"/>
      <c r="BB174" s="165"/>
      <c r="BC174" s="240"/>
      <c r="BD174" s="165"/>
      <c r="BE174" s="165"/>
      <c r="BF174" s="165"/>
      <c r="BG174" s="165"/>
      <c r="BH174" s="165"/>
    </row>
    <row r="175" spans="2:60" x14ac:dyDescent="0.25">
      <c r="B175" s="228">
        <v>524111</v>
      </c>
      <c r="C175" s="164" t="s">
        <v>19</v>
      </c>
      <c r="D175" s="164"/>
      <c r="E175" s="164"/>
      <c r="F175" s="165">
        <v>60415000</v>
      </c>
      <c r="G175" s="165">
        <v>120000000</v>
      </c>
      <c r="H175" s="165"/>
      <c r="I175" s="165">
        <f t="shared" si="33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04"/>
        <v>60414255</v>
      </c>
      <c r="AU175" s="168">
        <f t="shared" si="261"/>
        <v>99.99876686253414</v>
      </c>
      <c r="AV175" s="169">
        <f t="shared" si="303"/>
        <v>745</v>
      </c>
      <c r="AW175" s="168">
        <f t="shared" si="243"/>
        <v>1.2331374658611273E-3</v>
      </c>
      <c r="AX175" s="164" t="s">
        <v>542</v>
      </c>
      <c r="AY175" s="164" t="s">
        <v>591</v>
      </c>
      <c r="AZ175" s="164" t="s">
        <v>3921</v>
      </c>
      <c r="BA175" s="165"/>
      <c r="BB175" s="165"/>
      <c r="BC175" s="240"/>
      <c r="BD175" s="165"/>
      <c r="BE175" s="165"/>
      <c r="BF175" s="165"/>
      <c r="BG175" s="165">
        <v>21422224</v>
      </c>
      <c r="BH175" s="165"/>
    </row>
    <row r="176" spans="2:60" x14ac:dyDescent="0.25">
      <c r="B176" s="228">
        <v>524113</v>
      </c>
      <c r="C176" s="164" t="s">
        <v>13</v>
      </c>
      <c r="D176" s="164"/>
      <c r="E176" s="164"/>
      <c r="F176" s="165">
        <v>0</v>
      </c>
      <c r="G176" s="165">
        <v>9000000</v>
      </c>
      <c r="H176" s="165"/>
      <c r="I176" s="165">
        <f t="shared" si="33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04"/>
        <v>0</v>
      </c>
      <c r="AU176" s="168">
        <f t="shared" si="261"/>
        <v>0</v>
      </c>
      <c r="AV176" s="169">
        <f t="shared" si="303"/>
        <v>0</v>
      </c>
      <c r="AW176" s="168" t="e">
        <f t="shared" si="243"/>
        <v>#DIV/0!</v>
      </c>
      <c r="AX176" s="164" t="s">
        <v>542</v>
      </c>
      <c r="AY176" s="164" t="s">
        <v>591</v>
      </c>
      <c r="AZ176" s="164" t="s">
        <v>3921</v>
      </c>
      <c r="BA176" s="165"/>
      <c r="BB176" s="165"/>
      <c r="BC176" s="240"/>
      <c r="BD176" s="165"/>
      <c r="BE176" s="165"/>
      <c r="BF176" s="165"/>
      <c r="BG176" s="165"/>
      <c r="BH176" s="165"/>
    </row>
    <row r="177" spans="2:60" x14ac:dyDescent="0.25">
      <c r="B177" s="170">
        <v>302</v>
      </c>
      <c r="C177" s="171" t="s">
        <v>3091</v>
      </c>
      <c r="D177" s="171"/>
      <c r="E177" s="171"/>
      <c r="F177" s="172">
        <f t="shared" ref="F177:AS177" si="340">F178</f>
        <v>50069000</v>
      </c>
      <c r="G177" s="172">
        <f t="shared" si="340"/>
        <v>126532000</v>
      </c>
      <c r="H177" s="172">
        <f t="shared" si="340"/>
        <v>0</v>
      </c>
      <c r="I177" s="172">
        <f t="shared" si="340"/>
        <v>76463000</v>
      </c>
      <c r="J177" s="172">
        <f t="shared" si="340"/>
        <v>0</v>
      </c>
      <c r="K177" s="172">
        <f t="shared" si="340"/>
        <v>0</v>
      </c>
      <c r="L177" s="172">
        <f t="shared" si="340"/>
        <v>0</v>
      </c>
      <c r="M177" s="172">
        <f t="shared" si="340"/>
        <v>0</v>
      </c>
      <c r="N177" s="172">
        <f t="shared" si="340"/>
        <v>0</v>
      </c>
      <c r="O177" s="172">
        <f t="shared" si="340"/>
        <v>0</v>
      </c>
      <c r="P177" s="172">
        <f t="shared" si="340"/>
        <v>0</v>
      </c>
      <c r="Q177" s="172">
        <f t="shared" si="340"/>
        <v>3350000</v>
      </c>
      <c r="R177" s="172">
        <f t="shared" si="340"/>
        <v>2498000</v>
      </c>
      <c r="S177" s="172">
        <f t="shared" si="340"/>
        <v>15530000</v>
      </c>
      <c r="T177" s="172">
        <f t="shared" si="340"/>
        <v>0</v>
      </c>
      <c r="U177" s="172">
        <f t="shared" si="340"/>
        <v>0</v>
      </c>
      <c r="V177" s="172">
        <f t="shared" si="340"/>
        <v>0</v>
      </c>
      <c r="W177" s="172">
        <f t="shared" si="340"/>
        <v>0</v>
      </c>
      <c r="X177" s="172">
        <f t="shared" si="340"/>
        <v>4986000</v>
      </c>
      <c r="Y177" s="172">
        <f t="shared" si="340"/>
        <v>2118000</v>
      </c>
      <c r="Z177" s="172">
        <f t="shared" si="340"/>
        <v>0</v>
      </c>
      <c r="AA177" s="172">
        <f t="shared" si="340"/>
        <v>0</v>
      </c>
      <c r="AB177" s="172">
        <f t="shared" si="340"/>
        <v>0</v>
      </c>
      <c r="AC177" s="172">
        <f t="shared" si="340"/>
        <v>0</v>
      </c>
      <c r="AD177" s="172">
        <f t="shared" si="340"/>
        <v>0</v>
      </c>
      <c r="AE177" s="172">
        <f t="shared" si="340"/>
        <v>0</v>
      </c>
      <c r="AF177" s="172">
        <f t="shared" si="340"/>
        <v>0</v>
      </c>
      <c r="AG177" s="172">
        <f t="shared" si="340"/>
        <v>0</v>
      </c>
      <c r="AH177" s="172">
        <f t="shared" si="340"/>
        <v>0</v>
      </c>
      <c r="AI177" s="172">
        <f t="shared" si="340"/>
        <v>0</v>
      </c>
      <c r="AJ177" s="172">
        <f t="shared" si="340"/>
        <v>0</v>
      </c>
      <c r="AK177" s="172">
        <f t="shared" si="340"/>
        <v>0</v>
      </c>
      <c r="AL177" s="172">
        <f t="shared" si="340"/>
        <v>0</v>
      </c>
      <c r="AM177" s="172">
        <f t="shared" si="340"/>
        <v>0</v>
      </c>
      <c r="AN177" s="172">
        <f t="shared" si="340"/>
        <v>0</v>
      </c>
      <c r="AO177" s="172">
        <f t="shared" si="340"/>
        <v>0</v>
      </c>
      <c r="AP177" s="172">
        <f t="shared" si="340"/>
        <v>0</v>
      </c>
      <c r="AQ177" s="172">
        <f t="shared" si="340"/>
        <v>0</v>
      </c>
      <c r="AR177" s="172">
        <f t="shared" si="340"/>
        <v>0</v>
      </c>
      <c r="AS177" s="172">
        <f t="shared" si="340"/>
        <v>0</v>
      </c>
      <c r="AT177" s="172">
        <f t="shared" ref="AT177" si="341">SUM(J177:AS177)</f>
        <v>28482000</v>
      </c>
      <c r="AU177" s="173">
        <f t="shared" si="261"/>
        <v>56.885498012742417</v>
      </c>
      <c r="AV177" s="174">
        <f t="shared" ref="AV177:AV178" si="342">F177-AT177</f>
        <v>21587000</v>
      </c>
      <c r="AW177" s="173">
        <f t="shared" ref="AW177:AW178" si="343">AV177/F177*100</f>
        <v>43.114501987257583</v>
      </c>
      <c r="AX177" s="164" t="s">
        <v>542</v>
      </c>
      <c r="AY177" s="164" t="s">
        <v>591</v>
      </c>
      <c r="AZ177" s="164" t="s">
        <v>3921</v>
      </c>
      <c r="BA177" s="172">
        <f t="shared" ref="BA177:BB177" si="344">BA178</f>
        <v>0</v>
      </c>
      <c r="BB177" s="172">
        <f t="shared" si="344"/>
        <v>2498000</v>
      </c>
      <c r="BC177" s="172">
        <f>BC178</f>
        <v>3350000</v>
      </c>
      <c r="BD177" s="172">
        <f t="shared" ref="BD177:BH177" si="345">BD178</f>
        <v>0</v>
      </c>
      <c r="BE177" s="172">
        <f t="shared" si="345"/>
        <v>0</v>
      </c>
      <c r="BF177" s="172">
        <f t="shared" si="345"/>
        <v>0</v>
      </c>
      <c r="BG177" s="172">
        <f t="shared" si="345"/>
        <v>4986000</v>
      </c>
      <c r="BH177" s="172">
        <f t="shared" si="345"/>
        <v>0</v>
      </c>
    </row>
    <row r="178" spans="2:60"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46">SUM(J179:J181)</f>
        <v>0</v>
      </c>
      <c r="K178" s="167">
        <f t="shared" si="346"/>
        <v>0</v>
      </c>
      <c r="L178" s="167">
        <f t="shared" si="346"/>
        <v>0</v>
      </c>
      <c r="M178" s="167">
        <f t="shared" si="346"/>
        <v>0</v>
      </c>
      <c r="N178" s="167">
        <f t="shared" si="346"/>
        <v>0</v>
      </c>
      <c r="O178" s="167">
        <f t="shared" si="346"/>
        <v>0</v>
      </c>
      <c r="P178" s="167">
        <f t="shared" si="346"/>
        <v>0</v>
      </c>
      <c r="Q178" s="167">
        <f t="shared" si="346"/>
        <v>3350000</v>
      </c>
      <c r="R178" s="167">
        <f t="shared" si="346"/>
        <v>2498000</v>
      </c>
      <c r="S178" s="167">
        <f t="shared" si="346"/>
        <v>15530000</v>
      </c>
      <c r="T178" s="167">
        <f t="shared" si="346"/>
        <v>0</v>
      </c>
      <c r="U178" s="167">
        <f t="shared" si="346"/>
        <v>0</v>
      </c>
      <c r="V178" s="167">
        <f t="shared" si="346"/>
        <v>0</v>
      </c>
      <c r="W178" s="167">
        <f t="shared" si="346"/>
        <v>0</v>
      </c>
      <c r="X178" s="167">
        <f t="shared" si="346"/>
        <v>4986000</v>
      </c>
      <c r="Y178" s="167">
        <f t="shared" si="346"/>
        <v>2118000</v>
      </c>
      <c r="Z178" s="167">
        <f t="shared" si="346"/>
        <v>0</v>
      </c>
      <c r="AA178" s="167">
        <f t="shared" si="346"/>
        <v>0</v>
      </c>
      <c r="AB178" s="167">
        <f t="shared" si="346"/>
        <v>0</v>
      </c>
      <c r="AC178" s="167">
        <f t="shared" si="346"/>
        <v>0</v>
      </c>
      <c r="AD178" s="167">
        <f t="shared" si="346"/>
        <v>0</v>
      </c>
      <c r="AE178" s="167">
        <f t="shared" si="346"/>
        <v>0</v>
      </c>
      <c r="AF178" s="167">
        <f t="shared" si="346"/>
        <v>0</v>
      </c>
      <c r="AG178" s="167">
        <f t="shared" si="346"/>
        <v>0</v>
      </c>
      <c r="AH178" s="167">
        <f t="shared" si="346"/>
        <v>0</v>
      </c>
      <c r="AI178" s="167">
        <f t="shared" si="346"/>
        <v>0</v>
      </c>
      <c r="AJ178" s="167">
        <f t="shared" si="346"/>
        <v>0</v>
      </c>
      <c r="AK178" s="167">
        <f t="shared" si="346"/>
        <v>0</v>
      </c>
      <c r="AL178" s="167">
        <f t="shared" si="346"/>
        <v>0</v>
      </c>
      <c r="AM178" s="167">
        <f t="shared" si="346"/>
        <v>0</v>
      </c>
      <c r="AN178" s="167">
        <f t="shared" si="346"/>
        <v>0</v>
      </c>
      <c r="AO178" s="167">
        <f t="shared" si="346"/>
        <v>0</v>
      </c>
      <c r="AP178" s="167">
        <f t="shared" si="346"/>
        <v>0</v>
      </c>
      <c r="AQ178" s="167">
        <f t="shared" si="346"/>
        <v>0</v>
      </c>
      <c r="AR178" s="167">
        <f t="shared" si="346"/>
        <v>0</v>
      </c>
      <c r="AS178" s="167">
        <f t="shared" si="346"/>
        <v>0</v>
      </c>
      <c r="AT178" s="167">
        <f>SUM(J178:AS178)</f>
        <v>28482000</v>
      </c>
      <c r="AU178" s="175">
        <f t="shared" si="261"/>
        <v>56.885498012742417</v>
      </c>
      <c r="AV178" s="176">
        <f t="shared" si="342"/>
        <v>21587000</v>
      </c>
      <c r="AW178" s="175">
        <f t="shared" si="343"/>
        <v>43.114501987257583</v>
      </c>
      <c r="AX178" s="164" t="s">
        <v>542</v>
      </c>
      <c r="AY178" s="164" t="s">
        <v>591</v>
      </c>
      <c r="AZ178" s="164" t="s">
        <v>3921</v>
      </c>
      <c r="BA178" s="167">
        <f t="shared" ref="BA178:BB178" si="347">SUM(BA179:BA181)</f>
        <v>0</v>
      </c>
      <c r="BB178" s="167">
        <f t="shared" si="347"/>
        <v>2498000</v>
      </c>
      <c r="BC178" s="167">
        <f>SUM(BC179:BC181)</f>
        <v>3350000</v>
      </c>
      <c r="BD178" s="167">
        <f t="shared" ref="BD178" si="348">SUM(BD179:BD181)</f>
        <v>0</v>
      </c>
      <c r="BE178" s="167">
        <f t="shared" ref="BE178" si="349">SUM(BE179:BE181)</f>
        <v>0</v>
      </c>
      <c r="BF178" s="167">
        <f t="shared" ref="BF178:BG178" si="350">SUM(BF179:BF181)</f>
        <v>0</v>
      </c>
      <c r="BG178" s="167">
        <f t="shared" si="350"/>
        <v>4986000</v>
      </c>
      <c r="BH178" s="167">
        <f t="shared" ref="BH178" si="351">SUM(BH179:BH181)</f>
        <v>0</v>
      </c>
    </row>
    <row r="179" spans="2:60" x14ac:dyDescent="0.25">
      <c r="B179" s="228">
        <v>521211</v>
      </c>
      <c r="C179" s="164" t="s">
        <v>7</v>
      </c>
      <c r="D179" s="164"/>
      <c r="E179" s="164"/>
      <c r="F179" s="165">
        <v>17900000</v>
      </c>
      <c r="G179" s="165">
        <v>35500000</v>
      </c>
      <c r="H179" s="165"/>
      <c r="I179" s="165">
        <f t="shared" ref="I179:I181" si="352">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04"/>
        <v>8344000</v>
      </c>
      <c r="AU179" s="168">
        <f t="shared" si="261"/>
        <v>46.614525139664806</v>
      </c>
      <c r="AV179" s="169">
        <f t="shared" si="303"/>
        <v>9556000</v>
      </c>
      <c r="AW179" s="168">
        <f t="shared" si="243"/>
        <v>53.385474860335194</v>
      </c>
      <c r="AX179" s="164" t="s">
        <v>542</v>
      </c>
      <c r="AY179" s="164" t="s">
        <v>591</v>
      </c>
      <c r="AZ179" s="164" t="s">
        <v>3921</v>
      </c>
      <c r="BA179" s="165"/>
      <c r="BB179" s="165">
        <v>2498000</v>
      </c>
      <c r="BC179" s="240">
        <v>860000</v>
      </c>
      <c r="BD179" s="165"/>
      <c r="BE179" s="165"/>
      <c r="BF179" s="165"/>
      <c r="BG179" s="165">
        <v>4986000</v>
      </c>
      <c r="BH179" s="165"/>
    </row>
    <row r="180" spans="2:60" x14ac:dyDescent="0.25">
      <c r="B180" s="228">
        <v>521219</v>
      </c>
      <c r="C180" s="164" t="s">
        <v>53</v>
      </c>
      <c r="D180" s="164"/>
      <c r="E180" s="164"/>
      <c r="F180" s="165">
        <v>2000000</v>
      </c>
      <c r="G180" s="165">
        <v>2000000</v>
      </c>
      <c r="H180" s="165"/>
      <c r="I180" s="165">
        <f t="shared" si="352"/>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04"/>
        <v>0</v>
      </c>
      <c r="AU180" s="168">
        <f t="shared" si="261"/>
        <v>0</v>
      </c>
      <c r="AV180" s="169">
        <f t="shared" si="303"/>
        <v>2000000</v>
      </c>
      <c r="AW180" s="168">
        <f t="shared" si="243"/>
        <v>100</v>
      </c>
      <c r="AX180" s="164" t="s">
        <v>542</v>
      </c>
      <c r="AY180" s="164" t="s">
        <v>591</v>
      </c>
      <c r="AZ180" s="164" t="s">
        <v>3921</v>
      </c>
      <c r="BA180" s="165"/>
      <c r="BB180" s="165"/>
      <c r="BC180" s="240"/>
      <c r="BD180" s="165"/>
      <c r="BE180" s="165"/>
      <c r="BF180" s="165"/>
      <c r="BG180" s="165"/>
      <c r="BH180" s="165"/>
    </row>
    <row r="181" spans="2:60" x14ac:dyDescent="0.25">
      <c r="B181" s="228">
        <v>524111</v>
      </c>
      <c r="C181" s="164" t="s">
        <v>19</v>
      </c>
      <c r="D181" s="164"/>
      <c r="E181" s="164"/>
      <c r="F181" s="165">
        <v>30169000</v>
      </c>
      <c r="G181" s="165">
        <v>89032000</v>
      </c>
      <c r="H181" s="165"/>
      <c r="I181" s="165">
        <f t="shared" si="352"/>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04"/>
        <v>20138000</v>
      </c>
      <c r="AU181" s="168">
        <f t="shared" si="261"/>
        <v>66.750638072193311</v>
      </c>
      <c r="AV181" s="169">
        <f t="shared" si="303"/>
        <v>10031000</v>
      </c>
      <c r="AW181" s="168">
        <f t="shared" si="243"/>
        <v>33.249361927806689</v>
      </c>
      <c r="AX181" s="164" t="s">
        <v>542</v>
      </c>
      <c r="AY181" s="164" t="s">
        <v>591</v>
      </c>
      <c r="AZ181" s="164" t="s">
        <v>3921</v>
      </c>
      <c r="BA181" s="165"/>
      <c r="BB181" s="165"/>
      <c r="BC181" s="240">
        <v>2490000</v>
      </c>
      <c r="BD181" s="165"/>
      <c r="BE181" s="165"/>
      <c r="BF181" s="165"/>
      <c r="BG181" s="165"/>
      <c r="BH181" s="165"/>
    </row>
    <row r="182" spans="2:60" x14ac:dyDescent="0.25">
      <c r="B182" s="170" t="s">
        <v>3798</v>
      </c>
      <c r="C182" s="171" t="s">
        <v>3106</v>
      </c>
      <c r="D182" s="171">
        <v>1</v>
      </c>
      <c r="E182" s="171" t="s">
        <v>3782</v>
      </c>
      <c r="F182" s="172">
        <f>F183</f>
        <v>197920000</v>
      </c>
      <c r="G182" s="172">
        <f>G183</f>
        <v>289920000</v>
      </c>
      <c r="H182" s="172">
        <f>H183</f>
        <v>0</v>
      </c>
      <c r="I182" s="172">
        <f>I183</f>
        <v>92000000</v>
      </c>
      <c r="J182" s="172">
        <f t="shared" ref="J182:AS182" si="353">J183</f>
        <v>0</v>
      </c>
      <c r="K182" s="172">
        <f t="shared" si="353"/>
        <v>0</v>
      </c>
      <c r="L182" s="172">
        <f t="shared" si="353"/>
        <v>0</v>
      </c>
      <c r="M182" s="172">
        <f t="shared" si="353"/>
        <v>0</v>
      </c>
      <c r="N182" s="172">
        <f t="shared" si="353"/>
        <v>0</v>
      </c>
      <c r="O182" s="172">
        <f t="shared" si="353"/>
        <v>0</v>
      </c>
      <c r="P182" s="172">
        <f t="shared" si="353"/>
        <v>0</v>
      </c>
      <c r="Q182" s="172">
        <f t="shared" si="353"/>
        <v>18269500</v>
      </c>
      <c r="R182" s="172">
        <f t="shared" si="353"/>
        <v>50674500</v>
      </c>
      <c r="S182" s="172">
        <f t="shared" si="353"/>
        <v>0</v>
      </c>
      <c r="T182" s="172">
        <f t="shared" si="353"/>
        <v>19929200</v>
      </c>
      <c r="U182" s="172">
        <f t="shared" si="353"/>
        <v>0</v>
      </c>
      <c r="V182" s="172">
        <f t="shared" si="353"/>
        <v>0</v>
      </c>
      <c r="W182" s="172">
        <f t="shared" si="353"/>
        <v>19882500</v>
      </c>
      <c r="X182" s="172">
        <f t="shared" si="353"/>
        <v>25762820</v>
      </c>
      <c r="Y182" s="172">
        <f t="shared" si="353"/>
        <v>0</v>
      </c>
      <c r="Z182" s="172">
        <f t="shared" si="353"/>
        <v>0</v>
      </c>
      <c r="AA182" s="172">
        <f t="shared" si="353"/>
        <v>2030000</v>
      </c>
      <c r="AB182" s="172">
        <f t="shared" si="353"/>
        <v>0</v>
      </c>
      <c r="AC182" s="172">
        <f t="shared" si="353"/>
        <v>0</v>
      </c>
      <c r="AD182" s="172">
        <f t="shared" si="353"/>
        <v>0</v>
      </c>
      <c r="AE182" s="172">
        <f t="shared" si="353"/>
        <v>0</v>
      </c>
      <c r="AF182" s="172">
        <f t="shared" si="353"/>
        <v>0</v>
      </c>
      <c r="AG182" s="172">
        <f t="shared" si="353"/>
        <v>0</v>
      </c>
      <c r="AH182" s="172">
        <f t="shared" si="353"/>
        <v>0</v>
      </c>
      <c r="AI182" s="172">
        <f t="shared" si="353"/>
        <v>0</v>
      </c>
      <c r="AJ182" s="172">
        <f t="shared" si="353"/>
        <v>0</v>
      </c>
      <c r="AK182" s="172">
        <f t="shared" si="353"/>
        <v>0</v>
      </c>
      <c r="AL182" s="172">
        <f t="shared" si="353"/>
        <v>0</v>
      </c>
      <c r="AM182" s="172">
        <f t="shared" si="353"/>
        <v>0</v>
      </c>
      <c r="AN182" s="172">
        <f t="shared" si="353"/>
        <v>0</v>
      </c>
      <c r="AO182" s="172">
        <f t="shared" si="353"/>
        <v>0</v>
      </c>
      <c r="AP182" s="172">
        <f t="shared" si="353"/>
        <v>0</v>
      </c>
      <c r="AQ182" s="172">
        <f t="shared" si="353"/>
        <v>0</v>
      </c>
      <c r="AR182" s="172">
        <f t="shared" si="353"/>
        <v>0</v>
      </c>
      <c r="AS182" s="172">
        <f t="shared" si="353"/>
        <v>0</v>
      </c>
      <c r="AT182" s="172">
        <f t="shared" si="304"/>
        <v>136548520</v>
      </c>
      <c r="AU182" s="173">
        <f t="shared" si="261"/>
        <v>68.991774454324982</v>
      </c>
      <c r="AV182" s="174">
        <f t="shared" si="303"/>
        <v>61371480</v>
      </c>
      <c r="AW182" s="173">
        <f t="shared" si="243"/>
        <v>31.008225545675021</v>
      </c>
      <c r="AX182" s="164" t="s">
        <v>576</v>
      </c>
      <c r="AY182" s="164" t="s">
        <v>546</v>
      </c>
      <c r="AZ182" s="164" t="s">
        <v>3921</v>
      </c>
      <c r="BA182" s="172">
        <f t="shared" ref="BA182:BH182" si="354">BA183</f>
        <v>0</v>
      </c>
      <c r="BB182" s="172">
        <f t="shared" si="354"/>
        <v>50674500</v>
      </c>
      <c r="BC182" s="172">
        <f t="shared" si="354"/>
        <v>18269500</v>
      </c>
      <c r="BD182" s="172">
        <f t="shared" si="354"/>
        <v>19929200</v>
      </c>
      <c r="BE182" s="172">
        <f t="shared" si="354"/>
        <v>10000000</v>
      </c>
      <c r="BF182" s="172">
        <f t="shared" si="354"/>
        <v>9882500</v>
      </c>
      <c r="BG182" s="172">
        <f t="shared" si="354"/>
        <v>25762820</v>
      </c>
      <c r="BH182" s="172">
        <f t="shared" si="354"/>
        <v>2030000</v>
      </c>
    </row>
    <row r="183" spans="2:60" x14ac:dyDescent="0.25">
      <c r="B183" s="170">
        <v>301</v>
      </c>
      <c r="C183" s="171" t="s">
        <v>3319</v>
      </c>
      <c r="D183" s="171"/>
      <c r="E183" s="171"/>
      <c r="F183" s="172">
        <f t="shared" ref="F183:AS183" si="355">F184+F187+F190+F193+F197+F200</f>
        <v>197920000</v>
      </c>
      <c r="G183" s="172">
        <f t="shared" ref="G183:H183" si="356">G184+G187+G190+G193+G197+G200</f>
        <v>289920000</v>
      </c>
      <c r="H183" s="172">
        <f t="shared" si="356"/>
        <v>0</v>
      </c>
      <c r="I183" s="172">
        <f t="shared" ref="I183" si="357">I184+I187+I190+I193+I197+I200</f>
        <v>92000000</v>
      </c>
      <c r="J183" s="172">
        <f t="shared" si="355"/>
        <v>0</v>
      </c>
      <c r="K183" s="172">
        <f t="shared" si="355"/>
        <v>0</v>
      </c>
      <c r="L183" s="172">
        <f t="shared" si="355"/>
        <v>0</v>
      </c>
      <c r="M183" s="172">
        <f t="shared" si="355"/>
        <v>0</v>
      </c>
      <c r="N183" s="172">
        <f t="shared" si="355"/>
        <v>0</v>
      </c>
      <c r="O183" s="172">
        <f t="shared" si="355"/>
        <v>0</v>
      </c>
      <c r="P183" s="172">
        <f t="shared" si="355"/>
        <v>0</v>
      </c>
      <c r="Q183" s="172">
        <f t="shared" si="355"/>
        <v>18269500</v>
      </c>
      <c r="R183" s="172">
        <f t="shared" si="355"/>
        <v>50674500</v>
      </c>
      <c r="S183" s="172">
        <f t="shared" si="355"/>
        <v>0</v>
      </c>
      <c r="T183" s="172">
        <f t="shared" si="355"/>
        <v>19929200</v>
      </c>
      <c r="U183" s="172">
        <f t="shared" si="355"/>
        <v>0</v>
      </c>
      <c r="V183" s="172">
        <f t="shared" si="355"/>
        <v>0</v>
      </c>
      <c r="W183" s="172">
        <f t="shared" si="355"/>
        <v>19882500</v>
      </c>
      <c r="X183" s="172">
        <f t="shared" si="355"/>
        <v>25762820</v>
      </c>
      <c r="Y183" s="172">
        <f t="shared" si="355"/>
        <v>0</v>
      </c>
      <c r="Z183" s="172">
        <f t="shared" si="355"/>
        <v>0</v>
      </c>
      <c r="AA183" s="172">
        <f t="shared" si="355"/>
        <v>2030000</v>
      </c>
      <c r="AB183" s="172">
        <f t="shared" si="355"/>
        <v>0</v>
      </c>
      <c r="AC183" s="172">
        <f t="shared" si="355"/>
        <v>0</v>
      </c>
      <c r="AD183" s="172">
        <f t="shared" si="355"/>
        <v>0</v>
      </c>
      <c r="AE183" s="172">
        <f t="shared" si="355"/>
        <v>0</v>
      </c>
      <c r="AF183" s="172">
        <f t="shared" si="355"/>
        <v>0</v>
      </c>
      <c r="AG183" s="172">
        <f t="shared" si="355"/>
        <v>0</v>
      </c>
      <c r="AH183" s="172">
        <f t="shared" si="355"/>
        <v>0</v>
      </c>
      <c r="AI183" s="172">
        <f t="shared" si="355"/>
        <v>0</v>
      </c>
      <c r="AJ183" s="172">
        <f t="shared" si="355"/>
        <v>0</v>
      </c>
      <c r="AK183" s="172">
        <f t="shared" si="355"/>
        <v>0</v>
      </c>
      <c r="AL183" s="172">
        <f t="shared" si="355"/>
        <v>0</v>
      </c>
      <c r="AM183" s="172">
        <f t="shared" si="355"/>
        <v>0</v>
      </c>
      <c r="AN183" s="172">
        <f t="shared" si="355"/>
        <v>0</v>
      </c>
      <c r="AO183" s="172">
        <f t="shared" si="355"/>
        <v>0</v>
      </c>
      <c r="AP183" s="172">
        <f t="shared" si="355"/>
        <v>0</v>
      </c>
      <c r="AQ183" s="172">
        <f t="shared" si="355"/>
        <v>0</v>
      </c>
      <c r="AR183" s="172">
        <f t="shared" si="355"/>
        <v>0</v>
      </c>
      <c r="AS183" s="172">
        <f t="shared" si="355"/>
        <v>0</v>
      </c>
      <c r="AT183" s="172">
        <f t="shared" si="304"/>
        <v>136548520</v>
      </c>
      <c r="AU183" s="173">
        <f t="shared" si="261"/>
        <v>68.991774454324982</v>
      </c>
      <c r="AV183" s="174">
        <f t="shared" si="303"/>
        <v>61371480</v>
      </c>
      <c r="AW183" s="173">
        <f t="shared" si="243"/>
        <v>31.008225545675021</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58">BD184+BD187+BD190+BD193+BD197+BD200</f>
        <v>19929200</v>
      </c>
      <c r="BE183" s="172">
        <f t="shared" ref="BE183" si="359">BE184+BE187+BE190+BE193+BE197+BE200</f>
        <v>10000000</v>
      </c>
      <c r="BF183" s="172">
        <f t="shared" ref="BF183:BG183" si="360">BF184+BF187+BF190+BF193+BF197+BF200</f>
        <v>9882500</v>
      </c>
      <c r="BG183" s="172">
        <f t="shared" si="360"/>
        <v>25762820</v>
      </c>
      <c r="BH183" s="172">
        <f t="shared" ref="BH183" si="361">BH184+BH187+BH190+BH193+BH197+BH200</f>
        <v>2030000</v>
      </c>
    </row>
    <row r="184" spans="2:60" x14ac:dyDescent="0.25">
      <c r="B184" s="230" t="s">
        <v>8</v>
      </c>
      <c r="C184" s="166" t="s">
        <v>143</v>
      </c>
      <c r="D184" s="166"/>
      <c r="E184" s="166"/>
      <c r="F184" s="167">
        <f t="shared" ref="F184:AS184" si="362">SUM(F185:F186)</f>
        <v>27102000</v>
      </c>
      <c r="G184" s="167">
        <f t="shared" ref="G184:H184" si="363">SUM(G185:G186)</f>
        <v>38900000</v>
      </c>
      <c r="H184" s="167">
        <f t="shared" si="363"/>
        <v>0</v>
      </c>
      <c r="I184" s="167">
        <f t="shared" ref="I184" si="364">SUM(I185:I186)</f>
        <v>11798000</v>
      </c>
      <c r="J184" s="167">
        <f t="shared" si="362"/>
        <v>0</v>
      </c>
      <c r="K184" s="167">
        <f t="shared" si="362"/>
        <v>0</v>
      </c>
      <c r="L184" s="167">
        <f t="shared" si="362"/>
        <v>0</v>
      </c>
      <c r="M184" s="167">
        <f t="shared" si="362"/>
        <v>0</v>
      </c>
      <c r="N184" s="167">
        <f t="shared" si="362"/>
        <v>0</v>
      </c>
      <c r="O184" s="167">
        <f t="shared" si="362"/>
        <v>0</v>
      </c>
      <c r="P184" s="167">
        <f t="shared" si="362"/>
        <v>0</v>
      </c>
      <c r="Q184" s="167">
        <f t="shared" si="362"/>
        <v>2450000</v>
      </c>
      <c r="R184" s="167">
        <f t="shared" si="362"/>
        <v>3275000</v>
      </c>
      <c r="S184" s="167">
        <f t="shared" si="362"/>
        <v>0</v>
      </c>
      <c r="T184" s="167">
        <f t="shared" si="362"/>
        <v>2446000</v>
      </c>
      <c r="U184" s="167">
        <f t="shared" si="362"/>
        <v>0</v>
      </c>
      <c r="V184" s="167">
        <f t="shared" si="362"/>
        <v>0</v>
      </c>
      <c r="W184" s="167">
        <f t="shared" si="362"/>
        <v>1810000</v>
      </c>
      <c r="X184" s="167">
        <f t="shared" si="362"/>
        <v>12551552</v>
      </c>
      <c r="Y184" s="167">
        <f t="shared" si="362"/>
        <v>0</v>
      </c>
      <c r="Z184" s="167">
        <f t="shared" si="362"/>
        <v>0</v>
      </c>
      <c r="AA184" s="167">
        <f t="shared" si="362"/>
        <v>0</v>
      </c>
      <c r="AB184" s="167">
        <f t="shared" si="362"/>
        <v>0</v>
      </c>
      <c r="AC184" s="167">
        <f t="shared" si="362"/>
        <v>0</v>
      </c>
      <c r="AD184" s="167">
        <f t="shared" si="362"/>
        <v>0</v>
      </c>
      <c r="AE184" s="167">
        <f t="shared" si="362"/>
        <v>0</v>
      </c>
      <c r="AF184" s="167">
        <f t="shared" si="362"/>
        <v>0</v>
      </c>
      <c r="AG184" s="167">
        <f t="shared" si="362"/>
        <v>0</v>
      </c>
      <c r="AH184" s="167">
        <f t="shared" si="362"/>
        <v>0</v>
      </c>
      <c r="AI184" s="167">
        <f t="shared" si="362"/>
        <v>0</v>
      </c>
      <c r="AJ184" s="167">
        <f t="shared" si="362"/>
        <v>0</v>
      </c>
      <c r="AK184" s="167">
        <f t="shared" si="362"/>
        <v>0</v>
      </c>
      <c r="AL184" s="167">
        <f t="shared" si="362"/>
        <v>0</v>
      </c>
      <c r="AM184" s="167">
        <f t="shared" si="362"/>
        <v>0</v>
      </c>
      <c r="AN184" s="167">
        <f t="shared" si="362"/>
        <v>0</v>
      </c>
      <c r="AO184" s="167">
        <f t="shared" si="362"/>
        <v>0</v>
      </c>
      <c r="AP184" s="167">
        <f t="shared" si="362"/>
        <v>0</v>
      </c>
      <c r="AQ184" s="167">
        <f t="shared" si="362"/>
        <v>0</v>
      </c>
      <c r="AR184" s="167">
        <f t="shared" si="362"/>
        <v>0</v>
      </c>
      <c r="AS184" s="167">
        <f t="shared" si="362"/>
        <v>0</v>
      </c>
      <c r="AT184" s="167">
        <f t="shared" si="304"/>
        <v>22532552</v>
      </c>
      <c r="AU184" s="175">
        <f t="shared" si="261"/>
        <v>83.139812559958671</v>
      </c>
      <c r="AV184" s="176">
        <f t="shared" si="303"/>
        <v>4569448</v>
      </c>
      <c r="AW184" s="175">
        <f t="shared" si="243"/>
        <v>16.860187440041326</v>
      </c>
      <c r="AX184" s="164" t="s">
        <v>576</v>
      </c>
      <c r="AY184" s="164" t="s">
        <v>546</v>
      </c>
      <c r="AZ184" s="164" t="s">
        <v>3921</v>
      </c>
      <c r="BA184" s="167">
        <f>SUM(BA185:BA186)</f>
        <v>0</v>
      </c>
      <c r="BB184" s="167">
        <f>SUM(BB185:BB186)</f>
        <v>3275000</v>
      </c>
      <c r="BC184" s="167">
        <f>SUM(BC185:BC186)</f>
        <v>2450000</v>
      </c>
      <c r="BD184" s="167">
        <f t="shared" ref="BD184" si="365">SUM(BD185:BD186)</f>
        <v>2446000</v>
      </c>
      <c r="BE184" s="167">
        <f t="shared" ref="BE184" si="366">SUM(BE185:BE186)</f>
        <v>1810000</v>
      </c>
      <c r="BF184" s="167">
        <f t="shared" ref="BF184:BG184" si="367">SUM(BF185:BF186)</f>
        <v>0</v>
      </c>
      <c r="BG184" s="167">
        <f t="shared" si="367"/>
        <v>12551552</v>
      </c>
      <c r="BH184" s="167">
        <f t="shared" ref="BH184" si="368">SUM(BH185:BH186)</f>
        <v>0</v>
      </c>
    </row>
    <row r="185" spans="2:60" x14ac:dyDescent="0.25">
      <c r="B185" s="228">
        <v>521211</v>
      </c>
      <c r="C185" s="164" t="s">
        <v>7</v>
      </c>
      <c r="D185" s="164"/>
      <c r="E185" s="164"/>
      <c r="F185" s="165">
        <v>18400000</v>
      </c>
      <c r="G185" s="165">
        <v>23900000</v>
      </c>
      <c r="H185" s="165"/>
      <c r="I185" s="165">
        <f t="shared" ref="I185:I186" si="369">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c r="AD185" s="165"/>
      <c r="AE185" s="165"/>
      <c r="AF185" s="165"/>
      <c r="AG185" s="165"/>
      <c r="AH185" s="165"/>
      <c r="AI185" s="165"/>
      <c r="AJ185" s="165"/>
      <c r="AK185" s="165"/>
      <c r="AL185" s="165"/>
      <c r="AM185" s="165"/>
      <c r="AN185" s="165"/>
      <c r="AO185" s="165"/>
      <c r="AP185" s="165"/>
      <c r="AQ185" s="165"/>
      <c r="AR185" s="165"/>
      <c r="AS185" s="165"/>
      <c r="AT185" s="165">
        <f t="shared" si="304"/>
        <v>13831000</v>
      </c>
      <c r="AU185" s="168">
        <f t="shared" si="261"/>
        <v>75.168478260869563</v>
      </c>
      <c r="AV185" s="169">
        <f t="shared" si="303"/>
        <v>4569000</v>
      </c>
      <c r="AW185" s="168">
        <f t="shared" si="243"/>
        <v>24.831521739130437</v>
      </c>
      <c r="AX185" s="164" t="s">
        <v>576</v>
      </c>
      <c r="AY185" s="164" t="s">
        <v>546</v>
      </c>
      <c r="AZ185" s="164" t="s">
        <v>3921</v>
      </c>
      <c r="BA185" s="165"/>
      <c r="BB185" s="165">
        <v>3275000</v>
      </c>
      <c r="BC185" s="240">
        <v>2450000</v>
      </c>
      <c r="BD185" s="165">
        <v>2446000</v>
      </c>
      <c r="BE185" s="165">
        <v>1810000</v>
      </c>
      <c r="BF185" s="165"/>
      <c r="BG185" s="165">
        <v>3850000</v>
      </c>
      <c r="BH185" s="165"/>
    </row>
    <row r="186" spans="2:60" x14ac:dyDescent="0.25">
      <c r="B186" s="228">
        <v>524111</v>
      </c>
      <c r="C186" s="164" t="s">
        <v>19</v>
      </c>
      <c r="D186" s="164"/>
      <c r="E186" s="164"/>
      <c r="F186" s="165">
        <v>8702000</v>
      </c>
      <c r="G186" s="165">
        <v>15000000</v>
      </c>
      <c r="H186" s="165"/>
      <c r="I186" s="165">
        <f t="shared" si="369"/>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04"/>
        <v>8701552</v>
      </c>
      <c r="AU186" s="168">
        <f t="shared" si="261"/>
        <v>99.994851758216498</v>
      </c>
      <c r="AV186" s="169">
        <f t="shared" si="303"/>
        <v>448</v>
      </c>
      <c r="AW186" s="168">
        <f t="shared" si="243"/>
        <v>5.1482417834980464E-3</v>
      </c>
      <c r="AX186" s="164" t="s">
        <v>576</v>
      </c>
      <c r="AY186" s="164" t="s">
        <v>546</v>
      </c>
      <c r="AZ186" s="164" t="s">
        <v>3921</v>
      </c>
      <c r="BA186" s="165"/>
      <c r="BB186" s="165"/>
      <c r="BC186" s="240"/>
      <c r="BD186" s="165"/>
      <c r="BE186" s="165"/>
      <c r="BF186" s="165"/>
      <c r="BG186" s="165">
        <v>8701552</v>
      </c>
      <c r="BH186" s="165"/>
    </row>
    <row r="187" spans="2:60" x14ac:dyDescent="0.25">
      <c r="B187" s="230" t="s">
        <v>511</v>
      </c>
      <c r="C187" s="166" t="s">
        <v>144</v>
      </c>
      <c r="D187" s="166"/>
      <c r="E187" s="166"/>
      <c r="F187" s="167">
        <f t="shared" ref="F187:AS187" si="370">SUM(F188:F189)</f>
        <v>12850000</v>
      </c>
      <c r="G187" s="167">
        <f t="shared" ref="G187:H187" si="371">SUM(G188:G189)</f>
        <v>29400000</v>
      </c>
      <c r="H187" s="167">
        <f t="shared" si="371"/>
        <v>0</v>
      </c>
      <c r="I187" s="167">
        <f t="shared" ref="I187" si="372">SUM(I188:I189)</f>
        <v>16550000</v>
      </c>
      <c r="J187" s="167">
        <f t="shared" si="370"/>
        <v>0</v>
      </c>
      <c r="K187" s="167">
        <f t="shared" si="370"/>
        <v>0</v>
      </c>
      <c r="L187" s="167">
        <f t="shared" si="370"/>
        <v>0</v>
      </c>
      <c r="M187" s="167">
        <f t="shared" si="370"/>
        <v>0</v>
      </c>
      <c r="N187" s="167">
        <f t="shared" si="370"/>
        <v>0</v>
      </c>
      <c r="O187" s="167">
        <f t="shared" si="370"/>
        <v>0</v>
      </c>
      <c r="P187" s="167">
        <f t="shared" si="370"/>
        <v>0</v>
      </c>
      <c r="Q187" s="167">
        <f t="shared" si="370"/>
        <v>0</v>
      </c>
      <c r="R187" s="167">
        <f t="shared" si="370"/>
        <v>5350000</v>
      </c>
      <c r="S187" s="167">
        <f t="shared" si="370"/>
        <v>0</v>
      </c>
      <c r="T187" s="167">
        <f t="shared" si="370"/>
        <v>0</v>
      </c>
      <c r="U187" s="167">
        <f t="shared" si="370"/>
        <v>0</v>
      </c>
      <c r="V187" s="167">
        <f t="shared" si="370"/>
        <v>0</v>
      </c>
      <c r="W187" s="167">
        <f t="shared" si="370"/>
        <v>2444000</v>
      </c>
      <c r="X187" s="167">
        <f t="shared" si="370"/>
        <v>0</v>
      </c>
      <c r="Y187" s="167">
        <f t="shared" si="370"/>
        <v>0</v>
      </c>
      <c r="Z187" s="167">
        <f t="shared" si="370"/>
        <v>0</v>
      </c>
      <c r="AA187" s="167">
        <f t="shared" si="370"/>
        <v>0</v>
      </c>
      <c r="AB187" s="167">
        <f t="shared" si="370"/>
        <v>0</v>
      </c>
      <c r="AC187" s="167">
        <f t="shared" si="370"/>
        <v>0</v>
      </c>
      <c r="AD187" s="167">
        <f t="shared" si="370"/>
        <v>0</v>
      </c>
      <c r="AE187" s="167">
        <f t="shared" si="370"/>
        <v>0</v>
      </c>
      <c r="AF187" s="167">
        <f t="shared" si="370"/>
        <v>0</v>
      </c>
      <c r="AG187" s="167">
        <f t="shared" si="370"/>
        <v>0</v>
      </c>
      <c r="AH187" s="167">
        <f t="shared" si="370"/>
        <v>0</v>
      </c>
      <c r="AI187" s="167">
        <f t="shared" si="370"/>
        <v>0</v>
      </c>
      <c r="AJ187" s="167">
        <f t="shared" si="370"/>
        <v>0</v>
      </c>
      <c r="AK187" s="167">
        <f t="shared" si="370"/>
        <v>0</v>
      </c>
      <c r="AL187" s="167">
        <f t="shared" si="370"/>
        <v>0</v>
      </c>
      <c r="AM187" s="167">
        <f t="shared" si="370"/>
        <v>0</v>
      </c>
      <c r="AN187" s="167">
        <f t="shared" si="370"/>
        <v>0</v>
      </c>
      <c r="AO187" s="167">
        <f t="shared" si="370"/>
        <v>0</v>
      </c>
      <c r="AP187" s="167">
        <f t="shared" si="370"/>
        <v>0</v>
      </c>
      <c r="AQ187" s="167">
        <f t="shared" si="370"/>
        <v>0</v>
      </c>
      <c r="AR187" s="167">
        <f t="shared" si="370"/>
        <v>0</v>
      </c>
      <c r="AS187" s="167">
        <f t="shared" si="370"/>
        <v>0</v>
      </c>
      <c r="AT187" s="167">
        <f t="shared" si="304"/>
        <v>7794000</v>
      </c>
      <c r="AU187" s="175">
        <f t="shared" si="261"/>
        <v>60.653696498054479</v>
      </c>
      <c r="AV187" s="176">
        <f t="shared" si="303"/>
        <v>5056000</v>
      </c>
      <c r="AW187" s="175">
        <f t="shared" si="243"/>
        <v>39.346303501945521</v>
      </c>
      <c r="AX187" s="164" t="s">
        <v>576</v>
      </c>
      <c r="AY187" s="164" t="s">
        <v>546</v>
      </c>
      <c r="AZ187" s="164" t="s">
        <v>3921</v>
      </c>
      <c r="BA187" s="167">
        <f>SUM(BA188:BA189)</f>
        <v>0</v>
      </c>
      <c r="BB187" s="167">
        <f>SUM(BB188:BB189)</f>
        <v>5350000</v>
      </c>
      <c r="BC187" s="167">
        <f>SUM(BC188:BC189)</f>
        <v>0</v>
      </c>
      <c r="BD187" s="167">
        <f t="shared" ref="BD187" si="373">SUM(BD188:BD189)</f>
        <v>0</v>
      </c>
      <c r="BE187" s="167">
        <f t="shared" ref="BE187" si="374">SUM(BE188:BE189)</f>
        <v>0</v>
      </c>
      <c r="BF187" s="167">
        <f t="shared" ref="BF187:BG187" si="375">SUM(BF188:BF189)</f>
        <v>2444000</v>
      </c>
      <c r="BG187" s="167">
        <f t="shared" si="375"/>
        <v>0</v>
      </c>
      <c r="BH187" s="167">
        <f t="shared" ref="BH187" si="376">SUM(BH188:BH189)</f>
        <v>0</v>
      </c>
    </row>
    <row r="188" spans="2:60" x14ac:dyDescent="0.25">
      <c r="B188" s="228">
        <v>521211</v>
      </c>
      <c r="C188" s="164" t="s">
        <v>7</v>
      </c>
      <c r="D188" s="164"/>
      <c r="E188" s="164"/>
      <c r="F188" s="165">
        <v>7500000</v>
      </c>
      <c r="G188" s="165">
        <v>11400000</v>
      </c>
      <c r="H188" s="165"/>
      <c r="I188" s="165">
        <f t="shared" ref="I188:I189" si="377">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04"/>
        <v>4944000</v>
      </c>
      <c r="AU188" s="168">
        <f t="shared" si="261"/>
        <v>65.92</v>
      </c>
      <c r="AV188" s="169">
        <f t="shared" si="303"/>
        <v>2556000</v>
      </c>
      <c r="AW188" s="168">
        <f t="shared" si="243"/>
        <v>34.08</v>
      </c>
      <c r="AX188" s="164" t="s">
        <v>576</v>
      </c>
      <c r="AY188" s="164" t="s">
        <v>546</v>
      </c>
      <c r="AZ188" s="164" t="s">
        <v>3921</v>
      </c>
      <c r="BA188" s="165"/>
      <c r="BB188" s="165">
        <v>2500000</v>
      </c>
      <c r="BC188" s="240"/>
      <c r="BD188" s="165"/>
      <c r="BE188" s="165"/>
      <c r="BF188" s="165">
        <v>2444000</v>
      </c>
      <c r="BG188" s="165"/>
      <c r="BH188" s="165"/>
    </row>
    <row r="189" spans="2:60" x14ac:dyDescent="0.25">
      <c r="B189" s="228">
        <v>524111</v>
      </c>
      <c r="C189" s="164" t="s">
        <v>19</v>
      </c>
      <c r="D189" s="164"/>
      <c r="E189" s="164"/>
      <c r="F189" s="165">
        <v>5350000</v>
      </c>
      <c r="G189" s="165">
        <v>18000000</v>
      </c>
      <c r="H189" s="165"/>
      <c r="I189" s="165">
        <f t="shared" si="377"/>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04"/>
        <v>2850000</v>
      </c>
      <c r="AU189" s="168">
        <f t="shared" si="261"/>
        <v>53.271028037383175</v>
      </c>
      <c r="AV189" s="169">
        <f t="shared" si="303"/>
        <v>2500000</v>
      </c>
      <c r="AW189" s="168">
        <f t="shared" si="243"/>
        <v>46.728971962616825</v>
      </c>
      <c r="AX189" s="164" t="s">
        <v>576</v>
      </c>
      <c r="AY189" s="164" t="s">
        <v>546</v>
      </c>
      <c r="AZ189" s="164" t="s">
        <v>3921</v>
      </c>
      <c r="BA189" s="165"/>
      <c r="BB189" s="165">
        <v>2850000</v>
      </c>
      <c r="BC189" s="240"/>
      <c r="BD189" s="165"/>
      <c r="BE189" s="165"/>
      <c r="BF189" s="165"/>
      <c r="BG189" s="165"/>
      <c r="BH189" s="165"/>
    </row>
    <row r="190" spans="2:60" x14ac:dyDescent="0.25">
      <c r="B190" s="230" t="s">
        <v>512</v>
      </c>
      <c r="C190" s="166" t="s">
        <v>145</v>
      </c>
      <c r="D190" s="166"/>
      <c r="E190" s="166"/>
      <c r="F190" s="167">
        <f t="shared" ref="F190:AS190" si="378">SUM(F191:F192)</f>
        <v>7500000</v>
      </c>
      <c r="G190" s="167">
        <f t="shared" ref="G190:H190" si="379">SUM(G191:G192)</f>
        <v>25000000</v>
      </c>
      <c r="H190" s="167">
        <f t="shared" si="379"/>
        <v>0</v>
      </c>
      <c r="I190" s="167">
        <f t="shared" ref="I190" si="380">SUM(I191:I192)</f>
        <v>17500000</v>
      </c>
      <c r="J190" s="167">
        <f t="shared" si="378"/>
        <v>0</v>
      </c>
      <c r="K190" s="167">
        <f t="shared" si="378"/>
        <v>0</v>
      </c>
      <c r="L190" s="167">
        <f t="shared" si="378"/>
        <v>0</v>
      </c>
      <c r="M190" s="167">
        <f t="shared" si="378"/>
        <v>0</v>
      </c>
      <c r="N190" s="167">
        <f t="shared" si="378"/>
        <v>0</v>
      </c>
      <c r="O190" s="167">
        <f t="shared" si="378"/>
        <v>0</v>
      </c>
      <c r="P190" s="167">
        <f t="shared" si="378"/>
        <v>0</v>
      </c>
      <c r="Q190" s="167">
        <f t="shared" si="378"/>
        <v>2469500</v>
      </c>
      <c r="R190" s="167">
        <f t="shared" si="378"/>
        <v>0</v>
      </c>
      <c r="S190" s="167">
        <f t="shared" si="378"/>
        <v>0</v>
      </c>
      <c r="T190" s="167">
        <f t="shared" si="378"/>
        <v>0</v>
      </c>
      <c r="U190" s="167">
        <f t="shared" si="378"/>
        <v>0</v>
      </c>
      <c r="V190" s="167">
        <f t="shared" si="378"/>
        <v>0</v>
      </c>
      <c r="W190" s="167">
        <f t="shared" si="378"/>
        <v>2499000</v>
      </c>
      <c r="X190" s="167">
        <f t="shared" si="378"/>
        <v>0</v>
      </c>
      <c r="Y190" s="167">
        <f t="shared" si="378"/>
        <v>0</v>
      </c>
      <c r="Z190" s="167">
        <f t="shared" si="378"/>
        <v>0</v>
      </c>
      <c r="AA190" s="167">
        <f t="shared" si="378"/>
        <v>0</v>
      </c>
      <c r="AB190" s="167">
        <f t="shared" si="378"/>
        <v>0</v>
      </c>
      <c r="AC190" s="167">
        <f t="shared" si="378"/>
        <v>0</v>
      </c>
      <c r="AD190" s="167">
        <f t="shared" si="378"/>
        <v>0</v>
      </c>
      <c r="AE190" s="167">
        <f t="shared" si="378"/>
        <v>0</v>
      </c>
      <c r="AF190" s="167">
        <f t="shared" si="378"/>
        <v>0</v>
      </c>
      <c r="AG190" s="167">
        <f t="shared" si="378"/>
        <v>0</v>
      </c>
      <c r="AH190" s="167">
        <f t="shared" si="378"/>
        <v>0</v>
      </c>
      <c r="AI190" s="167">
        <f t="shared" si="378"/>
        <v>0</v>
      </c>
      <c r="AJ190" s="167">
        <f t="shared" si="378"/>
        <v>0</v>
      </c>
      <c r="AK190" s="167">
        <f t="shared" si="378"/>
        <v>0</v>
      </c>
      <c r="AL190" s="167">
        <f t="shared" si="378"/>
        <v>0</v>
      </c>
      <c r="AM190" s="167">
        <f t="shared" si="378"/>
        <v>0</v>
      </c>
      <c r="AN190" s="167">
        <f t="shared" si="378"/>
        <v>0</v>
      </c>
      <c r="AO190" s="167">
        <f t="shared" si="378"/>
        <v>0</v>
      </c>
      <c r="AP190" s="167">
        <f t="shared" si="378"/>
        <v>0</v>
      </c>
      <c r="AQ190" s="167">
        <f t="shared" si="378"/>
        <v>0</v>
      </c>
      <c r="AR190" s="167">
        <f t="shared" si="378"/>
        <v>0</v>
      </c>
      <c r="AS190" s="167">
        <f t="shared" si="378"/>
        <v>0</v>
      </c>
      <c r="AT190" s="167">
        <f t="shared" ref="AT190:AT230" si="381">SUM(J190:AS190)</f>
        <v>4968500</v>
      </c>
      <c r="AU190" s="175">
        <f t="shared" si="261"/>
        <v>66.24666666666667</v>
      </c>
      <c r="AV190" s="176">
        <f t="shared" ref="AV190:AV231" si="382">F190-AT190</f>
        <v>2531500</v>
      </c>
      <c r="AW190" s="175">
        <f t="shared" ref="AW190:AW231" si="383">AV190/F190*100</f>
        <v>33.753333333333337</v>
      </c>
      <c r="AX190" s="164" t="s">
        <v>576</v>
      </c>
      <c r="AY190" s="164" t="s">
        <v>546</v>
      </c>
      <c r="AZ190" s="164" t="s">
        <v>3921</v>
      </c>
      <c r="BA190" s="167">
        <f>SUM(BA191:BA192)</f>
        <v>0</v>
      </c>
      <c r="BB190" s="167">
        <f>SUM(BB191:BB192)</f>
        <v>0</v>
      </c>
      <c r="BC190" s="167">
        <f>SUM(BC191:BC192)</f>
        <v>2469500</v>
      </c>
      <c r="BD190" s="167">
        <f t="shared" ref="BD190" si="384">SUM(BD191:BD192)</f>
        <v>0</v>
      </c>
      <c r="BE190" s="167">
        <f t="shared" ref="BE190" si="385">SUM(BE191:BE192)</f>
        <v>0</v>
      </c>
      <c r="BF190" s="167">
        <f t="shared" ref="BF190:BG190" si="386">SUM(BF191:BF192)</f>
        <v>2499000</v>
      </c>
      <c r="BG190" s="167">
        <f t="shared" si="386"/>
        <v>0</v>
      </c>
      <c r="BH190" s="167">
        <f t="shared" ref="BH190" si="387">SUM(BH191:BH192)</f>
        <v>0</v>
      </c>
    </row>
    <row r="191" spans="2:60" x14ac:dyDescent="0.25">
      <c r="B191" s="228">
        <v>521211</v>
      </c>
      <c r="C191" s="164" t="s">
        <v>7</v>
      </c>
      <c r="D191" s="164"/>
      <c r="E191" s="164"/>
      <c r="F191" s="165">
        <v>7500000</v>
      </c>
      <c r="G191" s="165">
        <v>10000000</v>
      </c>
      <c r="H191" s="165"/>
      <c r="I191" s="165">
        <f t="shared" ref="I191:I192" si="388">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c r="AD191" s="165"/>
      <c r="AE191" s="165"/>
      <c r="AF191" s="165"/>
      <c r="AG191" s="165"/>
      <c r="AH191" s="165"/>
      <c r="AI191" s="165"/>
      <c r="AJ191" s="165"/>
      <c r="AK191" s="165"/>
      <c r="AL191" s="165"/>
      <c r="AM191" s="165"/>
      <c r="AN191" s="165"/>
      <c r="AO191" s="165"/>
      <c r="AP191" s="165"/>
      <c r="AQ191" s="165"/>
      <c r="AR191" s="165"/>
      <c r="AS191" s="165"/>
      <c r="AT191" s="165">
        <f t="shared" si="381"/>
        <v>4968500</v>
      </c>
      <c r="AU191" s="168">
        <f t="shared" si="261"/>
        <v>66.24666666666667</v>
      </c>
      <c r="AV191" s="169">
        <f t="shared" si="382"/>
        <v>2531500</v>
      </c>
      <c r="AW191" s="168">
        <f t="shared" si="383"/>
        <v>33.753333333333337</v>
      </c>
      <c r="AX191" s="164" t="s">
        <v>576</v>
      </c>
      <c r="AY191" s="164" t="s">
        <v>546</v>
      </c>
      <c r="AZ191" s="164" t="s">
        <v>3921</v>
      </c>
      <c r="BA191" s="165"/>
      <c r="BB191" s="165"/>
      <c r="BC191" s="240">
        <v>2469500</v>
      </c>
      <c r="BD191" s="165"/>
      <c r="BE191" s="165"/>
      <c r="BF191" s="165">
        <v>2499000</v>
      </c>
      <c r="BG191" s="165"/>
      <c r="BH191" s="165"/>
    </row>
    <row r="192" spans="2:60" x14ac:dyDescent="0.25">
      <c r="B192" s="228">
        <v>524111</v>
      </c>
      <c r="C192" s="164" t="s">
        <v>19</v>
      </c>
      <c r="D192" s="164"/>
      <c r="E192" s="164"/>
      <c r="F192" s="165">
        <v>0</v>
      </c>
      <c r="G192" s="165">
        <v>15000000</v>
      </c>
      <c r="H192" s="165"/>
      <c r="I192" s="165">
        <f t="shared" si="388"/>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81"/>
        <v>0</v>
      </c>
      <c r="AU192" s="168">
        <f t="shared" si="261"/>
        <v>0</v>
      </c>
      <c r="AV192" s="169">
        <f t="shared" si="382"/>
        <v>0</v>
      </c>
      <c r="AW192" s="168" t="e">
        <f t="shared" si="383"/>
        <v>#DIV/0!</v>
      </c>
      <c r="AX192" s="164" t="s">
        <v>576</v>
      </c>
      <c r="AY192" s="164" t="s">
        <v>546</v>
      </c>
      <c r="AZ192" s="164" t="s">
        <v>3921</v>
      </c>
      <c r="BA192" s="165"/>
      <c r="BB192" s="165"/>
      <c r="BC192" s="240"/>
      <c r="BD192" s="165"/>
      <c r="BE192" s="165"/>
      <c r="BF192" s="165"/>
      <c r="BG192" s="165"/>
      <c r="BH192" s="165"/>
    </row>
    <row r="193" spans="2:64" x14ac:dyDescent="0.25">
      <c r="B193" s="230" t="s">
        <v>514</v>
      </c>
      <c r="C193" s="166" t="s">
        <v>3350</v>
      </c>
      <c r="D193" s="166"/>
      <c r="E193" s="166"/>
      <c r="F193" s="167">
        <f t="shared" ref="F193:AS193" si="389">SUM(F194:F196)</f>
        <v>34635000</v>
      </c>
      <c r="G193" s="167">
        <f t="shared" ref="G193:H193" si="390">SUM(G194:G196)</f>
        <v>80940000</v>
      </c>
      <c r="H193" s="167">
        <f t="shared" si="390"/>
        <v>0</v>
      </c>
      <c r="I193" s="167">
        <f t="shared" ref="I193" si="391">SUM(I194:I196)</f>
        <v>46305000</v>
      </c>
      <c r="J193" s="167">
        <f t="shared" si="389"/>
        <v>0</v>
      </c>
      <c r="K193" s="167">
        <f t="shared" si="389"/>
        <v>0</v>
      </c>
      <c r="L193" s="167">
        <f t="shared" si="389"/>
        <v>0</v>
      </c>
      <c r="M193" s="167">
        <f t="shared" si="389"/>
        <v>0</v>
      </c>
      <c r="N193" s="167">
        <f t="shared" si="389"/>
        <v>0</v>
      </c>
      <c r="O193" s="167">
        <f t="shared" si="389"/>
        <v>0</v>
      </c>
      <c r="P193" s="167">
        <f t="shared" si="389"/>
        <v>0</v>
      </c>
      <c r="Q193" s="167">
        <f t="shared" si="389"/>
        <v>0</v>
      </c>
      <c r="R193" s="167">
        <f t="shared" si="389"/>
        <v>2500000</v>
      </c>
      <c r="S193" s="167">
        <f t="shared" si="389"/>
        <v>0</v>
      </c>
      <c r="T193" s="167">
        <f t="shared" si="389"/>
        <v>14993200</v>
      </c>
      <c r="U193" s="167">
        <f t="shared" si="389"/>
        <v>0</v>
      </c>
      <c r="V193" s="167">
        <f t="shared" si="389"/>
        <v>0</v>
      </c>
      <c r="W193" s="167">
        <f t="shared" si="389"/>
        <v>5085000</v>
      </c>
      <c r="X193" s="167">
        <f t="shared" si="389"/>
        <v>9041268</v>
      </c>
      <c r="Y193" s="167">
        <f t="shared" si="389"/>
        <v>0</v>
      </c>
      <c r="Z193" s="167">
        <f t="shared" si="389"/>
        <v>0</v>
      </c>
      <c r="AA193" s="167">
        <f t="shared" si="389"/>
        <v>0</v>
      </c>
      <c r="AB193" s="167">
        <f t="shared" si="389"/>
        <v>0</v>
      </c>
      <c r="AC193" s="167">
        <f t="shared" si="389"/>
        <v>0</v>
      </c>
      <c r="AD193" s="167">
        <f t="shared" si="389"/>
        <v>0</v>
      </c>
      <c r="AE193" s="167">
        <f t="shared" si="389"/>
        <v>0</v>
      </c>
      <c r="AF193" s="167">
        <f t="shared" si="389"/>
        <v>0</v>
      </c>
      <c r="AG193" s="167">
        <f t="shared" si="389"/>
        <v>0</v>
      </c>
      <c r="AH193" s="167">
        <f t="shared" si="389"/>
        <v>0</v>
      </c>
      <c r="AI193" s="167">
        <f t="shared" si="389"/>
        <v>0</v>
      </c>
      <c r="AJ193" s="167">
        <f t="shared" si="389"/>
        <v>0</v>
      </c>
      <c r="AK193" s="167">
        <f t="shared" si="389"/>
        <v>0</v>
      </c>
      <c r="AL193" s="167">
        <f t="shared" si="389"/>
        <v>0</v>
      </c>
      <c r="AM193" s="167">
        <f t="shared" si="389"/>
        <v>0</v>
      </c>
      <c r="AN193" s="167">
        <f t="shared" si="389"/>
        <v>0</v>
      </c>
      <c r="AO193" s="167">
        <f t="shared" si="389"/>
        <v>0</v>
      </c>
      <c r="AP193" s="167">
        <f t="shared" si="389"/>
        <v>0</v>
      </c>
      <c r="AQ193" s="167">
        <f t="shared" si="389"/>
        <v>0</v>
      </c>
      <c r="AR193" s="167">
        <f t="shared" si="389"/>
        <v>0</v>
      </c>
      <c r="AS193" s="167">
        <f t="shared" si="389"/>
        <v>0</v>
      </c>
      <c r="AT193" s="167">
        <f t="shared" si="381"/>
        <v>31619468</v>
      </c>
      <c r="AU193" s="175">
        <f t="shared" si="261"/>
        <v>91.293396852894475</v>
      </c>
      <c r="AV193" s="176">
        <f t="shared" si="382"/>
        <v>3015532</v>
      </c>
      <c r="AW193" s="175">
        <f t="shared" si="383"/>
        <v>8.706603147105529</v>
      </c>
      <c r="AX193" s="164" t="s">
        <v>576</v>
      </c>
      <c r="AY193" s="164" t="s">
        <v>546</v>
      </c>
      <c r="AZ193" s="164" t="s">
        <v>3921</v>
      </c>
      <c r="BA193" s="167">
        <f>SUM(BA194:BA196)</f>
        <v>0</v>
      </c>
      <c r="BB193" s="167">
        <f>SUM(BB194:BB196)</f>
        <v>2500000</v>
      </c>
      <c r="BC193" s="167">
        <f>SUM(BC194:BC196)</f>
        <v>0</v>
      </c>
      <c r="BD193" s="167">
        <f t="shared" ref="BD193" si="392">SUM(BD194:BD196)</f>
        <v>14993200</v>
      </c>
      <c r="BE193" s="167">
        <f t="shared" ref="BE193" si="393">SUM(BE194:BE196)</f>
        <v>2590000</v>
      </c>
      <c r="BF193" s="167">
        <f t="shared" ref="BF193:BG193" si="394">SUM(BF194:BF196)</f>
        <v>2495000</v>
      </c>
      <c r="BG193" s="167">
        <f t="shared" si="394"/>
        <v>9041268</v>
      </c>
      <c r="BH193" s="167">
        <f t="shared" ref="BH193" si="395">SUM(BH194:BH196)</f>
        <v>0</v>
      </c>
    </row>
    <row r="194" spans="2:64" x14ac:dyDescent="0.25">
      <c r="B194" s="228">
        <v>521211</v>
      </c>
      <c r="C194" s="164" t="s">
        <v>7</v>
      </c>
      <c r="D194" s="164"/>
      <c r="E194" s="164"/>
      <c r="F194" s="165">
        <v>14000000</v>
      </c>
      <c r="G194" s="165">
        <v>35340000</v>
      </c>
      <c r="H194" s="165"/>
      <c r="I194" s="165">
        <f t="shared" ref="I194:I196" si="396">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c r="AD194" s="165"/>
      <c r="AE194" s="165"/>
      <c r="AF194" s="165"/>
      <c r="AG194" s="165"/>
      <c r="AH194" s="165"/>
      <c r="AI194" s="165"/>
      <c r="AJ194" s="165"/>
      <c r="AK194" s="165"/>
      <c r="AL194" s="165"/>
      <c r="AM194" s="165"/>
      <c r="AN194" s="165"/>
      <c r="AO194" s="165"/>
      <c r="AP194" s="165"/>
      <c r="AQ194" s="165"/>
      <c r="AR194" s="165"/>
      <c r="AS194" s="165"/>
      <c r="AT194" s="165">
        <f t="shared" si="381"/>
        <v>10985000</v>
      </c>
      <c r="AU194" s="168">
        <f t="shared" si="261"/>
        <v>78.464285714285722</v>
      </c>
      <c r="AV194" s="169">
        <f t="shared" si="382"/>
        <v>3015000</v>
      </c>
      <c r="AW194" s="168">
        <f t="shared" si="383"/>
        <v>21.535714285714285</v>
      </c>
      <c r="AX194" s="164" t="s">
        <v>576</v>
      </c>
      <c r="AY194" s="164" t="s">
        <v>546</v>
      </c>
      <c r="AZ194" s="164" t="s">
        <v>3921</v>
      </c>
      <c r="BA194" s="165"/>
      <c r="BB194" s="165">
        <v>2500000</v>
      </c>
      <c r="BC194" s="240"/>
      <c r="BD194" s="165">
        <v>3400000</v>
      </c>
      <c r="BE194" s="165">
        <v>2590000</v>
      </c>
      <c r="BF194" s="165">
        <v>2495000</v>
      </c>
      <c r="BG194" s="165"/>
      <c r="BH194" s="165"/>
    </row>
    <row r="195" spans="2:64" x14ac:dyDescent="0.25">
      <c r="B195" s="228">
        <v>522151</v>
      </c>
      <c r="C195" s="164" t="s">
        <v>11</v>
      </c>
      <c r="D195" s="164"/>
      <c r="E195" s="164"/>
      <c r="F195" s="165">
        <v>0</v>
      </c>
      <c r="G195" s="165">
        <v>3600000</v>
      </c>
      <c r="H195" s="165"/>
      <c r="I195" s="165">
        <f t="shared" si="396"/>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81"/>
        <v>0</v>
      </c>
      <c r="AU195" s="168">
        <f t="shared" si="261"/>
        <v>0</v>
      </c>
      <c r="AV195" s="169">
        <f t="shared" si="382"/>
        <v>0</v>
      </c>
      <c r="AW195" s="168" t="e">
        <f t="shared" si="383"/>
        <v>#DIV/0!</v>
      </c>
      <c r="AX195" s="164" t="s">
        <v>576</v>
      </c>
      <c r="AY195" s="164" t="s">
        <v>546</v>
      </c>
      <c r="AZ195" s="164" t="s">
        <v>3921</v>
      </c>
      <c r="BA195" s="165"/>
      <c r="BB195" s="165"/>
      <c r="BC195" s="240"/>
      <c r="BD195" s="165"/>
      <c r="BE195" s="165"/>
      <c r="BF195" s="165"/>
      <c r="BG195" s="165"/>
      <c r="BH195" s="165"/>
    </row>
    <row r="196" spans="2:64" x14ac:dyDescent="0.25">
      <c r="B196" s="228">
        <v>524111</v>
      </c>
      <c r="C196" s="164" t="s">
        <v>19</v>
      </c>
      <c r="D196" s="164"/>
      <c r="E196" s="164"/>
      <c r="F196" s="165">
        <v>20635000</v>
      </c>
      <c r="G196" s="165">
        <v>42000000</v>
      </c>
      <c r="H196" s="165"/>
      <c r="I196" s="165">
        <f t="shared" si="396"/>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81"/>
        <v>20634468</v>
      </c>
      <c r="AU196" s="168">
        <f t="shared" si="261"/>
        <v>99.997421856069778</v>
      </c>
      <c r="AV196" s="169">
        <f t="shared" si="382"/>
        <v>532</v>
      </c>
      <c r="AW196" s="168">
        <f t="shared" si="383"/>
        <v>2.578143930215653E-3</v>
      </c>
      <c r="AX196" s="164" t="s">
        <v>576</v>
      </c>
      <c r="AY196" s="164" t="s">
        <v>546</v>
      </c>
      <c r="AZ196" s="164" t="s">
        <v>3921</v>
      </c>
      <c r="BA196" s="165"/>
      <c r="BB196" s="165"/>
      <c r="BC196" s="240"/>
      <c r="BD196" s="165">
        <v>11593200</v>
      </c>
      <c r="BE196" s="165"/>
      <c r="BF196" s="165"/>
      <c r="BG196" s="165">
        <v>9041268</v>
      </c>
      <c r="BH196" s="165"/>
    </row>
    <row r="197" spans="2:64" x14ac:dyDescent="0.25">
      <c r="B197" s="230" t="s">
        <v>519</v>
      </c>
      <c r="C197" s="166" t="s">
        <v>146</v>
      </c>
      <c r="D197" s="166"/>
      <c r="E197" s="166"/>
      <c r="F197" s="167">
        <f t="shared" ref="F197:AS197" si="397">SUM(F198:F199)</f>
        <v>7500000</v>
      </c>
      <c r="G197" s="167">
        <f t="shared" ref="G197:H197" si="398">SUM(G198:G199)</f>
        <v>27000000</v>
      </c>
      <c r="H197" s="167">
        <f t="shared" si="398"/>
        <v>0</v>
      </c>
      <c r="I197" s="167">
        <f t="shared" ref="I197" si="399">SUM(I198:I199)</f>
        <v>19500000</v>
      </c>
      <c r="J197" s="167">
        <f t="shared" si="397"/>
        <v>0</v>
      </c>
      <c r="K197" s="167">
        <f t="shared" si="397"/>
        <v>0</v>
      </c>
      <c r="L197" s="167">
        <f t="shared" si="397"/>
        <v>0</v>
      </c>
      <c r="M197" s="167">
        <f t="shared" si="397"/>
        <v>0</v>
      </c>
      <c r="N197" s="167">
        <f t="shared" si="397"/>
        <v>0</v>
      </c>
      <c r="O197" s="167">
        <f t="shared" si="397"/>
        <v>0</v>
      </c>
      <c r="P197" s="167">
        <f t="shared" si="397"/>
        <v>0</v>
      </c>
      <c r="Q197" s="167">
        <f t="shared" si="397"/>
        <v>0</v>
      </c>
      <c r="R197" s="167">
        <f t="shared" si="397"/>
        <v>2499500</v>
      </c>
      <c r="S197" s="167">
        <f t="shared" si="397"/>
        <v>0</v>
      </c>
      <c r="T197" s="167">
        <f t="shared" si="397"/>
        <v>0</v>
      </c>
      <c r="U197" s="167">
        <f t="shared" si="397"/>
        <v>0</v>
      </c>
      <c r="V197" s="167">
        <f t="shared" si="397"/>
        <v>0</v>
      </c>
      <c r="W197" s="167">
        <f t="shared" si="397"/>
        <v>2444500</v>
      </c>
      <c r="X197" s="167">
        <f t="shared" si="397"/>
        <v>0</v>
      </c>
      <c r="Y197" s="167">
        <f t="shared" si="397"/>
        <v>0</v>
      </c>
      <c r="Z197" s="167">
        <f t="shared" si="397"/>
        <v>0</v>
      </c>
      <c r="AA197" s="167">
        <f t="shared" si="397"/>
        <v>0</v>
      </c>
      <c r="AB197" s="167">
        <f t="shared" si="397"/>
        <v>0</v>
      </c>
      <c r="AC197" s="167">
        <f t="shared" si="397"/>
        <v>0</v>
      </c>
      <c r="AD197" s="167">
        <f t="shared" si="397"/>
        <v>0</v>
      </c>
      <c r="AE197" s="167">
        <f t="shared" si="397"/>
        <v>0</v>
      </c>
      <c r="AF197" s="167">
        <f t="shared" si="397"/>
        <v>0</v>
      </c>
      <c r="AG197" s="167">
        <f t="shared" si="397"/>
        <v>0</v>
      </c>
      <c r="AH197" s="167">
        <f t="shared" si="397"/>
        <v>0</v>
      </c>
      <c r="AI197" s="167">
        <f t="shared" si="397"/>
        <v>0</v>
      </c>
      <c r="AJ197" s="167">
        <f t="shared" si="397"/>
        <v>0</v>
      </c>
      <c r="AK197" s="167">
        <f t="shared" si="397"/>
        <v>0</v>
      </c>
      <c r="AL197" s="167">
        <f t="shared" si="397"/>
        <v>0</v>
      </c>
      <c r="AM197" s="167">
        <f t="shared" si="397"/>
        <v>0</v>
      </c>
      <c r="AN197" s="167">
        <f t="shared" si="397"/>
        <v>0</v>
      </c>
      <c r="AO197" s="167">
        <f t="shared" si="397"/>
        <v>0</v>
      </c>
      <c r="AP197" s="167">
        <f t="shared" si="397"/>
        <v>0</v>
      </c>
      <c r="AQ197" s="167">
        <f t="shared" si="397"/>
        <v>0</v>
      </c>
      <c r="AR197" s="167">
        <f t="shared" si="397"/>
        <v>0</v>
      </c>
      <c r="AS197" s="167">
        <f t="shared" si="397"/>
        <v>0</v>
      </c>
      <c r="AT197" s="167">
        <f t="shared" si="381"/>
        <v>4944000</v>
      </c>
      <c r="AU197" s="175">
        <f t="shared" si="261"/>
        <v>65.92</v>
      </c>
      <c r="AV197" s="176">
        <f t="shared" si="382"/>
        <v>2556000</v>
      </c>
      <c r="AW197" s="175">
        <f t="shared" si="383"/>
        <v>34.08</v>
      </c>
      <c r="AX197" s="164" t="s">
        <v>576</v>
      </c>
      <c r="AY197" s="164" t="s">
        <v>546</v>
      </c>
      <c r="AZ197" s="164" t="s">
        <v>3921</v>
      </c>
      <c r="BA197" s="167">
        <f>SUM(BA198:BA199)</f>
        <v>0</v>
      </c>
      <c r="BB197" s="167">
        <f>SUM(BB198:BB199)</f>
        <v>2499500</v>
      </c>
      <c r="BC197" s="167">
        <f>SUM(BC198:BC199)</f>
        <v>0</v>
      </c>
      <c r="BD197" s="167">
        <f t="shared" ref="BD197" si="400">SUM(BD198:BD199)</f>
        <v>0</v>
      </c>
      <c r="BE197" s="167">
        <f t="shared" ref="BE197" si="401">SUM(BE198:BE199)</f>
        <v>0</v>
      </c>
      <c r="BF197" s="167">
        <f t="shared" ref="BF197:BG197" si="402">SUM(BF198:BF199)</f>
        <v>2444500</v>
      </c>
      <c r="BG197" s="167">
        <f t="shared" si="402"/>
        <v>0</v>
      </c>
      <c r="BH197" s="167">
        <f t="shared" ref="BH197" si="403">SUM(BH198:BH199)</f>
        <v>0</v>
      </c>
    </row>
    <row r="198" spans="2:64" x14ac:dyDescent="0.25">
      <c r="B198" s="228">
        <v>521211</v>
      </c>
      <c r="C198" s="164" t="s">
        <v>7</v>
      </c>
      <c r="D198" s="164"/>
      <c r="E198" s="164"/>
      <c r="F198" s="165">
        <v>7500000</v>
      </c>
      <c r="G198" s="165">
        <v>15000000</v>
      </c>
      <c r="H198" s="165"/>
      <c r="I198" s="165">
        <f t="shared" ref="I198:I199" si="404">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81"/>
        <v>4944000</v>
      </c>
      <c r="AU198" s="168">
        <f t="shared" si="261"/>
        <v>65.92</v>
      </c>
      <c r="AV198" s="169">
        <f t="shared" si="382"/>
        <v>2556000</v>
      </c>
      <c r="AW198" s="168">
        <f t="shared" si="383"/>
        <v>34.08</v>
      </c>
      <c r="AX198" s="164" t="s">
        <v>576</v>
      </c>
      <c r="AY198" s="164" t="s">
        <v>546</v>
      </c>
      <c r="AZ198" s="164" t="s">
        <v>3921</v>
      </c>
      <c r="BA198" s="165"/>
      <c r="BB198" s="165">
        <v>2499500</v>
      </c>
      <c r="BC198" s="240"/>
      <c r="BD198" s="165"/>
      <c r="BE198" s="165"/>
      <c r="BF198" s="165">
        <v>2444500</v>
      </c>
      <c r="BG198" s="165"/>
      <c r="BH198" s="165"/>
    </row>
    <row r="199" spans="2:64" x14ac:dyDescent="0.25">
      <c r="B199" s="228">
        <v>524111</v>
      </c>
      <c r="C199" s="164" t="s">
        <v>19</v>
      </c>
      <c r="D199" s="164"/>
      <c r="E199" s="164"/>
      <c r="F199" s="165">
        <v>0</v>
      </c>
      <c r="G199" s="165">
        <v>12000000</v>
      </c>
      <c r="H199" s="165"/>
      <c r="I199" s="165">
        <f t="shared" si="404"/>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81"/>
        <v>0</v>
      </c>
      <c r="AU199" s="168">
        <f t="shared" si="261"/>
        <v>0</v>
      </c>
      <c r="AV199" s="169">
        <f t="shared" si="382"/>
        <v>0</v>
      </c>
      <c r="AW199" s="168" t="e">
        <f t="shared" si="383"/>
        <v>#DIV/0!</v>
      </c>
      <c r="AX199" s="164" t="s">
        <v>576</v>
      </c>
      <c r="AY199" s="164" t="s">
        <v>546</v>
      </c>
      <c r="AZ199" s="164" t="s">
        <v>3921</v>
      </c>
      <c r="BA199" s="165"/>
      <c r="BB199" s="165"/>
      <c r="BC199" s="240"/>
      <c r="BD199" s="165"/>
      <c r="BE199" s="165"/>
      <c r="BF199" s="165"/>
      <c r="BG199" s="165"/>
      <c r="BH199" s="165"/>
    </row>
    <row r="200" spans="2:64" x14ac:dyDescent="0.25">
      <c r="B200" s="230" t="s">
        <v>578</v>
      </c>
      <c r="C200" s="166" t="s">
        <v>147</v>
      </c>
      <c r="D200" s="166"/>
      <c r="E200" s="166"/>
      <c r="F200" s="167">
        <f t="shared" ref="F200:AS200" si="405">SUM(F201:F203)</f>
        <v>108333000</v>
      </c>
      <c r="G200" s="167">
        <f t="shared" ref="G200:H200" si="406">SUM(G201:G203)</f>
        <v>88680000</v>
      </c>
      <c r="H200" s="167">
        <f t="shared" si="406"/>
        <v>0</v>
      </c>
      <c r="I200" s="167">
        <f t="shared" ref="I200" si="407">SUM(I201:I203)</f>
        <v>-19653000</v>
      </c>
      <c r="J200" s="167">
        <f t="shared" si="405"/>
        <v>0</v>
      </c>
      <c r="K200" s="167">
        <f t="shared" si="405"/>
        <v>0</v>
      </c>
      <c r="L200" s="167">
        <f t="shared" si="405"/>
        <v>0</v>
      </c>
      <c r="M200" s="167">
        <f t="shared" si="405"/>
        <v>0</v>
      </c>
      <c r="N200" s="167">
        <f t="shared" si="405"/>
        <v>0</v>
      </c>
      <c r="O200" s="167">
        <f t="shared" si="405"/>
        <v>0</v>
      </c>
      <c r="P200" s="167">
        <f t="shared" si="405"/>
        <v>0</v>
      </c>
      <c r="Q200" s="167">
        <f t="shared" si="405"/>
        <v>13350000</v>
      </c>
      <c r="R200" s="167">
        <f t="shared" si="405"/>
        <v>37050000</v>
      </c>
      <c r="S200" s="167">
        <f t="shared" si="405"/>
        <v>0</v>
      </c>
      <c r="T200" s="167">
        <f t="shared" si="405"/>
        <v>2490000</v>
      </c>
      <c r="U200" s="167">
        <f t="shared" si="405"/>
        <v>0</v>
      </c>
      <c r="V200" s="167">
        <f t="shared" si="405"/>
        <v>0</v>
      </c>
      <c r="W200" s="167">
        <f t="shared" si="405"/>
        <v>5600000</v>
      </c>
      <c r="X200" s="167">
        <f t="shared" si="405"/>
        <v>4170000</v>
      </c>
      <c r="Y200" s="167">
        <f t="shared" si="405"/>
        <v>0</v>
      </c>
      <c r="Z200" s="167">
        <f t="shared" si="405"/>
        <v>0</v>
      </c>
      <c r="AA200" s="167">
        <f t="shared" si="405"/>
        <v>2030000</v>
      </c>
      <c r="AB200" s="167">
        <f t="shared" si="405"/>
        <v>0</v>
      </c>
      <c r="AC200" s="167">
        <f t="shared" si="405"/>
        <v>0</v>
      </c>
      <c r="AD200" s="167">
        <f t="shared" si="405"/>
        <v>0</v>
      </c>
      <c r="AE200" s="167">
        <f t="shared" si="405"/>
        <v>0</v>
      </c>
      <c r="AF200" s="167">
        <f t="shared" si="405"/>
        <v>0</v>
      </c>
      <c r="AG200" s="167">
        <f t="shared" si="405"/>
        <v>0</v>
      </c>
      <c r="AH200" s="167">
        <f t="shared" si="405"/>
        <v>0</v>
      </c>
      <c r="AI200" s="167">
        <f t="shared" si="405"/>
        <v>0</v>
      </c>
      <c r="AJ200" s="167">
        <f t="shared" si="405"/>
        <v>0</v>
      </c>
      <c r="AK200" s="167">
        <f t="shared" si="405"/>
        <v>0</v>
      </c>
      <c r="AL200" s="167">
        <f t="shared" si="405"/>
        <v>0</v>
      </c>
      <c r="AM200" s="167">
        <f t="shared" si="405"/>
        <v>0</v>
      </c>
      <c r="AN200" s="167">
        <f t="shared" si="405"/>
        <v>0</v>
      </c>
      <c r="AO200" s="167">
        <f t="shared" si="405"/>
        <v>0</v>
      </c>
      <c r="AP200" s="167">
        <f t="shared" si="405"/>
        <v>0</v>
      </c>
      <c r="AQ200" s="167">
        <f t="shared" si="405"/>
        <v>0</v>
      </c>
      <c r="AR200" s="167">
        <f t="shared" si="405"/>
        <v>0</v>
      </c>
      <c r="AS200" s="167">
        <f t="shared" si="405"/>
        <v>0</v>
      </c>
      <c r="AT200" s="167">
        <f t="shared" si="381"/>
        <v>64690000</v>
      </c>
      <c r="AU200" s="175">
        <f t="shared" si="261"/>
        <v>59.714029889322738</v>
      </c>
      <c r="AV200" s="176">
        <f t="shared" si="382"/>
        <v>43643000</v>
      </c>
      <c r="AW200" s="175">
        <f t="shared" si="383"/>
        <v>40.285970110677269</v>
      </c>
      <c r="AX200" s="164" t="s">
        <v>576</v>
      </c>
      <c r="AY200" s="164" t="s">
        <v>546</v>
      </c>
      <c r="AZ200" s="164" t="s">
        <v>3921</v>
      </c>
      <c r="BA200" s="167">
        <f>SUM(BA201:BA203)</f>
        <v>0</v>
      </c>
      <c r="BB200" s="167">
        <f>SUM(BB201:BB203)</f>
        <v>37050000</v>
      </c>
      <c r="BC200" s="167">
        <f>SUM(BC201:BC203)</f>
        <v>13350000</v>
      </c>
      <c r="BD200" s="167">
        <f t="shared" ref="BD200" si="408">SUM(BD201:BD203)</f>
        <v>2490000</v>
      </c>
      <c r="BE200" s="167">
        <f t="shared" ref="BE200" si="409">SUM(BE201:BE203)</f>
        <v>5600000</v>
      </c>
      <c r="BF200" s="167">
        <f t="shared" ref="BF200:BG200" si="410">SUM(BF201:BF203)</f>
        <v>0</v>
      </c>
      <c r="BG200" s="167">
        <f t="shared" si="410"/>
        <v>4170000</v>
      </c>
      <c r="BH200" s="167">
        <f t="shared" ref="BH200" si="411">SUM(BH201:BH203)</f>
        <v>2030000</v>
      </c>
    </row>
    <row r="201" spans="2:64" x14ac:dyDescent="0.25">
      <c r="B201" s="228">
        <v>521211</v>
      </c>
      <c r="C201" s="164" t="s">
        <v>7</v>
      </c>
      <c r="D201" s="164"/>
      <c r="E201" s="164"/>
      <c r="F201" s="165">
        <v>4800000</v>
      </c>
      <c r="G201" s="165">
        <v>4800000</v>
      </c>
      <c r="H201" s="165"/>
      <c r="I201" s="165">
        <f t="shared" ref="I201:I203" si="412">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81"/>
        <v>0</v>
      </c>
      <c r="AU201" s="168">
        <f t="shared" si="261"/>
        <v>0</v>
      </c>
      <c r="AV201" s="169">
        <f t="shared" si="382"/>
        <v>4800000</v>
      </c>
      <c r="AW201" s="168">
        <f t="shared" si="383"/>
        <v>100</v>
      </c>
      <c r="AX201" s="164" t="s">
        <v>576</v>
      </c>
      <c r="AY201" s="164" t="s">
        <v>546</v>
      </c>
      <c r="AZ201" s="164" t="s">
        <v>3921</v>
      </c>
      <c r="BA201" s="165"/>
      <c r="BB201" s="165"/>
      <c r="BC201" s="240"/>
      <c r="BD201" s="165"/>
      <c r="BE201" s="165"/>
      <c r="BF201" s="165"/>
      <c r="BG201" s="165"/>
      <c r="BH201" s="165"/>
    </row>
    <row r="202" spans="2:64" x14ac:dyDescent="0.25">
      <c r="B202" s="228">
        <v>521811</v>
      </c>
      <c r="C202" s="164" t="s">
        <v>64</v>
      </c>
      <c r="D202" s="164"/>
      <c r="E202" s="164"/>
      <c r="F202" s="165">
        <v>27500000</v>
      </c>
      <c r="G202" s="165">
        <v>27500000</v>
      </c>
      <c r="H202" s="165"/>
      <c r="I202" s="165">
        <f t="shared" si="412"/>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c r="AD202" s="165"/>
      <c r="AE202" s="165"/>
      <c r="AF202" s="165"/>
      <c r="AG202" s="165"/>
      <c r="AH202" s="165"/>
      <c r="AI202" s="165"/>
      <c r="AJ202" s="165"/>
      <c r="AK202" s="165"/>
      <c r="AL202" s="165"/>
      <c r="AM202" s="165"/>
      <c r="AN202" s="165"/>
      <c r="AO202" s="165"/>
      <c r="AP202" s="165"/>
      <c r="AQ202" s="165"/>
      <c r="AR202" s="165"/>
      <c r="AS202" s="165"/>
      <c r="AT202" s="165">
        <f t="shared" si="381"/>
        <v>9960000</v>
      </c>
      <c r="AU202" s="168">
        <f t="shared" si="261"/>
        <v>36.218181818181819</v>
      </c>
      <c r="AV202" s="169">
        <f t="shared" si="382"/>
        <v>17540000</v>
      </c>
      <c r="AW202" s="168">
        <f t="shared" si="383"/>
        <v>63.781818181818181</v>
      </c>
      <c r="AX202" s="164" t="s">
        <v>576</v>
      </c>
      <c r="AY202" s="164" t="s">
        <v>546</v>
      </c>
      <c r="AZ202" s="164" t="s">
        <v>3921</v>
      </c>
      <c r="BA202" s="165"/>
      <c r="BB202" s="165">
        <v>2490000</v>
      </c>
      <c r="BC202" s="240">
        <v>2490000</v>
      </c>
      <c r="BD202" s="165">
        <v>2490000</v>
      </c>
      <c r="BE202" s="165"/>
      <c r="BF202" s="165"/>
      <c r="BG202" s="165">
        <v>2490000</v>
      </c>
      <c r="BH202" s="165"/>
    </row>
    <row r="203" spans="2:64" x14ac:dyDescent="0.25">
      <c r="B203" s="228">
        <v>524111</v>
      </c>
      <c r="C203" s="164" t="s">
        <v>19</v>
      </c>
      <c r="D203" s="164"/>
      <c r="E203" s="164"/>
      <c r="F203" s="165">
        <v>76033000</v>
      </c>
      <c r="G203" s="165">
        <v>56380000</v>
      </c>
      <c r="H203" s="165"/>
      <c r="I203" s="165">
        <f t="shared" si="412"/>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81"/>
        <v>54730000</v>
      </c>
      <c r="AU203" s="168">
        <f t="shared" si="261"/>
        <v>71.981902594925884</v>
      </c>
      <c r="AV203" s="169">
        <f t="shared" si="382"/>
        <v>21303000</v>
      </c>
      <c r="AW203" s="168">
        <f t="shared" si="383"/>
        <v>28.018097405074112</v>
      </c>
      <c r="AX203" s="164" t="s">
        <v>576</v>
      </c>
      <c r="AY203" s="164" t="s">
        <v>546</v>
      </c>
      <c r="AZ203" s="164" t="s">
        <v>3921</v>
      </c>
      <c r="BA203" s="165"/>
      <c r="BB203" s="165">
        <v>34560000</v>
      </c>
      <c r="BC203" s="240">
        <v>10860000</v>
      </c>
      <c r="BD203" s="165"/>
      <c r="BE203" s="165">
        <v>5600000</v>
      </c>
      <c r="BF203" s="165"/>
      <c r="BG203" s="165">
        <v>1680000</v>
      </c>
      <c r="BH203" s="165">
        <v>2030000</v>
      </c>
    </row>
    <row r="204" spans="2:64" x14ac:dyDescent="0.25">
      <c r="B204" s="170">
        <v>4345</v>
      </c>
      <c r="C204" s="171" t="s">
        <v>188</v>
      </c>
      <c r="D204" s="171"/>
      <c r="E204" s="171"/>
      <c r="F204" s="172">
        <f t="shared" ref="F204:X205" si="413">F205</f>
        <v>6082500000</v>
      </c>
      <c r="G204" s="172">
        <f t="shared" si="413"/>
        <v>8582500000</v>
      </c>
      <c r="H204" s="172">
        <f t="shared" si="413"/>
        <v>0</v>
      </c>
      <c r="I204" s="172">
        <f t="shared" si="413"/>
        <v>2500000000</v>
      </c>
      <c r="J204" s="172">
        <f t="shared" si="413"/>
        <v>0</v>
      </c>
      <c r="K204" s="172">
        <f t="shared" si="413"/>
        <v>0</v>
      </c>
      <c r="L204" s="172">
        <f t="shared" si="413"/>
        <v>0</v>
      </c>
      <c r="M204" s="172">
        <f t="shared" si="413"/>
        <v>0</v>
      </c>
      <c r="N204" s="172">
        <f t="shared" si="413"/>
        <v>0</v>
      </c>
      <c r="O204" s="172">
        <f t="shared" si="413"/>
        <v>0</v>
      </c>
      <c r="P204" s="172">
        <f t="shared" si="413"/>
        <v>0</v>
      </c>
      <c r="Q204" s="172">
        <f t="shared" si="413"/>
        <v>0</v>
      </c>
      <c r="R204" s="172">
        <f t="shared" si="413"/>
        <v>0</v>
      </c>
      <c r="S204" s="172">
        <f t="shared" si="413"/>
        <v>1555695356</v>
      </c>
      <c r="T204" s="172">
        <f t="shared" si="413"/>
        <v>0</v>
      </c>
      <c r="U204" s="172">
        <f t="shared" si="413"/>
        <v>0</v>
      </c>
      <c r="V204" s="172">
        <f t="shared" si="413"/>
        <v>0</v>
      </c>
      <c r="W204" s="172">
        <f t="shared" si="413"/>
        <v>0</v>
      </c>
      <c r="X204" s="172">
        <f t="shared" si="413"/>
        <v>37892633</v>
      </c>
      <c r="Y204" s="172">
        <f t="shared" ref="J204:AS205" si="414">Y205</f>
        <v>1880236423</v>
      </c>
      <c r="Z204" s="172">
        <f t="shared" si="414"/>
        <v>0</v>
      </c>
      <c r="AA204" s="172">
        <f t="shared" si="414"/>
        <v>2889500</v>
      </c>
      <c r="AB204" s="172">
        <f t="shared" si="414"/>
        <v>0</v>
      </c>
      <c r="AC204" s="172">
        <f t="shared" si="414"/>
        <v>0</v>
      </c>
      <c r="AD204" s="172">
        <f t="shared" si="414"/>
        <v>0</v>
      </c>
      <c r="AE204" s="172">
        <f t="shared" si="414"/>
        <v>0</v>
      </c>
      <c r="AF204" s="172">
        <f t="shared" si="414"/>
        <v>0</v>
      </c>
      <c r="AG204" s="172">
        <f t="shared" si="414"/>
        <v>0</v>
      </c>
      <c r="AH204" s="172">
        <f t="shared" si="414"/>
        <v>0</v>
      </c>
      <c r="AI204" s="172">
        <f t="shared" si="414"/>
        <v>0</v>
      </c>
      <c r="AJ204" s="172">
        <f t="shared" si="414"/>
        <v>0</v>
      </c>
      <c r="AK204" s="172">
        <f t="shared" si="414"/>
        <v>0</v>
      </c>
      <c r="AL204" s="172">
        <f t="shared" si="414"/>
        <v>0</v>
      </c>
      <c r="AM204" s="172">
        <f t="shared" si="414"/>
        <v>0</v>
      </c>
      <c r="AN204" s="172">
        <f t="shared" si="414"/>
        <v>0</v>
      </c>
      <c r="AO204" s="172">
        <f t="shared" si="414"/>
        <v>0</v>
      </c>
      <c r="AP204" s="172">
        <f t="shared" si="414"/>
        <v>0</v>
      </c>
      <c r="AQ204" s="172">
        <f t="shared" si="414"/>
        <v>0</v>
      </c>
      <c r="AR204" s="172">
        <f t="shared" si="414"/>
        <v>0</v>
      </c>
      <c r="AS204" s="172">
        <f t="shared" si="414"/>
        <v>0</v>
      </c>
      <c r="AT204" s="172">
        <f t="shared" si="381"/>
        <v>3476713912</v>
      </c>
      <c r="AU204" s="173">
        <f t="shared" si="261"/>
        <v>57.159291607069463</v>
      </c>
      <c r="AV204" s="174">
        <f t="shared" si="382"/>
        <v>2605786088</v>
      </c>
      <c r="AW204" s="173">
        <f t="shared" si="383"/>
        <v>42.840708392930537</v>
      </c>
      <c r="AX204" s="164" t="s">
        <v>542</v>
      </c>
      <c r="AY204" s="164" t="s">
        <v>543</v>
      </c>
      <c r="AZ204" s="164" t="s">
        <v>3921</v>
      </c>
      <c r="BA204" s="172">
        <f t="shared" ref="BA204:BH205" si="415">BA205</f>
        <v>0</v>
      </c>
      <c r="BB204" s="172">
        <f t="shared" si="415"/>
        <v>0</v>
      </c>
      <c r="BC204" s="172">
        <f t="shared" si="415"/>
        <v>0</v>
      </c>
      <c r="BD204" s="172">
        <f t="shared" si="415"/>
        <v>0</v>
      </c>
      <c r="BE204" s="172">
        <f t="shared" si="415"/>
        <v>0</v>
      </c>
      <c r="BF204" s="172">
        <f>BF205</f>
        <v>0</v>
      </c>
      <c r="BG204" s="172">
        <f t="shared" si="415"/>
        <v>37892633</v>
      </c>
      <c r="BH204" s="172">
        <f t="shared" si="415"/>
        <v>2889500</v>
      </c>
      <c r="BL204" t="s">
        <v>3842</v>
      </c>
    </row>
    <row r="205" spans="2:64" x14ac:dyDescent="0.25">
      <c r="B205" s="170" t="s">
        <v>3474</v>
      </c>
      <c r="C205" s="171" t="s">
        <v>2312</v>
      </c>
      <c r="D205" s="171">
        <v>4725</v>
      </c>
      <c r="E205" s="171" t="s">
        <v>155</v>
      </c>
      <c r="F205" s="172">
        <f t="shared" si="413"/>
        <v>6082500000</v>
      </c>
      <c r="G205" s="172">
        <f t="shared" si="413"/>
        <v>8582500000</v>
      </c>
      <c r="H205" s="172">
        <f t="shared" si="413"/>
        <v>0</v>
      </c>
      <c r="I205" s="172">
        <f t="shared" si="413"/>
        <v>2500000000</v>
      </c>
      <c r="J205" s="172">
        <f t="shared" si="414"/>
        <v>0</v>
      </c>
      <c r="K205" s="172">
        <f t="shared" si="414"/>
        <v>0</v>
      </c>
      <c r="L205" s="172">
        <f t="shared" si="414"/>
        <v>0</v>
      </c>
      <c r="M205" s="172">
        <f t="shared" si="414"/>
        <v>0</v>
      </c>
      <c r="N205" s="172">
        <f t="shared" si="414"/>
        <v>0</v>
      </c>
      <c r="O205" s="172">
        <f t="shared" si="414"/>
        <v>0</v>
      </c>
      <c r="P205" s="172">
        <f t="shared" si="414"/>
        <v>0</v>
      </c>
      <c r="Q205" s="172">
        <f t="shared" si="414"/>
        <v>0</v>
      </c>
      <c r="R205" s="172">
        <f t="shared" si="414"/>
        <v>0</v>
      </c>
      <c r="S205" s="172">
        <f t="shared" si="414"/>
        <v>1555695356</v>
      </c>
      <c r="T205" s="172">
        <f t="shared" si="414"/>
        <v>0</v>
      </c>
      <c r="U205" s="172">
        <f t="shared" si="414"/>
        <v>0</v>
      </c>
      <c r="V205" s="172">
        <f t="shared" si="414"/>
        <v>0</v>
      </c>
      <c r="W205" s="172">
        <f t="shared" si="414"/>
        <v>0</v>
      </c>
      <c r="X205" s="172">
        <f t="shared" si="414"/>
        <v>37892633</v>
      </c>
      <c r="Y205" s="172">
        <f t="shared" si="414"/>
        <v>1880236423</v>
      </c>
      <c r="Z205" s="172">
        <f t="shared" si="414"/>
        <v>0</v>
      </c>
      <c r="AA205" s="172">
        <f t="shared" si="414"/>
        <v>2889500</v>
      </c>
      <c r="AB205" s="172">
        <f t="shared" si="414"/>
        <v>0</v>
      </c>
      <c r="AC205" s="172">
        <f t="shared" si="414"/>
        <v>0</v>
      </c>
      <c r="AD205" s="172">
        <f t="shared" si="414"/>
        <v>0</v>
      </c>
      <c r="AE205" s="172">
        <f t="shared" si="414"/>
        <v>0</v>
      </c>
      <c r="AF205" s="172">
        <f t="shared" si="414"/>
        <v>0</v>
      </c>
      <c r="AG205" s="172">
        <f t="shared" si="414"/>
        <v>0</v>
      </c>
      <c r="AH205" s="172">
        <f t="shared" si="414"/>
        <v>0</v>
      </c>
      <c r="AI205" s="172">
        <f t="shared" si="414"/>
        <v>0</v>
      </c>
      <c r="AJ205" s="172">
        <f t="shared" si="414"/>
        <v>0</v>
      </c>
      <c r="AK205" s="172">
        <f t="shared" si="414"/>
        <v>0</v>
      </c>
      <c r="AL205" s="172">
        <f t="shared" si="414"/>
        <v>0</v>
      </c>
      <c r="AM205" s="172">
        <f t="shared" si="414"/>
        <v>0</v>
      </c>
      <c r="AN205" s="172">
        <f t="shared" si="414"/>
        <v>0</v>
      </c>
      <c r="AO205" s="172">
        <f t="shared" si="414"/>
        <v>0</v>
      </c>
      <c r="AP205" s="172">
        <f t="shared" si="414"/>
        <v>0</v>
      </c>
      <c r="AQ205" s="172">
        <f t="shared" si="414"/>
        <v>0</v>
      </c>
      <c r="AR205" s="172">
        <f t="shared" si="414"/>
        <v>0</v>
      </c>
      <c r="AS205" s="172">
        <f t="shared" si="414"/>
        <v>0</v>
      </c>
      <c r="AT205" s="172">
        <f t="shared" si="381"/>
        <v>3476713912</v>
      </c>
      <c r="AU205" s="173">
        <f t="shared" si="261"/>
        <v>57.159291607069463</v>
      </c>
      <c r="AV205" s="174">
        <f t="shared" si="382"/>
        <v>2605786088</v>
      </c>
      <c r="AW205" s="173">
        <f t="shared" si="383"/>
        <v>42.840708392930537</v>
      </c>
      <c r="AX205" s="164" t="s">
        <v>542</v>
      </c>
      <c r="AY205" s="164" t="s">
        <v>543</v>
      </c>
      <c r="AZ205" s="164" t="s">
        <v>3921</v>
      </c>
      <c r="BA205" s="172">
        <f t="shared" si="415"/>
        <v>0</v>
      </c>
      <c r="BB205" s="172">
        <f t="shared" si="415"/>
        <v>0</v>
      </c>
      <c r="BC205" s="172">
        <f t="shared" si="415"/>
        <v>0</v>
      </c>
      <c r="BD205" s="172">
        <f t="shared" si="415"/>
        <v>0</v>
      </c>
      <c r="BE205" s="172">
        <f t="shared" si="415"/>
        <v>0</v>
      </c>
      <c r="BF205" s="172">
        <f t="shared" si="415"/>
        <v>0</v>
      </c>
      <c r="BG205" s="172">
        <f t="shared" si="415"/>
        <v>37892633</v>
      </c>
      <c r="BH205" s="172">
        <f t="shared" si="415"/>
        <v>2889500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16">J207+J227</f>
        <v>0</v>
      </c>
      <c r="K206" s="172">
        <f t="shared" si="416"/>
        <v>0</v>
      </c>
      <c r="L206" s="172">
        <f t="shared" si="416"/>
        <v>0</v>
      </c>
      <c r="M206" s="172">
        <f t="shared" si="416"/>
        <v>0</v>
      </c>
      <c r="N206" s="172">
        <f t="shared" si="416"/>
        <v>0</v>
      </c>
      <c r="O206" s="172">
        <f t="shared" si="416"/>
        <v>0</v>
      </c>
      <c r="P206" s="172">
        <f t="shared" si="416"/>
        <v>0</v>
      </c>
      <c r="Q206" s="172">
        <f t="shared" si="416"/>
        <v>0</v>
      </c>
      <c r="R206" s="172">
        <f t="shared" si="416"/>
        <v>0</v>
      </c>
      <c r="S206" s="172">
        <f t="shared" si="416"/>
        <v>1555695356</v>
      </c>
      <c r="T206" s="172">
        <f t="shared" si="416"/>
        <v>0</v>
      </c>
      <c r="U206" s="172">
        <f t="shared" si="416"/>
        <v>0</v>
      </c>
      <c r="V206" s="172">
        <f t="shared" si="416"/>
        <v>0</v>
      </c>
      <c r="W206" s="172">
        <f t="shared" si="416"/>
        <v>0</v>
      </c>
      <c r="X206" s="172">
        <f t="shared" si="416"/>
        <v>37892633</v>
      </c>
      <c r="Y206" s="172">
        <f t="shared" si="416"/>
        <v>1880236423</v>
      </c>
      <c r="Z206" s="172">
        <f t="shared" si="416"/>
        <v>0</v>
      </c>
      <c r="AA206" s="172">
        <f t="shared" si="416"/>
        <v>2889500</v>
      </c>
      <c r="AB206" s="172">
        <f t="shared" si="416"/>
        <v>0</v>
      </c>
      <c r="AC206" s="172">
        <f t="shared" si="416"/>
        <v>0</v>
      </c>
      <c r="AD206" s="172">
        <f t="shared" si="416"/>
        <v>0</v>
      </c>
      <c r="AE206" s="172">
        <f t="shared" si="416"/>
        <v>0</v>
      </c>
      <c r="AF206" s="172">
        <f t="shared" si="416"/>
        <v>0</v>
      </c>
      <c r="AG206" s="172">
        <f t="shared" si="416"/>
        <v>0</v>
      </c>
      <c r="AH206" s="172">
        <f t="shared" si="416"/>
        <v>0</v>
      </c>
      <c r="AI206" s="172">
        <f t="shared" si="416"/>
        <v>0</v>
      </c>
      <c r="AJ206" s="172">
        <f t="shared" si="416"/>
        <v>0</v>
      </c>
      <c r="AK206" s="172">
        <f t="shared" si="416"/>
        <v>0</v>
      </c>
      <c r="AL206" s="172">
        <f t="shared" si="416"/>
        <v>0</v>
      </c>
      <c r="AM206" s="172">
        <f t="shared" si="416"/>
        <v>0</v>
      </c>
      <c r="AN206" s="172">
        <f t="shared" si="416"/>
        <v>0</v>
      </c>
      <c r="AO206" s="172">
        <f t="shared" si="416"/>
        <v>0</v>
      </c>
      <c r="AP206" s="172">
        <f t="shared" si="416"/>
        <v>0</v>
      </c>
      <c r="AQ206" s="172">
        <f t="shared" si="416"/>
        <v>0</v>
      </c>
      <c r="AR206" s="172">
        <f t="shared" si="416"/>
        <v>0</v>
      </c>
      <c r="AS206" s="172">
        <f t="shared" si="416"/>
        <v>0</v>
      </c>
      <c r="AT206" s="172">
        <f t="shared" si="381"/>
        <v>3476713912</v>
      </c>
      <c r="AU206" s="173">
        <f t="shared" si="261"/>
        <v>57.159291607069463</v>
      </c>
      <c r="AV206" s="174">
        <f t="shared" si="382"/>
        <v>2605786088</v>
      </c>
      <c r="AW206" s="173">
        <f t="shared" si="383"/>
        <v>42.840708392930537</v>
      </c>
      <c r="AX206" s="164" t="s">
        <v>542</v>
      </c>
      <c r="AY206" s="164" t="s">
        <v>543</v>
      </c>
      <c r="AZ206" s="164" t="s">
        <v>3921</v>
      </c>
      <c r="BA206" s="172">
        <f t="shared" ref="BA206:BC206" si="417">BA207+BA227</f>
        <v>0</v>
      </c>
      <c r="BB206" s="172">
        <f t="shared" si="417"/>
        <v>0</v>
      </c>
      <c r="BC206" s="172">
        <f t="shared" si="417"/>
        <v>0</v>
      </c>
      <c r="BD206" s="172">
        <f t="shared" ref="BD206" si="418">BD207+BD227</f>
        <v>0</v>
      </c>
      <c r="BE206" s="172">
        <f t="shared" ref="BE206" si="419">BE207+BE227</f>
        <v>0</v>
      </c>
      <c r="BF206" s="172">
        <f t="shared" ref="BF206:BG206" si="420">BF207+BF227</f>
        <v>0</v>
      </c>
      <c r="BG206" s="172">
        <f t="shared" si="420"/>
        <v>37892633</v>
      </c>
      <c r="BH206" s="172">
        <f t="shared" ref="BH206" si="421">BH207+BH227</f>
        <v>2889500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22">J208+J215+J221+J225</f>
        <v>0</v>
      </c>
      <c r="K207" s="172">
        <f t="shared" si="422"/>
        <v>0</v>
      </c>
      <c r="L207" s="172">
        <f t="shared" si="422"/>
        <v>0</v>
      </c>
      <c r="M207" s="172">
        <f t="shared" si="422"/>
        <v>0</v>
      </c>
      <c r="N207" s="172">
        <f t="shared" si="422"/>
        <v>0</v>
      </c>
      <c r="O207" s="172">
        <f t="shared" si="422"/>
        <v>0</v>
      </c>
      <c r="P207" s="172">
        <f t="shared" si="422"/>
        <v>0</v>
      </c>
      <c r="Q207" s="172">
        <f t="shared" si="422"/>
        <v>0</v>
      </c>
      <c r="R207" s="172">
        <f t="shared" si="422"/>
        <v>0</v>
      </c>
      <c r="S207" s="172">
        <f t="shared" si="422"/>
        <v>1555695356</v>
      </c>
      <c r="T207" s="172">
        <f t="shared" si="422"/>
        <v>0</v>
      </c>
      <c r="U207" s="172">
        <f t="shared" si="422"/>
        <v>0</v>
      </c>
      <c r="V207" s="172">
        <f t="shared" si="422"/>
        <v>0</v>
      </c>
      <c r="W207" s="172">
        <f t="shared" si="422"/>
        <v>0</v>
      </c>
      <c r="X207" s="172">
        <f t="shared" si="422"/>
        <v>30086633</v>
      </c>
      <c r="Y207" s="172">
        <f t="shared" si="422"/>
        <v>1880236423</v>
      </c>
      <c r="Z207" s="172">
        <f t="shared" si="422"/>
        <v>0</v>
      </c>
      <c r="AA207" s="172">
        <f t="shared" si="422"/>
        <v>2889500</v>
      </c>
      <c r="AB207" s="172">
        <f t="shared" si="422"/>
        <v>0</v>
      </c>
      <c r="AC207" s="172">
        <f t="shared" si="422"/>
        <v>0</v>
      </c>
      <c r="AD207" s="172">
        <f t="shared" si="422"/>
        <v>0</v>
      </c>
      <c r="AE207" s="172">
        <f t="shared" si="422"/>
        <v>0</v>
      </c>
      <c r="AF207" s="172">
        <f t="shared" si="422"/>
        <v>0</v>
      </c>
      <c r="AG207" s="172">
        <f t="shared" si="422"/>
        <v>0</v>
      </c>
      <c r="AH207" s="172">
        <f t="shared" si="422"/>
        <v>0</v>
      </c>
      <c r="AI207" s="172">
        <f t="shared" si="422"/>
        <v>0</v>
      </c>
      <c r="AJ207" s="172">
        <f t="shared" si="422"/>
        <v>0</v>
      </c>
      <c r="AK207" s="172">
        <f t="shared" si="422"/>
        <v>0</v>
      </c>
      <c r="AL207" s="172">
        <f t="shared" si="422"/>
        <v>0</v>
      </c>
      <c r="AM207" s="172">
        <f t="shared" si="422"/>
        <v>0</v>
      </c>
      <c r="AN207" s="172">
        <f t="shared" si="422"/>
        <v>0</v>
      </c>
      <c r="AO207" s="172">
        <f t="shared" si="422"/>
        <v>0</v>
      </c>
      <c r="AP207" s="172">
        <f t="shared" si="422"/>
        <v>0</v>
      </c>
      <c r="AQ207" s="172">
        <f t="shared" si="422"/>
        <v>0</v>
      </c>
      <c r="AR207" s="172">
        <f t="shared" si="422"/>
        <v>0</v>
      </c>
      <c r="AS207" s="172">
        <f t="shared" si="422"/>
        <v>0</v>
      </c>
      <c r="AT207" s="172">
        <f t="shared" si="381"/>
        <v>3468907912</v>
      </c>
      <c r="AU207" s="173">
        <f t="shared" ref="AU207:AU231" si="423">IFERROR(AT207/F207*100,0)</f>
        <v>58.073559205129484</v>
      </c>
      <c r="AV207" s="174">
        <f t="shared" si="382"/>
        <v>2504392088</v>
      </c>
      <c r="AW207" s="173">
        <f t="shared" si="383"/>
        <v>41.926440794870508</v>
      </c>
      <c r="AX207" s="164" t="s">
        <v>542</v>
      </c>
      <c r="AY207" s="164" t="s">
        <v>543</v>
      </c>
      <c r="AZ207" s="164" t="s">
        <v>3921</v>
      </c>
      <c r="BA207" s="172">
        <f t="shared" ref="BA207:BC207" si="424">BA208+BA215+BA221+BA225</f>
        <v>0</v>
      </c>
      <c r="BB207" s="172">
        <f t="shared" si="424"/>
        <v>0</v>
      </c>
      <c r="BC207" s="172">
        <f t="shared" si="424"/>
        <v>0</v>
      </c>
      <c r="BD207" s="172">
        <f t="shared" ref="BD207" si="425">BD208+BD215+BD221+BD225</f>
        <v>0</v>
      </c>
      <c r="BE207" s="172">
        <f t="shared" ref="BE207" si="426">BE208+BE215+BE221+BE225</f>
        <v>0</v>
      </c>
      <c r="BF207" s="172">
        <f t="shared" ref="BF207:BG207" si="427">BF208+BF215+BF221+BF225</f>
        <v>0</v>
      </c>
      <c r="BG207" s="172">
        <f t="shared" si="427"/>
        <v>30086633</v>
      </c>
      <c r="BH207" s="172">
        <f t="shared" ref="BH207" si="428">BH208+BH215+BH221+BH225</f>
        <v>2889500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29">SUM(J209:J214)</f>
        <v>0</v>
      </c>
      <c r="K208" s="167">
        <f t="shared" si="429"/>
        <v>0</v>
      </c>
      <c r="L208" s="167">
        <f t="shared" si="429"/>
        <v>0</v>
      </c>
      <c r="M208" s="167">
        <f t="shared" si="429"/>
        <v>0</v>
      </c>
      <c r="N208" s="167">
        <f t="shared" si="429"/>
        <v>0</v>
      </c>
      <c r="O208" s="167">
        <f t="shared" si="429"/>
        <v>0</v>
      </c>
      <c r="P208" s="167">
        <f t="shared" si="429"/>
        <v>0</v>
      </c>
      <c r="Q208" s="167">
        <f t="shared" si="429"/>
        <v>0</v>
      </c>
      <c r="R208" s="167">
        <f t="shared" si="429"/>
        <v>0</v>
      </c>
      <c r="S208" s="167">
        <f t="shared" si="429"/>
        <v>5900000</v>
      </c>
      <c r="T208" s="167">
        <f t="shared" si="429"/>
        <v>0</v>
      </c>
      <c r="U208" s="167">
        <f t="shared" si="429"/>
        <v>0</v>
      </c>
      <c r="V208" s="167">
        <f t="shared" si="429"/>
        <v>0</v>
      </c>
      <c r="W208" s="167">
        <f t="shared" si="429"/>
        <v>0</v>
      </c>
      <c r="X208" s="167">
        <f t="shared" si="429"/>
        <v>4855000</v>
      </c>
      <c r="Y208" s="167">
        <f t="shared" si="429"/>
        <v>14635000</v>
      </c>
      <c r="Z208" s="167">
        <f t="shared" si="429"/>
        <v>0</v>
      </c>
      <c r="AA208" s="167">
        <f t="shared" si="429"/>
        <v>0</v>
      </c>
      <c r="AB208" s="167">
        <f t="shared" si="429"/>
        <v>0</v>
      </c>
      <c r="AC208" s="167">
        <f t="shared" si="429"/>
        <v>0</v>
      </c>
      <c r="AD208" s="167">
        <f t="shared" si="429"/>
        <v>0</v>
      </c>
      <c r="AE208" s="167">
        <f t="shared" si="429"/>
        <v>0</v>
      </c>
      <c r="AF208" s="167">
        <f t="shared" si="429"/>
        <v>0</v>
      </c>
      <c r="AG208" s="167">
        <f t="shared" si="429"/>
        <v>0</v>
      </c>
      <c r="AH208" s="167">
        <f t="shared" si="429"/>
        <v>0</v>
      </c>
      <c r="AI208" s="167">
        <f t="shared" si="429"/>
        <v>0</v>
      </c>
      <c r="AJ208" s="167">
        <f t="shared" si="429"/>
        <v>0</v>
      </c>
      <c r="AK208" s="167">
        <f t="shared" si="429"/>
        <v>0</v>
      </c>
      <c r="AL208" s="167">
        <f t="shared" si="429"/>
        <v>0</v>
      </c>
      <c r="AM208" s="167">
        <f t="shared" si="429"/>
        <v>0</v>
      </c>
      <c r="AN208" s="167">
        <f t="shared" si="429"/>
        <v>0</v>
      </c>
      <c r="AO208" s="167">
        <f t="shared" si="429"/>
        <v>0</v>
      </c>
      <c r="AP208" s="167">
        <f t="shared" si="429"/>
        <v>0</v>
      </c>
      <c r="AQ208" s="167">
        <f t="shared" si="429"/>
        <v>0</v>
      </c>
      <c r="AR208" s="167">
        <f t="shared" si="429"/>
        <v>0</v>
      </c>
      <c r="AS208" s="167">
        <f t="shared" si="429"/>
        <v>0</v>
      </c>
      <c r="AT208" s="167">
        <f t="shared" si="381"/>
        <v>25390000</v>
      </c>
      <c r="AU208" s="175">
        <f t="shared" si="423"/>
        <v>1.4817071320359203</v>
      </c>
      <c r="AV208" s="176">
        <f t="shared" si="382"/>
        <v>1688174000</v>
      </c>
      <c r="AW208" s="175">
        <f t="shared" si="383"/>
        <v>98.518292867964078</v>
      </c>
      <c r="AX208" s="164" t="s">
        <v>542</v>
      </c>
      <c r="AY208" s="164" t="s">
        <v>543</v>
      </c>
      <c r="AZ208" s="164" t="s">
        <v>3921</v>
      </c>
      <c r="BA208" s="167">
        <f t="shared" ref="BA208:BC208" si="430">SUM(BA209:BA214)</f>
        <v>0</v>
      </c>
      <c r="BB208" s="167">
        <f t="shared" si="430"/>
        <v>0</v>
      </c>
      <c r="BC208" s="167">
        <f t="shared" si="430"/>
        <v>0</v>
      </c>
      <c r="BD208" s="167">
        <f t="shared" ref="BD208" si="431">SUM(BD209:BD214)</f>
        <v>0</v>
      </c>
      <c r="BE208" s="167">
        <f t="shared" ref="BE208" si="432">SUM(BE209:BE214)</f>
        <v>0</v>
      </c>
      <c r="BF208" s="167">
        <f t="shared" ref="BF208:BG208" si="433">SUM(BF209:BF214)</f>
        <v>0</v>
      </c>
      <c r="BG208" s="167">
        <f t="shared" si="433"/>
        <v>4855000</v>
      </c>
      <c r="BH208" s="167">
        <f t="shared" ref="BH208" si="434">SUM(BH209:BH214)</f>
        <v>0</v>
      </c>
    </row>
    <row r="209" spans="2:60" x14ac:dyDescent="0.25">
      <c r="B209" s="228">
        <v>521211</v>
      </c>
      <c r="C209" s="164" t="s">
        <v>7</v>
      </c>
      <c r="D209" s="164"/>
      <c r="E209" s="164"/>
      <c r="F209" s="165">
        <v>99100000</v>
      </c>
      <c r="G209" s="165">
        <v>99100000</v>
      </c>
      <c r="H209" s="165"/>
      <c r="I209" s="165">
        <f t="shared" ref="I209:I214" si="435">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81"/>
        <v>0</v>
      </c>
      <c r="AU209" s="168">
        <f t="shared" si="423"/>
        <v>0</v>
      </c>
      <c r="AV209" s="169">
        <f t="shared" si="382"/>
        <v>99100000</v>
      </c>
      <c r="AW209" s="168">
        <f t="shared" si="383"/>
        <v>100</v>
      </c>
      <c r="AX209" s="164" t="s">
        <v>542</v>
      </c>
      <c r="AY209" s="164" t="s">
        <v>543</v>
      </c>
      <c r="AZ209" s="164" t="s">
        <v>3921</v>
      </c>
      <c r="BA209" s="165"/>
      <c r="BB209" s="165"/>
      <c r="BC209" s="165"/>
      <c r="BD209" s="165"/>
      <c r="BE209" s="165"/>
      <c r="BF209" s="165"/>
      <c r="BG209" s="165"/>
      <c r="BH209" s="165"/>
    </row>
    <row r="210" spans="2:60" x14ac:dyDescent="0.25">
      <c r="B210" s="228">
        <v>521219</v>
      </c>
      <c r="C210" s="164" t="s">
        <v>53</v>
      </c>
      <c r="D210" s="164"/>
      <c r="E210" s="164"/>
      <c r="F210" s="165">
        <v>1333864000</v>
      </c>
      <c r="G210" s="165">
        <v>1333864000</v>
      </c>
      <c r="H210" s="165"/>
      <c r="I210" s="165">
        <f t="shared" si="435"/>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81"/>
        <v>0</v>
      </c>
      <c r="AU210" s="168">
        <f t="shared" si="423"/>
        <v>0</v>
      </c>
      <c r="AV210" s="169">
        <f t="shared" si="382"/>
        <v>1333864000</v>
      </c>
      <c r="AW210" s="168">
        <f t="shared" si="383"/>
        <v>100</v>
      </c>
      <c r="AX210" s="164" t="s">
        <v>542</v>
      </c>
      <c r="AY210" s="164" t="s">
        <v>543</v>
      </c>
      <c r="AZ210" s="318" t="s">
        <v>3921</v>
      </c>
      <c r="BA210" s="165"/>
      <c r="BB210" s="165"/>
      <c r="BC210" s="165"/>
      <c r="BD210" s="165"/>
      <c r="BE210" s="165"/>
      <c r="BF210" s="165"/>
      <c r="BG210" s="165"/>
      <c r="BH210" s="165"/>
    </row>
    <row r="211" spans="2:60" x14ac:dyDescent="0.25">
      <c r="B211" s="228">
        <v>521811</v>
      </c>
      <c r="C211" s="164" t="s">
        <v>64</v>
      </c>
      <c r="D211" s="164"/>
      <c r="E211" s="164"/>
      <c r="F211" s="165">
        <v>25000000</v>
      </c>
      <c r="G211" s="165">
        <v>25000000</v>
      </c>
      <c r="H211" s="165"/>
      <c r="I211" s="165">
        <f t="shared" si="435"/>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81"/>
        <v>4855000</v>
      </c>
      <c r="AU211" s="168">
        <f t="shared" si="423"/>
        <v>19.420000000000002</v>
      </c>
      <c r="AV211" s="169">
        <f t="shared" si="382"/>
        <v>20145000</v>
      </c>
      <c r="AW211" s="168">
        <f t="shared" si="383"/>
        <v>80.58</v>
      </c>
      <c r="AX211" s="164" t="s">
        <v>542</v>
      </c>
      <c r="AY211" s="164" t="s">
        <v>543</v>
      </c>
      <c r="AZ211" s="164" t="s">
        <v>3921</v>
      </c>
      <c r="BA211" s="165"/>
      <c r="BB211" s="165"/>
      <c r="BC211" s="165"/>
      <c r="BD211" s="165"/>
      <c r="BE211" s="165"/>
      <c r="BF211" s="165"/>
      <c r="BG211" s="165">
        <v>4855000</v>
      </c>
      <c r="BH211" s="165"/>
    </row>
    <row r="212" spans="2:60" x14ac:dyDescent="0.25">
      <c r="B212" s="228">
        <v>522151</v>
      </c>
      <c r="C212" s="164" t="s">
        <v>11</v>
      </c>
      <c r="D212" s="164"/>
      <c r="E212" s="164"/>
      <c r="F212" s="165">
        <v>15000000</v>
      </c>
      <c r="G212" s="165">
        <v>15000000</v>
      </c>
      <c r="H212" s="165"/>
      <c r="I212" s="165">
        <f t="shared" si="435"/>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81"/>
        <v>0</v>
      </c>
      <c r="AU212" s="168">
        <f t="shared" si="423"/>
        <v>0</v>
      </c>
      <c r="AV212" s="169">
        <f t="shared" si="382"/>
        <v>15000000</v>
      </c>
      <c r="AW212" s="168">
        <f t="shared" si="383"/>
        <v>100</v>
      </c>
      <c r="AX212" s="164" t="s">
        <v>542</v>
      </c>
      <c r="AY212" s="164" t="s">
        <v>543</v>
      </c>
      <c r="AZ212" s="164" t="s">
        <v>3921</v>
      </c>
      <c r="BA212" s="165"/>
      <c r="BB212" s="165"/>
      <c r="BC212" s="165"/>
      <c r="BD212" s="165"/>
      <c r="BE212" s="165"/>
      <c r="BF212" s="165"/>
      <c r="BG212" s="165"/>
      <c r="BH212" s="165"/>
    </row>
    <row r="213" spans="2:60" x14ac:dyDescent="0.25">
      <c r="B213" s="228">
        <v>522191</v>
      </c>
      <c r="C213" s="164" t="s">
        <v>22</v>
      </c>
      <c r="D213" s="164"/>
      <c r="E213" s="164"/>
      <c r="F213" s="165">
        <v>102600000</v>
      </c>
      <c r="G213" s="165">
        <v>102600000</v>
      </c>
      <c r="H213" s="165"/>
      <c r="I213" s="165">
        <f t="shared" si="435"/>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81"/>
        <v>0</v>
      </c>
      <c r="AU213" s="168">
        <f t="shared" si="423"/>
        <v>0</v>
      </c>
      <c r="AV213" s="169">
        <f t="shared" si="382"/>
        <v>102600000</v>
      </c>
      <c r="AW213" s="168">
        <f t="shared" si="383"/>
        <v>100</v>
      </c>
      <c r="AX213" s="164" t="s">
        <v>542</v>
      </c>
      <c r="AY213" s="164" t="s">
        <v>543</v>
      </c>
      <c r="AZ213" s="164" t="s">
        <v>3921</v>
      </c>
      <c r="BA213" s="165"/>
      <c r="BB213" s="165"/>
      <c r="BC213" s="165"/>
      <c r="BD213" s="165"/>
      <c r="BE213" s="165"/>
      <c r="BF213" s="165"/>
      <c r="BG213" s="165"/>
      <c r="BH213" s="165"/>
    </row>
    <row r="214" spans="2:60" x14ac:dyDescent="0.25">
      <c r="B214" s="228">
        <v>524111</v>
      </c>
      <c r="C214" s="164" t="s">
        <v>19</v>
      </c>
      <c r="D214" s="164"/>
      <c r="E214" s="164"/>
      <c r="F214" s="165">
        <v>138000000</v>
      </c>
      <c r="G214" s="165">
        <v>138000000</v>
      </c>
      <c r="H214" s="165"/>
      <c r="I214" s="165">
        <f t="shared" si="435"/>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81"/>
        <v>20535000</v>
      </c>
      <c r="AU214" s="168">
        <f t="shared" si="423"/>
        <v>14.880434782608695</v>
      </c>
      <c r="AV214" s="169">
        <f t="shared" si="382"/>
        <v>117465000</v>
      </c>
      <c r="AW214" s="168">
        <f t="shared" si="383"/>
        <v>85.119565217391298</v>
      </c>
      <c r="AX214" s="164" t="s">
        <v>542</v>
      </c>
      <c r="AY214" s="164" t="s">
        <v>543</v>
      </c>
      <c r="AZ214" s="164" t="s">
        <v>3921</v>
      </c>
      <c r="BA214" s="165"/>
      <c r="BB214" s="165"/>
      <c r="BC214" s="165"/>
      <c r="BD214" s="165"/>
      <c r="BE214" s="165"/>
      <c r="BF214" s="165"/>
      <c r="BG214" s="165"/>
      <c r="BH214" s="165"/>
    </row>
    <row r="215" spans="2:60" x14ac:dyDescent="0.25">
      <c r="B215" s="230" t="s">
        <v>511</v>
      </c>
      <c r="C215" s="166" t="s">
        <v>191</v>
      </c>
      <c r="D215" s="166"/>
      <c r="E215" s="166"/>
      <c r="F215" s="167">
        <f t="shared" ref="F215:AS215" si="436">SUM(F216:F220)</f>
        <v>4085695000</v>
      </c>
      <c r="G215" s="167">
        <f t="shared" ref="G215:H215" si="437">SUM(G216:G220)</f>
        <v>6555695000</v>
      </c>
      <c r="H215" s="167">
        <f t="shared" si="437"/>
        <v>0</v>
      </c>
      <c r="I215" s="167">
        <f t="shared" ref="I215" si="438">SUM(I216:I220)</f>
        <v>2470000000</v>
      </c>
      <c r="J215" s="167">
        <f t="shared" si="436"/>
        <v>0</v>
      </c>
      <c r="K215" s="167">
        <f t="shared" si="436"/>
        <v>0</v>
      </c>
      <c r="L215" s="167">
        <f t="shared" si="436"/>
        <v>0</v>
      </c>
      <c r="M215" s="167">
        <f t="shared" si="436"/>
        <v>0</v>
      </c>
      <c r="N215" s="167">
        <f t="shared" si="436"/>
        <v>0</v>
      </c>
      <c r="O215" s="167">
        <f t="shared" si="436"/>
        <v>0</v>
      </c>
      <c r="P215" s="167">
        <f t="shared" si="436"/>
        <v>0</v>
      </c>
      <c r="Q215" s="167">
        <f t="shared" si="436"/>
        <v>0</v>
      </c>
      <c r="R215" s="167">
        <f t="shared" si="436"/>
        <v>0</v>
      </c>
      <c r="S215" s="167">
        <f t="shared" si="436"/>
        <v>1549795356</v>
      </c>
      <c r="T215" s="167">
        <f t="shared" si="436"/>
        <v>0</v>
      </c>
      <c r="U215" s="167">
        <f t="shared" si="436"/>
        <v>0</v>
      </c>
      <c r="V215" s="167">
        <f t="shared" si="436"/>
        <v>0</v>
      </c>
      <c r="W215" s="167">
        <f t="shared" si="436"/>
        <v>0</v>
      </c>
      <c r="X215" s="167">
        <f t="shared" si="436"/>
        <v>25231633</v>
      </c>
      <c r="Y215" s="167">
        <f t="shared" si="436"/>
        <v>1865601423</v>
      </c>
      <c r="Z215" s="167">
        <f t="shared" si="436"/>
        <v>0</v>
      </c>
      <c r="AA215" s="167">
        <f t="shared" si="436"/>
        <v>2889500</v>
      </c>
      <c r="AB215" s="167">
        <f t="shared" si="436"/>
        <v>0</v>
      </c>
      <c r="AC215" s="167">
        <f t="shared" si="436"/>
        <v>0</v>
      </c>
      <c r="AD215" s="167">
        <f t="shared" si="436"/>
        <v>0</v>
      </c>
      <c r="AE215" s="167">
        <f t="shared" si="436"/>
        <v>0</v>
      </c>
      <c r="AF215" s="167">
        <f t="shared" si="436"/>
        <v>0</v>
      </c>
      <c r="AG215" s="167">
        <f t="shared" si="436"/>
        <v>0</v>
      </c>
      <c r="AH215" s="167">
        <f t="shared" si="436"/>
        <v>0</v>
      </c>
      <c r="AI215" s="167">
        <f t="shared" si="436"/>
        <v>0</v>
      </c>
      <c r="AJ215" s="167">
        <f t="shared" si="436"/>
        <v>0</v>
      </c>
      <c r="AK215" s="167">
        <f t="shared" si="436"/>
        <v>0</v>
      </c>
      <c r="AL215" s="167">
        <f t="shared" si="436"/>
        <v>0</v>
      </c>
      <c r="AM215" s="167">
        <f t="shared" si="436"/>
        <v>0</v>
      </c>
      <c r="AN215" s="167">
        <f t="shared" si="436"/>
        <v>0</v>
      </c>
      <c r="AO215" s="167">
        <f t="shared" si="436"/>
        <v>0</v>
      </c>
      <c r="AP215" s="167">
        <f t="shared" si="436"/>
        <v>0</v>
      </c>
      <c r="AQ215" s="167">
        <f t="shared" si="436"/>
        <v>0</v>
      </c>
      <c r="AR215" s="167">
        <f t="shared" si="436"/>
        <v>0</v>
      </c>
      <c r="AS215" s="167">
        <f t="shared" si="436"/>
        <v>0</v>
      </c>
      <c r="AT215" s="167">
        <f t="shared" si="381"/>
        <v>3443517912</v>
      </c>
      <c r="AU215" s="175">
        <f t="shared" si="423"/>
        <v>84.282304773116934</v>
      </c>
      <c r="AV215" s="176">
        <f t="shared" si="382"/>
        <v>642177088</v>
      </c>
      <c r="AW215" s="175">
        <f t="shared" si="383"/>
        <v>15.717695226883063</v>
      </c>
      <c r="AX215" s="164" t="s">
        <v>542</v>
      </c>
      <c r="AY215" s="164" t="s">
        <v>543</v>
      </c>
      <c r="AZ215" s="164" t="s">
        <v>3921</v>
      </c>
      <c r="BA215" s="167">
        <f t="shared" ref="BA215:BD215" si="439">SUM(BA216:BA220)</f>
        <v>0</v>
      </c>
      <c r="BB215" s="167">
        <f t="shared" si="439"/>
        <v>0</v>
      </c>
      <c r="BC215" s="167">
        <f t="shared" si="439"/>
        <v>0</v>
      </c>
      <c r="BD215" s="167">
        <f t="shared" si="439"/>
        <v>0</v>
      </c>
      <c r="BE215" s="167">
        <f t="shared" ref="BE215" si="440">SUM(BE216:BE220)</f>
        <v>0</v>
      </c>
      <c r="BF215" s="167">
        <f t="shared" ref="BF215:BG215" si="441">SUM(BF216:BF220)</f>
        <v>0</v>
      </c>
      <c r="BG215" s="167">
        <f t="shared" si="441"/>
        <v>25231633</v>
      </c>
      <c r="BH215" s="167">
        <f t="shared" ref="BH215" si="442">SUM(BH216:BH220)</f>
        <v>2889500</v>
      </c>
    </row>
    <row r="216" spans="2:60" x14ac:dyDescent="0.25">
      <c r="B216" s="228">
        <v>521211</v>
      </c>
      <c r="C216" s="164" t="s">
        <v>7</v>
      </c>
      <c r="D216" s="164"/>
      <c r="E216" s="164"/>
      <c r="F216" s="165">
        <v>25000000</v>
      </c>
      <c r="G216" s="165">
        <v>25000000</v>
      </c>
      <c r="H216" s="165"/>
      <c r="I216" s="165">
        <f t="shared" ref="I216:I220" si="443">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81"/>
        <v>2917500</v>
      </c>
      <c r="AU216" s="168">
        <f t="shared" si="423"/>
        <v>11.67</v>
      </c>
      <c r="AV216" s="169">
        <f t="shared" si="382"/>
        <v>22082500</v>
      </c>
      <c r="AW216" s="168">
        <f t="shared" si="383"/>
        <v>88.33</v>
      </c>
      <c r="AX216" s="164" t="s">
        <v>542</v>
      </c>
      <c r="AY216" s="164" t="s">
        <v>543</v>
      </c>
      <c r="AZ216" s="164" t="s">
        <v>3921</v>
      </c>
      <c r="BA216" s="165"/>
      <c r="BB216" s="165"/>
      <c r="BC216" s="165"/>
      <c r="BD216" s="165"/>
      <c r="BE216" s="165"/>
      <c r="BF216" s="165"/>
      <c r="BG216" s="165">
        <v>1475000</v>
      </c>
      <c r="BH216" s="165">
        <v>1442500</v>
      </c>
    </row>
    <row r="217" spans="2:60" x14ac:dyDescent="0.25">
      <c r="B217" s="228">
        <v>521219</v>
      </c>
      <c r="C217" s="164" t="s">
        <v>53</v>
      </c>
      <c r="D217" s="164"/>
      <c r="E217" s="164"/>
      <c r="F217" s="165">
        <v>3808695000</v>
      </c>
      <c r="G217" s="165">
        <v>6308695000</v>
      </c>
      <c r="H217" s="165"/>
      <c r="I217" s="165">
        <f t="shared" si="443"/>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f>
        <v>1843270850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81"/>
        <v>3393066206</v>
      </c>
      <c r="AU217" s="168">
        <f t="shared" si="423"/>
        <v>89.087369978430928</v>
      </c>
      <c r="AV217" s="169">
        <f t="shared" si="382"/>
        <v>415628794</v>
      </c>
      <c r="AW217" s="168">
        <f t="shared" si="383"/>
        <v>10.912630021569068</v>
      </c>
      <c r="AX217" s="164" t="s">
        <v>542</v>
      </c>
      <c r="AY217" s="164" t="s">
        <v>543</v>
      </c>
      <c r="AZ217" s="164" t="s">
        <v>3921</v>
      </c>
      <c r="BA217" s="165"/>
      <c r="BB217" s="165"/>
      <c r="BC217" s="165"/>
      <c r="BD217" s="165"/>
      <c r="BE217" s="165"/>
      <c r="BF217" s="165"/>
      <c r="BG217" s="165"/>
      <c r="BH217" s="165"/>
    </row>
    <row r="218" spans="2:60" x14ac:dyDescent="0.25">
      <c r="B218" s="228">
        <v>521811</v>
      </c>
      <c r="C218" s="164" t="s">
        <v>64</v>
      </c>
      <c r="D218" s="164"/>
      <c r="E218" s="164"/>
      <c r="F218" s="165">
        <v>30000000</v>
      </c>
      <c r="G218" s="165">
        <v>30000000</v>
      </c>
      <c r="H218" s="165"/>
      <c r="I218" s="165">
        <f t="shared" si="443"/>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81"/>
        <v>4811000</v>
      </c>
      <c r="AU218" s="168">
        <f t="shared" si="423"/>
        <v>16.036666666666665</v>
      </c>
      <c r="AV218" s="169">
        <f t="shared" si="382"/>
        <v>25189000</v>
      </c>
      <c r="AW218" s="168">
        <f t="shared" si="383"/>
        <v>83.963333333333338</v>
      </c>
      <c r="AX218" s="164" t="s">
        <v>542</v>
      </c>
      <c r="AY218" s="164" t="s">
        <v>543</v>
      </c>
      <c r="AZ218" s="164" t="s">
        <v>3921</v>
      </c>
      <c r="BA218" s="165"/>
      <c r="BB218" s="165"/>
      <c r="BC218" s="165"/>
      <c r="BD218" s="165"/>
      <c r="BE218" s="165"/>
      <c r="BF218" s="165"/>
      <c r="BG218" s="165">
        <v>3364000</v>
      </c>
      <c r="BH218" s="165">
        <v>1447000</v>
      </c>
    </row>
    <row r="219" spans="2:60" x14ac:dyDescent="0.25">
      <c r="B219" s="228">
        <v>522151</v>
      </c>
      <c r="C219" s="164" t="s">
        <v>11</v>
      </c>
      <c r="D219" s="164"/>
      <c r="E219" s="164"/>
      <c r="F219" s="165">
        <v>6000000</v>
      </c>
      <c r="G219" s="165">
        <v>6000000</v>
      </c>
      <c r="H219" s="165"/>
      <c r="I219" s="165">
        <f t="shared" si="443"/>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81"/>
        <v>0</v>
      </c>
      <c r="AU219" s="168">
        <f t="shared" si="423"/>
        <v>0</v>
      </c>
      <c r="AV219" s="169">
        <f t="shared" si="382"/>
        <v>6000000</v>
      </c>
      <c r="AW219" s="168">
        <f t="shared" si="383"/>
        <v>100</v>
      </c>
      <c r="AX219" s="164" t="s">
        <v>542</v>
      </c>
      <c r="AY219" s="164" t="s">
        <v>543</v>
      </c>
      <c r="AZ219" s="164" t="s">
        <v>3921</v>
      </c>
      <c r="BA219" s="165"/>
      <c r="BB219" s="165"/>
      <c r="BC219" s="165"/>
      <c r="BD219" s="165"/>
      <c r="BE219" s="165"/>
      <c r="BF219" s="165"/>
      <c r="BG219" s="165"/>
      <c r="BH219" s="165"/>
    </row>
    <row r="220" spans="2:60" x14ac:dyDescent="0.25">
      <c r="B220" s="228">
        <v>524111</v>
      </c>
      <c r="C220" s="164" t="s">
        <v>19</v>
      </c>
      <c r="D220" s="164"/>
      <c r="E220" s="164"/>
      <c r="F220" s="165">
        <v>216000000</v>
      </c>
      <c r="G220" s="165">
        <v>186000000</v>
      </c>
      <c r="H220" s="165"/>
      <c r="I220" s="165">
        <f t="shared" si="443"/>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c r="AC220" s="165"/>
      <c r="AD220" s="165"/>
      <c r="AE220" s="165"/>
      <c r="AF220" s="165"/>
      <c r="AG220" s="165"/>
      <c r="AH220" s="165"/>
      <c r="AI220" s="165"/>
      <c r="AJ220" s="165"/>
      <c r="AK220" s="165"/>
      <c r="AL220" s="165"/>
      <c r="AM220" s="165"/>
      <c r="AN220" s="165"/>
      <c r="AO220" s="165"/>
      <c r="AP220" s="165"/>
      <c r="AQ220" s="165"/>
      <c r="AR220" s="165"/>
      <c r="AS220" s="165"/>
      <c r="AT220" s="165">
        <f t="shared" si="381"/>
        <v>42723206</v>
      </c>
      <c r="AU220" s="168">
        <f t="shared" si="423"/>
        <v>19.779262037037036</v>
      </c>
      <c r="AV220" s="169">
        <f t="shared" si="382"/>
        <v>173276794</v>
      </c>
      <c r="AW220" s="168">
        <f t="shared" si="383"/>
        <v>80.220737962962957</v>
      </c>
      <c r="AX220" s="164" t="s">
        <v>542</v>
      </c>
      <c r="AY220" s="164" t="s">
        <v>543</v>
      </c>
      <c r="AZ220" s="164" t="s">
        <v>3921</v>
      </c>
      <c r="BA220" s="165"/>
      <c r="BB220" s="165"/>
      <c r="BC220" s="165"/>
      <c r="BD220" s="165"/>
      <c r="BE220" s="165"/>
      <c r="BF220" s="165"/>
      <c r="BG220" s="165">
        <v>20392633</v>
      </c>
      <c r="BH220" s="165"/>
    </row>
    <row r="221" spans="2:60" x14ac:dyDescent="0.25">
      <c r="B221" s="230" t="s">
        <v>512</v>
      </c>
      <c r="C221" s="166" t="s">
        <v>192</v>
      </c>
      <c r="D221" s="166"/>
      <c r="E221" s="166"/>
      <c r="F221" s="167">
        <f t="shared" ref="F221:AS221" si="444">SUM(F222:F224)</f>
        <v>174041000</v>
      </c>
      <c r="G221" s="167">
        <f t="shared" ref="G221:H221" si="445">SUM(G222:G224)</f>
        <v>174041000</v>
      </c>
      <c r="H221" s="167">
        <f t="shared" si="445"/>
        <v>0</v>
      </c>
      <c r="I221" s="167">
        <f t="shared" ref="I221" si="446">SUM(I222:I224)</f>
        <v>0</v>
      </c>
      <c r="J221" s="167">
        <f t="shared" si="444"/>
        <v>0</v>
      </c>
      <c r="K221" s="167">
        <f t="shared" si="444"/>
        <v>0</v>
      </c>
      <c r="L221" s="167">
        <f t="shared" si="444"/>
        <v>0</v>
      </c>
      <c r="M221" s="167">
        <f t="shared" si="444"/>
        <v>0</v>
      </c>
      <c r="N221" s="167">
        <f t="shared" si="444"/>
        <v>0</v>
      </c>
      <c r="O221" s="167">
        <f t="shared" si="444"/>
        <v>0</v>
      </c>
      <c r="P221" s="167">
        <f t="shared" si="444"/>
        <v>0</v>
      </c>
      <c r="Q221" s="167">
        <f t="shared" si="444"/>
        <v>0</v>
      </c>
      <c r="R221" s="167">
        <f t="shared" si="444"/>
        <v>0</v>
      </c>
      <c r="S221" s="167">
        <f t="shared" si="444"/>
        <v>0</v>
      </c>
      <c r="T221" s="167">
        <f t="shared" si="444"/>
        <v>0</v>
      </c>
      <c r="U221" s="167">
        <f t="shared" si="444"/>
        <v>0</v>
      </c>
      <c r="V221" s="167">
        <f t="shared" si="444"/>
        <v>0</v>
      </c>
      <c r="W221" s="167">
        <f t="shared" si="444"/>
        <v>0</v>
      </c>
      <c r="X221" s="167">
        <f t="shared" si="444"/>
        <v>0</v>
      </c>
      <c r="Y221" s="167">
        <f t="shared" si="444"/>
        <v>0</v>
      </c>
      <c r="Z221" s="167">
        <f t="shared" si="444"/>
        <v>0</v>
      </c>
      <c r="AA221" s="167">
        <f t="shared" si="444"/>
        <v>0</v>
      </c>
      <c r="AB221" s="167">
        <f t="shared" si="444"/>
        <v>0</v>
      </c>
      <c r="AC221" s="167">
        <f t="shared" si="444"/>
        <v>0</v>
      </c>
      <c r="AD221" s="167">
        <f t="shared" si="444"/>
        <v>0</v>
      </c>
      <c r="AE221" s="167">
        <f t="shared" si="444"/>
        <v>0</v>
      </c>
      <c r="AF221" s="167">
        <f t="shared" si="444"/>
        <v>0</v>
      </c>
      <c r="AG221" s="167">
        <f t="shared" si="444"/>
        <v>0</v>
      </c>
      <c r="AH221" s="167">
        <f t="shared" si="444"/>
        <v>0</v>
      </c>
      <c r="AI221" s="167">
        <f t="shared" si="444"/>
        <v>0</v>
      </c>
      <c r="AJ221" s="167">
        <f t="shared" si="444"/>
        <v>0</v>
      </c>
      <c r="AK221" s="167">
        <f t="shared" si="444"/>
        <v>0</v>
      </c>
      <c r="AL221" s="167">
        <f t="shared" si="444"/>
        <v>0</v>
      </c>
      <c r="AM221" s="167">
        <f t="shared" si="444"/>
        <v>0</v>
      </c>
      <c r="AN221" s="167">
        <f t="shared" si="444"/>
        <v>0</v>
      </c>
      <c r="AO221" s="167">
        <f t="shared" si="444"/>
        <v>0</v>
      </c>
      <c r="AP221" s="167">
        <f t="shared" si="444"/>
        <v>0</v>
      </c>
      <c r="AQ221" s="167">
        <f t="shared" si="444"/>
        <v>0</v>
      </c>
      <c r="AR221" s="167">
        <f t="shared" si="444"/>
        <v>0</v>
      </c>
      <c r="AS221" s="167">
        <f t="shared" si="444"/>
        <v>0</v>
      </c>
      <c r="AT221" s="167">
        <f t="shared" si="381"/>
        <v>0</v>
      </c>
      <c r="AU221" s="175">
        <f t="shared" si="423"/>
        <v>0</v>
      </c>
      <c r="AV221" s="176">
        <f t="shared" si="382"/>
        <v>174041000</v>
      </c>
      <c r="AW221" s="175">
        <f t="shared" si="383"/>
        <v>100</v>
      </c>
      <c r="AX221" s="164" t="s">
        <v>542</v>
      </c>
      <c r="AY221" s="164" t="s">
        <v>543</v>
      </c>
      <c r="AZ221" s="164" t="s">
        <v>3921</v>
      </c>
      <c r="BA221" s="167">
        <f t="shared" ref="BA221:BD221" si="447">SUM(BA222:BA224)</f>
        <v>0</v>
      </c>
      <c r="BB221" s="167">
        <f t="shared" si="447"/>
        <v>0</v>
      </c>
      <c r="BC221" s="167">
        <f t="shared" si="447"/>
        <v>0</v>
      </c>
      <c r="BD221" s="167">
        <f t="shared" si="447"/>
        <v>0</v>
      </c>
      <c r="BE221" s="167">
        <f t="shared" ref="BE221" si="448">SUM(BE222:BE224)</f>
        <v>0</v>
      </c>
      <c r="BF221" s="167">
        <f t="shared" ref="BF221:BG221" si="449">SUM(BF222:BF224)</f>
        <v>0</v>
      </c>
      <c r="BG221" s="167">
        <f t="shared" si="449"/>
        <v>0</v>
      </c>
      <c r="BH221" s="167">
        <f t="shared" ref="BH221" si="450">SUM(BH222:BH224)</f>
        <v>0</v>
      </c>
    </row>
    <row r="222" spans="2:60" x14ac:dyDescent="0.25">
      <c r="B222" s="228">
        <v>521211</v>
      </c>
      <c r="C222" s="164" t="s">
        <v>7</v>
      </c>
      <c r="D222" s="164"/>
      <c r="E222" s="164"/>
      <c r="F222" s="165">
        <v>12000000</v>
      </c>
      <c r="G222" s="165">
        <v>12000000</v>
      </c>
      <c r="H222" s="165"/>
      <c r="I222" s="165">
        <f t="shared" ref="I222:I224" si="451">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81"/>
        <v>0</v>
      </c>
      <c r="AU222" s="168">
        <f t="shared" si="423"/>
        <v>0</v>
      </c>
      <c r="AV222" s="169">
        <f t="shared" si="382"/>
        <v>12000000</v>
      </c>
      <c r="AW222" s="168">
        <f t="shared" si="383"/>
        <v>100</v>
      </c>
      <c r="AX222" s="164" t="s">
        <v>542</v>
      </c>
      <c r="AY222" s="164" t="s">
        <v>543</v>
      </c>
      <c r="AZ222" s="164" t="s">
        <v>3921</v>
      </c>
      <c r="BA222" s="165"/>
      <c r="BB222" s="165"/>
      <c r="BC222" s="165"/>
      <c r="BD222" s="165"/>
      <c r="BE222" s="165"/>
      <c r="BF222" s="165"/>
      <c r="BG222" s="165"/>
      <c r="BH222" s="165"/>
    </row>
    <row r="223" spans="2:60" x14ac:dyDescent="0.25">
      <c r="B223" s="228">
        <v>521219</v>
      </c>
      <c r="C223" s="164" t="s">
        <v>53</v>
      </c>
      <c r="D223" s="164"/>
      <c r="E223" s="164"/>
      <c r="F223" s="165">
        <v>20000000</v>
      </c>
      <c r="G223" s="165">
        <v>20000000</v>
      </c>
      <c r="H223" s="165"/>
      <c r="I223" s="165">
        <f t="shared" si="451"/>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81"/>
        <v>0</v>
      </c>
      <c r="AU223" s="168">
        <f t="shared" si="423"/>
        <v>0</v>
      </c>
      <c r="AV223" s="169">
        <f t="shared" si="382"/>
        <v>20000000</v>
      </c>
      <c r="AW223" s="168">
        <f t="shared" si="383"/>
        <v>100</v>
      </c>
      <c r="AX223" s="164" t="s">
        <v>542</v>
      </c>
      <c r="AY223" s="164" t="s">
        <v>543</v>
      </c>
      <c r="AZ223" s="164" t="s">
        <v>3921</v>
      </c>
      <c r="BA223" s="165"/>
      <c r="BB223" s="165"/>
      <c r="BC223" s="165"/>
      <c r="BD223" s="165"/>
      <c r="BE223" s="165"/>
      <c r="BF223" s="165"/>
      <c r="BG223" s="165"/>
      <c r="BH223" s="165"/>
    </row>
    <row r="224" spans="2:60" x14ac:dyDescent="0.25">
      <c r="B224" s="228">
        <v>524211</v>
      </c>
      <c r="C224" s="164" t="s">
        <v>1151</v>
      </c>
      <c r="D224" s="164"/>
      <c r="E224" s="164"/>
      <c r="F224" s="165">
        <v>142041000</v>
      </c>
      <c r="G224" s="165">
        <v>142041000</v>
      </c>
      <c r="H224" s="165"/>
      <c r="I224" s="165">
        <f t="shared" si="451"/>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81"/>
        <v>0</v>
      </c>
      <c r="AU224" s="168">
        <f t="shared" si="423"/>
        <v>0</v>
      </c>
      <c r="AV224" s="169">
        <f t="shared" si="382"/>
        <v>142041000</v>
      </c>
      <c r="AW224" s="168">
        <f t="shared" si="383"/>
        <v>100</v>
      </c>
      <c r="AX224" s="164" t="s">
        <v>542</v>
      </c>
      <c r="AY224" s="164" t="s">
        <v>543</v>
      </c>
      <c r="AZ224" s="164" t="s">
        <v>3921</v>
      </c>
      <c r="BA224" s="165"/>
      <c r="BB224" s="165"/>
      <c r="BC224" s="165"/>
      <c r="BD224" s="165"/>
      <c r="BE224" s="165"/>
      <c r="BF224" s="165"/>
      <c r="BG224" s="165"/>
      <c r="BH224" s="165"/>
    </row>
    <row r="225" spans="2:60" x14ac:dyDescent="0.25">
      <c r="B225" s="230" t="s">
        <v>514</v>
      </c>
      <c r="C225" s="166" t="s">
        <v>3534</v>
      </c>
      <c r="D225" s="166"/>
      <c r="E225" s="166"/>
      <c r="F225" s="167">
        <f t="shared" ref="F225:AS225" si="452">SUM(F226)</f>
        <v>0</v>
      </c>
      <c r="G225" s="167">
        <f t="shared" si="452"/>
        <v>30000000</v>
      </c>
      <c r="H225" s="167">
        <f t="shared" si="452"/>
        <v>0</v>
      </c>
      <c r="I225" s="167">
        <f t="shared" si="452"/>
        <v>30000000</v>
      </c>
      <c r="J225" s="167">
        <f t="shared" si="452"/>
        <v>0</v>
      </c>
      <c r="K225" s="167">
        <f t="shared" si="452"/>
        <v>0</v>
      </c>
      <c r="L225" s="167">
        <f t="shared" si="452"/>
        <v>0</v>
      </c>
      <c r="M225" s="167">
        <f t="shared" si="452"/>
        <v>0</v>
      </c>
      <c r="N225" s="167">
        <f t="shared" si="452"/>
        <v>0</v>
      </c>
      <c r="O225" s="167">
        <f t="shared" si="452"/>
        <v>0</v>
      </c>
      <c r="P225" s="167">
        <f t="shared" si="452"/>
        <v>0</v>
      </c>
      <c r="Q225" s="167">
        <f t="shared" si="452"/>
        <v>0</v>
      </c>
      <c r="R225" s="167">
        <f t="shared" si="452"/>
        <v>0</v>
      </c>
      <c r="S225" s="167">
        <f t="shared" si="452"/>
        <v>0</v>
      </c>
      <c r="T225" s="167">
        <f t="shared" si="452"/>
        <v>0</v>
      </c>
      <c r="U225" s="167">
        <f t="shared" si="452"/>
        <v>0</v>
      </c>
      <c r="V225" s="167">
        <f t="shared" si="452"/>
        <v>0</v>
      </c>
      <c r="W225" s="167">
        <f t="shared" si="452"/>
        <v>0</v>
      </c>
      <c r="X225" s="167">
        <f t="shared" si="452"/>
        <v>0</v>
      </c>
      <c r="Y225" s="167">
        <f t="shared" si="452"/>
        <v>0</v>
      </c>
      <c r="Z225" s="167">
        <f t="shared" si="452"/>
        <v>0</v>
      </c>
      <c r="AA225" s="167">
        <f t="shared" si="452"/>
        <v>0</v>
      </c>
      <c r="AB225" s="167">
        <f t="shared" si="452"/>
        <v>0</v>
      </c>
      <c r="AC225" s="167">
        <f t="shared" si="452"/>
        <v>0</v>
      </c>
      <c r="AD225" s="167">
        <f t="shared" si="452"/>
        <v>0</v>
      </c>
      <c r="AE225" s="167">
        <f t="shared" si="452"/>
        <v>0</v>
      </c>
      <c r="AF225" s="167">
        <f t="shared" si="452"/>
        <v>0</v>
      </c>
      <c r="AG225" s="167">
        <f t="shared" si="452"/>
        <v>0</v>
      </c>
      <c r="AH225" s="167">
        <f t="shared" si="452"/>
        <v>0</v>
      </c>
      <c r="AI225" s="167">
        <f t="shared" si="452"/>
        <v>0</v>
      </c>
      <c r="AJ225" s="167">
        <f t="shared" si="452"/>
        <v>0</v>
      </c>
      <c r="AK225" s="167">
        <f t="shared" si="452"/>
        <v>0</v>
      </c>
      <c r="AL225" s="167">
        <f t="shared" si="452"/>
        <v>0</v>
      </c>
      <c r="AM225" s="167">
        <f t="shared" si="452"/>
        <v>0</v>
      </c>
      <c r="AN225" s="167">
        <f t="shared" si="452"/>
        <v>0</v>
      </c>
      <c r="AO225" s="167">
        <f t="shared" si="452"/>
        <v>0</v>
      </c>
      <c r="AP225" s="167">
        <f t="shared" si="452"/>
        <v>0</v>
      </c>
      <c r="AQ225" s="167">
        <f t="shared" si="452"/>
        <v>0</v>
      </c>
      <c r="AR225" s="167">
        <f t="shared" si="452"/>
        <v>0</v>
      </c>
      <c r="AS225" s="167">
        <f t="shared" si="452"/>
        <v>0</v>
      </c>
      <c r="AT225" s="167">
        <f t="shared" si="381"/>
        <v>0</v>
      </c>
      <c r="AU225" s="175">
        <f t="shared" si="423"/>
        <v>0</v>
      </c>
      <c r="AV225" s="176">
        <f t="shared" si="382"/>
        <v>0</v>
      </c>
      <c r="AW225" s="175" t="e">
        <f t="shared" si="383"/>
        <v>#DIV/0!</v>
      </c>
      <c r="AX225" s="164" t="s">
        <v>542</v>
      </c>
      <c r="AY225" s="164" t="s">
        <v>543</v>
      </c>
      <c r="AZ225" s="164" t="s">
        <v>3921</v>
      </c>
      <c r="BA225" s="167">
        <f t="shared" ref="BA225:BH225" si="453">SUM(BA226)</f>
        <v>0</v>
      </c>
      <c r="BB225" s="167">
        <f t="shared" si="453"/>
        <v>0</v>
      </c>
      <c r="BC225" s="167">
        <f t="shared" si="453"/>
        <v>0</v>
      </c>
      <c r="BD225" s="167">
        <f t="shared" si="453"/>
        <v>0</v>
      </c>
      <c r="BE225" s="167">
        <f t="shared" si="453"/>
        <v>0</v>
      </c>
      <c r="BF225" s="167">
        <f t="shared" si="453"/>
        <v>0</v>
      </c>
      <c r="BG225" s="167">
        <f t="shared" si="453"/>
        <v>0</v>
      </c>
      <c r="BH225" s="167">
        <f t="shared" si="453"/>
        <v>0</v>
      </c>
    </row>
    <row r="226" spans="2:60" x14ac:dyDescent="0.25">
      <c r="B226" s="228">
        <v>522192</v>
      </c>
      <c r="C226" s="164" t="s">
        <v>24</v>
      </c>
      <c r="D226" s="164"/>
      <c r="E226" s="164"/>
      <c r="F226" s="165">
        <v>0</v>
      </c>
      <c r="G226" s="165">
        <v>30000000</v>
      </c>
      <c r="H226" s="165"/>
      <c r="I226" s="165">
        <f t="shared" ref="I226" si="454">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81"/>
        <v>0</v>
      </c>
      <c r="AU226" s="168">
        <f t="shared" si="423"/>
        <v>0</v>
      </c>
      <c r="AV226" s="169">
        <f t="shared" si="382"/>
        <v>0</v>
      </c>
      <c r="AW226" s="168" t="e">
        <f t="shared" si="383"/>
        <v>#DIV/0!</v>
      </c>
      <c r="AX226" s="164" t="s">
        <v>542</v>
      </c>
      <c r="AY226" s="164" t="s">
        <v>543</v>
      </c>
      <c r="AZ226" s="164" t="s">
        <v>3921</v>
      </c>
      <c r="BA226" s="165"/>
      <c r="BB226" s="165"/>
      <c r="BC226" s="165"/>
      <c r="BD226" s="165"/>
      <c r="BE226" s="165"/>
      <c r="BF226" s="165"/>
      <c r="BG226" s="165"/>
      <c r="BH226" s="165"/>
    </row>
    <row r="227" spans="2:60" x14ac:dyDescent="0.25">
      <c r="B227" s="170">
        <v>302</v>
      </c>
      <c r="C227" s="171" t="s">
        <v>193</v>
      </c>
      <c r="D227" s="171"/>
      <c r="E227" s="171"/>
      <c r="F227" s="172">
        <f>F228</f>
        <v>109200000</v>
      </c>
      <c r="G227" s="172">
        <f>G228</f>
        <v>109200000</v>
      </c>
      <c r="H227" s="172">
        <f>H228</f>
        <v>0</v>
      </c>
      <c r="I227" s="172">
        <f>I228</f>
        <v>0</v>
      </c>
      <c r="J227" s="172">
        <f t="shared" ref="J227:AS227" si="455">J228</f>
        <v>0</v>
      </c>
      <c r="K227" s="172">
        <f t="shared" si="455"/>
        <v>0</v>
      </c>
      <c r="L227" s="172">
        <f t="shared" si="455"/>
        <v>0</v>
      </c>
      <c r="M227" s="172">
        <f t="shared" si="455"/>
        <v>0</v>
      </c>
      <c r="N227" s="172">
        <f t="shared" si="455"/>
        <v>0</v>
      </c>
      <c r="O227" s="172">
        <f t="shared" si="455"/>
        <v>0</v>
      </c>
      <c r="P227" s="172">
        <f t="shared" si="455"/>
        <v>0</v>
      </c>
      <c r="Q227" s="172">
        <f t="shared" si="455"/>
        <v>0</v>
      </c>
      <c r="R227" s="172">
        <f t="shared" si="455"/>
        <v>0</v>
      </c>
      <c r="S227" s="172">
        <f t="shared" si="455"/>
        <v>0</v>
      </c>
      <c r="T227" s="172">
        <f t="shared" si="455"/>
        <v>0</v>
      </c>
      <c r="U227" s="172">
        <f t="shared" si="455"/>
        <v>0</v>
      </c>
      <c r="V227" s="172">
        <f t="shared" si="455"/>
        <v>0</v>
      </c>
      <c r="W227" s="172">
        <f t="shared" si="455"/>
        <v>0</v>
      </c>
      <c r="X227" s="172">
        <f t="shared" si="455"/>
        <v>7806000</v>
      </c>
      <c r="Y227" s="172">
        <f t="shared" si="455"/>
        <v>0</v>
      </c>
      <c r="Z227" s="172">
        <f t="shared" si="455"/>
        <v>0</v>
      </c>
      <c r="AA227" s="172">
        <f t="shared" si="455"/>
        <v>0</v>
      </c>
      <c r="AB227" s="172">
        <f t="shared" si="455"/>
        <v>0</v>
      </c>
      <c r="AC227" s="172">
        <f t="shared" si="455"/>
        <v>0</v>
      </c>
      <c r="AD227" s="172">
        <f t="shared" si="455"/>
        <v>0</v>
      </c>
      <c r="AE227" s="172">
        <f t="shared" si="455"/>
        <v>0</v>
      </c>
      <c r="AF227" s="172">
        <f t="shared" si="455"/>
        <v>0</v>
      </c>
      <c r="AG227" s="172">
        <f t="shared" si="455"/>
        <v>0</v>
      </c>
      <c r="AH227" s="172">
        <f t="shared" si="455"/>
        <v>0</v>
      </c>
      <c r="AI227" s="172">
        <f t="shared" si="455"/>
        <v>0</v>
      </c>
      <c r="AJ227" s="172">
        <f t="shared" si="455"/>
        <v>0</v>
      </c>
      <c r="AK227" s="172">
        <f t="shared" si="455"/>
        <v>0</v>
      </c>
      <c r="AL227" s="172">
        <f t="shared" si="455"/>
        <v>0</v>
      </c>
      <c r="AM227" s="172">
        <f t="shared" si="455"/>
        <v>0</v>
      </c>
      <c r="AN227" s="172">
        <f t="shared" si="455"/>
        <v>0</v>
      </c>
      <c r="AO227" s="172">
        <f t="shared" si="455"/>
        <v>0</v>
      </c>
      <c r="AP227" s="172">
        <f t="shared" si="455"/>
        <v>0</v>
      </c>
      <c r="AQ227" s="172">
        <f t="shared" si="455"/>
        <v>0</v>
      </c>
      <c r="AR227" s="172">
        <f t="shared" si="455"/>
        <v>0</v>
      </c>
      <c r="AS227" s="172">
        <f t="shared" si="455"/>
        <v>0</v>
      </c>
      <c r="AT227" s="172">
        <f t="shared" si="381"/>
        <v>7806000</v>
      </c>
      <c r="AU227" s="173">
        <f t="shared" si="423"/>
        <v>7.1483516483516487</v>
      </c>
      <c r="AV227" s="174">
        <f t="shared" si="382"/>
        <v>101394000</v>
      </c>
      <c r="AW227" s="173">
        <f t="shared" si="383"/>
        <v>92.85164835164835</v>
      </c>
      <c r="AX227" s="164" t="s">
        <v>542</v>
      </c>
      <c r="AY227" s="164" t="s">
        <v>543</v>
      </c>
      <c r="AZ227" s="164" t="s">
        <v>3921</v>
      </c>
      <c r="BA227" s="172">
        <f t="shared" ref="BA227:BH227" si="456">BA228</f>
        <v>0</v>
      </c>
      <c r="BB227" s="172">
        <f t="shared" si="456"/>
        <v>0</v>
      </c>
      <c r="BC227" s="172">
        <f t="shared" si="456"/>
        <v>0</v>
      </c>
      <c r="BD227" s="172">
        <f t="shared" si="456"/>
        <v>0</v>
      </c>
      <c r="BE227" s="172">
        <f t="shared" si="456"/>
        <v>0</v>
      </c>
      <c r="BF227" s="172">
        <f t="shared" si="456"/>
        <v>0</v>
      </c>
      <c r="BG227" s="172">
        <f t="shared" si="456"/>
        <v>7806000</v>
      </c>
      <c r="BH227" s="172">
        <f t="shared" si="456"/>
        <v>0</v>
      </c>
    </row>
    <row r="228" spans="2:60" x14ac:dyDescent="0.25">
      <c r="B228" s="230" t="s">
        <v>8</v>
      </c>
      <c r="C228" s="166" t="s">
        <v>193</v>
      </c>
      <c r="D228" s="166"/>
      <c r="E228" s="166"/>
      <c r="F228" s="167">
        <f>SUM(F229:F231)</f>
        <v>109200000</v>
      </c>
      <c r="G228" s="167">
        <f>SUM(G229:G231)</f>
        <v>109200000</v>
      </c>
      <c r="H228" s="167">
        <f>SUM(H229:H231)</f>
        <v>0</v>
      </c>
      <c r="I228" s="167">
        <f>SUM(I229:I231)</f>
        <v>0</v>
      </c>
      <c r="J228" s="167">
        <f t="shared" ref="J228:AS228" si="457">SUM(J229:J231)</f>
        <v>0</v>
      </c>
      <c r="K228" s="167">
        <f t="shared" si="457"/>
        <v>0</v>
      </c>
      <c r="L228" s="167">
        <f t="shared" si="457"/>
        <v>0</v>
      </c>
      <c r="M228" s="167">
        <f t="shared" si="457"/>
        <v>0</v>
      </c>
      <c r="N228" s="167">
        <f t="shared" si="457"/>
        <v>0</v>
      </c>
      <c r="O228" s="167">
        <f t="shared" si="457"/>
        <v>0</v>
      </c>
      <c r="P228" s="167">
        <f t="shared" si="457"/>
        <v>0</v>
      </c>
      <c r="Q228" s="167">
        <f t="shared" si="457"/>
        <v>0</v>
      </c>
      <c r="R228" s="167">
        <f t="shared" si="457"/>
        <v>0</v>
      </c>
      <c r="S228" s="167">
        <f t="shared" si="457"/>
        <v>0</v>
      </c>
      <c r="T228" s="167">
        <f t="shared" si="457"/>
        <v>0</v>
      </c>
      <c r="U228" s="167">
        <f t="shared" si="457"/>
        <v>0</v>
      </c>
      <c r="V228" s="167">
        <f t="shared" si="457"/>
        <v>0</v>
      </c>
      <c r="W228" s="167">
        <f t="shared" si="457"/>
        <v>0</v>
      </c>
      <c r="X228" s="167">
        <f t="shared" si="457"/>
        <v>7806000</v>
      </c>
      <c r="Y228" s="167">
        <f t="shared" si="457"/>
        <v>0</v>
      </c>
      <c r="Z228" s="167">
        <f t="shared" si="457"/>
        <v>0</v>
      </c>
      <c r="AA228" s="167">
        <f t="shared" si="457"/>
        <v>0</v>
      </c>
      <c r="AB228" s="167">
        <f t="shared" si="457"/>
        <v>0</v>
      </c>
      <c r="AC228" s="167">
        <f t="shared" si="457"/>
        <v>0</v>
      </c>
      <c r="AD228" s="167">
        <f t="shared" si="457"/>
        <v>0</v>
      </c>
      <c r="AE228" s="167">
        <f t="shared" si="457"/>
        <v>0</v>
      </c>
      <c r="AF228" s="167">
        <f t="shared" si="457"/>
        <v>0</v>
      </c>
      <c r="AG228" s="167">
        <f t="shared" si="457"/>
        <v>0</v>
      </c>
      <c r="AH228" s="167">
        <f t="shared" si="457"/>
        <v>0</v>
      </c>
      <c r="AI228" s="167">
        <f t="shared" si="457"/>
        <v>0</v>
      </c>
      <c r="AJ228" s="167">
        <f t="shared" si="457"/>
        <v>0</v>
      </c>
      <c r="AK228" s="167">
        <f t="shared" si="457"/>
        <v>0</v>
      </c>
      <c r="AL228" s="167">
        <f t="shared" si="457"/>
        <v>0</v>
      </c>
      <c r="AM228" s="167">
        <f t="shared" si="457"/>
        <v>0</v>
      </c>
      <c r="AN228" s="167">
        <f t="shared" si="457"/>
        <v>0</v>
      </c>
      <c r="AO228" s="167">
        <f t="shared" si="457"/>
        <v>0</v>
      </c>
      <c r="AP228" s="167">
        <f t="shared" si="457"/>
        <v>0</v>
      </c>
      <c r="AQ228" s="167">
        <f t="shared" si="457"/>
        <v>0</v>
      </c>
      <c r="AR228" s="167">
        <f t="shared" si="457"/>
        <v>0</v>
      </c>
      <c r="AS228" s="167">
        <f t="shared" si="457"/>
        <v>0</v>
      </c>
      <c r="AT228" s="167">
        <f>SUM(J228:AS228)</f>
        <v>7806000</v>
      </c>
      <c r="AU228" s="175">
        <f t="shared" si="423"/>
        <v>7.1483516483516487</v>
      </c>
      <c r="AV228" s="176">
        <f>F228-AT228</f>
        <v>101394000</v>
      </c>
      <c r="AW228" s="175">
        <f t="shared" si="383"/>
        <v>92.85164835164835</v>
      </c>
      <c r="AX228" s="164" t="s">
        <v>542</v>
      </c>
      <c r="AY228" s="164" t="s">
        <v>543</v>
      </c>
      <c r="AZ228" s="164" t="s">
        <v>3921</v>
      </c>
      <c r="BA228" s="167">
        <f t="shared" ref="BA228:BC228" si="458">SUM(BA229:BA231)</f>
        <v>0</v>
      </c>
      <c r="BB228" s="167">
        <f t="shared" si="458"/>
        <v>0</v>
      </c>
      <c r="BC228" s="167">
        <f t="shared" si="458"/>
        <v>0</v>
      </c>
      <c r="BD228" s="167">
        <f t="shared" ref="BD228" si="459">SUM(BD229:BD231)</f>
        <v>0</v>
      </c>
      <c r="BE228" s="167">
        <f t="shared" ref="BE228" si="460">SUM(BE229:BE231)</f>
        <v>0</v>
      </c>
      <c r="BF228" s="167">
        <f t="shared" ref="BF228:BG228" si="461">SUM(BF229:BF231)</f>
        <v>0</v>
      </c>
      <c r="BG228" s="167">
        <f t="shared" si="461"/>
        <v>7806000</v>
      </c>
      <c r="BH228" s="167">
        <f t="shared" ref="BH228" si="462">SUM(BH229:BH231)</f>
        <v>0</v>
      </c>
    </row>
    <row r="229" spans="2:60" x14ac:dyDescent="0.25">
      <c r="B229" s="228">
        <v>521211</v>
      </c>
      <c r="C229" s="164" t="s">
        <v>7</v>
      </c>
      <c r="D229" s="164"/>
      <c r="E229" s="164"/>
      <c r="F229" s="165">
        <v>25000000</v>
      </c>
      <c r="G229" s="165">
        <v>25000000</v>
      </c>
      <c r="H229" s="165"/>
      <c r="I229" s="165">
        <f t="shared" ref="I229:I231" si="463">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81"/>
        <v>2961000</v>
      </c>
      <c r="AU229" s="168">
        <f t="shared" si="423"/>
        <v>11.844000000000001</v>
      </c>
      <c r="AV229" s="169">
        <f t="shared" si="382"/>
        <v>22039000</v>
      </c>
      <c r="AW229" s="168">
        <f t="shared" si="383"/>
        <v>88.156000000000006</v>
      </c>
      <c r="AX229" s="164" t="s">
        <v>542</v>
      </c>
      <c r="AY229" s="164" t="s">
        <v>543</v>
      </c>
      <c r="AZ229" s="164" t="s">
        <v>3921</v>
      </c>
      <c r="BA229" s="165"/>
      <c r="BB229" s="165"/>
      <c r="BC229" s="165"/>
      <c r="BD229" s="165"/>
      <c r="BE229" s="165"/>
      <c r="BF229" s="165"/>
      <c r="BG229" s="165">
        <v>2961000</v>
      </c>
      <c r="BH229" s="165"/>
    </row>
    <row r="230" spans="2:60" x14ac:dyDescent="0.25">
      <c r="B230" s="228">
        <v>521811</v>
      </c>
      <c r="C230" s="164" t="s">
        <v>64</v>
      </c>
      <c r="D230" s="164"/>
      <c r="E230" s="164"/>
      <c r="F230" s="165">
        <v>30000000</v>
      </c>
      <c r="G230" s="165">
        <v>30000000</v>
      </c>
      <c r="H230" s="165"/>
      <c r="I230" s="165">
        <f t="shared" si="463"/>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81"/>
        <v>4845000</v>
      </c>
      <c r="AU230" s="168">
        <f t="shared" si="423"/>
        <v>16.150000000000002</v>
      </c>
      <c r="AV230" s="169">
        <f t="shared" si="382"/>
        <v>25155000</v>
      </c>
      <c r="AW230" s="168">
        <f t="shared" si="383"/>
        <v>83.850000000000009</v>
      </c>
      <c r="AX230" s="164" t="s">
        <v>542</v>
      </c>
      <c r="AY230" s="164" t="s">
        <v>543</v>
      </c>
      <c r="AZ230" s="164" t="s">
        <v>3921</v>
      </c>
      <c r="BA230" s="165"/>
      <c r="BB230" s="165"/>
      <c r="BC230" s="165"/>
      <c r="BD230" s="165"/>
      <c r="BE230" s="165"/>
      <c r="BF230" s="165"/>
      <c r="BG230" s="165">
        <v>4845000</v>
      </c>
      <c r="BH230" s="165"/>
    </row>
    <row r="231" spans="2:60" x14ac:dyDescent="0.25">
      <c r="B231" s="228">
        <v>524111</v>
      </c>
      <c r="C231" s="164" t="s">
        <v>19</v>
      </c>
      <c r="D231" s="164"/>
      <c r="E231" s="164"/>
      <c r="F231" s="165">
        <v>54200000</v>
      </c>
      <c r="G231" s="165">
        <v>54200000</v>
      </c>
      <c r="H231" s="165"/>
      <c r="I231" s="165">
        <f t="shared" si="463"/>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23"/>
        <v>0</v>
      </c>
      <c r="AV231" s="169">
        <f t="shared" si="382"/>
        <v>54200000</v>
      </c>
      <c r="AW231" s="168">
        <f t="shared" si="383"/>
        <v>100</v>
      </c>
      <c r="AX231" s="164" t="s">
        <v>542</v>
      </c>
      <c r="AY231" s="164" t="s">
        <v>543</v>
      </c>
      <c r="AZ231" s="164" t="s">
        <v>3921</v>
      </c>
      <c r="BA231" s="165"/>
      <c r="BB231" s="165"/>
      <c r="BC231" s="165"/>
      <c r="BD231" s="165"/>
      <c r="BE231" s="165"/>
      <c r="BF231" s="165"/>
      <c r="BG231" s="165"/>
      <c r="BH231" s="165"/>
    </row>
    <row r="232" spans="2:60" x14ac:dyDescent="0.25">
      <c r="F232" s="227"/>
      <c r="G232" s="227"/>
      <c r="H232" s="227"/>
      <c r="I232" s="227"/>
      <c r="AT232" s="220"/>
    </row>
    <row r="233" spans="2:60" x14ac:dyDescent="0.25">
      <c r="AU233" t="s">
        <v>3842</v>
      </c>
    </row>
    <row r="234" spans="2:60"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0" x14ac:dyDescent="0.25">
      <c r="B235" s="385"/>
      <c r="C235" s="363"/>
      <c r="D235" s="363"/>
      <c r="E235" s="363"/>
      <c r="F235" s="363"/>
      <c r="G235" s="363"/>
      <c r="H235" s="363"/>
      <c r="I235" s="406">
        <f t="shared" ref="I235:I250" si="464">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0" s="189" customFormat="1" x14ac:dyDescent="0.25">
      <c r="B236" s="386" t="s">
        <v>501</v>
      </c>
      <c r="C236" s="185" t="s">
        <v>76</v>
      </c>
      <c r="D236" s="185"/>
      <c r="E236" s="185"/>
      <c r="F236" s="186">
        <f>F237+F250</f>
        <v>6478996000</v>
      </c>
      <c r="G236" s="186">
        <f t="shared" ref="G236:AR236" si="465">G237+G250</f>
        <v>6478996000</v>
      </c>
      <c r="H236" s="186">
        <f t="shared" ref="H236" si="466">H237+H250</f>
        <v>323949000</v>
      </c>
      <c r="I236" s="186">
        <f t="shared" si="464"/>
        <v>0</v>
      </c>
      <c r="J236" s="186">
        <f t="shared" si="465"/>
        <v>208949299</v>
      </c>
      <c r="K236" s="186">
        <f t="shared" si="465"/>
        <v>0</v>
      </c>
      <c r="L236" s="186">
        <f t="shared" si="465"/>
        <v>0</v>
      </c>
      <c r="M236" s="186">
        <f t="shared" si="465"/>
        <v>471416928</v>
      </c>
      <c r="N236" s="186">
        <f t="shared" si="465"/>
        <v>0</v>
      </c>
      <c r="O236" s="186">
        <f t="shared" si="465"/>
        <v>0</v>
      </c>
      <c r="P236" s="186">
        <f t="shared" si="465"/>
        <v>493246114</v>
      </c>
      <c r="Q236" s="186">
        <f t="shared" si="465"/>
        <v>0</v>
      </c>
      <c r="R236" s="186">
        <f t="shared" si="465"/>
        <v>0</v>
      </c>
      <c r="S236" s="186">
        <f t="shared" si="465"/>
        <v>811194029</v>
      </c>
      <c r="T236" s="186">
        <f t="shared" si="465"/>
        <v>0</v>
      </c>
      <c r="U236" s="186">
        <f t="shared" si="465"/>
        <v>0</v>
      </c>
      <c r="V236" s="186">
        <f t="shared" si="465"/>
        <v>480605233</v>
      </c>
      <c r="W236" s="186">
        <f t="shared" si="465"/>
        <v>0</v>
      </c>
      <c r="X236" s="186">
        <f t="shared" si="465"/>
        <v>0</v>
      </c>
      <c r="Y236" s="186">
        <f t="shared" si="465"/>
        <v>474970701</v>
      </c>
      <c r="Z236" s="186">
        <f t="shared" si="465"/>
        <v>0</v>
      </c>
      <c r="AA236" s="186">
        <f t="shared" si="465"/>
        <v>0</v>
      </c>
      <c r="AB236" s="186">
        <f t="shared" si="465"/>
        <v>0</v>
      </c>
      <c r="AC236" s="186">
        <f t="shared" si="465"/>
        <v>0</v>
      </c>
      <c r="AD236" s="186">
        <f t="shared" si="465"/>
        <v>0</v>
      </c>
      <c r="AE236" s="186">
        <f t="shared" si="465"/>
        <v>0</v>
      </c>
      <c r="AF236" s="186">
        <f t="shared" si="465"/>
        <v>0</v>
      </c>
      <c r="AG236" s="186">
        <f t="shared" si="465"/>
        <v>0</v>
      </c>
      <c r="AH236" s="186">
        <f t="shared" si="465"/>
        <v>0</v>
      </c>
      <c r="AI236" s="186">
        <f t="shared" si="465"/>
        <v>0</v>
      </c>
      <c r="AJ236" s="186">
        <f t="shared" si="465"/>
        <v>0</v>
      </c>
      <c r="AK236" s="186">
        <f t="shared" si="465"/>
        <v>0</v>
      </c>
      <c r="AL236" s="186">
        <f t="shared" si="465"/>
        <v>0</v>
      </c>
      <c r="AM236" s="186">
        <f t="shared" si="465"/>
        <v>0</v>
      </c>
      <c r="AN236" s="186">
        <f t="shared" si="465"/>
        <v>0</v>
      </c>
      <c r="AO236" s="186">
        <f t="shared" si="465"/>
        <v>0</v>
      </c>
      <c r="AP236" s="186">
        <f t="shared" si="465"/>
        <v>0</v>
      </c>
      <c r="AQ236" s="186">
        <f t="shared" si="465"/>
        <v>0</v>
      </c>
      <c r="AR236" s="186">
        <f t="shared" si="465"/>
        <v>0</v>
      </c>
      <c r="AS236" s="186"/>
      <c r="AT236" s="186">
        <f t="shared" ref="AT236:AT248" si="467">SUM(J236:AS236)</f>
        <v>2940382304</v>
      </c>
      <c r="AU236" s="382">
        <f t="shared" ref="AU236:AU248" si="468">IFERROR(AT236/F236*100,0)</f>
        <v>45.383301733787142</v>
      </c>
      <c r="AV236" s="187">
        <f t="shared" ref="AV236:AV248" si="469">F236-AT236</f>
        <v>3538613696</v>
      </c>
      <c r="AW236" s="187">
        <f t="shared" ref="AW236:AW248" si="470">AV236/F236*100</f>
        <v>54.61669826621285</v>
      </c>
      <c r="AX236" s="185" t="s">
        <v>576</v>
      </c>
      <c r="AY236" s="189" t="s">
        <v>546</v>
      </c>
      <c r="BA236" s="366"/>
      <c r="BC236" s="366"/>
    </row>
    <row r="237" spans="2:60" x14ac:dyDescent="0.25">
      <c r="B237" s="387" t="s">
        <v>1807</v>
      </c>
      <c r="C237" s="367" t="s">
        <v>1808</v>
      </c>
      <c r="D237" s="368"/>
      <c r="E237" s="368"/>
      <c r="F237" s="369">
        <f>SUM(F238:F248)</f>
        <v>6155047000</v>
      </c>
      <c r="G237" s="369">
        <f>SUM(G238:G248)</f>
        <v>6155047000</v>
      </c>
      <c r="H237" s="369">
        <f>SUM(H238:H248)</f>
        <v>0</v>
      </c>
      <c r="I237" s="369">
        <f t="shared" si="464"/>
        <v>0</v>
      </c>
      <c r="J237" s="369">
        <f t="shared" ref="J237:K237" si="471">SUM(J238:J248)</f>
        <v>208949299</v>
      </c>
      <c r="K237" s="369">
        <f t="shared" si="471"/>
        <v>0</v>
      </c>
      <c r="L237" s="369">
        <f>SUM(L238:L248)</f>
        <v>0</v>
      </c>
      <c r="M237" s="369">
        <f t="shared" ref="M237:N237" si="472">SUM(M238:M248)</f>
        <v>471416928</v>
      </c>
      <c r="N237" s="369">
        <f t="shared" si="472"/>
        <v>0</v>
      </c>
      <c r="O237" s="369">
        <f>SUM(O238:O248)</f>
        <v>0</v>
      </c>
      <c r="P237" s="369">
        <f t="shared" ref="P237:Q237" si="473">SUM(P238:P248)</f>
        <v>493246114</v>
      </c>
      <c r="Q237" s="369">
        <f t="shared" si="473"/>
        <v>0</v>
      </c>
      <c r="R237" s="369">
        <f>SUM(R238:R248)</f>
        <v>0</v>
      </c>
      <c r="S237" s="369">
        <f t="shared" ref="S237:AR237" si="474">SUM(S238:S248)</f>
        <v>811194029</v>
      </c>
      <c r="T237" s="369">
        <f t="shared" si="474"/>
        <v>0</v>
      </c>
      <c r="U237" s="369">
        <f t="shared" si="474"/>
        <v>0</v>
      </c>
      <c r="V237" s="369">
        <f t="shared" si="474"/>
        <v>480605233</v>
      </c>
      <c r="W237" s="369">
        <f t="shared" si="474"/>
        <v>0</v>
      </c>
      <c r="X237" s="369">
        <f t="shared" si="474"/>
        <v>0</v>
      </c>
      <c r="Y237" s="369">
        <f t="shared" si="474"/>
        <v>474970701</v>
      </c>
      <c r="Z237" s="369">
        <f t="shared" si="474"/>
        <v>0</v>
      </c>
      <c r="AA237" s="369">
        <f t="shared" si="474"/>
        <v>0</v>
      </c>
      <c r="AB237" s="369">
        <f t="shared" si="474"/>
        <v>0</v>
      </c>
      <c r="AC237" s="369">
        <f t="shared" si="474"/>
        <v>0</v>
      </c>
      <c r="AD237" s="369">
        <f t="shared" si="474"/>
        <v>0</v>
      </c>
      <c r="AE237" s="369">
        <f t="shared" si="474"/>
        <v>0</v>
      </c>
      <c r="AF237" s="369">
        <f t="shared" si="474"/>
        <v>0</v>
      </c>
      <c r="AG237" s="369">
        <f t="shared" si="474"/>
        <v>0</v>
      </c>
      <c r="AH237" s="369">
        <f t="shared" si="474"/>
        <v>0</v>
      </c>
      <c r="AI237" s="369">
        <f t="shared" si="474"/>
        <v>0</v>
      </c>
      <c r="AJ237" s="369">
        <f t="shared" si="474"/>
        <v>0</v>
      </c>
      <c r="AK237" s="369">
        <f t="shared" si="474"/>
        <v>0</v>
      </c>
      <c r="AL237" s="369">
        <f t="shared" si="474"/>
        <v>0</v>
      </c>
      <c r="AM237" s="369">
        <f t="shared" si="474"/>
        <v>0</v>
      </c>
      <c r="AN237" s="369">
        <f t="shared" si="474"/>
        <v>0</v>
      </c>
      <c r="AO237" s="369">
        <f t="shared" si="474"/>
        <v>0</v>
      </c>
      <c r="AP237" s="369">
        <f t="shared" si="474"/>
        <v>0</v>
      </c>
      <c r="AQ237" s="369">
        <f t="shared" si="474"/>
        <v>0</v>
      </c>
      <c r="AR237" s="369">
        <f t="shared" si="474"/>
        <v>0</v>
      </c>
      <c r="AS237" s="167"/>
      <c r="AT237" s="167">
        <f t="shared" si="467"/>
        <v>2940382304</v>
      </c>
      <c r="AU237" s="226">
        <f t="shared" si="468"/>
        <v>47.771890352746297</v>
      </c>
      <c r="AV237" s="175">
        <f t="shared" si="469"/>
        <v>3214664696</v>
      </c>
      <c r="AW237" s="381">
        <f t="shared" si="470"/>
        <v>52.228109647253703</v>
      </c>
      <c r="AX237" s="368" t="s">
        <v>576</v>
      </c>
      <c r="AY237" t="s">
        <v>546</v>
      </c>
      <c r="BA237" s="370"/>
      <c r="BB237"/>
      <c r="BC237" s="370"/>
      <c r="BD237"/>
    </row>
    <row r="238" spans="2:60" x14ac:dyDescent="0.25">
      <c r="B238" s="388">
        <v>511111</v>
      </c>
      <c r="C238" s="371" t="s">
        <v>77</v>
      </c>
      <c r="D238" s="371"/>
      <c r="E238" s="371"/>
      <c r="F238" s="372">
        <v>2483477000</v>
      </c>
      <c r="G238" s="373">
        <v>2483477000</v>
      </c>
      <c r="H238" s="373"/>
      <c r="I238" s="373">
        <f t="shared" si="464"/>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c r="AC238" s="374"/>
      <c r="AD238" s="374"/>
      <c r="AE238" s="374"/>
      <c r="AF238" s="374"/>
      <c r="AG238" s="374"/>
      <c r="AH238" s="374"/>
      <c r="AI238" s="374"/>
      <c r="AJ238" s="374"/>
      <c r="AK238" s="374"/>
      <c r="AL238" s="374"/>
      <c r="AM238" s="374"/>
      <c r="AN238" s="374"/>
      <c r="AO238" s="374"/>
      <c r="AP238" s="374"/>
      <c r="AQ238" s="374"/>
      <c r="AR238" s="374"/>
      <c r="AS238" s="374"/>
      <c r="AT238" s="374">
        <f t="shared" si="467"/>
        <v>1182051100</v>
      </c>
      <c r="AU238" s="383">
        <f t="shared" si="468"/>
        <v>47.596619578115686</v>
      </c>
      <c r="AV238" s="378">
        <f t="shared" si="469"/>
        <v>1301425900</v>
      </c>
      <c r="AW238" s="377">
        <f t="shared" si="470"/>
        <v>52.403380421884314</v>
      </c>
      <c r="AX238" s="371" t="s">
        <v>576</v>
      </c>
      <c r="AY238" t="s">
        <v>546</v>
      </c>
      <c r="BA238" s="215"/>
      <c r="BB238"/>
      <c r="BC238" s="215"/>
      <c r="BD238"/>
    </row>
    <row r="239" spans="2:60" x14ac:dyDescent="0.25">
      <c r="B239" s="388">
        <v>511119</v>
      </c>
      <c r="C239" s="371" t="s">
        <v>79</v>
      </c>
      <c r="D239" s="371"/>
      <c r="E239" s="371"/>
      <c r="F239" s="372">
        <v>38000</v>
      </c>
      <c r="G239" s="373">
        <v>38000</v>
      </c>
      <c r="H239" s="373"/>
      <c r="I239" s="373">
        <f t="shared" si="464"/>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c r="AC239" s="374"/>
      <c r="AD239" s="374"/>
      <c r="AE239" s="374"/>
      <c r="AF239" s="374"/>
      <c r="AG239" s="374"/>
      <c r="AH239" s="374"/>
      <c r="AI239" s="374"/>
      <c r="AJ239" s="374"/>
      <c r="AK239" s="374"/>
      <c r="AL239" s="374"/>
      <c r="AM239" s="374"/>
      <c r="AN239" s="374"/>
      <c r="AO239" s="374"/>
      <c r="AP239" s="374"/>
      <c r="AQ239" s="374"/>
      <c r="AR239" s="374"/>
      <c r="AS239" s="374"/>
      <c r="AT239" s="374">
        <f t="shared" si="467"/>
        <v>18339</v>
      </c>
      <c r="AU239" s="383">
        <f t="shared" si="468"/>
        <v>48.260526315789477</v>
      </c>
      <c r="AV239" s="378">
        <f t="shared" si="469"/>
        <v>19661</v>
      </c>
      <c r="AW239" s="377">
        <f t="shared" si="470"/>
        <v>51.739473684210523</v>
      </c>
      <c r="AX239" s="371" t="s">
        <v>576</v>
      </c>
      <c r="AY239" t="s">
        <v>546</v>
      </c>
      <c r="BA239" s="215"/>
      <c r="BB239"/>
      <c r="BC239" s="215"/>
      <c r="BD239"/>
    </row>
    <row r="240" spans="2:60" x14ac:dyDescent="0.25">
      <c r="B240" s="388">
        <v>511121</v>
      </c>
      <c r="C240" s="371" t="s">
        <v>80</v>
      </c>
      <c r="D240" s="371"/>
      <c r="E240" s="371"/>
      <c r="F240" s="372">
        <v>171959000</v>
      </c>
      <c r="G240" s="373">
        <v>171959000</v>
      </c>
      <c r="H240" s="373"/>
      <c r="I240" s="373">
        <f t="shared" si="464"/>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c r="AC240" s="374"/>
      <c r="AD240" s="374"/>
      <c r="AE240" s="374"/>
      <c r="AF240" s="374"/>
      <c r="AG240" s="374"/>
      <c r="AH240" s="374"/>
      <c r="AI240" s="374"/>
      <c r="AJ240" s="374"/>
      <c r="AK240" s="374"/>
      <c r="AL240" s="374"/>
      <c r="AM240" s="374"/>
      <c r="AN240" s="374"/>
      <c r="AO240" s="374"/>
      <c r="AP240" s="374"/>
      <c r="AQ240" s="374"/>
      <c r="AR240" s="374"/>
      <c r="AS240" s="374"/>
      <c r="AT240" s="374">
        <f t="shared" si="467"/>
        <v>76945360</v>
      </c>
      <c r="AU240" s="383">
        <f t="shared" si="468"/>
        <v>44.746340697491846</v>
      </c>
      <c r="AV240" s="378">
        <f t="shared" si="469"/>
        <v>95013640</v>
      </c>
      <c r="AW240" s="377">
        <f t="shared" si="470"/>
        <v>55.253659302508154</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64"/>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c r="AC241" s="374"/>
      <c r="AD241" s="374"/>
      <c r="AE241" s="374"/>
      <c r="AF241" s="374"/>
      <c r="AG241" s="374"/>
      <c r="AH241" s="374"/>
      <c r="AI241" s="374"/>
      <c r="AJ241" s="374"/>
      <c r="AK241" s="374"/>
      <c r="AL241" s="374"/>
      <c r="AM241" s="374"/>
      <c r="AN241" s="374"/>
      <c r="AO241" s="374"/>
      <c r="AP241" s="374"/>
      <c r="AQ241" s="374"/>
      <c r="AR241" s="374"/>
      <c r="AS241" s="374"/>
      <c r="AT241" s="374">
        <f t="shared" si="467"/>
        <v>22886520</v>
      </c>
      <c r="AU241" s="383">
        <f t="shared" si="468"/>
        <v>49.007537473233405</v>
      </c>
      <c r="AV241" s="378">
        <f t="shared" si="469"/>
        <v>23813480</v>
      </c>
      <c r="AW241" s="377">
        <f t="shared" si="470"/>
        <v>50.992462526766587</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64"/>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c r="AC242" s="374"/>
      <c r="AD242" s="374"/>
      <c r="AE242" s="374"/>
      <c r="AF242" s="374"/>
      <c r="AG242" s="374"/>
      <c r="AH242" s="374"/>
      <c r="AI242" s="374"/>
      <c r="AJ242" s="374"/>
      <c r="AK242" s="374"/>
      <c r="AL242" s="374"/>
      <c r="AM242" s="374"/>
      <c r="AN242" s="374"/>
      <c r="AO242" s="374"/>
      <c r="AP242" s="374"/>
      <c r="AQ242" s="374"/>
      <c r="AR242" s="374"/>
      <c r="AS242" s="374"/>
      <c r="AT242" s="374">
        <f t="shared" si="467"/>
        <v>68110000</v>
      </c>
      <c r="AU242" s="383">
        <f t="shared" si="468"/>
        <v>43.107594936708857</v>
      </c>
      <c r="AV242" s="378">
        <f t="shared" si="469"/>
        <v>89890000</v>
      </c>
      <c r="AW242" s="377">
        <f t="shared" si="470"/>
        <v>56.892405063291143</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64"/>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c r="AC243" s="374"/>
      <c r="AD243" s="374"/>
      <c r="AE243" s="374"/>
      <c r="AF243" s="374"/>
      <c r="AG243" s="374"/>
      <c r="AH243" s="374"/>
      <c r="AI243" s="374"/>
      <c r="AJ243" s="374"/>
      <c r="AK243" s="374"/>
      <c r="AL243" s="374"/>
      <c r="AM243" s="374"/>
      <c r="AN243" s="374"/>
      <c r="AO243" s="374"/>
      <c r="AP243" s="374"/>
      <c r="AQ243" s="374"/>
      <c r="AR243" s="374"/>
      <c r="AS243" s="374"/>
      <c r="AT243" s="374">
        <f t="shared" si="467"/>
        <v>33802000</v>
      </c>
      <c r="AU243" s="383">
        <f t="shared" si="468"/>
        <v>70.157741801577416</v>
      </c>
      <c r="AV243" s="378">
        <f t="shared" si="469"/>
        <v>14378000</v>
      </c>
      <c r="AW243" s="377">
        <f t="shared" si="470"/>
        <v>29.842258198422584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64"/>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c r="AC244" s="374"/>
      <c r="AD244" s="374"/>
      <c r="AE244" s="374"/>
      <c r="AF244" s="374"/>
      <c r="AG244" s="374"/>
      <c r="AH244" s="374"/>
      <c r="AI244" s="374"/>
      <c r="AJ244" s="374"/>
      <c r="AK244" s="374"/>
      <c r="AL244" s="374"/>
      <c r="AM244" s="374"/>
      <c r="AN244" s="374"/>
      <c r="AO244" s="374"/>
      <c r="AP244" s="374"/>
      <c r="AQ244" s="374"/>
      <c r="AR244" s="374"/>
      <c r="AS244" s="374"/>
      <c r="AT244" s="374">
        <f t="shared" si="467"/>
        <v>4367936</v>
      </c>
      <c r="AU244" s="383">
        <f t="shared" si="468"/>
        <v>33.259240082235593</v>
      </c>
      <c r="AV244" s="378">
        <f t="shared" si="469"/>
        <v>8765064</v>
      </c>
      <c r="AW244" s="377">
        <f t="shared" si="470"/>
        <v>66.740759917764407</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64"/>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c r="AC245" s="374"/>
      <c r="AD245" s="374"/>
      <c r="AE245" s="374"/>
      <c r="AF245" s="374"/>
      <c r="AG245" s="374"/>
      <c r="AH245" s="374"/>
      <c r="AI245" s="374"/>
      <c r="AJ245" s="374"/>
      <c r="AK245" s="374"/>
      <c r="AL245" s="374"/>
      <c r="AM245" s="374"/>
      <c r="AN245" s="374"/>
      <c r="AO245" s="374"/>
      <c r="AP245" s="374"/>
      <c r="AQ245" s="374"/>
      <c r="AR245" s="374"/>
      <c r="AS245" s="374"/>
      <c r="AT245" s="374">
        <f t="shared" si="467"/>
        <v>62136360</v>
      </c>
      <c r="AU245" s="383">
        <f t="shared" si="468"/>
        <v>47.675078452886069</v>
      </c>
      <c r="AV245" s="378">
        <f t="shared" si="469"/>
        <v>68196640</v>
      </c>
      <c r="AW245" s="377">
        <f t="shared" si="470"/>
        <v>52.324921547113931</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64"/>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67"/>
        <v>126427000</v>
      </c>
      <c r="AU246" s="383">
        <f t="shared" si="468"/>
        <v>33.324722770633059</v>
      </c>
      <c r="AV246" s="378">
        <f t="shared" si="469"/>
        <v>252952000</v>
      </c>
      <c r="AW246" s="377">
        <f t="shared" si="470"/>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64"/>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c r="AC247" s="374"/>
      <c r="AD247" s="374"/>
      <c r="AE247" s="374"/>
      <c r="AF247" s="374"/>
      <c r="AG247" s="374"/>
      <c r="AH247" s="374"/>
      <c r="AI247" s="374"/>
      <c r="AJ247" s="374"/>
      <c r="AK247" s="374"/>
      <c r="AL247" s="374"/>
      <c r="AM247" s="374"/>
      <c r="AN247" s="374"/>
      <c r="AO247" s="374"/>
      <c r="AP247" s="374"/>
      <c r="AQ247" s="374"/>
      <c r="AR247" s="374"/>
      <c r="AS247" s="374"/>
      <c r="AT247" s="374">
        <f t="shared" si="467"/>
        <v>38965000</v>
      </c>
      <c r="AU247" s="383">
        <f t="shared" si="468"/>
        <v>44.098008148483473</v>
      </c>
      <c r="AV247" s="378">
        <f t="shared" si="469"/>
        <v>49395000</v>
      </c>
      <c r="AW247" s="377">
        <f t="shared" si="470"/>
        <v>55.90199185151652</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64"/>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c r="AC248" s="374"/>
      <c r="AD248" s="374"/>
      <c r="AE248" s="374"/>
      <c r="AF248" s="374"/>
      <c r="AG248" s="374"/>
      <c r="AH248" s="374"/>
      <c r="AI248" s="374"/>
      <c r="AJ248" s="374"/>
      <c r="AK248" s="374"/>
      <c r="AL248" s="374"/>
      <c r="AM248" s="374"/>
      <c r="AN248" s="374"/>
      <c r="AO248" s="374"/>
      <c r="AP248" s="374"/>
      <c r="AQ248" s="374"/>
      <c r="AR248" s="374"/>
      <c r="AS248" s="374"/>
      <c r="AT248" s="374">
        <f t="shared" si="467"/>
        <v>1324672689</v>
      </c>
      <c r="AU248" s="383">
        <f t="shared" si="468"/>
        <v>50.262899660328564</v>
      </c>
      <c r="AV248" s="378">
        <f t="shared" si="469"/>
        <v>1310815311</v>
      </c>
      <c r="AW248" s="377">
        <f t="shared" si="470"/>
        <v>49.737100339671436</v>
      </c>
      <c r="AX248" s="371" t="s">
        <v>576</v>
      </c>
      <c r="AY248" t="s">
        <v>546</v>
      </c>
      <c r="BA248" s="215"/>
      <c r="BB248"/>
      <c r="BC248" s="215"/>
      <c r="BD248"/>
    </row>
    <row r="249" spans="2:60" x14ac:dyDescent="0.25">
      <c r="B249" s="387" t="s">
        <v>2208</v>
      </c>
      <c r="C249" s="367" t="s">
        <v>3702</v>
      </c>
      <c r="D249" s="368"/>
      <c r="E249" s="368"/>
      <c r="F249" s="369">
        <f t="shared" ref="F249:G249" si="475">F250</f>
        <v>323949000</v>
      </c>
      <c r="G249" s="369">
        <f t="shared" si="475"/>
        <v>323949000</v>
      </c>
      <c r="H249" s="369">
        <f>H250</f>
        <v>323949000</v>
      </c>
      <c r="I249" s="369">
        <f t="shared" si="464"/>
        <v>0</v>
      </c>
      <c r="J249" s="369">
        <f t="shared" ref="J249:K249" si="476">SUM(J250:J260)</f>
        <v>0</v>
      </c>
      <c r="K249" s="369">
        <f t="shared" si="476"/>
        <v>0</v>
      </c>
      <c r="L249" s="369">
        <f>SUM(L250:L260)</f>
        <v>0</v>
      </c>
      <c r="M249" s="369">
        <f t="shared" ref="M249:N249" si="477">SUM(M250:M260)</f>
        <v>0</v>
      </c>
      <c r="N249" s="369">
        <f t="shared" si="477"/>
        <v>0</v>
      </c>
      <c r="O249" s="369">
        <f>SUM(O250:O260)</f>
        <v>0</v>
      </c>
      <c r="P249" s="369">
        <f t="shared" ref="P249:Q249" si="478">SUM(P250:P260)</f>
        <v>0</v>
      </c>
      <c r="Q249" s="369">
        <f t="shared" si="478"/>
        <v>0</v>
      </c>
      <c r="R249" s="369">
        <f>SUM(R250:R260)</f>
        <v>0</v>
      </c>
      <c r="S249" s="369">
        <f t="shared" ref="S249:AR249" si="479">SUM(S250:S260)</f>
        <v>0</v>
      </c>
      <c r="T249" s="369">
        <f t="shared" si="479"/>
        <v>0</v>
      </c>
      <c r="U249" s="369">
        <f t="shared" si="479"/>
        <v>0</v>
      </c>
      <c r="V249" s="369">
        <f t="shared" si="479"/>
        <v>0</v>
      </c>
      <c r="W249" s="369">
        <f t="shared" si="479"/>
        <v>0</v>
      </c>
      <c r="X249" s="369">
        <f t="shared" si="479"/>
        <v>0</v>
      </c>
      <c r="Y249" s="369">
        <f t="shared" si="479"/>
        <v>0</v>
      </c>
      <c r="Z249" s="369">
        <f t="shared" si="479"/>
        <v>0</v>
      </c>
      <c r="AA249" s="369">
        <f t="shared" si="479"/>
        <v>0</v>
      </c>
      <c r="AB249" s="369">
        <f t="shared" si="479"/>
        <v>0</v>
      </c>
      <c r="AC249" s="369">
        <f t="shared" si="479"/>
        <v>0</v>
      </c>
      <c r="AD249" s="369">
        <f t="shared" si="479"/>
        <v>0</v>
      </c>
      <c r="AE249" s="369">
        <f t="shared" si="479"/>
        <v>0</v>
      </c>
      <c r="AF249" s="369">
        <f t="shared" si="479"/>
        <v>0</v>
      </c>
      <c r="AG249" s="369">
        <f t="shared" si="479"/>
        <v>0</v>
      </c>
      <c r="AH249" s="369">
        <f t="shared" si="479"/>
        <v>0</v>
      </c>
      <c r="AI249" s="369">
        <f t="shared" si="479"/>
        <v>0</v>
      </c>
      <c r="AJ249" s="369">
        <f t="shared" si="479"/>
        <v>0</v>
      </c>
      <c r="AK249" s="369">
        <f t="shared" si="479"/>
        <v>0</v>
      </c>
      <c r="AL249" s="369">
        <f t="shared" si="479"/>
        <v>0</v>
      </c>
      <c r="AM249" s="369">
        <f t="shared" si="479"/>
        <v>0</v>
      </c>
      <c r="AN249" s="369">
        <f t="shared" si="479"/>
        <v>0</v>
      </c>
      <c r="AO249" s="369">
        <f t="shared" si="479"/>
        <v>0</v>
      </c>
      <c r="AP249" s="369">
        <f t="shared" si="479"/>
        <v>0</v>
      </c>
      <c r="AQ249" s="369">
        <f t="shared" si="479"/>
        <v>0</v>
      </c>
      <c r="AR249" s="369">
        <f t="shared" si="479"/>
        <v>0</v>
      </c>
      <c r="AS249" s="167"/>
      <c r="AT249" s="167">
        <f t="shared" ref="AT249" si="480">SUM(J249:AS249)</f>
        <v>0</v>
      </c>
      <c r="AU249" s="226">
        <f t="shared" ref="AU249" si="481">IFERROR(AT249/F249*100,0)</f>
        <v>0</v>
      </c>
      <c r="AV249" s="175">
        <f t="shared" ref="AV249" si="482">F249-AT249</f>
        <v>323949000</v>
      </c>
      <c r="AW249" s="381">
        <f t="shared" ref="AW249" si="483">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64"/>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502" priority="7">
      <formula>ROW()=CELL("ROW")</formula>
    </cfRule>
  </conditionalFormatting>
  <conditionalFormatting sqref="AS236:AS237">
    <cfRule type="expression" dxfId="501" priority="5">
      <formula>ROW()=CELL("ROW")</formula>
    </cfRule>
  </conditionalFormatting>
  <conditionalFormatting sqref="B237:C237">
    <cfRule type="expression" dxfId="500" priority="4">
      <formula>AND($R$4="Ya",$Q$2=ROW())</formula>
    </cfRule>
  </conditionalFormatting>
  <conditionalFormatting sqref="AT238:AT248">
    <cfRule type="expression" dxfId="499" priority="3">
      <formula>ROW()=CELL("ROW")</formula>
    </cfRule>
  </conditionalFormatting>
  <conditionalFormatting sqref="AS249">
    <cfRule type="expression" dxfId="498" priority="2">
      <formula>ROW()=CELL("ROW")</formula>
    </cfRule>
  </conditionalFormatting>
  <conditionalFormatting sqref="B249:C249">
    <cfRule type="expression" dxfId="497"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18"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496" priority="3"/>
    <cfRule type="duplicateValues" dxfId="495" priority="4"/>
  </conditionalFormatting>
  <conditionalFormatting sqref="D3">
    <cfRule type="duplicateValues" dxfId="494" priority="1"/>
    <cfRule type="duplicateValues" dxfId="493"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L31" sqref="L31"/>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6" t="str">
        <f>IF(L8=TRUE,"REALISASI TANPA GAJI (BERDASARKAN PAGU SEBELUM BLOKIR)","REALISASI TANPA GAJI (BERDASARKAN PAGU SETELAH BLOKIR)")</f>
        <v>REALISASI TANPA GAJI (BERDASARKAN PAGU SETELAH BLOKIR)</v>
      </c>
      <c r="B1" s="466"/>
      <c r="C1" s="466"/>
      <c r="D1" s="466"/>
      <c r="E1" s="466"/>
      <c r="F1" s="466"/>
      <c r="G1" s="466"/>
      <c r="H1" s="466"/>
      <c r="I1" s="466"/>
      <c r="J1" s="466"/>
      <c r="L1" s="431" t="s">
        <v>5584</v>
      </c>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28 JUNI 2022</v>
      </c>
      <c r="B3" s="467"/>
      <c r="C3" s="467"/>
      <c r="D3" s="467"/>
      <c r="E3" s="467"/>
      <c r="F3" s="467"/>
      <c r="G3" s="467"/>
      <c r="H3" s="467"/>
      <c r="I3" s="467"/>
      <c r="J3" s="467"/>
    </row>
    <row r="4" spans="1:13" x14ac:dyDescent="0.25">
      <c r="A4" s="201"/>
      <c r="B4" s="201"/>
      <c r="C4" s="201"/>
      <c r="D4" s="365"/>
      <c r="E4" s="405"/>
      <c r="F4" s="405"/>
      <c r="G4" s="201"/>
      <c r="H4" s="201"/>
      <c r="I4" s="201"/>
      <c r="J4" s="253"/>
    </row>
    <row r="5" spans="1:13" ht="15.75" x14ac:dyDescent="0.25">
      <c r="A5" s="433" t="s">
        <v>3995</v>
      </c>
    </row>
    <row r="6" spans="1:13" x14ac:dyDescent="0.25">
      <c r="A6" s="486" t="s">
        <v>592</v>
      </c>
      <c r="B6" s="486" t="s">
        <v>500</v>
      </c>
      <c r="C6" s="486" t="s">
        <v>5580</v>
      </c>
      <c r="D6" s="486" t="s">
        <v>5577</v>
      </c>
      <c r="E6" s="486" t="s">
        <v>5579</v>
      </c>
      <c r="F6" s="486" t="s">
        <v>5581</v>
      </c>
      <c r="G6" s="481" t="str">
        <f>IF($L$8=TRUE,"Realisasi vs Pagu+Blokir","Realisasi vs Pagu-Blokir")</f>
        <v>Realisasi vs Pagu-Blokir</v>
      </c>
      <c r="H6" s="481"/>
      <c r="I6" s="481" t="str">
        <f>IF($L$8=TRUE,"Sisa vs Pagu+Blokir","Sisa vs Pagu-Blokir")</f>
        <v>Sisa vs Pagu-Blokir</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4"/>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2"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3"/>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3"/>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4"/>
      <c r="B16" s="296" t="s">
        <v>5586</v>
      </c>
      <c r="C16" s="194">
        <f>SUM(C13:C15)</f>
        <v>9985150000</v>
      </c>
      <c r="D16" s="194">
        <f t="shared" ref="D16:E16" si="3">SUM(D13:D15)</f>
        <v>0</v>
      </c>
      <c r="E16" s="194">
        <f t="shared" si="3"/>
        <v>3438934000</v>
      </c>
      <c r="F16" s="194">
        <f>SUM(F13:F15)</f>
        <v>6546216000</v>
      </c>
      <c r="G16" s="194">
        <f>SUM(G13:G15)</f>
        <v>3724281604</v>
      </c>
      <c r="H16" s="424">
        <f t="shared" si="0"/>
        <v>56.892128276854905</v>
      </c>
      <c r="I16" s="194">
        <f t="shared" si="1"/>
        <v>2821934396</v>
      </c>
      <c r="J16" s="264">
        <f t="shared" si="2"/>
        <v>43.107871723145095</v>
      </c>
    </row>
    <row r="17" spans="1:13" ht="15" customHeight="1" x14ac:dyDescent="0.25">
      <c r="A17" s="482"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3"/>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4"/>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2"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3"/>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4"/>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5" t="s">
        <v>3852</v>
      </c>
      <c r="B23" s="485"/>
      <c r="C23" s="176">
        <f>C12++C16+C19+C22</f>
        <v>16863164000</v>
      </c>
      <c r="D23" s="176">
        <f t="shared" ref="D23:E23" si="6">D12++D16+D19+D22</f>
        <v>100000000</v>
      </c>
      <c r="E23" s="176">
        <f t="shared" si="6"/>
        <v>5387360000</v>
      </c>
      <c r="F23" s="176">
        <f>F12++F16+F19+F22</f>
        <v>11375804000</v>
      </c>
      <c r="G23" s="176">
        <f>G12++G16+G19+G22</f>
        <v>6078417032</v>
      </c>
      <c r="H23" s="425">
        <f t="shared" si="0"/>
        <v>53.432856543590233</v>
      </c>
      <c r="I23" s="176">
        <f t="shared" si="1"/>
        <v>5297386968</v>
      </c>
      <c r="J23" s="265">
        <f t="shared" si="2"/>
        <v>46.567143456409759</v>
      </c>
      <c r="M23" s="215"/>
    </row>
    <row r="24" spans="1:13" x14ac:dyDescent="0.25">
      <c r="A24" s="473" t="s">
        <v>5583</v>
      </c>
      <c r="B24" s="474"/>
      <c r="C24" s="415">
        <f>C23</f>
        <v>16863164000</v>
      </c>
      <c r="D24" s="475">
        <f>SUM(D23,E23)</f>
        <v>5487360000</v>
      </c>
      <c r="E24" s="476"/>
      <c r="F24" s="415">
        <f>F23</f>
        <v>11375804000</v>
      </c>
      <c r="G24" s="176">
        <f>G23</f>
        <v>6078417032</v>
      </c>
      <c r="H24" s="425">
        <f t="shared" si="0"/>
        <v>53.432856543590233</v>
      </c>
      <c r="I24" s="176">
        <f t="shared" si="1"/>
        <v>5297386968</v>
      </c>
      <c r="J24" s="265">
        <f t="shared" si="2"/>
        <v>46.567143456409759</v>
      </c>
      <c r="M24" s="217"/>
    </row>
    <row r="26" spans="1:13" x14ac:dyDescent="0.25">
      <c r="J26" s="278"/>
    </row>
    <row r="27" spans="1:13" ht="15.75" x14ac:dyDescent="0.25">
      <c r="A27" s="433" t="s">
        <v>4002</v>
      </c>
    </row>
    <row r="28" spans="1:13" ht="14.45" customHeight="1" x14ac:dyDescent="0.25">
      <c r="A28" s="471" t="s">
        <v>3988</v>
      </c>
      <c r="B28" s="471" t="s">
        <v>3989</v>
      </c>
      <c r="C28" s="471" t="s">
        <v>5580</v>
      </c>
      <c r="D28" s="477" t="s">
        <v>5577</v>
      </c>
      <c r="E28" s="477" t="s">
        <v>5579</v>
      </c>
      <c r="F28" s="471" t="s">
        <v>5581</v>
      </c>
      <c r="G28" s="481" t="str">
        <f>IF($L$8=TRUE,"Realisasi vs Pagu+Blokir","Realisasi vs Pagu-Blokir")</f>
        <v>Realisasi vs Pagu-Blokir</v>
      </c>
      <c r="H28" s="481"/>
      <c r="I28" s="481" t="str">
        <f>IF($L$8=TRUE,"Sisa vs Pagu+Blokir","Sisa vs Pagu-Blokir")</f>
        <v>Sisa vs Pagu-Blokir</v>
      </c>
      <c r="J28" s="481"/>
    </row>
    <row r="29" spans="1:13" x14ac:dyDescent="0.25">
      <c r="A29" s="472"/>
      <c r="B29" s="472"/>
      <c r="C29" s="472"/>
      <c r="D29" s="478"/>
      <c r="E29" s="478"/>
      <c r="F29" s="472"/>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5424217032</v>
      </c>
      <c r="H30" s="205">
        <f t="shared" ref="H30:H37" si="8">IFERROR(IF($L$8=TRUE,G30/C30*100,G30/F30*100),0)</f>
        <v>50.591469634580797</v>
      </c>
      <c r="I30" s="206">
        <f t="shared" ref="I30:I37" si="9">IF($L$8=TRUE,C30-G30,F30-G30)</f>
        <v>5297386968</v>
      </c>
      <c r="J30" s="205">
        <f t="shared" ref="J30:J37" si="10">IFERROR(IF($L$8=TRUE,I30/C30*100,I30/F30*100),0)</f>
        <v>49.408530365419203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4760895391</v>
      </c>
      <c r="H32" s="209">
        <f t="shared" si="8"/>
        <v>55.192733539022854</v>
      </c>
      <c r="I32" s="210">
        <f t="shared" si="9"/>
        <v>3865050609</v>
      </c>
      <c r="J32" s="209">
        <f t="shared" si="10"/>
        <v>44.807266460977154</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6078417032</v>
      </c>
      <c r="H35" s="214">
        <f t="shared" si="8"/>
        <v>53.432856543590233</v>
      </c>
      <c r="I35" s="213">
        <f t="shared" si="9"/>
        <v>5297386968</v>
      </c>
      <c r="J35" s="214">
        <f t="shared" si="10"/>
        <v>46.567143456409759</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79">
        <f>SUM(D35:E35)</f>
        <v>5487360000</v>
      </c>
      <c r="E37" s="480"/>
      <c r="F37" s="213">
        <f>F35</f>
        <v>11375804000</v>
      </c>
      <c r="G37" s="213">
        <f>G35-G36</f>
        <v>6078417032</v>
      </c>
      <c r="H37" s="214">
        <f t="shared" si="8"/>
        <v>53.432856543590233</v>
      </c>
      <c r="I37" s="213">
        <f t="shared" si="9"/>
        <v>5297386968</v>
      </c>
      <c r="J37" s="214">
        <f t="shared" si="10"/>
        <v>46.567143456409759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6" t="s">
        <v>592</v>
      </c>
      <c r="B41" s="486" t="s">
        <v>500</v>
      </c>
      <c r="C41" s="486" t="s">
        <v>5580</v>
      </c>
      <c r="D41" s="486" t="s">
        <v>5577</v>
      </c>
      <c r="E41" s="486" t="s">
        <v>5579</v>
      </c>
      <c r="F41" s="486" t="s">
        <v>5581</v>
      </c>
      <c r="G41" s="481" t="str">
        <f>IF($L$8=TRUE,"Realisasi vs Pagu+Blokir","Realisasi vs Pagu-Blokir")</f>
        <v>Realisasi vs Pagu-Blokir</v>
      </c>
      <c r="H41" s="481"/>
      <c r="I41" s="481" t="str">
        <f>IF($L$8=TRUE,"Sisa vs Pagu+Blokir","Sisa vs Pagu-Blokir")</f>
        <v>Sisa vs Pagu-Blokir</v>
      </c>
      <c r="J41" s="481"/>
    </row>
    <row r="42" spans="1:12" x14ac:dyDescent="0.25">
      <c r="A42" s="486"/>
      <c r="B42" s="486"/>
      <c r="C42" s="486"/>
      <c r="D42" s="486"/>
      <c r="E42" s="486"/>
      <c r="F42" s="486"/>
      <c r="G42" s="417" t="s">
        <v>5589</v>
      </c>
      <c r="H42" s="417" t="s">
        <v>3846</v>
      </c>
      <c r="I42" s="417" t="s">
        <v>5589</v>
      </c>
      <c r="J42" s="417" t="s">
        <v>3846</v>
      </c>
    </row>
    <row r="43" spans="1:12" x14ac:dyDescent="0.25">
      <c r="A43" s="468"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8"/>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8"/>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68"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8"/>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8"/>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68"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8"/>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8"/>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68"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8"/>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8"/>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85" t="s">
        <v>3852</v>
      </c>
      <c r="B55" s="485"/>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5" t="s">
        <v>5583</v>
      </c>
      <c r="B56" s="485"/>
      <c r="C56" s="415">
        <f>C55</f>
        <v>348880000</v>
      </c>
      <c r="D56" s="487">
        <f>SUM(D55:E55)</f>
        <v>247069000</v>
      </c>
      <c r="E56" s="487"/>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L36" sqref="L36"/>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TANPA GAJI (BERDASARKAN PAGU SEBELUM BLOKIR)","REALISASI TANPA GAJI (BERDASARKAN PAGU SETELAH BLOKIR)")</f>
        <v>REALISASI TANPA GAJI (BERDASARKAN PAGU SETELAH BLOKIR)</v>
      </c>
      <c r="B1" s="466"/>
      <c r="C1" s="466"/>
      <c r="D1" s="466"/>
      <c r="E1" s="466"/>
      <c r="F1" s="466"/>
      <c r="G1" s="466"/>
      <c r="H1" s="466"/>
      <c r="I1" s="466"/>
      <c r="J1" s="466"/>
      <c r="L1" s="431" t="s">
        <v>5584</v>
      </c>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28 JUNI 2022</v>
      </c>
      <c r="B3" s="467"/>
      <c r="C3" s="467"/>
      <c r="D3" s="467"/>
      <c r="E3" s="467"/>
      <c r="F3" s="467"/>
      <c r="G3" s="467"/>
      <c r="H3" s="467"/>
      <c r="I3" s="467"/>
      <c r="J3" s="467"/>
    </row>
    <row r="4" spans="1:13" x14ac:dyDescent="0.25">
      <c r="A4" s="436"/>
      <c r="B4" s="436"/>
      <c r="C4" s="436"/>
      <c r="D4" s="436"/>
      <c r="E4" s="436"/>
      <c r="F4" s="436"/>
      <c r="G4" s="436"/>
      <c r="H4" s="436"/>
      <c r="I4" s="436"/>
      <c r="J4" s="436"/>
    </row>
    <row r="5" spans="1:13" ht="15.75" x14ac:dyDescent="0.25">
      <c r="A5" s="433" t="s">
        <v>3995</v>
      </c>
    </row>
    <row r="6" spans="1:13" x14ac:dyDescent="0.25">
      <c r="A6" s="486" t="s">
        <v>592</v>
      </c>
      <c r="B6" s="486" t="s">
        <v>500</v>
      </c>
      <c r="C6" s="486" t="s">
        <v>5580</v>
      </c>
      <c r="D6" s="486" t="s">
        <v>5577</v>
      </c>
      <c r="E6" s="486" t="s">
        <v>5579</v>
      </c>
      <c r="F6" s="486" t="s">
        <v>3848</v>
      </c>
      <c r="G6" s="481" t="s">
        <v>3849</v>
      </c>
      <c r="H6" s="481"/>
      <c r="I6" s="481" t="s">
        <v>3850</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4" si="0">IFERROR(IF($L$8=TRUE,G9/C9*100,G9/F9*100),0)</f>
        <v>31.652189479390241</v>
      </c>
      <c r="I9" s="169">
        <f t="shared" ref="I9:I24" si="1">IF($L$8=TRUE,C9-G9,F9-G9)</f>
        <v>1432336359</v>
      </c>
      <c r="J9" s="263">
        <f t="shared" ref="J9:J24" si="2">IFERROR(IF($L$8=TRUE,I9/C9*100,I9/F9*100),0)</f>
        <v>68.347810520609755</v>
      </c>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row>
    <row r="12" spans="1:13" x14ac:dyDescent="0.25">
      <c r="A12" s="484"/>
      <c r="B12" s="296" t="s">
        <v>5585</v>
      </c>
      <c r="C12" s="194">
        <f>SUM(C8:C11)</f>
        <v>4328014000</v>
      </c>
      <c r="D12" s="194">
        <f>SUM(D8:D11)</f>
        <v>100000000</v>
      </c>
      <c r="E12" s="194">
        <f>SUM(E8:E11)</f>
        <v>609552000</v>
      </c>
      <c r="F12" s="194">
        <f>SUM(F8:F11)</f>
        <v>3618462000</v>
      </c>
      <c r="G12" s="194">
        <f>SUM(G8:G11)</f>
        <v>1844517380</v>
      </c>
      <c r="H12" s="424">
        <f t="shared" si="0"/>
        <v>50.97517619364249</v>
      </c>
      <c r="I12" s="194">
        <f t="shared" si="1"/>
        <v>1773944620</v>
      </c>
      <c r="J12" s="264">
        <f t="shared" si="2"/>
        <v>49.02482380635751</v>
      </c>
      <c r="K12" s="189"/>
    </row>
    <row r="13" spans="1:13" ht="15" customHeight="1" x14ac:dyDescent="0.25">
      <c r="A13" s="482"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3"/>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3476713912</v>
      </c>
      <c r="H14" s="423">
        <f t="shared" si="0"/>
        <v>57.159291607069463</v>
      </c>
      <c r="I14" s="169">
        <f t="shared" si="1"/>
        <v>2605786088</v>
      </c>
      <c r="J14" s="263">
        <f t="shared" si="2"/>
        <v>42.840708392930537</v>
      </c>
      <c r="M14" s="217"/>
    </row>
    <row r="15" spans="1:13" x14ac:dyDescent="0.25">
      <c r="A15" s="483"/>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4"/>
      <c r="B16" s="296" t="s">
        <v>5586</v>
      </c>
      <c r="C16" s="194">
        <f>SUM(C13:C15)</f>
        <v>9985150000</v>
      </c>
      <c r="D16" s="194">
        <f t="shared" ref="D16:E16" si="3">SUM(D13:D15)</f>
        <v>0</v>
      </c>
      <c r="E16" s="194">
        <f t="shared" si="3"/>
        <v>3438934000</v>
      </c>
      <c r="F16" s="194">
        <f>SUM(F13:F15)</f>
        <v>6546216000</v>
      </c>
      <c r="G16" s="194">
        <f>SUM(G13:G15)</f>
        <v>3724281604</v>
      </c>
      <c r="H16" s="424">
        <f t="shared" si="0"/>
        <v>56.892128276854905</v>
      </c>
      <c r="I16" s="194">
        <f t="shared" si="1"/>
        <v>2821934396</v>
      </c>
      <c r="J16" s="264">
        <f t="shared" si="2"/>
        <v>43.107871723145095</v>
      </c>
    </row>
    <row r="17" spans="1:13" ht="15" customHeight="1" x14ac:dyDescent="0.25">
      <c r="A17" s="482"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133815590</v>
      </c>
      <c r="H17" s="423">
        <f t="shared" si="0"/>
        <v>64.456513780911919</v>
      </c>
      <c r="I17" s="169">
        <f t="shared" si="1"/>
        <v>73790410</v>
      </c>
      <c r="J17" s="263">
        <f t="shared" si="2"/>
        <v>35.543486219088081</v>
      </c>
    </row>
    <row r="18" spans="1:13" x14ac:dyDescent="0.25">
      <c r="A18" s="483"/>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73365500</v>
      </c>
      <c r="H18" s="423">
        <f t="shared" si="0"/>
        <v>44.527897646923151</v>
      </c>
      <c r="I18" s="169">
        <f t="shared" si="1"/>
        <v>91397500</v>
      </c>
      <c r="J18" s="263">
        <f t="shared" si="2"/>
        <v>55.472102353076849</v>
      </c>
      <c r="M18" s="217"/>
    </row>
    <row r="19" spans="1:13" x14ac:dyDescent="0.25">
      <c r="A19" s="484"/>
      <c r="B19" s="296" t="s">
        <v>5587</v>
      </c>
      <c r="C19" s="194">
        <f>SUM(C17:C18)</f>
        <v>1278600000</v>
      </c>
      <c r="D19" s="194">
        <f t="shared" ref="D19:E19" si="4">SUM(D17:D18)</f>
        <v>0</v>
      </c>
      <c r="E19" s="194">
        <f t="shared" si="4"/>
        <v>906231000</v>
      </c>
      <c r="F19" s="194">
        <f>SUM(F17:F18)</f>
        <v>372369000</v>
      </c>
      <c r="G19" s="194">
        <f>SUM(G17:G18)</f>
        <v>207181090</v>
      </c>
      <c r="H19" s="424">
        <f t="shared" si="0"/>
        <v>55.638651445206236</v>
      </c>
      <c r="I19" s="194">
        <f t="shared" si="1"/>
        <v>165187910</v>
      </c>
      <c r="J19" s="264">
        <f t="shared" si="2"/>
        <v>44.361348554793764</v>
      </c>
    </row>
    <row r="20" spans="1:13" ht="15" customHeight="1" x14ac:dyDescent="0.25">
      <c r="A20" s="482"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214180240</v>
      </c>
      <c r="H20" s="423">
        <f t="shared" si="0"/>
        <v>31.207961532857354</v>
      </c>
      <c r="I20" s="169">
        <f t="shared" si="1"/>
        <v>472119760</v>
      </c>
      <c r="J20" s="263">
        <f t="shared" si="2"/>
        <v>68.792038467142646</v>
      </c>
    </row>
    <row r="21" spans="1:13" x14ac:dyDescent="0.25">
      <c r="A21" s="483"/>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88256718</v>
      </c>
      <c r="H21" s="423">
        <f t="shared" si="0"/>
        <v>57.889580668647554</v>
      </c>
      <c r="I21" s="169">
        <f t="shared" si="1"/>
        <v>64200282</v>
      </c>
      <c r="J21" s="263">
        <f t="shared" si="2"/>
        <v>42.110419331352446</v>
      </c>
    </row>
    <row r="22" spans="1:13" x14ac:dyDescent="0.25">
      <c r="A22" s="484"/>
      <c r="B22" s="296" t="s">
        <v>5588</v>
      </c>
      <c r="C22" s="194">
        <f>SUM(C20:C21)</f>
        <v>1271400000</v>
      </c>
      <c r="D22" s="194">
        <f t="shared" ref="D22:E22" si="5">SUM(D20:D21)</f>
        <v>0</v>
      </c>
      <c r="E22" s="194">
        <f t="shared" si="5"/>
        <v>432643000</v>
      </c>
      <c r="F22" s="194">
        <f>SUM(F20:F21)</f>
        <v>838757000</v>
      </c>
      <c r="G22" s="194">
        <f>SUM(G20:G21)</f>
        <v>302436958</v>
      </c>
      <c r="H22" s="424">
        <f t="shared" si="0"/>
        <v>36.057756656576338</v>
      </c>
      <c r="I22" s="194">
        <f t="shared" si="1"/>
        <v>536320042</v>
      </c>
      <c r="J22" s="264">
        <f t="shared" si="2"/>
        <v>63.942243343423669</v>
      </c>
    </row>
    <row r="23" spans="1:13" x14ac:dyDescent="0.25">
      <c r="A23" s="485" t="s">
        <v>3852</v>
      </c>
      <c r="B23" s="485"/>
      <c r="C23" s="176">
        <f>C12++C16+C19+C22</f>
        <v>16863164000</v>
      </c>
      <c r="D23" s="176">
        <f t="shared" ref="D23:E23" si="6">D12++D16+D19+D22</f>
        <v>100000000</v>
      </c>
      <c r="E23" s="176">
        <f t="shared" si="6"/>
        <v>5387360000</v>
      </c>
      <c r="F23" s="176">
        <f>F12++F16+F19+F22</f>
        <v>11375804000</v>
      </c>
      <c r="G23" s="176">
        <f>G12++G16+G19+G22</f>
        <v>6078417032</v>
      </c>
      <c r="H23" s="425">
        <f t="shared" si="0"/>
        <v>53.432856543590233</v>
      </c>
      <c r="I23" s="176">
        <f t="shared" si="1"/>
        <v>5297386968</v>
      </c>
      <c r="J23" s="265">
        <f t="shared" si="2"/>
        <v>46.567143456409759</v>
      </c>
      <c r="M23" s="215"/>
    </row>
    <row r="24" spans="1:13" x14ac:dyDescent="0.25">
      <c r="A24" s="473" t="s">
        <v>5583</v>
      </c>
      <c r="B24" s="474"/>
      <c r="C24" s="415">
        <f>C23</f>
        <v>16863164000</v>
      </c>
      <c r="D24" s="475">
        <f>SUM(D23,E23)</f>
        <v>5487360000</v>
      </c>
      <c r="E24" s="476"/>
      <c r="F24" s="415">
        <f>F23</f>
        <v>11375804000</v>
      </c>
      <c r="G24" s="176">
        <f>G23</f>
        <v>6078417032</v>
      </c>
      <c r="H24" s="425">
        <f t="shared" si="0"/>
        <v>53.432856543590233</v>
      </c>
      <c r="I24" s="176">
        <f t="shared" si="1"/>
        <v>5297386968</v>
      </c>
      <c r="J24" s="265">
        <f t="shared" si="2"/>
        <v>46.567143456409759</v>
      </c>
      <c r="M24" s="217"/>
    </row>
    <row r="27" spans="1:13" ht="15.75" x14ac:dyDescent="0.25">
      <c r="A27" s="433" t="s">
        <v>4002</v>
      </c>
    </row>
    <row r="28" spans="1:13" ht="14.45" customHeight="1" x14ac:dyDescent="0.25">
      <c r="A28" s="471" t="s">
        <v>3988</v>
      </c>
      <c r="B28" s="471" t="s">
        <v>3989</v>
      </c>
      <c r="C28" s="471" t="s">
        <v>5580</v>
      </c>
      <c r="D28" s="477" t="s">
        <v>5577</v>
      </c>
      <c r="E28" s="477" t="s">
        <v>5579</v>
      </c>
      <c r="F28" s="486" t="s">
        <v>3848</v>
      </c>
      <c r="G28" s="481" t="s">
        <v>3849</v>
      </c>
      <c r="H28" s="481"/>
      <c r="I28" s="481" t="s">
        <v>3850</v>
      </c>
      <c r="J28" s="481"/>
    </row>
    <row r="29" spans="1:13" x14ac:dyDescent="0.25">
      <c r="A29" s="472"/>
      <c r="B29" s="472"/>
      <c r="C29" s="472"/>
      <c r="D29" s="478"/>
      <c r="E29" s="478"/>
      <c r="F29" s="486"/>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5424217032</v>
      </c>
      <c r="H30" s="205">
        <f t="shared" ref="H30:H37" si="8">IFERROR(IF($L$8=TRUE,G30/C30*100,G30/F30*100),0)</f>
        <v>50.591469634580797</v>
      </c>
      <c r="I30" s="206">
        <f t="shared" ref="I30:I37" si="9">IF($L$8=TRUE,C30-G30,F30-G30)</f>
        <v>5297386968</v>
      </c>
      <c r="J30" s="205">
        <f t="shared" ref="J30:J37" si="10">IFERROR(IF($L$8=TRUE,I30/C30*100,I30/F30*100),0)</f>
        <v>49.408530365419203</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663321641</v>
      </c>
      <c r="H31" s="209">
        <f t="shared" si="8"/>
        <v>31.652189479390241</v>
      </c>
      <c r="I31" s="210">
        <f t="shared" si="9"/>
        <v>1432336359</v>
      </c>
      <c r="J31" s="209">
        <f t="shared" si="10"/>
        <v>68.347810520609755</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4760895391</v>
      </c>
      <c r="H32" s="209">
        <f t="shared" si="8"/>
        <v>55.192733539022854</v>
      </c>
      <c r="I32" s="210">
        <f t="shared" si="9"/>
        <v>3865050609</v>
      </c>
      <c r="J32" s="209">
        <f t="shared" si="10"/>
        <v>44.807266460977154</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69" t="s">
        <v>611</v>
      </c>
      <c r="B35" s="470"/>
      <c r="C35" s="213">
        <f>SUM(C30,C33)</f>
        <v>16863164000</v>
      </c>
      <c r="D35" s="213">
        <f t="shared" ref="D35:E35" si="11">SUM(D30,D33)</f>
        <v>100000000</v>
      </c>
      <c r="E35" s="213">
        <f t="shared" si="11"/>
        <v>5387360000</v>
      </c>
      <c r="F35" s="213">
        <f>SUM(F30,F33)</f>
        <v>11375804000</v>
      </c>
      <c r="G35" s="213">
        <f>SUM(G30,G33)</f>
        <v>6078417032</v>
      </c>
      <c r="H35" s="214">
        <f t="shared" si="8"/>
        <v>53.432856543590233</v>
      </c>
      <c r="I35" s="213">
        <f t="shared" si="9"/>
        <v>5297386968</v>
      </c>
      <c r="J35" s="214">
        <f t="shared" si="10"/>
        <v>46.567143456409759</v>
      </c>
    </row>
    <row r="36" spans="1:12" x14ac:dyDescent="0.25">
      <c r="A36" s="469" t="s">
        <v>3993</v>
      </c>
      <c r="B36" s="470"/>
      <c r="C36" s="213"/>
      <c r="D36" s="213"/>
      <c r="E36" s="213"/>
      <c r="F36" s="213"/>
      <c r="G36" s="213"/>
      <c r="H36" s="214"/>
      <c r="I36" s="213"/>
      <c r="J36" s="214"/>
    </row>
    <row r="37" spans="1:12" x14ac:dyDescent="0.25">
      <c r="A37" s="469" t="s">
        <v>3994</v>
      </c>
      <c r="B37" s="470"/>
      <c r="C37" s="213">
        <f>C35</f>
        <v>16863164000</v>
      </c>
      <c r="D37" s="479">
        <f>SUM(D35:E35)</f>
        <v>5487360000</v>
      </c>
      <c r="E37" s="480"/>
      <c r="F37" s="213">
        <f>F35</f>
        <v>11375804000</v>
      </c>
      <c r="G37" s="213">
        <f>G35-G36</f>
        <v>6078417032</v>
      </c>
      <c r="H37" s="214">
        <f t="shared" si="8"/>
        <v>53.432856543590233</v>
      </c>
      <c r="I37" s="213">
        <f t="shared" si="9"/>
        <v>5297386968</v>
      </c>
      <c r="J37" s="214">
        <f t="shared" si="10"/>
        <v>46.567143456409759</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6" t="s">
        <v>592</v>
      </c>
      <c r="B41" s="486" t="s">
        <v>500</v>
      </c>
      <c r="C41" s="486" t="s">
        <v>5580</v>
      </c>
      <c r="D41" s="486" t="s">
        <v>5577</v>
      </c>
      <c r="E41" s="486" t="s">
        <v>5579</v>
      </c>
      <c r="F41" s="486" t="s">
        <v>3848</v>
      </c>
      <c r="G41" s="481" t="s">
        <v>3849</v>
      </c>
      <c r="H41" s="481"/>
      <c r="I41" s="481" t="s">
        <v>3850</v>
      </c>
      <c r="J41" s="481"/>
    </row>
    <row r="42" spans="1:12" x14ac:dyDescent="0.25">
      <c r="A42" s="486"/>
      <c r="B42" s="486"/>
      <c r="C42" s="486"/>
      <c r="D42" s="486"/>
      <c r="E42" s="486"/>
      <c r="F42" s="486"/>
      <c r="G42" s="417" t="s">
        <v>5589</v>
      </c>
      <c r="H42" s="417" t="s">
        <v>3846</v>
      </c>
      <c r="I42" s="417" t="s">
        <v>5589</v>
      </c>
      <c r="J42" s="417" t="s">
        <v>3846</v>
      </c>
    </row>
    <row r="43" spans="1:12" x14ac:dyDescent="0.25">
      <c r="A43" s="468"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68"/>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68"/>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68"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68"/>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68"/>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68"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68"/>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68"/>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68"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68"/>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68"/>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85" t="s">
        <v>3852</v>
      </c>
      <c r="B55" s="485"/>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5" t="s">
        <v>5583</v>
      </c>
      <c r="B56" s="485"/>
      <c r="C56" s="415">
        <f>C55</f>
        <v>348880000</v>
      </c>
      <c r="D56" s="487">
        <f>SUM(D55:E55)</f>
        <v>247069000</v>
      </c>
      <c r="E56" s="487"/>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3" sqref="V33"/>
    </sheetView>
  </sheetViews>
  <sheetFormatPr defaultRowHeight="15" x14ac:dyDescent="0.25"/>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67" t="str">
        <f>'PERSUBBID - Gaji'!A2</f>
        <v>Berdasarkan DIPA Revisi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28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I32" sqref="I32"/>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DENGAN GAJI (BERDASARKAN PAGU SEBELUM BLOKIR)","REALISASI DENGAN GAJI (BERDASARKAN PAGU SETELAH BLOKIR)")</f>
        <v>REALISASI DENGAN GAJI (BERDASARKAN PAGU SETELAH BLOKIR)</v>
      </c>
      <c r="B1" s="466"/>
      <c r="C1" s="466"/>
      <c r="D1" s="466"/>
      <c r="E1" s="466"/>
      <c r="F1" s="466"/>
      <c r="G1" s="466"/>
      <c r="H1" s="466"/>
      <c r="I1" s="466"/>
      <c r="J1" s="466"/>
      <c r="L1" s="431"/>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28 JUNI 2022</v>
      </c>
      <c r="B3" s="467"/>
      <c r="C3" s="467"/>
      <c r="D3" s="467"/>
      <c r="E3" s="467"/>
      <c r="F3" s="467"/>
      <c r="G3" s="467"/>
      <c r="H3" s="467"/>
      <c r="I3" s="467"/>
      <c r="J3" s="467"/>
    </row>
    <row r="4" spans="1:13" x14ac:dyDescent="0.25">
      <c r="A4" s="405"/>
      <c r="B4" s="405"/>
      <c r="C4" s="405"/>
      <c r="D4" s="405"/>
      <c r="E4" s="405"/>
      <c r="F4" s="405"/>
      <c r="G4" s="405"/>
      <c r="H4" s="405"/>
      <c r="I4" s="405"/>
      <c r="J4" s="405"/>
    </row>
    <row r="5" spans="1:13" ht="15.75" x14ac:dyDescent="0.25">
      <c r="A5" s="433" t="s">
        <v>3995</v>
      </c>
    </row>
    <row r="6" spans="1:13" x14ac:dyDescent="0.25">
      <c r="A6" s="486" t="s">
        <v>592</v>
      </c>
      <c r="B6" s="486" t="s">
        <v>500</v>
      </c>
      <c r="C6" s="486" t="s">
        <v>5580</v>
      </c>
      <c r="D6" s="486" t="s">
        <v>5577</v>
      </c>
      <c r="E6" s="486" t="s">
        <v>5579</v>
      </c>
      <c r="F6" s="486" t="s">
        <v>5581</v>
      </c>
      <c r="G6" s="481" t="str">
        <f>IF($L$8=TRUE,"Realisasi vs Pagu+Blokir","Realisasi vs Pagu-Blokir")</f>
        <v>Realisasi vs Pagu-Blokir</v>
      </c>
      <c r="H6" s="481"/>
      <c r="I6" s="481" t="str">
        <f>IF($L$8=TRUE,"Sisa vs Pagu+Blokir","Sisa vs Pagu-Blokir")</f>
        <v>Sisa vs Pagu-Blokir</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3"/>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ref="H12" si="3">IFERROR(IF($L$8=TRUE,G12/C12*100,G12/F12*100),0)</f>
        <v>47.771890352746297</v>
      </c>
      <c r="I12" s="169">
        <f t="shared" ref="I12" si="4">IF($L$8=TRUE,C12-G12,F12-G12)</f>
        <v>3214664696</v>
      </c>
      <c r="J12" s="263">
        <f t="shared" ref="J12" si="5">IFERROR(IF($L$8=TRUE,I12/C12*100,I12/F12*100),0)</f>
        <v>52.228109647253703</v>
      </c>
      <c r="K12" s="434"/>
    </row>
    <row r="13" spans="1:13" x14ac:dyDescent="0.25">
      <c r="A13" s="484"/>
      <c r="B13" s="296" t="s">
        <v>5585</v>
      </c>
      <c r="C13" s="194">
        <f>SUM(C8:C12)</f>
        <v>10807010000</v>
      </c>
      <c r="D13" s="194">
        <f t="shared" ref="D13:G13" si="6">SUM(D8:D12)</f>
        <v>423949000</v>
      </c>
      <c r="E13" s="194">
        <f t="shared" si="6"/>
        <v>609552000</v>
      </c>
      <c r="F13" s="194">
        <f t="shared" si="6"/>
        <v>9773509000</v>
      </c>
      <c r="G13" s="194">
        <f t="shared" si="6"/>
        <v>4784899684</v>
      </c>
      <c r="H13" s="424">
        <f t="shared" si="0"/>
        <v>48.957848035951059</v>
      </c>
      <c r="I13" s="194">
        <f t="shared" si="1"/>
        <v>4988609316</v>
      </c>
      <c r="J13" s="264">
        <f t="shared" si="2"/>
        <v>51.042151964048941</v>
      </c>
      <c r="K13" s="434"/>
    </row>
    <row r="14" spans="1:13" ht="15" customHeight="1" x14ac:dyDescent="0.25">
      <c r="A14" s="482"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3"/>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3"/>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4"/>
      <c r="B17" s="296" t="s">
        <v>5586</v>
      </c>
      <c r="C17" s="194">
        <f>SUM(C14:C16)</f>
        <v>9985150000</v>
      </c>
      <c r="D17" s="194">
        <f t="shared" ref="D17:E17" si="7">SUM(D14:D16)</f>
        <v>0</v>
      </c>
      <c r="E17" s="194">
        <f t="shared" si="7"/>
        <v>3438934000</v>
      </c>
      <c r="F17" s="194">
        <f>SUM(F14:F16)</f>
        <v>6546216000</v>
      </c>
      <c r="G17" s="194">
        <f>SUM(G14:G16)</f>
        <v>3724281604</v>
      </c>
      <c r="H17" s="424">
        <f t="shared" si="0"/>
        <v>56.892128276854905</v>
      </c>
      <c r="I17" s="194">
        <f t="shared" si="1"/>
        <v>2821934396</v>
      </c>
      <c r="J17" s="264">
        <f t="shared" si="2"/>
        <v>43.107871723145095</v>
      </c>
      <c r="K17" s="434"/>
    </row>
    <row r="18" spans="1:13" ht="15" customHeight="1" x14ac:dyDescent="0.25">
      <c r="A18" s="482"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3"/>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4"/>
      <c r="B20" s="296" t="s">
        <v>5587</v>
      </c>
      <c r="C20" s="194">
        <f>SUM(C18:C19)</f>
        <v>1278600000</v>
      </c>
      <c r="D20" s="194">
        <f t="shared" ref="D20:E20" si="8">SUM(D18:D19)</f>
        <v>0</v>
      </c>
      <c r="E20" s="194">
        <f t="shared" si="8"/>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2"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3"/>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4"/>
      <c r="B23" s="296" t="s">
        <v>5588</v>
      </c>
      <c r="C23" s="194">
        <f>SUM(C21:C22)</f>
        <v>1271400000</v>
      </c>
      <c r="D23" s="194">
        <f t="shared" ref="D23:E23" si="9">SUM(D21:D22)</f>
        <v>0</v>
      </c>
      <c r="E23" s="194">
        <f t="shared" si="9"/>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5" t="s">
        <v>3852</v>
      </c>
      <c r="B24" s="485"/>
      <c r="C24" s="176">
        <f>C13++C17+C20+C23</f>
        <v>23342160000</v>
      </c>
      <c r="D24" s="176">
        <f t="shared" ref="D24:E24" si="10">D13++D17+D20+D23</f>
        <v>423949000</v>
      </c>
      <c r="E24" s="176">
        <f t="shared" si="10"/>
        <v>5387360000</v>
      </c>
      <c r="F24" s="176">
        <f>F13++F17+F20+F23</f>
        <v>17530851000</v>
      </c>
      <c r="G24" s="176">
        <f>G13++G17+G20+G23</f>
        <v>9018799336</v>
      </c>
      <c r="H24" s="425">
        <f t="shared" si="0"/>
        <v>51.445302546921425</v>
      </c>
      <c r="I24" s="176">
        <f t="shared" si="1"/>
        <v>8512051664</v>
      </c>
      <c r="J24" s="265">
        <f t="shared" si="2"/>
        <v>48.554697453078575</v>
      </c>
      <c r="K24" s="434"/>
      <c r="M24" s="215"/>
    </row>
    <row r="25" spans="1:13" x14ac:dyDescent="0.25">
      <c r="A25" s="473" t="s">
        <v>5583</v>
      </c>
      <c r="B25" s="474"/>
      <c r="C25" s="415">
        <f>C24</f>
        <v>23342160000</v>
      </c>
      <c r="D25" s="475">
        <f>SUM(D24,E24)</f>
        <v>5811309000</v>
      </c>
      <c r="E25" s="476"/>
      <c r="F25" s="415">
        <f>F24</f>
        <v>17530851000</v>
      </c>
      <c r="G25" s="176">
        <f>G24</f>
        <v>9018799336</v>
      </c>
      <c r="H25" s="425">
        <f t="shared" si="0"/>
        <v>51.445302546921425</v>
      </c>
      <c r="I25" s="176">
        <f t="shared" si="1"/>
        <v>8512051664</v>
      </c>
      <c r="J25" s="265">
        <f t="shared" si="2"/>
        <v>48.554697453078575</v>
      </c>
      <c r="K25" s="434"/>
      <c r="M25" s="217"/>
    </row>
    <row r="29" spans="1:13" ht="15.75" x14ac:dyDescent="0.25">
      <c r="A29" s="433" t="s">
        <v>4002</v>
      </c>
    </row>
    <row r="30" spans="1:13" ht="14.45" customHeight="1" x14ac:dyDescent="0.25">
      <c r="A30" s="471" t="s">
        <v>3988</v>
      </c>
      <c r="B30" s="471" t="s">
        <v>3989</v>
      </c>
      <c r="C30" s="471" t="s">
        <v>5580</v>
      </c>
      <c r="D30" s="477" t="s">
        <v>5577</v>
      </c>
      <c r="E30" s="477" t="s">
        <v>5579</v>
      </c>
      <c r="F30" s="471" t="s">
        <v>5581</v>
      </c>
      <c r="G30" s="481" t="str">
        <f>IF($L$8=TRUE,"Realisasi vs Pagu+Blokir","Realisasi vs Pagu-Blokir")</f>
        <v>Realisasi vs Pagu-Blokir</v>
      </c>
      <c r="H30" s="481"/>
      <c r="I30" s="481" t="str">
        <f>IF($L$8=TRUE,"Sisa vs Pagu+Blokir","Sisa vs Pagu-Blokir")</f>
        <v>Sisa vs Pagu-Blokir</v>
      </c>
      <c r="J30" s="481"/>
    </row>
    <row r="31" spans="1:13" x14ac:dyDescent="0.25">
      <c r="A31" s="472"/>
      <c r="B31" s="472"/>
      <c r="C31" s="472"/>
      <c r="D31" s="478"/>
      <c r="E31" s="478"/>
      <c r="F31" s="472"/>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2940382304</v>
      </c>
      <c r="H32" s="205">
        <f t="shared" ref="H32" si="12">IFERROR(IF($L$8=TRUE,G32/C32*100,G32/F32*100),0)</f>
        <v>47.771890352746297</v>
      </c>
      <c r="I32" s="206">
        <f t="shared" ref="I32" si="13">IF($L$8=TRUE,C32-G32,F32-G32)</f>
        <v>3214664696</v>
      </c>
      <c r="J32" s="205">
        <f t="shared" ref="J32" si="14">IFERROR(IF($L$8=TRUE,I32/C32*100,I32/F32*100),0)</f>
        <v>52.228109647253703</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5424217032</v>
      </c>
      <c r="H33" s="205">
        <f t="shared" ref="H33:H40" si="16">IFERROR(IF($L$8=TRUE,G33/C33*100,G33/F33*100),0)</f>
        <v>50.591469634580797</v>
      </c>
      <c r="I33" s="206">
        <f t="shared" ref="I33:I40" si="17">IF($L$8=TRUE,C33-G33,F33-G33)</f>
        <v>5297386968</v>
      </c>
      <c r="J33" s="205">
        <f t="shared" ref="J33:J40" si="18">IFERROR(IF($L$8=TRUE,I33/C33*100,I33/F33*100),0)</f>
        <v>49.408530365419203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16"/>
        <v>31.652189479390241</v>
      </c>
      <c r="I34" s="210">
        <f t="shared" si="17"/>
        <v>1432336359</v>
      </c>
      <c r="J34" s="209">
        <f t="shared" si="18"/>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4760895391</v>
      </c>
      <c r="H35" s="209">
        <f t="shared" si="16"/>
        <v>55.192733539022854</v>
      </c>
      <c r="I35" s="210">
        <f t="shared" si="17"/>
        <v>3865050609</v>
      </c>
      <c r="J35" s="209">
        <f t="shared" si="18"/>
        <v>44.807266460977154</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9">SUM(D32,D33,D36)</f>
        <v>423949000</v>
      </c>
      <c r="E38" s="213">
        <f t="shared" si="19"/>
        <v>5387360000</v>
      </c>
      <c r="F38" s="213">
        <f t="shared" si="19"/>
        <v>17530851000</v>
      </c>
      <c r="G38" s="213">
        <f t="shared" si="19"/>
        <v>9018799336</v>
      </c>
      <c r="H38" s="214">
        <f t="shared" si="16"/>
        <v>51.445302546921425</v>
      </c>
      <c r="I38" s="213">
        <f t="shared" si="17"/>
        <v>8512051664</v>
      </c>
      <c r="J38" s="214">
        <f t="shared" si="18"/>
        <v>48.554697453078575</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79">
        <f>SUM(D38:E38)</f>
        <v>5811309000</v>
      </c>
      <c r="E40" s="480"/>
      <c r="F40" s="213">
        <f>F38</f>
        <v>17530851000</v>
      </c>
      <c r="G40" s="213">
        <f>G38-G39</f>
        <v>9018799336</v>
      </c>
      <c r="H40" s="214">
        <f t="shared" si="16"/>
        <v>51.445302546921425</v>
      </c>
      <c r="I40" s="213">
        <f t="shared" si="17"/>
        <v>8512051664</v>
      </c>
      <c r="J40" s="214">
        <f t="shared" si="18"/>
        <v>48.554697453078575</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6" t="s">
        <v>592</v>
      </c>
      <c r="B45" s="486" t="s">
        <v>500</v>
      </c>
      <c r="C45" s="486" t="s">
        <v>5580</v>
      </c>
      <c r="D45" s="486" t="s">
        <v>5577</v>
      </c>
      <c r="E45" s="486" t="s">
        <v>5579</v>
      </c>
      <c r="F45" s="486" t="s">
        <v>5581</v>
      </c>
      <c r="G45" s="481" t="str">
        <f>IF($L$8=TRUE,"Realisasi vs Pagu+Blokir","Realisasi vs Pagu-Blokir")</f>
        <v>Realisasi vs Pagu-Blokir</v>
      </c>
      <c r="H45" s="481"/>
      <c r="I45" s="481" t="str">
        <f>IF($L$8=TRUE,"Sisa vs Pagu+Blokir","Sisa vs Pagu-Blokir")</f>
        <v>Sisa vs Pagu-Blokir</v>
      </c>
      <c r="J45" s="481"/>
    </row>
    <row r="46" spans="1:12" x14ac:dyDescent="0.25">
      <c r="A46" s="486"/>
      <c r="B46" s="486"/>
      <c r="C46" s="486"/>
      <c r="D46" s="486"/>
      <c r="E46" s="486"/>
      <c r="F46" s="486"/>
      <c r="G46" s="417" t="s">
        <v>5589</v>
      </c>
      <c r="H46" s="417" t="s">
        <v>3846</v>
      </c>
      <c r="I46" s="417" t="s">
        <v>5589</v>
      </c>
      <c r="J46" s="417" t="s">
        <v>3846</v>
      </c>
    </row>
    <row r="47" spans="1:12" x14ac:dyDescent="0.25">
      <c r="A47" s="468"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68"/>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68"/>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68"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68"/>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68"/>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68"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68"/>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68"/>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68"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68"/>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68"/>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85" t="s">
        <v>3852</v>
      </c>
      <c r="B59" s="485"/>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85" t="s">
        <v>5583</v>
      </c>
      <c r="B60" s="485"/>
      <c r="C60" s="415">
        <f>C59</f>
        <v>348880000</v>
      </c>
      <c r="D60" s="487">
        <f>SUM(D59:E59)</f>
        <v>247069000</v>
      </c>
      <c r="E60" s="487"/>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25" activePane="bottomRight" state="frozen"/>
      <selection activeCell="L10" sqref="L10"/>
      <selection pane="topRight" activeCell="L10" sqref="L10"/>
      <selection pane="bottomLeft" activeCell="L10" sqref="L10"/>
      <selection pane="bottomRight" activeCell="M29" sqref="M29"/>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6" t="str">
        <f>IF(L8=TRUE,"REALISASI DENGAN GAJI (BERDASARKAN PAGU SEBELUM BLOKIR)","REALISASI DENGAN GAJI (BERDASARKAN PAGU SETELAH BLOKIR)")</f>
        <v>REALISASI DENGAN GAJI (BERDASARKAN PAGU SETELAH BLOKIR)</v>
      </c>
      <c r="B1" s="466"/>
      <c r="C1" s="466"/>
      <c r="D1" s="466"/>
      <c r="E1" s="466"/>
      <c r="F1" s="466"/>
      <c r="G1" s="466"/>
      <c r="H1" s="466"/>
      <c r="I1" s="466"/>
      <c r="J1" s="466"/>
      <c r="L1" s="431"/>
    </row>
    <row r="2" spans="1:13" ht="15.75" x14ac:dyDescent="0.25">
      <c r="A2" s="467" t="str">
        <f>'PER BULAN'!B5</f>
        <v>Berdasarkan DIPA Revisi 2 TA. 2022 (Tanggal 9 Juni 2022)</v>
      </c>
      <c r="B2" s="467"/>
      <c r="C2" s="467"/>
      <c r="D2" s="467"/>
      <c r="E2" s="467"/>
      <c r="F2" s="467"/>
      <c r="G2" s="467"/>
      <c r="H2" s="467"/>
      <c r="I2" s="467"/>
      <c r="J2" s="467"/>
    </row>
    <row r="3" spans="1:13" ht="15.75" x14ac:dyDescent="0.25">
      <c r="A3" s="467" t="str">
        <f>'PER BULAN'!B6</f>
        <v>SAMPAI DENGAN 28 JUNI 2022</v>
      </c>
      <c r="B3" s="467"/>
      <c r="C3" s="467"/>
      <c r="D3" s="467"/>
      <c r="E3" s="467"/>
      <c r="F3" s="467"/>
      <c r="G3" s="467"/>
      <c r="H3" s="467"/>
      <c r="I3" s="467"/>
      <c r="J3" s="467"/>
    </row>
    <row r="4" spans="1:13" x14ac:dyDescent="0.25">
      <c r="A4" s="436"/>
      <c r="B4" s="436"/>
      <c r="C4" s="436"/>
      <c r="D4" s="436"/>
      <c r="E4" s="436"/>
      <c r="F4" s="436"/>
      <c r="G4" s="436"/>
      <c r="H4" s="436"/>
      <c r="I4" s="436"/>
      <c r="J4" s="436"/>
    </row>
    <row r="5" spans="1:13" ht="15.75" x14ac:dyDescent="0.25">
      <c r="A5" s="433" t="s">
        <v>3995</v>
      </c>
    </row>
    <row r="6" spans="1:13" x14ac:dyDescent="0.25">
      <c r="A6" s="486" t="s">
        <v>592</v>
      </c>
      <c r="B6" s="486" t="s">
        <v>500</v>
      </c>
      <c r="C6" s="486" t="s">
        <v>5580</v>
      </c>
      <c r="D6" s="486" t="s">
        <v>5577</v>
      </c>
      <c r="E6" s="486" t="s">
        <v>5579</v>
      </c>
      <c r="F6" s="486" t="s">
        <v>3848</v>
      </c>
      <c r="G6" s="481" t="s">
        <v>3849</v>
      </c>
      <c r="H6" s="481"/>
      <c r="I6" s="481" t="s">
        <v>3850</v>
      </c>
      <c r="J6" s="481"/>
    </row>
    <row r="7" spans="1:13" x14ac:dyDescent="0.25">
      <c r="A7" s="486"/>
      <c r="B7" s="486"/>
      <c r="C7" s="486"/>
      <c r="D7" s="486"/>
      <c r="E7" s="486"/>
      <c r="F7" s="486"/>
      <c r="G7" s="417" t="s">
        <v>5589</v>
      </c>
      <c r="H7" s="417" t="s">
        <v>3846</v>
      </c>
      <c r="I7" s="417" t="s">
        <v>5589</v>
      </c>
      <c r="J7" s="417" t="s">
        <v>3846</v>
      </c>
    </row>
    <row r="8" spans="1:13" x14ac:dyDescent="0.25">
      <c r="A8" s="482"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390447219</v>
      </c>
      <c r="H8" s="423">
        <f>IFERROR(IF($L$8=TRUE,G8/C8*100,G8/F8*100),0)</f>
        <v>58.216271597354343</v>
      </c>
      <c r="I8" s="169">
        <f>IF($L$8=TRUE,C8-G8,F8-G8)</f>
        <v>280236781</v>
      </c>
      <c r="J8" s="263">
        <f>IFERROR(IF($L$8=TRUE,I8/C8*100,I8/F8*100),0)</f>
        <v>41.783728402645657</v>
      </c>
      <c r="K8" s="434"/>
      <c r="L8" s="416" t="b">
        <v>0</v>
      </c>
    </row>
    <row r="9" spans="1:13" x14ac:dyDescent="0.25">
      <c r="A9" s="483"/>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663321641</v>
      </c>
      <c r="H9" s="423">
        <f t="shared" ref="H9:H25" si="0">IFERROR(IF($L$8=TRUE,G9/C9*100,G9/F9*100),0)</f>
        <v>31.652189479390241</v>
      </c>
      <c r="I9" s="169">
        <f t="shared" ref="I9:I25" si="1">IF($L$8=TRUE,C9-G9,F9-G9)</f>
        <v>1432336359</v>
      </c>
      <c r="J9" s="263">
        <f t="shared" ref="J9:J25" si="2">IFERROR(IF($L$8=TRUE,I9/C9*100,I9/F9*100),0)</f>
        <v>68.347810520609755</v>
      </c>
      <c r="K9" s="434"/>
    </row>
    <row r="10" spans="1:13" x14ac:dyDescent="0.25">
      <c r="A10" s="483"/>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3"/>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136548520</v>
      </c>
      <c r="H11" s="423">
        <f t="shared" si="0"/>
        <v>68.991774454324982</v>
      </c>
      <c r="I11" s="169">
        <f t="shared" si="1"/>
        <v>61371480</v>
      </c>
      <c r="J11" s="263">
        <f t="shared" si="2"/>
        <v>31.008225545675021</v>
      </c>
      <c r="K11" s="434"/>
    </row>
    <row r="12" spans="1:13" x14ac:dyDescent="0.25">
      <c r="A12" s="483"/>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2940382304</v>
      </c>
      <c r="H12" s="423">
        <f t="shared" si="0"/>
        <v>47.771890352746297</v>
      </c>
      <c r="I12" s="169">
        <f t="shared" si="1"/>
        <v>3214664696</v>
      </c>
      <c r="J12" s="263">
        <f t="shared" si="2"/>
        <v>52.228109647253703</v>
      </c>
      <c r="K12" s="434"/>
    </row>
    <row r="13" spans="1:13" x14ac:dyDescent="0.25">
      <c r="A13" s="484"/>
      <c r="B13" s="296" t="s">
        <v>5585</v>
      </c>
      <c r="C13" s="194">
        <f>SUM(C8:C12)</f>
        <v>10807010000</v>
      </c>
      <c r="D13" s="194">
        <f t="shared" ref="D13:G13" si="3">SUM(D8:D12)</f>
        <v>423949000</v>
      </c>
      <c r="E13" s="194">
        <f t="shared" si="3"/>
        <v>609552000</v>
      </c>
      <c r="F13" s="194">
        <f t="shared" si="3"/>
        <v>9773509000</v>
      </c>
      <c r="G13" s="194">
        <f t="shared" si="3"/>
        <v>4784899684</v>
      </c>
      <c r="H13" s="424">
        <f t="shared" si="0"/>
        <v>48.957848035951059</v>
      </c>
      <c r="I13" s="194">
        <f t="shared" si="1"/>
        <v>4988609316</v>
      </c>
      <c r="J13" s="264">
        <f t="shared" si="2"/>
        <v>51.042151964048941</v>
      </c>
      <c r="K13" s="434"/>
    </row>
    <row r="14" spans="1:13" ht="15" customHeight="1" x14ac:dyDescent="0.25">
      <c r="A14" s="482"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3"/>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3476713912</v>
      </c>
      <c r="H15" s="423">
        <f t="shared" si="0"/>
        <v>57.159291607069463</v>
      </c>
      <c r="I15" s="169">
        <f t="shared" si="1"/>
        <v>2605786088</v>
      </c>
      <c r="J15" s="263">
        <f t="shared" si="2"/>
        <v>42.840708392930537</v>
      </c>
      <c r="K15" s="434"/>
      <c r="M15" s="217"/>
    </row>
    <row r="16" spans="1:13" x14ac:dyDescent="0.25">
      <c r="A16" s="483"/>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4"/>
      <c r="B17" s="296" t="s">
        <v>5586</v>
      </c>
      <c r="C17" s="194">
        <f>SUM(C14:C16)</f>
        <v>9985150000</v>
      </c>
      <c r="D17" s="194">
        <f t="shared" ref="D17:E17" si="4">SUM(D14:D16)</f>
        <v>0</v>
      </c>
      <c r="E17" s="194">
        <f t="shared" si="4"/>
        <v>3438934000</v>
      </c>
      <c r="F17" s="194">
        <f>SUM(F14:F16)</f>
        <v>6546216000</v>
      </c>
      <c r="G17" s="194">
        <f>SUM(G14:G16)</f>
        <v>3724281604</v>
      </c>
      <c r="H17" s="424">
        <f t="shared" si="0"/>
        <v>56.892128276854905</v>
      </c>
      <c r="I17" s="194">
        <f t="shared" si="1"/>
        <v>2821934396</v>
      </c>
      <c r="J17" s="264">
        <f t="shared" si="2"/>
        <v>43.107871723145095</v>
      </c>
      <c r="K17" s="434"/>
    </row>
    <row r="18" spans="1:13" ht="15" customHeight="1" x14ac:dyDescent="0.25">
      <c r="A18" s="482"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133815590</v>
      </c>
      <c r="H18" s="423">
        <f t="shared" si="0"/>
        <v>64.456513780911919</v>
      </c>
      <c r="I18" s="169">
        <f t="shared" si="1"/>
        <v>73790410</v>
      </c>
      <c r="J18" s="263">
        <f t="shared" si="2"/>
        <v>35.543486219088081</v>
      </c>
      <c r="K18" s="434"/>
    </row>
    <row r="19" spans="1:13" x14ac:dyDescent="0.25">
      <c r="A19" s="483"/>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73365500</v>
      </c>
      <c r="H19" s="423">
        <f t="shared" si="0"/>
        <v>44.527897646923151</v>
      </c>
      <c r="I19" s="169">
        <f t="shared" si="1"/>
        <v>91397500</v>
      </c>
      <c r="J19" s="263">
        <f t="shared" si="2"/>
        <v>55.472102353076849</v>
      </c>
      <c r="K19" s="434"/>
      <c r="M19" s="217"/>
    </row>
    <row r="20" spans="1:13" x14ac:dyDescent="0.25">
      <c r="A20" s="484"/>
      <c r="B20" s="296" t="s">
        <v>5587</v>
      </c>
      <c r="C20" s="194">
        <f>SUM(C18:C19)</f>
        <v>1278600000</v>
      </c>
      <c r="D20" s="194">
        <f t="shared" ref="D20:E20" si="5">SUM(D18:D19)</f>
        <v>0</v>
      </c>
      <c r="E20" s="194">
        <f t="shared" si="5"/>
        <v>906231000</v>
      </c>
      <c r="F20" s="194">
        <f>SUM(F18:F19)</f>
        <v>372369000</v>
      </c>
      <c r="G20" s="194">
        <f>SUM(G18:G19)</f>
        <v>207181090</v>
      </c>
      <c r="H20" s="424">
        <f t="shared" si="0"/>
        <v>55.638651445206236</v>
      </c>
      <c r="I20" s="194">
        <f t="shared" si="1"/>
        <v>165187910</v>
      </c>
      <c r="J20" s="264">
        <f t="shared" si="2"/>
        <v>44.361348554793764</v>
      </c>
      <c r="K20" s="434"/>
    </row>
    <row r="21" spans="1:13" ht="15" customHeight="1" x14ac:dyDescent="0.25">
      <c r="A21" s="482"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214180240</v>
      </c>
      <c r="H21" s="423">
        <f t="shared" si="0"/>
        <v>31.207961532857354</v>
      </c>
      <c r="I21" s="169">
        <f t="shared" si="1"/>
        <v>472119760</v>
      </c>
      <c r="J21" s="263">
        <f t="shared" si="2"/>
        <v>68.792038467142646</v>
      </c>
      <c r="K21" s="434"/>
    </row>
    <row r="22" spans="1:13" x14ac:dyDescent="0.25">
      <c r="A22" s="483"/>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88256718</v>
      </c>
      <c r="H22" s="423">
        <f t="shared" si="0"/>
        <v>57.889580668647554</v>
      </c>
      <c r="I22" s="169">
        <f t="shared" si="1"/>
        <v>64200282</v>
      </c>
      <c r="J22" s="263">
        <f t="shared" si="2"/>
        <v>42.110419331352446</v>
      </c>
      <c r="K22" s="434"/>
    </row>
    <row r="23" spans="1:13" x14ac:dyDescent="0.25">
      <c r="A23" s="484"/>
      <c r="B23" s="296" t="s">
        <v>5588</v>
      </c>
      <c r="C23" s="194">
        <f>SUM(C21:C22)</f>
        <v>1271400000</v>
      </c>
      <c r="D23" s="194">
        <f t="shared" ref="D23:E23" si="6">SUM(D21:D22)</f>
        <v>0</v>
      </c>
      <c r="E23" s="194">
        <f t="shared" si="6"/>
        <v>432643000</v>
      </c>
      <c r="F23" s="194">
        <f>SUM(F21:F22)</f>
        <v>838757000</v>
      </c>
      <c r="G23" s="194">
        <f>SUM(G21:G22)</f>
        <v>302436958</v>
      </c>
      <c r="H23" s="424">
        <f t="shared" si="0"/>
        <v>36.057756656576338</v>
      </c>
      <c r="I23" s="194">
        <f t="shared" si="1"/>
        <v>536320042</v>
      </c>
      <c r="J23" s="264">
        <f t="shared" si="2"/>
        <v>63.942243343423669</v>
      </c>
      <c r="K23" s="434"/>
    </row>
    <row r="24" spans="1:13" x14ac:dyDescent="0.25">
      <c r="A24" s="485" t="s">
        <v>3852</v>
      </c>
      <c r="B24" s="485"/>
      <c r="C24" s="176">
        <f>C13++C17+C20+C23</f>
        <v>23342160000</v>
      </c>
      <c r="D24" s="176">
        <f t="shared" ref="D24:E24" si="7">D13++D17+D20+D23</f>
        <v>423949000</v>
      </c>
      <c r="E24" s="176">
        <f t="shared" si="7"/>
        <v>5387360000</v>
      </c>
      <c r="F24" s="176">
        <f>F13++F17+F20+F23</f>
        <v>17530851000</v>
      </c>
      <c r="G24" s="176">
        <f>G13++G17+G20+G23</f>
        <v>9018799336</v>
      </c>
      <c r="H24" s="425">
        <f t="shared" si="0"/>
        <v>51.445302546921425</v>
      </c>
      <c r="I24" s="176">
        <f t="shared" si="1"/>
        <v>8512051664</v>
      </c>
      <c r="J24" s="265">
        <f t="shared" si="2"/>
        <v>48.554697453078575</v>
      </c>
      <c r="K24" s="434"/>
      <c r="M24" s="215"/>
    </row>
    <row r="25" spans="1:13" x14ac:dyDescent="0.25">
      <c r="A25" s="473" t="s">
        <v>5583</v>
      </c>
      <c r="B25" s="474"/>
      <c r="C25" s="415">
        <f>C24</f>
        <v>23342160000</v>
      </c>
      <c r="D25" s="475">
        <f>SUM(D24,E24)</f>
        <v>5811309000</v>
      </c>
      <c r="E25" s="476"/>
      <c r="F25" s="415">
        <f>F24</f>
        <v>17530851000</v>
      </c>
      <c r="G25" s="176">
        <f>G24</f>
        <v>9018799336</v>
      </c>
      <c r="H25" s="425">
        <f t="shared" si="0"/>
        <v>51.445302546921425</v>
      </c>
      <c r="I25" s="176">
        <f t="shared" si="1"/>
        <v>8512051664</v>
      </c>
      <c r="J25" s="265">
        <f t="shared" si="2"/>
        <v>48.554697453078575</v>
      </c>
      <c r="K25" s="434"/>
      <c r="M25" s="217"/>
    </row>
    <row r="29" spans="1:13" ht="15.75" x14ac:dyDescent="0.25">
      <c r="A29" s="433" t="s">
        <v>4002</v>
      </c>
    </row>
    <row r="30" spans="1:13" ht="14.45" customHeight="1" x14ac:dyDescent="0.25">
      <c r="A30" s="471" t="s">
        <v>3988</v>
      </c>
      <c r="B30" s="471" t="s">
        <v>3989</v>
      </c>
      <c r="C30" s="471" t="s">
        <v>5580</v>
      </c>
      <c r="D30" s="477" t="s">
        <v>5577</v>
      </c>
      <c r="E30" s="477" t="s">
        <v>5579</v>
      </c>
      <c r="F30" s="486" t="s">
        <v>3848</v>
      </c>
      <c r="G30" s="481" t="s">
        <v>3849</v>
      </c>
      <c r="H30" s="481"/>
      <c r="I30" s="481" t="s">
        <v>3850</v>
      </c>
      <c r="J30" s="481"/>
    </row>
    <row r="31" spans="1:13" x14ac:dyDescent="0.25">
      <c r="A31" s="472"/>
      <c r="B31" s="472"/>
      <c r="C31" s="472"/>
      <c r="D31" s="478"/>
      <c r="E31" s="478"/>
      <c r="F31" s="486"/>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2940382304</v>
      </c>
      <c r="H32" s="205">
        <f t="shared" ref="H32:H40" si="9">IFERROR(IF($L$8=TRUE,G32/C32*100,G32/F32*100),0)</f>
        <v>47.771890352746297</v>
      </c>
      <c r="I32" s="206">
        <f t="shared" ref="I32:I40" si="10">IF($L$8=TRUE,C32-G32,F32-G32)</f>
        <v>3214664696</v>
      </c>
      <c r="J32" s="205">
        <f t="shared" ref="J32:J40" si="11">IFERROR(IF($L$8=TRUE,I32/C32*100,I32/F32*100),0)</f>
        <v>52.228109647253703</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5424217032</v>
      </c>
      <c r="H33" s="205">
        <f t="shared" si="9"/>
        <v>50.591469634580797</v>
      </c>
      <c r="I33" s="206">
        <f t="shared" si="10"/>
        <v>5297386968</v>
      </c>
      <c r="J33" s="205">
        <f t="shared" si="11"/>
        <v>49.408530365419203</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663321641</v>
      </c>
      <c r="H34" s="209">
        <f t="shared" si="9"/>
        <v>31.652189479390241</v>
      </c>
      <c r="I34" s="210">
        <f t="shared" si="10"/>
        <v>1432336359</v>
      </c>
      <c r="J34" s="209">
        <f t="shared" si="11"/>
        <v>68.347810520609755</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4760895391</v>
      </c>
      <c r="H35" s="209">
        <f t="shared" si="9"/>
        <v>55.192733539022854</v>
      </c>
      <c r="I35" s="210">
        <f t="shared" si="10"/>
        <v>3865050609</v>
      </c>
      <c r="J35" s="209">
        <f t="shared" si="11"/>
        <v>44.807266460977154</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69" t="s">
        <v>611</v>
      </c>
      <c r="B38" s="470"/>
      <c r="C38" s="213">
        <f>SUM(C32,C33,C36)</f>
        <v>23342160000</v>
      </c>
      <c r="D38" s="213">
        <f t="shared" ref="D38:G38" si="13">SUM(D32,D33,D36)</f>
        <v>423949000</v>
      </c>
      <c r="E38" s="213">
        <f t="shared" si="13"/>
        <v>5387360000</v>
      </c>
      <c r="F38" s="213">
        <f t="shared" si="13"/>
        <v>17530851000</v>
      </c>
      <c r="G38" s="213">
        <f t="shared" si="13"/>
        <v>9018799336</v>
      </c>
      <c r="H38" s="214">
        <f t="shared" si="9"/>
        <v>51.445302546921425</v>
      </c>
      <c r="I38" s="213">
        <f t="shared" si="10"/>
        <v>8512051664</v>
      </c>
      <c r="J38" s="214">
        <f t="shared" si="11"/>
        <v>48.554697453078575</v>
      </c>
      <c r="K38" s="434"/>
    </row>
    <row r="39" spans="1:12" x14ac:dyDescent="0.25">
      <c r="A39" s="469" t="s">
        <v>3993</v>
      </c>
      <c r="B39" s="470"/>
      <c r="C39" s="213"/>
      <c r="D39" s="213"/>
      <c r="E39" s="213"/>
      <c r="F39" s="213"/>
      <c r="G39" s="213"/>
      <c r="H39" s="214"/>
      <c r="I39" s="213"/>
      <c r="J39" s="214"/>
      <c r="K39" s="434"/>
    </row>
    <row r="40" spans="1:12" x14ac:dyDescent="0.25">
      <c r="A40" s="469" t="s">
        <v>3994</v>
      </c>
      <c r="B40" s="470"/>
      <c r="C40" s="213">
        <f>C38</f>
        <v>23342160000</v>
      </c>
      <c r="D40" s="479">
        <f>SUM(D38:E38)</f>
        <v>5811309000</v>
      </c>
      <c r="E40" s="480"/>
      <c r="F40" s="213">
        <f>F38</f>
        <v>17530851000</v>
      </c>
      <c r="G40" s="213">
        <f>G38-G39</f>
        <v>9018799336</v>
      </c>
      <c r="H40" s="214">
        <f t="shared" si="9"/>
        <v>51.445302546921425</v>
      </c>
      <c r="I40" s="213">
        <f t="shared" si="10"/>
        <v>8512051664</v>
      </c>
      <c r="J40" s="214">
        <f t="shared" si="11"/>
        <v>48.554697453078575</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6" t="s">
        <v>592</v>
      </c>
      <c r="B45" s="486" t="s">
        <v>500</v>
      </c>
      <c r="C45" s="486" t="s">
        <v>5580</v>
      </c>
      <c r="D45" s="486" t="s">
        <v>5577</v>
      </c>
      <c r="E45" s="486" t="s">
        <v>5579</v>
      </c>
      <c r="F45" s="486" t="s">
        <v>3848</v>
      </c>
      <c r="G45" s="481" t="s">
        <v>3849</v>
      </c>
      <c r="H45" s="481"/>
      <c r="I45" s="481" t="s">
        <v>3850</v>
      </c>
      <c r="J45" s="481"/>
    </row>
    <row r="46" spans="1:12" x14ac:dyDescent="0.25">
      <c r="A46" s="486"/>
      <c r="B46" s="486"/>
      <c r="C46" s="486"/>
      <c r="D46" s="486"/>
      <c r="E46" s="486"/>
      <c r="F46" s="486"/>
      <c r="G46" s="417" t="s">
        <v>5589</v>
      </c>
      <c r="H46" s="417" t="s">
        <v>3846</v>
      </c>
      <c r="I46" s="417" t="s">
        <v>5589</v>
      </c>
      <c r="J46" s="417" t="s">
        <v>3846</v>
      </c>
    </row>
    <row r="47" spans="1:12" x14ac:dyDescent="0.25">
      <c r="A47" s="468"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68"/>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68"/>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68"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68"/>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68"/>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68"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68"/>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68"/>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68"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68"/>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68"/>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85" t="s">
        <v>3852</v>
      </c>
      <c r="B59" s="485"/>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85" t="s">
        <v>5583</v>
      </c>
      <c r="B60" s="485"/>
      <c r="C60" s="415">
        <f>C59</f>
        <v>348880000</v>
      </c>
      <c r="D60" s="487">
        <f>SUM(D59:E59)</f>
        <v>247069000</v>
      </c>
      <c r="E60" s="487"/>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4"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R3" sqref="R3"/>
    </sheetView>
  </sheetViews>
  <sheetFormatPr defaultRowHeight="15" x14ac:dyDescent="0.25"/>
  <cols>
    <col min="16" max="16" width="7" customWidth="1"/>
    <col min="17" max="17" width="5.5703125" customWidth="1"/>
    <col min="21" max="21" width="4.7109375" customWidth="1"/>
  </cols>
  <sheetData>
    <row r="1" spans="2:16" x14ac:dyDescent="0.25">
      <c r="B1" s="488" t="str">
        <f>'PERSUBBID - Gaji'!A1</f>
        <v>REALISASI TANPA GAJI (BERDASARKAN PAGU SETELAH BLOKIR)</v>
      </c>
      <c r="C1" s="488"/>
      <c r="D1" s="488"/>
      <c r="E1" s="488"/>
      <c r="F1" s="488"/>
      <c r="G1" s="488"/>
      <c r="H1" s="488"/>
      <c r="I1" s="488"/>
      <c r="J1" s="488"/>
      <c r="K1" s="488"/>
      <c r="L1" s="488"/>
      <c r="M1" s="488"/>
      <c r="N1" s="488"/>
      <c r="O1" s="488"/>
      <c r="P1" s="488"/>
    </row>
    <row r="2" spans="2:16" ht="15.75" x14ac:dyDescent="0.25">
      <c r="B2" s="467" t="str">
        <f>'PERSUBBID - Gaji'!A2</f>
        <v>Berdasarkan DIPA Revisi 2 TA. 2022 (Tanggal 9 Juni 2022)</v>
      </c>
      <c r="C2" s="467"/>
      <c r="D2" s="467"/>
      <c r="E2" s="467"/>
      <c r="F2" s="467"/>
      <c r="G2" s="467"/>
      <c r="H2" s="467"/>
      <c r="I2" s="467"/>
      <c r="J2" s="467"/>
      <c r="K2" s="467"/>
      <c r="L2" s="467"/>
      <c r="M2" s="467"/>
      <c r="N2" s="467"/>
      <c r="O2" s="467"/>
      <c r="P2" s="467"/>
    </row>
    <row r="3" spans="2:16" ht="15.75" x14ac:dyDescent="0.25">
      <c r="B3" s="467" t="str">
        <f>'PERSUBBID - Gaji'!A3</f>
        <v>SAMPAI DENGAN 28 JUNI 2022</v>
      </c>
      <c r="C3" s="467"/>
      <c r="D3" s="467"/>
      <c r="E3" s="467"/>
      <c r="F3" s="467"/>
      <c r="G3" s="467"/>
      <c r="H3" s="467"/>
      <c r="I3" s="467"/>
      <c r="J3" s="467"/>
      <c r="K3" s="467"/>
      <c r="L3" s="467"/>
      <c r="M3" s="467"/>
      <c r="N3" s="467"/>
      <c r="O3" s="467"/>
      <c r="P3" s="467"/>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27" sqref="F27"/>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2022-06-27T00:13:25Z</cp:lastPrinted>
  <dcterms:created xsi:type="dcterms:W3CDTF">2021-07-27T04:05:22Z</dcterms:created>
  <dcterms:modified xsi:type="dcterms:W3CDTF">2022-06-28T10:20:20Z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