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9F7C88A2-011F-4CD1-A07A-F8124CE2CB51}" xr6:coauthVersionLast="47" xr6:coauthVersionMax="47" xr10:uidLastSave="{00000000-0000-0000-0000-000000000000}"/>
  <bookViews>
    <workbookView xWindow="-120" yWindow="-120" windowWidth="29040" windowHeight="15840" tabRatio="872" firstSheet="6"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20" l="1"/>
  <c r="C2" i="20"/>
  <c r="C1" i="20"/>
  <c r="A3" i="35"/>
  <c r="A3" i="33"/>
  <c r="A3" i="34"/>
  <c r="A3" i="14"/>
  <c r="H14" i="13"/>
  <c r="Y239" i="13"/>
  <c r="Y238" i="13"/>
  <c r="G57" i="35" a="1"/>
  <c r="G57" i="35" s="1"/>
  <c r="F57" i="35" a="1"/>
  <c r="F57" i="35" s="1"/>
  <c r="I57" i="35" s="1"/>
  <c r="J57" i="35" s="1"/>
  <c r="E57" i="35" a="1"/>
  <c r="E57" i="35" s="1"/>
  <c r="D57" i="35" a="1"/>
  <c r="D57" i="35" s="1"/>
  <c r="C57" i="35" a="1"/>
  <c r="C57" i="35" s="1"/>
  <c r="G56" i="35"/>
  <c r="G56" i="35" a="1"/>
  <c r="F56" i="35"/>
  <c r="F56" i="35" a="1"/>
  <c r="E56" i="35"/>
  <c r="E58" i="35" s="1"/>
  <c r="E56" i="35" a="1"/>
  <c r="D56" i="35"/>
  <c r="D58" i="35" s="1"/>
  <c r="D56" i="35" a="1"/>
  <c r="C56" i="35"/>
  <c r="C58" i="35" s="1"/>
  <c r="C56" i="35" a="1"/>
  <c r="H54" i="35"/>
  <c r="G54" i="35" a="1"/>
  <c r="G54" i="35" s="1"/>
  <c r="F54" i="35" a="1"/>
  <c r="F54" i="35" s="1"/>
  <c r="I54" i="35" s="1"/>
  <c r="J54" i="35" s="1"/>
  <c r="E54" i="35" a="1"/>
  <c r="E54" i="35" s="1"/>
  <c r="D54" i="35" a="1"/>
  <c r="D54" i="35" s="1"/>
  <c r="D55" i="35" s="1"/>
  <c r="C54" i="35" a="1"/>
  <c r="C54" i="35" s="1"/>
  <c r="I53" i="35"/>
  <c r="J53" i="35" s="1"/>
  <c r="G53" i="35"/>
  <c r="G55" i="35" s="1"/>
  <c r="G53" i="35" a="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c r="G50" i="35" a="1"/>
  <c r="F50" i="35"/>
  <c r="I50" i="35" s="1"/>
  <c r="J50" i="35" s="1"/>
  <c r="F50" i="35" a="1"/>
  <c r="E50" i="35"/>
  <c r="E50" i="35" a="1"/>
  <c r="D50" i="35"/>
  <c r="D52" i="35" s="1"/>
  <c r="D50" i="35" a="1"/>
  <c r="C50" i="35"/>
  <c r="C50" i="35" a="1"/>
  <c r="D49" i="35"/>
  <c r="G48" i="35" a="1"/>
  <c r="G48" i="35" s="1"/>
  <c r="H48" i="35" s="1"/>
  <c r="F48" i="35" a="1"/>
  <c r="F48" i="35" s="1"/>
  <c r="I48" i="35" s="1"/>
  <c r="J48" i="35" s="1"/>
  <c r="E48" i="35" a="1"/>
  <c r="E48" i="35" s="1"/>
  <c r="D48" i="35" a="1"/>
  <c r="D48" i="35" s="1"/>
  <c r="C48" i="35" a="1"/>
  <c r="C48" i="35" s="1"/>
  <c r="I47" i="35"/>
  <c r="J47" i="35" s="1"/>
  <c r="G47" i="35"/>
  <c r="G49" i="35" s="1"/>
  <c r="G47" i="35" a="1"/>
  <c r="F47" i="35"/>
  <c r="F47" i="35" a="1"/>
  <c r="E47" i="35"/>
  <c r="E49" i="35" s="1"/>
  <c r="E47" i="35" a="1"/>
  <c r="D47" i="35"/>
  <c r="D47" i="35" a="1"/>
  <c r="C47" i="35"/>
  <c r="C49" i="35" s="1"/>
  <c r="C47" i="35" a="1"/>
  <c r="G36" i="35"/>
  <c r="G36" i="35" a="1"/>
  <c r="F35" i="35"/>
  <c r="F35" i="35" a="1"/>
  <c r="E35" i="35"/>
  <c r="E35" i="35" a="1"/>
  <c r="D35" i="35"/>
  <c r="D35" i="35" a="1"/>
  <c r="C35" i="35"/>
  <c r="C35" i="35" a="1"/>
  <c r="H34" i="35"/>
  <c r="G34" i="35" a="1"/>
  <c r="G34" i="35" s="1"/>
  <c r="F34" i="35" a="1"/>
  <c r="F34" i="35" s="1"/>
  <c r="E34" i="35" a="1"/>
  <c r="E34" i="35" s="1"/>
  <c r="D34" i="35" a="1"/>
  <c r="D34" i="35" s="1"/>
  <c r="D33" i="35" s="1"/>
  <c r="C34" i="35" a="1"/>
  <c r="C34" i="35" s="1"/>
  <c r="E33" i="35"/>
  <c r="F23" i="35"/>
  <c r="G22" i="35" a="1"/>
  <c r="G22" i="35" s="1"/>
  <c r="F22" i="35" a="1"/>
  <c r="F22" i="35" s="1"/>
  <c r="I22" i="35" s="1"/>
  <c r="J22" i="35" s="1"/>
  <c r="E22" i="35" a="1"/>
  <c r="E22" i="35" s="1"/>
  <c r="D22" i="35" a="1"/>
  <c r="D22" i="35" s="1"/>
  <c r="C22" i="35" a="1"/>
  <c r="C22" i="35" s="1"/>
  <c r="G21" i="35"/>
  <c r="G21" i="35" a="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c r="G18" i="35" a="1"/>
  <c r="F18" i="35"/>
  <c r="F20" i="35" s="1"/>
  <c r="F18" i="35" a="1"/>
  <c r="E18" i="35"/>
  <c r="E20" i="35" s="1"/>
  <c r="E18" i="35" a="1"/>
  <c r="D18" i="35"/>
  <c r="D20" i="35" s="1"/>
  <c r="D18" i="35" a="1"/>
  <c r="C18" i="35"/>
  <c r="C18" i="35" a="1"/>
  <c r="G16" i="35" a="1"/>
  <c r="G16" i="35" s="1"/>
  <c r="F16" i="35" a="1"/>
  <c r="F16" i="35" s="1"/>
  <c r="I16" i="35" s="1"/>
  <c r="J16" i="35" s="1"/>
  <c r="E16" i="35" a="1"/>
  <c r="E16" i="35" s="1"/>
  <c r="D16" i="35" a="1"/>
  <c r="D16" i="35" s="1"/>
  <c r="C16" i="35" a="1"/>
  <c r="C16" i="35" s="1"/>
  <c r="G15" i="35"/>
  <c r="G15" i="35" a="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c r="G10" i="35" a="1"/>
  <c r="F10" i="35"/>
  <c r="F36" i="35" s="1"/>
  <c r="I36" i="35" s="1"/>
  <c r="J36" i="35" s="1"/>
  <c r="F10" i="35" a="1"/>
  <c r="E10" i="35"/>
  <c r="E36" i="35" s="1"/>
  <c r="E10" i="35" a="1"/>
  <c r="D10" i="35"/>
  <c r="D36" i="35" s="1"/>
  <c r="D10" i="35" a="1"/>
  <c r="C10" i="35"/>
  <c r="C36" i="35" s="1"/>
  <c r="C10" i="35" a="1"/>
  <c r="G9" i="35" a="1"/>
  <c r="G9" i="35" s="1"/>
  <c r="G8" i="35" s="1" a="1"/>
  <c r="F9" i="35" a="1"/>
  <c r="F9" i="35" s="1"/>
  <c r="E9" i="35" a="1"/>
  <c r="E9" i="35" s="1"/>
  <c r="E8" i="35" s="1" a="1"/>
  <c r="E8" i="35" s="1"/>
  <c r="E13" i="35" s="1"/>
  <c r="D9" i="35" a="1"/>
  <c r="D9" i="35" s="1"/>
  <c r="C9" i="35" a="1"/>
  <c r="C9" i="35" s="1"/>
  <c r="C8" i="35" s="1" a="1"/>
  <c r="G8" i="35"/>
  <c r="C8" i="35"/>
  <c r="C13" i="35" s="1"/>
  <c r="A2" i="35"/>
  <c r="A1" i="35"/>
  <c r="G53" i="34" a="1"/>
  <c r="G53" i="34" s="1"/>
  <c r="F53" i="34" a="1"/>
  <c r="F53" i="34" s="1"/>
  <c r="I53" i="34" s="1"/>
  <c r="J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I49" i="34" s="1"/>
  <c r="J49" i="34" s="1"/>
  <c r="E49" i="34"/>
  <c r="E51" i="34" s="1"/>
  <c r="E49" i="34" a="1"/>
  <c r="D49" i="34" a="1"/>
  <c r="D49" i="34" s="1"/>
  <c r="C49" i="34"/>
  <c r="C49" i="34" a="1"/>
  <c r="G47" i="34"/>
  <c r="G47" i="34" a="1"/>
  <c r="F47" i="34" a="1"/>
  <c r="F47" i="34" s="1"/>
  <c r="I47" i="34" s="1"/>
  <c r="J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c r="G43" i="34" a="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I21" i="34" s="1"/>
  <c r="J21" i="34" s="1"/>
  <c r="F21" i="34" a="1"/>
  <c r="E21" i="34"/>
  <c r="E21" i="34" a="1"/>
  <c r="D21" i="34" a="1"/>
  <c r="D21" i="34" s="1"/>
  <c r="D22" i="34" s="1"/>
  <c r="C21" i="34"/>
  <c r="C21" i="34" a="1"/>
  <c r="I20" i="34"/>
  <c r="J20" i="34" s="1"/>
  <c r="G20" i="34" a="1"/>
  <c r="G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c r="G17" i="34" a="1"/>
  <c r="F17" i="34" a="1"/>
  <c r="F17" i="34" s="1"/>
  <c r="I17" i="34" s="1"/>
  <c r="J17" i="34" s="1"/>
  <c r="E17" i="34"/>
  <c r="E17" i="34" a="1"/>
  <c r="D17" i="34" a="1"/>
  <c r="D17" i="34" s="1"/>
  <c r="D19" i="34" s="1"/>
  <c r="C17" i="34"/>
  <c r="C19" i="34" s="1"/>
  <c r="C17" i="34" a="1"/>
  <c r="G15" i="34"/>
  <c r="G15" i="34" a="1"/>
  <c r="F15" i="34"/>
  <c r="H15" i="34" s="1"/>
  <c r="F15" i="34" a="1"/>
  <c r="E15" i="34"/>
  <c r="E15" i="34" a="1"/>
  <c r="D15" i="34"/>
  <c r="D15" i="34" a="1"/>
  <c r="C15" i="34"/>
  <c r="C15" i="34" a="1"/>
  <c r="G14" i="34" a="1"/>
  <c r="G14" i="34" s="1"/>
  <c r="H14" i="34" s="1"/>
  <c r="F14" i="34"/>
  <c r="F13" i="34" s="1" a="1"/>
  <c r="F13" i="34" s="1"/>
  <c r="F14" i="34" a="1"/>
  <c r="E14" i="34" a="1"/>
  <c r="E14" i="34" s="1"/>
  <c r="D14" i="34"/>
  <c r="D16" i="34" s="1"/>
  <c r="D14" i="34" a="1"/>
  <c r="C14" i="34" a="1"/>
  <c r="C14" i="34" s="1"/>
  <c r="E13" i="34" a="1"/>
  <c r="E13" i="34" s="1"/>
  <c r="E16" i="34" s="1"/>
  <c r="D13" i="34"/>
  <c r="D13" i="34" a="1"/>
  <c r="C13" i="34" a="1"/>
  <c r="C13" i="34" s="1"/>
  <c r="C16" i="34" s="1"/>
  <c r="G11" i="34"/>
  <c r="G11" i="34" a="1"/>
  <c r="F11" i="34" a="1"/>
  <c r="F11" i="34" s="1"/>
  <c r="I11" i="34" s="1"/>
  <c r="J11" i="34" s="1"/>
  <c r="E11" i="34"/>
  <c r="E11" i="34" a="1"/>
  <c r="D11" i="34" a="1"/>
  <c r="D11" i="34" s="1"/>
  <c r="C11" i="34"/>
  <c r="C11" i="34" a="1"/>
  <c r="G10" i="34"/>
  <c r="H10" i="34" s="1"/>
  <c r="G10" i="34" a="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G8" i="34" a="1"/>
  <c r="G8" i="34" s="1"/>
  <c r="E8" i="34" a="1"/>
  <c r="E8" i="34" s="1"/>
  <c r="E12" i="34" s="1"/>
  <c r="A2" i="34"/>
  <c r="A1" i="34"/>
  <c r="A1" i="33"/>
  <c r="A1" i="14"/>
  <c r="I23" i="35" l="1"/>
  <c r="J23" i="35" s="1"/>
  <c r="H36" i="35"/>
  <c r="F8" i="35" a="1"/>
  <c r="F8" i="35" s="1"/>
  <c r="I9" i="35"/>
  <c r="J9" i="35" s="1"/>
  <c r="E23" i="35"/>
  <c r="E24" i="35" s="1"/>
  <c r="G23" i="35"/>
  <c r="H23" i="35" s="1"/>
  <c r="H21" i="35"/>
  <c r="H57" i="35"/>
  <c r="G14" i="35" a="1"/>
  <c r="G14" i="35" s="1"/>
  <c r="H15" i="35"/>
  <c r="I20" i="35"/>
  <c r="J20" i="35" s="1"/>
  <c r="H11" i="35"/>
  <c r="H16" i="35"/>
  <c r="H10" i="35"/>
  <c r="I15" i="35"/>
  <c r="J15" i="35" s="1"/>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I55" i="35" s="1"/>
  <c r="J55" i="35" s="1"/>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G32" i="34"/>
  <c r="I32" i="34" s="1"/>
  <c r="J32" i="34" s="1"/>
  <c r="G13" i="34" a="1"/>
  <c r="G13" i="34" s="1"/>
  <c r="I13" i="34" s="1"/>
  <c r="J13" i="34" s="1"/>
  <c r="F16" i="34"/>
  <c r="E19" i="34"/>
  <c r="E23" i="34" s="1"/>
  <c r="H17" i="34"/>
  <c r="I18" i="34"/>
  <c r="J18" i="34" s="1"/>
  <c r="G45" i="34"/>
  <c r="H43" i="34"/>
  <c r="D51" i="34"/>
  <c r="F51" i="34"/>
  <c r="D54" i="34"/>
  <c r="D55" i="34" s="1"/>
  <c r="D56" i="34" s="1"/>
  <c r="G54" i="34"/>
  <c r="H54" i="34" s="1"/>
  <c r="H52" i="34"/>
  <c r="D8" i="34" a="1"/>
  <c r="D8" i="34" s="1"/>
  <c r="D12" i="34" s="1"/>
  <c r="D23" i="34" s="1"/>
  <c r="H11" i="34"/>
  <c r="F19" i="34"/>
  <c r="I19" i="34" s="1"/>
  <c r="J19" i="34" s="1"/>
  <c r="F22" i="34"/>
  <c r="H33" i="34"/>
  <c r="E45" i="34"/>
  <c r="E55" i="34" s="1"/>
  <c r="G48" i="34"/>
  <c r="H48" i="34" s="1"/>
  <c r="H46" i="34"/>
  <c r="G51" i="34"/>
  <c r="H51" i="34" s="1"/>
  <c r="H49" i="34"/>
  <c r="I50" i="34"/>
  <c r="J50" i="34" s="1"/>
  <c r="I52" i="34"/>
  <c r="J52" i="34" s="1"/>
  <c r="I14" i="34"/>
  <c r="J14"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I53" i="14" s="1"/>
  <c r="J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G17" i="35" l="1"/>
  <c r="H17" i="35" s="1"/>
  <c r="H14" i="35"/>
  <c r="H58" i="35"/>
  <c r="F40" i="35"/>
  <c r="I17" i="35"/>
  <c r="J17" i="35" s="1"/>
  <c r="D60" i="35"/>
  <c r="I52" i="35"/>
  <c r="J52" i="35" s="1"/>
  <c r="F13" i="35"/>
  <c r="I8" i="35"/>
  <c r="J8" i="35" s="1"/>
  <c r="G35" i="35"/>
  <c r="D24" i="35"/>
  <c r="D25" i="35" s="1"/>
  <c r="I14" i="35"/>
  <c r="J14" i="35" s="1"/>
  <c r="I49" i="35"/>
  <c r="J49" i="35" s="1"/>
  <c r="F59" i="35"/>
  <c r="G59" i="35"/>
  <c r="H8" i="35"/>
  <c r="H55" i="35"/>
  <c r="D24" i="34"/>
  <c r="I51" i="34"/>
  <c r="J51" i="34" s="1"/>
  <c r="G55" i="34"/>
  <c r="H45" i="34"/>
  <c r="I54" i="34"/>
  <c r="J54" i="34" s="1"/>
  <c r="I45" i="34"/>
  <c r="J45" i="34" s="1"/>
  <c r="F35" i="34"/>
  <c r="I30" i="34"/>
  <c r="J30" i="34" s="1"/>
  <c r="H32" i="34"/>
  <c r="G30" i="34"/>
  <c r="F56" i="34"/>
  <c r="I55" i="34"/>
  <c r="J55" i="34" s="1"/>
  <c r="I22" i="34"/>
  <c r="J22" i="34" s="1"/>
  <c r="H19" i="34"/>
  <c r="I48" i="34"/>
  <c r="J48" i="34" s="1"/>
  <c r="G16" i="34"/>
  <c r="H16" i="34" s="1"/>
  <c r="H13" i="34"/>
  <c r="F12" i="34"/>
  <c r="H12" i="34" s="1"/>
  <c r="I8" i="34"/>
  <c r="J8" i="34" s="1"/>
  <c r="E48" i="14"/>
  <c r="C48" i="14"/>
  <c r="C54" i="14"/>
  <c r="G52" i="33"/>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N5" i="32" l="1"/>
  <c r="AO5" i="32" s="1"/>
  <c r="AM4" i="32"/>
  <c r="H59" i="35"/>
  <c r="G60" i="35"/>
  <c r="F60" i="35"/>
  <c r="I60" i="35" s="1"/>
  <c r="J60" i="35" s="1"/>
  <c r="I59" i="35"/>
  <c r="J59" i="35" s="1"/>
  <c r="H35" i="35"/>
  <c r="G33" i="35"/>
  <c r="I35" i="35"/>
  <c r="J35" i="35" s="1"/>
  <c r="F24" i="35"/>
  <c r="I16" i="34"/>
  <c r="J16" i="34" s="1"/>
  <c r="F37" i="34"/>
  <c r="F23" i="34"/>
  <c r="I12" i="34"/>
  <c r="J12" i="34" s="1"/>
  <c r="G35" i="34"/>
  <c r="I35" i="34" s="1"/>
  <c r="J35" i="34" s="1"/>
  <c r="H30" i="34"/>
  <c r="H55" i="34"/>
  <c r="G56" i="34"/>
  <c r="H56" i="34" s="1"/>
  <c r="G23" i="34"/>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F25" i="35" l="1"/>
  <c r="H60" i="35"/>
  <c r="H33" i="35"/>
  <c r="I33" i="35"/>
  <c r="J33" i="35" s="1"/>
  <c r="G24" i="34"/>
  <c r="H24" i="34" s="1"/>
  <c r="H23" i="34"/>
  <c r="F24" i="34"/>
  <c r="I24" i="34" s="1"/>
  <c r="J24" i="34" s="1"/>
  <c r="I23" i="34"/>
  <c r="J23" i="34" s="1"/>
  <c r="G37" i="34"/>
  <c r="H37" i="34" s="1"/>
  <c r="H35" i="34"/>
  <c r="I56" i="34"/>
  <c r="J56" i="34" s="1"/>
  <c r="F24" i="33"/>
  <c r="F25" i="33" s="1"/>
  <c r="F40" i="33"/>
  <c r="H59" i="33"/>
  <c r="G60" i="33"/>
  <c r="F60" i="33"/>
  <c r="I59" i="33"/>
  <c r="J59" i="33" s="1"/>
  <c r="D24" i="14"/>
  <c r="F56" i="14"/>
  <c r="F23" i="14"/>
  <c r="I61" i="13"/>
  <c r="I60" i="13" s="1"/>
  <c r="I14" i="13" s="1"/>
  <c r="I37" i="34" l="1"/>
  <c r="J37" i="34" s="1"/>
  <c r="I60" i="33"/>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G13" i="33"/>
  <c r="I12" i="35"/>
  <c r="J12" i="35" s="1"/>
  <c r="G13" i="35"/>
  <c r="H12" i="35"/>
  <c r="G32" i="35"/>
  <c r="H67" i="13"/>
  <c r="H146" i="13"/>
  <c r="H61" i="13" s="1"/>
  <c r="H60" i="13" s="1"/>
  <c r="H13" i="35" l="1"/>
  <c r="I13" i="35"/>
  <c r="J13" i="35" s="1"/>
  <c r="G24" i="35"/>
  <c r="G38" i="35"/>
  <c r="I32" i="35"/>
  <c r="J32" i="35" s="1"/>
  <c r="H32" i="35"/>
  <c r="I13" i="33"/>
  <c r="J13" i="33" s="1"/>
  <c r="H13" i="33"/>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G40" i="35" l="1"/>
  <c r="H38" i="35"/>
  <c r="I38" i="35"/>
  <c r="J38" i="35" s="1"/>
  <c r="H24" i="35"/>
  <c r="G25" i="35"/>
  <c r="I24" i="35"/>
  <c r="J24" i="35" s="1"/>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H25" i="35" l="1"/>
  <c r="I25" i="35"/>
  <c r="J25" i="35" s="1"/>
  <c r="I40" i="35"/>
  <c r="J40" i="35" s="1"/>
  <c r="H40" i="35"/>
  <c r="AV239" i="13"/>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142" i="16" l="1"/>
  <c r="G15" i="33" a="1"/>
  <c r="G15" i="33" s="1"/>
  <c r="G14" i="33"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5" i="33" l="1"/>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7" i="33" l="1"/>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I24" i="33" l="1"/>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G40" i="33" l="1"/>
  <c r="H38" i="33"/>
  <c r="I38" i="33"/>
  <c r="J38" i="33" s="1"/>
  <c r="H25" i="33"/>
  <c r="I25" i="33"/>
  <c r="J25" i="33" s="1"/>
  <c r="F17" i="13"/>
  <c r="F141" i="13"/>
  <c r="AU141" i="13" s="1"/>
  <c r="AV142" i="13"/>
  <c r="AW142" i="13" s="1"/>
  <c r="F146" i="13"/>
  <c r="F62" i="13"/>
  <c r="AU62" i="13" s="1"/>
  <c r="AV63" i="13"/>
  <c r="AW63" i="13" s="1"/>
  <c r="H40" i="33" l="1"/>
  <c r="I40" i="33"/>
  <c r="J40" i="33" s="1"/>
  <c r="F16" i="13"/>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<sst xmlns="http://schemas.openxmlformats.org/spreadsheetml/2006/main" count="22561" uniqueCount="5597">
  <si>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</si>
  <si>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</si>
  <si>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</si>
  <si>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</si>
  <si>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</si>
  <si>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</si>
  <si>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</si>
  <si>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</si>
  <si>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</si>
  <si>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</si>
  <si>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</si>
  <si>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</si>
  <si>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</si>
  <si>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</si>
  <si>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</si>
  <si>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</si>
  <si>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</si>
  <si>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</si>
  <si>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</si>
  <si>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</si>
  <si>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</si>
  <si>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</si>
  <si>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</si>
  <si>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</si>
  <si>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</si>
  <si>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</si>
  <si>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</si>
  <si>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</si>
  <si>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</si>
  <si>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</si>
  <si>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</si>
  <si>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</si>
  <si>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</si>
  <si>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</si>
  <si>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</si>
  <si>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</si>
  <si>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</si>
  <si>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</si>
  <si>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</si>
  <si>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</si>
  <si>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</si>
  <si>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</si>
  <si>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</si>
  <si>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</si>
  <si>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</si>
  <si>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</si>
  <si>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</si>
  <si>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</si>
  <si>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</si>
  <si>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</si>
  <si>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</si>
  <si>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</si>
  <si>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</si>
  <si>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</si>
  <si>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</si>
  <si>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</si>
  <si>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</si>
  <si>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</si>
  <si>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</si>
  <si>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</si>
  <si>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</si>
  <si>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</si>
  <si>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</si>
  <si>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</si>
  <si>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</si>
  <si>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</si>
  <si>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</si>
  <si>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</si>
  <si>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</si>
  <si>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</si>
  <si>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</si>
  <si>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</si>
  <si>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</si>
  <si>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</si>
  <si>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</si>
  <si>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</si>
  <si>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</si>
  <si>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</si>
  <si>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</si>
  <si>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</si>
  <si>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</si>
  <si>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</si>
  <si>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</si>
  <si>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</si>
  <si>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</si>
  <si>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</si>
  <si>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</si>
  <si>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</si>
  <si>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</si>
  <si>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</si>
  <si>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</si>
  <si>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</si>
  <si>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</si>
  <si>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</si>
  <si>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</si>
  <si>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</si>
  <si>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</si>
  <si>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</si>
  <si>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</si>
  <si>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</si>
  <si>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</si>
  <si>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</si>
  <si>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</si>
  <si>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</si>
  <si>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</si>
  <si>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</si>
  <si>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</si>
  <si>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</si>
  <si>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</si>
  <si>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</si>
  <si>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</si>
  <si>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</si>
  <si>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</si>
  <si>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</si>
  <si>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</si>
  <si>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</si>
  <si>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</si>
  <si>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</si>
  <si>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</si>
  <si>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</si>
  <si>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</si>
  <si>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</si>
  <si>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</si>
  <si>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</si>
  <si>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</si>
  <si>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</si>
  <si>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</si>
  <si>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</si>
  <si>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</si>
  <si>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</si>
  <si>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</si>
  <si>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</si>
  <si>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</si>
  <si>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</si>
  <si>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</si>
  <si>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</si>
  <si>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</si>
  <si>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</si>
  <si>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</si>
  <si>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</si>
  <si>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</si>
  <si>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</si>
  <si>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</si>
  <si>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</si>
  <si>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</si>
  <si>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</si>
  <si>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</si>
  <si>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</si>
  <si>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</si>
  <si>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</si>
  <si>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</si>
  <si>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</si>
  <si>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</si>
  <si>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</si>
  <si>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</si>
  <si>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</si>
  <si>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</si>
  <si>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</si>
  <si>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</si>
  <si>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</si>
  <si>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</si>
  <si>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</si>
  <si>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</si>
  <si>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</si>
  <si>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</si>
  <si>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</si>
  <si>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</si>
  <si>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</si>
  <si>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</si>
  <si>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</si>
  <si>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</si>
  <si>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</si>
  <si>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</si>
  <si>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</si>
  <si>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</si>
  <si>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</si>
  <si>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</si>
  <si>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</si>
  <si>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</si>
  <si>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</si>
  <si>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</si>
  <si>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</si>
  <si>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</si>
  <si>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</si>
  <si>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</si>
  <si>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</si>
  <si>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</si>
  <si>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</si>
  <si>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</si>
  <si>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</si>
  <si>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</si>
  <si>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</si>
  <si>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</si>
  <si>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</si>
  <si>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</si>
  <si>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</si>
  <si>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</si>
  <si>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</si>
  <si>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</si>
  <si>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</si>
  <si>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</si>
  <si>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</si>
  <si>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</si>
  <si>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</si>
  <si>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</si>
  <si>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</si>
  <si>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</si>
  <si>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</si>
  <si>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</si>
  <si>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</si>
  <si>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</si>
  <si>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</si>
  <si>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</si>
  <si>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</si>
  <si>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</si>
  <si>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</si>
  <si>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</si>
  <si>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</si>
  <si>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</si>
  <si>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</si>
  <si>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</si>
  <si>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</si>
  <si>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</si>
  <si>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</si>
  <si>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</si>
  <si>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</si>
  <si>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</si>
  <si>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</si>
  <si>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</si>
  <si>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</si>
  <si>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</si>
  <si>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</si>
  <si>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</si>
  <si>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</si>
  <si>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</si>
  <si>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</si>
  <si>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</si>
  <si>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</si>
  <si>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</si>
  <si>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</si>
  <si>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</si>
  <si>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</si>
  <si>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</si>
  <si>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</si>
  <si>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</si>
  <si>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</si>
  <si>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</si>
  <si>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</si>
  <si>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</si>
  <si>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</si>
  <si>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</si>
  <si>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</si>
  <si>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</si>
  <si>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</si>
  <si>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</si>
  <si>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</si>
  <si>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</si>
  <si>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</si>
  <si>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</si>
  <si>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</si>
  <si>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</si>
  <si>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</si>
  <si>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</si>
  <si>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</si>
  <si>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</si>
  <si>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</si>
  <si>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</si>
  <si>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</si>
  <si>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</si>
  <si>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</si>
  <si>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</si>
  <si>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</si>
  <si>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</si>
  <si>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</si>
  <si>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</si>
  <si>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</si>
  <si>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</si>
  <si>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</si>
  <si>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</si>
  <si>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</si>
  <si>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</si>
  <si>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</si>
  <si>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</si>
  <si>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</si>
  <si>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</si>
  <si>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</si>
  <si>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</si>
  <si>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</si>
  <si>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</si>
  <si>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</si>
  <si>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</si>
  <si>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</si>
  <si>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</si>
  <si>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</si>
  <si>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</si>
  <si>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</si>
  <si>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</si>
  <si>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</si>
  <si>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</si>
  <si>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</si>
  <si>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</si>
  <si>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</si>
  <si>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</si>
  <si>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</si>
  <si>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</si>
  <si>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</si>
  <si>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</si>
  <si>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</si>
  <si>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</si>
  <si>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</si>
  <si>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</si>
  <si>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</si>
  <si>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</si>
  <si>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</si>
  <si>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</si>
  <si>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</si>
  <si>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</si>
  <si>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</si>
  <si>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</si>
  <si>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</si>
  <si>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</si>
  <si>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</si>
  <si>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</si>
  <si>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</si>
  <si>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</si>
  <si>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</si>
  <si>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</si>
  <si>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</si>
  <si>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</si>
  <si>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</si>
  <si>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</si>
  <si>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</si>
  <si>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</si>
  <si>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</si>
  <si>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</si>
  <si>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</si>
  <si>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</si>
  <si>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</si>
  <si>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</si>
  <si>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</si>
  <si>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</si>
  <si>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</si>
  <si>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</si>
  <si>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</si>
  <si>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</si>
  <si>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</si>
  <si>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</si>
  <si>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</si>
  <si>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</si>
  <si>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</si>
  <si>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</si>
  <si>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</si>
  <si>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</si>
  <si>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</si>
  <si>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</si>
  <si>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</si>
  <si>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</si>
  <si>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</si>
  <si>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</si>
  <si>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</si>
  <si>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</si>
  <si>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</si>
  <si>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</si>
  <si>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</si>
  <si>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</si>
  <si>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</si>
  <si>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</si>
  <si>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</si>
  <si>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</si>
  <si>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</si>
  <si>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</si>
  <si>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</si>
  <si>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</si>
  <si>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</si>
  <si>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</si>
  <si>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</si>
  <si>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</si>
  <si>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</si>
  <si>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</si>
  <si>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</si>
  <si>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</si>
  <si>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</si>
  <si>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</si>
  <si>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</si>
  <si>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</si>
  <si>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</si>
  <si>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</si>
  <si>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</si>
  <si>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</si>
  <si>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</si>
  <si>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</si>
  <si>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</si>
  <si>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</si>
  <si>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</si>
  <si>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</si>
  <si>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</si>
  <si>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</si>
  <si>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</si>
  <si>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</si>
  <si>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</si>
  <si>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</si>
  <si>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</si>
  <si>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</si>
  <si>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</si>
  <si>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</si>
  <si>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</si>
  <si>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</si>
  <si>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</si>
  <si>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</si>
  <si>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</si>
  <si>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</si>
  <si>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</si>
  <si>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</si>
  <si>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</si>
  <si>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</si>
  <si>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</si>
  <si>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</si>
  <si>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</si>
  <si>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</si>
  <si>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</si>
  <si>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</si>
  <si>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</si>
  <si>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</si>
  <si>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</si>
  <si>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</si>
  <si>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</si>
  <si>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</si>
  <si>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</si>
  <si>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</si>
  <si>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</si>
  <si>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</si>
  <si>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</si>
  <si>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</si>
  <si>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</si>
  <si>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</si>
  <si>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</si>
  <si>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</si>
  <si>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</si>
  <si>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</si>
  <si>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</si>
  <si>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</si>
  <si>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</si>
  <si>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</si>
  <si>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</si>
  <si>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</si>
  <si>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</si>
  <si>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</si>
  <si>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</si>
  <si>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</si>
  <si>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</si>
  <si>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</si>
  <si>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</si>
  <si>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</si>
  <si>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</si>
  <si>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</si>
  <si>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</si>
  <si>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</si>
  <si>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</si>
  <si>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</si>
  <si>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</si>
  <si>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</si>
  <si>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</si>
  <si>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</si>
  <si>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</si>
  <si>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</si>
  <si>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</si>
  <si>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</si>
  <si>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</si>
  <si>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</si>
  <si>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</si>
  <si>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</si>
  <si>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</si>
  <si>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</si>
  <si>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</si>
  <si>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</si>
  <si>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</si>
  <si>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</si>
  <si>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</si>
  <si>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</si>
  <si>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</si>
  <si>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</si>
  <si>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</si>
  <si>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</si>
  <si>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</si>
  <si>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</si>
  <si>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</si>
  <si>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</si>
  <si>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</si>
  <si>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</si>
  <si>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</si>
  <si>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</si>
  <si>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</si>
  <si>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</si>
  <si>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</si>
  <si>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</si>
  <si>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</si>
  <si>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</si>
  <si>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</si>
  <si>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</si>
  <si>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</si>
  <si>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</si>
  <si>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</si>
  <si>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</si>
  <si>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</si>
  <si>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</si>
  <si>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</si>
  <si>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</si>
  <si>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</si>
  <si>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</si>
  <si>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</si>
  <si>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</si>
  <si>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</si>
  <si>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</si>
  <si>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</si>
  <si>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</si>
  <si>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</si>
  <si>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</si>
  <si>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</si>
  <si>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</si>
  <si>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</si>
  <si>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</si>
  <si>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</si>
  <si>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</si>
  <si>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</si>
  <si>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</si>
  <si>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</si>
  <si>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</si>
  <si>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</si>
  <si>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</si>
  <si>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</si>
  <si>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</si>
  <si>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</si>
  <si>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</si>
  <si>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</si>
  <si>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</si>
  <si>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</si>
  <si>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</si>
  <si>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</si>
  <si>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</si>
  <si>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</si>
  <si>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</si>
  <si>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</si>
  <si>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</si>
  <si>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</si>
  <si>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</si>
  <si>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</si>
  <si>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</si>
  <si>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</si>
  <si>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</si>
  <si>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</si>
  <si>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</si>
  <si>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</si>
  <si>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</si>
  <si>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</si>
  <si>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</si>
  <si>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</si>
  <si>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</si>
  <si>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</si>
  <si>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</si>
  <si>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</si>
  <si>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</si>
  <si>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</si>
  <si>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</si>
  <si>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</si>
  <si>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</si>
  <si>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</si>
  <si>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</si>
  <si>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</si>
  <si>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</si>
  <si>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</si>
  <si>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</si>
  <si>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</si>
  <si>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</si>
  <si>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</si>
  <si>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</si>
  <si>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</si>
  <si>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</si>
  <si>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</si>
  <si>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</si>
  <si>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</si>
  <si>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</si>
  <si>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</si>
  <si>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</si>
  <si>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</si>
  <si>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</si>
  <si>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</si>
  <si>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</si>
  <si>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</si>
  <si>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</si>
  <si>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</si>
  <si>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</si>
  <si>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</si>
  <si>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</si>
  <si>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</si>
  <si>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</si>
  <si>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</si>
  <si>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</si>
  <si>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</si>
  <si>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</si>
  <si>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</si>
  <si>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</si>
  <si>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</si>
  <si>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</si>
  <si>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</si>
  <si>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</si>
  <si>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</si>
  <si>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</si>
  <si>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</si>
  <si>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</si>
  <si>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</si>
  <si>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</si>
  <si>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</si>
  <si>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</si>
  <si>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</si>
  <si>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</si>
  <si>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</si>
  <si>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</si>
  <si>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</si>
  <si>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</si>
  <si>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</si>
  <si>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</si>
  <si>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</si>
  <si>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</si>
  <si>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</si>
  <si>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</si>
  <si>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</si>
  <si>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</si>
  <si>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</si>
  <si>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</si>
  <si>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</si>
  <si>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</si>
  <si>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</si>
  <si>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</si>
  <si>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</si>
  <si>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</si>
  <si>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</si>
  <si>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</si>
  <si>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</si>
  <si>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</si>
  <si>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</si>
  <si>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</si>
  <si>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</si>
  <si>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</si>
  <si>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</si>
  <si>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</si>
  <si>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</si>
  <si>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</si>
  <si>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</si>
  <si>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</si>
  <si>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</si>
  <si>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</si>
  <si>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</si>
  <si>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</si>
  <si>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</si>
  <si>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</si>
  <si>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</si>
  <si>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</si>
  <si>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</si>
  <si>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</si>
  <si>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</si>
  <si>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</si>
  <si>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</si>
  <si>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</si>
  <si>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</si>
  <si>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</si>
  <si>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</si>
  <si>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</si>
  <si>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</si>
  <si>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</si>
  <si>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</si>
  <si>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</si>
  <si>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</si>
  <si>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</si>
  <si>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</si>
  <si>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</si>
  <si>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</si>
  <si>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</si>
  <si>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</si>
  <si>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</si>
  <si>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</si>
  <si>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</si>
  <si>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</si>
  <si>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</si>
  <si>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</si>
  <si>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</si>
  <si>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</si>
  <si>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</si>
  <si>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</si>
  <si>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</si>
  <si>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</si>
  <si>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</si>
  <si>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</si>
  <si>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</si>
  <si>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</si>
  <si>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</si>
  <si>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</si>
  <si>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</si>
  <si>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</si>
  <si>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</si>
  <si>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</si>
  <si>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</si>
  <si>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</si>
  <si>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</si>
  <si>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</si>
  <si>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</si>
  <si>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</si>
  <si>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</si>
  <si>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</si>
  <si>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</si>
  <si>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</si>
  <si>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</si>
  <si>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</si>
  <si>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</si>
  <si>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</si>
  <si>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</si>
  <si>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</si>
  <si>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</si>
  <si>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</si>
  <si>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</si>
  <si>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</si>
  <si>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</si>
  <si>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</si>
  <si>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</si>
  <si>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</si>
  <si>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</si>
  <si>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</si>
  <si>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</si>
  <si>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</si>
  <si>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</si>
  <si>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</si>
  <si>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</si>
  <si>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</si>
  <si>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</si>
  <si>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</si>
  <si>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</si>
  <si>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</si>
  <si>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</si>
  <si>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</si>
  <si>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</si>
  <si>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</si>
  <si>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</si>
  <si>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</si>
  <si>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</si>
  <si>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</si>
  <si>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</si>
  <si>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</si>
  <si>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</si>
  <si>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</si>
  <si>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</si>
  <si>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</si>
  <si>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</si>
  <si>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</si>
  <si>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</si>
  <si>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</si>
  <si>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</si>
  <si>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</si>
  <si>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</si>
  <si>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</si>
  <si>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</si>
  <si>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</si>
  <si>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</si>
  <si>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</si>
  <si>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</si>
  <si>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</si>
  <si>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</si>
  <si>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</si>
  <si>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</si>
  <si>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</si>
  <si>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</si>
  <si>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</si>
  <si>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</si>
  <si>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</si>
  <si>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</si>
  <si>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</si>
  <si>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</si>
  <si>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</si>
  <si>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</si>
  <si>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</si>
  <si>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</si>
  <si>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</si>
  <si>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</si>
  <si>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</si>
  <si>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</si>
  <si>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</si>
  <si>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</si>
  <si>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</si>
  <si>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</si>
  <si>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</si>
  <si>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</si>
  <si>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</si>
  <si>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</si>
  <si>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</si>
  <si>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</si>
  <si>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</si>
  <si>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</si>
  <si>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</si>
  <si>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</si>
  <si>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</si>
  <si>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</si>
  <si>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</si>
  <si>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</si>
  <si>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</si>
  <si>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</si>
  <si>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</si>
  <si>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</si>
  <si>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</si>
  <si>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</si>
  <si>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</si>
  <si>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</si>
  <si>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</si>
  <si>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</si>
  <si>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</si>
  <si>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</si>
  <si>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</si>
  <si>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</si>
  <si>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</si>
  <si>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</si>
  <si>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</si>
  <si>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</si>
  <si>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</si>
  <si>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</si>
  <si>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</si>
  <si>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</si>
  <si>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</si>
  <si>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</si>
  <si>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</si>
  <si>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</si>
  <si>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</si>
  <si>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</si>
  <si>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</si>
  <si>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</si>
  <si>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</si>
  <si>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</si>
  <si>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</si>
  <si>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</si>
  <si>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</si>
  <si>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</si>
  <si>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</si>
  <si>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</si>
  <si>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</si>
  <si>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</si>
  <si>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</si>
  <si>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</si>
  <si>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</si>
  <si>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</si>
  <si>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</si>
  <si>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</si>
  <si>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</si>
  <si>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</si>
  <si>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</si>
  <si>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</si>
  <si>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</si>
  <si>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</si>
  <si>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</si>
  <si>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</si>
  <si>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</si>
  <si>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</si>
  <si>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</si>
  <si>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</si>
  <si>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</si>
  <si>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</si>
  <si>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</si>
  <si>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</si>
  <si>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</si>
  <si>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</si>
  <si>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</si>
  <si>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</si>
  <si>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</si>
  <si>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</si>
  <si>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</si>
  <si>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</si>
  <si>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</si>
  <si>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</si>
  <si>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</si>
  <si>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</si>
  <si>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</si>
  <si>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</si>
  <si>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</si>
  <si>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</si>
  <si>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</si>
  <si>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</si>
  <si>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</si>
  <si>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</si>
  <si>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</si>
  <si>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</si>
  <si>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</si>
  <si>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</si>
  <si>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</si>
  <si>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</si>
  <si>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</si>
  <si>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</si>
  <si>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</si>
  <si>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</si>
  <si>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</si>
  <si>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</si>
  <si>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</si>
  <si>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</si>
  <si>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</si>
  <si>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</si>
  <si>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</si>
  <si>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</si>
  <si>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</si>
  <si>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</si>
  <si>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</si>
  <si>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</si>
  <si>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</si>
  <si>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</si>
  <si>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</si>
  <si>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</si>
  <si>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</si>
  <si>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</si>
  <si>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</si>
  <si>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</si>
  <si>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</si>
  <si>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</si>
  <si>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</si>
  <si>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</si>
  <si>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</si>
  <si>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</si>
  <si>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</si>
  <si>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</si>
  <si>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</si>
  <si>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</si>
  <si>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</si>
  <si>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</si>
  <si>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</si>
  <si>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</si>
  <si>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</si>
  <si>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</si>
  <si>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</si>
  <si>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</si>
  <si>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</si>
  <si>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</si>
  <si>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</si>
  <si>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</si>
  <si>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</si>
  <si>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</si>
  <si>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</si>
  <si>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</si>
  <si>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</si>
  <si>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</si>
  <si>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</si>
  <si>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</si>
  <si>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</si>
  <si>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</si>
  <si>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</si>
  <si>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</si>
  <si>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</si>
  <si>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</si>
  <si>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</si>
  <si>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</si>
  <si>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</si>
  <si>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</si>
  <si>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</si>
  <si>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</si>
  <si>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</si>
  <si>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</si>
  <si>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</si>
  <si>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</si>
  <si>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</si>
  <si>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</si>
  <si>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</si>
  <si>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</si>
  <si>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</si>
  <si>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</si>
  <si>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</si>
  <si>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</si>
  <si>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</si>
  <si>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</si>
  <si>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</si>
  <si>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</si>
  <si>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</si>
  <si>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</si>
  <si>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</si>
  <si>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</si>
  <si>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</si>
  <si>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</si>
  <si>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</si>
  <si>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</si>
  <si>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</si>
  <si>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</si>
  <si>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</si>
  <si>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</si>
  <si>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</si>
  <si>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</si>
  <si>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</si>
  <si>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</si>
  <si>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</si>
  <si>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</si>
  <si>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</si>
  <si>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</si>
  <si>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</si>
  <si>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</si>
  <si>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</si>
  <si>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</si>
  <si>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</si>
  <si>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</si>
  <si>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</si>
  <si>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</si>
  <si>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</si>
  <si>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</si>
  <si>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</si>
  <si>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</si>
  <si>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</si>
  <si>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</si>
  <si>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</si>
  <si>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</si>
  <si>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</si>
  <si>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</si>
  <si>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</si>
  <si>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</si>
  <si>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</si>
  <si>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</si>
  <si>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</si>
  <si>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</si>
  <si>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</si>
  <si>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</si>
  <si>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</si>
  <si>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</si>
  <si>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</si>
  <si>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</si>
  <si>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</si>
  <si>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</si>
  <si>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</si>
  <si>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</si>
  <si>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</si>
  <si>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</si>
  <si>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</si>
  <si>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</si>
  <si>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</si>
  <si>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</si>
  <si>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</si>
  <si>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</si>
  <si>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</si>
  <si>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</si>
  <si>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</si>
  <si>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</si>
  <si>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</si>
  <si>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</si>
  <si>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</si>
  <si>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</si>
  <si>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</si>
  <si>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</si>
  <si>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</si>
  <si>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</si>
  <si>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</si>
  <si>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</si>
  <si>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</si>
  <si>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</si>
  <si>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</si>
  <si>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</si>
  <si>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</si>
  <si>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</si>
  <si>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</si>
  <si>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</si>
  <si>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</si>
  <si>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</si>
  <si>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</si>
  <si>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</si>
  <si>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</si>
  <si>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</si>
  <si>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</si>
  <si>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</si>
  <si>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</si>
  <si>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</si>
  <si>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</si>
  <si>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</si>
  <si>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</si>
  <si>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</si>
  <si>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</si>
  <si>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</si>
  <si>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</si>
  <si>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</si>
  <si>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</si>
  <si>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</si>
  <si>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</si>
  <si>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</si>
  <si>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</si>
  <si>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</si>
  <si>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</si>
  <si>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</si>
  <si>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</si>
  <si>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</si>
  <si>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</si>
  <si>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</si>
  <si>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</si>
  <si>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</si>
  <si>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</si>
  <si>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</si>
  <si>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</si>
  <si>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</si>
  <si>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</si>
  <si>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</si>
  <si>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</si>
  <si>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</si>
  <si>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</si>
  <si>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</si>
  <si>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</si>
  <si>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</si>
  <si>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</si>
  <si>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</si>
  <si>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</si>
  <si>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</si>
  <si>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</si>
  <si>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</si>
  <si>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</si>
  <si>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</si>
  <si>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</si>
  <si>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</si>
  <si>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</si>
  <si>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</si>
  <si>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</si>
  <si>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</si>
  <si>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</si>
  <si>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</si>
  <si>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</si>
  <si>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</si>
  <si>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</si>
  <si>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</si>
  <si>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</si>
  <si>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</si>
  <si>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</si>
  <si>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</si>
  <si>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</si>
  <si>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</si>
  <si>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</si>
  <si>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</si>
  <si>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</si>
  <si>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</si>
  <si>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</si>
  <si>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</si>
  <si>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</si>
  <si>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</si>
  <si>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</si>
  <si>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</si>
  <si>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</si>
  <si>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</si>
  <si>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</si>
  <si>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</si>
  <si>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</si>
  <si>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</si>
  <si>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</si>
  <si>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</si>
  <si>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</si>
  <si>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</si>
  <si>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</si>
  <si>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</si>
  <si>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</si>
  <si>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</si>
  <si>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</si>
  <si>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</si>
  <si>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</si>
  <si>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</si>
  <si>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</si>
  <si>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</si>
  <si>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</si>
  <si>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</si>
  <si>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</si>
  <si>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</si>
  <si>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</si>
  <si>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</si>
  <si>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</si>
  <si>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</si>
  <si>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</si>
  <si>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</si>
  <si>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</si>
  <si>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</si>
  <si>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</si>
  <si>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</si>
  <si>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</si>
  <si>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</si>
  <si>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</si>
  <si>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</si>
  <si>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</si>
  <si>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</si>
  <si>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</si>
  <si>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</si>
  <si>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</si>
  <si>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</si>
  <si>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</si>
  <si>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</si>
  <si>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</si>
  <si>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</si>
  <si>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</si>
  <si>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</si>
  <si>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</si>
  <si>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</si>
  <si>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</si>
  <si>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</si>
  <si>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</si>
  <si>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</si>
  <si>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</si>
  <si>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</si>
  <si>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</si>
  <si>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</si>
  <si>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</si>
  <si>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</si>
  <si>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</si>
  <si>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</si>
  <si>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</si>
  <si>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</si>
  <si>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</si>
  <si>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</si>
  <si>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</si>
  <si>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</si>
  <si>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</si>
  <si>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</si>
  <si>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</si>
  <si>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</si>
  <si>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</si>
  <si>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</si>
  <si>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</si>
  <si>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</si>
  <si>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</si>
  <si>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</si>
  <si>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</si>
  <si>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</si>
  <si>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</si>
  <si>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</si>
  <si>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</si>
  <si>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</si>
  <si>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</si>
  <si>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</si>
  <si>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</si>
  <si>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</si>
  <si>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</si>
  <si>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</si>
  <si>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</si>
  <si>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</si>
  <si>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</si>
  <si>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</si>
  <si>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</si>
  <si>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</si>
  <si>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</si>
  <si>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</si>
  <si>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</si>
  <si>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</si>
  <si>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</si>
  <si>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</si>
  <si>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</si>
  <si>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</si>
  <si>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</si>
  <si>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</si>
  <si>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</si>
  <si>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</si>
  <si>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</si>
  <si>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</si>
  <si>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</si>
  <si>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</si>
  <si>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</si>
  <si>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</si>
  <si>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</si>
  <si>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</si>
  <si>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</si>
  <si>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</si>
  <si>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</si>
  <si>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</si>
  <si>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</si>
  <si>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</si>
  <si>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</si>
  <si>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</si>
  <si>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</si>
  <si>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</si>
  <si>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</si>
  <si>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</si>
  <si>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</si>
  <si>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</si>
  <si>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</si>
  <si>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</si>
  <si>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</si>
  <si>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</si>
  <si>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</si>
  <si>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</si>
  <si>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</si>
  <si>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</si>
  <si>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</si>
  <si>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</si>
  <si>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</si>
  <si>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</si>
  <si>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</si>
  <si>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</si>
  <si>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</si>
  <si>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</si>
  <si>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</si>
  <si>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</si>
  <si>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</si>
  <si>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</si>
  <si>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</si>
  <si>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</si>
  <si>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</si>
  <si>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</si>
  <si>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</si>
  <si>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</si>
  <si>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</si>
  <si>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</si>
  <si>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</si>
  <si>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</si>
  <si>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</si>
  <si>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</si>
  <si>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</si>
  <si>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</si>
  <si>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</si>
  <si>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</si>
  <si>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</si>
  <si>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</si>
  <si>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</si>
  <si>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</si>
  <si>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</si>
  <si>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</si>
  <si>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</si>
  <si>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</si>
  <si>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</si>
  <si>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</si>
  <si>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</si>
  <si>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</si>
  <si>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</si>
  <si>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</si>
  <si>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</si>
  <si>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</si>
  <si>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</si>
  <si>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</si>
  <si>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</si>
  <si>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</si>
  <si>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</si>
  <si>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</si>
  <si>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</si>
  <si>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</si>
  <si>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</si>
  <si>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</si>
  <si>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</si>
  <si>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</si>
  <si>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</si>
  <si>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</si>
  <si>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</si>
  <si>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</si>
  <si>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</si>
  <si>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</si>
  <si>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</si>
  <si>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</si>
  <si>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</si>
  <si>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</si>
  <si>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</si>
  <si>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</si>
  <si>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</si>
  <si>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</si>
  <si>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</si>
  <si>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</si>
  <si>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</si>
  <si>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</si>
  <si>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</si>
  <si>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</si>
  <si>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</si>
  <si>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</si>
  <si>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</si>
  <si>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</si>
  <si>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</si>
  <si>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</si>
  <si>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</si>
  <si>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</si>
  <si>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</si>
  <si>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</si>
  <si>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</si>
  <si>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</si>
  <si>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</si>
  <si>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</si>
  <si>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</si>
  <si>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</si>
  <si>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</si>
  <si>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</si>
  <si>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</si>
  <si>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</si>
  <si>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</si>
  <si>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</si>
  <si>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</si>
  <si>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</si>
  <si>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</si>
  <si>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</si>
  <si>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</si>
  <si>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</si>
  <si>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</si>
  <si>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</si>
  <si>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</si>
  <si>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</si>
  <si>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</si>
  <si>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</si>
  <si>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</si>
  <si>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</si>
  <si>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</si>
  <si>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</si>
  <si>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</si>
  <si>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</si>
  <si>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</si>
  <si>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</si>
  <si>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</si>
  <si>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</si>
  <si>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</si>
  <si>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</si>
  <si>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</si>
  <si>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</si>
  <si>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</si>
  <si>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</si>
  <si>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</si>
  <si>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</si>
  <si>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</si>
  <si>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</si>
  <si>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</si>
  <si>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</si>
  <si>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</si>
  <si>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</si>
  <si>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</si>
  <si>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</si>
  <si>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</si>
  <si>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</si>
  <si>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</si>
  <si>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</si>
  <si>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</si>
  <si>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</si>
  <si>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</si>
  <si>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</si>
  <si>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</si>
  <si>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</si>
  <si>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</si>
  <si>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</si>
  <si>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</si>
  <si>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</si>
  <si>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</si>
  <si>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</si>
  <si>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</si>
  <si>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</si>
  <si>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</si>
  <si>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</si>
  <si>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</si>
  <si>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</si>
  <si>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</si>
  <si>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</si>
  <si>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</si>
  <si>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</si>
  <si>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</si>
  <si>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</si>
  <si>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</si>
  <si>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</si>
  <si>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</si>
  <si>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</si>
  <si>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</si>
  <si>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</si>
  <si>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</si>
  <si>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</si>
  <si>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</si>
  <si>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</si>
  <si>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</si>
  <si>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</si>
  <si>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</si>
  <si>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</si>
  <si>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</si>
  <si>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</si>
  <si>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</si>
  <si>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</si>
  <si>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</si>
  <si>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</si>
  <si>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</si>
  <si>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</si>
  <si>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</si>
  <si>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</si>
  <si>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</si>
  <si>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</si>
  <si>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</si>
  <si>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</si>
  <si>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</si>
  <si>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</si>
  <si>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</si>
  <si>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</si>
  <si>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</si>
  <si>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</si>
  <si>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</si>
  <si>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</si>
  <si>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</si>
  <si>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</si>
  <si>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</si>
  <si>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</si>
  <si>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</si>
  <si>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</si>
  <si>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</si>
  <si>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</si>
  <si>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</si>
  <si>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</si>
  <si>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</si>
  <si>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</si>
  <si>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</si>
  <si>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</si>
  <si>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</si>
  <si>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</si>
  <si>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</si>
  <si>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</si>
  <si>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</si>
  <si>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</si>
  <si>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</si>
  <si>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</si>
  <si>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</si>
  <si>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</si>
  <si>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</si>
  <si>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</si>
  <si>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</si>
  <si>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</si>
  <si>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</si>
  <si>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</si>
  <si>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</si>
  <si>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</si>
  <si>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</si>
  <si>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</si>
  <si>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</si>
  <si>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</si>
  <si>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</si>
  <si>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</si>
  <si>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</si>
  <si>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</si>
  <si>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</si>
  <si>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</si>
  <si>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</si>
  <si>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</si>
  <si>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</si>
  <si>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</si>
  <si>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</si>
  <si>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</si>
  <si>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</si>
  <si>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</si>
  <si>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</si>
  <si>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</si>
  <si>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</si>
  <si>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</si>
  <si>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</si>
  <si>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</si>
  <si>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</si>
  <si>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</si>
  <si>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</si>
  <si>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</si>
  <si>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</si>
  <si>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</si>
  <si>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</si>
  <si>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</si>
  <si>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</si>
  <si>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</si>
  <si>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</si>
  <si>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</si>
  <si>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</si>
  <si>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</si>
  <si>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</si>
  <si>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</si>
  <si>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</si>
  <si>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</si>
  <si>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</si>
  <si>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</si>
  <si>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</si>
  <si>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</si>
  <si>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</si>
  <si>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</si>
  <si>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</si>
  <si>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</si>
  <si>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</si>
  <si>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</si>
  <si>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</si>
  <si>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</si>
  <si>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</si>
  <si>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</si>
  <si>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</si>
  <si>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</si>
  <si>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</si>
  <si>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</si>
  <si>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</si>
  <si>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</si>
  <si>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</si>
  <si>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</si>
  <si>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</si>
  <si>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</si>
  <si>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</si>
  <si>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</si>
  <si>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</si>
  <si>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</si>
  <si>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</si>
  <si>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</si>
  <si>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</si>
  <si>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</si>
  <si>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</si>
  <si>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</si>
  <si>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</si>
  <si>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</si>
  <si>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</si>
  <si>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</si>
  <si>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</si>
  <si>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</si>
  <si>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</si>
  <si>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</si>
  <si>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</si>
  <si>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</si>
  <si>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</si>
  <si>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</si>
  <si>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</si>
  <si>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</si>
  <si>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</si>
  <si>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</si>
  <si>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</si>
  <si>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</si>
  <si>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</si>
  <si>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</si>
  <si>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</si>
  <si>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</si>
  <si>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</si>
  <si>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</si>
  <si>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</si>
  <si>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</si>
  <si>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</si>
  <si>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</si>
  <si>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</si>
  <si>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</si>
  <si>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</si>
  <si>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</si>
  <si>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</si>
  <si>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</si>
  <si>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</si>
  <si>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</si>
  <si>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</si>
  <si>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</si>
  <si>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</si>
  <si>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</si>
  <si>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</si>
  <si>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</si>
  <si>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</si>
  <si>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</si>
  <si>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</si>
  <si>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</si>
  <si>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</si>
  <si>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</si>
  <si>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</si>
  <si>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</si>
  <si>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</si>
  <si>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</si>
  <si>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</si>
  <si>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</si>
  <si>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</si>
  <si>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</si>
  <si>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</si>
  <si>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</si>
  <si>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</si>
  <si>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</si>
  <si>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</si>
  <si>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</si>
  <si>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</si>
  <si>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</si>
  <si>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</si>
  <si>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</si>
  <si>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</si>
  <si>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</si>
  <si>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</si>
  <si>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</si>
  <si>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</si>
  <si>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</si>
  <si>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</si>
  <si>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</si>
  <si>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</si>
  <si>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</si>
  <si>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</si>
  <si>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</si>
  <si>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</si>
  <si>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</si>
  <si>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</si>
  <si>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</si>
  <si>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</si>
  <si>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</si>
  <si>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</si>
  <si>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</si>
  <si>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</si>
  <si>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</si>
  <si>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</si>
  <si>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</si>
  <si>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</si>
  <si>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</si>
  <si>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</si>
  <si>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</si>
  <si>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</si>
  <si>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</si>
  <si>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</si>
  <si>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</si>
  <si>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</si>
  <si>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</si>
  <si>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</si>
  <si>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</si>
  <si>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</si>
  <si>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</si>
  <si>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</si>
  <si>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</si>
  <si>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</si>
  <si>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</si>
  <si>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</si>
  <si>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</si>
  <si>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</si>
  <si>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</si>
  <si>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</si>
  <si>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</si>
  <si>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</si>
  <si>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</si>
  <si>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</si>
  <si>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</si>
  <si>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</si>
  <si>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</si>
  <si>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</si>
  <si>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</si>
  <si>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</si>
  <si>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</si>
  <si>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</si>
  <si>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</si>
  <si>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</si>
  <si>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</si>
  <si>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</si>
  <si>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</si>
  <si>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</si>
  <si>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</si>
  <si>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</si>
  <si>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</si>
  <si>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</si>
  <si>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</si>
  <si>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</si>
  <si>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</si>
  <si>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</si>
  <si>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</si>
  <si>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</si>
  <si>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</si>
  <si>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</si>
  <si>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</si>
  <si>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</si>
  <si>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</si>
  <si>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</si>
  <si>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</si>
  <si>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</si>
  <si>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</si>
  <si>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</si>
  <si>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</si>
  <si>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</si>
  <si>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</si>
  <si>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</si>
  <si>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</si>
  <si>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</si>
  <si>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</si>
  <si>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</si>
  <si>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</si>
  <si>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</si>
  <si>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</si>
  <si>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</si>
  <si>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</si>
  <si>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</si>
  <si>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</si>
  <si>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</si>
  <si>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</si>
  <si>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</si>
  <si>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</si>
  <si>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</si>
  <si>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</si>
  <si>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</si>
  <si>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</si>
  <si>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</si>
  <si>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</si>
  <si>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</si>
  <si>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</si>
  <si>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</si>
  <si>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</si>
  <si>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</si>
  <si>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</si>
  <si>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</si>
  <si>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</si>
  <si>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</si>
  <si>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</si>
  <si>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</si>
  <si>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</si>
  <si>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</si>
  <si>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</si>
  <si>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</si>
  <si>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</si>
  <si>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</si>
  <si>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</si>
  <si>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</si>
  <si>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</si>
  <si>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</si>
  <si>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</si>
  <si>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</si>
  <si>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</si>
  <si>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</si>
  <si>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</si>
  <si>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</si>
  <si>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</si>
  <si>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</si>
  <si>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</si>
  <si>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</si>
  <si>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</si>
  <si>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</si>
  <si>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</si>
  <si>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</si>
  <si>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</si>
  <si>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</si>
  <si>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</si>
  <si>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</si>
  <si>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</si>
  <si>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</si>
  <si>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</si>
  <si>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</si>
  <si>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</si>
  <si>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</si>
  <si>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</si>
  <si>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</si>
  <si>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</si>
  <si>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</si>
  <si>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</si>
  <si>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</si>
  <si>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</si>
  <si>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</si>
  <si>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</si>
  <si>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</si>
  <si>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</si>
  <si>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</si>
  <si>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</si>
  <si>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</si>
  <si>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</si>
  <si>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</si>
  <si>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</si>
  <si>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</si>
  <si>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</si>
  <si>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</si>
  <si>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</si>
  <si>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</si>
  <si>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</si>
  <si>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</si>
  <si>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</si>
  <si>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</si>
  <si>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</si>
  <si>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</si>
  <si>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</si>
  <si>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</si>
  <si>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</si>
  <si>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</si>
  <si>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</si>
  <si>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</si>
  <si>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</si>
  <si>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</si>
  <si>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</si>
  <si>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</si>
  <si>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</si>
  <si>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</si>
  <si>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</si>
  <si>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</si>
  <si>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</si>
  <si>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</si>
  <si>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</si>
  <si>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</si>
  <si>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</si>
  <si>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</si>
  <si>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</si>
  <si>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</si>
  <si>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</si>
  <si>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</si>
  <si>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</si>
  <si>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</si>
  <si>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</si>
  <si>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</si>
  <si>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</si>
  <si>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</si>
  <si>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</si>
  <si>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</si>
  <si>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</si>
  <si>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</si>
  <si>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</si>
  <si>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</si>
  <si>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</si>
  <si>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</si>
  <si>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</si>
  <si>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</si>
  <si>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</si>
  <si>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</si>
  <si>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</si>
  <si>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</si>
  <si>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</si>
  <si>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</si>
  <si>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</si>
  <si>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</si>
  <si>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</si>
  <si>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</si>
  <si>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</si>
  <si>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</si>
  <si>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</si>
  <si>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</si>
  <si>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</si>
  <si>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</si>
  <si>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</si>
  <si>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</si>
  <si>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</si>
  <si>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</si>
  <si>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</si>
  <si>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</si>
  <si>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</si>
  <si>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</si>
  <si>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</si>
  <si>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</si>
  <si>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</si>
  <si>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</si>
  <si>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</si>
  <si>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</si>
  <si>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</si>
  <si>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</si>
  <si>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</si>
  <si>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</si>
  <si>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</si>
  <si>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</si>
  <si>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</si>
  <si>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</si>
  <si>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</si>
  <si>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</si>
  <si>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</si>
  <si>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</si>
  <si>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</si>
  <si>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</si>
  <si>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</si>
  <si>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</si>
  <si>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</si>
  <si>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</si>
  <si>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</si>
  <si>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</si>
  <si>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</si>
  <si>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</si>
  <si>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</si>
  <si>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</si>
  <si>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</si>
  <si>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</si>
  <si>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</si>
  <si>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</si>
  <si>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</si>
  <si>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</si>
  <si>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</si>
  <si>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</si>
  <si>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</si>
  <si>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</si>
  <si>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</si>
  <si>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</si>
  <si>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</si>
  <si>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</si>
  <si>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</si>
  <si>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</si>
  <si>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</si>
  <si>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</si>
  <si>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</si>
  <si>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</si>
  <si>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</si>
  <si>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</si>
  <si>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</si>
  <si>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</si>
  <si>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</si>
  <si>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</si>
  <si>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</si>
  <si>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</si>
  <si>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</si>
  <si>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</si>
  <si>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</si>
  <si>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</si>
  <si>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</si>
  <si>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</si>
  <si>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</si>
  <si>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</si>
  <si>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</si>
  <si>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</si>
  <si>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</si>
  <si>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</si>
  <si>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</si>
  <si>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</si>
  <si>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</si>
  <si>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</si>
  <si>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</si>
  <si>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</si>
  <si>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</si>
  <si>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</si>
  <si>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</si>
  <si>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</si>
  <si>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</si>
  <si>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</si>
  <si>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</si>
  <si>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</si>
  <si>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</si>
  <si>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</si>
  <si>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</si>
  <si>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</si>
  <si>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</si>
  <si>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</si>
  <si>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</si>
  <si>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</si>
  <si>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</si>
  <si>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</si>
  <si>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</si>
  <si>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</si>
  <si>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</si>
  <si>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</si>
  <si>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</si>
  <si>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</si>
  <si>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</si>
  <si>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</si>
  <si>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</si>
  <si>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</si>
  <si>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</si>
  <si>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</si>
  <si>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</si>
  <si>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</si>
  <si>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</si>
  <si>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</si>
  <si>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</si>
  <si>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</si>
  <si>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</si>
  <si>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</si>
  <si>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</si>
  <si>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</si>
  <si>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</si>
  <si>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</si>
  <si>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</si>
  <si>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</si>
  <si>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</si>
  <si>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</si>
  <si>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</si>
  <si>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</si>
  <si>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</si>
  <si>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</si>
  <si>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</si>
  <si>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</si>
  <si>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</si>
  <si>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</si>
  <si>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</si>
  <si>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</si>
  <si>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</si>
  <si>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</si>
  <si>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</si>
  <si>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</si>
  <si>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</si>
  <si>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</si>
  <si>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</si>
  <si>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</si>
  <si>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</si>
  <si>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</si>
  <si>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</si>
  <si>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</si>
  <si>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</si>
  <si>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</si>
  <si>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</si>
  <si>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</si>
  <si>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</si>
  <si>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</si>
  <si>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</si>
  <si>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</si>
  <si>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</si>
  <si>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</si>
  <si>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</si>
  <si>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</si>
  <si>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</si>
  <si>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</si>
  <si>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</si>
  <si>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</si>
  <si>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</si>
  <si>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</si>
  <si>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</si>
  <si>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</si>
  <si>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</si>
  <si>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</si>
  <si>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</si>
  <si>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</si>
  <si>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</si>
  <si>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</si>
  <si>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</si>
  <si>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</si>
  <si>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</si>
  <si>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</si>
  <si>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</si>
  <si>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</si>
  <si>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</si>
  <si>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</si>
  <si>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</si>
  <si>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</si>
  <si>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</si>
  <si>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</si>
  <si>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</si>
  <si>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</si>
  <si>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</si>
  <si>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</si>
  <si>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</si>
  <si>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</si>
  <si>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</si>
  <si>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</si>
  <si>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</si>
  <si>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</si>
  <si>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</si>
  <si>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</si>
  <si>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</si>
  <si>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</si>
  <si>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</si>
  <si>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</si>
  <si>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</si>
  <si>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</si>
  <si>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</si>
  <si>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</si>
  <si>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</si>
  <si>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</si>
  <si>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</si>
  <si>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</si>
  <si>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</si>
  <si>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</si>
  <si>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</si>
  <si>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</si>
  <si>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</si>
  <si>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</si>
  <si>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</si>
  <si>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</si>
  <si>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</si>
  <si>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</si>
  <si>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</si>
  <si>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</si>
  <si>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</si>
  <si>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</si>
  <si>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</si>
  <si>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</si>
  <si>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</si>
  <si>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</si>
  <si>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</si>
  <si>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</si>
  <si>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</si>
  <si>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</si>
  <si>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</si>
  <si>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</si>
  <si>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</si>
  <si>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</si>
  <si>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</si>
  <si>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</si>
  <si>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</si>
  <si>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</si>
  <si>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</si>
  <si>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</si>
  <si>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</si>
  <si>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</si>
  <si>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</si>
  <si>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</si>
  <si>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</si>
  <si>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</si>
  <si>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</si>
  <si>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</si>
  <si>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</si>
  <si>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</si>
  <si>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</si>
  <si>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</si>
  <si>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</si>
  <si>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</si>
  <si>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</si>
  <si>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</si>
  <si>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</si>
  <si>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</si>
  <si>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</si>
  <si>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</si>
  <si>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</si>
  <si>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</si>
  <si>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</si>
  <si>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</si>
  <si>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</si>
  <si>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</si>
  <si>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</si>
  <si>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</si>
  <si>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</si>
  <si>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</si>
  <si>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</si>
  <si>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</si>
  <si>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</si>
  <si>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</si>
  <si>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</si>
  <si>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</si>
  <si>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</si>
  <si>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</si>
  <si>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</si>
  <si>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</si>
  <si>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</si>
  <si>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</si>
  <si>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</si>
  <si>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</si>
  <si>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</si>
  <si>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</si>
  <si>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</si>
  <si>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</si>
  <si>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</si>
  <si>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</si>
  <si>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</si>
  <si>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</si>
  <si>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</si>
  <si>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</si>
  <si>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</si>
  <si>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</si>
  <si>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</si>
  <si>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</si>
  <si>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</si>
  <si>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</si>
  <si>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</si>
  <si>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</si>
  <si>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</si>
  <si>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</si>
  <si>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</si>
  <si>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</si>
  <si>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</si>
  <si>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</si>
  <si>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</si>
  <si>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</si>
  <si>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</si>
  <si>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</si>
  <si>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</si>
  <si>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</si>
  <si>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</si>
  <si>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</si>
  <si>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</si>
  <si>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</si>
  <si>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</si>
  <si>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</si>
  <si>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</si>
  <si>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</si>
  <si>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</si>
  <si>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</si>
  <si>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</si>
  <si>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</si>
  <si>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</si>
  <si>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</si>
  <si>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</si>
  <si>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</si>
  <si>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</si>
  <si>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</si>
  <si>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</si>
  <si>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</si>
  <si>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</si>
  <si>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</si>
  <si>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</si>
  <si>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</si>
  <si>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</si>
  <si>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</si>
  <si>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</si>
  <si>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</si>
  <si>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</si>
  <si>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</si>
  <si>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</si>
  <si>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</si>
  <si>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</si>
  <si>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</si>
  <si>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</si>
  <si>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</si>
  <si>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</si>
  <si>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</si>
  <si>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</si>
  <si>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</si>
  <si>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</si>
  <si>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</si>
  <si>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</si>
  <si>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</si>
  <si>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</si>
  <si>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</si>
  <si>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</si>
  <si>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</si>
  <si>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</si>
  <si>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</si>
  <si>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</si>
  <si>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</si>
  <si>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</si>
  <si>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</si>
  <si>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</si>
  <si>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</si>
  <si>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</si>
  <si>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</si>
  <si>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</si>
  <si>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</si>
  <si>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</si>
  <si>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</si>
  <si>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</si>
  <si>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</si>
  <si>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</si>
  <si>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</si>
  <si>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</si>
  <si>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</si>
  <si>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</si>
  <si>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</si>
  <si>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</si>
  <si>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</si>
  <si>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</si>
  <si>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</si>
  <si>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</si>
  <si>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</si>
  <si>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</si>
  <si>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</si>
  <si>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</si>
  <si>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</si>
  <si>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</si>
  <si>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</si>
  <si>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</si>
  <si>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</si>
  <si>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</si>
  <si>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</si>
  <si>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</si>
  <si>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</si>
  <si>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</si>
  <si>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</si>
  <si>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</si>
  <si>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</si>
  <si>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</si>
  <si>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</si>
  <si>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</si>
  <si>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</si>
  <si>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</si>
  <si>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</si>
  <si>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</si>
  <si>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</si>
  <si>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</si>
  <si>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</si>
  <si>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</si>
  <si>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</si>
  <si>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</si>
  <si>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</si>
  <si>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</si>
  <si>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</si>
  <si>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</si>
  <si>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</si>
  <si>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</si>
  <si>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</si>
  <si>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</si>
  <si>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</si>
  <si>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</si>
  <si>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</si>
  <si>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</si>
  <si>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</si>
  <si>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</si>
  <si>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</si>
  <si>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</si>
  <si>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</si>
  <si>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</si>
  <si>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</si>
  <si>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</si>
  <si>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</si>
  <si>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</si>
  <si>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</si>
  <si>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</si>
  <si>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</si>
  <si>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</si>
  <si>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</si>
  <si>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</si>
  <si>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</si>
  <si>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</si>
  <si>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</si>
  <si>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</si>
  <si>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</si>
  <si>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</si>
  <si>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</si>
  <si>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</si>
  <si>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</si>
  <si>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</si>
  <si>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</si>
  <si>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</si>
  <si>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</si>
  <si>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</si>
  <si>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</si>
  <si>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</si>
  <si>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</si>
  <si>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</si>
  <si>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</si>
  <si>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</si>
  <si>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</si>
  <si>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</si>
  <si>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</si>
  <si>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</si>
  <si>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</si>
  <si>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</si>
  <si>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</si>
  <si>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</si>
  <si>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</si>
  <si>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</si>
  <si>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</si>
  <si>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</si>
  <si>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</si>
  <si>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</si>
  <si>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</si>
  <si>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</si>
  <si>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</si>
  <si>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</si>
  <si>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</si>
  <si>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</si>
  <si>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</si>
  <si>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</si>
  <si>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</si>
  <si>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</si>
  <si>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</si>
  <si>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</si>
  <si>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</si>
  <si>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</si>
  <si>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</si>
  <si>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</si>
  <si>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</si>
  <si>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</si>
  <si>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</si>
  <si>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</si>
  <si>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</si>
  <si>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</si>
  <si>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</si>
  <si>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</si>
  <si>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</si>
  <si>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</si>
  <si>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</si>
  <si>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</si>
  <si>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</si>
  <si>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</si>
  <si>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</si>
  <si>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</si>
  <si>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</si>
  <si>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</si>
  <si>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</si>
  <si>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</si>
  <si>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</si>
  <si>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</si>
  <si>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</si>
  <si>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</si>
  <si>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</si>
  <si>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</si>
  <si>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</si>
  <si>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</si>
  <si>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</si>
  <si>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</si>
  <si>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</si>
  <si>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</si>
  <si>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</si>
  <si>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</si>
  <si>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</si>
  <si>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</si>
  <si>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</si>
  <si>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</si>
  <si>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</si>
  <si>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</si>
  <si>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</si>
  <si>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</si>
  <si>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</si>
  <si>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</si>
  <si>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</si>
  <si>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</si>
  <si>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</si>
  <si>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</si>
  <si>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</si>
  <si>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</si>
  <si>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</si>
  <si>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</si>
  <si>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</si>
  <si>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</si>
  <si>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</si>
  <si>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</si>
  <si>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</si>
  <si>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</si>
  <si>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</si>
  <si>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</si>
  <si>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</si>
  <si>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</si>
  <si>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</si>
  <si>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</si>
  <si>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</si>
  <si>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</si>
  <si>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</si>
  <si>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</si>
  <si>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</si>
  <si>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</si>
  <si>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</si>
  <si>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</si>
  <si>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</si>
  <si>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</si>
  <si>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</si>
  <si>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</si>
  <si>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</si>
  <si>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</si>
  <si>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</si>
  <si>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</si>
  <si>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</si>
  <si>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</si>
  <si>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</si>
  <si>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</si>
  <si>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</si>
  <si>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</si>
  <si>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</si>
  <si>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</si>
  <si>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</si>
  <si>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</si>
  <si>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</si>
  <si>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</si>
  <si>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</si>
  <si>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</si>
  <si>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</si>
  <si>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</si>
  <si>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</si>
  <si>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</si>
  <si>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</si>
  <si>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</si>
  <si>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</si>
  <si>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</si>
  <si>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</si>
  <si>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</si>
  <si>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</si>
  <si>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</si>
  <si>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</si>
  <si>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</si>
  <si>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</si>
  <si>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</si>
  <si>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</si>
  <si>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</si>
  <si>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</si>
  <si>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</si>
  <si>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</si>
  <si>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</si>
  <si>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</si>
  <si>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</si>
  <si>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</si>
  <si>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</si>
  <si>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</si>
  <si>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</si>
  <si>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</si>
  <si>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</si>
  <si>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</si>
  <si>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</si>
  <si>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</si>
  <si>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</si>
  <si>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</si>
  <si>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</si>
  <si>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</si>
  <si>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</si>
  <si>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</si>
  <si>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</si>
  <si>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</si>
  <si>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</si>
  <si>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</si>
  <si>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</si>
  <si>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</si>
  <si>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</si>
  <si>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</si>
  <si>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</si>
  <si>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</si>
  <si>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</si>
  <si>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</si>
  <si>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</si>
  <si>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</si>
  <si>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</si>
  <si>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</si>
  <si>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</si>
  <si>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</si>
  <si>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</si>
  <si>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</si>
  <si>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</si>
  <si>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</si>
  <si>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</si>
  <si>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</si>
  <si>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</si>
  <si>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</si>
  <si>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</si>
  <si>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</si>
  <si>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</si>
  <si>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</si>
  <si>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</si>
  <si>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</si>
  <si>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</si>
  <si>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</si>
  <si>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</si>
  <si>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</si>
  <si>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</si>
  <si>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</si>
  <si>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</si>
  <si>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</si>
  <si>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</si>
  <si>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</si>
  <si>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</si>
  <si>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</si>
  <si>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</si>
  <si>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</si>
  <si>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</si>
  <si>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</si>
  <si>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</si>
  <si>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</si>
  <si>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</si>
  <si>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</si>
  <si>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</si>
  <si>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</si>
  <si>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</si>
  <si>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</si>
  <si>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</si>
  <si>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</si>
  <si>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</si>
  <si>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</si>
  <si>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</si>
  <si>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</si>
  <si>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</si>
  <si>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</si>
  <si>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</si>
  <si>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</si>
  <si>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</si>
  <si>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</si>
  <si>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</si>
  <si>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</si>
  <si>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</si>
  <si>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</si>
  <si>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</si>
  <si>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</si>
  <si>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</si>
  <si>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</si>
  <si>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</si>
  <si>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</si>
  <si>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</si>
  <si>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</si>
  <si>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</si>
  <si>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</si>
  <si>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</si>
  <si>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</si>
  <si>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</si>
  <si>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</si>
  <si>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</si>
  <si>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</si>
  <si>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</si>
  <si>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</si>
  <si>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</si>
  <si>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</si>
  <si>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</si>
  <si>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</si>
  <si>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</si>
  <si>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</si>
  <si>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</si>
  <si>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</si>
  <si>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</si>
  <si>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</si>
  <si>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</si>
  <si>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</si>
  <si>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</si>
  <si>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</si>
  <si>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</si>
  <si>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</si>
  <si>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</si>
  <si>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</si>
  <si>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</si>
  <si>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</si>
  <si>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</si>
  <si>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</si>
  <si>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</si>
  <si>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</si>
  <si>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</si>
  <si>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</si>
  <si>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</si>
  <si>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</si>
  <si>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</si>
  <si>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</si>
  <si>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</si>
  <si>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</si>
  <si>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</si>
  <si>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</si>
  <si>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</si>
  <si>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</si>
  <si>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</si>
  <si>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</si>
  <si>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</si>
  <si>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</si>
  <si>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</si>
  <si>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</si>
  <si>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</si>
  <si>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</si>
  <si>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</si>
  <si>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</si>
  <si>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</si>
  <si>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</si>
  <si>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</si>
  <si>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</si>
  <si>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</si>
  <si>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</si>
  <si>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</si>
  <si>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</si>
  <si>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</si>
  <si>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</si>
  <si>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</si>
  <si>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</si>
  <si>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</si>
  <si>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</si>
  <si>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</si>
  <si>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</si>
  <si>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</si>
  <si>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</si>
  <si>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</si>
  <si>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</si>
  <si>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</si>
  <si>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</si>
  <si>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</si>
  <si>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</si>
  <si>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</si>
  <si>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</si>
  <si>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</si>
  <si>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</si>
  <si>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</si>
  <si>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</si>
  <si>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</si>
  <si>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</si>
  <si>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</si>
  <si>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</si>
  <si>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</si>
  <si>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</si>
  <si>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</si>
  <si>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</si>
  <si>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</si>
  <si>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</si>
  <si>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</si>
  <si>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</si>
  <si>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</si>
  <si>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</si>
  <si>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</si>
  <si>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</si>
  <si>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</si>
  <si>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</si>
  <si>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</si>
  <si>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</si>
  <si>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</si>
  <si>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</si>
  <si>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</si>
  <si>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</si>
  <si>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</si>
  <si>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</si>
  <si>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</si>
  <si>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</si>
  <si>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</si>
  <si>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</si>
  <si>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</si>
  <si>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</si>
  <si>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</si>
  <si>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</si>
  <si>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</si>
  <si>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</si>
  <si>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</si>
  <si>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</si>
  <si>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</si>
  <si>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</si>
  <si>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</si>
  <si>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</si>
  <si>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</si>
  <si>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</si>
  <si>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</si>
  <si>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</si>
  <si>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</si>
  <si>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</si>
  <si>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</si>
  <si>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</si>
  <si>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</si>
  <si>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</si>
  <si>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</si>
  <si>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</si>
  <si>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</si>
  <si>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</si>
  <si>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</si>
  <si>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</si>
  <si>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</si>
  <si>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</si>
  <si>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</si>
  <si>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</si>
  <si>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</si>
  <si>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</si>
  <si>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</si>
  <si>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</si>
  <si>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</si>
  <si>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</si>
  <si>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</si>
  <si>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</si>
  <si>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</si>
  <si>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</si>
  <si>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</si>
  <si>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</si>
  <si>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</si>
  <si>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</si>
  <si>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</si>
  <si>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</si>
  <si>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</si>
  <si>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</si>
  <si>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</si>
  <si>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</si>
  <si>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</si>
  <si>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</si>
  <si>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</si>
  <si>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</si>
  <si>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</si>
  <si>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</si>
  <si>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</si>
  <si>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</si>
  <si>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</si>
  <si>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</si>
  <si>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</si>
  <si>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</si>
  <si>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</si>
  <si>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</si>
  <si>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</si>
  <si>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</si>
  <si>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</si>
  <si>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</si>
  <si>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</si>
  <si>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</si>
  <si>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</si>
  <si>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</si>
  <si>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</si>
  <si>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</si>
  <si>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</si>
  <si>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</si>
  <si>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</si>
  <si>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</si>
  <si>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</si>
  <si>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</si>
  <si>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</si>
  <si>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</si>
  <si>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</si>
  <si>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</si>
  <si>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</si>
  <si>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</si>
  <si>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</si>
  <si>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</si>
  <si>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</si>
  <si>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</si>
  <si>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</si>
  <si>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</si>
  <si>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</si>
  <si>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</si>
  <si>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</si>
  <si>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</si>
  <si>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</si>
  <si>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</si>
  <si>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</si>
  <si>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</si>
  <si>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</si>
  <si>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</si>
  <si>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</si>
  <si>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</si>
  <si>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</si>
  <si>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</si>
  <si>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</si>
  <si>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</si>
  <si>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</si>
  <si>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</si>
  <si>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</si>
  <si>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</si>
  <si>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</si>
  <si>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</si>
  <si>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</si>
  <si>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</si>
  <si>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</si>
  <si>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</si>
  <si>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</si>
  <si>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</si>
  <si>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</si>
  <si>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</si>
  <si>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</si>
  <si>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</si>
  <si>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</si>
  <si>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</si>
  <si>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</si>
  <si>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</si>
  <si>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</si>
  <si>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</si>
  <si>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</si>
  <si>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</si>
  <si>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</si>
  <si>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</si>
  <si>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</si>
  <si>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</si>
  <si>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</si>
  <si>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</si>
  <si>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</si>
  <si>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</si>
  <si>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</si>
  <si>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</si>
  <si>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</si>
  <si>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</si>
  <si>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</si>
  <si>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</si>
  <si>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</si>
  <si>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</si>
  <si>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</si>
  <si>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</si>
  <si>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</si>
  <si>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</si>
  <si>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</si>
  <si>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</si>
  <si>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</si>
  <si>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</si>
  <si>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</si>
  <si>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</si>
  <si>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</si>
  <si>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</si>
  <si>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</si>
  <si>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</si>
  <si>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</si>
  <si>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</si>
  <si>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</si>
  <si>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</si>
  <si>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</si>
  <si>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</si>
  <si>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</si>
  <si>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</si>
  <si>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</si>
  <si>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</si>
  <si>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</si>
  <si>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</si>
  <si>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</si>
  <si>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</si>
  <si>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</si>
  <si>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</si>
  <si>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</si>
  <si>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</si>
  <si>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</si>
  <si>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</si>
  <si>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</si>
  <si>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</si>
  <si>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</si>
  <si>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</si>
  <si>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</si>
  <si>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</si>
  <si>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</si>
  <si>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</si>
  <si>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</si>
  <si>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</si>
  <si>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</si>
  <si>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</si>
  <si>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</si>
  <si>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</si>
  <si>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</si>
  <si>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</si>
  <si>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</si>
  <si>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</si>
  <si>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</si>
  <si>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</si>
  <si>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</si>
  <si>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</si>
  <si>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</si>
  <si>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</si>
  <si>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</si>
  <si>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</si>
  <si>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</si>
  <si>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</si>
  <si>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</si>
  <si>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</si>
  <si>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</si>
  <si>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</si>
  <si>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</si>
  <si>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</si>
  <si>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</si>
  <si>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</si>
  <si>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</si>
  <si>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</si>
  <si>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</si>
  <si>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</si>
  <si>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</si>
  <si>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</si>
  <si>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</si>
  <si>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</si>
  <si>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</si>
  <si>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</si>
  <si>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</si>
  <si>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</si>
  <si>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</si>
  <si>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</si>
  <si>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</si>
  <si>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</si>
  <si>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</si>
  <si>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</si>
  <si>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</si>
  <si>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</si>
  <si>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</si>
  <si>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</si>
  <si>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</si>
  <si>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</si>
  <si>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</si>
  <si>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</si>
  <si>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</si>
  <si>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</si>
  <si>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</si>
  <si>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</si>
  <si>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</si>
  <si>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</si>
  <si>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</si>
  <si>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</si>
  <si>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</si>
  <si>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</si>
  <si>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</si>
  <si>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</si>
  <si>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</si>
  <si>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</si>
  <si>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</si>
  <si>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</si>
  <si>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</si>
  <si>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</si>
  <si>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</si>
  <si>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</si>
  <si>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</si>
  <si>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</si>
  <si>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</si>
  <si>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</si>
  <si>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</si>
  <si>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</si>
  <si>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</si>
  <si>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</si>
  <si>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</si>
  <si>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</si>
  <si>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</si>
  <si>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</si>
  <si>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</si>
  <si>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</si>
  <si>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</si>
  <si>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</si>
  <si>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</si>
  <si>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</si>
  <si>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</si>
  <si>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</si>
  <si>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</si>
  <si>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</si>
  <si>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</si>
  <si>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</si>
  <si>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</si>
  <si>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</si>
  <si>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</si>
  <si>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</si>
  <si>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</si>
  <si>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</si>
  <si>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</si>
  <si>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</si>
  <si>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</si>
  <si>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</si>
  <si>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</si>
  <si>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</si>
  <si>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</si>
  <si>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</si>
  <si>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</si>
  <si>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</si>
  <si>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</si>
  <si>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</si>
  <si>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</si>
  <si>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</si>
  <si>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</si>
  <si>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</si>
  <si>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</si>
  <si>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</si>
  <si>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</si>
  <si>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</si>
  <si>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</si>
  <si>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</si>
  <si>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</si>
  <si>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</si>
  <si>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</si>
  <si>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</si>
  <si>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</si>
  <si>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</si>
  <si>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</si>
  <si>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</si>
  <si>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</si>
  <si>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</si>
  <si>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</si>
  <si>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</si>
  <si>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</si>
  <si>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</si>
  <si>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</si>
  <si>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</si>
  <si>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</si>
  <si>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</si>
  <si>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</si>
  <si>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</si>
  <si>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</si>
  <si>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</si>
  <si>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</si>
  <si>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</si>
  <si>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</si>
  <si>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</si>
  <si>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</si>
  <si>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</si>
  <si>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</si>
  <si>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</si>
  <si>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</si>
  <si>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</si>
  <si>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</si>
  <si>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</si>
  <si>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</si>
  <si>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</si>
  <si>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</si>
  <si>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</si>
  <si>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</si>
  <si>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</si>
  <si>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</si>
  <si>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</si>
  <si>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</si>
  <si>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</si>
  <si>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</si>
  <si>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</si>
  <si>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</si>
  <si>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</si>
  <si>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</si>
  <si>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</si>
  <si>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</si>
  <si>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</si>
  <si>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</si>
  <si>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</si>
  <si>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</si>
  <si>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</si>
  <si>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</si>
  <si>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</si>
  <si>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</si>
  <si>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</si>
  <si>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</si>
  <si>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</si>
  <si>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</si>
  <si>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</si>
  <si>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</si>
  <si>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</si>
  <si>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</si>
  <si>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</si>
  <si>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</si>
  <si>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</si>
  <si>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</si>
  <si>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</si>
  <si>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</si>
  <si>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</si>
  <si>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</si>
  <si>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</si>
  <si>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</si>
  <si>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</si>
  <si>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</si>
  <si>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</si>
  <si>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</si>
  <si>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</si>
  <si>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</si>
  <si>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</si>
  <si>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</si>
  <si>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</si>
  <si>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</si>
  <si>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</si>
  <si>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</si>
  <si>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</si>
  <si>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</si>
  <si>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</si>
  <si>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</si>
  <si>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</si>
  <si>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</si>
  <si>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</si>
  <si>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</si>
  <si>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</si>
  <si>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</si>
  <si>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</si>
  <si>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</si>
  <si>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</si>
  <si>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</si>
  <si>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</si>
  <si>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</si>
  <si>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</si>
  <si>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</si>
  <si>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</si>
  <si>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</si>
  <si>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</si>
  <si>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</si>
  <si>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</si>
  <si>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</si>
  <si>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</si>
  <si>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</si>
  <si>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</si>
  <si>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</si>
  <si>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</si>
  <si>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</si>
  <si>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</si>
  <si>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</si>
  <si>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</si>
  <si>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</si>
  <si>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</si>
  <si>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</si>
  <si>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</si>
  <si>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</si>
  <si>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</si>
  <si>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</si>
  <si>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</si>
  <si>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</si>
  <si>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</si>
  <si>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</si>
  <si>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</si>
  <si>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</si>
  <si>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</si>
  <si>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</si>
  <si>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</si>
  <si>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</si>
  <si>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</si>
  <si>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</si>
  <si>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</si>
  <si>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</si>
  <si>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</si>
  <si>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</si>
  <si>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</si>
  <si>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</si>
  <si>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</si>
  <si>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</si>
  <si>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</si>
  <si>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</si>
  <si>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</si>
  <si>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</si>
  <si>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</si>
  <si>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</si>
  <si>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</si>
  <si>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</si>
  <si>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</si>
  <si>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</si>
  <si>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</si>
  <si>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</si>
  <si>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</si>
  <si>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</si>
  <si>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</si>
  <si>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</si>
  <si>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</si>
  <si>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</si>
  <si>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</si>
  <si>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</si>
  <si>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</si>
  <si>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</si>
  <si>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</si>
  <si>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</si>
  <si>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</si>
  <si>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</si>
  <si>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</si>
  <si>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</si>
  <si>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</si>
  <si>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</si>
  <si>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</si>
  <si>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</si>
  <si>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</si>
  <si>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</si>
  <si>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</si>
  <si>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</si>
  <si>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</si>
  <si>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</si>
  <si>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</si>
  <si>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</si>
  <si>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</si>
  <si>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</si>
  <si>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</si>
  <si>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</si>
  <si>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</si>
  <si>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</si>
  <si>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</si>
  <si>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</si>
  <si>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</si>
  <si>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</si>
  <si>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</si>
  <si>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</si>
  <si>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</si>
  <si>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</si>
  <si>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</si>
  <si>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</si>
  <si>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</si>
  <si>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</si>
  <si>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</si>
  <si>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</si>
  <si>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</si>
  <si>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</si>
  <si>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</si>
  <si>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</si>
  <si>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</si>
  <si>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</si>
  <si>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</si>
  <si>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</si>
  <si>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</si>
  <si>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</si>
  <si>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</si>
  <si>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</si>
  <si>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</si>
  <si>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</si>
  <si>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</si>
  <si>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</si>
  <si>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</si>
  <si>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</si>
  <si>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</si>
  <si>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</si>
  <si>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</si>
  <si>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</si>
  <si>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</si>
  <si>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</si>
  <si>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</si>
  <si>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</si>
  <si>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</si>
  <si>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</si>
  <si>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</si>
  <si>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</si>
  <si>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</si>
  <si>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</si>
  <si>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</si>
  <si>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</si>
  <si>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</si>
  <si>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</si>
  <si>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</si>
  <si>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</si>
  <si>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</si>
  <si>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</si>
  <si>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</si>
  <si>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</si>
  <si>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</si>
  <si>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</si>
  <si>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</si>
  <si>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</si>
  <si>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</si>
  <si>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</si>
  <si>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</si>
  <si>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</si>
  <si>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</si>
  <si>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</si>
  <si>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</si>
  <si>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</si>
  <si>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</si>
  <si>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</si>
  <si>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</si>
  <si>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</si>
  <si>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</si>
  <si>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</si>
  <si>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</si>
  <si>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</si>
  <si>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</si>
  <si>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</si>
  <si>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</si>
  <si>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</si>
  <si>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</si>
  <si>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</si>
  <si>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</si>
  <si>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</si>
  <si>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</si>
  <si>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</si>
  <si>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</si>
  <si>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</si>
  <si>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</si>
  <si>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</si>
  <si>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</si>
  <si>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</si>
  <si>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</si>
  <si>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</si>
  <si>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</si>
  <si>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</si>
  <si>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</si>
  <si>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</si>
  <si>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</si>
  <si>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</si>
  <si>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</si>
  <si>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</si>
  <si>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</si>
  <si>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</si>
  <si>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</si>
  <si>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</si>
  <si>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</si>
  <si>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</si>
  <si>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</si>
  <si>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</si>
  <si>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</si>
  <si>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</si>
  <si>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</si>
  <si>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</si>
  <si>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</si>
  <si>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</si>
  <si>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</si>
  <si>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</si>
  <si>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</si>
  <si>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</si>
  <si>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</si>
  <si>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</si>
  <si>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</si>
  <si>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</si>
  <si>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</si>
  <si>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</si>
  <si>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</si>
  <si>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</si>
  <si>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</si>
  <si>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</si>
  <si>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</si>
  <si>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</si>
  <si>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</si>
  <si>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</si>
  <si>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</si>
  <si>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</si>
  <si>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</si>
  <si>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</si>
  <si>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</si>
  <si>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</si>
  <si>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</si>
  <si>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</si>
  <si>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</si>
  <si>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</si>
  <si>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</si>
  <si>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</si>
  <si>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</si>
  <si>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</si>
  <si>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</si>
  <si>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</si>
  <si>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</si>
  <si>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</si>
  <si>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</si>
  <si>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</si>
  <si>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</si>
  <si>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</si>
  <si>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</si>
  <si>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</si>
  <si>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</si>
  <si>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</si>
  <si>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</si>
  <si>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</si>
  <si>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</si>
  <si>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</si>
  <si>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</si>
  <si>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</si>
  <si>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</si>
  <si>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</si>
  <si>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</si>
  <si>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</si>
  <si>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</si>
  <si>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</si>
  <si>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</si>
  <si>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</si>
  <si>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</si>
  <si>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</si>
  <si>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</si>
  <si>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</si>
  <si>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</si>
  <si>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</si>
  <si>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</si>
  <si>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</si>
  <si>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</si>
  <si>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</si>
  <si>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</si>
  <si>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</si>
  <si>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</si>
  <si>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</si>
  <si>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</si>
  <si>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</si>
  <si>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</si>
  <si>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</si>
  <si>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</si>
  <si>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</si>
  <si>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</si>
  <si>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</si>
  <si>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</si>
  <si>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</si>
  <si>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</si>
  <si>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</si>
  <si>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</si>
  <si>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</si>
  <si>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</si>
  <si>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</si>
  <si>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</si>
  <si>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</si>
  <si>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</si>
  <si>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</si>
  <si>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</si>
  <si>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</si>
  <si>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</si>
  <si>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</si>
  <si>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</si>
  <si>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</si>
  <si>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</si>
  <si>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</si>
  <si>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</si>
  <si>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</si>
  <si>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</si>
  <si>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</si>
  <si>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</si>
  <si>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</si>
  <si>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</si>
  <si>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</si>
  <si>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</si>
  <si>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</si>
  <si>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</si>
  <si>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</si>
  <si>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</si>
  <si>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</si>
  <si>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</si>
  <si>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</si>
  <si>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</si>
  <si>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</si>
  <si>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</si>
  <si>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</si>
  <si>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</si>
  <si>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</si>
  <si>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</si>
  <si>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</si>
  <si>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</si>
  <si>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</si>
  <si>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</si>
  <si>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</si>
  <si>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</si>
  <si>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</si>
  <si>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</si>
  <si>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</si>
  <si>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</si>
  <si>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</si>
  <si>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</si>
  <si>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</si>
  <si>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</si>
  <si>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</si>
  <si>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</si>
  <si>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</si>
  <si>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</si>
  <si>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</si>
  <si>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</si>
  <si>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</si>
  <si>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</si>
  <si>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</si>
  <si>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</si>
  <si>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</si>
  <si>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</si>
  <si>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</si>
  <si>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</si>
  <si>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</si>
  <si>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</si>
  <si>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</si>
  <si>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</si>
  <si>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</si>
  <si>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</si>
  <si>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</si>
  <si>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</si>
  <si>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</si>
  <si>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</si>
  <si>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</si>
  <si>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</si>
  <si>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</si>
  <si>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</si>
  <si>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</si>
  <si>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</si>
  <si>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</si>
  <si>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</si>
  <si>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</si>
  <si>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</si>
  <si>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</si>
  <si>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</si>
  <si>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</si>
  <si>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</si>
  <si>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</si>
  <si>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</si>
  <si>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</si>
  <si>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</si>
  <si>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</si>
  <si>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</si>
  <si>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</si>
  <si>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</si>
  <si>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</si>
  <si>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</si>
  <si>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</si>
  <si>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</si>
  <si>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</si>
  <si>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</si>
  <si>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</si>
  <si>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</si>
  <si>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</si>
  <si>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</si>
  <si>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</si>
  <si>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</si>
  <si>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</si>
  <si>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</si>
  <si>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</si>
  <si>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</si>
  <si>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</si>
  <si>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</si>
  <si>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</si>
  <si>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</si>
  <si>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</si>
  <si>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</si>
  <si>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</si>
  <si>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</si>
  <si>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</si>
  <si>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</si>
  <si>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</si>
  <si>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</si>
  <si>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</si>
  <si>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</si>
  <si>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</si>
  <si>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</si>
  <si>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</si>
  <si>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</si>
  <si>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</si>
  <si>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</si>
  <si>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</si>
  <si>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</si>
  <si>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</si>
  <si>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</si>
  <si>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</si>
  <si>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</si>
  <si>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</si>
  <si>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</si>
  <si>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</si>
  <si>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</si>
  <si>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</si>
  <si>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</si>
  <si>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</si>
  <si>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</si>
  <si>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</si>
  <si>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</si>
  <si>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</si>
  <si>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</si>
  <si>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</si>
  <si>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</si>
  <si>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</si>
  <si>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</si>
  <si>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</si>
  <si>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</si>
  <si>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</si>
  <si>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</si>
  <si>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</si>
  <si>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</si>
  <si>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</si>
  <si>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</si>
  <si>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</si>
  <si>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</si>
  <si>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</si>
  <si>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</si>
  <si>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</si>
  <si>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</si>
  <si>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</si>
  <si>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</si>
  <si>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</si>
  <si>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</si>
  <si>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</si>
  <si>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</si>
  <si>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</si>
  <si>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</si>
  <si>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</si>
  <si>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</si>
  <si>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</si>
  <si>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</si>
  <si>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</si>
  <si>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</si>
  <si>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</si>
  <si>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</si>
  <si>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</si>
  <si>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</si>
  <si>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</si>
  <si>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</si>
  <si>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</si>
  <si>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</si>
  <si>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</si>
  <si>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</si>
  <si>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</si>
  <si>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</si>
  <si>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</si>
  <si>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</si>
  <si>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</si>
  <si>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</si>
  <si>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</si>
  <si>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</si>
  <si>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</si>
  <si>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</si>
  <si>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</si>
  <si>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</si>
  <si>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</si>
  <si>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</si>
  <si>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</si>
  <si>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</si>
  <si>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</si>
  <si>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</si>
  <si>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</si>
  <si>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</si>
  <si>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</si>
  <si>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</si>
  <si>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</si>
  <si>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</si>
  <si>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</si>
  <si>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</si>
  <si>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</si>
  <si>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</si>
  <si>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</si>
  <si>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</si>
  <si>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</si>
  <si>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</si>
  <si>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</si>
  <si>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</si>
  <si>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</si>
  <si>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</si>
  <si>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</si>
  <si>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</si>
  <si>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</si>
  <si>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</si>
  <si>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</si>
  <si>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</si>
  <si>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</si>
  <si>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</si>
  <si>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</si>
  <si>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</si>
  <si>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</si>
  <si>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</si>
  <si>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</si>
  <si>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</si>
  <si>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</si>
  <si>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</si>
  <si>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</si>
  <si>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</si>
  <si>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</si>
  <si>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</si>
  <si>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</si>
  <si>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</si>
  <si>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</si>
  <si>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</si>
  <si>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</si>
  <si>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</si>
  <si>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</si>
  <si>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</si>
  <si>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</si>
  <si>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</si>
  <si>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</si>
  <si>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</si>
  <si>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</si>
  <si>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</si>
  <si>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</si>
  <si>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</si>
  <si>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</si>
  <si>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</si>
  <si>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</si>
  <si>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</si>
  <si>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</si>
  <si>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</si>
  <si>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</si>
  <si>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</si>
  <si>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</si>
  <si>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</si>
  <si>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</si>
  <si>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</si>
  <si>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</si>
  <si>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</si>
  <si>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</si>
  <si>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</si>
  <si>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</si>
  <si>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</si>
  <si>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</si>
  <si>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</si>
  <si>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</si>
  <si>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</si>
  <si>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</si>
  <si>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</si>
  <si>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</si>
  <si>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</si>
  <si>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</si>
  <si>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</si>
  <si>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</si>
  <si>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</si>
  <si>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</si>
  <si>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</si>
  <si>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</si>
  <si>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</si>
  <si>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</si>
  <si>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</si>
  <si>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</si>
  <si>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</si>
  <si>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</si>
  <si>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</si>
  <si>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</si>
  <si>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</si>
  <si>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</si>
  <si>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</si>
  <si>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</si>
  <si>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</si>
  <si>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</si>
  <si>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</si>
  <si>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</si>
  <si>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</si>
  <si>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</si>
  <si>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</si>
  <si>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</si>
  <si>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</si>
  <si>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</si>
  <si>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</si>
  <si>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</si>
  <si>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</si>
  <si>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</si>
  <si>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</si>
  <si>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</si>
  <si>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</si>
  <si>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</si>
  <si>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</si>
  <si>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</si>
  <si>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</si>
  <si>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</si>
  <si>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</si>
  <si>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</si>
  <si>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</si>
  <si>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</si>
  <si>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</si>
  <si>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</si>
  <si>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</si>
  <si>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</si>
  <si>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</si>
  <si>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</si>
  <si>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</si>
  <si>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</si>
  <si>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</si>
  <si>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</si>
  <si>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</si>
  <si>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</si>
  <si>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</si>
  <si>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</si>
  <si>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</si>
  <si>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</si>
  <si>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</si>
  <si>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</si>
  <si>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</si>
  <si>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</si>
  <si>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</si>
  <si>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</si>
  <si>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</si>
  <si>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</si>
  <si>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</si>
  <si>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</si>
  <si>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</si>
  <si>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</si>
  <si>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</si>
  <si>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</si>
  <si>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</si>
  <si>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</si>
  <si>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</si>
  <si>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</si>
  <si>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</si>
  <si>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</si>
  <si>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</si>
  <si>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</si>
  <si>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</si>
  <si>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</si>
  <si>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</si>
  <si>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</si>
  <si>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</si>
  <si>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</si>
  <si>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</si>
  <si>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</si>
  <si>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</si>
  <si>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</si>
  <si>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</si>
  <si>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</si>
  <si>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</si>
  <si>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</si>
  <si>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</si>
  <si>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</si>
  <si>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</si>
  <si>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</si>
  <si>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</si>
  <si>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</si>
  <si>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</si>
  <si>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</si>
  <si>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</si>
  <si>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</si>
  <si>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</si>
  <si>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</si>
  <si>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</si>
  <si>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</si>
  <si>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</si>
  <si>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</si>
  <si>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</si>
  <si>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</si>
  <si>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</si>
  <si>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</si>
  <si>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</si>
  <si>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</si>
  <si>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</si>
  <si>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</si>
  <si>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</si>
  <si>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</si>
  <si>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</si>
  <si>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</si>
  <si>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</si>
  <si>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</si>
  <si>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</si>
  <si>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</si>
  <si>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</si>
  <si>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</si>
  <si>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</si>
  <si>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</si>
  <si>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</si>
  <si>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</si>
  <si>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</si>
  <si>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</si>
  <si>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</si>
  <si>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</si>
  <si>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</si>
  <si>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</si>
  <si>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</si>
  <si>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</si>
  <si>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</si>
  <si>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</si>
  <si>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</si>
  <si>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</si>
  <si>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</si>
  <si>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</si>
  <si>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</si>
  <si>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</si>
  <si>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</si>
  <si>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</si>
  <si>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</si>
  <si>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</si>
  <si>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</si>
  <si>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</si>
  <si>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</si>
  <si>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</si>
  <si>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</si>
  <si>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</si>
  <si>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</si>
  <si>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</si>
  <si>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</si>
  <si>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</si>
  <si>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</si>
  <si>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</si>
  <si>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</si>
  <si>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</si>
  <si>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</si>
  <si>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</si>
  <si>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</si>
  <si>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</si>
  <si>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</si>
  <si>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</si>
  <si>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</si>
  <si>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</si>
  <si>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</si>
  <si>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</si>
  <si>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</si>
  <si>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</si>
  <si>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</si>
  <si>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</si>
  <si>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</si>
  <si>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</si>
  <si>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</si>
  <si>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</si>
  <si>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</si>
  <si>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</si>
  <si>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</si>
  <si>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</si>
  <si>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</si>
  <si>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</si>
  <si>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</si>
  <si>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</si>
  <si>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</si>
  <si>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</si>
  <si>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</si>
  <si>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</si>
  <si>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</si>
  <si>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</si>
  <si>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</si>
  <si>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</si>
  <si>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</si>
  <si>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</si>
  <si>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</si>
  <si>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</si>
  <si>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</si>
  <si>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</si>
  <si>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</si>
  <si>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</si>
  <si>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</si>
  <si>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</si>
  <si>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</si>
  <si>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</si>
  <si>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</si>
  <si>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</si>
  <si>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</si>
  <si>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</si>
  <si>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</si>
  <si>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</si>
  <si>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</si>
  <si>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</si>
  <si>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</si>
  <si>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</si>
  <si>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</si>
  <si>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</si>
  <si>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</si>
  <si>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</si>
  <si>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</si>
  <si>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</si>
  <si>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</si>
  <si>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</si>
  <si>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</si>
  <si>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</si>
  <si>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</si>
  <si>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</si>
  <si>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</si>
  <si>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</si>
  <si>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</si>
  <si>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</si>
  <si>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</si>
  <si>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</si>
  <si>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</si>
  <si>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</si>
  <si>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</si>
  <si>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</si>
  <si>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</si>
  <si>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</si>
  <si>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</si>
  <si>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</si>
  <si>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</si>
  <si>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</si>
  <si>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</si>
  <si>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</si>
  <si>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</si>
  <si>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</si>
  <si>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</si>
  <si>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</si>
  <si>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</si>
  <si>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</si>
  <si>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</si>
  <si>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</si>
  <si>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</si>
  <si>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</si>
  <si>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</si>
  <si>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</si>
  <si>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</si>
  <si>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</si>
  <si>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</si>
  <si>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</si>
  <si>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</si>
  <si>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</si>
  <si>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</si>
  <si>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</si>
  <si>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</si>
  <si>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</si>
  <si>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</si>
  <si>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</si>
  <si>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</si>
  <si>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</si>
  <si>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</si>
  <si>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</si>
  <si>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</si>
  <si>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</si>
  <si>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</si>
  <si>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</si>
  <si>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</si>
  <si>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</si>
  <si>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</si>
  <si>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</si>
  <si>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</si>
  <si>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</si>
  <si>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</si>
  <si>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</si>
  <si>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</si>
  <si>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</si>
  <si>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</si>
  <si>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</si>
  <si>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</si>
  <si>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</si>
  <si>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</si>
  <si>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</si>
  <si>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</si>
  <si>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</si>
  <si>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</si>
  <si>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</si>
  <si>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</si>
  <si>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</si>
  <si>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</si>
  <si>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</si>
  <si>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</si>
  <si>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</si>
  <si>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</si>
  <si>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</si>
  <si>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</si>
  <si>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</si>
  <si>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</si>
  <si>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</si>
  <si>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</si>
  <si>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</si>
  <si>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</si>
  <si>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</si>
  <si>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</si>
  <si>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</si>
  <si>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</si>
  <si>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</si>
  <si>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</si>
  <si>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</si>
  <si>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</si>
  <si>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</si>
  <si>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</si>
  <si>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</si>
  <si>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</si>
  <si>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</si>
  <si>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</si>
  <si>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</si>
  <si>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</si>
  <si>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</si>
  <si>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</si>
  <si>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</si>
  <si>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</si>
  <si>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</si>
  <si>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</si>
  <si>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</si>
  <si>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</si>
  <si>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</si>
  <si>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</si>
  <si>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</si>
  <si>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</si>
  <si>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</si>
  <si>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</si>
  <si>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</si>
  <si>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</si>
  <si>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</si>
  <si>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</si>
  <si>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</si>
  <si>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</si>
  <si>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</si>
  <si>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</si>
  <si>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</si>
  <si>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</si>
  <si>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</si>
  <si>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</si>
  <si>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</si>
  <si>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</si>
  <si>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</si>
  <si>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</si>
  <si>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</si>
  <si>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</si>
  <si>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</si>
  <si>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</si>
  <si>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</si>
  <si>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</si>
  <si>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</si>
  <si>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</si>
  <si>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</si>
  <si>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</si>
  <si>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</si>
  <si>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</si>
  <si>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</si>
  <si>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</si>
  <si>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</si>
  <si>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</si>
  <si>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</si>
  <si>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</si>
  <si>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</si>
  <si>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</si>
  <si>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</si>
  <si>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</si>
  <si>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</si>
  <si>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</si>
  <si>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</si>
  <si>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</si>
  <si>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</si>
  <si>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</si>
  <si>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</si>
  <si>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</si>
  <si>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</si>
  <si>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</si>
  <si>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</si>
  <si>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</si>
  <si>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</si>
  <si>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</si>
  <si>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</si>
  <si>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</si>
  <si>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</si>
  <si>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</si>
  <si>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</si>
  <si>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</si>
  <si>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</si>
  <si>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</si>
  <si>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</si>
  <si>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</si>
  <si>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</si>
  <si>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</si>
  <si>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</si>
  <si>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</si>
  <si>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</si>
  <si>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</si>
  <si>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</si>
  <si>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</si>
  <si>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</si>
  <si>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</si>
  <si>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</si>
  <si>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</si>
  <si>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</si>
  <si>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</si>
  <si>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</si>
  <si>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</si>
  <si>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</si>
  <si>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</si>
  <si>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</si>
  <si>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</si>
  <si>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</si>
  <si>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</si>
  <si>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</si>
  <si>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</si>
  <si>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</si>
  <si>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</si>
  <si>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</si>
  <si>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</si>
  <si>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</si>
  <si>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</si>
  <si>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</si>
  <si>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</si>
  <si>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</si>
  <si>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</si>
  <si>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</si>
  <si>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</si>
  <si>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</si>
  <si>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</si>
  <si>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</si>
  <si>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</si>
  <si>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</si>
  <si>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</si>
  <si>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</si>
  <si>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</si>
  <si>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</si>
  <si>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</si>
  <si>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</si>
  <si>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</si>
  <si>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</si>
  <si>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</si>
  <si>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</si>
  <si>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</si>
  <si>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</si>
  <si>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</si>
  <si>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</si>
  <si>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</si>
  <si>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</si>
  <si>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</si>
  <si>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</si>
  <si>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</si>
  <si>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</si>
  <si>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</si>
  <si>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</si>
  <si>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</si>
  <si>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</si>
  <si>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</si>
  <si>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</si>
  <si>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</si>
  <si>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</si>
  <si>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</si>
  <si>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</si>
  <si>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</si>
  <si>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</si>
  <si>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</si>
  <si>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</si>
  <si>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</si>
  <si>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</si>
  <si>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</si>
  <si>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</si>
  <si>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</si>
  <si>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</si>
  <si>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</si>
  <si>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</si>
  <si>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</si>
  <si>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</si>
  <si>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</si>
  <si>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</si>
  <si>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</si>
  <si>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</si>
  <si>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</si>
  <si>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</si>
  <si>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</si>
  <si>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</si>
  <si>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</si>
  <si>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</si>
  <si>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</si>
  <si>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</si>
  <si>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</si>
  <si>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</si>
  <si>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</si>
  <si>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</si>
  <si>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</si>
  <si>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</si>
  <si>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</si>
  <si>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</si>
  <si>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</si>
  <si>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</si>
  <si>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</si>
  <si>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</si>
  <si>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</si>
  <si>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</si>
  <si>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</si>
  <si>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</si>
  <si>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</si>
  <si>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</si>
  <si>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</si>
  <si>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</si>
  <si>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</si>
  <si>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</si>
  <si>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</si>
  <si>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</si>
  <si>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</si>
  <si>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</si>
  <si>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</si>
  <si>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</si>
  <si>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</si>
  <si>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</si>
  <si>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</si>
  <si>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</si>
  <si>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</si>
  <si>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</si>
  <si>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</si>
  <si>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</si>
  <si>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</si>
  <si>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</si>
  <si>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</si>
  <si>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</si>
  <si>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</si>
  <si>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</si>
  <si>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</si>
  <si>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</si>
  <si>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</si>
  <si>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</si>
  <si>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</si>
  <si>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</si>
  <si>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</si>
  <si>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</si>
  <si>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</si>
  <si>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</si>
  <si>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</si>
  <si>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</si>
  <si>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</si>
  <si>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</si>
  <si>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</si>
  <si>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</si>
  <si>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</si>
  <si>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</si>
  <si>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</si>
  <si>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</si>
  <si>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</si>
  <si>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</si>
  <si>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</si>
  <si>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</si>
  <si>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</si>
  <si>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</si>
  <si>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</si>
  <si>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</si>
  <si>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</si>
  <si>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</si>
  <si>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</si>
  <si>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</si>
  <si>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</si>
  <si>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</si>
  <si>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</si>
  <si>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</si>
  <si>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</si>
  <si>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</si>
  <si>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</si>
  <si>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</si>
  <si>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</si>
  <si>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</si>
  <si>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</si>
  <si>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</si>
  <si>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</si>
  <si>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</si>
  <si>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</si>
  <si>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</si>
  <si>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</si>
  <si>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</si>
  <si>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</si>
  <si>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</si>
  <si>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</si>
  <si>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</si>
  <si>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</si>
  <si>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</si>
  <si>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</si>
  <si>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</si>
  <si>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</si>
  <si>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</si>
  <si>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</si>
  <si>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</si>
  <si>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</si>
  <si>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</si>
  <si>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</si>
  <si>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</si>
  <si>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</si>
  <si>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</si>
  <si>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</si>
  <si>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</si>
  <si>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</si>
  <si>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</si>
  <si>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</si>
  <si>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</si>
  <si>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</si>
  <si>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</si>
  <si>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</si>
  <si>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</si>
  <si>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</si>
  <si>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</si>
  <si>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</si>
  <si>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</si>
  <si>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</si>
  <si>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</si>
  <si>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</si>
  <si>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</si>
  <si>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</si>
  <si>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</si>
  <si>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</si>
  <si>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</si>
  <si>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</si>
  <si>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</si>
  <si>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</si>
  <si>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</si>
  <si>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</si>
  <si>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</si>
  <si>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</si>
  <si>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</si>
  <si>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</si>
  <si>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</si>
  <si>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</si>
  <si>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</si>
  <si>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</si>
  <si>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</si>
  <si>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</si>
  <si>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</si>
  <si>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</si>
  <si>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</si>
  <si>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</si>
  <si>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</si>
  <si>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</si>
  <si>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</si>
  <si>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</si>
  <si>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</si>
  <si>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</si>
  <si>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</si>
  <si>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</si>
  <si>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</si>
  <si>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</si>
  <si>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</si>
  <si>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</si>
  <si>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</si>
  <si>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</si>
  <si>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</si>
  <si>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</si>
  <si>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</si>
  <si>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</si>
  <si>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</si>
  <si>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</si>
  <si>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</si>
  <si>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</si>
  <si>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</si>
  <si>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</si>
  <si>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</si>
  <si>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</si>
  <si>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</si>
  <si>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</si>
  <si>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</si>
  <si>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</si>
  <si>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</si>
  <si>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</si>
  <si>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</si>
  <si>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</si>
  <si>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</si>
  <si>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</si>
  <si>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</si>
  <si>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</si>
  <si>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</si>
  <si>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</si>
  <si>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</si>
  <si>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</si>
  <si>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</si>
  <si>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</si>
  <si>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</si>
  <si>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</si>
  <si>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</si>
  <si>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</si>
  <si>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</si>
  <si>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</si>
  <si>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</si>
  <si>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</si>
  <si>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</si>
  <si>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</si>
  <si>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</si>
  <si>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</si>
  <si>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</si>
  <si>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</si>
  <si>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</si>
  <si>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</si>
  <si>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</si>
  <si>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</si>
  <si>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</si>
  <si>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</si>
  <si>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</si>
  <si>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</si>
  <si>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</si>
  <si>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</si>
  <si>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</si>
  <si>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</si>
  <si>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</si>
  <si>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</si>
  <si>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</si>
  <si>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</si>
  <si>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</si>
  <si>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</si>
  <si>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</si>
  <si>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</si>
  <si>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</si>
  <si>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</si>
  <si>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</si>
  <si>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</si>
  <si>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</si>
  <si>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</si>
  <si>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</si>
  <si>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</si>
  <si>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</si>
  <si>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</si>
  <si>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</si>
  <si>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</si>
  <si>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</si>
  <si>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</si>
  <si>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</si>
  <si>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</si>
  <si>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</si>
  <si>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</si>
  <si>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</si>
  <si>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</si>
  <si>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</si>
  <si>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</si>
  <si>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</si>
  <si>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</si>
  <si>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</si>
  <si>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</si>
  <si>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</si>
  <si>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</si>
  <si>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</si>
  <si>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</si>
  <si>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</si>
  <si>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</si>
  <si>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</si>
  <si>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</si>
  <si>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</si>
  <si>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</si>
  <si>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</si>
  <si>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</si>
  <si>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</si>
  <si>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</si>
  <si>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</si>
  <si>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</si>
  <si>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</si>
  <si>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</si>
  <si>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</si>
  <si>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</si>
  <si>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</si>
  <si>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</si>
  <si>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</si>
  <si>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</si>
  <si>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</si>
  <si>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</si>
  <si>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</si>
  <si>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</si>
  <si>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</si>
  <si>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</si>
  <si>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</si>
  <si>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</si>
  <si>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</si>
  <si>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</si>
  <si>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</si>
  <si>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</si>
  <si>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</si>
  <si>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</si>
  <si>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</si>
  <si>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</si>
  <si>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</si>
  <si>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</si>
  <si>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</si>
  <si>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</si>
  <si>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</si>
  <si>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</si>
  <si>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</si>
  <si>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</si>
  <si>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</si>
  <si>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</si>
  <si>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</si>
  <si>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</si>
  <si>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</si>
  <si>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</si>
  <si>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</si>
  <si>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</si>
  <si>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</si>
  <si>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</si>
  <si>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</si>
  <si>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</si>
  <si>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</si>
  <si>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</si>
  <si>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</si>
  <si>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</si>
  <si>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</si>
  <si>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</si>
  <si>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</si>
  <si>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</si>
  <si>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</si>
  <si>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</si>
  <si>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</si>
  <si>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</si>
  <si>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</si>
  <si>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</si>
  <si>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</si>
  <si>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</si>
  <si>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</si>
  <si>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</si>
  <si>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</si>
  <si>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</si>
  <si>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</si>
  <si>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</si>
  <si>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</si>
  <si>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</si>
  <si>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</si>
  <si>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</si>
  <si>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</si>
  <si>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</si>
  <si>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</si>
  <si>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</si>
  <si>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</si>
  <si>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</si>
  <si>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</si>
  <si>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</si>
  <si>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</si>
  <si>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</si>
  <si>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</si>
  <si>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</si>
  <si>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</si>
  <si>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</si>
  <si>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</si>
  <si>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</si>
  <si>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</si>
  <si>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</si>
  <si>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</si>
  <si>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</si>
  <si>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</si>
  <si>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</si>
  <si>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</si>
  <si>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</si>
  <si>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</si>
  <si>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</si>
  <si>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</si>
  <si>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</si>
  <si>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</si>
  <si>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</si>
  <si>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</si>
  <si>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</si>
  <si>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</si>
  <si>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</si>
  <si>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</si>
  <si>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</si>
  <si>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</si>
  <si>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</si>
  <si>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</si>
  <si>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</si>
  <si>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</si>
  <si>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</si>
  <si>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</si>
  <si>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</si>
  <si>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</si>
  <si>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</si>
  <si>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</si>
  <si>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</si>
  <si>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</si>
  <si>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</si>
  <si>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</si>
  <si>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</si>
  <si>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</si>
  <si>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</si>
  <si>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</si>
  <si>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</si>
  <si>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</si>
  <si>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</si>
  <si>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</si>
  <si>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</si>
  <si>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</si>
  <si>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</si>
  <si>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</si>
  <si>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</si>
  <si>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</si>
  <si>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</si>
  <si>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</si>
  <si>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</si>
  <si>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</si>
  <si>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</si>
  <si>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</si>
  <si>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</si>
  <si>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</si>
  <si>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</si>
  <si>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</si>
  <si>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</si>
  <si>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</si>
  <si>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</si>
  <si>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</si>
  <si>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</si>
  <si>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</si>
  <si>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</si>
  <si>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</si>
  <si>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</si>
  <si>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</si>
  <si>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</si>
  <si>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</si>
  <si>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</si>
  <si>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</si>
  <si>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</si>
  <si>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</si>
  <si>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</si>
  <si>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</si>
  <si>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</si>
  <si>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</si>
  <si>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</si>
  <si>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</si>
  <si>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</si>
  <si>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</si>
  <si>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</si>
  <si>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</si>
  <si>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</si>
  <si>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</si>
  <si>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</si>
  <si>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</si>
  <si>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</si>
  <si>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</si>
  <si>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</si>
  <si>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</si>
  <si>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</si>
  <si>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</si>
  <si>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</si>
  <si>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</si>
  <si>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</si>
  <si>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</si>
  <si>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</si>
  <si>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</si>
  <si>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</si>
  <si>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</si>
  <si>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</si>
  <si>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</si>
  <si>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</si>
  <si>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</si>
  <si>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</si>
  <si>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</si>
  <si>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</si>
  <si>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</si>
  <si>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</si>
  <si>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</si>
  <si>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</si>
  <si>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</si>
  <si>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</si>
  <si>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</si>
  <si>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</si>
  <si>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</si>
  <si>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</si>
  <si>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</si>
  <si>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</si>
  <si>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</si>
  <si>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</si>
  <si>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</si>
  <si>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</si>
  <si>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</si>
  <si>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</si>
  <si>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</si>
  <si>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</si>
  <si>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</si>
  <si>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</si>
  <si>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</si>
  <si>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</si>
  <si>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</si>
  <si>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</si>
  <si>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</si>
  <si>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</si>
  <si>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</si>
  <si>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</si>
  <si>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</si>
  <si>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</si>
  <si>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</si>
  <si>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</si>
  <si>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</si>
  <si>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</si>
  <si>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</si>
  <si>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</si>
  <si>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</si>
  <si>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</si>
  <si>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</si>
  <si>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</si>
  <si>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</si>
  <si>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</si>
  <si>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</si>
  <si>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</si>
  <si>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</si>
  <si>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</si>
  <si>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</si>
  <si>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</si>
  <si>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</si>
  <si>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</si>
  <si>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</si>
  <si>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</si>
  <si>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</si>
  <si>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</si>
  <si>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</si>
  <si>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</si>
  <si>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</si>
  <si>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</si>
  <si>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</si>
  <si>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</si>
  <si>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</si>
  <si>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</si>
  <si>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</si>
  <si>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</si>
  <si>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</si>
  <si>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</si>
  <si>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</si>
  <si>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</si>
  <si>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</si>
  <si>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</si>
  <si>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</si>
  <si>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</si>
  <si>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</si>
  <si>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</si>
  <si>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</si>
  <si>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</si>
  <si>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</si>
  <si>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</si>
  <si>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</si>
  <si>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</si>
  <si>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</si>
  <si>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</si>
  <si>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</si>
  <si>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</si>
  <si>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</si>
  <si>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</si>
  <si>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</si>
  <si>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</si>
  <si>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</si>
  <si>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</si>
  <si>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</si>
  <si>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</si>
  <si>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</si>
  <si>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</si>
  <si>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</si>
  <si>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</si>
  <si>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</si>
  <si>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</si>
  <si>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</si>
  <si>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</si>
  <si>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</si>
  <si>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</si>
  <si>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</si>
  <si>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</si>
  <si>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</si>
  <si>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</si>
  <si>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</si>
  <si>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</si>
  <si>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</si>
  <si>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</si>
  <si>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</si>
  <si>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</si>
  <si>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</si>
  <si>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</si>
  <si>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</si>
  <si>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</si>
  <si>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</si>
  <si>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</si>
  <si>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</si>
  <si>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</si>
  <si>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</si>
  <si>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</si>
  <si>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</si>
  <si>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</si>
  <si>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</si>
  <si>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</si>
  <si>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</si>
  <si>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</si>
  <si>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</si>
  <si>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</si>
  <si>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</si>
  <si>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</si>
  <si>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</si>
  <si>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</si>
  <si>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</si>
  <si>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</si>
  <si>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</si>
  <si>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</si>
  <si>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</si>
  <si>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</si>
  <si>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</si>
  <si>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</si>
  <si>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</si>
  <si>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</si>
  <si>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</si>
  <si>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</si>
  <si>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</si>
  <si>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</si>
  <si>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</si>
  <si>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</si>
  <si>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</si>
  <si>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</si>
  <si>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</si>
  <si>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</si>
  <si>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</si>
  <si>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</si>
  <si>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</si>
  <si>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</si>
  <si>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</si>
  <si>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</si>
  <si>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</si>
  <si>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</si>
  <si>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</si>
  <si>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</si>
  <si>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</si>
  <si>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</si>
  <si>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</si>
  <si>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</si>
  <si>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</si>
  <si>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</si>
  <si>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</si>
  <si>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</si>
  <si>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</si>
  <si>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</si>
  <si>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</si>
  <si>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</si>
  <si>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</si>
  <si>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</si>
  <si>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</si>
  <si>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</si>
  <si>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</si>
  <si>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</si>
  <si>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</si>
  <si>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</si>
  <si>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</si>
  <si>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</si>
  <si>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</si>
  <si>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</si>
  <si>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</si>
  <si>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</si>
  <si>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</si>
  <si>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</si>
  <si>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</si>
  <si>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</si>
  <si>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</si>
  <si>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</si>
  <si>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</si>
  <si>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</si>
  <si>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</si>
  <si>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</si>
  <si>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</si>
  <si>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</si>
  <si>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</si>
  <si>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</si>
  <si>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</si>
  <si>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</si>
  <si>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</si>
  <si>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</si>
  <si>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</si>
  <si>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</si>
  <si>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</si>
  <si>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</si>
  <si>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</si>
  <si>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</si>
  <si>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</si>
  <si>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</si>
  <si>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</si>
  <si>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</si>
  <si>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</si>
  <si>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</si>
  <si>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</si>
  <si>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</si>
  <si>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</si>
  <si>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</si>
  <si>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</si>
  <si>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</si>
  <si>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</si>
  <si>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</si>
  <si>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</si>
  <si>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</si>
  <si>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</si>
  <si>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</si>
  <si>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</si>
  <si>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</si>
  <si>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</si>
  <si>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</si>
  <si>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</si>
  <si>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</si>
  <si>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</si>
  <si>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</si>
  <si>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</si>
  <si>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</si>
  <si>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</si>
  <si>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</si>
  <si>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</si>
  <si>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</si>
  <si>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</si>
  <si>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</si>
  <si>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</si>
  <si>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</si>
  <si>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</si>
  <si>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</si>
  <si>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</si>
  <si>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</si>
  <si>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</si>
  <si>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</si>
  <si>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</si>
  <si>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</si>
  <si>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</si>
  <si>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</si>
  <si>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</si>
  <si>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</si>
  <si>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</si>
  <si>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</si>
  <si>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</si>
  <si>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</si>
  <si>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</si>
  <si>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</si>
  <si>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</si>
  <si>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</si>
  <si>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</si>
  <si>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</si>
  <si>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</si>
  <si>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</si>
  <si>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</si>
  <si>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</si>
  <si>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</si>
  <si>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</si>
  <si>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</si>
  <si>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</si>
  <si>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</si>
  <si>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</si>
  <si>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</si>
  <si>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</si>
  <si>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</si>
  <si>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</si>
  <si>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</si>
  <si>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</si>
  <si>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</si>
  <si>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</si>
  <si>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</si>
  <si>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</si>
  <si>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</si>
  <si>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</si>
  <si>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</si>
  <si>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</si>
  <si>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</si>
  <si>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</si>
  <si>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</si>
  <si>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</si>
  <si>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</si>
  <si>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</si>
  <si>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</si>
  <si>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</si>
  <si>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</si>
  <si>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</si>
  <si>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</si>
  <si>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</si>
  <si>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</si>
  <si>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</si>
  <si>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</si>
  <si>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</si>
  <si>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</si>
  <si>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</si>
  <si>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</si>
  <si>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</si>
  <si>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</si>
  <si>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</si>
  <si>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</si>
  <si>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</si>
  <si>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</si>
  <si>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</si>
  <si>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</si>
  <si>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</si>
  <si>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</si>
  <si>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</si>
  <si>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</si>
  <si>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</si>
  <si>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</si>
  <si>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</si>
  <si>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</si>
  <si>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</si>
  <si>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</si>
  <si>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</si>
  <si>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</si>
  <si>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</si>
  <si>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</si>
  <si>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</si>
  <si>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</si>
  <si>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</si>
  <si>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</si>
  <si>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</si>
  <si>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</si>
  <si>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</si>
  <si>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</si>
  <si>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</si>
  <si>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</si>
  <si>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</si>
  <si>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</si>
  <si>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</si>
  <si>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</si>
  <si>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</si>
  <si>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</si>
  <si>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</si>
  <si>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</si>
  <si>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</si>
  <si>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</si>
  <si>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</si>
  <si>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</si>
  <si>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</si>
  <si>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</si>
  <si>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</si>
  <si>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</si>
  <si>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</si>
  <si>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</si>
  <si>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</si>
  <si>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</si>
  <si>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</si>
  <si>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</si>
  <si>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</si>
  <si>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</si>
  <si>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</si>
  <si>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</si>
  <si>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</si>
  <si>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</si>
  <si>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</si>
  <si>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</si>
  <si>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</si>
  <si>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</si>
  <si>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</si>
  <si>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</si>
  <si>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</si>
  <si>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</si>
  <si>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</si>
  <si>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</si>
  <si>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</si>
  <si>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</si>
  <si>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</si>
  <si>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</si>
  <si>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</si>
  <si>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</si>
  <si>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</si>
  <si>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</si>
  <si>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</si>
  <si>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</si>
  <si>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</si>
  <si>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</si>
  <si>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</si>
  <si>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</si>
  <si>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</si>
  <si>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</si>
  <si>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</si>
  <si>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</si>
  <si>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</si>
  <si>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</si>
  <si>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</si>
  <si>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</si>
  <si>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</si>
  <si>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</si>
  <si>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</si>
  <si>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</si>
  <si>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</si>
  <si>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</si>
  <si>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</si>
  <si>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</si>
  <si>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</si>
  <si>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</si>
  <si>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</si>
  <si>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</si>
  <si>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</si>
  <si>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</si>
  <si>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</si>
  <si>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</si>
  <si>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</si>
  <si>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</si>
  <si>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</si>
  <si>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</si>
  <si>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</si>
  <si>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</si>
  <si>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</si>
  <si>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</si>
  <si>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</si>
  <si>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</si>
  <si>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</si>
  <si>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</si>
  <si>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</si>
  <si>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</si>
  <si>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</si>
  <si>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</si>
  <si>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</si>
  <si>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</si>
  <si>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</si>
  <si>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</si>
  <si>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</si>
  <si>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</si>
  <si>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</si>
  <si>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</si>
  <si>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</si>
  <si>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</si>
  <si>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</si>
  <si>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</si>
  <si>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</si>
  <si>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</si>
  <si>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</si>
  <si>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</si>
  <si>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</si>
  <si>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</si>
  <si>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</si>
  <si>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</si>
  <si>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</si>
  <si>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</si>
  <si>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</si>
  <si>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</si>
  <si>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</si>
  <si>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</si>
  <si>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</si>
  <si>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</si>
  <si>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</si>
  <si>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</si>
  <si>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</si>
  <si>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</si>
  <si>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</si>
  <si>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</si>
  <si>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</si>
  <si>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</si>
  <si>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</si>
  <si>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</si>
  <si>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</si>
  <si>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</si>
  <si>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</si>
  <si>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</si>
  <si>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</si>
  <si>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</si>
  <si>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</si>
  <si>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</si>
  <si>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</si>
  <si>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</si>
  <si>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</si>
  <si>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</si>
  <si>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</si>
  <si>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</si>
  <si>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</si>
  <si>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</si>
  <si>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</si>
  <si>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</si>
  <si>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</si>
  <si>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</si>
  <si>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</si>
  <si>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</si>
  <si>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</si>
  <si>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</si>
  <si>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</si>
  <si>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</si>
  <si>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</si>
  <si>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</si>
  <si>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</si>
  <si>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</si>
  <si>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</si>
  <si>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</si>
  <si>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</si>
  <si>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</si>
  <si>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</si>
  <si>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</si>
  <si>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</si>
  <si>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</si>
  <si>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</si>
  <si>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</si>
  <si>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</si>
  <si>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</si>
  <si>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</si>
  <si>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</si>
  <si>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</si>
  <si>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</si>
  <si>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</si>
  <si>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</si>
  <si>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</si>
  <si>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</si>
  <si>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</si>
  <si>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</si>
  <si>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</si>
  <si>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</si>
  <si>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</si>
  <si>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</si>
  <si>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</si>
  <si>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</si>
  <si>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</si>
  <si>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</si>
  <si>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</si>
  <si>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</si>
  <si>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</si>
  <si>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</si>
  <si>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</si>
  <si>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</si>
  <si>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</si>
  <si>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</si>
  <si>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</si>
  <si>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</si>
  <si>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</si>
  <si>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</si>
  <si>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</si>
  <si>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</si>
  <si>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</si>
  <si>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</si>
  <si>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</si>
  <si>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</si>
  <si>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</si>
  <si>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</si>
  <si>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</si>
  <si>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</si>
  <si>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</si>
  <si>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</si>
  <si>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</si>
  <si>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</si>
  <si>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</si>
  <si>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</si>
  <si>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</si>
  <si>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</si>
  <si>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</si>
  <si>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</si>
  <si>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</si>
  <si>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</si>
  <si>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</si>
  <si>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</si>
  <si>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</si>
  <si>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</si>
  <si>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</si>
  <si>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</si>
  <si>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</si>
  <si>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</si>
  <si>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</si>
  <si>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</si>
  <si>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</si>
  <si>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</si>
  <si>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</si>
  <si>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</si>
  <si>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</si>
  <si>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</si>
  <si>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</si>
  <si>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</si>
  <si>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</si>
  <si>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</si>
  <si>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</si>
  <si>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</si>
  <si>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</si>
  <si>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</si>
  <si>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</si>
  <si>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</si>
  <si>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</si>
  <si>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</si>
  <si>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</si>
  <si>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</si>
  <si>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</si>
  <si>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</si>
  <si>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</si>
  <si>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</si>
  <si>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</si>
  <si>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</si>
  <si>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</si>
  <si>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</si>
  <si>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</si>
  <si>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</si>
  <si>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</si>
  <si>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</si>
  <si>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</si>
  <si>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</si>
  <si>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</si>
  <si>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</si>
  <si>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</si>
  <si>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</si>
  <si>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</si>
  <si>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</si>
  <si>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</si>
  <si>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</si>
  <si>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</si>
  <si>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</si>
  <si>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</si>
  <si>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</si>
  <si>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</si>
  <si>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</si>
  <si>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</si>
  <si>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</si>
  <si>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</si>
  <si>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</si>
  <si>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</si>
  <si>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</si>
  <si>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</si>
  <si>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</si>
  <si>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</si>
  <si>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</si>
  <si>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</si>
  <si>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</si>
  <si>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</si>
  <si>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</si>
  <si>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</si>
  <si>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</si>
  <si>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</si>
  <si>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</si>
  <si>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</si>
  <si>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</si>
  <si>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</si>
  <si>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</si>
  <si>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</si>
  <si>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</si>
  <si>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</si>
  <si>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</si>
  <si>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</si>
  <si>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</si>
  <si>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</si>
  <si>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</si>
  <si>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</si>
  <si>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</si>
  <si>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</si>
  <si>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</si>
  <si>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</si>
  <si>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</si>
  <si>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</si>
  <si>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</si>
  <si>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</si>
  <si>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</si>
  <si>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</si>
  <si>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</si>
  <si>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</si>
  <si>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</si>
  <si>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</si>
  <si>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</si>
  <si>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</si>
  <si>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</si>
  <si>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</si>
  <si>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</si>
  <si>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</si>
  <si>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</si>
  <si>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</si>
  <si>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</si>
  <si>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</si>
  <si>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</si>
  <si>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</si>
  <si>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</si>
  <si>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</si>
  <si>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</si>
  <si>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</si>
  <si>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</si>
  <si>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</si>
  <si>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</si>
  <si>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</si>
  <si>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</si>
  <si>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</si>
  <si>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</si>
  <si>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</si>
  <si>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</si>
  <si>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</si>
  <si>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</si>
  <si>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</si>
  <si>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</si>
  <si>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</si>
  <si>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</si>
  <si>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</si>
  <si>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</si>
  <si>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</si>
  <si>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</si>
  <si>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</si>
  <si>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</si>
  <si>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</si>
  <si>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</si>
  <si>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</si>
  <si>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</si>
  <si>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</si>
  <si>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</si>
  <si>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</si>
  <si>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</si>
  <si>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</si>
  <si>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</si>
  <si>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</si>
  <si>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</si>
  <si>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</si>
  <si>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</si>
  <si>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</si>
  <si>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</si>
  <si>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</si>
  <si>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</si>
  <si>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</si>
  <si>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</si>
  <si>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</si>
  <si>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</si>
  <si>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</si>
  <si>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</si>
  <si>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</si>
  <si>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</si>
  <si>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</si>
  <si>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</si>
  <si>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</si>
  <si>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</si>
  <si>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</si>
  <si>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</si>
  <si>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</si>
  <si>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</si>
  <si>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</si>
  <si>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</si>
  <si>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</si>
  <si>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</si>
  <si>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</si>
  <si>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</si>
  <si>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</si>
  <si>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</si>
  <si>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</si>
  <si>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</si>
  <si>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</si>
  <si>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</si>
  <si>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</si>
  <si>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</si>
  <si>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</si>
  <si>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</si>
  <si>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</si>
  <si>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</si>
  <si>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</si>
  <si>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</si>
  <si>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</si>
  <si>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</si>
  <si>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</si>
  <si>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</si>
  <si>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</si>
  <si>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</si>
  <si>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</si>
  <si>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</si>
  <si>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</si>
  <si>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</si>
  <si>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</si>
  <si>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</si>
  <si>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</si>
  <si>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</si>
  <si>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</si>
  <si>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</si>
  <si>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</si>
  <si>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</si>
  <si>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</si>
  <si>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</si>
  <si>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</si>
  <si>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</si>
  <si>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</si>
  <si>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</si>
  <si>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</si>
  <si>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</si>
  <si>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</si>
  <si>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</si>
  <si>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</si>
  <si>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</si>
  <si>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</si>
  <si>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</si>
  <si>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</si>
  <si>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</si>
  <si>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</si>
  <si>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</si>
  <si>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</si>
  <si>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</si>
  <si>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</si>
  <si>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</si>
  <si>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</si>
  <si>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</si>
  <si>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</si>
  <si>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</si>
  <si>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</si>
  <si>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</si>
  <si>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</si>
  <si>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</si>
  <si>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</si>
  <si>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</si>
  <si>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</si>
  <si>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</si>
  <si>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</si>
  <si>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</si>
  <si>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</si>
  <si>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</si>
  <si>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</si>
  <si>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</si>
  <si>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</si>
  <si>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</si>
  <si>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</si>
  <si>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</si>
  <si>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</si>
  <si>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</si>
  <si>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</si>
  <si>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</si>
  <si>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</si>
  <si>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</si>
  <si>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</si>
  <si>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</si>
  <si>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</si>
  <si>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</si>
  <si>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</si>
  <si>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</si>
  <si>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</si>
  <si>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</si>
  <si>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</si>
  <si>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</si>
  <si>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</si>
  <si>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</si>
  <si>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</si>
  <si>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</si>
  <si>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</si>
  <si>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</si>
  <si>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</si>
  <si>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</si>
  <si>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</si>
  <si>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</si>
  <si>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</si>
  <si>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</si>
  <si>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</si>
  <si>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</si>
  <si>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</si>
  <si>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</si>
  <si>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</si>
  <si>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</si>
  <si>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</si>
  <si>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</si>
  <si>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</si>
  <si>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</si>
  <si>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</si>
  <si>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</si>
  <si>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</si>
  <si>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</si>
  <si>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</si>
  <si>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</si>
  <si>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</si>
  <si>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</si>
  <si>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</si>
  <si>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</si>
  <si>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</si>
  <si>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</si>
  <si>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</si>
  <si>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</si>
  <si>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</si>
  <si>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</si>
  <si>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</si>
  <si>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</si>
  <si>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</si>
  <si>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</si>
  <si>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</si>
  <si>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</si>
  <si>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</si>
  <si>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</si>
  <si>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</si>
  <si>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SAMPAI DENGAN 23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</si>
</sst>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9">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71">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10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433"/>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9.81168298611"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3">
    <format dxfId="681">
      <pivotArea outline="0" collapsedLevelsAreSubtotals="1" fieldPosition="0">
        <references count="1">
          <reference field="4294967294" count="1" selected="0">
            <x v="2"/>
          </reference>
        </references>
      </pivotArea>
    </format>
    <format dxfId="680">
      <pivotArea outline="0" collapsedLevelsAreSubtotals="1" fieldPosition="0">
        <references count="1">
          <reference field="4294967294" count="1" selected="0">
            <x v="4"/>
          </reference>
        </references>
      </pivotArea>
    </format>
    <format dxfId="679">
      <pivotArea outline="0" collapsedLevelsAreSubtotals="1" fieldPosition="0">
        <references count="1">
          <reference field="4294967294" count="1" selected="0">
            <x v="3"/>
          </reference>
        </references>
      </pivotArea>
    </format>
    <format dxfId="678">
      <pivotArea outline="0" collapsedLevelsAreSubtotals="1" fieldPosition="0">
        <references count="1">
          <reference field="4294967294" count="1" selected="0">
            <x v="1"/>
          </reference>
        </references>
      </pivotArea>
    </format>
    <format dxfId="677">
      <pivotArea outline="0" collapsedLevelsAreSubtotals="1" fieldPosition="0">
        <references count="1">
          <reference field="4294967294" count="1" selected="0">
            <x v="0"/>
          </reference>
        </references>
      </pivotArea>
    </format>
    <format dxfId="676">
      <pivotArea dataOnly="0" labelOnly="1" fieldPosition="0">
        <references count="1">
          <reference field="3" count="0"/>
        </references>
      </pivotArea>
    </format>
    <format dxfId="675">
      <pivotArea dataOnly="0" labelOnly="1" fieldPosition="0">
        <references count="1">
          <reference field="5" count="0"/>
        </references>
      </pivotArea>
    </format>
    <format dxfId="674">
      <pivotArea dataOnly="0" labelOnly="1" fieldPosition="0">
        <references count="1">
          <reference field="9" count="0"/>
        </references>
      </pivotArea>
    </format>
    <format dxfId="673">
      <pivotArea dataOnly="0" labelOnly="1" fieldPosition="0">
        <references count="1">
          <reference field="11" count="0"/>
        </references>
      </pivotArea>
    </format>
    <format dxfId="672">
      <pivotArea dataOnly="0" labelOnly="1" fieldPosition="0">
        <references count="1">
          <reference field="13" count="0"/>
        </references>
      </pivotArea>
    </format>
    <format dxfId="671">
      <pivotArea dataOnly="0" labelOnly="1" outline="0" fieldPosition="0">
        <references count="1">
          <reference field="4294967294" count="5">
            <x v="0"/>
            <x v="1"/>
            <x v="2"/>
            <x v="3"/>
            <x v="4"/>
          </reference>
        </references>
      </pivotArea>
    </format>
    <format dxfId="670">
      <pivotArea type="all" dataOnly="0" outline="0" fieldPosition="0"/>
    </format>
    <format dxfId="669">
      <pivotArea outline="0" collapsedLevelsAreSubtotals="1" fieldPosition="0"/>
    </format>
    <format dxfId="668">
      <pivotArea field="3" type="button" dataOnly="0" labelOnly="1" outline="0" axis="axisRow" fieldPosition="1"/>
    </format>
    <format dxfId="667">
      <pivotArea dataOnly="0" labelOnly="1" fieldPosition="0">
        <references count="1">
          <reference field="3" count="0"/>
        </references>
      </pivotArea>
    </format>
    <format dxfId="666">
      <pivotArea dataOnly="0" labelOnly="1" grandRow="1" outline="0" fieldPosition="0"/>
    </format>
    <format dxfId="665">
      <pivotArea dataOnly="0" labelOnly="1" fieldPosition="0">
        <references count="2">
          <reference field="3" count="1" selected="0">
            <x v="0"/>
          </reference>
          <reference field="5" count="1">
            <x v="0"/>
          </reference>
        </references>
      </pivotArea>
    </format>
    <format dxfId="664">
      <pivotArea dataOnly="0" labelOnly="1" fieldPosition="0">
        <references count="2">
          <reference field="3" count="1" selected="0">
            <x v="1"/>
          </reference>
          <reference field="5" count="2">
            <x v="1"/>
            <x v="2"/>
          </reference>
        </references>
      </pivotArea>
    </format>
    <format dxfId="663">
      <pivotArea dataOnly="0" labelOnly="1" fieldPosition="0">
        <references count="3">
          <reference field="3" count="1" selected="0">
            <x v="0"/>
          </reference>
          <reference field="5" count="1" selected="0">
            <x v="0"/>
          </reference>
          <reference field="9" count="1">
            <x v="0"/>
          </reference>
        </references>
      </pivotArea>
    </format>
    <format dxfId="662">
      <pivotArea dataOnly="0" labelOnly="1" fieldPosition="0">
        <references count="3">
          <reference field="3" count="1" selected="0">
            <x v="1"/>
          </reference>
          <reference field="5" count="1" selected="0">
            <x v="1"/>
          </reference>
          <reference field="9" count="8">
            <x v="1"/>
            <x v="2"/>
            <x v="3"/>
            <x v="4"/>
            <x v="5"/>
            <x v="6"/>
            <x v="7"/>
            <x v="8"/>
          </reference>
        </references>
      </pivotArea>
    </format>
    <format dxfId="661">
      <pivotArea dataOnly="0" labelOnly="1" fieldPosition="0">
        <references count="3">
          <reference field="3" count="1" selected="0">
            <x v="1"/>
          </reference>
          <reference field="5" count="1" selected="0">
            <x v="2"/>
          </reference>
          <reference field="9" count="1">
            <x v="9"/>
          </reference>
        </references>
      </pivotArea>
    </format>
    <format dxfId="66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5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5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5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5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5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5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5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5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5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5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4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4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4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4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4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4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3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3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3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3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5">
      <pivotArea dataOnly="0" labelOnly="1" outline="0" fieldPosition="0">
        <references count="1">
          <reference field="4294967294" count="5">
            <x v="0"/>
            <x v="1"/>
            <x v="2"/>
            <x v="3"/>
            <x v="4"/>
          </reference>
        </references>
      </pivotArea>
    </format>
    <format dxfId="634">
      <pivotArea type="all" dataOnly="0" outline="0" fieldPosition="0"/>
    </format>
    <format dxfId="633">
      <pivotArea outline="0" collapsedLevelsAreSubtotals="1" fieldPosition="0"/>
    </format>
    <format dxfId="632">
      <pivotArea field="3" type="button" dataOnly="0" labelOnly="1" outline="0" axis="axisRow" fieldPosition="1"/>
    </format>
    <format dxfId="631">
      <pivotArea dataOnly="0" labelOnly="1" fieldPosition="0">
        <references count="1">
          <reference field="3" count="0"/>
        </references>
      </pivotArea>
    </format>
    <format dxfId="630">
      <pivotArea dataOnly="0" labelOnly="1" grandRow="1" outline="0" fieldPosition="0"/>
    </format>
    <format dxfId="629">
      <pivotArea dataOnly="0" labelOnly="1" fieldPosition="0">
        <references count="2">
          <reference field="3" count="1" selected="0">
            <x v="0"/>
          </reference>
          <reference field="5" count="1">
            <x v="0"/>
          </reference>
        </references>
      </pivotArea>
    </format>
    <format dxfId="628">
      <pivotArea dataOnly="0" labelOnly="1" fieldPosition="0">
        <references count="2">
          <reference field="3" count="1" selected="0">
            <x v="1"/>
          </reference>
          <reference field="5" count="2">
            <x v="1"/>
            <x v="2"/>
          </reference>
        </references>
      </pivotArea>
    </format>
    <format dxfId="627">
      <pivotArea dataOnly="0" labelOnly="1" fieldPosition="0">
        <references count="3">
          <reference field="3" count="1" selected="0">
            <x v="0"/>
          </reference>
          <reference field="5" count="1" selected="0">
            <x v="0"/>
          </reference>
          <reference field="9" count="1">
            <x v="0"/>
          </reference>
        </references>
      </pivotArea>
    </format>
    <format dxfId="626">
      <pivotArea dataOnly="0" labelOnly="1" fieldPosition="0">
        <references count="3">
          <reference field="3" count="1" selected="0">
            <x v="1"/>
          </reference>
          <reference field="5" count="1" selected="0">
            <x v="1"/>
          </reference>
          <reference field="9" count="8">
            <x v="1"/>
            <x v="2"/>
            <x v="3"/>
            <x v="4"/>
            <x v="5"/>
            <x v="6"/>
            <x v="7"/>
            <x v="8"/>
          </reference>
        </references>
      </pivotArea>
    </format>
    <format dxfId="625">
      <pivotArea dataOnly="0" labelOnly="1" fieldPosition="0">
        <references count="3">
          <reference field="3" count="1" selected="0">
            <x v="1"/>
          </reference>
          <reference field="5" count="1" selected="0">
            <x v="2"/>
          </reference>
          <reference field="9" count="1">
            <x v="9"/>
          </reference>
        </references>
      </pivotArea>
    </format>
    <format dxfId="62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2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2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2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2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1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1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1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1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1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1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1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1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0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0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0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0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0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0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0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0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0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0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99">
      <pivotArea dataOnly="0" labelOnly="1" outline="0" fieldPosition="0">
        <references count="1">
          <reference field="4294967294" count="5">
            <x v="0"/>
            <x v="1"/>
            <x v="2"/>
            <x v="3"/>
            <x v="4"/>
          </reference>
        </references>
      </pivotArea>
    </format>
    <format dxfId="598">
      <pivotArea collapsedLevelsAreSubtotals="1" fieldPosition="0">
        <references count="1">
          <reference field="3" count="1">
            <x v="0"/>
          </reference>
        </references>
      </pivotArea>
    </format>
    <format dxfId="597">
      <pivotArea collapsedLevelsAreSubtotals="1" fieldPosition="0">
        <references count="1">
          <reference field="3" count="1">
            <x v="1"/>
          </reference>
        </references>
      </pivotArea>
    </format>
    <format dxfId="596">
      <pivotArea collapsedLevelsAreSubtotals="1" fieldPosition="0">
        <references count="3">
          <reference field="3" count="1" selected="0">
            <x v="0"/>
          </reference>
          <reference field="5" count="1" selected="0">
            <x v="0"/>
          </reference>
          <reference field="9" count="1">
            <x v="0"/>
          </reference>
        </references>
      </pivotArea>
    </format>
    <format dxfId="595">
      <pivotArea collapsedLevelsAreSubtotals="1" fieldPosition="0">
        <references count="3">
          <reference field="3" count="1" selected="0">
            <x v="1"/>
          </reference>
          <reference field="5" count="1" selected="0">
            <x v="1"/>
          </reference>
          <reference field="9" count="1">
            <x v="1"/>
          </reference>
        </references>
      </pivotArea>
    </format>
    <format dxfId="594">
      <pivotArea collapsedLevelsAreSubtotals="1" fieldPosition="0">
        <references count="3">
          <reference field="3" count="1" selected="0">
            <x v="1"/>
          </reference>
          <reference field="5" count="1" selected="0">
            <x v="1"/>
          </reference>
          <reference field="9" count="1">
            <x v="2"/>
          </reference>
        </references>
      </pivotArea>
    </format>
    <format dxfId="593">
      <pivotArea collapsedLevelsAreSubtotals="1" fieldPosition="0">
        <references count="3">
          <reference field="3" count="1" selected="0">
            <x v="1"/>
          </reference>
          <reference field="5" count="1" selected="0">
            <x v="1"/>
          </reference>
          <reference field="9" count="1">
            <x v="3"/>
          </reference>
        </references>
      </pivotArea>
    </format>
    <format dxfId="592">
      <pivotArea collapsedLevelsAreSubtotals="1" fieldPosition="0">
        <references count="3">
          <reference field="3" count="1" selected="0">
            <x v="1"/>
          </reference>
          <reference field="5" count="1" selected="0">
            <x v="1"/>
          </reference>
          <reference field="9" count="1">
            <x v="4"/>
          </reference>
        </references>
      </pivotArea>
    </format>
    <format dxfId="591">
      <pivotArea collapsedLevelsAreSubtotals="1" fieldPosition="0">
        <references count="3">
          <reference field="3" count="1" selected="0">
            <x v="1"/>
          </reference>
          <reference field="5" count="1" selected="0">
            <x v="1"/>
          </reference>
          <reference field="9" count="1">
            <x v="5"/>
          </reference>
        </references>
      </pivotArea>
    </format>
    <format dxfId="590">
      <pivotArea collapsedLevelsAreSubtotals="1" fieldPosition="0">
        <references count="3">
          <reference field="3" count="1" selected="0">
            <x v="1"/>
          </reference>
          <reference field="5" count="1" selected="0">
            <x v="1"/>
          </reference>
          <reference field="9" count="1">
            <x v="6"/>
          </reference>
        </references>
      </pivotArea>
    </format>
    <format dxfId="589">
      <pivotArea collapsedLevelsAreSubtotals="1" fieldPosition="0">
        <references count="3">
          <reference field="3" count="1" selected="0">
            <x v="1"/>
          </reference>
          <reference field="5" count="1" selected="0">
            <x v="1"/>
          </reference>
          <reference field="9" count="1">
            <x v="7"/>
          </reference>
        </references>
      </pivotArea>
    </format>
    <format dxfId="588">
      <pivotArea collapsedLevelsAreSubtotals="1" fieldPosition="0">
        <references count="3">
          <reference field="3" count="1" selected="0">
            <x v="1"/>
          </reference>
          <reference field="5" count="1" selected="0">
            <x v="1"/>
          </reference>
          <reference field="9" count="1">
            <x v="8"/>
          </reference>
        </references>
      </pivotArea>
    </format>
    <format dxfId="587">
      <pivotArea collapsedLevelsAreSubtotals="1" fieldPosition="0">
        <references count="3">
          <reference field="3" count="1" selected="0">
            <x v="1"/>
          </reference>
          <reference field="5" count="1" selected="0">
            <x v="2"/>
          </reference>
          <reference field="9" count="1">
            <x v="9"/>
          </reference>
        </references>
      </pivotArea>
    </format>
    <format dxfId="586">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585">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584">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58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582">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581">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580">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579">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57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577">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576">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575">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574">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57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572">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57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57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569">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6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56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56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565">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64">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6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6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56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56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55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55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55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55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55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55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55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55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55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55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4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4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4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4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4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4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4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42">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4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3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3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3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3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3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3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3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3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31">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0">
      <pivotArea collapsedLevelsAreSubtotals="1" fieldPosition="0">
        <references count="2">
          <reference field="3" count="1" selected="0">
            <x v="1"/>
          </reference>
          <reference field="5" count="1">
            <x v="1"/>
          </reference>
        </references>
      </pivotArea>
    </format>
    <format dxfId="529">
      <pivotArea field="3" type="button" dataOnly="0" labelOnly="1" outline="0" axis="axisRow" fieldPosition="1"/>
    </format>
    <format dxfId="528">
      <pivotArea collapsedLevelsAreSubtotals="1" fieldPosition="0">
        <references count="2">
          <reference field="3" count="1" selected="0">
            <x v="1"/>
          </reference>
          <reference field="5" count="1">
            <x v="2"/>
          </reference>
        </references>
      </pivotArea>
    </format>
    <format dxfId="527">
      <pivotArea collapsedLevelsAreSubtotals="1" fieldPosition="0">
        <references count="2">
          <reference field="3" count="1" selected="0">
            <x v="0"/>
          </reference>
          <reference field="5" count="1">
            <x v="0"/>
          </reference>
        </references>
      </pivotArea>
    </format>
    <format dxfId="526">
      <pivotArea field="3" type="button" dataOnly="0" labelOnly="1" outline="0" axis="axisRow" fieldPosition="1"/>
    </format>
    <format dxfId="525">
      <pivotArea dataOnly="0" labelOnly="1" outline="0" fieldPosition="0">
        <references count="1">
          <reference field="4294967294" count="5">
            <x v="0"/>
            <x v="1"/>
            <x v="2"/>
            <x v="3"/>
            <x v="4"/>
          </reference>
        </references>
      </pivotArea>
    </format>
    <format dxfId="524">
      <pivotArea field="3" type="button" dataOnly="0" labelOnly="1" outline="0" axis="axisRow" fieldPosition="1"/>
    </format>
    <format dxfId="523">
      <pivotArea dataOnly="0" labelOnly="1" outline="0" fieldPosition="0">
        <references count="1">
          <reference field="4294967294" count="5">
            <x v="0"/>
            <x v="1"/>
            <x v="2"/>
            <x v="3"/>
            <x v="4"/>
          </reference>
        </references>
      </pivotArea>
    </format>
    <format dxfId="522">
      <pivotArea field="3" type="button" dataOnly="0" labelOnly="1" outline="0" axis="axisRow" fieldPosition="1"/>
    </format>
    <format dxfId="521">
      <pivotArea dataOnly="0" labelOnly="1" fieldPosition="0">
        <references count="1">
          <reference field="3" count="0"/>
        </references>
      </pivotArea>
    </format>
    <format dxfId="520">
      <pivotArea dataOnly="0" labelOnly="1" grandRow="1" outline="0" fieldPosition="0"/>
    </format>
    <format dxfId="519">
      <pivotArea dataOnly="0" labelOnly="1" fieldPosition="0">
        <references count="2">
          <reference field="3" count="1" selected="0">
            <x v="0"/>
          </reference>
          <reference field="5" count="1">
            <x v="0"/>
          </reference>
        </references>
      </pivotArea>
    </format>
    <format dxfId="518">
      <pivotArea dataOnly="0" labelOnly="1" fieldPosition="0">
        <references count="2">
          <reference field="3" count="1" selected="0">
            <x v="1"/>
          </reference>
          <reference field="5" count="2">
            <x v="1"/>
            <x v="2"/>
          </reference>
        </references>
      </pivotArea>
    </format>
    <format dxfId="517">
      <pivotArea dataOnly="0" labelOnly="1" fieldPosition="0">
        <references count="3">
          <reference field="3" count="1" selected="0">
            <x v="0"/>
          </reference>
          <reference field="5" count="1" selected="0">
            <x v="0"/>
          </reference>
          <reference field="9" count="1">
            <x v="0"/>
          </reference>
        </references>
      </pivotArea>
    </format>
    <format dxfId="516">
      <pivotArea dataOnly="0" labelOnly="1" fieldPosition="0">
        <references count="3">
          <reference field="3" count="1" selected="0">
            <x v="1"/>
          </reference>
          <reference field="5" count="1" selected="0">
            <x v="1"/>
          </reference>
          <reference field="9" count="8">
            <x v="1"/>
            <x v="2"/>
            <x v="3"/>
            <x v="4"/>
            <x v="5"/>
            <x v="6"/>
            <x v="7"/>
            <x v="8"/>
          </reference>
        </references>
      </pivotArea>
    </format>
    <format dxfId="515">
      <pivotArea dataOnly="0" labelOnly="1" fieldPosition="0">
        <references count="3">
          <reference field="3" count="1" selected="0">
            <x v="1"/>
          </reference>
          <reference field="5" count="1" selected="0">
            <x v="2"/>
          </reference>
          <reference field="9" count="1">
            <x v="9"/>
          </reference>
        </references>
      </pivotArea>
    </format>
    <format dxfId="51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1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1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1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1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0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0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0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0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0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0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0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0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0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0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9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9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9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9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89">
      <pivotArea dataOnly="0" labelOnly="1" fieldPosition="0">
        <references count="1">
          <reference field="13" count="0"/>
        </references>
      </pivotArea>
    </format>
    <format dxfId="488">
      <pivotArea dataOnly="0" labelOnly="1" fieldPosition="0">
        <references count="1">
          <reference field="13" count="0"/>
        </references>
      </pivotArea>
    </format>
    <format dxfId="487">
      <pivotArea type="all" dataOnly="0" outline="0" fieldPosition="0"/>
    </format>
    <format dxfId="486">
      <pivotArea outline="0" collapsedLevelsAreSubtotals="1" fieldPosition="0"/>
    </format>
    <format dxfId="485">
      <pivotArea field="32" type="button" dataOnly="0" labelOnly="1" outline="0" axis="axisRow" fieldPosition="0"/>
    </format>
    <format dxfId="484">
      <pivotArea dataOnly="0" labelOnly="1" grandRow="1" outline="0" fieldPosition="0"/>
    </format>
    <format dxfId="483">
      <pivotArea dataOnly="0" labelOnly="1" fieldPosition="0">
        <references count="2">
          <reference field="3" count="0"/>
          <reference field="32" count="0" selected="0"/>
        </references>
      </pivotArea>
    </format>
    <format dxfId="482">
      <pivotArea dataOnly="0" labelOnly="1" fieldPosition="0">
        <references count="3">
          <reference field="3" count="1" selected="0">
            <x v="0"/>
          </reference>
          <reference field="5" count="1">
            <x v="0"/>
          </reference>
          <reference field="32" count="0" selected="0"/>
        </references>
      </pivotArea>
    </format>
    <format dxfId="481">
      <pivotArea dataOnly="0" labelOnly="1" fieldPosition="0">
        <references count="3">
          <reference field="3" count="1" selected="0">
            <x v="1"/>
          </reference>
          <reference field="5" count="2">
            <x v="1"/>
            <x v="2"/>
          </reference>
          <reference field="32" count="0" selected="0"/>
        </references>
      </pivotArea>
    </format>
    <format dxfId="480">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479">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478">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477">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476">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475">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474">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473">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472">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471">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470">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469">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46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6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6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6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6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6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6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61">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46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5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5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5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5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55">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45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53">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452">
      <pivotArea dataOnly="0" labelOnly="1" outline="0" fieldPosition="0">
        <references count="1">
          <reference field="4294967294" count="5">
            <x v="0"/>
            <x v="1"/>
            <x v="2"/>
            <x v="3"/>
            <x v="4"/>
          </reference>
        </references>
      </pivotArea>
    </format>
    <format dxfId="451">
      <pivotArea dataOnly="0" labelOnly="1" fieldPosition="0">
        <references count="1">
          <reference field="33" count="0"/>
        </references>
      </pivotArea>
    </format>
    <format dxfId="450">
      <pivotArea dataOnly="0" labelOnly="1" fieldPosition="0">
        <references count="1">
          <reference field="34" count="0"/>
        </references>
      </pivotArea>
    </format>
    <format dxfId="449">
      <pivotArea dataOnly="0" labelOnly="1" fieldPosition="0">
        <references count="1">
          <reference field="34" count="0"/>
        </references>
      </pivotArea>
    </format>
    <format dxfId="448">
      <pivotArea dataOnly="0" labelOnly="1" fieldPosition="0">
        <references count="1">
          <reference field="34" count="0"/>
        </references>
      </pivotArea>
    </format>
    <format dxfId="447">
      <pivotArea dataOnly="0" labelOnly="1" fieldPosition="0">
        <references count="1">
          <reference field="34" count="0"/>
        </references>
      </pivotArea>
    </format>
    <format dxfId="446">
      <pivotArea dataOnly="0" labelOnly="1" fieldPosition="0">
        <references count="1">
          <reference field="33" count="0"/>
        </references>
      </pivotArea>
    </format>
    <format dxfId="445">
      <pivotArea dataOnly="0" labelOnly="1" fieldPosition="0">
        <references count="1">
          <reference field="33" count="0"/>
        </references>
      </pivotArea>
    </format>
    <format dxfId="444">
      <pivotArea dataOnly="0" labelOnly="1" fieldPosition="0">
        <references count="1">
          <reference field="33" count="0"/>
        </references>
      </pivotArea>
    </format>
    <format dxfId="443">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442">
      <pivotArea dataOnly="0" labelOnly="1" fieldPosition="0">
        <references count="4">
          <reference field="3" count="1" selected="0">
            <x v="0"/>
          </reference>
          <reference field="5" count="1" selected="0">
            <x v="0"/>
          </reference>
          <reference field="32" count="0" selected="0"/>
          <reference field="33" count="1">
            <x v="0"/>
          </reference>
        </references>
      </pivotArea>
    </format>
    <format dxfId="441">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440">
      <pivotArea dataOnly="0" labelOnly="1" fieldPosition="0">
        <references count="4">
          <reference field="3" count="1" selected="0">
            <x v="0"/>
          </reference>
          <reference field="5" count="1" selected="0">
            <x v="0"/>
          </reference>
          <reference field="32" count="0" selected="0"/>
          <reference field="33" count="1">
            <x v="1"/>
          </reference>
        </references>
      </pivotArea>
    </format>
    <format dxfId="439">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438">
      <pivotArea dataOnly="0" labelOnly="1" fieldPosition="0">
        <references count="4">
          <reference field="3" count="1" selected="0">
            <x v="1"/>
          </reference>
          <reference field="5" count="1" selected="0">
            <x v="1"/>
          </reference>
          <reference field="32" count="0" selected="0"/>
          <reference field="33" count="1">
            <x v="0"/>
          </reference>
        </references>
      </pivotArea>
    </format>
    <format dxfId="437">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436">
      <pivotArea dataOnly="0" labelOnly="1" fieldPosition="0">
        <references count="4">
          <reference field="3" count="1" selected="0">
            <x v="1"/>
          </reference>
          <reference field="5" count="1" selected="0">
            <x v="1"/>
          </reference>
          <reference field="32" count="0" selected="0"/>
          <reference field="33" count="1">
            <x v="1"/>
          </reference>
        </references>
      </pivotArea>
    </format>
    <format dxfId="435">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434">
      <pivotArea dataOnly="0" labelOnly="1" fieldPosition="0">
        <references count="4">
          <reference field="3" count="1" selected="0">
            <x v="1"/>
          </reference>
          <reference field="5" count="1" selected="0">
            <x v="1"/>
          </reference>
          <reference field="32" count="0" selected="0"/>
          <reference field="33" count="1">
            <x v="2"/>
          </reference>
        </references>
      </pivotArea>
    </format>
    <format dxfId="433">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432">
      <pivotArea dataOnly="0" labelOnly="1" fieldPosition="0">
        <references count="4">
          <reference field="3" count="1" selected="0">
            <x v="1"/>
          </reference>
          <reference field="5" count="1" selected="0">
            <x v="1"/>
          </reference>
          <reference field="32" count="0" selected="0"/>
          <reference field="33" count="1">
            <x v="3"/>
          </reference>
        </references>
      </pivotArea>
    </format>
    <format dxfId="431">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430">
      <pivotArea dataOnly="0" labelOnly="1" fieldPosition="0">
        <references count="4">
          <reference field="3" count="1" selected="0">
            <x v="1"/>
          </reference>
          <reference field="5" count="1" selected="0">
            <x v="2"/>
          </reference>
          <reference field="32" count="0" selected="0"/>
          <reference field="33" count="1">
            <x v="2"/>
          </reference>
        </references>
      </pivotArea>
    </format>
    <format dxfId="429">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28">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2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6">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5">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4">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2">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1">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0">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19">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18">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1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6">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5">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4">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2">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1">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0">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09">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08">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07">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6">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5">
      <pivotArea dataOnly="0" labelOnly="1" fieldPosition="0">
        <references count="1">
          <reference field="32" count="0"/>
        </references>
      </pivotArea>
    </format>
    <format dxfId="404">
      <pivotArea collapsedLevelsAreSubtotals="1" fieldPosition="0">
        <references count="1">
          <reference field="32" count="0"/>
        </references>
      </pivotArea>
    </format>
    <format dxfId="403">
      <pivotArea dataOnly="0" labelOnly="1" fieldPosition="0">
        <references count="1">
          <reference field="32" count="0"/>
        </references>
      </pivotArea>
    </format>
    <format dxfId="402">
      <pivotArea dataOnly="0" labelOnly="1" fieldPosition="0">
        <references count="1">
          <reference field="13" count="0"/>
        </references>
      </pivotArea>
    </format>
    <format dxfId="40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39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9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9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5">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89">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8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7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7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7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5">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6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6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6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5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5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3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3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1">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2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2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2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1">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19">
      <pivotArea dataOnly="0" labelOnly="1" fieldPosition="0">
        <references count="1">
          <reference field="11" count="0"/>
        </references>
      </pivotArea>
    </format>
    <format dxfId="318">
      <pivotArea dataOnly="0" labelOnly="1" fieldPosition="0">
        <references count="1">
          <reference field="11" count="0"/>
        </references>
      </pivotArea>
    </format>
    <format dxfId="317">
      <pivotArea dataOnly="0" labelOnly="1" fieldPosition="0">
        <references count="1">
          <reference field="13" count="0"/>
        </references>
      </pivotArea>
    </format>
    <format dxfId="316">
      <pivotArea dataOnly="0" labelOnly="1" fieldPosition="0">
        <references count="1">
          <reference field="13" count="0"/>
        </references>
      </pivotArea>
    </format>
    <format dxfId="315">
      <pivotArea dataOnly="0" labelOnly="1" fieldPosition="0">
        <references count="1">
          <reference field="34" count="0"/>
        </references>
      </pivotArea>
    </format>
    <format dxfId="314">
      <pivotArea dataOnly="0" labelOnly="1" fieldPosition="0">
        <references count="1">
          <reference field="34" count="0"/>
        </references>
      </pivotArea>
    </format>
    <format dxfId="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7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7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7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6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6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67">
      <pivotArea dataOnly="0" labelOnly="1" fieldPosition="0">
        <references count="1">
          <reference field="11" count="0"/>
        </references>
      </pivotArea>
    </format>
    <format dxfId="26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4">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2">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0">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2">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0">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49">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4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4">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2">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5">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4">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2">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1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1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1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1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0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0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0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0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9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9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4">
      <pivotArea outline="0" collapsedLevelsAreSubtotals="1" fieldPosition="0"/>
    </format>
    <format dxfId="19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9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9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9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89">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88">
      <pivotArea outline="0" collapsedLevelsAreSubtotals="1" fieldPosition="0"/>
    </format>
    <format dxfId="187">
      <pivotArea type="all" dataOnly="0" outline="0" fieldPosition="0"/>
    </format>
    <format dxfId="186">
      <pivotArea outline="0" collapsedLevelsAreSubtotals="1" fieldPosition="0"/>
    </format>
    <format dxfId="185">
      <pivotArea field="30" type="button" dataOnly="0" labelOnly="1" outline="0" axis="axisRow" fieldPosition="0"/>
    </format>
    <format dxfId="184">
      <pivotArea dataOnly="0" labelOnly="1" grandRow="1" outline="0" fieldPosition="0"/>
    </format>
    <format dxfId="183">
      <pivotArea dataOnly="0" labelOnly="1" outline="0" fieldPosition="0">
        <references count="1">
          <reference field="4294967294" count="4">
            <x v="0"/>
            <x v="1"/>
            <x v="2"/>
            <x v="3"/>
          </reference>
        </references>
      </pivotArea>
    </format>
    <format dxfId="182">
      <pivotArea dataOnly="0" labelOnly="1" fieldPosition="0">
        <references count="1">
          <reference field="30" count="0"/>
        </references>
      </pivotArea>
    </format>
    <format dxfId="181">
      <pivotArea collapsedLevelsAreSubtotals="1" fieldPosition="0">
        <references count="1">
          <reference field="30" count="1">
            <x v="0"/>
          </reference>
        </references>
      </pivotArea>
    </format>
    <format dxfId="180">
      <pivotArea dataOnly="0" labelOnly="1" fieldPosition="0">
        <references count="1">
          <reference field="30" count="1">
            <x v="0"/>
          </reference>
        </references>
      </pivotArea>
    </format>
    <format dxfId="179">
      <pivotArea collapsedLevelsAreSubtotals="1" fieldPosition="0">
        <references count="1">
          <reference field="30" count="1">
            <x v="1"/>
          </reference>
        </references>
      </pivotArea>
    </format>
    <format dxfId="178">
      <pivotArea dataOnly="0" labelOnly="1" fieldPosition="0">
        <references count="1">
          <reference field="30" count="1">
            <x v="1"/>
          </reference>
        </references>
      </pivotArea>
    </format>
    <format dxfId="177">
      <pivotArea collapsedLevelsAreSubtotals="1" fieldPosition="0">
        <references count="1">
          <reference field="30" count="1">
            <x v="2"/>
          </reference>
        </references>
      </pivotArea>
    </format>
    <format dxfId="176">
      <pivotArea dataOnly="0" labelOnly="1" fieldPosition="0">
        <references count="1">
          <reference field="30" count="1">
            <x v="2"/>
          </reference>
        </references>
      </pivotArea>
    </format>
    <format dxfId="175">
      <pivotArea collapsedLevelsAreSubtotals="1" fieldPosition="0">
        <references count="1">
          <reference field="30" count="1">
            <x v="3"/>
          </reference>
        </references>
      </pivotArea>
    </format>
    <format dxfId="174">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18">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17">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16">
      <calculatedColumnFormula>_xlfn.TEXTJOIN(" - ",TRUE,Subkoord[[#This Row],[id]],Subkoord[[#This Row],[skrdklpk]])</calculatedColumnFormula>
    </tableColumn>
    <tableColumn id="7" xr3:uid="{BB0E08D1-7433-45E1-9A8E-F09478BEE345}" name="Koordinator" dataDxfId="715">
      <calculatedColumnFormula array="1">INDEX(Koord[Koordinator],MATCH(1,(Subkoord[[#This Row],[id2]]=Koord[id2])*(Subkoord[[#This Row],[id3]]=Koord[id]),0))</calculatedColumnFormula>
    </tableColumn>
    <tableColumn id="8" xr3:uid="{CE9A8D26-5115-4AB0-A0D6-173532BAC073}" name="Eselon2" dataDxfId="714">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1" totalsRowShown="0" headerRowDxfId="710" dataDxfId="709" tableBorderDxfId="708">
  <autoFilter ref="B10:O171" xr:uid="{5439E600-4AE6-4A9C-BF96-1F8B4649EF5E}"/>
  <sortState xmlns:xlrd2="http://schemas.microsoft.com/office/spreadsheetml/2017/richdata2" ref="B16:O171">
    <sortCondition ref="C10:C171"/>
  </sortState>
  <tableColumns count="14">
    <tableColumn id="1" xr3:uid="{EA3EA993-E9B8-4175-AE78-56C2DE826084}" name="No" dataDxfId="707" totalsRowDxfId="706" dataCellStyle="Normal 4" totalsRowCellStyle="Normal 4"/>
    <tableColumn id="14" xr3:uid="{39BE1E11-4C0D-43C9-A7CF-CFD7B6D88EC1}" name="Urut" dataDxfId="705" totalsRowDxfId="704" dataCellStyle="Normal 4" totalsRowCellStyle="Normal 4"/>
    <tableColumn id="2" xr3:uid="{55765DF9-9B2D-49B2-8C10-51C6F4795A2B}" name="Nomor SP2D" dataDxfId="703" totalsRowDxfId="702" totalsRowCellStyle="Normal 4"/>
    <tableColumn id="3" xr3:uid="{95F2A4A6-178D-4D09-BEC2-A35DA9DD284C}" name="Tanggal SP2D" dataDxfId="701" totalsRowDxfId="700" totalsRowCellStyle="Normal 4"/>
    <tableColumn id="4" xr3:uid="{1BFC6E15-B107-44FC-880F-0FA398A70437}" name="Nilai SP2D" dataDxfId="699" totalsRowDxfId="698" dataCellStyle="Comma [0]" totalsRowCellStyle="Comma [0]"/>
    <tableColumn id="5" xr3:uid="{BA79B4B6-6D4D-4C40-A794-FBA956D546A8}" name="Jenis SPM" dataDxfId="697" totalsRowDxfId="696" totalsRowCellStyle="Normal 4"/>
    <tableColumn id="6" xr3:uid="{0728F6B3-877B-4801-849D-78A7FD394756}" name="Nomor Invoice" dataDxfId="695" totalsRowDxfId="694" totalsRowCellStyle="Normal 4"/>
    <tableColumn id="7" xr3:uid="{BC8C9A9E-906E-4F73-AA7C-36C21228DCD0}" name="Tanggal Invoice" dataDxfId="693" totalsRowDxfId="692" totalsRowCellStyle="Normal 4"/>
    <tableColumn id="8" xr3:uid="{4F370E97-CC92-41D4-B70A-C2C397F13E5F}" name="Jenis SP2D" dataDxfId="691" totalsRowDxfId="690" totalsRowCellStyle="Normal 4"/>
    <tableColumn id="9" xr3:uid="{5AB0F2BB-729E-4A36-99C2-531506F2E0D4}" name="Deskripsi" dataDxfId="689" totalsRowDxfId="688" totalsRowCellStyle="Normal 4"/>
    <tableColumn id="10" xr3:uid="{E9855FB4-726E-4E0F-A40E-89C5AF4CAAE7}" name="Bagian / Bidang" dataDxfId="687" totalsRowDxfId="686" dataCellStyle="Normal 4" totalsRowCellStyle="Normal 4"/>
    <tableColumn id="11" xr3:uid="{07CEE088-AC9A-406D-AECA-D9F23626D4D5}" name="Subbagian / Subbidang" dataDxfId="685" totalsRowDxfId="684" dataCellStyle="Normal 4" totalsRowCellStyle="Normal 4"/>
    <tableColumn id="13" xr3:uid="{7D701C80-B1AD-4D78-B3C3-525A71261916}" name="Status Realisasi" dataDxfId="683" dataCellStyle="Normal 4"/>
    <tableColumn id="12" xr3:uid="{BE916C21-2F59-4DE9-9BDF-707A1C1956B2}" name="all" dataDxfId="68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73" dataDxfId="172">
  <autoFilter ref="A3:BA143" xr:uid="{0C46C9EE-53F2-428C-9BE4-AA19FA2987DF}"/>
  <tableColumns count="53">
    <tableColumn id="1" xr3:uid="{A2BC3788-B1CE-4A3F-B6F3-D1D27F201210}" name="kddept" dataDxfId="171"/>
    <tableColumn id="2" xr3:uid="{2DB0BCF7-353A-4057-BFD0-5A9AFD7AD377}" name="kdunit" dataDxfId="170"/>
    <tableColumn id="3" xr3:uid="{6BCC3689-465C-41AB-AA41-B61148952378}" name="kdprogram" dataDxfId="169"/>
    <tableColumn id="4" xr3:uid="{2A5A7B58-839E-4216-A115-BA31451747CC}" name="Program" dataDxfId="168"/>
    <tableColumn id="5" xr3:uid="{B90B5CFD-D8F4-48C4-81DF-60CCA43D8B33}" name="kdgiat" dataDxfId="167"/>
    <tableColumn id="6" xr3:uid="{665306DE-5004-4796-BA54-AF3E581B23DE}" name="Kegiatan" dataDxfId="166"/>
    <tableColumn id="7" xr3:uid="{896282BA-49FB-4172-920C-20AE0DBD436D}" name="kdoutput" dataDxfId="165"/>
    <tableColumn id="8" xr3:uid="{81ACE6BC-C81E-44B5-AC16-FA7339E6C95D}" name="Output" dataDxfId="164"/>
    <tableColumn id="9" xr3:uid="{B9A79FBA-908D-418C-864B-733536EBB6AD}" name="kdsoutput" dataDxfId="163"/>
    <tableColumn id="10" xr3:uid="{8730A0E5-24CD-4DD0-97C9-7EB5897F6937}" name="SubOutput" dataDxfId="162"/>
    <tableColumn id="11" xr3:uid="{A1213678-0772-43DE-9A68-4CCAC2CAB97F}" name="kdkmpnen" dataDxfId="161"/>
    <tableColumn id="12" xr3:uid="{13F01672-806F-47CD-8E7B-DBEF02211C49}" name="Komponen" dataDxfId="160"/>
    <tableColumn id="13" xr3:uid="{EE24777D-4C50-49CF-9D51-B1D10E6B59C5}" name="kdskmpnen" dataDxfId="159"/>
    <tableColumn id="14" xr3:uid="{6B16732C-65AB-40BC-9BE7-38F27B545CA4}" name="SubKomponen" dataDxfId="158"/>
    <tableColumn id="15" xr3:uid="{9DE11426-CAD6-4307-AF79-5BA31FE425C4}" name="kdakun" dataDxfId="157"/>
    <tableColumn id="16" xr3:uid="{95D2AD80-8C0A-4582-9C73-FCD7148568BD}" name="Akun" dataDxfId="156"/>
    <tableColumn id="17" xr3:uid="{1099A73B-6EFE-4758-9112-C98BE9AF6233}" name="Pagu" dataDxfId="155" dataCellStyle="Comma [0]">
      <calculatedColumnFormula array="1">SUM(_xlfn._xlws.FILTER(DIPA2[PaguRevisi],DIPA2[Akun]=SP2D[[#This Row],[Kode Akun]],0))</calculatedColumnFormula>
    </tableColumn>
    <tableColumn id="18" xr3:uid="{F5761B11-9E81-4F7C-BD95-CB52A5BA049C}" name="Pagu Semula" dataDxfId="154" dataCellStyle="Comma [0]"/>
    <tableColumn id="52" xr3:uid="{756AF1CD-7E6D-49D5-9982-55502306D24E}" name="Blokir AA ke 1" dataDxfId="153" dataCellStyle="Comma [0]"/>
    <tableColumn id="53" xr3:uid="{6DF30DE6-28F7-4458-802A-BCB387ECC2BB}" name="Blokir AA ke 2" dataDxfId="152" dataCellStyle="Comma [0]">
      <calculatedColumnFormula>SP2D[[#This Row],[Pagu Semula]]-SP2D[[#This Row],[Pagu]]</calculatedColumnFormula>
    </tableColumn>
    <tableColumn id="19" xr3:uid="{D85464D1-34A4-4D62-B202-AA5B44380AE8}" name="Jan" dataDxfId="151">
      <calculatedColumnFormula>SUM('PER BULAN'!J92:L92)</calculatedColumnFormula>
    </tableColumn>
    <tableColumn id="20" xr3:uid="{59AFB7C3-9561-4F72-BA75-233CA8574E0E}" name="Feb" dataDxfId="150"/>
    <tableColumn id="21" xr3:uid="{339941D9-EB6A-4D9E-AAFD-8BC87914D9CD}" name="Mar" dataDxfId="149"/>
    <tableColumn id="22" xr3:uid="{4DB8271D-A562-4BDB-AF86-6803F5A0D6B6}" name="Apr" dataDxfId="148"/>
    <tableColumn id="23" xr3:uid="{A6296B83-2C3A-4B7B-B349-C7B81EF82E20}" name="Mei" dataDxfId="147"/>
    <tableColumn id="24" xr3:uid="{E35B9BB8-2C59-4938-BD17-AB6DA6D49836}" name="Jun" dataDxfId="146"/>
    <tableColumn id="25" xr3:uid="{0B56CE2F-22F5-4935-B179-82B908FFA45C}" name="Jul" dataDxfId="145"/>
    <tableColumn id="26" xr3:uid="{C5C2C340-1544-4521-9059-33AEBE3423A8}" name="Ags" dataDxfId="144"/>
    <tableColumn id="27" xr3:uid="{86511B91-6FBB-44C6-BFE0-FC75035E6D40}" name="Sep" dataDxfId="143"/>
    <tableColumn id="28" xr3:uid="{2C0763CA-B0D1-4434-BD74-3778A7A332E6}" name="Okt" dataDxfId="142"/>
    <tableColumn id="29" xr3:uid="{1D2AE206-2433-4713-B023-179D69FA3E25}" name="Nov" dataDxfId="141"/>
    <tableColumn id="30" xr3:uid="{C1E5584B-01F1-4175-8FA8-D285D3701F44}" name="Des" dataDxfId="140"/>
    <tableColumn id="31" xr3:uid="{3BEE2055-AE9D-40FE-AE62-8E331B1816BF}" name="eselon2" dataDxfId="139"/>
    <tableColumn id="32" xr3:uid="{A002471B-4101-4577-BC3A-704405B733FB}" name="koordinator" dataDxfId="138"/>
    <tableColumn id="33" xr3:uid="{D023DF90-D6C9-428C-971B-7DDF8C7D5F03}" name="Subkoordinator" dataDxfId="137"/>
    <tableColumn id="34" xr3:uid="{FE48F7A1-0956-4644-89C0-EA36C183F595}" name="Jns_Belanja" dataDxfId="136"/>
    <tableColumn id="35" xr3:uid="{BE3FC102-4A2C-4D3D-B515-5052A70FFDEB}" name="satker" dataDxfId="135"/>
    <tableColumn id="36" xr3:uid="{C44DBFA7-2D15-465C-8D00-F06B638B5ED4}" name="Realisasi" dataDxfId="134" dataCellStyle="Comma [0]">
      <calculatedColumnFormula>SUM(U4:AF4)</calculatedColumnFormula>
    </tableColumn>
    <tableColumn id="37" xr3:uid="{DE361282-2992-4D2B-992E-4096AF6D8E40}" name="Real %" dataDxfId="133">
      <calculatedColumnFormula>IFERROR(AL4/Q4*100,0)</calculatedColumnFormula>
    </tableColumn>
    <tableColumn id="38" xr3:uid="{EEF961EF-FF6A-40D5-A0B6-ED634EBADFBC}" name="Sisa" dataDxfId="132" dataCellStyle="Comma [0]">
      <calculatedColumnFormula>Q4-AL4</calculatedColumnFormula>
    </tableColumn>
    <tableColumn id="39" xr3:uid="{85643851-7A65-42C2-A08E-B6A7A8DA03F0}" name="Real %2" dataDxfId="131">
      <calculatedColumnFormula>IFERROR(AN4/Q4*100,0)</calculatedColumnFormula>
    </tableColumn>
    <tableColumn id="40" xr3:uid="{9E4F31F6-8A80-4410-976A-8EEA7368EA20}" name="Kode Akun" dataDxfId="130">
      <calculatedColumnFormula>_xlfn.TEXTJOIN(".",TRUE,C4,E4,G4,I4,K4,M4,O4)</calculatedColumnFormula>
    </tableColumn>
    <tableColumn id="41" xr3:uid="{0FDDBC90-1CC8-4C07-8122-50D2362EF739}" name="Status Covid" dataDxfId="129">
      <calculatedColumnFormula>IF(ISNUMBER(SEARCH("COVID",SP2D[[#This Row],[Akun]])),"COVID","Non COVID")</calculatedColumnFormula>
    </tableColumn>
    <tableColumn id="42" xr3:uid="{3D9BDB80-A0C7-4422-BA12-733AF91AF0E5}" name="Status Realisasi" dataDxfId="128">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27">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6"/>
    <tableColumn id="45" xr3:uid="{4B827D21-BED7-493A-98C2-BF92D20ACB6E}" name="TUP 1" dataDxfId="125"/>
    <tableColumn id="46" xr3:uid="{1A108E85-F9A8-4C5A-B9B2-E8E733C3D3EB}" name="GUP 2" dataDxfId="124"/>
    <tableColumn id="47" xr3:uid="{197D7FA7-EA56-478F-AC63-0B5D47D9765B}" name="GUP 3" dataDxfId="123"/>
    <tableColumn id="48" xr3:uid="{4614C9FA-2AB0-4D2D-AA55-13680C8EE8C5}" name="GUP 4" dataDxfId="122"/>
    <tableColumn id="49" xr3:uid="{9B9C7D3C-BD3B-413C-9633-5B1476894793}" name="GUP 5" dataDxfId="121"/>
    <tableColumn id="50" xr3:uid="{7F81D278-F155-4728-BD7E-4DD553D05EAC}" name="TUP 2 (1)" dataDxfId="120"/>
    <tableColumn id="51" xr3:uid="{40F6E74E-B62F-4684-A934-E1FBCD0EDECE}" name="TUP 2 (2)" dataDxfId="11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8" dataDxfId="117">
  <autoFilter ref="A3:BA15" xr:uid="{0218787B-FAFB-4E31-BAF7-C07090CCABB5}"/>
  <tableColumns count="53">
    <tableColumn id="1" xr3:uid="{80105D8C-B6CC-4C67-A0D5-A51108634790}" name="kddept" dataDxfId="116"/>
    <tableColumn id="2" xr3:uid="{79F788C4-BE24-4442-B4A5-787846FC3242}" name="kdunit" dataDxfId="115"/>
    <tableColumn id="3" xr3:uid="{F5607343-B1C5-442F-9F62-66DAB70DF978}" name="kdprogram" dataDxfId="114"/>
    <tableColumn id="4" xr3:uid="{67275D4D-383A-492A-9FB0-586605819489}" name="Program" dataDxfId="113"/>
    <tableColumn id="5" xr3:uid="{7E089115-5279-4639-B5C8-B5B142691A5E}" name="kdgiat" dataDxfId="112"/>
    <tableColumn id="6" xr3:uid="{86B452FA-0999-4C13-97B6-34303305E62C}" name="Kegiatan" dataDxfId="111"/>
    <tableColumn id="7" xr3:uid="{098073A3-0D75-44F5-98F3-9D58ABD0F494}" name="kdoutput" dataDxfId="110"/>
    <tableColumn id="8" xr3:uid="{DD29FD42-F6B4-48DB-ABD5-0B9035D7350B}" name="Output" dataDxfId="109"/>
    <tableColumn id="9" xr3:uid="{DD7BECAC-0FA2-4D83-AFED-EA1423BBAE3B}" name="kdsoutput" dataDxfId="108"/>
    <tableColumn id="10" xr3:uid="{41EDA2EB-4FE5-485A-9A85-BC1CF6F808E6}" name="SubOutput" dataDxfId="107"/>
    <tableColumn id="11" xr3:uid="{0C0092F1-3B9A-4262-87F2-DF8809ADB48A}" name="kdkmpnen" dataDxfId="106"/>
    <tableColumn id="12" xr3:uid="{7F02E6EE-4073-428C-A01E-C7F9404E22AB}" name="Komponen" dataDxfId="105"/>
    <tableColumn id="13" xr3:uid="{D5E22675-8A73-40C8-BA6D-4D22AD4BD880}" name="kdskmpnen" dataDxfId="104"/>
    <tableColumn id="14" xr3:uid="{21C5F2BB-4B18-41F3-8B47-CA7C999E1D95}" name="SubKomponen" dataDxfId="103"/>
    <tableColumn id="15" xr3:uid="{7EF6CEAB-DE31-4DEA-B8DF-BDD5AD5C3604}" name="kdakun" dataDxfId="102"/>
    <tableColumn id="16" xr3:uid="{897A6630-15AA-4E92-AF17-989B50249F0B}" name="Akun" dataDxfId="101"/>
    <tableColumn id="17" xr3:uid="{F469B670-C97B-4C45-BFA1-11EC2F3BBE30}" name="Pagu" dataDxfId="100" dataCellStyle="Comma [0]">
      <calculatedColumnFormula array="1">SUM(_xlfn._xlws.FILTER(DIPA2[PaguRevisi],DIPA2[Akun]=SP2D_GAJI[[#This Row],[Kode Akun]],0))</calculatedColumnFormula>
    </tableColumn>
    <tableColumn id="18" xr3:uid="{331F462C-70B7-43E1-8F2C-778E95ACAEA1}" name="Pagu Semula" dataDxfId="99" dataCellStyle="Comma [0]"/>
    <tableColumn id="52" xr3:uid="{2F016D06-D133-47D7-B695-4667F3490729}" name="Blokir AA ke 1" dataDxfId="98" dataCellStyle="Comma [0]"/>
    <tableColumn id="53" xr3:uid="{165EF6BA-1776-4571-B8AD-920C3A030766}" name="Blokir AA ke 2" dataDxfId="97" dataCellStyle="Comma [0]"/>
    <tableColumn id="19" xr3:uid="{D0C2276A-7026-4576-85D7-919441521A6C}" name="Jan" dataDxfId="96">
      <calculatedColumnFormula>SUM('PER BULAN'!J238:L238)</calculatedColumnFormula>
    </tableColumn>
    <tableColumn id="20" xr3:uid="{A9EF8502-8C6E-4766-AD68-658B4D1E747D}" name="Feb" dataDxfId="95">
      <calculatedColumnFormula>SUM('PER BULAN'!M238:O238)</calculatedColumnFormula>
    </tableColumn>
    <tableColumn id="21" xr3:uid="{746DC00C-C89E-4DDA-BBC9-1D134830D029}" name="Mar" dataDxfId="94">
      <calculatedColumnFormula>SUM('PER BULAN'!P238:R238)</calculatedColumnFormula>
    </tableColumn>
    <tableColumn id="22" xr3:uid="{05F5FC17-0CBB-4151-889F-60CFCD7C34DD}" name="Apr" dataDxfId="93">
      <calculatedColumnFormula>SUM('PER BULAN'!S238:U238)</calculatedColumnFormula>
    </tableColumn>
    <tableColumn id="23" xr3:uid="{C42FB8F4-7097-4474-A778-F18CBF2B07B1}" name="Mei" dataDxfId="92">
      <calculatedColumnFormula>SUM('PER BULAN'!V238:X238)</calculatedColumnFormula>
    </tableColumn>
    <tableColumn id="24" xr3:uid="{F4454E89-E22D-410A-82EB-5F0DC627F170}" name="Jun" dataDxfId="91">
      <calculatedColumnFormula>SUM('PER BULAN'!Y238:AA238)</calculatedColumnFormula>
    </tableColumn>
    <tableColumn id="25" xr3:uid="{2AA6CCE9-FDEE-48C4-8B21-D75DF41DA271}" name="Jul" dataDxfId="90">
      <calculatedColumnFormula>SUM('PER BULAN'!AB238:AD238)</calculatedColumnFormula>
    </tableColumn>
    <tableColumn id="26" xr3:uid="{7FACB806-C5A3-48BA-9D07-F51AF74D0E09}" name="Ags" dataDxfId="89">
      <calculatedColumnFormula>SUM('PER BULAN'!AE238:AG238)</calculatedColumnFormula>
    </tableColumn>
    <tableColumn id="27" xr3:uid="{C4B9A446-705C-463E-B7DA-7A0740B8C905}" name="Sep" dataDxfId="88">
      <calculatedColumnFormula>SUM('PER BULAN'!AH238:AJ238)</calculatedColumnFormula>
    </tableColumn>
    <tableColumn id="28" xr3:uid="{5AAFBEBC-03FC-4E4A-83F9-E67BEB3D5981}" name="Okt" dataDxfId="87">
      <calculatedColumnFormula>SUM('PER BULAN'!AK238:AM238)</calculatedColumnFormula>
    </tableColumn>
    <tableColumn id="29" xr3:uid="{4906B5CD-CEE5-4A98-B22E-AC637B561A64}" name="Nov" dataDxfId="86">
      <calculatedColumnFormula>SUM('PER BULAN'!AN238:AP238)</calculatedColumnFormula>
    </tableColumn>
    <tableColumn id="30" xr3:uid="{CE67CAFB-1501-4D81-9EF9-85B2D20132C0}" name="Des" dataDxfId="85">
      <calculatedColumnFormula>SUM('PER BULAN'!AQ238:AS238)</calculatedColumnFormula>
    </tableColumn>
    <tableColumn id="31" xr3:uid="{68D2BC5B-AA42-4205-92C2-22EE6E2A455F}" name="eselon2" dataDxfId="84"/>
    <tableColumn id="32" xr3:uid="{BA84A518-BE39-4F09-B013-2F165F75B2C4}" name="koordinator" dataDxfId="83"/>
    <tableColumn id="33" xr3:uid="{056A603E-AF28-4BB5-BFC3-BCB9B9C999CA}" name="Subkoordinator" dataDxfId="82"/>
    <tableColumn id="34" xr3:uid="{D4673DE9-E399-427A-A7FA-55224584489E}" name="Jns_Belanja" dataDxfId="81"/>
    <tableColumn id="35" xr3:uid="{A8855799-45D2-43E8-83A2-AA11614A2AB5}" name="satker" dataDxfId="80"/>
    <tableColumn id="36" xr3:uid="{7FE40A5B-7697-4CF3-B532-E8DEA6942EA1}" name="Realisasi" dataDxfId="79" dataCellStyle="Comma [0]">
      <calculatedColumnFormula>SUM(U4:AF4)</calculatedColumnFormula>
    </tableColumn>
    <tableColumn id="37" xr3:uid="{485221C0-0D00-438E-BDE5-343CD7B9DEA0}" name="Real %" dataDxfId="78">
      <calculatedColumnFormula>IFERROR(AL4/Q4*100,0)</calculatedColumnFormula>
    </tableColumn>
    <tableColumn id="38" xr3:uid="{8B93FCA3-495B-49BB-8273-31AF01368B83}" name="Sisa" dataDxfId="77" dataCellStyle="Comma [0]">
      <calculatedColumnFormula>Q4-AL4</calculatedColumnFormula>
    </tableColumn>
    <tableColumn id="39" xr3:uid="{E92777FB-21B0-4FEC-B74B-99E5CBE0B3F9}" name="Real %2" dataDxfId="76">
      <calculatedColumnFormula>IFERROR(AN4/Q4*100,0)</calculatedColumnFormula>
    </tableColumn>
    <tableColumn id="40" xr3:uid="{AF8769F5-B4D9-4C85-9DA8-FD27BDBB1A6C}" name="Kode Akun" dataDxfId="75">
      <calculatedColumnFormula>_xlfn.TEXTJOIN(".",TRUE,C4,E4,G4,I4,K4,M4,O4)</calculatedColumnFormula>
    </tableColumn>
    <tableColumn id="41" xr3:uid="{3D3B549A-EABA-490D-9DA6-37523724BE61}" name="Status Covid" dataDxfId="74">
      <calculatedColumnFormula>IF(ISNUMBER(SEARCH("COVID",SP2D_GAJI[[#This Row],[Akun]])),"COVID","Non COVID")</calculatedColumnFormula>
    </tableColumn>
    <tableColumn id="42" xr3:uid="{184FBB69-68B1-4E38-891F-51917E4DC587}" name="Status Realisasi" dataDxfId="73">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72">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71"/>
    <tableColumn id="45" xr3:uid="{9C1934D8-99CF-4988-9800-1BFA557120E5}" name="TUP 1" dataDxfId="70"/>
    <tableColumn id="46" xr3:uid="{A4CF8F3D-CD3D-44F3-9820-88903E09EF80}" name="GUP 2" dataDxfId="69"/>
    <tableColumn id="47" xr3:uid="{099E42CD-67D0-44DB-B845-55EC12EB7D6E}" name="GUP 3" dataDxfId="68"/>
    <tableColumn id="48" xr3:uid="{B5E0BACE-F6DB-4087-90C7-B2D17ED966B6}" name="GUP 4" dataDxfId="67"/>
    <tableColumn id="49" xr3:uid="{BDAA27ED-0F52-48FE-B061-0279E351DC40}" name="GUP 5" dataDxfId="66"/>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9" headerRowBorderDxfId="58" tableBorderDxfId="57">
  <autoFilter ref="B234:BH250" xr:uid="{A3F03F6D-6A59-461B-A929-C35C787407F3}"/>
  <tableColumns count="59">
    <tableColumn id="1" xr3:uid="{006731C9-F32D-4A40-8CDB-A1548E10C0D4}" name="KODE" dataDxfId="56"/>
    <tableColumn id="2" xr3:uid="{A9307D7A-2701-4752-B274-B25BEF4C5078}" name="URAIAN" dataDxfId="55"/>
    <tableColumn id="3" xr3:uid="{FCCF3154-C285-471C-AC86-6DCF2BB5907D}" name="VOL" dataDxfId="54"/>
    <tableColumn id="4" xr3:uid="{C6A127B2-6CDD-4E0C-AF9D-730F6DDD09BC}" name="SATUAN" dataDxfId="53"/>
    <tableColumn id="5" xr3:uid="{3F90CE26-DF36-4D37-9C47-12A1CEB8D773}" name="Pagu Revisi" dataDxfId="52" dataCellStyle="Comma [0]"/>
    <tableColumn id="6" xr3:uid="{A2F11568-8A8E-4AFC-9F99-BFB17EAEEC9C}" name="Pagu Semula" dataDxfId="51" dataCellStyle="Comma [0]"/>
    <tableColumn id="7" xr3:uid="{B7EE8BCB-D0ED-4450-8EBB-6FD673560D7C}" name="Blokir AA ke 1" dataDxfId="50" dataCellStyle="Comma [0]"/>
    <tableColumn id="8" xr3:uid="{9EDAF3A8-6D97-400A-848D-D47BF571F43E}" name="Blokir AA ke 2" dataDxfId="49" dataCellStyle="Comma [0]">
      <calculatedColumnFormula>G235-F235</calculatedColumnFormula>
    </tableColumn>
    <tableColumn id="9" xr3:uid="{63315451-3A2B-4613-A63E-C9450FC73D6C}" name="JANUARI" dataDxfId="48" dataCellStyle="Comma [0]"/>
    <tableColumn id="10" xr3:uid="{16EC35FF-13CF-4870-920C-AAB913E770C7}" name="Column4" dataDxfId="47" dataCellStyle="Comma [0]"/>
    <tableColumn id="11" xr3:uid="{729D99E3-0A52-4B2E-A9C0-DE02E05ED840}" name="Column5" dataDxfId="46" dataCellStyle="Comma [0]"/>
    <tableColumn id="12" xr3:uid="{AB374DB6-7598-4C30-A85F-F63F132B7BA1}" name="FEBRUARI" dataDxfId="45" dataCellStyle="Normal 5"/>
    <tableColumn id="13" xr3:uid="{2D1151EC-AD11-4F11-9D1D-698FBA569F26}" name="Column6" dataDxfId="44" dataCellStyle="Comma [0]"/>
    <tableColumn id="14" xr3:uid="{C25F446B-37CA-4C46-8DE3-5CBDF83F99DF}" name="Column7" dataDxfId="43" dataCellStyle="Comma [0]"/>
    <tableColumn id="15" xr3:uid="{2B771376-C41A-4F53-BC5F-03146D6453D2}" name="MARET" dataDxfId="42" dataCellStyle="Normal 5"/>
    <tableColumn id="16" xr3:uid="{26AE15C1-AF2B-46A7-ADBC-F20B8677DE0D}" name="Column8" dataDxfId="41" dataCellStyle="Comma [0]"/>
    <tableColumn id="17" xr3:uid="{DFBDA772-EF7F-41E6-9DFB-E477C75E4388}" name="Column9" dataDxfId="40" dataCellStyle="Comma [0]"/>
    <tableColumn id="18" xr3:uid="{041FDBBB-13D6-40FC-B497-A1E84A4034E8}" name="APRIL" dataDxfId="39" dataCellStyle="Normal 5"/>
    <tableColumn id="19" xr3:uid="{6168E056-C134-418C-BAA8-73541257F097}" name="Column10" dataDxfId="38" dataCellStyle="Comma [0]"/>
    <tableColumn id="20" xr3:uid="{ECE7E801-4FE3-4CB0-B83E-AEDB75DF320F}" name="Column11" dataDxfId="37" dataCellStyle="Comma [0]"/>
    <tableColumn id="21" xr3:uid="{44FEDD28-091B-4680-A5C6-30F0F745EBBE}" name="MEI" dataDxfId="36"/>
    <tableColumn id="22" xr3:uid="{34244EC1-125A-49F5-8D4B-77C41595EB78}" name="Column12" dataDxfId="35" dataCellStyle="Comma [0]"/>
    <tableColumn id="23" xr3:uid="{695AAE0C-3DE2-4C12-A556-529DF387A4B7}" name="Column13" dataDxfId="34" dataCellStyle="Comma [0]"/>
    <tableColumn id="24" xr3:uid="{EE45409D-1AE3-4403-87A9-813634308CF5}" name="JUNI" dataDxfId="33" dataCellStyle="Comma [0]"/>
    <tableColumn id="25" xr3:uid="{5F933D02-7432-46D2-889E-A346FBEB81C1}" name="Column14" dataDxfId="32" dataCellStyle="Comma [0]"/>
    <tableColumn id="26" xr3:uid="{E340073A-FA27-4696-9028-62785F671D51}" name="Column15" dataDxfId="31" dataCellStyle="Comma [0]"/>
    <tableColumn id="27" xr3:uid="{3C80F9B3-4335-4BCB-A2DB-8F873DB578A1}" name="JULI" dataDxfId="30" dataCellStyle="Comma [0]"/>
    <tableColumn id="28" xr3:uid="{0B52D128-430F-4AE8-AF42-C77BCC1DE967}" name="Column16" dataDxfId="29" dataCellStyle="Comma [0]"/>
    <tableColumn id="29" xr3:uid="{9AA400AA-D217-47D3-8A29-9AD35366E1E5}" name="Column17" dataDxfId="28" dataCellStyle="Comma [0]"/>
    <tableColumn id="30" xr3:uid="{7A16243F-CC4F-4632-957C-54DF727D1493}" name="AGUSTUS" dataDxfId="27" dataCellStyle="Comma [0]"/>
    <tableColumn id="31" xr3:uid="{F53FA9C1-6878-4D23-96E5-3E23407112F3}" name="Column18" dataDxfId="26" dataCellStyle="Comma [0]"/>
    <tableColumn id="32" xr3:uid="{56226304-FD99-45E9-B47F-4A0989BC4182}" name="Column19" dataDxfId="25" dataCellStyle="Comma [0]"/>
    <tableColumn id="33" xr3:uid="{918328DE-54FE-4538-8A7A-0C76AA1E939A}" name="SEPTEMBER" dataDxfId="24" dataCellStyle="Comma [0]"/>
    <tableColumn id="34" xr3:uid="{D961E510-3ED4-4CF9-A7AF-9649B976EA3E}" name="Column20" dataDxfId="23" dataCellStyle="Comma [0]"/>
    <tableColumn id="35" xr3:uid="{91DB1DE3-8092-461D-A09A-AE460872B6BA}" name="Column21" dataDxfId="22" dataCellStyle="Comma [0]"/>
    <tableColumn id="36" xr3:uid="{CE58699D-2136-4257-BAD1-7398B982526B}" name="OKTOBER" dataDxfId="21" dataCellStyle="Comma [0]"/>
    <tableColumn id="37" xr3:uid="{1F4E6F0B-F4F1-4921-A7D5-72862BF6A622}" name="Column22" dataDxfId="20" dataCellStyle="Comma [0]"/>
    <tableColumn id="38" xr3:uid="{B76BAD65-739D-4E3A-852D-D26916987757}" name="Column23" dataDxfId="19" dataCellStyle="Comma [0]"/>
    <tableColumn id="39" xr3:uid="{12105BE2-33F4-4402-9A97-62E8F6987E7A}" name="NOVEMBER" dataDxfId="18" dataCellStyle="Comma [0]"/>
    <tableColumn id="40" xr3:uid="{C58384D0-120F-4BEC-B941-E06587266945}" name="Column24" dataDxfId="17" dataCellStyle="Comma [0]"/>
    <tableColumn id="41" xr3:uid="{A058820D-F058-4589-9874-D1A00D172D60}" name="Column25" dataDxfId="16" dataCellStyle="Comma [0]"/>
    <tableColumn id="42" xr3:uid="{CE32C95C-C534-407E-B4B0-C5BE507ACC7B}" name="DESEMBER" dataDxfId="15" dataCellStyle="Comma [0]"/>
    <tableColumn id="43" xr3:uid="{4AA20C6C-166D-40D3-B153-84B32F3DA47E}" name="Column26" dataDxfId="14" dataCellStyle="Comma [0]"/>
    <tableColumn id="44" xr3:uid="{B6199075-DD1D-4379-9C80-D5E0E5D4086B}" name="Column27" dataDxfId="13" dataCellStyle="Comma [0]"/>
    <tableColumn id="45" xr3:uid="{025D8148-41D1-493D-8F91-43A4491832E5}" name="REALISASI" dataDxfId="12" dataCellStyle="Comma [0]">
      <calculatedColumnFormula>SUM(J235:AS235)</calculatedColumnFormula>
    </tableColumn>
    <tableColumn id="46" xr3:uid="{EB91123A-1AE6-419C-99DE-3A8BFD669434}" name="%" dataDxfId="11">
      <calculatedColumnFormula>IFERROR(AT235/F235*100,0)</calculatedColumnFormula>
    </tableColumn>
    <tableColumn id="47" xr3:uid="{B367B8B8-4A10-4559-8042-C79AD776D92F}" name="SISA PAGU" dataDxfId="10">
      <calculatedColumnFormula>F235-AT235</calculatedColumnFormula>
    </tableColumn>
    <tableColumn id="48" xr3:uid="{4447787F-4DC2-4E59-B3FB-02DC54A3FEB4}" name="%28" dataDxfId="9">
      <calculatedColumnFormula>AV235/F235*100</calculatedColumnFormula>
    </tableColumn>
    <tableColumn id="49" xr3:uid="{C7CC6506-6ABE-4181-9F4B-FEC5B702B017}" name="KOORDINATOR" dataDxfId="8"/>
    <tableColumn id="50" xr3:uid="{048FA016-E7FA-4ECE-BABA-429AD0AEF890}" name="Subkoordinator"/>
    <tableColumn id="51" xr3:uid="{B38F358A-82BF-496A-A23D-71F2B98B29E5}" name="Jenis Belanja Barang"/>
    <tableColumn id="52" xr3:uid="{DB80BE10-1DFD-4F7D-BB32-35C9FE353EFD}" name="SPBy" dataDxfId="7" dataCellStyle="Comma [0]"/>
    <tableColumn id="53" xr3:uid="{078C675B-A0F3-404E-848C-5D5DFFD077BC}" name="Column29"/>
    <tableColumn id="54" xr3:uid="{434FFD64-27FE-4383-9669-FEE5F6BE4180}" name="Column30" dataDxfId="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 totalsRowDxfId="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6" t="s">
        <v>598</v>
      </c>
      <c r="C1" s="446"/>
      <c r="D1" s="446"/>
      <c r="E1" s="446"/>
      <c r="F1" s="446"/>
      <c r="G1" s="446"/>
      <c r="I1" s="9"/>
    </row>
    <row r="2" spans="1:10" ht="15" x14ac:dyDescent="0.25">
      <c r="B2" s="447" t="s">
        <v>614</v>
      </c>
      <c r="C2" s="447"/>
      <c r="D2" s="447"/>
      <c r="E2" s="447"/>
      <c r="F2" s="447"/>
      <c r="G2" s="447"/>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8" t="s">
        <v>606</v>
      </c>
      <c r="C9" s="450" t="s">
        <v>607</v>
      </c>
      <c r="D9" s="451" t="s">
        <v>608</v>
      </c>
      <c r="E9" s="448" t="s">
        <v>609</v>
      </c>
      <c r="F9" s="451" t="s">
        <v>610</v>
      </c>
      <c r="G9" s="451" t="s">
        <v>611</v>
      </c>
      <c r="I9" s="14"/>
    </row>
    <row r="10" spans="1:10" s="16" customFormat="1" ht="15" x14ac:dyDescent="0.25">
      <c r="A10" s="15" t="s">
        <v>499</v>
      </c>
      <c r="B10" s="449"/>
      <c r="C10" s="449"/>
      <c r="D10" s="449"/>
      <c r="E10" s="452"/>
      <c r="F10" s="449"/>
      <c r="G10" s="449"/>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3" t="s">
        <v>596</v>
      </c>
      <c r="J13" s="444" t="s">
        <v>597</v>
      </c>
    </row>
    <row r="14" spans="1:10" x14ac:dyDescent="0.2">
      <c r="A14" s="7" t="s">
        <v>199</v>
      </c>
      <c r="B14" s="25" t="s">
        <v>194</v>
      </c>
      <c r="C14" s="26" t="s">
        <v>2</v>
      </c>
      <c r="D14" s="25"/>
      <c r="E14" s="55"/>
      <c r="F14" s="27"/>
      <c r="G14" s="27">
        <v>1500000000</v>
      </c>
      <c r="I14" s="443"/>
      <c r="J14" s="444"/>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5"/>
      <c r="J22" s="445"/>
    </row>
    <row r="23" spans="1:10" x14ac:dyDescent="0.2">
      <c r="A23" s="7" t="s">
        <v>208</v>
      </c>
      <c r="B23" s="43" t="s">
        <v>195</v>
      </c>
      <c r="C23" s="44" t="s">
        <v>620</v>
      </c>
      <c r="D23" s="47">
        <v>1</v>
      </c>
      <c r="E23" s="61" t="s">
        <v>9</v>
      </c>
      <c r="F23" s="45">
        <v>1000000</v>
      </c>
      <c r="G23" s="45">
        <v>1000000</v>
      </c>
      <c r="I23" s="445"/>
      <c r="J23" s="445"/>
    </row>
    <row r="24" spans="1:10" x14ac:dyDescent="0.2">
      <c r="A24" s="7" t="s">
        <v>209</v>
      </c>
      <c r="B24" s="40" t="s">
        <v>516</v>
      </c>
      <c r="C24" s="41" t="s">
        <v>11</v>
      </c>
      <c r="D24" s="40"/>
      <c r="E24" s="60"/>
      <c r="F24" s="42"/>
      <c r="G24" s="42">
        <v>9000000</v>
      </c>
      <c r="I24" s="445"/>
      <c r="J24" s="445"/>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6" t="s">
        <v>598</v>
      </c>
      <c r="C1" s="446"/>
      <c r="D1" s="446"/>
      <c r="E1" s="446"/>
      <c r="F1" s="446"/>
      <c r="G1" s="454"/>
      <c r="H1" s="269"/>
      <c r="I1" s="269"/>
      <c r="J1" s="269"/>
      <c r="K1" s="269"/>
    </row>
    <row r="2" spans="1:13" ht="15.75" x14ac:dyDescent="0.25">
      <c r="B2" s="455" t="s">
        <v>4186</v>
      </c>
      <c r="C2" s="455"/>
      <c r="D2" s="455"/>
      <c r="E2" s="455"/>
      <c r="F2" s="455"/>
      <c r="G2" s="456"/>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7" t="s">
        <v>606</v>
      </c>
      <c r="C9" s="458" t="s">
        <v>607</v>
      </c>
      <c r="D9" s="459" t="s">
        <v>608</v>
      </c>
      <c r="E9" s="457" t="s">
        <v>609</v>
      </c>
      <c r="F9" s="459" t="s">
        <v>610</v>
      </c>
      <c r="G9" s="453" t="s">
        <v>3848</v>
      </c>
      <c r="H9" s="453" t="s">
        <v>3849</v>
      </c>
      <c r="I9" s="453" t="s">
        <v>3846</v>
      </c>
      <c r="J9" s="453" t="s">
        <v>3850</v>
      </c>
      <c r="K9" s="453" t="s">
        <v>3846</v>
      </c>
    </row>
    <row r="10" spans="1:13" s="133" customFormat="1" ht="14.25" customHeight="1" x14ac:dyDescent="0.2">
      <c r="A10" s="132" t="s">
        <v>499</v>
      </c>
      <c r="B10" s="449"/>
      <c r="C10" s="449"/>
      <c r="D10" s="452"/>
      <c r="E10" s="452"/>
      <c r="F10" s="449"/>
      <c r="G10" s="449"/>
      <c r="H10" s="453"/>
      <c r="I10" s="453"/>
      <c r="J10" s="453"/>
      <c r="K10" s="453"/>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770" priority="18">
      <formula>NOT(_xlfn.ISFORMULA(G12))</formula>
    </cfRule>
  </conditionalFormatting>
  <conditionalFormatting sqref="B11:K12 K56:K57">
    <cfRule type="expression" dxfId="769" priority="19">
      <formula>AND(#REF!="Ya",#REF!=ROW())</formula>
    </cfRule>
  </conditionalFormatting>
  <conditionalFormatting sqref="B13:J57">
    <cfRule type="expression" dxfId="768" priority="22">
      <formula>AND(#REF!="Ya",#REF!=ROW())</formula>
    </cfRule>
  </conditionalFormatting>
  <conditionalFormatting sqref="K13:K56">
    <cfRule type="expression" dxfId="767" priority="4">
      <formula>AND(#REF!="Ya",#REF!=ROW())</formula>
    </cfRule>
  </conditionalFormatting>
  <conditionalFormatting sqref="I55:I56 I53 I49 I47 I45 I41 I37 I33 I29 I25 I21 I13:I17">
    <cfRule type="expression" dxfId="766" priority="3">
      <formula>AND(#REF!="Ya",#REF!=ROW())</formula>
    </cfRule>
  </conditionalFormatting>
  <conditionalFormatting sqref="J55:J56 J53 J49 J47 J45 J41 J37 J33 J29 J25 J21 J13:J17">
    <cfRule type="expression" dxfId="765" priority="2">
      <formula>AND(#REF!="Ya",#REF!=ROW())</formula>
    </cfRule>
  </conditionalFormatting>
  <conditionalFormatting sqref="K55 K53 K49 K47 K45 K41 K37 K33 K29 K25 K21 K13:K17">
    <cfRule type="expression" dxfId="764"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94" activePane="bottomRight" state="frozen"/>
      <selection activeCell="B1" sqref="B1"/>
      <selection pane="topRight" activeCell="D1" sqref="D1"/>
      <selection pane="bottomLeft" activeCell="B12" sqref="B12"/>
      <selection pane="bottomRight" activeCell="E107" sqref="E107"/>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6" t="s">
        <v>598</v>
      </c>
      <c r="C1" s="446"/>
      <c r="D1" s="446"/>
      <c r="E1" s="446"/>
      <c r="F1" s="446"/>
      <c r="G1" s="454"/>
      <c r="H1" s="234"/>
      <c r="I1" s="234"/>
      <c r="J1" s="234"/>
    </row>
    <row r="2" spans="1:24" ht="15.75" x14ac:dyDescent="0.25">
      <c r="B2" s="455" t="s">
        <v>4012</v>
      </c>
      <c r="C2" s="455"/>
      <c r="D2" s="455"/>
      <c r="E2" s="455"/>
      <c r="F2" s="455"/>
      <c r="G2" s="456"/>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7" t="s">
        <v>606</v>
      </c>
      <c r="C9" s="458" t="s">
        <v>607</v>
      </c>
      <c r="D9" s="459" t="s">
        <v>608</v>
      </c>
      <c r="E9" s="457" t="s">
        <v>609</v>
      </c>
      <c r="F9" s="459" t="s">
        <v>610</v>
      </c>
      <c r="G9" s="453" t="s">
        <v>611</v>
      </c>
      <c r="H9" s="152"/>
      <c r="I9" s="152"/>
      <c r="J9" s="152"/>
      <c r="K9" s="460" t="s">
        <v>3827</v>
      </c>
      <c r="L9" s="460"/>
      <c r="M9" s="460"/>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9"/>
      <c r="C10" s="449"/>
      <c r="D10" s="452"/>
      <c r="E10" s="452"/>
      <c r="F10" s="449"/>
      <c r="G10" s="449"/>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14.2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763" priority="14">
      <formula>NOT(_xlfn.ISFORMULA(G12))</formula>
    </cfRule>
  </conditionalFormatting>
  <conditionalFormatting sqref="B11:J12 H13:J545">
    <cfRule type="expression" dxfId="762" priority="15">
      <formula>AND(#REF!="Ya",#REF!=ROW())</formula>
    </cfRule>
  </conditionalFormatting>
  <conditionalFormatting sqref="B517:F517 G542:G543 G539:G540 G535 G532 G530 G526:G528 G522:G523 G520 G517:G518 B13:G516">
    <cfRule type="expression" dxfId="761" priority="13">
      <formula>AND($R$4="Ya",$Q$2=ROW())</formula>
    </cfRule>
  </conditionalFormatting>
  <conditionalFormatting sqref="G545">
    <cfRule type="expression" dxfId="760" priority="12">
      <formula>AND($R$4="Ya",$Q$2=ROW())</formula>
    </cfRule>
  </conditionalFormatting>
  <conditionalFormatting sqref="G545 G542:G543 G539:G540 G535 G532 G530 G526:G528 G522:G523 G520 G517:G518">
    <cfRule type="expression" dxfId="759" priority="11">
      <formula>NOT(_xlfn.ISFORMULA(G517))</formula>
    </cfRule>
  </conditionalFormatting>
  <conditionalFormatting sqref="G529">
    <cfRule type="expression" dxfId="758" priority="10">
      <formula>NOT(_xlfn.ISFORMULA(G529))</formula>
    </cfRule>
  </conditionalFormatting>
  <conditionalFormatting sqref="G529">
    <cfRule type="expression" dxfId="757" priority="9">
      <formula>AND($R$4="Ya",$Q$2=ROW())</formula>
    </cfRule>
  </conditionalFormatting>
  <conditionalFormatting sqref="G519">
    <cfRule type="expression" dxfId="756" priority="8">
      <formula>NOT(_xlfn.ISFORMULA(G519))</formula>
    </cfRule>
  </conditionalFormatting>
  <conditionalFormatting sqref="G519">
    <cfRule type="expression" dxfId="755" priority="7">
      <formula>AND($R$4="Ya",$Q$2=ROW())</formula>
    </cfRule>
  </conditionalFormatting>
  <conditionalFormatting sqref="G544">
    <cfRule type="expression" dxfId="754" priority="6">
      <formula>NOT(_xlfn.ISFORMULA(G544))</formula>
    </cfRule>
  </conditionalFormatting>
  <conditionalFormatting sqref="G544">
    <cfRule type="expression" dxfId="753" priority="5">
      <formula>AND($R$4="Ya",$Q$2=ROW())</formula>
    </cfRule>
  </conditionalFormatting>
  <conditionalFormatting sqref="G541">
    <cfRule type="expression" dxfId="752" priority="4">
      <formula>NOT(_xlfn.ISFORMULA(G541))</formula>
    </cfRule>
  </conditionalFormatting>
  <conditionalFormatting sqref="G541">
    <cfRule type="expression" dxfId="751" priority="3">
      <formula>AND($R$4="Ya",$Q$2=ROW())</formula>
    </cfRule>
  </conditionalFormatting>
  <conditionalFormatting sqref="G538">
    <cfRule type="expression" dxfId="750" priority="2">
      <formula>NOT(_xlfn.ISFORMULA(G538))</formula>
    </cfRule>
  </conditionalFormatting>
  <conditionalFormatting sqref="G538">
    <cfRule type="expression" dxfId="74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6" t="s">
        <v>598</v>
      </c>
      <c r="C1" s="446"/>
      <c r="D1" s="446"/>
      <c r="E1" s="446"/>
      <c r="F1" s="446"/>
      <c r="G1" s="454"/>
      <c r="H1" s="158"/>
      <c r="I1" s="177"/>
      <c r="J1" s="177"/>
    </row>
    <row r="2" spans="1:24" ht="15.75" x14ac:dyDescent="0.25">
      <c r="B2" s="455" t="s">
        <v>3826</v>
      </c>
      <c r="C2" s="455"/>
      <c r="D2" s="455"/>
      <c r="E2" s="455"/>
      <c r="F2" s="455"/>
      <c r="G2" s="456"/>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7" t="s">
        <v>606</v>
      </c>
      <c r="C9" s="458" t="s">
        <v>607</v>
      </c>
      <c r="D9" s="459" t="s">
        <v>608</v>
      </c>
      <c r="E9" s="457" t="s">
        <v>609</v>
      </c>
      <c r="F9" s="459" t="s">
        <v>610</v>
      </c>
      <c r="G9" s="453" t="s">
        <v>611</v>
      </c>
      <c r="H9" s="152"/>
      <c r="I9" s="152"/>
      <c r="J9" s="152"/>
      <c r="K9" s="460" t="s">
        <v>3827</v>
      </c>
      <c r="L9" s="460"/>
      <c r="M9" s="460"/>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9"/>
      <c r="C10" s="449"/>
      <c r="D10" s="452"/>
      <c r="E10" s="452"/>
      <c r="F10" s="449"/>
      <c r="G10" s="449"/>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748" priority="14">
      <formula>NOT(_xlfn.ISFORMULA(G12))</formula>
    </cfRule>
  </conditionalFormatting>
  <conditionalFormatting sqref="B11:J12 H13:J589">
    <cfRule type="expression" dxfId="747" priority="15">
      <formula>AND(#REF!="Ya",#REF!=ROW())</formula>
    </cfRule>
  </conditionalFormatting>
  <conditionalFormatting sqref="B561:F561 G586:G587 G583:G584 G579 G576 G574 G570:G572 G566:G567 G564 G561:G562 B13:G560">
    <cfRule type="expression" dxfId="746" priority="13">
      <formula>AND($R$4="Ya",$Q$2=ROW())</formula>
    </cfRule>
  </conditionalFormatting>
  <conditionalFormatting sqref="G589">
    <cfRule type="expression" dxfId="745" priority="12">
      <formula>AND($R$4="Ya",$Q$2=ROW())</formula>
    </cfRule>
  </conditionalFormatting>
  <conditionalFormatting sqref="G589 G586:G587 G583:G584 G579 G576 G574 G570:G572 G566:G567 G564 G561:G562">
    <cfRule type="expression" dxfId="744" priority="11">
      <formula>NOT(_xlfn.ISFORMULA(G561))</formula>
    </cfRule>
  </conditionalFormatting>
  <conditionalFormatting sqref="G573">
    <cfRule type="expression" dxfId="743" priority="10">
      <formula>NOT(_xlfn.ISFORMULA(G573))</formula>
    </cfRule>
  </conditionalFormatting>
  <conditionalFormatting sqref="G573">
    <cfRule type="expression" dxfId="742" priority="9">
      <formula>AND($R$4="Ya",$Q$2=ROW())</formula>
    </cfRule>
  </conditionalFormatting>
  <conditionalFormatting sqref="G563">
    <cfRule type="expression" dxfId="741" priority="8">
      <formula>NOT(_xlfn.ISFORMULA(G563))</formula>
    </cfRule>
  </conditionalFormatting>
  <conditionalFormatting sqref="G563">
    <cfRule type="expression" dxfId="740" priority="7">
      <formula>AND($R$4="Ya",$Q$2=ROW())</formula>
    </cfRule>
  </conditionalFormatting>
  <conditionalFormatting sqref="G588">
    <cfRule type="expression" dxfId="739" priority="6">
      <formula>NOT(_xlfn.ISFORMULA(G588))</formula>
    </cfRule>
  </conditionalFormatting>
  <conditionalFormatting sqref="G588">
    <cfRule type="expression" dxfId="738" priority="5">
      <formula>AND($R$4="Ya",$Q$2=ROW())</formula>
    </cfRule>
  </conditionalFormatting>
  <conditionalFormatting sqref="G585">
    <cfRule type="expression" dxfId="737" priority="4">
      <formula>NOT(_xlfn.ISFORMULA(G585))</formula>
    </cfRule>
  </conditionalFormatting>
  <conditionalFormatting sqref="G585">
    <cfRule type="expression" dxfId="736" priority="3">
      <formula>AND($R$4="Ya",$Q$2=ROW())</formula>
    </cfRule>
  </conditionalFormatting>
  <conditionalFormatting sqref="G582">
    <cfRule type="expression" dxfId="735" priority="2">
      <formula>NOT(_xlfn.ISFORMULA(G582))</formula>
    </cfRule>
  </conditionalFormatting>
  <conditionalFormatting sqref="G582">
    <cfRule type="expression" dxfId="73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6" t="s">
        <v>598</v>
      </c>
      <c r="C1" s="446"/>
      <c r="D1" s="446"/>
      <c r="E1" s="446"/>
      <c r="F1" s="446"/>
      <c r="G1" s="454"/>
      <c r="H1" s="150"/>
    </row>
    <row r="2" spans="1:22" ht="15.75" x14ac:dyDescent="0.25">
      <c r="B2" s="455" t="s">
        <v>3826</v>
      </c>
      <c r="C2" s="455"/>
      <c r="D2" s="455"/>
      <c r="E2" s="455"/>
      <c r="F2" s="455"/>
      <c r="G2" s="456"/>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7" t="s">
        <v>606</v>
      </c>
      <c r="C9" s="458" t="s">
        <v>607</v>
      </c>
      <c r="D9" s="459" t="s">
        <v>608</v>
      </c>
      <c r="E9" s="457" t="s">
        <v>609</v>
      </c>
      <c r="F9" s="459" t="s">
        <v>610</v>
      </c>
      <c r="G9" s="453" t="s">
        <v>611</v>
      </c>
      <c r="H9" s="152"/>
      <c r="I9" s="460" t="s">
        <v>3827</v>
      </c>
      <c r="J9" s="460"/>
      <c r="K9" s="460"/>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9"/>
      <c r="C10" s="449"/>
      <c r="D10" s="452"/>
      <c r="E10" s="452"/>
      <c r="F10" s="449"/>
      <c r="G10" s="449"/>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733" priority="15">
      <formula>NOT(_xlfn.ISFORMULA(G12))</formula>
    </cfRule>
  </conditionalFormatting>
  <conditionalFormatting sqref="B11:H12 H13:H589">
    <cfRule type="expression" dxfId="732" priority="17">
      <formula>AND(#REF!="Ya",#REF!=ROW())</formula>
    </cfRule>
  </conditionalFormatting>
  <conditionalFormatting sqref="B561:F561 G586:G587 G583:G584 G579 G576 G574 G570:G572 G566:G567 G564 G561:G562 B13:G560">
    <cfRule type="expression" dxfId="731" priority="14">
      <formula>AND($P$4="Ya",$O$2=ROW())</formula>
    </cfRule>
  </conditionalFormatting>
  <conditionalFormatting sqref="G589">
    <cfRule type="expression" dxfId="730" priority="12">
      <formula>AND($P$4="Ya",$O$2=ROW())</formula>
    </cfRule>
  </conditionalFormatting>
  <conditionalFormatting sqref="G589 G586:G587 G583:G584 G579 G576 G574 G570:G572 G566:G567 G564 G561:G562">
    <cfRule type="expression" dxfId="729" priority="11">
      <formula>NOT(_xlfn.ISFORMULA(G561))</formula>
    </cfRule>
  </conditionalFormatting>
  <conditionalFormatting sqref="G573">
    <cfRule type="expression" dxfId="728" priority="10">
      <formula>NOT(_xlfn.ISFORMULA(G573))</formula>
    </cfRule>
  </conditionalFormatting>
  <conditionalFormatting sqref="G573">
    <cfRule type="expression" dxfId="727" priority="9">
      <formula>AND($P$4="Ya",$O$2=ROW())</formula>
    </cfRule>
  </conditionalFormatting>
  <conditionalFormatting sqref="G563">
    <cfRule type="expression" dxfId="726" priority="8">
      <formula>NOT(_xlfn.ISFORMULA(G563))</formula>
    </cfRule>
  </conditionalFormatting>
  <conditionalFormatting sqref="G563">
    <cfRule type="expression" dxfId="725" priority="7">
      <formula>AND($P$4="Ya",$O$2=ROW())</formula>
    </cfRule>
  </conditionalFormatting>
  <conditionalFormatting sqref="G588">
    <cfRule type="expression" dxfId="724" priority="6">
      <formula>NOT(_xlfn.ISFORMULA(G588))</formula>
    </cfRule>
  </conditionalFormatting>
  <conditionalFormatting sqref="G588">
    <cfRule type="expression" dxfId="723" priority="5">
      <formula>AND($P$4="Ya",$O$2=ROW())</formula>
    </cfRule>
  </conditionalFormatting>
  <conditionalFormatting sqref="G585">
    <cfRule type="expression" dxfId="722" priority="4">
      <formula>NOT(_xlfn.ISFORMULA(G585))</formula>
    </cfRule>
  </conditionalFormatting>
  <conditionalFormatting sqref="G585">
    <cfRule type="expression" dxfId="721" priority="3">
      <formula>AND($P$4="Ya",$O$2=ROW())</formula>
    </cfRule>
  </conditionalFormatting>
  <conditionalFormatting sqref="G582">
    <cfRule type="expression" dxfId="720" priority="2">
      <formula>NOT(_xlfn.ISFORMULA(G582))</formula>
    </cfRule>
  </conditionalFormatting>
  <conditionalFormatting sqref="G582">
    <cfRule type="expression" dxfId="719"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70" zoomScaleNormal="70" workbookViewId="0">
      <pane ySplit="10" topLeftCell="A116" activePane="bottomLeft" state="frozen"/>
      <selection pane="bottomLeft" activeCell="K8" sqref="K8"/>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5413122932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56" t="s">
        <v>4269</v>
      </c>
      <c r="E12" s="292" t="s">
        <v>4270</v>
      </c>
      <c r="F12" s="257">
        <v>203627955</v>
      </c>
      <c r="G12" s="305" t="s">
        <v>4191</v>
      </c>
      <c r="H12" s="287" t="s">
        <v>4271</v>
      </c>
      <c r="I12" s="256" t="s">
        <v>4272</v>
      </c>
      <c r="J12" s="256" t="s">
        <v>4053</v>
      </c>
      <c r="K12" s="259" t="s">
        <v>4273</v>
      </c>
      <c r="L12" s="321" t="s">
        <v>576</v>
      </c>
      <c r="M12" s="321" t="s">
        <v>4340</v>
      </c>
      <c r="N12" s="334" t="s">
        <v>4529</v>
      </c>
      <c r="O12" s="260">
        <v>51</v>
      </c>
    </row>
    <row r="13" spans="2:20" ht="69.95" customHeight="1" x14ac:dyDescent="0.2">
      <c r="B13" s="260">
        <v>3</v>
      </c>
      <c r="C13" s="260">
        <v>2</v>
      </c>
      <c r="D13" s="256" t="s">
        <v>4265</v>
      </c>
      <c r="E13" s="292" t="s">
        <v>4266</v>
      </c>
      <c r="F13" s="257">
        <v>233065910</v>
      </c>
      <c r="G13" s="305" t="s">
        <v>4039</v>
      </c>
      <c r="H13" s="287" t="s">
        <v>4267</v>
      </c>
      <c r="I13" s="256" t="s">
        <v>4266</v>
      </c>
      <c r="J13" s="256" t="s">
        <v>4039</v>
      </c>
      <c r="K13" s="259" t="s">
        <v>4268</v>
      </c>
      <c r="L13" s="321" t="s">
        <v>576</v>
      </c>
      <c r="M13" s="321" t="s">
        <v>4340</v>
      </c>
      <c r="N13" s="334" t="s">
        <v>4529</v>
      </c>
      <c r="O13" s="260">
        <v>51</v>
      </c>
    </row>
    <row r="14" spans="2:20" ht="69.95" customHeight="1" x14ac:dyDescent="0.2">
      <c r="B14" s="260">
        <v>4</v>
      </c>
      <c r="C14" s="260">
        <v>2</v>
      </c>
      <c r="D14" s="256" t="s">
        <v>4259</v>
      </c>
      <c r="E14" s="292" t="s">
        <v>4255</v>
      </c>
      <c r="F14" s="257">
        <v>3208063</v>
      </c>
      <c r="G14" s="305" t="s">
        <v>4223</v>
      </c>
      <c r="H14" s="287" t="s">
        <v>4260</v>
      </c>
      <c r="I14" s="256" t="s">
        <v>4257</v>
      </c>
      <c r="J14" s="256" t="s">
        <v>4039</v>
      </c>
      <c r="K14" s="259" t="s">
        <v>4261</v>
      </c>
      <c r="L14" s="321" t="s">
        <v>576</v>
      </c>
      <c r="M14" s="321" t="s">
        <v>4340</v>
      </c>
      <c r="N14" s="334" t="s">
        <v>4529</v>
      </c>
      <c r="O14" s="260">
        <v>51</v>
      </c>
    </row>
    <row r="15" spans="2:20" ht="69.95" customHeight="1" x14ac:dyDescent="0.2">
      <c r="B15" s="260">
        <v>5</v>
      </c>
      <c r="C15" s="260">
        <v>2</v>
      </c>
      <c r="D15" s="256" t="s">
        <v>4262</v>
      </c>
      <c r="E15" s="292" t="s">
        <v>4255</v>
      </c>
      <c r="F15" s="257">
        <v>31515000</v>
      </c>
      <c r="G15" s="305" t="s">
        <v>4207</v>
      </c>
      <c r="H15" s="287" t="s">
        <v>4263</v>
      </c>
      <c r="I15" s="256" t="s">
        <v>4257</v>
      </c>
      <c r="J15" s="256" t="s">
        <v>4039</v>
      </c>
      <c r="K15" s="259" t="s">
        <v>4264</v>
      </c>
      <c r="L15" s="321" t="s">
        <v>576</v>
      </c>
      <c r="M15" s="321" t="s">
        <v>4340</v>
      </c>
      <c r="N15" s="334" t="s">
        <v>4529</v>
      </c>
      <c r="O15" s="260">
        <v>51</v>
      </c>
    </row>
    <row r="16" spans="2:20" ht="69.95" customHeight="1" x14ac:dyDescent="0.2">
      <c r="B16" s="260">
        <v>6</v>
      </c>
      <c r="C16" s="260">
        <v>2</v>
      </c>
      <c r="D16" s="260" t="s">
        <v>4034</v>
      </c>
      <c r="E16" s="291" t="s">
        <v>4035</v>
      </c>
      <c r="F16" s="288">
        <v>63640000</v>
      </c>
      <c r="G16" s="300" t="s">
        <v>4036</v>
      </c>
      <c r="H16" s="261" t="s">
        <v>4037</v>
      </c>
      <c r="I16" s="260" t="s">
        <v>4038</v>
      </c>
      <c r="J16" s="260" t="s">
        <v>4039</v>
      </c>
      <c r="K16" s="262" t="s">
        <v>4040</v>
      </c>
      <c r="L16" s="321" t="s">
        <v>576</v>
      </c>
      <c r="M16" s="321" t="s">
        <v>4338</v>
      </c>
      <c r="N16" s="334" t="s">
        <v>4530</v>
      </c>
      <c r="O16" s="260">
        <v>52</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56" t="s">
        <v>4254</v>
      </c>
      <c r="E19" s="292" t="s">
        <v>4049</v>
      </c>
      <c r="F19" s="257">
        <v>211929456</v>
      </c>
      <c r="G19" s="305" t="s">
        <v>4191</v>
      </c>
      <c r="H19" s="287" t="s">
        <v>4256</v>
      </c>
      <c r="I19" s="256" t="s">
        <v>4257</v>
      </c>
      <c r="J19" s="256" t="s">
        <v>4053</v>
      </c>
      <c r="K19" s="259" t="s">
        <v>4258</v>
      </c>
      <c r="L19" s="321" t="s">
        <v>576</v>
      </c>
      <c r="M19" s="321" t="s">
        <v>4340</v>
      </c>
      <c r="N19" s="334" t="s">
        <v>4529</v>
      </c>
      <c r="O19" s="260">
        <v>51</v>
      </c>
    </row>
    <row r="20" spans="2:15" ht="69.95" customHeight="1" x14ac:dyDescent="0.2">
      <c r="B20" s="260">
        <v>10</v>
      </c>
      <c r="C20" s="260">
        <v>3</v>
      </c>
      <c r="D20" s="256" t="s">
        <v>4251</v>
      </c>
      <c r="E20" s="292" t="s">
        <v>4056</v>
      </c>
      <c r="F20" s="257">
        <v>8028903</v>
      </c>
      <c r="G20" s="305" t="s">
        <v>4039</v>
      </c>
      <c r="H20" s="287" t="s">
        <v>4252</v>
      </c>
      <c r="I20" s="256" t="s">
        <v>4059</v>
      </c>
      <c r="J20" s="256" t="s">
        <v>4039</v>
      </c>
      <c r="K20" s="259" t="s">
        <v>4253</v>
      </c>
      <c r="L20" s="321" t="s">
        <v>576</v>
      </c>
      <c r="M20" s="321" t="s">
        <v>4340</v>
      </c>
      <c r="N20" s="334" t="s">
        <v>4529</v>
      </c>
      <c r="O20" s="260">
        <v>51</v>
      </c>
    </row>
    <row r="21" spans="2:15" ht="69.95" customHeight="1" x14ac:dyDescent="0.2">
      <c r="B21" s="260">
        <v>11</v>
      </c>
      <c r="C21" s="260">
        <v>3</v>
      </c>
      <c r="D21" s="256" t="s">
        <v>4243</v>
      </c>
      <c r="E21" s="292" t="s">
        <v>4244</v>
      </c>
      <c r="F21" s="257">
        <v>237145862</v>
      </c>
      <c r="G21" s="305" t="s">
        <v>4039</v>
      </c>
      <c r="H21" s="287" t="s">
        <v>4245</v>
      </c>
      <c r="I21" s="256" t="s">
        <v>4246</v>
      </c>
      <c r="J21" s="256" t="s">
        <v>4039</v>
      </c>
      <c r="K21" s="259" t="s">
        <v>4247</v>
      </c>
      <c r="L21" s="321" t="s">
        <v>576</v>
      </c>
      <c r="M21" s="321" t="s">
        <v>4340</v>
      </c>
      <c r="N21" s="334" t="s">
        <v>4529</v>
      </c>
      <c r="O21" s="260">
        <v>51</v>
      </c>
    </row>
    <row r="22" spans="2:15" ht="69.95" customHeight="1" x14ac:dyDescent="0.2">
      <c r="B22" s="260">
        <v>12</v>
      </c>
      <c r="C22" s="260">
        <v>3</v>
      </c>
      <c r="D22" s="256" t="s">
        <v>4248</v>
      </c>
      <c r="E22" s="292" t="s">
        <v>4244</v>
      </c>
      <c r="F22" s="257">
        <v>24572000</v>
      </c>
      <c r="G22" s="305" t="s">
        <v>4207</v>
      </c>
      <c r="H22" s="287" t="s">
        <v>4249</v>
      </c>
      <c r="I22" s="256" t="s">
        <v>4246</v>
      </c>
      <c r="J22" s="256" t="s">
        <v>4039</v>
      </c>
      <c r="K22" s="259" t="s">
        <v>4250</v>
      </c>
      <c r="L22" s="321" t="s">
        <v>576</v>
      </c>
      <c r="M22" s="321" t="s">
        <v>4340</v>
      </c>
      <c r="N22" s="334" t="s">
        <v>4529</v>
      </c>
      <c r="O22" s="260">
        <v>51</v>
      </c>
    </row>
    <row r="23" spans="2:15" ht="69.95" customHeight="1" x14ac:dyDescent="0.2">
      <c r="B23" s="260">
        <v>13</v>
      </c>
      <c r="C23" s="260">
        <v>3</v>
      </c>
      <c r="D23" s="256" t="s">
        <v>4233</v>
      </c>
      <c r="E23" s="292" t="s">
        <v>4069</v>
      </c>
      <c r="F23" s="257">
        <v>7294465</v>
      </c>
      <c r="G23" s="305" t="s">
        <v>4223</v>
      </c>
      <c r="H23" s="287" t="s">
        <v>4234</v>
      </c>
      <c r="I23" s="256" t="s">
        <v>4228</v>
      </c>
      <c r="J23" s="256" t="s">
        <v>4039</v>
      </c>
      <c r="K23" s="259" t="s">
        <v>4235</v>
      </c>
      <c r="L23" s="321" t="s">
        <v>576</v>
      </c>
      <c r="M23" s="321" t="s">
        <v>4340</v>
      </c>
      <c r="N23" s="334" t="s">
        <v>4529</v>
      </c>
      <c r="O23" s="260">
        <v>51</v>
      </c>
    </row>
    <row r="24" spans="2:15" ht="69.95" customHeight="1" x14ac:dyDescent="0.2">
      <c r="B24" s="260">
        <v>14</v>
      </c>
      <c r="C24" s="260">
        <v>3</v>
      </c>
      <c r="D24" s="256" t="s">
        <v>4230</v>
      </c>
      <c r="E24" s="292" t="s">
        <v>4069</v>
      </c>
      <c r="F24" s="257">
        <v>257904</v>
      </c>
      <c r="G24" s="305" t="s">
        <v>4219</v>
      </c>
      <c r="H24" s="287" t="s">
        <v>4231</v>
      </c>
      <c r="I24" s="256" t="s">
        <v>4228</v>
      </c>
      <c r="J24" s="256" t="s">
        <v>4039</v>
      </c>
      <c r="K24" s="259" t="s">
        <v>4232</v>
      </c>
      <c r="L24" s="321" t="s">
        <v>576</v>
      </c>
      <c r="M24" s="321" t="s">
        <v>4340</v>
      </c>
      <c r="N24" s="334" t="s">
        <v>4529</v>
      </c>
      <c r="O24" s="260">
        <v>51</v>
      </c>
    </row>
    <row r="25" spans="2:15" ht="69.95" customHeight="1" x14ac:dyDescent="0.2">
      <c r="B25" s="260">
        <v>15</v>
      </c>
      <c r="C25" s="260">
        <v>3</v>
      </c>
      <c r="D25" s="256" t="s">
        <v>4236</v>
      </c>
      <c r="E25" s="292" t="s">
        <v>4069</v>
      </c>
      <c r="F25" s="257">
        <v>595396</v>
      </c>
      <c r="G25" s="305" t="s">
        <v>4219</v>
      </c>
      <c r="H25" s="287" t="s">
        <v>4237</v>
      </c>
      <c r="I25" s="256" t="s">
        <v>4228</v>
      </c>
      <c r="J25" s="256" t="s">
        <v>4039</v>
      </c>
      <c r="K25" s="259" t="s">
        <v>4238</v>
      </c>
      <c r="L25" s="321" t="s">
        <v>576</v>
      </c>
      <c r="M25" s="321" t="s">
        <v>4340</v>
      </c>
      <c r="N25" s="334" t="s">
        <v>4529</v>
      </c>
      <c r="O25" s="260">
        <v>51</v>
      </c>
    </row>
    <row r="26" spans="2:15" ht="69.95" customHeight="1" x14ac:dyDescent="0.2">
      <c r="B26" s="260">
        <v>16</v>
      </c>
      <c r="C26" s="260">
        <v>3</v>
      </c>
      <c r="D26" s="256" t="s">
        <v>4226</v>
      </c>
      <c r="E26" s="292" t="s">
        <v>4069</v>
      </c>
      <c r="F26" s="257">
        <v>3422128</v>
      </c>
      <c r="G26" s="305" t="s">
        <v>4219</v>
      </c>
      <c r="H26" s="287" t="s">
        <v>4227</v>
      </c>
      <c r="I26" s="256" t="s">
        <v>4228</v>
      </c>
      <c r="J26" s="256" t="s">
        <v>4039</v>
      </c>
      <c r="K26" s="259" t="s">
        <v>4229</v>
      </c>
      <c r="L26" s="321" t="s">
        <v>576</v>
      </c>
      <c r="M26" s="321" t="s">
        <v>4340</v>
      </c>
      <c r="N26" s="334" t="s">
        <v>4529</v>
      </c>
      <c r="O26" s="260">
        <v>51</v>
      </c>
    </row>
    <row r="27" spans="2:15" ht="69.95" customHeight="1" x14ac:dyDescent="0.2">
      <c r="B27" s="260">
        <v>17</v>
      </c>
      <c r="C27" s="260">
        <v>3</v>
      </c>
      <c r="D27" s="286" t="s">
        <v>4168</v>
      </c>
      <c r="E27" s="291" t="s">
        <v>4049</v>
      </c>
      <c r="F27" s="288">
        <v>63640000</v>
      </c>
      <c r="G27" s="300" t="s">
        <v>4050</v>
      </c>
      <c r="H27" s="261" t="s">
        <v>4051</v>
      </c>
      <c r="I27" s="260" t="s">
        <v>4052</v>
      </c>
      <c r="J27" s="260" t="s">
        <v>4053</v>
      </c>
      <c r="K27" s="262" t="s">
        <v>4054</v>
      </c>
      <c r="L27" s="321" t="s">
        <v>576</v>
      </c>
      <c r="M27" s="321" t="s">
        <v>4338</v>
      </c>
      <c r="N27" s="334" t="s">
        <v>4530</v>
      </c>
      <c r="O27" s="260">
        <v>52</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4109</v>
      </c>
      <c r="E45" s="291" t="s">
        <v>4110</v>
      </c>
      <c r="F45" s="288">
        <v>830060208</v>
      </c>
      <c r="G45" s="304" t="s">
        <v>4039</v>
      </c>
      <c r="H45" s="261" t="s">
        <v>4111</v>
      </c>
      <c r="I45" s="260" t="s">
        <v>4112</v>
      </c>
      <c r="J45" s="260" t="s">
        <v>4039</v>
      </c>
      <c r="K45" s="262" t="s">
        <v>4113</v>
      </c>
      <c r="L45" s="321" t="s">
        <v>542</v>
      </c>
      <c r="M45" s="321" t="s">
        <v>4339</v>
      </c>
      <c r="N45" s="334" t="s">
        <v>4528</v>
      </c>
      <c r="O45" s="260">
        <v>52</v>
      </c>
    </row>
    <row r="46" spans="2:15" ht="69.95" customHeight="1" x14ac:dyDescent="0.2">
      <c r="B46" s="260">
        <v>36</v>
      </c>
      <c r="C46" s="260">
        <v>4</v>
      </c>
      <c r="D46" s="260" t="s">
        <v>4114</v>
      </c>
      <c r="E46" s="291" t="s">
        <v>4115</v>
      </c>
      <c r="F46" s="288">
        <v>5925000</v>
      </c>
      <c r="G46" s="304" t="s">
        <v>4039</v>
      </c>
      <c r="H46" s="261" t="s">
        <v>4116</v>
      </c>
      <c r="I46" s="260" t="s">
        <v>4110</v>
      </c>
      <c r="J46" s="260" t="s">
        <v>4039</v>
      </c>
      <c r="K46" s="262" t="s">
        <v>4117</v>
      </c>
      <c r="L46" s="321" t="s">
        <v>542</v>
      </c>
      <c r="M46" s="321" t="s">
        <v>4339</v>
      </c>
      <c r="N46" s="334" t="s">
        <v>4528</v>
      </c>
      <c r="O46" s="260">
        <v>52</v>
      </c>
    </row>
    <row r="47" spans="2:15" ht="69.95" customHeight="1" x14ac:dyDescent="0.2">
      <c r="B47" s="260">
        <v>37</v>
      </c>
      <c r="C47" s="260">
        <v>4</v>
      </c>
      <c r="D47" s="260" t="s">
        <v>4118</v>
      </c>
      <c r="E47" s="291" t="s">
        <v>4115</v>
      </c>
      <c r="F47" s="288">
        <v>5925000</v>
      </c>
      <c r="G47" s="304" t="s">
        <v>4039</v>
      </c>
      <c r="H47" s="261" t="s">
        <v>4119</v>
      </c>
      <c r="I47" s="260" t="s">
        <v>4110</v>
      </c>
      <c r="J47" s="260" t="s">
        <v>4039</v>
      </c>
      <c r="K47" s="262" t="s">
        <v>4120</v>
      </c>
      <c r="L47" s="321" t="s">
        <v>542</v>
      </c>
      <c r="M47" s="321" t="s">
        <v>4339</v>
      </c>
      <c r="N47" s="334" t="s">
        <v>4528</v>
      </c>
      <c r="O47" s="260">
        <v>52</v>
      </c>
    </row>
    <row r="48" spans="2:15" ht="69.95" customHeight="1" x14ac:dyDescent="0.2">
      <c r="B48" s="260">
        <v>38</v>
      </c>
      <c r="C48" s="260">
        <v>4</v>
      </c>
      <c r="D48" s="256" t="s">
        <v>4139</v>
      </c>
      <c r="E48" s="292" t="s">
        <v>4138</v>
      </c>
      <c r="F48" s="257">
        <v>577980144</v>
      </c>
      <c r="G48" s="304" t="s">
        <v>4039</v>
      </c>
      <c r="H48" s="256" t="s">
        <v>4148</v>
      </c>
      <c r="I48" s="256" t="s">
        <v>4137</v>
      </c>
      <c r="J48" s="256" t="s">
        <v>4039</v>
      </c>
      <c r="K48" s="259" t="s">
        <v>4149</v>
      </c>
      <c r="L48" s="321" t="s">
        <v>542</v>
      </c>
      <c r="M48" s="321" t="s">
        <v>4339</v>
      </c>
      <c r="N48" s="334" t="s">
        <v>4528</v>
      </c>
      <c r="O48" s="260">
        <v>52</v>
      </c>
    </row>
    <row r="49" spans="2:15" ht="69.95" customHeight="1" x14ac:dyDescent="0.2">
      <c r="B49" s="260">
        <v>39</v>
      </c>
      <c r="C49" s="260">
        <v>4</v>
      </c>
      <c r="D49" s="287" t="s">
        <v>4169</v>
      </c>
      <c r="E49" s="293" t="s">
        <v>4170</v>
      </c>
      <c r="F49" s="288">
        <v>11850000</v>
      </c>
      <c r="G49" s="304" t="s">
        <v>4039</v>
      </c>
      <c r="H49" s="287" t="s">
        <v>4171</v>
      </c>
      <c r="I49" s="287" t="s">
        <v>4172</v>
      </c>
      <c r="J49" s="287" t="s">
        <v>4039</v>
      </c>
      <c r="K49" s="289" t="s">
        <v>4173</v>
      </c>
      <c r="L49" s="321" t="s">
        <v>542</v>
      </c>
      <c r="M49" s="321" t="s">
        <v>4339</v>
      </c>
      <c r="N49" s="334" t="s">
        <v>4528</v>
      </c>
      <c r="O49" s="260">
        <v>52</v>
      </c>
    </row>
    <row r="50" spans="2:15" ht="69.95" customHeight="1" x14ac:dyDescent="0.2">
      <c r="B50" s="260">
        <v>40</v>
      </c>
      <c r="C50" s="260">
        <v>4</v>
      </c>
      <c r="D50" s="287" t="s">
        <v>4180</v>
      </c>
      <c r="E50" s="293" t="s">
        <v>4170</v>
      </c>
      <c r="F50" s="288">
        <v>11850000</v>
      </c>
      <c r="G50" s="304" t="s">
        <v>4039</v>
      </c>
      <c r="H50" s="287" t="s">
        <v>4181</v>
      </c>
      <c r="I50" s="287" t="s">
        <v>4172</v>
      </c>
      <c r="J50" s="287" t="s">
        <v>4039</v>
      </c>
      <c r="K50" s="289" t="s">
        <v>4182</v>
      </c>
      <c r="L50" s="321" t="s">
        <v>542</v>
      </c>
      <c r="M50" s="321" t="s">
        <v>4339</v>
      </c>
      <c r="N50" s="334" t="s">
        <v>4528</v>
      </c>
      <c r="O50" s="260">
        <v>52</v>
      </c>
    </row>
    <row r="51" spans="2:15" ht="69.95" customHeight="1" x14ac:dyDescent="0.2">
      <c r="B51" s="260">
        <v>41</v>
      </c>
      <c r="C51" s="260">
        <v>4</v>
      </c>
      <c r="D51" s="256" t="s">
        <v>4292</v>
      </c>
      <c r="E51" s="292" t="s">
        <v>4279</v>
      </c>
      <c r="F51" s="257">
        <v>5925000</v>
      </c>
      <c r="G51" s="304" t="s">
        <v>4039</v>
      </c>
      <c r="H51" s="256" t="s">
        <v>4293</v>
      </c>
      <c r="I51" s="256" t="s">
        <v>4281</v>
      </c>
      <c r="J51" s="256" t="s">
        <v>4039</v>
      </c>
      <c r="K51" s="259" t="s">
        <v>4294</v>
      </c>
      <c r="L51" s="321" t="s">
        <v>542</v>
      </c>
      <c r="M51" s="321" t="s">
        <v>4339</v>
      </c>
      <c r="N51" s="334" t="s">
        <v>4528</v>
      </c>
      <c r="O51" s="260">
        <v>52</v>
      </c>
    </row>
    <row r="52" spans="2:15" ht="69.95" customHeight="1" x14ac:dyDescent="0.2">
      <c r="B52" s="260">
        <v>42</v>
      </c>
      <c r="C52" s="260">
        <v>4</v>
      </c>
      <c r="D52" s="287" t="s">
        <v>4177</v>
      </c>
      <c r="E52" s="293" t="s">
        <v>4170</v>
      </c>
      <c r="F52" s="288">
        <v>17775000</v>
      </c>
      <c r="G52" s="304" t="s">
        <v>4039</v>
      </c>
      <c r="H52" s="287" t="s">
        <v>4178</v>
      </c>
      <c r="I52" s="287" t="s">
        <v>4172</v>
      </c>
      <c r="J52" s="287" t="s">
        <v>4039</v>
      </c>
      <c r="K52" s="289" t="s">
        <v>4179</v>
      </c>
      <c r="L52" s="321" t="s">
        <v>542</v>
      </c>
      <c r="M52" s="321" t="s">
        <v>4339</v>
      </c>
      <c r="N52" s="334" t="s">
        <v>4528</v>
      </c>
      <c r="O52" s="260">
        <v>52</v>
      </c>
    </row>
    <row r="53" spans="2:15" ht="69.95" customHeight="1" x14ac:dyDescent="0.2">
      <c r="B53" s="260">
        <v>43</v>
      </c>
      <c r="C53" s="260">
        <v>4</v>
      </c>
      <c r="D53" s="287" t="s">
        <v>4174</v>
      </c>
      <c r="E53" s="293" t="s">
        <v>4170</v>
      </c>
      <c r="F53" s="288">
        <v>11850000</v>
      </c>
      <c r="G53" s="304" t="s">
        <v>4039</v>
      </c>
      <c r="H53" s="287" t="s">
        <v>4175</v>
      </c>
      <c r="I53" s="287" t="s">
        <v>4172</v>
      </c>
      <c r="J53" s="287" t="s">
        <v>4039</v>
      </c>
      <c r="K53" s="289" t="s">
        <v>4176</v>
      </c>
      <c r="L53" s="321" t="s">
        <v>542</v>
      </c>
      <c r="M53" s="321" t="s">
        <v>4339</v>
      </c>
      <c r="N53" s="334" t="s">
        <v>4528</v>
      </c>
      <c r="O53" s="260">
        <v>52</v>
      </c>
    </row>
    <row r="54" spans="2:15" ht="69.95" customHeight="1" x14ac:dyDescent="0.2">
      <c r="B54" s="260">
        <v>44</v>
      </c>
      <c r="C54" s="260">
        <v>4</v>
      </c>
      <c r="D54" s="287" t="s">
        <v>4183</v>
      </c>
      <c r="E54" s="293" t="s">
        <v>4170</v>
      </c>
      <c r="F54" s="288">
        <v>58805004</v>
      </c>
      <c r="G54" s="304" t="s">
        <v>4039</v>
      </c>
      <c r="H54" s="287" t="s">
        <v>4184</v>
      </c>
      <c r="I54" s="287" t="s">
        <v>4172</v>
      </c>
      <c r="J54" s="287" t="s">
        <v>4039</v>
      </c>
      <c r="K54" s="289" t="s">
        <v>4185</v>
      </c>
      <c r="L54" s="321" t="s">
        <v>542</v>
      </c>
      <c r="M54" s="321" t="s">
        <v>4339</v>
      </c>
      <c r="N54" s="334" t="s">
        <v>4528</v>
      </c>
      <c r="O54" s="260">
        <v>52</v>
      </c>
    </row>
    <row r="55" spans="2:15" ht="69.95" customHeight="1" x14ac:dyDescent="0.2">
      <c r="B55" s="260">
        <v>45</v>
      </c>
      <c r="C55" s="260">
        <v>4</v>
      </c>
      <c r="D55" s="256" t="s">
        <v>4295</v>
      </c>
      <c r="E55" s="292" t="s">
        <v>4279</v>
      </c>
      <c r="F55" s="257">
        <v>11850000</v>
      </c>
      <c r="G55" s="304" t="s">
        <v>4039</v>
      </c>
      <c r="H55" s="256" t="s">
        <v>4296</v>
      </c>
      <c r="I55" s="256" t="s">
        <v>4281</v>
      </c>
      <c r="J55" s="256" t="s">
        <v>4039</v>
      </c>
      <c r="K55" s="259" t="s">
        <v>4297</v>
      </c>
      <c r="L55" s="321" t="s">
        <v>542</v>
      </c>
      <c r="M55" s="321" t="s">
        <v>4339</v>
      </c>
      <c r="N55" s="334" t="s">
        <v>4528</v>
      </c>
      <c r="O55" s="260">
        <v>52</v>
      </c>
    </row>
    <row r="56" spans="2:15" ht="69.95" customHeight="1" x14ac:dyDescent="0.2">
      <c r="B56" s="260">
        <v>46</v>
      </c>
      <c r="C56" s="260">
        <v>4</v>
      </c>
      <c r="D56" s="256" t="s">
        <v>4239</v>
      </c>
      <c r="E56" s="292" t="s">
        <v>4240</v>
      </c>
      <c r="F56" s="257">
        <v>206653906</v>
      </c>
      <c r="G56" s="305" t="s">
        <v>4191</v>
      </c>
      <c r="H56" s="287" t="s">
        <v>4241</v>
      </c>
      <c r="I56" s="256" t="s">
        <v>4065</v>
      </c>
      <c r="J56" s="256" t="s">
        <v>4053</v>
      </c>
      <c r="K56" s="259" t="s">
        <v>4242</v>
      </c>
      <c r="L56" s="321" t="s">
        <v>576</v>
      </c>
      <c r="M56" s="321" t="s">
        <v>4340</v>
      </c>
      <c r="N56" s="334" t="s">
        <v>4529</v>
      </c>
      <c r="O56" s="260">
        <v>51</v>
      </c>
    </row>
    <row r="57" spans="2:15" ht="69.95" customHeight="1" x14ac:dyDescent="0.2">
      <c r="B57" s="260">
        <v>47</v>
      </c>
      <c r="C57" s="260">
        <v>4</v>
      </c>
      <c r="D57" s="256" t="s">
        <v>4217</v>
      </c>
      <c r="E57" s="292" t="s">
        <v>4218</v>
      </c>
      <c r="F57" s="257">
        <v>633328</v>
      </c>
      <c r="G57" s="305" t="s">
        <v>4219</v>
      </c>
      <c r="H57" s="287" t="s">
        <v>4220</v>
      </c>
      <c r="I57" s="256" t="s">
        <v>4218</v>
      </c>
      <c r="J57" s="256" t="s">
        <v>4039</v>
      </c>
      <c r="K57" s="259" t="s">
        <v>4221</v>
      </c>
      <c r="L57" s="321" t="s">
        <v>576</v>
      </c>
      <c r="M57" s="321" t="s">
        <v>4340</v>
      </c>
      <c r="N57" s="334" t="s">
        <v>4529</v>
      </c>
      <c r="O57" s="260">
        <v>51</v>
      </c>
    </row>
    <row r="58" spans="2:15" ht="69.95" customHeight="1" x14ac:dyDescent="0.2">
      <c r="B58" s="260">
        <v>48</v>
      </c>
      <c r="C58" s="260">
        <v>4</v>
      </c>
      <c r="D58" s="256" t="s">
        <v>4222</v>
      </c>
      <c r="E58" s="292" t="s">
        <v>4218</v>
      </c>
      <c r="F58" s="257">
        <v>3233276</v>
      </c>
      <c r="G58" s="305" t="s">
        <v>4223</v>
      </c>
      <c r="H58" s="287" t="s">
        <v>4224</v>
      </c>
      <c r="I58" s="256" t="s">
        <v>4218</v>
      </c>
      <c r="J58" s="256" t="s">
        <v>4039</v>
      </c>
      <c r="K58" s="259" t="s">
        <v>4225</v>
      </c>
      <c r="L58" s="321" t="s">
        <v>576</v>
      </c>
      <c r="M58" s="321" t="s">
        <v>4340</v>
      </c>
      <c r="N58" s="334" t="s">
        <v>4529</v>
      </c>
      <c r="O58" s="260">
        <v>51</v>
      </c>
    </row>
    <row r="59" spans="2:15" ht="69.95" customHeight="1" x14ac:dyDescent="0.2">
      <c r="B59" s="260">
        <v>49</v>
      </c>
      <c r="C59" s="260">
        <v>4</v>
      </c>
      <c r="D59" s="256" t="s">
        <v>4211</v>
      </c>
      <c r="E59" s="292" t="s">
        <v>4206</v>
      </c>
      <c r="F59" s="257">
        <v>595000</v>
      </c>
      <c r="G59" s="305" t="s">
        <v>4207</v>
      </c>
      <c r="H59" s="287" t="s">
        <v>4212</v>
      </c>
      <c r="I59" s="256" t="s">
        <v>4209</v>
      </c>
      <c r="J59" s="256" t="s">
        <v>4039</v>
      </c>
      <c r="K59" s="259" t="s">
        <v>4213</v>
      </c>
      <c r="L59" s="321" t="s">
        <v>576</v>
      </c>
      <c r="M59" s="321" t="s">
        <v>4340</v>
      </c>
      <c r="N59" s="334" t="s">
        <v>4529</v>
      </c>
      <c r="O59" s="260">
        <v>51</v>
      </c>
    </row>
    <row r="60" spans="2:15" ht="69.95" customHeight="1" x14ac:dyDescent="0.2">
      <c r="B60" s="260">
        <v>50</v>
      </c>
      <c r="C60" s="260">
        <v>4</v>
      </c>
      <c r="D60" s="256" t="s">
        <v>4214</v>
      </c>
      <c r="E60" s="292" t="s">
        <v>4206</v>
      </c>
      <c r="F60" s="257">
        <v>239665141</v>
      </c>
      <c r="G60" s="305" t="s">
        <v>4039</v>
      </c>
      <c r="H60" s="287" t="s">
        <v>4215</v>
      </c>
      <c r="I60" s="256" t="s">
        <v>4209</v>
      </c>
      <c r="J60" s="256" t="s">
        <v>4039</v>
      </c>
      <c r="K60" s="259" t="s">
        <v>4216</v>
      </c>
      <c r="L60" s="321" t="s">
        <v>576</v>
      </c>
      <c r="M60" s="321" t="s">
        <v>4340</v>
      </c>
      <c r="N60" s="334" t="s">
        <v>4529</v>
      </c>
      <c r="O60" s="260">
        <v>51</v>
      </c>
    </row>
    <row r="61" spans="2:15" ht="69.95" customHeight="1" x14ac:dyDescent="0.2">
      <c r="B61" s="260">
        <v>51</v>
      </c>
      <c r="C61" s="260">
        <v>4</v>
      </c>
      <c r="D61" s="256" t="s">
        <v>4205</v>
      </c>
      <c r="E61" s="292" t="s">
        <v>4206</v>
      </c>
      <c r="F61" s="257">
        <v>26735000</v>
      </c>
      <c r="G61" s="305" t="s">
        <v>4207</v>
      </c>
      <c r="H61" s="287" t="s">
        <v>4208</v>
      </c>
      <c r="I61" s="256" t="s">
        <v>4209</v>
      </c>
      <c r="J61" s="256" t="s">
        <v>4039</v>
      </c>
      <c r="K61" s="259" t="s">
        <v>4210</v>
      </c>
      <c r="L61" s="321" t="s">
        <v>576</v>
      </c>
      <c r="M61" s="321" t="s">
        <v>4340</v>
      </c>
      <c r="N61" s="334" t="s">
        <v>4529</v>
      </c>
      <c r="O61" s="260">
        <v>51</v>
      </c>
    </row>
    <row r="62" spans="2:15" ht="69.95" customHeight="1" x14ac:dyDescent="0.2">
      <c r="B62" s="260">
        <v>52</v>
      </c>
      <c r="C62" s="260">
        <v>4</v>
      </c>
      <c r="D62" s="256" t="s">
        <v>4202</v>
      </c>
      <c r="E62" s="292" t="s">
        <v>4138</v>
      </c>
      <c r="F62" s="257">
        <v>208979992</v>
      </c>
      <c r="G62" s="305" t="s">
        <v>4199</v>
      </c>
      <c r="H62" s="287" t="s">
        <v>4203</v>
      </c>
      <c r="I62" s="256" t="s">
        <v>4137</v>
      </c>
      <c r="J62" s="256" t="s">
        <v>4053</v>
      </c>
      <c r="K62" s="259" t="s">
        <v>4204</v>
      </c>
      <c r="L62" s="321" t="s">
        <v>576</v>
      </c>
      <c r="M62" s="321" t="s">
        <v>4340</v>
      </c>
      <c r="N62" s="334" t="s">
        <v>4529</v>
      </c>
      <c r="O62" s="260">
        <v>51</v>
      </c>
    </row>
    <row r="63" spans="2:15" ht="69.95" customHeight="1" x14ac:dyDescent="0.2">
      <c r="B63" s="260">
        <v>53</v>
      </c>
      <c r="C63" s="260">
        <v>4</v>
      </c>
      <c r="D63" s="256" t="s">
        <v>4198</v>
      </c>
      <c r="E63" s="292" t="s">
        <v>4138</v>
      </c>
      <c r="F63" s="257">
        <v>3233300</v>
      </c>
      <c r="G63" s="305" t="s">
        <v>4199</v>
      </c>
      <c r="H63" s="287" t="s">
        <v>4200</v>
      </c>
      <c r="I63" s="256" t="s">
        <v>4137</v>
      </c>
      <c r="J63" s="256" t="s">
        <v>4053</v>
      </c>
      <c r="K63" s="259" t="s">
        <v>4201</v>
      </c>
      <c r="L63" s="321" t="s">
        <v>576</v>
      </c>
      <c r="M63" s="321" t="s">
        <v>4340</v>
      </c>
      <c r="N63" s="334" t="s">
        <v>4529</v>
      </c>
      <c r="O63" s="260">
        <v>51</v>
      </c>
    </row>
    <row r="64" spans="2:15" ht="69.95" customHeight="1" x14ac:dyDescent="0.2">
      <c r="B64" s="260">
        <v>54</v>
      </c>
      <c r="C64" s="260">
        <v>4</v>
      </c>
      <c r="D64" s="256" t="s">
        <v>4194</v>
      </c>
      <c r="E64" s="292" t="s">
        <v>4172</v>
      </c>
      <c r="F64" s="257">
        <v>121465086</v>
      </c>
      <c r="G64" s="305" t="s">
        <v>4195</v>
      </c>
      <c r="H64" s="287" t="s">
        <v>4196</v>
      </c>
      <c r="I64" s="256" t="s">
        <v>4138</v>
      </c>
      <c r="J64" s="256" t="s">
        <v>4039</v>
      </c>
      <c r="K64" s="259" t="s">
        <v>4197</v>
      </c>
      <c r="L64" s="321" t="s">
        <v>576</v>
      </c>
      <c r="M64" s="321" t="s">
        <v>4340</v>
      </c>
      <c r="N64" s="334" t="s">
        <v>4529</v>
      </c>
      <c r="O64" s="260">
        <v>51</v>
      </c>
    </row>
    <row r="65" spans="2:15" ht="69.95" customHeight="1" x14ac:dyDescent="0.2">
      <c r="B65" s="260">
        <v>55</v>
      </c>
      <c r="C65" s="260">
        <v>4</v>
      </c>
      <c r="D65" s="260" t="s">
        <v>4083</v>
      </c>
      <c r="E65" s="291" t="s">
        <v>4084</v>
      </c>
      <c r="F65" s="288">
        <f>6840000+360000</f>
        <v>7200000</v>
      </c>
      <c r="G65" s="301" t="s">
        <v>4039</v>
      </c>
      <c r="H65" s="260" t="s">
        <v>4085</v>
      </c>
      <c r="I65" s="260" t="s">
        <v>4084</v>
      </c>
      <c r="J65" s="260" t="s">
        <v>4039</v>
      </c>
      <c r="K65" s="262" t="s">
        <v>4086</v>
      </c>
      <c r="L65" s="321" t="s">
        <v>535</v>
      </c>
      <c r="M65" s="321" t="s">
        <v>4372</v>
      </c>
      <c r="N65" s="334"/>
      <c r="O65" s="260">
        <v>52</v>
      </c>
    </row>
    <row r="66" spans="2:15" ht="69.95" customHeight="1" x14ac:dyDescent="0.2">
      <c r="B66" s="260">
        <v>56</v>
      </c>
      <c r="C66" s="260">
        <v>4</v>
      </c>
      <c r="D66" s="260" t="s">
        <v>4106</v>
      </c>
      <c r="E66" s="291" t="s">
        <v>4084</v>
      </c>
      <c r="F66" s="288">
        <v>63640000</v>
      </c>
      <c r="G66" s="300" t="s">
        <v>4036</v>
      </c>
      <c r="H66" s="261" t="s">
        <v>4107</v>
      </c>
      <c r="I66" s="260" t="s">
        <v>4084</v>
      </c>
      <c r="J66" s="260" t="s">
        <v>4039</v>
      </c>
      <c r="K66" s="262" t="s">
        <v>4108</v>
      </c>
      <c r="L66" s="321" t="s">
        <v>576</v>
      </c>
      <c r="M66" s="321" t="s">
        <v>4338</v>
      </c>
      <c r="N66" s="334" t="s">
        <v>4530</v>
      </c>
      <c r="O66" s="260">
        <v>52</v>
      </c>
    </row>
    <row r="67" spans="2:15" ht="69.95" customHeight="1" x14ac:dyDescent="0.2">
      <c r="B67" s="260">
        <v>57</v>
      </c>
      <c r="C67" s="260">
        <v>4</v>
      </c>
      <c r="D67" s="260" t="s">
        <v>4121</v>
      </c>
      <c r="E67" s="291" t="s">
        <v>4115</v>
      </c>
      <c r="F67" s="288">
        <v>6060000</v>
      </c>
      <c r="G67" s="301" t="s">
        <v>4039</v>
      </c>
      <c r="H67" s="261" t="s">
        <v>4122</v>
      </c>
      <c r="I67" s="260" t="s">
        <v>4110</v>
      </c>
      <c r="J67" s="260" t="s">
        <v>4039</v>
      </c>
      <c r="K67" s="262" t="s">
        <v>4123</v>
      </c>
      <c r="L67" s="321" t="s">
        <v>531</v>
      </c>
      <c r="M67" s="321" t="s">
        <v>4373</v>
      </c>
      <c r="N67" s="334"/>
      <c r="O67" s="260">
        <v>52</v>
      </c>
    </row>
    <row r="68" spans="2:15" ht="69.95" customHeight="1" x14ac:dyDescent="0.2">
      <c r="B68" s="260">
        <v>58</v>
      </c>
      <c r="C68" s="260">
        <v>4</v>
      </c>
      <c r="D68" s="260" t="s">
        <v>4124</v>
      </c>
      <c r="E68" s="291" t="s">
        <v>4115</v>
      </c>
      <c r="F68" s="288">
        <v>1800000</v>
      </c>
      <c r="G68" s="301" t="s">
        <v>4039</v>
      </c>
      <c r="H68" s="261" t="s">
        <v>4125</v>
      </c>
      <c r="I68" s="260" t="s">
        <v>4110</v>
      </c>
      <c r="J68" s="260" t="s">
        <v>4039</v>
      </c>
      <c r="K68" s="262" t="s">
        <v>4126</v>
      </c>
      <c r="L68" s="321" t="s">
        <v>531</v>
      </c>
      <c r="M68" s="321" t="s">
        <v>4374</v>
      </c>
      <c r="N68" s="334"/>
      <c r="O68" s="260">
        <v>52</v>
      </c>
    </row>
    <row r="69" spans="2:15" ht="69.95" customHeight="1" x14ac:dyDescent="0.2">
      <c r="B69" s="260">
        <v>59</v>
      </c>
      <c r="C69" s="260">
        <v>4</v>
      </c>
      <c r="D69" s="260" t="s">
        <v>4127</v>
      </c>
      <c r="E69" s="291" t="s">
        <v>4115</v>
      </c>
      <c r="F69" s="288">
        <v>6320000</v>
      </c>
      <c r="G69" s="301" t="s">
        <v>4039</v>
      </c>
      <c r="H69" s="261" t="s">
        <v>4128</v>
      </c>
      <c r="I69" s="260" t="s">
        <v>4110</v>
      </c>
      <c r="J69" s="260" t="s">
        <v>4039</v>
      </c>
      <c r="K69" s="262" t="s">
        <v>4129</v>
      </c>
      <c r="L69" s="321" t="s">
        <v>535</v>
      </c>
      <c r="M69" s="321" t="s">
        <v>4375</v>
      </c>
      <c r="N69" s="334"/>
      <c r="O69" s="260">
        <v>52</v>
      </c>
    </row>
    <row r="70" spans="2:15" ht="69.95" customHeight="1" x14ac:dyDescent="0.2">
      <c r="B70" s="260">
        <v>60</v>
      </c>
      <c r="C70" s="260">
        <v>4</v>
      </c>
      <c r="D70" s="260" t="s">
        <v>4130</v>
      </c>
      <c r="E70" s="291" t="s">
        <v>4115</v>
      </c>
      <c r="F70" s="288">
        <v>3570000</v>
      </c>
      <c r="G70" s="301" t="s">
        <v>4039</v>
      </c>
      <c r="H70" s="261" t="s">
        <v>4131</v>
      </c>
      <c r="I70" s="260" t="s">
        <v>4110</v>
      </c>
      <c r="J70" s="260" t="s">
        <v>4039</v>
      </c>
      <c r="K70" s="262" t="s">
        <v>4132</v>
      </c>
      <c r="L70" s="321" t="s">
        <v>542</v>
      </c>
      <c r="M70" s="321" t="s">
        <v>4339</v>
      </c>
      <c r="N70" s="334"/>
      <c r="O70" s="260">
        <v>52</v>
      </c>
    </row>
    <row r="71" spans="2:15" ht="69.95" customHeight="1" x14ac:dyDescent="0.2">
      <c r="B71" s="260">
        <v>61</v>
      </c>
      <c r="C71" s="260">
        <v>4</v>
      </c>
      <c r="D71" s="260" t="s">
        <v>4133</v>
      </c>
      <c r="E71" s="291" t="s">
        <v>4115</v>
      </c>
      <c r="F71" s="288">
        <v>1040000</v>
      </c>
      <c r="G71" s="301" t="s">
        <v>4039</v>
      </c>
      <c r="H71" s="261" t="s">
        <v>4134</v>
      </c>
      <c r="I71" s="260" t="s">
        <v>4110</v>
      </c>
      <c r="J71" s="260" t="s">
        <v>4039</v>
      </c>
      <c r="K71" s="262" t="s">
        <v>4135</v>
      </c>
      <c r="L71" s="321" t="s">
        <v>531</v>
      </c>
      <c r="M71" s="321" t="s">
        <v>4374</v>
      </c>
      <c r="N71" s="334"/>
      <c r="O71" s="260">
        <v>52</v>
      </c>
    </row>
    <row r="72" spans="2:15" ht="69.95" customHeight="1" x14ac:dyDescent="0.2">
      <c r="B72" s="260">
        <v>62</v>
      </c>
      <c r="C72" s="260">
        <v>4</v>
      </c>
      <c r="D72" s="256" t="s">
        <v>4136</v>
      </c>
      <c r="E72" s="292" t="s">
        <v>4138</v>
      </c>
      <c r="F72" s="257">
        <v>8760000</v>
      </c>
      <c r="G72" s="301" t="s">
        <v>4039</v>
      </c>
      <c r="H72" s="256" t="s">
        <v>4146</v>
      </c>
      <c r="I72" s="256" t="s">
        <v>4137</v>
      </c>
      <c r="J72" s="256" t="s">
        <v>4039</v>
      </c>
      <c r="K72" s="259" t="s">
        <v>4147</v>
      </c>
      <c r="L72" s="321" t="s">
        <v>542</v>
      </c>
      <c r="M72" s="321" t="s">
        <v>4376</v>
      </c>
      <c r="N72" s="334"/>
      <c r="O72" s="260">
        <v>52</v>
      </c>
    </row>
    <row r="73" spans="2:15" ht="69.95" customHeight="1" x14ac:dyDescent="0.2">
      <c r="B73" s="260">
        <v>63</v>
      </c>
      <c r="C73" s="260">
        <v>4</v>
      </c>
      <c r="D73" s="256" t="s">
        <v>4143</v>
      </c>
      <c r="E73" s="292" t="s">
        <v>4138</v>
      </c>
      <c r="F73" s="257">
        <v>4980000</v>
      </c>
      <c r="G73" s="301" t="s">
        <v>4039</v>
      </c>
      <c r="H73" s="256" t="s">
        <v>4156</v>
      </c>
      <c r="I73" s="256" t="s">
        <v>4137</v>
      </c>
      <c r="J73" s="256" t="s">
        <v>4039</v>
      </c>
      <c r="K73" s="259" t="s">
        <v>4157</v>
      </c>
      <c r="L73" s="321" t="s">
        <v>542</v>
      </c>
      <c r="M73" s="321" t="s">
        <v>4376</v>
      </c>
      <c r="N73" s="334"/>
      <c r="O73" s="260">
        <v>52</v>
      </c>
    </row>
    <row r="74" spans="2:15" ht="69.95" customHeight="1" x14ac:dyDescent="0.2">
      <c r="B74" s="260">
        <v>64</v>
      </c>
      <c r="C74" s="260">
        <v>4</v>
      </c>
      <c r="D74" s="256" t="s">
        <v>4140</v>
      </c>
      <c r="E74" s="292" t="s">
        <v>4138</v>
      </c>
      <c r="F74" s="257">
        <v>34977460</v>
      </c>
      <c r="G74" s="301" t="s">
        <v>4039</v>
      </c>
      <c r="H74" s="256" t="s">
        <v>4150</v>
      </c>
      <c r="I74" s="256" t="s">
        <v>4137</v>
      </c>
      <c r="J74" s="256" t="s">
        <v>4039</v>
      </c>
      <c r="K74" s="259" t="s">
        <v>4151</v>
      </c>
      <c r="L74" s="321" t="s">
        <v>576</v>
      </c>
      <c r="M74" s="321" t="s">
        <v>4338</v>
      </c>
      <c r="N74" s="334"/>
      <c r="O74" s="260">
        <v>52</v>
      </c>
    </row>
    <row r="75" spans="2:15" ht="69.95" customHeight="1" x14ac:dyDescent="0.2">
      <c r="B75" s="260">
        <v>65</v>
      </c>
      <c r="C75" s="260">
        <v>4</v>
      </c>
      <c r="D75" s="256" t="s">
        <v>4141</v>
      </c>
      <c r="E75" s="292" t="s">
        <v>4138</v>
      </c>
      <c r="F75" s="257">
        <v>5656000</v>
      </c>
      <c r="G75" s="301" t="s">
        <v>4039</v>
      </c>
      <c r="H75" s="256" t="s">
        <v>4152</v>
      </c>
      <c r="I75" s="256" t="s">
        <v>4137</v>
      </c>
      <c r="J75" s="256" t="s">
        <v>4039</v>
      </c>
      <c r="K75" s="259" t="s">
        <v>4153</v>
      </c>
      <c r="L75" s="321" t="s">
        <v>531</v>
      </c>
      <c r="M75" s="321" t="s">
        <v>4373</v>
      </c>
      <c r="N75" s="334"/>
      <c r="O75" s="260">
        <v>52</v>
      </c>
    </row>
    <row r="76" spans="2:15" ht="69.95" customHeight="1" x14ac:dyDescent="0.2">
      <c r="B76" s="260">
        <v>66</v>
      </c>
      <c r="C76" s="260">
        <v>4</v>
      </c>
      <c r="D76" s="256" t="s">
        <v>4162</v>
      </c>
      <c r="E76" s="292" t="s">
        <v>4138</v>
      </c>
      <c r="F76" s="257">
        <v>6180000</v>
      </c>
      <c r="G76" s="301" t="s">
        <v>4039</v>
      </c>
      <c r="H76" s="256" t="s">
        <v>4164</v>
      </c>
      <c r="I76" s="256" t="s">
        <v>4137</v>
      </c>
      <c r="J76" s="256" t="s">
        <v>4039</v>
      </c>
      <c r="K76" s="259" t="s">
        <v>4165</v>
      </c>
      <c r="L76" s="321" t="s">
        <v>535</v>
      </c>
      <c r="M76" s="321" t="s">
        <v>4372</v>
      </c>
      <c r="N76" s="334"/>
      <c r="O76" s="260">
        <v>52</v>
      </c>
    </row>
    <row r="77" spans="2:15" ht="69.95" customHeight="1" x14ac:dyDescent="0.2">
      <c r="B77" s="260">
        <v>67</v>
      </c>
      <c r="C77" s="260">
        <v>4</v>
      </c>
      <c r="D77" s="256" t="s">
        <v>4142</v>
      </c>
      <c r="E77" s="292" t="s">
        <v>4138</v>
      </c>
      <c r="F77" s="257">
        <v>5900000</v>
      </c>
      <c r="G77" s="301" t="s">
        <v>4039</v>
      </c>
      <c r="H77" s="256" t="s">
        <v>4154</v>
      </c>
      <c r="I77" s="256" t="s">
        <v>4137</v>
      </c>
      <c r="J77" s="256" t="s">
        <v>4039</v>
      </c>
      <c r="K77" s="259" t="s">
        <v>4155</v>
      </c>
      <c r="L77" s="321" t="s">
        <v>542</v>
      </c>
      <c r="M77" s="321" t="s">
        <v>4339</v>
      </c>
      <c r="N77" s="334"/>
      <c r="O77" s="260">
        <v>52</v>
      </c>
    </row>
    <row r="78" spans="2:15" ht="69.95" customHeight="1" x14ac:dyDescent="0.2">
      <c r="B78" s="260">
        <v>68</v>
      </c>
      <c r="C78" s="260">
        <v>4</v>
      </c>
      <c r="D78" s="256" t="s">
        <v>4144</v>
      </c>
      <c r="E78" s="292" t="s">
        <v>4138</v>
      </c>
      <c r="F78" s="257">
        <v>6330000</v>
      </c>
      <c r="G78" s="301" t="s">
        <v>4039</v>
      </c>
      <c r="H78" s="256" t="s">
        <v>4158</v>
      </c>
      <c r="I78" s="256" t="s">
        <v>4137</v>
      </c>
      <c r="J78" s="256" t="s">
        <v>4039</v>
      </c>
      <c r="K78" s="259" t="s">
        <v>4159</v>
      </c>
      <c r="L78" s="321" t="s">
        <v>542</v>
      </c>
      <c r="M78" s="321" t="s">
        <v>4339</v>
      </c>
      <c r="N78" s="334"/>
      <c r="O78" s="260">
        <v>52</v>
      </c>
    </row>
    <row r="79" spans="2:15" ht="69.95" customHeight="1" x14ac:dyDescent="0.2">
      <c r="B79" s="260">
        <v>69</v>
      </c>
      <c r="C79" s="260">
        <v>4</v>
      </c>
      <c r="D79" s="256" t="s">
        <v>4145</v>
      </c>
      <c r="E79" s="292" t="s">
        <v>4138</v>
      </c>
      <c r="F79" s="257">
        <v>75325796</v>
      </c>
      <c r="G79" s="302" t="s">
        <v>3839</v>
      </c>
      <c r="H79" s="256" t="s">
        <v>4160</v>
      </c>
      <c r="I79" s="256" t="s">
        <v>4137</v>
      </c>
      <c r="J79" s="256" t="s">
        <v>4039</v>
      </c>
      <c r="K79" s="259" t="s">
        <v>4161</v>
      </c>
      <c r="L79" s="321"/>
      <c r="M79" s="321"/>
      <c r="N79" s="334"/>
      <c r="O79" s="260">
        <v>52</v>
      </c>
    </row>
    <row r="80" spans="2:15" ht="69.95" customHeight="1" x14ac:dyDescent="0.2">
      <c r="B80" s="260">
        <v>70</v>
      </c>
      <c r="C80" s="260">
        <v>4</v>
      </c>
      <c r="D80" s="256" t="s">
        <v>4163</v>
      </c>
      <c r="E80" s="292" t="s">
        <v>4138</v>
      </c>
      <c r="F80" s="257">
        <v>19929200</v>
      </c>
      <c r="G80" s="302" t="s">
        <v>3839</v>
      </c>
      <c r="H80" s="256" t="s">
        <v>4166</v>
      </c>
      <c r="I80" s="256" t="s">
        <v>4137</v>
      </c>
      <c r="J80" s="256" t="s">
        <v>4039</v>
      </c>
      <c r="K80" s="259" t="s">
        <v>4167</v>
      </c>
      <c r="L80" s="321"/>
      <c r="M80" s="321"/>
      <c r="N80" s="334"/>
      <c r="O80" s="260">
        <v>52</v>
      </c>
    </row>
    <row r="81" spans="2:15" ht="69.95" customHeight="1" x14ac:dyDescent="0.2">
      <c r="B81" s="260">
        <v>71</v>
      </c>
      <c r="C81" s="260">
        <v>4</v>
      </c>
      <c r="D81" s="256" t="s">
        <v>4330</v>
      </c>
      <c r="E81" s="292" t="s">
        <v>4300</v>
      </c>
      <c r="F81" s="288">
        <v>63640000</v>
      </c>
      <c r="G81" s="300" t="s">
        <v>4331</v>
      </c>
      <c r="H81" s="256" t="s">
        <v>4332</v>
      </c>
      <c r="I81" s="256" t="s">
        <v>4172</v>
      </c>
      <c r="J81" s="256" t="s">
        <v>4053</v>
      </c>
      <c r="K81" s="259" t="s">
        <v>4333</v>
      </c>
      <c r="L81" s="321" t="s">
        <v>576</v>
      </c>
      <c r="M81" s="321" t="s">
        <v>4338</v>
      </c>
      <c r="N81" s="334" t="s">
        <v>4530</v>
      </c>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4189</v>
      </c>
      <c r="E88" s="292" t="s">
        <v>4190</v>
      </c>
      <c r="F88" s="257">
        <v>210863345</v>
      </c>
      <c r="G88" s="305" t="s">
        <v>4191</v>
      </c>
      <c r="H88" s="287" t="s">
        <v>4192</v>
      </c>
      <c r="I88" s="256" t="s">
        <v>4110</v>
      </c>
      <c r="J88" s="256" t="s">
        <v>4053</v>
      </c>
      <c r="K88" s="259" t="s">
        <v>4193</v>
      </c>
      <c r="L88" s="321" t="s">
        <v>576</v>
      </c>
      <c r="M88" s="321" t="s">
        <v>4340</v>
      </c>
      <c r="N88" s="334" t="s">
        <v>4529</v>
      </c>
      <c r="O88" s="260">
        <v>51</v>
      </c>
    </row>
    <row r="89" spans="2:15" ht="69.95" customHeight="1" x14ac:dyDescent="0.2">
      <c r="B89" s="260">
        <v>79</v>
      </c>
      <c r="C89" s="260">
        <v>5</v>
      </c>
      <c r="D89" s="256" t="s">
        <v>4335</v>
      </c>
      <c r="E89" s="292" t="s">
        <v>4334</v>
      </c>
      <c r="F89" s="257">
        <v>236089382</v>
      </c>
      <c r="G89" s="305" t="s">
        <v>4039</v>
      </c>
      <c r="H89" s="317" t="s">
        <v>4336</v>
      </c>
      <c r="I89" s="256" t="s">
        <v>4306</v>
      </c>
      <c r="J89" s="256" t="s">
        <v>4039</v>
      </c>
      <c r="K89" s="259" t="s">
        <v>4337</v>
      </c>
      <c r="L89" s="321" t="s">
        <v>576</v>
      </c>
      <c r="M89" s="321" t="s">
        <v>4340</v>
      </c>
      <c r="N89" s="334" t="s">
        <v>4529</v>
      </c>
      <c r="O89" s="260">
        <v>51</v>
      </c>
    </row>
    <row r="90" spans="2:15" ht="69.95" customHeight="1" x14ac:dyDescent="0.2">
      <c r="B90" s="260">
        <v>80</v>
      </c>
      <c r="C90" s="260">
        <v>5</v>
      </c>
      <c r="D90" s="256" t="s">
        <v>4358</v>
      </c>
      <c r="E90" s="292" t="s">
        <v>4359</v>
      </c>
      <c r="F90" s="257">
        <v>26312000</v>
      </c>
      <c r="G90" s="305" t="s">
        <v>4207</v>
      </c>
      <c r="H90" s="287" t="s">
        <v>4360</v>
      </c>
      <c r="I90" s="256" t="s">
        <v>4359</v>
      </c>
      <c r="J90" s="256" t="s">
        <v>4039</v>
      </c>
      <c r="K90" s="259" t="s">
        <v>4361</v>
      </c>
      <c r="L90" s="321" t="s">
        <v>576</v>
      </c>
      <c r="M90" s="321" t="s">
        <v>4340</v>
      </c>
      <c r="N90" s="334" t="s">
        <v>4529</v>
      </c>
      <c r="O90" s="260">
        <v>51</v>
      </c>
    </row>
    <row r="91" spans="2:15" ht="69.95" customHeight="1" x14ac:dyDescent="0.2">
      <c r="B91" s="260">
        <v>81</v>
      </c>
      <c r="C91" s="260">
        <v>5</v>
      </c>
      <c r="D91" s="256" t="s">
        <v>4362</v>
      </c>
      <c r="E91" s="292" t="s">
        <v>4363</v>
      </c>
      <c r="F91" s="257">
        <v>4745975</v>
      </c>
      <c r="G91" s="305" t="s">
        <v>4039</v>
      </c>
      <c r="H91" s="256" t="s">
        <v>4364</v>
      </c>
      <c r="I91" s="256" t="s">
        <v>4365</v>
      </c>
      <c r="J91" s="256" t="s">
        <v>4039</v>
      </c>
      <c r="K91" s="259" t="s">
        <v>4366</v>
      </c>
      <c r="L91" s="321" t="s">
        <v>576</v>
      </c>
      <c r="M91" s="321" t="s">
        <v>4340</v>
      </c>
      <c r="N91" s="334" t="s">
        <v>4529</v>
      </c>
      <c r="O91" s="260">
        <v>51</v>
      </c>
    </row>
    <row r="92" spans="2:15" ht="69.95" customHeight="1" x14ac:dyDescent="0.2">
      <c r="B92" s="260">
        <v>82</v>
      </c>
      <c r="C92" s="260">
        <v>5</v>
      </c>
      <c r="D92" s="256" t="s">
        <v>4367</v>
      </c>
      <c r="E92" s="292" t="s">
        <v>4363</v>
      </c>
      <c r="F92" s="257">
        <v>221543</v>
      </c>
      <c r="G92" s="305" t="s">
        <v>4219</v>
      </c>
      <c r="H92" s="256" t="s">
        <v>4368</v>
      </c>
      <c r="I92" s="256" t="s">
        <v>4365</v>
      </c>
      <c r="J92" s="256" t="s">
        <v>4039</v>
      </c>
      <c r="K92" s="259" t="s">
        <v>4369</v>
      </c>
      <c r="L92" s="321" t="s">
        <v>576</v>
      </c>
      <c r="M92" s="321" t="s">
        <v>4340</v>
      </c>
      <c r="N92" s="334" t="s">
        <v>4529</v>
      </c>
      <c r="O92" s="260">
        <v>51</v>
      </c>
    </row>
    <row r="93" spans="2:15" ht="69.95" customHeight="1" x14ac:dyDescent="0.2">
      <c r="B93" s="260">
        <v>83</v>
      </c>
      <c r="C93" s="260">
        <v>5</v>
      </c>
      <c r="D93" s="256" t="s">
        <v>4401</v>
      </c>
      <c r="E93" s="292" t="s">
        <v>4380</v>
      </c>
      <c r="F93" s="257">
        <v>2372988</v>
      </c>
      <c r="G93" s="305" t="s">
        <v>4195</v>
      </c>
      <c r="H93" s="256" t="s">
        <v>4402</v>
      </c>
      <c r="I93" s="256" t="s">
        <v>4382</v>
      </c>
      <c r="J93" s="256" t="s">
        <v>4039</v>
      </c>
      <c r="K93" s="259" t="s">
        <v>4201</v>
      </c>
      <c r="L93" s="313" t="s">
        <v>576</v>
      </c>
      <c r="M93" s="313" t="s">
        <v>4340</v>
      </c>
      <c r="N93" s="334" t="s">
        <v>4529</v>
      </c>
      <c r="O93" s="260">
        <v>51</v>
      </c>
    </row>
    <row r="94" spans="2:15" ht="69.95" customHeight="1" x14ac:dyDescent="0.2">
      <c r="B94" s="260">
        <v>84</v>
      </c>
      <c r="C94" s="260">
        <v>5</v>
      </c>
      <c r="D94" s="256" t="s">
        <v>4327</v>
      </c>
      <c r="E94" s="292" t="s">
        <v>4190</v>
      </c>
      <c r="F94" s="288">
        <v>63640000</v>
      </c>
      <c r="G94" s="300" t="s">
        <v>4050</v>
      </c>
      <c r="H94" s="256" t="s">
        <v>4328</v>
      </c>
      <c r="I94" s="256" t="s">
        <v>4172</v>
      </c>
      <c r="J94" s="256" t="s">
        <v>4053</v>
      </c>
      <c r="K94" s="259" t="s">
        <v>4329</v>
      </c>
      <c r="L94" s="321" t="s">
        <v>576</v>
      </c>
      <c r="M94" s="321" t="s">
        <v>4338</v>
      </c>
      <c r="N94" s="334" t="s">
        <v>4530</v>
      </c>
      <c r="O94" s="260">
        <v>52</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4425</v>
      </c>
      <c r="E114" s="292" t="s">
        <v>4427</v>
      </c>
      <c r="F114" s="257">
        <v>11850000</v>
      </c>
      <c r="G114" s="319" t="s">
        <v>4039</v>
      </c>
      <c r="H114" s="258" t="s">
        <v>4428</v>
      </c>
      <c r="I114" s="256" t="s">
        <v>4426</v>
      </c>
      <c r="J114" s="256" t="s">
        <v>4039</v>
      </c>
      <c r="K114" s="259" t="s">
        <v>4429</v>
      </c>
      <c r="L114" s="313" t="s">
        <v>542</v>
      </c>
      <c r="M114" s="313" t="s">
        <v>4339</v>
      </c>
      <c r="N114" s="334" t="s">
        <v>4528</v>
      </c>
      <c r="O114" s="260">
        <v>52</v>
      </c>
    </row>
    <row r="115" spans="2:15" ht="69.95" customHeight="1" x14ac:dyDescent="0.2">
      <c r="B115" s="260">
        <v>105</v>
      </c>
      <c r="C115" s="260">
        <v>6</v>
      </c>
      <c r="D115" s="256" t="s">
        <v>4445</v>
      </c>
      <c r="E115" s="292" t="s">
        <v>4427</v>
      </c>
      <c r="F115" s="257">
        <v>8750000</v>
      </c>
      <c r="G115" s="319" t="s">
        <v>4307</v>
      </c>
      <c r="H115" s="258" t="s">
        <v>4446</v>
      </c>
      <c r="I115" s="256" t="s">
        <v>4426</v>
      </c>
      <c r="J115" s="256" t="s">
        <v>4039</v>
      </c>
      <c r="K115" s="259" t="s">
        <v>4447</v>
      </c>
      <c r="L115" s="313" t="s">
        <v>542</v>
      </c>
      <c r="M115" s="313" t="s">
        <v>4339</v>
      </c>
      <c r="N115" s="334" t="s">
        <v>4528</v>
      </c>
      <c r="O115" s="260">
        <v>52</v>
      </c>
    </row>
    <row r="116" spans="2:15" ht="69.95" customHeight="1" x14ac:dyDescent="0.2">
      <c r="B116" s="260">
        <v>106</v>
      </c>
      <c r="C116" s="260">
        <v>6</v>
      </c>
      <c r="D116" s="256" t="s">
        <v>4442</v>
      </c>
      <c r="E116" s="292" t="s">
        <v>4427</v>
      </c>
      <c r="F116" s="257">
        <v>136000000</v>
      </c>
      <c r="G116" s="319" t="s">
        <v>4307</v>
      </c>
      <c r="H116" s="258" t="s">
        <v>4443</v>
      </c>
      <c r="I116" s="256" t="s">
        <v>4426</v>
      </c>
      <c r="J116" s="256" t="s">
        <v>4039</v>
      </c>
      <c r="K116" s="259" t="s">
        <v>4444</v>
      </c>
      <c r="L116" s="313" t="s">
        <v>542</v>
      </c>
      <c r="M116" s="313" t="s">
        <v>4339</v>
      </c>
      <c r="N116" s="334" t="s">
        <v>4528</v>
      </c>
      <c r="O116" s="260">
        <v>52</v>
      </c>
    </row>
    <row r="117" spans="2:15" ht="69.95" customHeight="1" x14ac:dyDescent="0.2">
      <c r="B117" s="260">
        <v>107</v>
      </c>
      <c r="C117" s="260">
        <v>6</v>
      </c>
      <c r="D117" s="256" t="s">
        <v>4457</v>
      </c>
      <c r="E117" s="292" t="s">
        <v>4427</v>
      </c>
      <c r="F117" s="257">
        <v>202275000</v>
      </c>
      <c r="G117" s="319" t="s">
        <v>4307</v>
      </c>
      <c r="H117" s="258" t="s">
        <v>4458</v>
      </c>
      <c r="I117" s="256" t="s">
        <v>4426</v>
      </c>
      <c r="J117" s="256" t="s">
        <v>4039</v>
      </c>
      <c r="K117" s="259" t="s">
        <v>4459</v>
      </c>
      <c r="L117" s="313" t="s">
        <v>542</v>
      </c>
      <c r="M117" s="313" t="s">
        <v>4339</v>
      </c>
      <c r="N117" s="334" t="s">
        <v>4528</v>
      </c>
      <c r="O117" s="260">
        <v>52</v>
      </c>
    </row>
    <row r="118" spans="2:15" ht="69.95" customHeight="1" x14ac:dyDescent="0.2">
      <c r="B118" s="260">
        <v>108</v>
      </c>
      <c r="C118" s="260">
        <v>6</v>
      </c>
      <c r="D118" s="256" t="s">
        <v>4430</v>
      </c>
      <c r="E118" s="292" t="s">
        <v>4427</v>
      </c>
      <c r="F118" s="257">
        <v>32800000</v>
      </c>
      <c r="G118" s="319" t="s">
        <v>4307</v>
      </c>
      <c r="H118" s="258" t="s">
        <v>4431</v>
      </c>
      <c r="I118" s="256" t="s">
        <v>4426</v>
      </c>
      <c r="J118" s="256" t="s">
        <v>4039</v>
      </c>
      <c r="K118" s="259" t="s">
        <v>4432</v>
      </c>
      <c r="L118" s="313" t="s">
        <v>542</v>
      </c>
      <c r="M118" s="313" t="s">
        <v>4339</v>
      </c>
      <c r="N118" s="334" t="s">
        <v>4528</v>
      </c>
      <c r="O118" s="260">
        <v>52</v>
      </c>
    </row>
    <row r="119" spans="2:15" ht="69.95" customHeight="1" x14ac:dyDescent="0.2">
      <c r="B119" s="260">
        <v>109</v>
      </c>
      <c r="C119" s="260">
        <v>6</v>
      </c>
      <c r="D119" s="256" t="s">
        <v>4448</v>
      </c>
      <c r="E119" s="292" t="s">
        <v>4427</v>
      </c>
      <c r="F119" s="257">
        <v>39150000</v>
      </c>
      <c r="G119" s="319" t="s">
        <v>4307</v>
      </c>
      <c r="H119" s="258" t="s">
        <v>4449</v>
      </c>
      <c r="I119" s="256" t="s">
        <v>4426</v>
      </c>
      <c r="J119" s="256" t="s">
        <v>4039</v>
      </c>
      <c r="K119" s="259" t="s">
        <v>4450</v>
      </c>
      <c r="L119" s="313" t="s">
        <v>542</v>
      </c>
      <c r="M119" s="313" t="s">
        <v>4339</v>
      </c>
      <c r="N119" s="334" t="s">
        <v>4528</v>
      </c>
      <c r="O119" s="260">
        <v>52</v>
      </c>
    </row>
    <row r="120" spans="2:15" ht="69.95" customHeight="1" x14ac:dyDescent="0.2">
      <c r="B120" s="260">
        <v>110</v>
      </c>
      <c r="C120" s="260">
        <v>6</v>
      </c>
      <c r="D120" s="287" t="s">
        <v>4463</v>
      </c>
      <c r="E120" s="293" t="s">
        <v>4464</v>
      </c>
      <c r="F120" s="288">
        <v>180000000</v>
      </c>
      <c r="G120" s="323" t="s">
        <v>4039</v>
      </c>
      <c r="H120" s="287" t="s">
        <v>4465</v>
      </c>
      <c r="I120" s="287" t="s">
        <v>4427</v>
      </c>
      <c r="J120" s="287" t="s">
        <v>4039</v>
      </c>
      <c r="K120" s="289" t="s">
        <v>4466</v>
      </c>
      <c r="L120" s="313" t="s">
        <v>542</v>
      </c>
      <c r="M120" s="313" t="s">
        <v>4339</v>
      </c>
      <c r="N120" s="334" t="s">
        <v>4528</v>
      </c>
      <c r="O120" s="260">
        <v>52</v>
      </c>
    </row>
    <row r="121" spans="2:15" ht="69.95" customHeight="1" x14ac:dyDescent="0.2">
      <c r="B121" s="260">
        <v>111</v>
      </c>
      <c r="C121" s="260">
        <v>6</v>
      </c>
      <c r="D121" s="287" t="s">
        <v>4485</v>
      </c>
      <c r="E121" s="293" t="s">
        <v>4464</v>
      </c>
      <c r="F121" s="288">
        <v>30000000</v>
      </c>
      <c r="G121" s="319" t="s">
        <v>4039</v>
      </c>
      <c r="H121" s="287" t="s">
        <v>4486</v>
      </c>
      <c r="I121" s="287" t="s">
        <v>4427</v>
      </c>
      <c r="J121" s="287" t="s">
        <v>4039</v>
      </c>
      <c r="K121" s="289" t="s">
        <v>4487</v>
      </c>
      <c r="L121" s="313" t="s">
        <v>542</v>
      </c>
      <c r="M121" s="313" t="s">
        <v>4339</v>
      </c>
      <c r="N121" s="334" t="s">
        <v>4528</v>
      </c>
      <c r="O121" s="260">
        <v>52</v>
      </c>
    </row>
    <row r="122" spans="2:15" ht="69.95" customHeight="1" x14ac:dyDescent="0.2">
      <c r="B122" s="260">
        <v>112</v>
      </c>
      <c r="C122" s="260">
        <v>6</v>
      </c>
      <c r="D122" s="256" t="s">
        <v>4494</v>
      </c>
      <c r="E122" s="292" t="s">
        <v>4495</v>
      </c>
      <c r="F122" s="257">
        <v>6750000</v>
      </c>
      <c r="G122" s="319" t="s">
        <v>4307</v>
      </c>
      <c r="H122" s="256" t="s">
        <v>4496</v>
      </c>
      <c r="I122" s="256" t="s">
        <v>4427</v>
      </c>
      <c r="J122" s="256" t="s">
        <v>4039</v>
      </c>
      <c r="K122" s="289" t="s">
        <v>4497</v>
      </c>
      <c r="L122" s="313" t="s">
        <v>542</v>
      </c>
      <c r="M122" s="313" t="s">
        <v>4339</v>
      </c>
      <c r="N122" s="334" t="s">
        <v>4528</v>
      </c>
      <c r="O122" s="260">
        <v>52</v>
      </c>
    </row>
    <row r="123" spans="2:15" ht="69.95" customHeight="1" x14ac:dyDescent="0.2">
      <c r="B123" s="260">
        <v>113</v>
      </c>
      <c r="C123" s="260">
        <v>6</v>
      </c>
      <c r="D123" s="256" t="s">
        <v>4498</v>
      </c>
      <c r="E123" s="292" t="s">
        <v>4495</v>
      </c>
      <c r="F123" s="257">
        <v>14000000</v>
      </c>
      <c r="G123" s="319" t="s">
        <v>4307</v>
      </c>
      <c r="H123" s="256" t="s">
        <v>4499</v>
      </c>
      <c r="I123" s="256" t="s">
        <v>4427</v>
      </c>
      <c r="J123" s="256" t="s">
        <v>4039</v>
      </c>
      <c r="K123" s="289" t="s">
        <v>4500</v>
      </c>
      <c r="L123" s="313" t="s">
        <v>542</v>
      </c>
      <c r="M123" s="313" t="s">
        <v>4339</v>
      </c>
      <c r="N123" s="334" t="s">
        <v>4528</v>
      </c>
      <c r="O123" s="260">
        <v>52</v>
      </c>
    </row>
    <row r="124" spans="2:15" ht="69.95" customHeight="1" x14ac:dyDescent="0.2">
      <c r="B124" s="260">
        <v>114</v>
      </c>
      <c r="C124" s="260">
        <v>6</v>
      </c>
      <c r="D124" s="256" t="s">
        <v>4510</v>
      </c>
      <c r="E124" s="292" t="s">
        <v>4495</v>
      </c>
      <c r="F124" s="257">
        <v>185225000</v>
      </c>
      <c r="G124" s="319" t="s">
        <v>4307</v>
      </c>
      <c r="H124" s="256" t="s">
        <v>4511</v>
      </c>
      <c r="I124" s="256" t="s">
        <v>4427</v>
      </c>
      <c r="J124" s="256" t="s">
        <v>4039</v>
      </c>
      <c r="K124" s="289" t="s">
        <v>4512</v>
      </c>
      <c r="L124" s="313" t="s">
        <v>542</v>
      </c>
      <c r="M124" s="313" t="s">
        <v>4339</v>
      </c>
      <c r="N124" s="334" t="s">
        <v>4528</v>
      </c>
      <c r="O124" s="260">
        <v>52</v>
      </c>
    </row>
    <row r="125" spans="2:15" ht="69.95" customHeight="1" x14ac:dyDescent="0.2">
      <c r="B125" s="260">
        <v>115</v>
      </c>
      <c r="C125" s="260">
        <v>6</v>
      </c>
      <c r="D125" s="256" t="s">
        <v>4504</v>
      </c>
      <c r="E125" s="292" t="s">
        <v>4495</v>
      </c>
      <c r="F125" s="257">
        <v>436225000</v>
      </c>
      <c r="G125" s="319" t="s">
        <v>4307</v>
      </c>
      <c r="H125" s="256" t="s">
        <v>4505</v>
      </c>
      <c r="I125" s="256" t="s">
        <v>4427</v>
      </c>
      <c r="J125" s="256" t="s">
        <v>4039</v>
      </c>
      <c r="K125" s="289" t="s">
        <v>4506</v>
      </c>
      <c r="L125" s="313" t="s">
        <v>542</v>
      </c>
      <c r="M125" s="313" t="s">
        <v>4339</v>
      </c>
      <c r="N125" s="334" t="s">
        <v>4528</v>
      </c>
      <c r="O125" s="260">
        <v>52</v>
      </c>
    </row>
    <row r="126" spans="2:15" ht="69.95" customHeight="1" x14ac:dyDescent="0.2">
      <c r="B126" s="260">
        <v>116</v>
      </c>
      <c r="C126" s="260">
        <v>6</v>
      </c>
      <c r="D126" s="256" t="s">
        <v>4525</v>
      </c>
      <c r="E126" s="292" t="s">
        <v>4495</v>
      </c>
      <c r="F126" s="257">
        <v>9000000</v>
      </c>
      <c r="G126" s="319" t="s">
        <v>4307</v>
      </c>
      <c r="H126" s="256" t="s">
        <v>4526</v>
      </c>
      <c r="I126" s="256" t="s">
        <v>4464</v>
      </c>
      <c r="J126" s="256" t="s">
        <v>4039</v>
      </c>
      <c r="K126" s="289" t="s">
        <v>4527</v>
      </c>
      <c r="L126" s="313" t="s">
        <v>542</v>
      </c>
      <c r="M126" s="313" t="s">
        <v>4339</v>
      </c>
      <c r="N126" s="334" t="s">
        <v>4528</v>
      </c>
      <c r="O126" s="260">
        <v>52</v>
      </c>
    </row>
    <row r="127" spans="2:15" ht="69.95" customHeight="1" x14ac:dyDescent="0.2">
      <c r="B127" s="260">
        <v>117</v>
      </c>
      <c r="C127" s="260">
        <v>6</v>
      </c>
      <c r="D127" s="256" t="s">
        <v>4516</v>
      </c>
      <c r="E127" s="292" t="s">
        <v>4495</v>
      </c>
      <c r="F127" s="257">
        <v>36000000</v>
      </c>
      <c r="G127" s="319" t="s">
        <v>4307</v>
      </c>
      <c r="H127" s="256" t="s">
        <v>4517</v>
      </c>
      <c r="I127" s="256" t="s">
        <v>4464</v>
      </c>
      <c r="J127" s="256" t="s">
        <v>4039</v>
      </c>
      <c r="K127" s="289" t="s">
        <v>4518</v>
      </c>
      <c r="L127" s="313" t="s">
        <v>542</v>
      </c>
      <c r="M127" s="313" t="s">
        <v>4339</v>
      </c>
      <c r="N127" s="334" t="s">
        <v>4528</v>
      </c>
      <c r="O127" s="260">
        <v>52</v>
      </c>
    </row>
    <row r="128" spans="2:15" ht="69.95" customHeight="1" x14ac:dyDescent="0.2">
      <c r="B128" s="260">
        <v>118</v>
      </c>
      <c r="C128" s="260">
        <v>6</v>
      </c>
      <c r="D128" s="256" t="s">
        <v>4513</v>
      </c>
      <c r="E128" s="292" t="s">
        <v>4495</v>
      </c>
      <c r="F128" s="257">
        <v>46500000</v>
      </c>
      <c r="G128" s="319" t="s">
        <v>4307</v>
      </c>
      <c r="H128" s="256" t="s">
        <v>4514</v>
      </c>
      <c r="I128" s="256" t="s">
        <v>4464</v>
      </c>
      <c r="J128" s="256" t="s">
        <v>4039</v>
      </c>
      <c r="K128" s="289" t="s">
        <v>4515</v>
      </c>
      <c r="L128" s="313" t="s">
        <v>542</v>
      </c>
      <c r="M128" s="313" t="s">
        <v>4339</v>
      </c>
      <c r="N128" s="334" t="s">
        <v>4528</v>
      </c>
      <c r="O128" s="260">
        <v>52</v>
      </c>
    </row>
    <row r="129" spans="2:15" ht="69.95" customHeight="1" x14ac:dyDescent="0.2">
      <c r="B129" s="260">
        <v>119</v>
      </c>
      <c r="C129" s="260">
        <v>6</v>
      </c>
      <c r="D129" s="256" t="s">
        <v>4507</v>
      </c>
      <c r="E129" s="292" t="s">
        <v>4495</v>
      </c>
      <c r="F129" s="257">
        <v>10000000</v>
      </c>
      <c r="G129" s="319" t="s">
        <v>4307</v>
      </c>
      <c r="H129" s="256" t="s">
        <v>4508</v>
      </c>
      <c r="I129" s="256" t="s">
        <v>4464</v>
      </c>
      <c r="J129" s="256" t="s">
        <v>4039</v>
      </c>
      <c r="K129" s="289" t="s">
        <v>4509</v>
      </c>
      <c r="L129" s="313" t="s">
        <v>542</v>
      </c>
      <c r="M129" s="313" t="s">
        <v>4339</v>
      </c>
      <c r="N129" s="334" t="s">
        <v>4528</v>
      </c>
      <c r="O129" s="260">
        <v>52</v>
      </c>
    </row>
    <row r="130" spans="2:15" ht="69.95" customHeight="1" x14ac:dyDescent="0.2">
      <c r="B130" s="260">
        <v>120</v>
      </c>
      <c r="C130" s="260">
        <v>6</v>
      </c>
      <c r="D130" s="256" t="s">
        <v>4522</v>
      </c>
      <c r="E130" s="292" t="s">
        <v>4495</v>
      </c>
      <c r="F130" s="257">
        <v>15500000</v>
      </c>
      <c r="G130" s="319" t="s">
        <v>4307</v>
      </c>
      <c r="H130" s="256" t="s">
        <v>4523</v>
      </c>
      <c r="I130" s="256" t="s">
        <v>4464</v>
      </c>
      <c r="J130" s="256" t="s">
        <v>4039</v>
      </c>
      <c r="K130" s="289" t="s">
        <v>4524</v>
      </c>
      <c r="L130" s="313" t="s">
        <v>542</v>
      </c>
      <c r="M130" s="313" t="s">
        <v>4339</v>
      </c>
      <c r="N130" s="334" t="s">
        <v>4528</v>
      </c>
      <c r="O130" s="260">
        <v>52</v>
      </c>
    </row>
    <row r="131" spans="2:15" ht="69.95" customHeight="1" x14ac:dyDescent="0.2">
      <c r="B131" s="260">
        <v>121</v>
      </c>
      <c r="C131" s="260">
        <v>6</v>
      </c>
      <c r="D131" s="256" t="s">
        <v>4501</v>
      </c>
      <c r="E131" s="292" t="s">
        <v>4495</v>
      </c>
      <c r="F131" s="257">
        <v>25000000</v>
      </c>
      <c r="G131" s="319" t="s">
        <v>4307</v>
      </c>
      <c r="H131" s="256" t="s">
        <v>4502</v>
      </c>
      <c r="I131" s="256" t="s">
        <v>4464</v>
      </c>
      <c r="J131" s="256" t="s">
        <v>4039</v>
      </c>
      <c r="K131" s="289" t="s">
        <v>4503</v>
      </c>
      <c r="L131" s="313" t="s">
        <v>542</v>
      </c>
      <c r="M131" s="313" t="s">
        <v>4339</v>
      </c>
      <c r="N131" s="334" t="s">
        <v>4528</v>
      </c>
      <c r="O131" s="260">
        <v>52</v>
      </c>
    </row>
    <row r="132" spans="2:15" ht="69.95" customHeight="1" x14ac:dyDescent="0.2">
      <c r="B132" s="260">
        <v>122</v>
      </c>
      <c r="C132" s="260">
        <v>6</v>
      </c>
      <c r="D132" s="256" t="s">
        <v>4538</v>
      </c>
      <c r="E132" s="292" t="s">
        <v>4535</v>
      </c>
      <c r="F132" s="257">
        <v>30000000</v>
      </c>
      <c r="G132" s="319" t="s">
        <v>4039</v>
      </c>
      <c r="H132" s="256" t="s">
        <v>4539</v>
      </c>
      <c r="I132" s="256" t="s">
        <v>4427</v>
      </c>
      <c r="J132" s="256" t="s">
        <v>4039</v>
      </c>
      <c r="K132" s="259" t="s">
        <v>4540</v>
      </c>
      <c r="L132" s="313" t="s">
        <v>542</v>
      </c>
      <c r="M132" s="313" t="s">
        <v>4339</v>
      </c>
      <c r="N132" s="334" t="s">
        <v>4528</v>
      </c>
      <c r="O132" s="260">
        <v>52</v>
      </c>
    </row>
    <row r="133" spans="2:15" ht="69.95" customHeight="1" x14ac:dyDescent="0.2">
      <c r="B133" s="260">
        <v>123</v>
      </c>
      <c r="C133" s="260">
        <v>6</v>
      </c>
      <c r="D133" s="256" t="s">
        <v>4543</v>
      </c>
      <c r="E133" s="292" t="s">
        <v>4535</v>
      </c>
      <c r="F133" s="257">
        <v>55500000</v>
      </c>
      <c r="G133" s="319" t="s">
        <v>4307</v>
      </c>
      <c r="H133" s="256" t="s">
        <v>4544</v>
      </c>
      <c r="I133" s="256" t="s">
        <v>4427</v>
      </c>
      <c r="J133" s="256" t="s">
        <v>4039</v>
      </c>
      <c r="K133" s="259" t="s">
        <v>4545</v>
      </c>
      <c r="L133" s="313" t="s">
        <v>542</v>
      </c>
      <c r="M133" s="313" t="s">
        <v>4339</v>
      </c>
      <c r="N133" s="334" t="s">
        <v>4528</v>
      </c>
      <c r="O133" s="260">
        <v>52</v>
      </c>
    </row>
    <row r="134" spans="2:15" ht="69.95" customHeight="1" x14ac:dyDescent="0.2">
      <c r="B134" s="260">
        <v>124</v>
      </c>
      <c r="C134" s="260">
        <v>6</v>
      </c>
      <c r="D134" s="256" t="s">
        <v>4546</v>
      </c>
      <c r="E134" s="292" t="s">
        <v>4535</v>
      </c>
      <c r="F134" s="257">
        <v>152000000</v>
      </c>
      <c r="G134" s="319" t="s">
        <v>4307</v>
      </c>
      <c r="H134" s="256" t="s">
        <v>4547</v>
      </c>
      <c r="I134" s="256" t="s">
        <v>4427</v>
      </c>
      <c r="J134" s="256" t="s">
        <v>4039</v>
      </c>
      <c r="K134" s="259" t="s">
        <v>4548</v>
      </c>
      <c r="L134" s="313" t="s">
        <v>542</v>
      </c>
      <c r="M134" s="313" t="s">
        <v>4339</v>
      </c>
      <c r="N134" s="334" t="s">
        <v>4528</v>
      </c>
      <c r="O134" s="260">
        <v>52</v>
      </c>
    </row>
    <row r="135" spans="2:15" ht="69.95" customHeight="1" x14ac:dyDescent="0.2">
      <c r="B135" s="260">
        <v>125</v>
      </c>
      <c r="C135" s="260">
        <v>6</v>
      </c>
      <c r="D135" s="256" t="s">
        <v>4549</v>
      </c>
      <c r="E135" s="292" t="s">
        <v>4535</v>
      </c>
      <c r="F135" s="257">
        <v>16250000</v>
      </c>
      <c r="G135" s="319" t="s">
        <v>4307</v>
      </c>
      <c r="H135" s="256" t="s">
        <v>4550</v>
      </c>
      <c r="I135" s="256" t="s">
        <v>4427</v>
      </c>
      <c r="J135" s="256" t="s">
        <v>4039</v>
      </c>
      <c r="K135" s="259" t="s">
        <v>4551</v>
      </c>
      <c r="L135" s="313" t="s">
        <v>542</v>
      </c>
      <c r="M135" s="313" t="s">
        <v>4339</v>
      </c>
      <c r="N135" s="334" t="s">
        <v>4528</v>
      </c>
      <c r="O135" s="260">
        <v>52</v>
      </c>
    </row>
    <row r="136" spans="2:15" ht="69.95" customHeight="1" x14ac:dyDescent="0.2">
      <c r="B136" s="260">
        <v>126</v>
      </c>
      <c r="C136" s="260">
        <v>6</v>
      </c>
      <c r="D136" s="256" t="s">
        <v>4415</v>
      </c>
      <c r="E136" s="292" t="s">
        <v>4416</v>
      </c>
      <c r="F136" s="288">
        <v>210863345</v>
      </c>
      <c r="G136" s="305" t="s">
        <v>4191</v>
      </c>
      <c r="H136" s="331" t="s">
        <v>4417</v>
      </c>
      <c r="I136" s="256" t="s">
        <v>4351</v>
      </c>
      <c r="J136" s="256" t="s">
        <v>4053</v>
      </c>
      <c r="K136" s="259" t="s">
        <v>4418</v>
      </c>
      <c r="L136" s="313" t="s">
        <v>576</v>
      </c>
      <c r="M136" s="313" t="s">
        <v>4340</v>
      </c>
      <c r="N136" s="334" t="s">
        <v>4529</v>
      </c>
      <c r="O136" s="260">
        <v>51</v>
      </c>
    </row>
    <row r="137" spans="2:15" ht="69.95" customHeight="1" x14ac:dyDescent="0.2">
      <c r="B137" s="260">
        <v>127</v>
      </c>
      <c r="C137" s="260">
        <v>6</v>
      </c>
      <c r="D137" s="256" t="s">
        <v>4419</v>
      </c>
      <c r="E137" s="292" t="s">
        <v>4416</v>
      </c>
      <c r="F137" s="288">
        <v>4697567</v>
      </c>
      <c r="G137" s="305" t="s">
        <v>4191</v>
      </c>
      <c r="H137" s="331" t="s">
        <v>4420</v>
      </c>
      <c r="I137" s="256" t="s">
        <v>4351</v>
      </c>
      <c r="J137" s="256" t="s">
        <v>4053</v>
      </c>
      <c r="K137" s="259" t="s">
        <v>4421</v>
      </c>
      <c r="L137" s="313" t="s">
        <v>576</v>
      </c>
      <c r="M137" s="313" t="s">
        <v>4340</v>
      </c>
      <c r="N137" s="334" t="s">
        <v>4529</v>
      </c>
      <c r="O137" s="260">
        <v>51</v>
      </c>
    </row>
    <row r="138" spans="2:15" ht="69.95" customHeight="1" x14ac:dyDescent="0.2">
      <c r="B138" s="260">
        <v>128</v>
      </c>
      <c r="C138" s="260">
        <v>6</v>
      </c>
      <c r="D138" s="256" t="s">
        <v>4534</v>
      </c>
      <c r="E138" s="292" t="s">
        <v>4535</v>
      </c>
      <c r="F138" s="257">
        <v>241668914</v>
      </c>
      <c r="G138" s="305" t="s">
        <v>4039</v>
      </c>
      <c r="H138" s="256" t="s">
        <v>4536</v>
      </c>
      <c r="I138" s="256" t="s">
        <v>4495</v>
      </c>
      <c r="J138" s="256" t="s">
        <v>4039</v>
      </c>
      <c r="K138" s="259" t="s">
        <v>4537</v>
      </c>
      <c r="L138" s="313" t="s">
        <v>576</v>
      </c>
      <c r="M138" s="313" t="s">
        <v>4340</v>
      </c>
      <c r="N138" s="333" t="s">
        <v>4529</v>
      </c>
      <c r="O138" s="260">
        <v>51</v>
      </c>
    </row>
    <row r="139" spans="2:15" ht="69.95" customHeight="1" x14ac:dyDescent="0.2">
      <c r="B139" s="260">
        <v>129</v>
      </c>
      <c r="C139" s="260">
        <v>6</v>
      </c>
      <c r="D139" s="256" t="s">
        <v>4422</v>
      </c>
      <c r="E139" s="292" t="s">
        <v>4416</v>
      </c>
      <c r="F139" s="288">
        <v>63640000</v>
      </c>
      <c r="G139" s="300" t="s">
        <v>4050</v>
      </c>
      <c r="H139" s="331" t="s">
        <v>4423</v>
      </c>
      <c r="I139" s="256" t="s">
        <v>4365</v>
      </c>
      <c r="J139" s="256" t="s">
        <v>4053</v>
      </c>
      <c r="K139" s="259" t="s">
        <v>4424</v>
      </c>
      <c r="L139" s="313" t="s">
        <v>576</v>
      </c>
      <c r="M139" s="313" t="s">
        <v>4338</v>
      </c>
      <c r="N139" s="334" t="s">
        <v>4530</v>
      </c>
      <c r="O139" s="260">
        <v>52</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260">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N172" s="329" t="s">
        <v>3842</v>
      </c>
    </row>
  </sheetData>
  <sortState xmlns:xlrd2="http://schemas.microsoft.com/office/spreadsheetml/2017/richdata2" ref="B11:K51">
    <sortCondition ref="H11:H51"/>
  </sortState>
  <conditionalFormatting sqref="D113:D116">
    <cfRule type="duplicateValues" dxfId="713" priority="3"/>
  </conditionalFormatting>
  <conditionalFormatting sqref="D11:D171">
    <cfRule type="duplicateValues" dxfId="712" priority="28"/>
    <cfRule type="duplicateValues" dxfId="711"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L11:L171</xm:sqref>
        </x14:dataValidation>
        <x14:dataValidation type="list" allowBlank="1" showInputMessage="1" showErrorMessage="1" xr:uid="{1D7AA939-12B2-4A2A-99CA-5C400ED59A4C}">
          <x14:formula1>
            <xm:f>Eselon2!$R$2:$R$9</xm:f>
          </x14:formula1>
          <xm:sqref>M11:M171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zoomScale="70" zoomScaleNormal="70" zoomScaleSheetLayoutView="70" workbookViewId="0">
      <selection activeCell="C3" sqref="C3:H3"/>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1" t="str">
        <f>'PERSUBBID - Gaji'!A1</f>
        <v>REALISASI TANPA GAJI (BERDASARKAN PAGU SETELAH BLOKIR)</v>
      </c>
      <c r="D1" s="461"/>
      <c r="E1" s="461"/>
      <c r="F1" s="461"/>
      <c r="G1" s="461"/>
      <c r="H1" s="461"/>
    </row>
    <row r="2" spans="3:18" ht="19.5" x14ac:dyDescent="0.4">
      <c r="C2" s="461" t="str">
        <f>'PER BULAN'!B5</f>
        <v>Berdasarkan DIPA Revisi 2 TA. 2022 (Tanggal 9 Juni 2022)</v>
      </c>
      <c r="D2" s="461"/>
      <c r="E2" s="461"/>
      <c r="F2" s="461"/>
      <c r="G2" s="461"/>
      <c r="H2" s="461"/>
    </row>
    <row r="3" spans="3:18" ht="19.5" x14ac:dyDescent="0.4">
      <c r="C3" s="461" t="str">
        <f>'PER BULAN'!B6</f>
        <v>SAMPAI DENGAN 23 JUNI 2022</v>
      </c>
      <c r="D3" s="461"/>
      <c r="E3" s="461"/>
      <c r="F3" s="461"/>
      <c r="G3" s="461"/>
      <c r="H3" s="461"/>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6067322932</v>
      </c>
      <c r="F6" s="350">
        <v>53.33533288724032</v>
      </c>
      <c r="G6" s="349">
        <v>5308481068</v>
      </c>
      <c r="H6" s="350">
        <v>46.66466711275968</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5698800832</v>
      </c>
      <c r="F60" s="352">
        <v>54.923944515528632</v>
      </c>
      <c r="G60" s="351">
        <v>4677003168</v>
      </c>
      <c r="H60" s="352">
        <v>45.076055484471375</v>
      </c>
    </row>
    <row r="61" spans="3:8" x14ac:dyDescent="0.25">
      <c r="C61" s="309" t="s">
        <v>3914</v>
      </c>
      <c r="D61" s="351">
        <v>4293304000</v>
      </c>
      <c r="E61" s="351">
        <v>2222086920</v>
      </c>
      <c r="F61" s="352">
        <v>51.75703653875896</v>
      </c>
      <c r="G61" s="351">
        <v>2071217080</v>
      </c>
      <c r="H61" s="352">
        <v>48.24296346124104</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236473592</v>
      </c>
      <c r="F87" s="354">
        <v>50.995348877330095</v>
      </c>
      <c r="G87" s="353">
        <v>227242408</v>
      </c>
      <c r="H87" s="354">
        <v>49.004651122669912</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130677295</v>
      </c>
      <c r="F104" s="356">
        <v>44.460460060288924</v>
      </c>
      <c r="G104" s="355">
        <v>163240705</v>
      </c>
      <c r="H104" s="356">
        <v>55.539539939711076</v>
      </c>
    </row>
    <row r="105" spans="3:8" x14ac:dyDescent="0.25">
      <c r="C105" s="309" t="s">
        <v>3933</v>
      </c>
      <c r="D105" s="351">
        <v>113346000</v>
      </c>
      <c r="E105" s="351">
        <v>28697850</v>
      </c>
      <c r="F105" s="352">
        <v>25.318802604414802</v>
      </c>
      <c r="G105" s="351">
        <v>84648150</v>
      </c>
      <c r="H105" s="352">
        <v>74.681197395585201</v>
      </c>
    </row>
    <row r="106" spans="3:8" x14ac:dyDescent="0.25">
      <c r="C106" s="325" t="s">
        <v>3932</v>
      </c>
      <c r="D106" s="357">
        <v>113346000</v>
      </c>
      <c r="E106" s="357">
        <v>28697850</v>
      </c>
      <c r="F106" s="358">
        <v>25.318802604414802</v>
      </c>
      <c r="G106" s="357">
        <v>84648150</v>
      </c>
      <c r="H106" s="358">
        <v>74.681197395585201</v>
      </c>
    </row>
    <row r="107" spans="3:8" x14ac:dyDescent="0.25">
      <c r="C107" s="311" t="s">
        <v>3931</v>
      </c>
      <c r="D107" s="359">
        <v>113346000</v>
      </c>
      <c r="E107" s="359">
        <v>28697850</v>
      </c>
      <c r="F107" s="360">
        <v>25.318802604414802</v>
      </c>
      <c r="G107" s="359">
        <v>84648150</v>
      </c>
      <c r="H107" s="360">
        <v>74.681197395585201</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18370600</v>
      </c>
      <c r="F110" s="352">
        <v>20.199459019638027</v>
      </c>
      <c r="G110" s="351">
        <v>72575400</v>
      </c>
      <c r="H110" s="352">
        <v>79.800540980361973</v>
      </c>
    </row>
    <row r="111" spans="3:8" x14ac:dyDescent="0.25">
      <c r="C111" s="309" t="s">
        <v>3961</v>
      </c>
      <c r="D111" s="351">
        <v>180572000</v>
      </c>
      <c r="E111" s="351">
        <v>101979445</v>
      </c>
      <c r="F111" s="352">
        <v>56.475779744367891</v>
      </c>
      <c r="G111" s="351">
        <v>78592555</v>
      </c>
      <c r="H111" s="352">
        <v>43.524220255632102</v>
      </c>
    </row>
    <row r="112" spans="3:8" x14ac:dyDescent="0.25">
      <c r="C112" s="325" t="s">
        <v>3962</v>
      </c>
      <c r="D112" s="357">
        <v>180572000</v>
      </c>
      <c r="E112" s="357">
        <v>101979445</v>
      </c>
      <c r="F112" s="358">
        <v>56.475779744367891</v>
      </c>
      <c r="G112" s="357">
        <v>78592555</v>
      </c>
      <c r="H112" s="358">
        <v>43.524220255632102</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20151000</v>
      </c>
      <c r="F118" s="360">
        <v>25.834615384615383</v>
      </c>
      <c r="G118" s="359">
        <v>57849000</v>
      </c>
      <c r="H118" s="360">
        <v>74.16538461538461</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4429000</v>
      </c>
      <c r="F122" s="352">
        <v>9.8422222222222224</v>
      </c>
      <c r="G122" s="351">
        <v>40571000</v>
      </c>
      <c r="H122" s="352">
        <v>90.157777777777781</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663321641</v>
      </c>
      <c r="F181" s="352">
        <v>31.652189479390241</v>
      </c>
      <c r="G181" s="351">
        <v>1432336359</v>
      </c>
      <c r="H181" s="352">
        <v>68.347810520609755</v>
      </c>
    </row>
    <row r="182" spans="3:8" ht="17.100000000000001" customHeight="1" x14ac:dyDescent="0.25">
      <c r="C182" s="440" t="s">
        <v>3851</v>
      </c>
      <c r="D182" s="441">
        <v>2095658000</v>
      </c>
      <c r="E182" s="441">
        <v>663321641</v>
      </c>
      <c r="F182" s="442">
        <v>31.652189479390241</v>
      </c>
      <c r="G182" s="441">
        <v>1432336359</v>
      </c>
      <c r="H182" s="442">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3476713912</v>
      </c>
      <c r="F195" s="352">
        <v>57.159291607069463</v>
      </c>
      <c r="G195" s="351">
        <v>2605786088</v>
      </c>
      <c r="H195" s="352">
        <v>42.840708392930537</v>
      </c>
    </row>
    <row r="196" spans="3:8" x14ac:dyDescent="0.25">
      <c r="C196" s="310" t="s">
        <v>542</v>
      </c>
      <c r="D196" s="353">
        <v>6082500000</v>
      </c>
      <c r="E196" s="353">
        <v>3476713912</v>
      </c>
      <c r="F196" s="354">
        <v>57.159291607069463</v>
      </c>
      <c r="G196" s="353">
        <v>2605786088</v>
      </c>
      <c r="H196" s="354">
        <v>42.840708392930537</v>
      </c>
    </row>
    <row r="197" spans="3:8" x14ac:dyDescent="0.25">
      <c r="C197" s="170" t="s">
        <v>543</v>
      </c>
      <c r="D197" s="355">
        <v>6082500000</v>
      </c>
      <c r="E197" s="355">
        <v>3476713912</v>
      </c>
      <c r="F197" s="356">
        <v>57.159291607069463</v>
      </c>
      <c r="G197" s="355">
        <v>2605786088</v>
      </c>
      <c r="H197" s="356">
        <v>42.840708392930537</v>
      </c>
    </row>
    <row r="198" spans="3:8" x14ac:dyDescent="0.25">
      <c r="C198" s="309" t="s">
        <v>3980</v>
      </c>
      <c r="D198" s="351">
        <v>6082500000</v>
      </c>
      <c r="E198" s="351">
        <v>3476713912</v>
      </c>
      <c r="F198" s="352">
        <v>57.159291607069463</v>
      </c>
      <c r="G198" s="351">
        <v>2605786088</v>
      </c>
      <c r="H198" s="352">
        <v>42.840708392930537</v>
      </c>
    </row>
    <row r="199" spans="3:8" x14ac:dyDescent="0.25">
      <c r="C199" s="325" t="s">
        <v>3981</v>
      </c>
      <c r="D199" s="357">
        <v>5973300000</v>
      </c>
      <c r="E199" s="357">
        <v>3468907912</v>
      </c>
      <c r="F199" s="358">
        <v>58.073559205129484</v>
      </c>
      <c r="G199" s="357">
        <v>2504392088</v>
      </c>
      <c r="H199" s="358">
        <v>41.926440794870508</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3443517912</v>
      </c>
      <c r="F207" s="360">
        <v>84.282304773116934</v>
      </c>
      <c r="G207" s="359">
        <v>642177088</v>
      </c>
      <c r="H207" s="360">
        <v>15.717695226883063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3393066206</v>
      </c>
      <c r="F209" s="352">
        <v>89.087369978430928</v>
      </c>
      <c r="G209" s="351">
        <v>415628794</v>
      </c>
      <c r="H209" s="352">
        <v>10.912630021569068</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6067322932</v>
      </c>
      <c r="F222" s="352">
        <v>53.33533288724032</v>
      </c>
      <c r="G222" s="351">
        <v>5308481068</v>
      </c>
      <c r="H222" s="352">
        <v>46.66466711275968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761479826</v>
      </c>
    </row>
    <row r="247" spans="3:10" x14ac:dyDescent="0.25">
      <c r="C247"/>
      <c r="J247" s="217">
        <f>GETPIVOTDATA("Realisasi ",$C$5)-J246</f>
        <v>5305843106</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18370600</v>
      </c>
      <c r="AM39" s="231">
        <f t="shared" si="1"/>
        <v>20.199459019638027</v>
      </c>
      <c r="AN39" s="380">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4429000</v>
      </c>
      <c r="AM96" s="231">
        <f t="shared" si="8"/>
        <v>9.8422222222222224</v>
      </c>
      <c r="AN96" s="380">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3393066206</v>
      </c>
      <c r="AM133" s="231">
        <f t="shared" ref="AM133:AM143" si="14">IFERROR(AL133/Q133*100,0)</f>
        <v>89.087369978430928</v>
      </c>
      <c r="AN133" s="380">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AK1" zoomScale="85" zoomScaleNormal="85" workbookViewId="0">
      <pane ySplit="1" topLeftCell="A2" activePane="bottomLeft" state="frozen"/>
      <selection activeCell="N1" sqref="N1"/>
      <selection pane="bottomLeft" activeCell="AL4" sqref="AL4:AL14"/>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T222" activePane="bottomRight" state="frozen"/>
      <selection pane="topRight" activeCell="D1" sqref="D1"/>
      <selection pane="bottomLeft" activeCell="A15" sqref="A15"/>
      <selection pane="bottomRight" activeCell="B7" sqref="B7"/>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5595</v>
      </c>
      <c r="C5" s="189"/>
    </row>
    <row r="6" spans="2:60" x14ac:dyDescent="0.25">
      <c r="B6" s="189" t="s">
        <v>5596</v>
      </c>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5413</v>
      </c>
      <c r="G12" s="342" t="s">
        <v>5414</v>
      </c>
      <c r="H12" s="363" t="s">
        <v>5543</v>
      </c>
      <c r="I12" s="363" t="s">
        <v>5544</v>
      </c>
      <c r="J12" s="462" t="s">
        <v>3827</v>
      </c>
      <c r="K12" s="462"/>
      <c r="L12" s="462"/>
      <c r="M12" s="462" t="s">
        <v>3828</v>
      </c>
      <c r="N12" s="462"/>
      <c r="O12" s="462"/>
      <c r="P12" s="462" t="s">
        <v>3829</v>
      </c>
      <c r="Q12" s="462"/>
      <c r="R12" s="462"/>
      <c r="S12" s="462" t="s">
        <v>3830</v>
      </c>
      <c r="T12" s="462"/>
      <c r="U12" s="462"/>
      <c r="V12" s="462" t="s">
        <v>3831</v>
      </c>
      <c r="W12" s="462"/>
      <c r="X12" s="462"/>
      <c r="Y12" s="462" t="s">
        <v>3832</v>
      </c>
      <c r="Z12" s="462"/>
      <c r="AA12" s="462"/>
      <c r="AB12" s="462" t="s">
        <v>3833</v>
      </c>
      <c r="AC12" s="462"/>
      <c r="AD12" s="462"/>
      <c r="AE12" s="462" t="s">
        <v>3834</v>
      </c>
      <c r="AF12" s="462"/>
      <c r="AG12" s="462"/>
      <c r="AH12" s="462" t="s">
        <v>3835</v>
      </c>
      <c r="AI12" s="462"/>
      <c r="AJ12" s="462"/>
      <c r="AK12" s="462" t="s">
        <v>3836</v>
      </c>
      <c r="AL12" s="462"/>
      <c r="AM12" s="462"/>
      <c r="AN12" s="462" t="s">
        <v>3837</v>
      </c>
      <c r="AO12" s="462"/>
      <c r="AP12" s="462"/>
      <c r="AQ12" s="462" t="s">
        <v>3838</v>
      </c>
      <c r="AR12" s="462"/>
      <c r="AS12" s="462"/>
      <c r="AT12" s="464" t="s">
        <v>3845</v>
      </c>
      <c r="AU12" s="465" t="s">
        <v>3846</v>
      </c>
      <c r="AV12" s="463" t="s">
        <v>3847</v>
      </c>
      <c r="AW12" s="463"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4"/>
      <c r="AU13" s="465"/>
      <c r="AV13" s="463"/>
      <c r="AW13" s="463"/>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65" priority="7">
      <formula>ROW()=CELL("ROW")</formula>
    </cfRule>
  </conditionalFormatting>
  <conditionalFormatting sqref="AS236:AS237">
    <cfRule type="expression" dxfId="64" priority="5">
      <formula>ROW()=CELL("ROW")</formula>
    </cfRule>
  </conditionalFormatting>
  <conditionalFormatting sqref="B237:C237">
    <cfRule type="expression" dxfId="63" priority="4">
      <formula>AND($R$4="Ya",$Q$2=ROW())</formula>
    </cfRule>
  </conditionalFormatting>
  <conditionalFormatting sqref="AT238:AT248">
    <cfRule type="expression" dxfId="62" priority="3">
      <formula>ROW()=CELL("ROW")</formula>
    </cfRule>
  </conditionalFormatting>
  <conditionalFormatting sqref="AS249">
    <cfRule type="expression" dxfId="61" priority="2">
      <formula>ROW()=CELL("ROW")</formula>
    </cfRule>
  </conditionalFormatting>
  <conditionalFormatting sqref="B249:C249">
    <cfRule type="expression" dxfId="60"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5" priority="3"/>
    <cfRule type="duplicateValues" dxfId="4" priority="4"/>
  </conditionalFormatting>
  <conditionalFormatting sqref="D3">
    <cfRule type="duplicateValues" dxfId="3" priority="1"/>
    <cfRule type="duplicateValues" dxfId="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31" sqref="L31"/>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8" t="str">
        <f>IF(L8=TRUE,"REALISASI TANPA GAJI (BERDASARKAN PAGU SEBELUM BLOKIR)","REALISASI TANPA GAJI (BERDASARKAN PAGU SETELAH BLOKIR)")</f>
        <v>REALISASI TANPA GAJI (BERDASARKAN PAGU SETELAH BLOKIR)</v>
      </c>
      <c r="B1" s="478"/>
      <c r="C1" s="478"/>
      <c r="D1" s="478"/>
      <c r="E1" s="478"/>
      <c r="F1" s="478"/>
      <c r="G1" s="478"/>
      <c r="H1" s="478"/>
      <c r="I1" s="478"/>
      <c r="J1" s="478"/>
      <c r="L1" s="431" t="s">
        <v>5584</v>
      </c>
    </row>
    <row r="2" spans="1:13" ht="15.75" x14ac:dyDescent="0.25">
      <c r="A2" s="479" t="str">
        <f>'PER BULAN'!B5</f>
        <v>Berdasarkan DIPA Revisi 2 TA. 2022 (Tanggal 9 Juni 2022)</v>
      </c>
      <c r="B2" s="479"/>
      <c r="C2" s="479"/>
      <c r="D2" s="479"/>
      <c r="E2" s="479"/>
      <c r="F2" s="479"/>
      <c r="G2" s="479"/>
      <c r="H2" s="479"/>
      <c r="I2" s="479"/>
      <c r="J2" s="479"/>
    </row>
    <row r="3" spans="1:13" ht="15.75" x14ac:dyDescent="0.25">
      <c r="A3" s="479" t="str">
        <f>'PER BULAN'!B6</f>
        <v>SAMPAI DENGAN 23 JUNI 2022</v>
      </c>
      <c r="B3" s="479"/>
      <c r="C3" s="479"/>
      <c r="D3" s="479"/>
      <c r="E3" s="479"/>
      <c r="F3" s="479"/>
      <c r="G3" s="479"/>
      <c r="H3" s="479"/>
      <c r="I3" s="479"/>
      <c r="J3" s="479"/>
    </row>
    <row r="4" spans="1:13" x14ac:dyDescent="0.25">
      <c r="A4" s="201"/>
      <c r="B4" s="201"/>
      <c r="C4" s="201"/>
      <c r="D4" s="365"/>
      <c r="E4" s="405"/>
      <c r="F4" s="405"/>
      <c r="G4" s="201"/>
      <c r="H4" s="201"/>
      <c r="I4" s="201"/>
      <c r="J4" s="253"/>
    </row>
    <row r="5" spans="1:13" ht="15.75" x14ac:dyDescent="0.25">
      <c r="A5" s="433" t="s">
        <v>3995</v>
      </c>
    </row>
    <row r="6" spans="1:13" x14ac:dyDescent="0.25">
      <c r="A6" s="468" t="s">
        <v>592</v>
      </c>
      <c r="B6" s="468" t="s">
        <v>500</v>
      </c>
      <c r="C6" s="468" t="s">
        <v>5580</v>
      </c>
      <c r="D6" s="468" t="s">
        <v>5577</v>
      </c>
      <c r="E6" s="468" t="s">
        <v>5579</v>
      </c>
      <c r="F6" s="468" t="s">
        <v>5581</v>
      </c>
      <c r="G6" s="470" t="str">
        <f>IF($L$8=TRUE,"Realisasi vs Pagu+Blokir","Realisasi vs Pagu-Blokir")</f>
        <v>Realisasi vs Pagu-Blokir</v>
      </c>
      <c r="H6" s="470"/>
      <c r="I6" s="470" t="str">
        <f>IF($L$8=TRUE,"Sisa vs Pagu+Blokir","Sisa vs Pagu-Blokir")</f>
        <v>Sisa vs Pagu-Blokir</v>
      </c>
      <c r="J6" s="470"/>
    </row>
    <row r="7" spans="1:13" x14ac:dyDescent="0.25">
      <c r="A7" s="468"/>
      <c r="B7" s="468"/>
      <c r="C7" s="468"/>
      <c r="D7" s="468"/>
      <c r="E7" s="468"/>
      <c r="F7" s="468"/>
      <c r="G7" s="417" t="s">
        <v>5589</v>
      </c>
      <c r="H7" s="417" t="s">
        <v>3846</v>
      </c>
      <c r="I7" s="417" t="s">
        <v>5589</v>
      </c>
      <c r="J7" s="417" t="s">
        <v>3846</v>
      </c>
    </row>
    <row r="8" spans="1:13" x14ac:dyDescent="0.25">
      <c r="A8" s="47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5"/>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7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7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5"/>
      <c r="B16" s="296" t="s">
        <v>5586</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7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5"/>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5"/>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6" t="s">
        <v>3852</v>
      </c>
      <c r="B23" s="466"/>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80" t="s">
        <v>5583</v>
      </c>
      <c r="B24" s="481"/>
      <c r="C24" s="415">
        <f>C23</f>
        <v>16863164000</v>
      </c>
      <c r="D24" s="482">
        <f>SUM(D23,E23)</f>
        <v>5487360000</v>
      </c>
      <c r="E24" s="483"/>
      <c r="F24" s="415">
        <f>F23</f>
        <v>11375804000</v>
      </c>
      <c r="G24" s="176">
        <f>G23</f>
        <v>6067322932</v>
      </c>
      <c r="H24" s="425">
        <f t="shared" si="0"/>
        <v>53.33533288724032</v>
      </c>
      <c r="I24" s="176">
        <f t="shared" si="1"/>
        <v>5308481068</v>
      </c>
      <c r="J24" s="265">
        <f t="shared" si="2"/>
        <v>46.66466711275968</v>
      </c>
      <c r="M24" s="217"/>
    </row>
    <row r="26" spans="1:13" x14ac:dyDescent="0.25">
      <c r="J26" s="278"/>
    </row>
    <row r="27" spans="1:13" ht="15.75" x14ac:dyDescent="0.25">
      <c r="A27" s="433" t="s">
        <v>4002</v>
      </c>
    </row>
    <row r="28" spans="1:13" ht="14.45" customHeight="1" x14ac:dyDescent="0.25">
      <c r="A28" s="476" t="s">
        <v>3988</v>
      </c>
      <c r="B28" s="476" t="s">
        <v>3989</v>
      </c>
      <c r="C28" s="476" t="s">
        <v>5580</v>
      </c>
      <c r="D28" s="484" t="s">
        <v>5577</v>
      </c>
      <c r="E28" s="484" t="s">
        <v>5579</v>
      </c>
      <c r="F28" s="476" t="s">
        <v>5581</v>
      </c>
      <c r="G28" s="470" t="str">
        <f>IF($L$8=TRUE,"Realisasi vs Pagu+Blokir","Realisasi vs Pagu-Blokir")</f>
        <v>Realisasi vs Pagu-Blokir</v>
      </c>
      <c r="H28" s="470"/>
      <c r="I28" s="470" t="str">
        <f>IF($L$8=TRUE,"Sisa vs Pagu+Blokir","Sisa vs Pagu-Blokir")</f>
        <v>Sisa vs Pagu-Blokir</v>
      </c>
      <c r="J28" s="470"/>
    </row>
    <row r="29" spans="1:13" x14ac:dyDescent="0.25">
      <c r="A29" s="477"/>
      <c r="B29" s="477"/>
      <c r="C29" s="477"/>
      <c r="D29" s="485"/>
      <c r="E29" s="485"/>
      <c r="F29" s="477"/>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1" t="s">
        <v>611</v>
      </c>
      <c r="B35" s="472"/>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71" t="s">
        <v>3993</v>
      </c>
      <c r="B36" s="472"/>
      <c r="C36" s="213"/>
      <c r="D36" s="213"/>
      <c r="E36" s="213"/>
      <c r="F36" s="213"/>
      <c r="G36" s="213"/>
      <c r="H36" s="214"/>
      <c r="I36" s="213"/>
      <c r="J36" s="214"/>
    </row>
    <row r="37" spans="1:12" x14ac:dyDescent="0.25">
      <c r="A37" s="471" t="s">
        <v>3994</v>
      </c>
      <c r="B37" s="472"/>
      <c r="C37" s="213">
        <f>C35</f>
        <v>16863164000</v>
      </c>
      <c r="D37" s="486">
        <f>SUM(D35:E35)</f>
        <v>5487360000</v>
      </c>
      <c r="E37" s="487"/>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8" t="s">
        <v>592</v>
      </c>
      <c r="B41" s="468" t="s">
        <v>500</v>
      </c>
      <c r="C41" s="468" t="s">
        <v>5580</v>
      </c>
      <c r="D41" s="468" t="s">
        <v>5577</v>
      </c>
      <c r="E41" s="468" t="s">
        <v>5579</v>
      </c>
      <c r="F41" s="468" t="s">
        <v>5581</v>
      </c>
      <c r="G41" s="470" t="str">
        <f>IF($L$8=TRUE,"Realisasi vs Pagu+Blokir","Realisasi vs Pagu-Blokir")</f>
        <v>Realisasi vs Pagu-Blokir</v>
      </c>
      <c r="H41" s="470"/>
      <c r="I41" s="470" t="str">
        <f>IF($L$8=TRUE,"Sisa vs Pagu+Blokir","Sisa vs Pagu-Blokir")</f>
        <v>Sisa vs Pagu-Blokir</v>
      </c>
      <c r="J41" s="470"/>
    </row>
    <row r="42" spans="1:12" x14ac:dyDescent="0.25">
      <c r="A42" s="468"/>
      <c r="B42" s="468"/>
      <c r="C42" s="468"/>
      <c r="D42" s="468"/>
      <c r="E42" s="468"/>
      <c r="F42" s="468"/>
      <c r="G42" s="417" t="s">
        <v>5589</v>
      </c>
      <c r="H42" s="417" t="s">
        <v>3846</v>
      </c>
      <c r="I42" s="417" t="s">
        <v>5589</v>
      </c>
      <c r="J42" s="417" t="s">
        <v>3846</v>
      </c>
    </row>
    <row r="43" spans="1:12" x14ac:dyDescent="0.25">
      <c r="A43" s="46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9"/>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6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9"/>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6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9"/>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9"/>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66" t="s">
        <v>3852</v>
      </c>
      <c r="B55" s="466"/>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6" t="s">
        <v>5583</v>
      </c>
      <c r="B56" s="466"/>
      <c r="C56" s="415">
        <f>C55</f>
        <v>348880000</v>
      </c>
      <c r="D56" s="467">
        <f>SUM(D55:E55)</f>
        <v>247069000</v>
      </c>
      <c r="E56" s="467"/>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32" sqref="L32"/>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8" t="str">
        <f>IF(L8=TRUE,"REALISASI TANPA GAJI (BERDASARKAN PAGU SEBELUM BLOKIR)","REALISASI TANPA GAJI (BERDASARKAN PAGU SETELAH BLOKIR)")</f>
        <v>REALISASI TANPA GAJI (BERDASARKAN PAGU SETELAH BLOKIR)</v>
      </c>
      <c r="B1" s="478"/>
      <c r="C1" s="478"/>
      <c r="D1" s="478"/>
      <c r="E1" s="478"/>
      <c r="F1" s="478"/>
      <c r="G1" s="478"/>
      <c r="H1" s="478"/>
      <c r="I1" s="478"/>
      <c r="J1" s="478"/>
      <c r="L1" s="431" t="s">
        <v>5584</v>
      </c>
    </row>
    <row r="2" spans="1:13" ht="15.75" x14ac:dyDescent="0.25">
      <c r="A2" s="479" t="str">
        <f>'PER BULAN'!B5</f>
        <v>Berdasarkan DIPA Revisi 2 TA. 2022 (Tanggal 9 Juni 2022)</v>
      </c>
      <c r="B2" s="479"/>
      <c r="C2" s="479"/>
      <c r="D2" s="479"/>
      <c r="E2" s="479"/>
      <c r="F2" s="479"/>
      <c r="G2" s="479"/>
      <c r="H2" s="479"/>
      <c r="I2" s="479"/>
      <c r="J2" s="479"/>
    </row>
    <row r="3" spans="1:13" ht="15.75" x14ac:dyDescent="0.25">
      <c r="A3" s="479" t="str">
        <f>'PER BULAN'!B6</f>
        <v>SAMPAI DENGAN 23 JUNI 2022</v>
      </c>
      <c r="B3" s="479"/>
      <c r="C3" s="479"/>
      <c r="D3" s="479"/>
      <c r="E3" s="479"/>
      <c r="F3" s="479"/>
      <c r="G3" s="479"/>
      <c r="H3" s="479"/>
      <c r="I3" s="479"/>
      <c r="J3" s="479"/>
    </row>
    <row r="4" spans="1:13" x14ac:dyDescent="0.25">
      <c r="A4" s="436"/>
      <c r="B4" s="436"/>
      <c r="C4" s="436"/>
      <c r="D4" s="436"/>
      <c r="E4" s="436"/>
      <c r="F4" s="436"/>
      <c r="G4" s="436"/>
      <c r="H4" s="436"/>
      <c r="I4" s="436"/>
      <c r="J4" s="436"/>
    </row>
    <row r="5" spans="1:13" ht="15.75" x14ac:dyDescent="0.25">
      <c r="A5" s="433" t="s">
        <v>3995</v>
      </c>
    </row>
    <row r="6" spans="1:13" x14ac:dyDescent="0.25">
      <c r="A6" s="468" t="s">
        <v>592</v>
      </c>
      <c r="B6" s="468" t="s">
        <v>500</v>
      </c>
      <c r="C6" s="468" t="s">
        <v>5580</v>
      </c>
      <c r="D6" s="468" t="s">
        <v>5577</v>
      </c>
      <c r="E6" s="468" t="s">
        <v>5579</v>
      </c>
      <c r="F6" s="468" t="s">
        <v>3848</v>
      </c>
      <c r="G6" s="470" t="s">
        <v>3849</v>
      </c>
      <c r="H6" s="470"/>
      <c r="I6" s="470" t="s">
        <v>3850</v>
      </c>
      <c r="J6" s="470"/>
    </row>
    <row r="7" spans="1:13" x14ac:dyDescent="0.25">
      <c r="A7" s="468"/>
      <c r="B7" s="468"/>
      <c r="C7" s="468"/>
      <c r="D7" s="468"/>
      <c r="E7" s="468"/>
      <c r="F7" s="468"/>
      <c r="G7" s="417" t="s">
        <v>5589</v>
      </c>
      <c r="H7" s="417" t="s">
        <v>3846</v>
      </c>
      <c r="I7" s="417" t="s">
        <v>5589</v>
      </c>
      <c r="J7" s="417" t="s">
        <v>3846</v>
      </c>
    </row>
    <row r="8" spans="1:13" x14ac:dyDescent="0.25">
      <c r="A8" s="47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5"/>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7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7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5"/>
      <c r="B16" s="296" t="s">
        <v>5586</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7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5"/>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5"/>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6" t="s">
        <v>3852</v>
      </c>
      <c r="B23" s="466"/>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80" t="s">
        <v>5583</v>
      </c>
      <c r="B24" s="481"/>
      <c r="C24" s="415">
        <f>C23</f>
        <v>16863164000</v>
      </c>
      <c r="D24" s="482">
        <f>SUM(D23,E23)</f>
        <v>5487360000</v>
      </c>
      <c r="E24" s="483"/>
      <c r="F24" s="415">
        <f>F23</f>
        <v>11375804000</v>
      </c>
      <c r="G24" s="176">
        <f>G23</f>
        <v>6067322932</v>
      </c>
      <c r="H24" s="425">
        <f t="shared" si="0"/>
        <v>53.33533288724032</v>
      </c>
      <c r="I24" s="176">
        <f t="shared" si="1"/>
        <v>5308481068</v>
      </c>
      <c r="J24" s="265">
        <f t="shared" si="2"/>
        <v>46.66466711275968</v>
      </c>
      <c r="M24" s="217"/>
    </row>
    <row r="27" spans="1:13" ht="15.75" x14ac:dyDescent="0.25">
      <c r="A27" s="433" t="s">
        <v>4002</v>
      </c>
    </row>
    <row r="28" spans="1:13" ht="14.45" customHeight="1" x14ac:dyDescent="0.25">
      <c r="A28" s="476" t="s">
        <v>3988</v>
      </c>
      <c r="B28" s="476" t="s">
        <v>3989</v>
      </c>
      <c r="C28" s="476" t="s">
        <v>5580</v>
      </c>
      <c r="D28" s="484" t="s">
        <v>5577</v>
      </c>
      <c r="E28" s="484" t="s">
        <v>5579</v>
      </c>
      <c r="F28" s="468" t="s">
        <v>3848</v>
      </c>
      <c r="G28" s="470" t="s">
        <v>3849</v>
      </c>
      <c r="H28" s="470"/>
      <c r="I28" s="470" t="s">
        <v>3850</v>
      </c>
      <c r="J28" s="470"/>
    </row>
    <row r="29" spans="1:13" x14ac:dyDescent="0.25">
      <c r="A29" s="477"/>
      <c r="B29" s="477"/>
      <c r="C29" s="477"/>
      <c r="D29" s="485"/>
      <c r="E29" s="485"/>
      <c r="F29" s="468"/>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1" t="s">
        <v>611</v>
      </c>
      <c r="B35" s="472"/>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71" t="s">
        <v>3993</v>
      </c>
      <c r="B36" s="472"/>
      <c r="C36" s="213"/>
      <c r="D36" s="213"/>
      <c r="E36" s="213"/>
      <c r="F36" s="213"/>
      <c r="G36" s="213"/>
      <c r="H36" s="214"/>
      <c r="I36" s="213"/>
      <c r="J36" s="214"/>
    </row>
    <row r="37" spans="1:12" x14ac:dyDescent="0.25">
      <c r="A37" s="471" t="s">
        <v>3994</v>
      </c>
      <c r="B37" s="472"/>
      <c r="C37" s="213">
        <f>C35</f>
        <v>16863164000</v>
      </c>
      <c r="D37" s="486">
        <f>SUM(D35:E35)</f>
        <v>5487360000</v>
      </c>
      <c r="E37" s="487"/>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8" t="s">
        <v>592</v>
      </c>
      <c r="B41" s="468" t="s">
        <v>500</v>
      </c>
      <c r="C41" s="468" t="s">
        <v>5580</v>
      </c>
      <c r="D41" s="468" t="s">
        <v>5577</v>
      </c>
      <c r="E41" s="468" t="s">
        <v>5579</v>
      </c>
      <c r="F41" s="468" t="s">
        <v>3848</v>
      </c>
      <c r="G41" s="470" t="s">
        <v>3849</v>
      </c>
      <c r="H41" s="470"/>
      <c r="I41" s="470" t="s">
        <v>3850</v>
      </c>
      <c r="J41" s="470"/>
    </row>
    <row r="42" spans="1:12" x14ac:dyDescent="0.25">
      <c r="A42" s="468"/>
      <c r="B42" s="468"/>
      <c r="C42" s="468"/>
      <c r="D42" s="468"/>
      <c r="E42" s="468"/>
      <c r="F42" s="468"/>
      <c r="G42" s="417" t="s">
        <v>5589</v>
      </c>
      <c r="H42" s="417" t="s">
        <v>3846</v>
      </c>
      <c r="I42" s="417" t="s">
        <v>5589</v>
      </c>
      <c r="J42" s="417" t="s">
        <v>3846</v>
      </c>
    </row>
    <row r="43" spans="1:12" x14ac:dyDescent="0.25">
      <c r="A43" s="46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9"/>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6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9"/>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6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9"/>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6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9"/>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66" t="s">
        <v>3852</v>
      </c>
      <c r="B55" s="466"/>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6" t="s">
        <v>5583</v>
      </c>
      <c r="B56" s="466"/>
      <c r="C56" s="415">
        <f>C55</f>
        <v>348880000</v>
      </c>
      <c r="D56" s="467">
        <f>SUM(D55:E55)</f>
        <v>247069000</v>
      </c>
      <c r="E56" s="467"/>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B2" sqref="B2:P2"/>
    </sheetView>
  </sheetViews>
  <sheetFormatPr defaultRowHeight="15" x14ac:dyDescent="0.25"/>
  <sheetData>
    <row r="1" spans="2:16" x14ac:dyDescent="0.25">
      <c r="B1" s="488" t="str">
        <f>'PERSUBBID - Gaji'!A1</f>
        <v>REALISASI TANPA GAJI (BERDASARKAN PAGU SETELAH BLOKIR)</v>
      </c>
      <c r="C1" s="488"/>
      <c r="D1" s="488"/>
      <c r="E1" s="488"/>
      <c r="F1" s="488"/>
      <c r="G1" s="488"/>
      <c r="H1" s="488"/>
      <c r="I1" s="488"/>
      <c r="J1" s="488"/>
      <c r="K1" s="488"/>
      <c r="L1" s="488"/>
      <c r="M1" s="488"/>
      <c r="N1" s="488"/>
      <c r="O1" s="488"/>
      <c r="P1" s="488"/>
    </row>
    <row r="2" spans="2:16" ht="15.75" x14ac:dyDescent="0.25">
      <c r="B2" s="479" t="str">
        <f>'PERSUBBID - Gaji'!A2</f>
        <v>Berdasarkan DIPA Revisi 2 TA. 2022 (Tanggal 9 Juni 2022)</v>
      </c>
      <c r="C2" s="479"/>
      <c r="D2" s="479"/>
      <c r="E2" s="479"/>
      <c r="F2" s="479"/>
      <c r="G2" s="479"/>
      <c r="H2" s="479"/>
      <c r="I2" s="479"/>
      <c r="J2" s="479"/>
      <c r="K2" s="479"/>
      <c r="L2" s="479"/>
      <c r="M2" s="479"/>
      <c r="N2" s="479"/>
      <c r="O2" s="479"/>
      <c r="P2" s="479"/>
    </row>
    <row r="3" spans="2:16" ht="15.75" x14ac:dyDescent="0.25">
      <c r="B3" s="479" t="str">
        <f>'PERSUBBID - Gaji'!A3</f>
        <v>SAMPAI DENGAN 23 JUNI 2022</v>
      </c>
      <c r="C3" s="479"/>
      <c r="D3" s="479"/>
      <c r="E3" s="479"/>
      <c r="F3" s="479"/>
      <c r="G3" s="479"/>
      <c r="H3" s="479"/>
      <c r="I3" s="479"/>
      <c r="J3" s="479"/>
      <c r="K3" s="479"/>
      <c r="L3" s="479"/>
      <c r="M3" s="479"/>
      <c r="N3" s="479"/>
      <c r="O3" s="479"/>
      <c r="P3" s="47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4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A2" sqref="A2:J3"/>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8" t="str">
        <f>IF(L8=TRUE,"REALISASI DENGAN GAJI (BERDASARKAN PAGU SEBELUM BLOKIR)","REALISASI DENGAN GAJI (BERDASARKAN PAGU SETELAH BLOKIR)")</f>
        <v>REALISASI DENGAN GAJI (BERDASARKAN PAGU SETELAH BLOKIR)</v>
      </c>
      <c r="B1" s="478"/>
      <c r="C1" s="478"/>
      <c r="D1" s="478"/>
      <c r="E1" s="478"/>
      <c r="F1" s="478"/>
      <c r="G1" s="478"/>
      <c r="H1" s="478"/>
      <c r="I1" s="478"/>
      <c r="J1" s="478"/>
      <c r="L1" s="431"/>
    </row>
    <row r="2" spans="1:13" ht="15.75" x14ac:dyDescent="0.25">
      <c r="A2" s="479" t="str">
        <f>'PER BULAN'!B5</f>
        <v>Berdasarkan DIPA Revisi 2 TA. 2022 (Tanggal 9 Juni 2022)</v>
      </c>
      <c r="B2" s="479"/>
      <c r="C2" s="479"/>
      <c r="D2" s="479"/>
      <c r="E2" s="479"/>
      <c r="F2" s="479"/>
      <c r="G2" s="479"/>
      <c r="H2" s="479"/>
      <c r="I2" s="479"/>
      <c r="J2" s="479"/>
    </row>
    <row r="3" spans="1:13" ht="15.75" x14ac:dyDescent="0.25">
      <c r="A3" s="479" t="str">
        <f>'PER BULAN'!B6</f>
        <v>SAMPAI DENGAN 23 JUNI 2022</v>
      </c>
      <c r="B3" s="479"/>
      <c r="C3" s="479"/>
      <c r="D3" s="479"/>
      <c r="E3" s="479"/>
      <c r="F3" s="479"/>
      <c r="G3" s="479"/>
      <c r="H3" s="479"/>
      <c r="I3" s="479"/>
      <c r="J3" s="479"/>
    </row>
    <row r="4" spans="1:13" x14ac:dyDescent="0.25">
      <c r="A4" s="405"/>
      <c r="B4" s="405"/>
      <c r="C4" s="405"/>
      <c r="D4" s="405"/>
      <c r="E4" s="405"/>
      <c r="F4" s="405"/>
      <c r="G4" s="405"/>
      <c r="H4" s="405"/>
      <c r="I4" s="405"/>
      <c r="J4" s="405"/>
    </row>
    <row r="5" spans="1:13" ht="15.75" x14ac:dyDescent="0.25">
      <c r="A5" s="433" t="s">
        <v>3995</v>
      </c>
    </row>
    <row r="6" spans="1:13" x14ac:dyDescent="0.25">
      <c r="A6" s="468" t="s">
        <v>592</v>
      </c>
      <c r="B6" s="468" t="s">
        <v>500</v>
      </c>
      <c r="C6" s="468" t="s">
        <v>5580</v>
      </c>
      <c r="D6" s="468" t="s">
        <v>5577</v>
      </c>
      <c r="E6" s="468" t="s">
        <v>5579</v>
      </c>
      <c r="F6" s="468" t="s">
        <v>5581</v>
      </c>
      <c r="G6" s="470" t="str">
        <f>IF($L$8=TRUE,"Realisasi vs Pagu+Blokir","Realisasi vs Pagu-Blokir")</f>
        <v>Realisasi vs Pagu-Blokir</v>
      </c>
      <c r="H6" s="470"/>
      <c r="I6" s="470" t="str">
        <f>IF($L$8=TRUE,"Sisa vs Pagu+Blokir","Sisa vs Pagu-Blokir")</f>
        <v>Sisa vs Pagu-Blokir</v>
      </c>
      <c r="J6" s="470"/>
    </row>
    <row r="7" spans="1:13" x14ac:dyDescent="0.25">
      <c r="A7" s="468"/>
      <c r="B7" s="468"/>
      <c r="C7" s="468"/>
      <c r="D7" s="468"/>
      <c r="E7" s="468"/>
      <c r="F7" s="468"/>
      <c r="G7" s="417" t="s">
        <v>5589</v>
      </c>
      <c r="H7" s="417" t="s">
        <v>3846</v>
      </c>
      <c r="I7" s="417" t="s">
        <v>5589</v>
      </c>
      <c r="J7" s="417" t="s">
        <v>3846</v>
      </c>
    </row>
    <row r="8" spans="1:13" x14ac:dyDescent="0.25">
      <c r="A8" s="47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75"/>
      <c r="B13" s="296" t="s">
        <v>5585</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7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7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7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5"/>
      <c r="B17" s="296" t="s">
        <v>5586</v>
      </c>
      <c r="C17" s="194">
        <f>SUM(C14:C16)</f>
        <v>9985150000</v>
      </c>
      <c r="D17" s="194">
        <f t="shared" ref="D17:E17" si="7">SUM(D14:D16)</f>
        <v>0</v>
      </c>
      <c r="E17" s="194">
        <f t="shared" si="7"/>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7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5"/>
      <c r="B20" s="296" t="s">
        <v>5587</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5"/>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6" t="s">
        <v>3852</v>
      </c>
      <c r="B24" s="466"/>
      <c r="C24" s="176">
        <f>C13++C17+C20+C23</f>
        <v>23342160000</v>
      </c>
      <c r="D24" s="176">
        <f t="shared" ref="D24:E24" si="10">D13++D17+D20+D23</f>
        <v>423949000</v>
      </c>
      <c r="E24" s="176">
        <f t="shared" si="10"/>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80" t="s">
        <v>5583</v>
      </c>
      <c r="B25" s="481"/>
      <c r="C25" s="415">
        <f>C24</f>
        <v>23342160000</v>
      </c>
      <c r="D25" s="482">
        <f>SUM(D24,E24)</f>
        <v>5811309000</v>
      </c>
      <c r="E25" s="483"/>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76" t="s">
        <v>3988</v>
      </c>
      <c r="B30" s="476" t="s">
        <v>3989</v>
      </c>
      <c r="C30" s="476" t="s">
        <v>5580</v>
      </c>
      <c r="D30" s="484" t="s">
        <v>5577</v>
      </c>
      <c r="E30" s="484" t="s">
        <v>5579</v>
      </c>
      <c r="F30" s="476" t="s">
        <v>5581</v>
      </c>
      <c r="G30" s="470" t="str">
        <f>IF($L$8=TRUE,"Realisasi vs Pagu+Blokir","Realisasi vs Pagu-Blokir")</f>
        <v>Realisasi vs Pagu-Blokir</v>
      </c>
      <c r="H30" s="470"/>
      <c r="I30" s="470" t="str">
        <f>IF($L$8=TRUE,"Sisa vs Pagu+Blokir","Sisa vs Pagu-Blokir")</f>
        <v>Sisa vs Pagu-Blokir</v>
      </c>
      <c r="J30" s="470"/>
    </row>
    <row r="31" spans="1:13" x14ac:dyDescent="0.25">
      <c r="A31" s="477"/>
      <c r="B31" s="477"/>
      <c r="C31" s="477"/>
      <c r="D31" s="485"/>
      <c r="E31" s="485"/>
      <c r="F31" s="477"/>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1" t="s">
        <v>611</v>
      </c>
      <c r="B38" s="472"/>
      <c r="C38" s="213">
        <f>SUM(C32,C33,C36)</f>
        <v>23342160000</v>
      </c>
      <c r="D38" s="213">
        <f t="shared" ref="D38:G38" si="19">SUM(D32,D33,D36)</f>
        <v>423949000</v>
      </c>
      <c r="E38" s="213">
        <f t="shared" si="19"/>
        <v>5387360000</v>
      </c>
      <c r="F38" s="213">
        <f t="shared" si="19"/>
        <v>17530851000</v>
      </c>
      <c r="G38" s="213">
        <f t="shared" si="19"/>
        <v>9007705236</v>
      </c>
      <c r="H38" s="214">
        <f t="shared" si="16"/>
        <v>51.382019252801811</v>
      </c>
      <c r="I38" s="213">
        <f t="shared" si="17"/>
        <v>8523145764</v>
      </c>
      <c r="J38" s="214">
        <f t="shared" si="18"/>
        <v>48.617980747198182</v>
      </c>
      <c r="K38" s="434"/>
    </row>
    <row r="39" spans="1:12" x14ac:dyDescent="0.25">
      <c r="A39" s="471" t="s">
        <v>3993</v>
      </c>
      <c r="B39" s="472"/>
      <c r="C39" s="213"/>
      <c r="D39" s="213"/>
      <c r="E39" s="213"/>
      <c r="F39" s="213"/>
      <c r="G39" s="213"/>
      <c r="H39" s="214"/>
      <c r="I39" s="213"/>
      <c r="J39" s="214"/>
      <c r="K39" s="434"/>
    </row>
    <row r="40" spans="1:12" x14ac:dyDescent="0.25">
      <c r="A40" s="471" t="s">
        <v>3994</v>
      </c>
      <c r="B40" s="472"/>
      <c r="C40" s="213">
        <f>C38</f>
        <v>23342160000</v>
      </c>
      <c r="D40" s="486">
        <f>SUM(D38:E38)</f>
        <v>5811309000</v>
      </c>
      <c r="E40" s="487"/>
      <c r="F40" s="213">
        <f>F38</f>
        <v>17530851000</v>
      </c>
      <c r="G40" s="213">
        <f>G38-G39</f>
        <v>9007705236</v>
      </c>
      <c r="H40" s="214">
        <f t="shared" si="16"/>
        <v>51.382019252801811</v>
      </c>
      <c r="I40" s="213">
        <f t="shared" si="17"/>
        <v>8523145764</v>
      </c>
      <c r="J40" s="214">
        <f t="shared" si="18"/>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8" t="s">
        <v>592</v>
      </c>
      <c r="B45" s="468" t="s">
        <v>500</v>
      </c>
      <c r="C45" s="468" t="s">
        <v>5580</v>
      </c>
      <c r="D45" s="468" t="s">
        <v>5577</v>
      </c>
      <c r="E45" s="468" t="s">
        <v>5579</v>
      </c>
      <c r="F45" s="468" t="s">
        <v>5581</v>
      </c>
      <c r="G45" s="470" t="str">
        <f>IF($L$8=TRUE,"Realisasi vs Pagu+Blokir","Realisasi vs Pagu-Blokir")</f>
        <v>Realisasi vs Pagu-Blokir</v>
      </c>
      <c r="H45" s="470"/>
      <c r="I45" s="470" t="str">
        <f>IF($L$8=TRUE,"Sisa vs Pagu+Blokir","Sisa vs Pagu-Blokir")</f>
        <v>Sisa vs Pagu-Blokir</v>
      </c>
      <c r="J45" s="470"/>
    </row>
    <row r="46" spans="1:12" x14ac:dyDescent="0.25">
      <c r="A46" s="468"/>
      <c r="B46" s="468"/>
      <c r="C46" s="468"/>
      <c r="D46" s="468"/>
      <c r="E46" s="468"/>
      <c r="F46" s="468"/>
      <c r="G46" s="417" t="s">
        <v>5589</v>
      </c>
      <c r="H46" s="417" t="s">
        <v>3846</v>
      </c>
      <c r="I46" s="417" t="s">
        <v>5589</v>
      </c>
      <c r="J46" s="417" t="s">
        <v>3846</v>
      </c>
    </row>
    <row r="47" spans="1:12" x14ac:dyDescent="0.25">
      <c r="A47" s="46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6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9"/>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6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6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9"/>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6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9"/>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6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69"/>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66" t="s">
        <v>3852</v>
      </c>
      <c r="B59" s="466"/>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66" t="s">
        <v>5583</v>
      </c>
      <c r="B60" s="466"/>
      <c r="C60" s="415">
        <f>C59</f>
        <v>348880000</v>
      </c>
      <c r="D60" s="467">
        <f>SUM(D59:E59)</f>
        <v>247069000</v>
      </c>
      <c r="E60" s="467"/>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L14" sqref="L14"/>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8" t="str">
        <f>IF(L8=TRUE,"REALISASI DENGAN GAJI (BERDASARKAN PAGU SEBELUM BLOKIR)","REALISASI DENGAN GAJI (BERDASARKAN PAGU SETELAH BLOKIR)")</f>
        <v>REALISASI DENGAN GAJI (BERDASARKAN PAGU SETELAH BLOKIR)</v>
      </c>
      <c r="B1" s="478"/>
      <c r="C1" s="478"/>
      <c r="D1" s="478"/>
      <c r="E1" s="478"/>
      <c r="F1" s="478"/>
      <c r="G1" s="478"/>
      <c r="H1" s="478"/>
      <c r="I1" s="478"/>
      <c r="J1" s="478"/>
      <c r="L1" s="431"/>
    </row>
    <row r="2" spans="1:13" ht="15.75" x14ac:dyDescent="0.25">
      <c r="A2" s="479" t="str">
        <f>'PER BULAN'!B5</f>
        <v>Berdasarkan DIPA Revisi 2 TA. 2022 (Tanggal 9 Juni 2022)</v>
      </c>
      <c r="B2" s="479"/>
      <c r="C2" s="479"/>
      <c r="D2" s="479"/>
      <c r="E2" s="479"/>
      <c r="F2" s="479"/>
      <c r="G2" s="479"/>
      <c r="H2" s="479"/>
      <c r="I2" s="479"/>
      <c r="J2" s="479"/>
    </row>
    <row r="3" spans="1:13" ht="15.75" x14ac:dyDescent="0.25">
      <c r="A3" s="479" t="str">
        <f>'PER BULAN'!B6</f>
        <v>SAMPAI DENGAN 23 JUNI 2022</v>
      </c>
      <c r="B3" s="479"/>
      <c r="C3" s="479"/>
      <c r="D3" s="479"/>
      <c r="E3" s="479"/>
      <c r="F3" s="479"/>
      <c r="G3" s="479"/>
      <c r="H3" s="479"/>
      <c r="I3" s="479"/>
      <c r="J3" s="479"/>
    </row>
    <row r="4" spans="1:13" x14ac:dyDescent="0.25">
      <c r="A4" s="436"/>
      <c r="B4" s="436"/>
      <c r="C4" s="436"/>
      <c r="D4" s="436"/>
      <c r="E4" s="436"/>
      <c r="F4" s="436"/>
      <c r="G4" s="436"/>
      <c r="H4" s="436"/>
      <c r="I4" s="436"/>
      <c r="J4" s="436"/>
    </row>
    <row r="5" spans="1:13" ht="15.75" x14ac:dyDescent="0.25">
      <c r="A5" s="433" t="s">
        <v>3995</v>
      </c>
    </row>
    <row r="6" spans="1:13" x14ac:dyDescent="0.25">
      <c r="A6" s="468" t="s">
        <v>592</v>
      </c>
      <c r="B6" s="468" t="s">
        <v>500</v>
      </c>
      <c r="C6" s="468" t="s">
        <v>5580</v>
      </c>
      <c r="D6" s="468" t="s">
        <v>5577</v>
      </c>
      <c r="E6" s="468" t="s">
        <v>5579</v>
      </c>
      <c r="F6" s="468" t="s">
        <v>3848</v>
      </c>
      <c r="G6" s="470" t="s">
        <v>3849</v>
      </c>
      <c r="H6" s="470"/>
      <c r="I6" s="470" t="s">
        <v>3850</v>
      </c>
      <c r="J6" s="470"/>
    </row>
    <row r="7" spans="1:13" x14ac:dyDescent="0.25">
      <c r="A7" s="468"/>
      <c r="B7" s="468"/>
      <c r="C7" s="468"/>
      <c r="D7" s="468"/>
      <c r="E7" s="468"/>
      <c r="F7" s="468"/>
      <c r="G7" s="417" t="s">
        <v>5589</v>
      </c>
      <c r="H7" s="417" t="s">
        <v>3846</v>
      </c>
      <c r="I7" s="417" t="s">
        <v>5589</v>
      </c>
      <c r="J7" s="417" t="s">
        <v>3846</v>
      </c>
    </row>
    <row r="8" spans="1:13" x14ac:dyDescent="0.25">
      <c r="A8" s="47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75"/>
      <c r="B13" s="296" t="s">
        <v>5585</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7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7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7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5"/>
      <c r="B17" s="296" t="s">
        <v>5586</v>
      </c>
      <c r="C17" s="194">
        <f>SUM(C14:C16)</f>
        <v>9985150000</v>
      </c>
      <c r="D17" s="194">
        <f t="shared" ref="D17:E17" si="4">SUM(D14:D16)</f>
        <v>0</v>
      </c>
      <c r="E17" s="194">
        <f t="shared" si="4"/>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7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5"/>
      <c r="B20" s="296" t="s">
        <v>5587</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5"/>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6" t="s">
        <v>3852</v>
      </c>
      <c r="B24" s="466"/>
      <c r="C24" s="176">
        <f>C13++C17+C20+C23</f>
        <v>23342160000</v>
      </c>
      <c r="D24" s="176">
        <f t="shared" ref="D24:E24" si="7">D13++D17+D20+D23</f>
        <v>423949000</v>
      </c>
      <c r="E24" s="176">
        <f t="shared" si="7"/>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80" t="s">
        <v>5583</v>
      </c>
      <c r="B25" s="481"/>
      <c r="C25" s="415">
        <f>C24</f>
        <v>23342160000</v>
      </c>
      <c r="D25" s="482">
        <f>SUM(D24,E24)</f>
        <v>5811309000</v>
      </c>
      <c r="E25" s="483"/>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76" t="s">
        <v>3988</v>
      </c>
      <c r="B30" s="476" t="s">
        <v>3989</v>
      </c>
      <c r="C30" s="476" t="s">
        <v>5580</v>
      </c>
      <c r="D30" s="484" t="s">
        <v>5577</v>
      </c>
      <c r="E30" s="484" t="s">
        <v>5579</v>
      </c>
      <c r="F30" s="468" t="s">
        <v>3848</v>
      </c>
      <c r="G30" s="470" t="s">
        <v>3849</v>
      </c>
      <c r="H30" s="470"/>
      <c r="I30" s="470" t="s">
        <v>3850</v>
      </c>
      <c r="J30" s="470"/>
    </row>
    <row r="31" spans="1:13" x14ac:dyDescent="0.25">
      <c r="A31" s="477"/>
      <c r="B31" s="477"/>
      <c r="C31" s="477"/>
      <c r="D31" s="485"/>
      <c r="E31" s="485"/>
      <c r="F31" s="468"/>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5413122932</v>
      </c>
      <c r="H33" s="205">
        <f t="shared" si="9"/>
        <v>50.487995378303474</v>
      </c>
      <c r="I33" s="206">
        <f t="shared" si="10"/>
        <v>5308481068</v>
      </c>
      <c r="J33" s="205">
        <f t="shared" si="11"/>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9"/>
        <v>55.064120399084345</v>
      </c>
      <c r="I35" s="210">
        <f t="shared" si="10"/>
        <v>3876144709</v>
      </c>
      <c r="J35" s="209">
        <f t="shared" si="11"/>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1" t="s">
        <v>611</v>
      </c>
      <c r="B38" s="472"/>
      <c r="C38" s="213">
        <f>SUM(C32,C33,C36)</f>
        <v>23342160000</v>
      </c>
      <c r="D38" s="213">
        <f t="shared" ref="D38:G38" si="13">SUM(D32,D33,D36)</f>
        <v>423949000</v>
      </c>
      <c r="E38" s="213">
        <f t="shared" si="13"/>
        <v>5387360000</v>
      </c>
      <c r="F38" s="213">
        <f t="shared" si="13"/>
        <v>17530851000</v>
      </c>
      <c r="G38" s="213">
        <f t="shared" si="13"/>
        <v>9007705236</v>
      </c>
      <c r="H38" s="214">
        <f t="shared" si="9"/>
        <v>51.382019252801811</v>
      </c>
      <c r="I38" s="213">
        <f t="shared" si="10"/>
        <v>8523145764</v>
      </c>
      <c r="J38" s="214">
        <f t="shared" si="11"/>
        <v>48.617980747198182</v>
      </c>
      <c r="K38" s="434"/>
    </row>
    <row r="39" spans="1:12" x14ac:dyDescent="0.25">
      <c r="A39" s="471" t="s">
        <v>3993</v>
      </c>
      <c r="B39" s="472"/>
      <c r="C39" s="213"/>
      <c r="D39" s="213"/>
      <c r="E39" s="213"/>
      <c r="F39" s="213"/>
      <c r="G39" s="213"/>
      <c r="H39" s="214"/>
      <c r="I39" s="213"/>
      <c r="J39" s="214"/>
      <c r="K39" s="434"/>
    </row>
    <row r="40" spans="1:12" x14ac:dyDescent="0.25">
      <c r="A40" s="471" t="s">
        <v>3994</v>
      </c>
      <c r="B40" s="472"/>
      <c r="C40" s="213">
        <f>C38</f>
        <v>23342160000</v>
      </c>
      <c r="D40" s="486">
        <f>SUM(D38:E38)</f>
        <v>5811309000</v>
      </c>
      <c r="E40" s="487"/>
      <c r="F40" s="213">
        <f>F38</f>
        <v>17530851000</v>
      </c>
      <c r="G40" s="213">
        <f>G38-G39</f>
        <v>9007705236</v>
      </c>
      <c r="H40" s="214">
        <f t="shared" si="9"/>
        <v>51.382019252801811</v>
      </c>
      <c r="I40" s="213">
        <f t="shared" si="10"/>
        <v>8523145764</v>
      </c>
      <c r="J40" s="214">
        <f t="shared" si="11"/>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8" t="s">
        <v>592</v>
      </c>
      <c r="B45" s="468" t="s">
        <v>500</v>
      </c>
      <c r="C45" s="468" t="s">
        <v>5580</v>
      </c>
      <c r="D45" s="468" t="s">
        <v>5577</v>
      </c>
      <c r="E45" s="468" t="s">
        <v>5579</v>
      </c>
      <c r="F45" s="468" t="s">
        <v>3848</v>
      </c>
      <c r="G45" s="470" t="s">
        <v>3849</v>
      </c>
      <c r="H45" s="470"/>
      <c r="I45" s="470" t="s">
        <v>3850</v>
      </c>
      <c r="J45" s="470"/>
    </row>
    <row r="46" spans="1:12" x14ac:dyDescent="0.25">
      <c r="A46" s="468"/>
      <c r="B46" s="468"/>
      <c r="C46" s="468"/>
      <c r="D46" s="468"/>
      <c r="E46" s="468"/>
      <c r="F46" s="468"/>
      <c r="G46" s="417" t="s">
        <v>5589</v>
      </c>
      <c r="H46" s="417" t="s">
        <v>3846</v>
      </c>
      <c r="I46" s="417" t="s">
        <v>5589</v>
      </c>
      <c r="J46" s="417" t="s">
        <v>3846</v>
      </c>
    </row>
    <row r="47" spans="1:12" x14ac:dyDescent="0.25">
      <c r="A47" s="46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6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69"/>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6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6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69"/>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6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6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69"/>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6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6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69"/>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66" t="s">
        <v>3852</v>
      </c>
      <c r="B59" s="466"/>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66" t="s">
        <v>5583</v>
      </c>
      <c r="B60" s="466"/>
      <c r="C60" s="415">
        <f>C59</f>
        <v>348880000</v>
      </c>
      <c r="D60" s="467">
        <f>SUM(D59:E59)</f>
        <v>247069000</v>
      </c>
      <c r="E60" s="467"/>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7" zoomScale="80" zoomScaleNormal="100" zoomScaleSheetLayoutView="80" workbookViewId="0">
      <selection activeCell="Z53" sqref="Z53"/>
    </sheetView>
  </sheetViews>
  <sheetFormatPr defaultRowHeight="15" x14ac:dyDescent="0.25"/>
  <cols>
    <col min="16" max="16" width="7" customWidth="1"/>
    <col min="17" max="17" width="5.5703125" customWidth="1"/>
    <col min="21" max="21" width="4.7109375" customWidth="1"/>
  </cols>
  <sheetData>
    <row r="1" spans="2:16" x14ac:dyDescent="0.25">
      <c r="B1" s="488" t="str">
        <f>'PERSUBBID - Gaji'!A1</f>
        <v>REALISASI TANPA GAJI (BERDASARKAN PAGU SETELAH BLOKIR)</v>
      </c>
      <c r="C1" s="488"/>
      <c r="D1" s="488"/>
      <c r="E1" s="488"/>
      <c r="F1" s="488"/>
      <c r="G1" s="488"/>
      <c r="H1" s="488"/>
      <c r="I1" s="488"/>
      <c r="J1" s="488"/>
      <c r="K1" s="488"/>
      <c r="L1" s="488"/>
      <c r="M1" s="488"/>
      <c r="N1" s="488"/>
      <c r="O1" s="488"/>
      <c r="P1" s="488"/>
    </row>
    <row r="2" spans="2:16" ht="15.75" x14ac:dyDescent="0.25">
      <c r="B2" s="479" t="str">
        <f>'PERSUBBID - Gaji'!A2</f>
        <v>Berdasarkan DIPA Revisi 2 TA. 2022 (Tanggal 9 Juni 2022)</v>
      </c>
      <c r="C2" s="479"/>
      <c r="D2" s="479"/>
      <c r="E2" s="479"/>
      <c r="F2" s="479"/>
      <c r="G2" s="479"/>
      <c r="H2" s="479"/>
      <c r="I2" s="479"/>
      <c r="J2" s="479"/>
      <c r="K2" s="479"/>
      <c r="L2" s="479"/>
      <c r="M2" s="479"/>
      <c r="N2" s="479"/>
      <c r="O2" s="479"/>
      <c r="P2" s="479"/>
    </row>
    <row r="3" spans="2:16" ht="15.75" x14ac:dyDescent="0.25">
      <c r="B3" s="479" t="str">
        <f>'PERSUBBID - Gaji'!A3</f>
        <v>SAMPAI DENGAN 23 JUNI 2022</v>
      </c>
      <c r="C3" s="479"/>
      <c r="D3" s="479"/>
      <c r="E3" s="479"/>
      <c r="F3" s="479"/>
      <c r="G3" s="479"/>
      <c r="H3" s="479"/>
      <c r="I3" s="479"/>
      <c r="J3" s="479"/>
      <c r="K3" s="479"/>
      <c r="L3" s="479"/>
      <c r="M3" s="479"/>
      <c r="N3" s="479"/>
      <c r="O3" s="479"/>
      <c r="P3" s="47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0" fitToHeight="0" orientation="portrait"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1" sqref="F31"/>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2022-06-22T07:45:42Z</cp:lastPrinted>
  <dcterms:created xsi:type="dcterms:W3CDTF">2021-07-27T04:05:22Z</dcterms:created>
  <dcterms:modified xsi:type="dcterms:W3CDTF">2022-06-22T07:51:45Z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