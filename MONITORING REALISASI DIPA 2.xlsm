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9.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28C55F71-43B6-4108-82D7-903F66B5AAD5}" xr6:coauthVersionLast="47" xr6:coauthVersionMax="47" xr10:uidLastSave="{00000000-0000-0000-0000-000000000000}"/>
  <bookViews>
    <workbookView xWindow="-120" yWindow="-120" windowWidth="29040" windowHeight="15840" tabRatio="872" firstSheet="5" activeTab="6"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BULAN'!$B$12:$BJ$231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BULAN'!$B$234:$AU$255</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1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228" i="13" l="1"/>
  <c r="BJ227" i="13" s="1"/>
  <c r="BJ225" i="13"/>
  <c r="BJ221" i="13"/>
  <c r="BJ215" i="13"/>
  <c r="BJ208" i="13"/>
  <c r="BJ200" i="13"/>
  <c r="BJ197" i="13"/>
  <c r="BJ193" i="13"/>
  <c r="BJ190" i="13"/>
  <c r="BJ187" i="13"/>
  <c r="BJ184" i="13"/>
  <c r="BJ178" i="13"/>
  <c r="BJ177" i="13" s="1"/>
  <c r="BJ171" i="13"/>
  <c r="BJ167" i="13"/>
  <c r="BJ160" i="13"/>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c r="BJ68" i="13" s="1"/>
  <c r="BJ65" i="13"/>
  <c r="BJ64" i="13"/>
  <c r="BJ63" i="13" s="1"/>
  <c r="BJ62" i="13" s="1"/>
  <c r="BJ54" i="13"/>
  <c r="BJ53" i="13" s="1"/>
  <c r="BJ48" i="13"/>
  <c r="BJ41" i="13"/>
  <c r="BJ33" i="13"/>
  <c r="BJ32" i="13" s="1"/>
  <c r="BJ29" i="13"/>
  <c r="BJ28" i="13"/>
  <c r="BJ24" i="13"/>
  <c r="BJ20" i="13"/>
  <c r="BJ19" i="13" s="1"/>
  <c r="AB248" i="13"/>
  <c r="AT253" i="13"/>
  <c r="AT254"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6" i="13" s="1"/>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BJ77" i="13" l="1"/>
  <c r="BJ76" i="13" s="1"/>
  <c r="BI77" i="13"/>
  <c r="BI76" i="13" s="1"/>
  <c r="BI124" i="13"/>
  <c r="BI123" i="13" s="1"/>
  <c r="BI32" i="13"/>
  <c r="BJ166" i="13"/>
  <c r="BB144" i="16"/>
  <c r="BJ124" i="13"/>
  <c r="BJ123" i="13" s="1"/>
  <c r="BJ183" i="13"/>
  <c r="BJ182" i="13" s="1"/>
  <c r="BJ146" i="13" s="1"/>
  <c r="BI19" i="13"/>
  <c r="BI18" i="13" s="1"/>
  <c r="BI17" i="13" s="1"/>
  <c r="BI16" i="13" s="1"/>
  <c r="BI15" i="13" s="1"/>
  <c r="BI148" i="13"/>
  <c r="BI147" i="13" s="1"/>
  <c r="BI183" i="13"/>
  <c r="BI182" i="13" s="1"/>
  <c r="BJ165" i="13"/>
  <c r="BI207" i="13"/>
  <c r="BI206" i="13" s="1"/>
  <c r="BI205" i="13" s="1"/>
  <c r="BI204" i="13" s="1"/>
  <c r="BJ148" i="13"/>
  <c r="BJ147" i="13" s="1"/>
  <c r="BJ207" i="13"/>
  <c r="BJ206" i="13" s="1"/>
  <c r="BJ205" i="13" s="1"/>
  <c r="BJ204" i="13" s="1"/>
  <c r="BJ18" i="13"/>
  <c r="BJ17" i="13" s="1"/>
  <c r="BJ16" i="13" s="1"/>
  <c r="BJ15" i="13" s="1"/>
  <c r="BI67" i="13"/>
  <c r="BI165" i="13"/>
  <c r="BI146" i="13"/>
  <c r="Y217" i="13"/>
  <c r="BJ67" i="13" l="1"/>
  <c r="BJ61" i="13"/>
  <c r="BJ60" i="13" s="1"/>
  <c r="BJ14" i="13" s="1"/>
  <c r="BI61" i="13"/>
  <c r="BI60" i="13" s="1"/>
  <c r="BI14" i="13" s="1"/>
  <c r="Y75" i="13"/>
  <c r="C3" i="20"/>
  <c r="C2" i="20"/>
  <c r="C1" i="20"/>
  <c r="A3" i="35"/>
  <c r="A3" i="33"/>
  <c r="A3" i="34"/>
  <c r="A3" i="14"/>
  <c r="Y239" i="13"/>
  <c r="Y238" i="13"/>
  <c r="D22" i="35" a="1"/>
  <c r="D22" i="35" s="1"/>
  <c r="C22" i="35" a="1"/>
  <c r="C22" i="35" s="1"/>
  <c r="D21" i="35" a="1"/>
  <c r="D21" i="35" s="1"/>
  <c r="D23" i="35" s="1"/>
  <c r="C21" i="35" a="1"/>
  <c r="C21" i="35" s="1"/>
  <c r="D19" i="35" a="1"/>
  <c r="D19" i="35" s="1"/>
  <c r="C19" i="35" a="1"/>
  <c r="C19" i="35" s="1"/>
  <c r="D18" i="35" a="1"/>
  <c r="D18" i="35" s="1"/>
  <c r="D16" i="35" a="1"/>
  <c r="D16" i="35" s="1"/>
  <c r="C16" i="35" a="1"/>
  <c r="C16" i="35" s="1"/>
  <c r="D15" i="35" a="1"/>
  <c r="D15" i="35" s="1"/>
  <c r="C15" i="35" a="1"/>
  <c r="C15" i="35" s="1"/>
  <c r="C14" i="35" s="1" a="1"/>
  <c r="C14" i="35" s="1"/>
  <c r="C17" i="35" s="1"/>
  <c r="D14" i="35" a="1"/>
  <c r="D14" i="35" s="1"/>
  <c r="F12" i="35"/>
  <c r="F32" i="35" s="1"/>
  <c r="F12" i="35" a="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23" i="35" l="1"/>
  <c r="C22" i="34"/>
  <c r="D20" i="35"/>
  <c r="C16" i="34"/>
  <c r="D22" i="34"/>
  <c r="D19" i="34"/>
  <c r="D16" i="34"/>
  <c r="D17" i="35"/>
  <c r="Y142" i="16"/>
  <c r="B3" i="27"/>
  <c r="B1" i="27"/>
  <c r="D32" i="33"/>
  <c r="E32" i="33"/>
  <c r="F32" i="33"/>
  <c r="C32" i="33"/>
  <c r="F12" i="33" a="1"/>
  <c r="F12" i="33" s="1"/>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8" i="13" s="1"/>
  <c r="I227" i="13" s="1"/>
  <c r="I226" i="13"/>
  <c r="I225" i="13" s="1"/>
  <c r="I224" i="13"/>
  <c r="I223" i="13"/>
  <c r="I222" i="13"/>
  <c r="I221" i="13" s="1"/>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8" i="13"/>
  <c r="I164" i="13"/>
  <c r="I160" i="13" s="1"/>
  <c r="I163" i="13"/>
  <c r="I162" i="13"/>
  <c r="I161" i="13"/>
  <c r="I159" i="13"/>
  <c r="I158" i="13"/>
  <c r="I157" i="13"/>
  <c r="I156" i="13"/>
  <c r="I155" i="13"/>
  <c r="I154" i="13" s="1"/>
  <c r="I153" i="13"/>
  <c r="I152" i="13"/>
  <c r="I151" i="13"/>
  <c r="I150" i="13"/>
  <c r="I149" i="13" s="1"/>
  <c r="I145" i="13"/>
  <c r="I144" i="13" s="1"/>
  <c r="I143" i="13" s="1"/>
  <c r="I142" i="13" s="1"/>
  <c r="I141" i="13" s="1"/>
  <c r="I136" i="13"/>
  <c r="I135" i="13"/>
  <c r="I134" i="13" s="1"/>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2" i="13"/>
  <c r="I51" i="13"/>
  <c r="I50" i="13"/>
  <c r="I49" i="13"/>
  <c r="I47" i="13"/>
  <c r="I46" i="13"/>
  <c r="I45" i="13"/>
  <c r="I44" i="13"/>
  <c r="I43" i="13"/>
  <c r="I42" i="13"/>
  <c r="I40" i="13"/>
  <c r="I39" i="13"/>
  <c r="I38" i="13"/>
  <c r="I37" i="13"/>
  <c r="I36" i="13"/>
  <c r="I35" i="13"/>
  <c r="I34" i="13"/>
  <c r="I31" i="13"/>
  <c r="I30" i="13"/>
  <c r="I29" i="13" s="1"/>
  <c r="I28" i="13" s="1"/>
  <c r="I27" i="13"/>
  <c r="I24" i="13" s="1"/>
  <c r="I26" i="13"/>
  <c r="I25" i="13"/>
  <c r="I23" i="13"/>
  <c r="I22" i="13"/>
  <c r="I21" i="13"/>
  <c r="I197" i="13"/>
  <c r="I187" i="13"/>
  <c r="I137" i="13"/>
  <c r="I128" i="13"/>
  <c r="I65" i="13"/>
  <c r="I64" i="13" s="1"/>
  <c r="I63" i="13" s="1"/>
  <c r="I62" i="13" s="1"/>
  <c r="I54" i="13" l="1"/>
  <c r="I53" i="13" s="1"/>
  <c r="I70" i="13"/>
  <c r="I69" i="13" s="1"/>
  <c r="I68" i="13" s="1"/>
  <c r="I167" i="13"/>
  <c r="C17" i="33"/>
  <c r="D20" i="33"/>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207" i="13" s="1"/>
  <c r="I206" i="13" s="1"/>
  <c r="I205" i="13" s="1"/>
  <c r="I204" i="13" s="1"/>
  <c r="I33" i="13"/>
  <c r="I41" i="13"/>
  <c r="I32" i="13" s="1"/>
  <c r="I86" i="13"/>
  <c r="I178" i="13"/>
  <c r="I177" i="13" s="1"/>
  <c r="I20" i="13"/>
  <c r="I19" i="13" s="1"/>
  <c r="I82" i="13"/>
  <c r="I102" i="13"/>
  <c r="I108" i="13"/>
  <c r="I113" i="13"/>
  <c r="I125" i="13"/>
  <c r="I124" i="13" s="1"/>
  <c r="I123" i="13" s="1"/>
  <c r="I166" i="13"/>
  <c r="I165" i="13" s="1"/>
  <c r="I148" i="13"/>
  <c r="I147" i="13" s="1"/>
  <c r="I183" i="13"/>
  <c r="I182" i="13" s="1"/>
  <c r="I77" i="13" l="1"/>
  <c r="I76" i="13" s="1"/>
  <c r="AM14" i="32"/>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7"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s="1"/>
  <c r="H60" i="13" s="1"/>
  <c r="H14" i="13" s="1"/>
  <c r="I32" i="35" l="1"/>
  <c r="J32" i="35" s="1"/>
  <c r="H32" i="35"/>
  <c r="H32" i="33"/>
  <c r="I32" i="33"/>
  <c r="J32" i="33" s="1"/>
  <c r="AT247" i="13"/>
  <c r="AV247" i="13" s="1"/>
  <c r="AW247" i="13" s="1"/>
  <c r="AT246" i="13"/>
  <c r="AT242" i="13"/>
  <c r="AV242" i="13" s="1"/>
  <c r="AW242" i="13" s="1"/>
  <c r="AU98" i="13"/>
  <c r="Y248" i="13"/>
  <c r="V248" i="13"/>
  <c r="AT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8" i="13" l="1"/>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H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I48" i="33" s="1"/>
  <c r="J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D52" i="33" s="1"/>
  <c r="E48" i="33" a="1"/>
  <c r="E48" i="33" s="1"/>
  <c r="G50" i="14" a="1"/>
  <c r="G50" i="14" s="1"/>
  <c r="G44" i="14" a="1"/>
  <c r="G44" i="14" s="1"/>
  <c r="H44" i="14" s="1"/>
  <c r="F49" i="14" a="1"/>
  <c r="F49" i="14" s="1"/>
  <c r="E47" i="14" a="1"/>
  <c r="E47" i="14" s="1"/>
  <c r="D53" i="14" a="1"/>
  <c r="D53" i="14" s="1"/>
  <c r="D47" i="14" a="1"/>
  <c r="D47" i="14" s="1"/>
  <c r="C49" i="14" a="1"/>
  <c r="C49" i="14" s="1"/>
  <c r="C51"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C45" i="14" l="1"/>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C59" i="33" s="1"/>
  <c r="C60" i="33" s="1"/>
  <c r="I53" i="35"/>
  <c r="J53" i="35" s="1"/>
  <c r="F55" i="35"/>
  <c r="D51" i="34"/>
  <c r="D48" i="34"/>
  <c r="I54" i="35"/>
  <c r="J54" i="35" s="1"/>
  <c r="H48" i="33"/>
  <c r="G55" i="33"/>
  <c r="H53" i="33"/>
  <c r="H49" i="14"/>
  <c r="G51" i="14"/>
  <c r="H51" i="14" s="1"/>
  <c r="H54" i="33"/>
  <c r="F51" i="34"/>
  <c r="I49" i="34"/>
  <c r="J49" i="34" s="1"/>
  <c r="D55" i="35"/>
  <c r="C48" i="34"/>
  <c r="C55" i="34" s="1"/>
  <c r="C56" i="34" s="1"/>
  <c r="H49" i="34"/>
  <c r="G51" i="34"/>
  <c r="H50" i="34"/>
  <c r="C55" i="35"/>
  <c r="C59" i="35" s="1"/>
  <c r="C60" i="35" s="1"/>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C35" i="35" s="1" a="1"/>
  <c r="C35" i="35" s="1"/>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D55" i="34" l="1"/>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8" i="35" s="1" a="1"/>
  <c r="F8"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4" l="1" a="1"/>
  <c r="F8" i="34" s="1"/>
  <c r="F12" i="34" s="1"/>
  <c r="C38" i="33"/>
  <c r="C40" i="33" s="1"/>
  <c r="F8" i="14" a="1"/>
  <c r="F8" i="14" s="1"/>
  <c r="F12" i="14" s="1"/>
  <c r="D38" i="33"/>
  <c r="C23" i="34"/>
  <c r="C24" i="34" s="1"/>
  <c r="F13" i="35"/>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9" i="34" s="1"/>
  <c r="E18" i="35" a="1"/>
  <c r="E18" i="35" s="1"/>
  <c r="E20" i="35" s="1"/>
  <c r="E18" i="33" a="1"/>
  <c r="E18" i="33" s="1"/>
  <c r="E17" i="14" a="1"/>
  <c r="E17" i="14" s="1"/>
  <c r="E19" i="14" s="1"/>
  <c r="F32" i="14" a="1"/>
  <c r="F32" i="14" s="1"/>
  <c r="F30" i="14" s="1"/>
  <c r="F35" i="14" s="1"/>
  <c r="F37" i="14" s="1"/>
  <c r="F14" i="14" a="1"/>
  <c r="F14" i="14" s="1"/>
  <c r="F13" i="14" s="1" a="1"/>
  <c r="F13" i="14" s="1"/>
  <c r="F16" i="14" s="1"/>
  <c r="F23" i="14" s="1"/>
  <c r="F24"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F14" i="35" a="1"/>
  <c r="F14" i="35" s="1"/>
  <c r="F17" i="35" s="1"/>
  <c r="G18" i="13"/>
  <c r="G17" i="13" s="1"/>
  <c r="G16" i="13" s="1"/>
  <c r="G15" i="13" s="1"/>
  <c r="G146" i="13"/>
  <c r="G67" i="13"/>
  <c r="C33" i="14"/>
  <c r="O4" i="23"/>
  <c r="H511" i="10"/>
  <c r="M16" i="24"/>
  <c r="F24" i="35" l="1"/>
  <c r="F25" i="35" s="1"/>
  <c r="E20" i="33"/>
  <c r="F52" i="33"/>
  <c r="E8" i="14" a="1"/>
  <c r="E8" i="14" s="1"/>
  <c r="E12" i="14" s="1"/>
  <c r="E13" i="34" a="1"/>
  <c r="E13" i="34" s="1"/>
  <c r="E16" i="34" s="1"/>
  <c r="E32" i="34" a="1"/>
  <c r="E32" i="34" s="1"/>
  <c r="F59" i="33"/>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E23" i="35"/>
  <c r="F48" i="14"/>
  <c r="E8" i="34" a="1"/>
  <c r="E8" i="34" s="1"/>
  <c r="E12" i="34" s="1"/>
  <c r="E35" i="35" a="1"/>
  <c r="E35" i="35" s="1"/>
  <c r="E33" i="35" s="1"/>
  <c r="E38" i="35" s="1"/>
  <c r="D40" i="35" s="1"/>
  <c r="F24" i="33"/>
  <c r="F25" i="33" s="1"/>
  <c r="D37" i="14"/>
  <c r="E54" i="34"/>
  <c r="E30" i="34"/>
  <c r="E35" i="34" s="1"/>
  <c r="D37" i="34" s="1"/>
  <c r="E8" i="35" a="1"/>
  <c r="E8" i="35" s="1"/>
  <c r="E13" i="35" s="1"/>
  <c r="E22" i="34"/>
  <c r="F52" i="35"/>
  <c r="E46" i="34" a="1"/>
  <c r="E46" i="34" s="1"/>
  <c r="E48" i="34" s="1"/>
  <c r="E55" i="34" s="1"/>
  <c r="D56" i="34" s="1"/>
  <c r="E50" i="35" a="1"/>
  <c r="E50" i="35" s="1"/>
  <c r="E52" i="35" s="1"/>
  <c r="E59" i="35" s="1"/>
  <c r="D60" i="35" s="1"/>
  <c r="E46" i="14" a="1"/>
  <c r="E46" i="14" s="1"/>
  <c r="E48" i="14" s="1"/>
  <c r="E55" i="14" s="1"/>
  <c r="D56"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9" i="33" l="1"/>
  <c r="D60" i="33" s="1"/>
  <c r="E23" i="34"/>
  <c r="D24" i="34" s="1"/>
  <c r="E24" i="33"/>
  <c r="D25" i="33" s="1"/>
  <c r="E24" i="35"/>
  <c r="D25" i="35" s="1"/>
  <c r="F55" i="14"/>
  <c r="F56" i="14" s="1"/>
  <c r="F59" i="35"/>
  <c r="E23" i="14"/>
  <c r="D24" i="14" s="1"/>
  <c r="F60" i="33"/>
  <c r="BA144" i="16"/>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F60" i="35" l="1"/>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V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I24" i="35"/>
  <c r="J24" i="35" s="1"/>
  <c r="H24" i="35"/>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H25" i="35"/>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<sst xmlns="http://schemas.openxmlformats.org/spreadsheetml/2006/main" count="22760" uniqueCount="5677">
  <si>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</si>
  <si>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</si>
  <si>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</si>
  <si>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</si>
  <si>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</si>
  <si>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</si>
  <si>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</si>
  <si>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</si>
  <si>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</si>
  <si>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</si>
  <si>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</si>
  <si>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</si>
  <si>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</si>
  <si>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</si>
  <si>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</si>
  <si>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</si>
  <si>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</si>
  <si>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</si>
  <si>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</si>
  <si>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</si>
  <si>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</si>
  <si>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</si>
  <si>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</si>
  <si>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</si>
  <si>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</si>
  <si>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</si>
  <si>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</si>
  <si>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</si>
  <si>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</si>
  <si>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</si>
  <si>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</si>
  <si>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</si>
  <si>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</si>
  <si>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</si>
  <si>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</si>
  <si>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</si>
  <si>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</si>
  <si>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</si>
  <si>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</si>
  <si>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</si>
  <si>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</si>
  <si>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</si>
  <si>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</si>
  <si>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</si>
  <si>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</si>
  <si>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</si>
  <si>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</si>
  <si>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</si>
  <si>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</si>
  <si>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</si>
  <si>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</si>
  <si>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</si>
  <si>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</si>
  <si>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</si>
  <si>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</si>
  <si>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</si>
  <si>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</si>
  <si>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</si>
  <si>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</si>
  <si>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</si>
  <si>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</si>
  <si>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</si>
  <si>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</si>
  <si>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</si>
  <si>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</si>
  <si>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</si>
  <si>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</si>
  <si>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</si>
  <si>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</si>
  <si>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</si>
  <si>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</si>
  <si>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</si>
  <si>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</si>
  <si>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</si>
  <si>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</si>
  <si>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</si>
  <si>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</si>
  <si>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</si>
  <si>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</si>
  <si>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</si>
  <si>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</si>
  <si>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</si>
  <si>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</si>
  <si>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</si>
  <si>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</si>
  <si>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</si>
  <si>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</si>
  <si>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</si>
  <si>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</si>
  <si>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</si>
  <si>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</si>
  <si>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</si>
  <si>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</si>
  <si>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</si>
  <si>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</si>
  <si>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</si>
  <si>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</si>
  <si>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</si>
  <si>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</si>
  <si>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</si>
  <si>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</si>
  <si>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</si>
  <si>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</si>
  <si>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</si>
  <si>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</si>
  <si>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</si>
  <si>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</si>
  <si>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</si>
  <si>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</si>
  <si>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</si>
  <si>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</si>
  <si>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</si>
  <si>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</si>
  <si>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</si>
  <si>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</si>
  <si>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</si>
  <si>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</si>
  <si>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</si>
  <si>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</si>
  <si>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</si>
  <si>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</si>
  <si>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</si>
  <si>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</si>
  <si>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</si>
  <si>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</si>
  <si>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</si>
  <si>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</si>
  <si>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</si>
  <si>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</si>
  <si>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</si>
  <si>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</si>
  <si>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</si>
  <si>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</si>
  <si>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</si>
  <si>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</si>
  <si>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</si>
  <si>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</si>
  <si>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</si>
  <si>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</si>
  <si>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</si>
  <si>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</si>
  <si>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</si>
  <si>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</si>
  <si>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</si>
  <si>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</si>
  <si>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</si>
  <si>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</si>
  <si>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</si>
  <si>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</si>
  <si>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</si>
  <si>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</si>
  <si>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</si>
  <si>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</si>
  <si>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</si>
  <si>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</si>
  <si>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</si>
  <si>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</si>
  <si>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</si>
  <si>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</si>
  <si>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</si>
  <si>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</si>
  <si>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</si>
  <si>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</si>
  <si>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</si>
  <si>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</si>
  <si>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</si>
  <si>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</si>
  <si>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</si>
  <si>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</si>
  <si>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</si>
  <si>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</si>
  <si>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</si>
  <si>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</si>
  <si>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</si>
  <si>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</si>
  <si>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</si>
  <si>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</si>
  <si>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</si>
  <si>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</si>
  <si>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</si>
  <si>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</si>
  <si>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</si>
  <si>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</si>
  <si>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</si>
  <si>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</si>
  <si>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</si>
  <si>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</si>
  <si>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</si>
  <si>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</si>
  <si>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</si>
  <si>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</si>
  <si>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</si>
  <si>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</si>
  <si>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</si>
  <si>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</si>
  <si>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</si>
  <si>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</si>
  <si>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</si>
  <si>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</si>
  <si>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</si>
  <si>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</si>
  <si>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</si>
  <si>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</si>
  <si>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</si>
  <si>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</si>
  <si>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</si>
  <si>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</si>
  <si>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</si>
  <si>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</si>
  <si>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</si>
  <si>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</si>
  <si>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</si>
  <si>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</si>
  <si>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</si>
  <si>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</si>
  <si>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</si>
  <si>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</si>
  <si>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</si>
  <si>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</si>
  <si>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</si>
  <si>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</si>
  <si>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</si>
  <si>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</si>
  <si>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</si>
  <si>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</si>
  <si>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</si>
  <si>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</si>
  <si>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</si>
  <si>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</si>
  <si>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</si>
  <si>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</si>
  <si>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</si>
  <si>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</si>
  <si>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</si>
  <si>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</si>
  <si>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</si>
  <si>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</si>
  <si>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</si>
  <si>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</si>
  <si>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</si>
  <si>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</si>
  <si>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</si>
  <si>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</si>
  <si>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</si>
  <si>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</si>
  <si>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</si>
  <si>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</si>
  <si>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</si>
  <si>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</si>
  <si>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</si>
  <si>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</si>
  <si>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</si>
  <si>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</si>
  <si>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</si>
  <si>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</si>
  <si>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</si>
  <si>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</si>
  <si>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</si>
  <si>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</si>
  <si>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</si>
  <si>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</si>
  <si>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</si>
  <si>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</si>
  <si>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</si>
  <si>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</si>
  <si>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</si>
  <si>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</si>
  <si>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</si>
  <si>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</si>
  <si>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</si>
  <si>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</si>
  <si>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</si>
  <si>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</si>
  <si>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</si>
  <si>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</si>
  <si>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</si>
  <si>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</si>
  <si>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</si>
  <si>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</si>
  <si>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</si>
  <si>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</si>
  <si>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</si>
  <si>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</si>
  <si>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</si>
  <si>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</si>
  <si>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</si>
  <si>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</si>
  <si>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</si>
  <si>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</si>
  <si>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</si>
  <si>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</si>
  <si>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</si>
  <si>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</si>
  <si>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</si>
  <si>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</si>
  <si>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</si>
  <si>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</si>
  <si>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</si>
  <si>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</si>
  <si>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</si>
  <si>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</si>
  <si>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</si>
  <si>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</si>
  <si>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</si>
  <si>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</si>
  <si>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</si>
  <si>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</si>
  <si>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</si>
  <si>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</si>
  <si>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</si>
  <si>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</si>
  <si>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</si>
  <si>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</si>
  <si>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</si>
  <si>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</si>
  <si>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</si>
  <si>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</si>
  <si>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</si>
  <si>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</si>
  <si>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</si>
  <si>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</si>
  <si>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</si>
  <si>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</si>
  <si>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</si>
  <si>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</si>
  <si>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</si>
  <si>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</si>
  <si>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</si>
  <si>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</si>
  <si>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</si>
  <si>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</si>
  <si>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</si>
  <si>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</si>
  <si>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</si>
  <si>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</si>
  <si>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</si>
  <si>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</si>
  <si>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</si>
  <si>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</si>
  <si>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</si>
  <si>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</si>
  <si>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</si>
  <si>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</si>
  <si>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</si>
  <si>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</si>
  <si>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</si>
  <si>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</si>
  <si>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</si>
  <si>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</si>
  <si>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</si>
  <si>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</si>
  <si>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</si>
  <si>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</si>
  <si>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</si>
  <si>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</si>
  <si>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</si>
  <si>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</si>
  <si>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</si>
  <si>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</si>
  <si>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</si>
  <si>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</si>
  <si>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</si>
  <si>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</si>
  <si>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</si>
  <si>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</si>
  <si>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</si>
  <si>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</si>
  <si>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</si>
  <si>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</si>
  <si>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</si>
  <si>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</si>
  <si>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</si>
  <si>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</si>
  <si>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</si>
  <si>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</si>
  <si>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</si>
  <si>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</si>
  <si>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</si>
  <si>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</si>
  <si>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</si>
  <si>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</si>
  <si>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</si>
  <si>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</si>
  <si>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</si>
  <si>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</si>
  <si>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</si>
  <si>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</si>
  <si>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</si>
  <si>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</si>
  <si>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</si>
  <si>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</si>
  <si>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</si>
  <si>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</si>
  <si>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</si>
  <si>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</si>
  <si>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</si>
  <si>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</si>
  <si>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</si>
  <si>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</si>
  <si>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</si>
  <si>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</si>
  <si>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</si>
  <si>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</si>
  <si>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</si>
  <si>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</si>
  <si>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</si>
  <si>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</si>
  <si>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</si>
  <si>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</si>
  <si>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</si>
  <si>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</si>
  <si>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</si>
  <si>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</si>
  <si>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</si>
  <si>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</si>
  <si>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</si>
  <si>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</si>
  <si>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</si>
  <si>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</si>
  <si>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</si>
  <si>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</si>
  <si>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</si>
  <si>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</si>
  <si>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</si>
  <si>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</si>
  <si>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</si>
  <si>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</si>
  <si>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</si>
  <si>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</si>
  <si>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</si>
  <si>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</si>
  <si>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</si>
  <si>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</si>
  <si>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</si>
  <si>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</si>
  <si>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</si>
  <si>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</si>
  <si>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</si>
  <si>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</si>
  <si>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</si>
  <si>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</si>
  <si>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</si>
  <si>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</si>
  <si>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</si>
  <si>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</si>
  <si>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</si>
  <si>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</si>
  <si>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</si>
  <si>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</si>
  <si>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</si>
  <si>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</si>
  <si>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</si>
  <si>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</si>
  <si>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</si>
  <si>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</si>
  <si>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</si>
  <si>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</si>
  <si>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</si>
  <si>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</si>
  <si>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</si>
  <si>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</si>
  <si>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</si>
  <si>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</si>
  <si>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</si>
  <si>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</si>
  <si>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</si>
  <si>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</si>
  <si>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</si>
  <si>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</si>
  <si>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</si>
  <si>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</si>
  <si>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</si>
  <si>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</si>
  <si>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</si>
  <si>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</si>
  <si>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</si>
  <si>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</si>
  <si>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</si>
  <si>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</si>
  <si>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</si>
  <si>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</si>
  <si>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</si>
  <si>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</si>
  <si>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</si>
  <si>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</si>
  <si>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</si>
  <si>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</si>
  <si>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</si>
  <si>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</si>
  <si>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</si>
  <si>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</si>
  <si>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</si>
  <si>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</si>
  <si>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</si>
  <si>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</si>
  <si>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</si>
  <si>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</si>
  <si>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</si>
  <si>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</si>
  <si>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</si>
  <si>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</si>
  <si>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</si>
  <si>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</si>
  <si>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</si>
  <si>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</si>
  <si>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</si>
  <si>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</si>
  <si>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</si>
  <si>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</si>
  <si>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</si>
  <si>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</si>
  <si>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</si>
  <si>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</si>
  <si>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</si>
  <si>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</si>
  <si>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</si>
  <si>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</si>
  <si>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</si>
  <si>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</si>
  <si>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</si>
  <si>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</si>
  <si>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</si>
  <si>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</si>
  <si>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</si>
  <si>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</si>
  <si>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</si>
  <si>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</si>
  <si>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</si>
  <si>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</si>
  <si>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</si>
  <si>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</si>
  <si>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</si>
  <si>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</si>
  <si>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</si>
  <si>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</si>
  <si>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</si>
  <si>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</si>
  <si>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</si>
  <si>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</si>
  <si>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</si>
  <si>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</si>
  <si>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</si>
  <si>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</si>
  <si>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</si>
  <si>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</si>
  <si>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</si>
  <si>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</si>
  <si>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</si>
  <si>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</si>
  <si>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</si>
  <si>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</si>
  <si>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</si>
  <si>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</si>
  <si>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</si>
  <si>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</si>
  <si>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</si>
  <si>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</si>
  <si>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</si>
  <si>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</si>
  <si>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</si>
  <si>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</si>
  <si>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</si>
  <si>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</si>
  <si>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</si>
  <si>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</si>
  <si>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</si>
  <si>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</si>
  <si>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</si>
  <si>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</si>
  <si>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</si>
  <si>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</si>
  <si>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</si>
  <si>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</si>
  <si>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</si>
  <si>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</si>
  <si>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</si>
  <si>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</si>
  <si>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</si>
  <si>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</si>
  <si>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</si>
  <si>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</si>
  <si>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</si>
  <si>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</si>
  <si>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</si>
  <si>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</si>
  <si>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</si>
  <si>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</si>
  <si>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</si>
  <si>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</si>
  <si>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</si>
  <si>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</si>
  <si>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</si>
  <si>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</si>
  <si>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</si>
  <si>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</si>
  <si>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</si>
  <si>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</si>
  <si>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</si>
  <si>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</si>
  <si>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</si>
  <si>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</si>
  <si>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</si>
  <si>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</si>
  <si>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</si>
  <si>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</si>
  <si>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</si>
  <si>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</si>
  <si>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</si>
  <si>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</si>
  <si>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</si>
  <si>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</si>
  <si>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</si>
  <si>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</si>
  <si>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</si>
  <si>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</si>
  <si>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</si>
  <si>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</si>
  <si>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</si>
  <si>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</si>
  <si>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</si>
  <si>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</si>
  <si>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</si>
  <si>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</si>
  <si>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</si>
  <si>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</si>
  <si>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</si>
  <si>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</si>
  <si>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</si>
  <si>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</si>
  <si>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</si>
  <si>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</si>
  <si>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</si>
  <si>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</si>
  <si>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</si>
  <si>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</si>
  <si>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</si>
  <si>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</si>
  <si>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</si>
  <si>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</si>
  <si>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</si>
  <si>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</si>
  <si>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</si>
  <si>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</si>
  <si>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</si>
  <si>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</si>
  <si>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</si>
  <si>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</si>
  <si>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</si>
  <si>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</si>
  <si>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</si>
  <si>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</si>
  <si>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</si>
  <si>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</si>
  <si>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</si>
  <si>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</si>
  <si>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</si>
  <si>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</si>
  <si>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</si>
  <si>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</si>
  <si>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</si>
  <si>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</si>
  <si>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</si>
  <si>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</si>
  <si>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</si>
  <si>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</si>
  <si>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</si>
  <si>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</si>
  <si>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</si>
  <si>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</si>
  <si>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</si>
  <si>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</si>
  <si>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</si>
  <si>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</si>
  <si>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</si>
  <si>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</si>
  <si>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</si>
  <si>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</si>
  <si>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</si>
  <si>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</si>
  <si>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</si>
  <si>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</si>
  <si>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</si>
  <si>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</si>
  <si>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</si>
  <si>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</si>
  <si>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</si>
  <si>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</si>
  <si>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</si>
  <si>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</si>
  <si>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</si>
  <si>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</si>
  <si>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</si>
  <si>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</si>
  <si>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</si>
  <si>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</si>
  <si>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</si>
  <si>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</si>
  <si>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</si>
  <si>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</si>
  <si>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</si>
  <si>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</si>
  <si>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</si>
  <si>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</si>
  <si>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</si>
  <si>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</si>
  <si>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</si>
  <si>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</si>
  <si>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</si>
  <si>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</si>
  <si>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</si>
  <si>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</si>
  <si>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</si>
  <si>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</si>
  <si>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</si>
  <si>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</si>
  <si>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</si>
  <si>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</si>
  <si>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</si>
  <si>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</si>
  <si>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</si>
  <si>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</si>
  <si>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</si>
  <si>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</si>
  <si>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</si>
  <si>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</si>
  <si>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</si>
  <si>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</si>
  <si>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</si>
  <si>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</si>
  <si>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</si>
  <si>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</si>
  <si>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</si>
  <si>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</si>
  <si>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</si>
  <si>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</si>
  <si>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</si>
  <si>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</si>
  <si>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</si>
  <si>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</si>
  <si>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</si>
  <si>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</si>
  <si>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</si>
  <si>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</si>
  <si>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</si>
  <si>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</si>
  <si>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</si>
  <si>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</si>
  <si>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</si>
  <si>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</si>
  <si>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</si>
  <si>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</si>
  <si>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</si>
  <si>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</si>
  <si>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</si>
  <si>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</si>
  <si>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</si>
  <si>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</si>
  <si>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</si>
  <si>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</si>
  <si>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</si>
  <si>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</si>
  <si>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</si>
  <si>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</si>
  <si>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</si>
  <si>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</si>
  <si>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</si>
  <si>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</si>
  <si>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</si>
  <si>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</si>
  <si>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</si>
  <si>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</si>
  <si>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</si>
  <si>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</si>
  <si>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</si>
  <si>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</si>
  <si>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</si>
  <si>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</si>
  <si>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</si>
  <si>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</si>
  <si>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</si>
  <si>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</si>
  <si>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</si>
  <si>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</si>
  <si>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</si>
  <si>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</si>
  <si>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</si>
  <si>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</si>
  <si>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</si>
  <si>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</si>
  <si>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</si>
  <si>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</si>
  <si>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</si>
  <si>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</si>
  <si>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</si>
  <si>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</si>
  <si>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</si>
  <si>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</si>
  <si>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</si>
  <si>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</si>
  <si>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</si>
  <si>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</si>
  <si>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</si>
  <si>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</si>
  <si>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</si>
  <si>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</si>
  <si>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</si>
  <si>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</si>
  <si>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</si>
  <si>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</si>
  <si>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</si>
  <si>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</si>
  <si>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</si>
  <si>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</si>
  <si>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</si>
  <si>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</si>
  <si>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</si>
  <si>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</si>
  <si>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</si>
  <si>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</si>
  <si>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</si>
  <si>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</si>
  <si>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</si>
  <si>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</si>
  <si>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</si>
  <si>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</si>
  <si>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</si>
  <si>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</si>
  <si>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</si>
  <si>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</si>
  <si>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</si>
  <si>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</si>
  <si>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</si>
  <si>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</si>
  <si>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</si>
  <si>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</si>
  <si>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</si>
  <si>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</si>
  <si>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</si>
  <si>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</si>
  <si>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</si>
  <si>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</si>
  <si>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</si>
  <si>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</si>
  <si>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</si>
  <si>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</si>
  <si>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</si>
  <si>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</si>
  <si>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</si>
  <si>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</si>
  <si>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</si>
  <si>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</si>
  <si>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</si>
  <si>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</si>
  <si>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</si>
  <si>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</si>
  <si>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</si>
  <si>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</si>
  <si>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</si>
  <si>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</si>
  <si>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</si>
  <si>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</si>
  <si>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</si>
  <si>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</si>
  <si>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</si>
  <si>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</si>
  <si>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</si>
  <si>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</si>
  <si>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</si>
  <si>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</si>
  <si>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</si>
  <si>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</si>
  <si>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</si>
  <si>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</si>
  <si>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</si>
  <si>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</si>
  <si>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</si>
  <si>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</si>
  <si>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</si>
  <si>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</si>
  <si>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</si>
  <si>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</si>
  <si>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</si>
  <si>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</si>
  <si>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</si>
  <si>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</si>
  <si>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</si>
  <si>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</si>
  <si>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</si>
  <si>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</si>
  <si>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</si>
  <si>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</si>
  <si>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</si>
  <si>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</si>
  <si>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</si>
  <si>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</si>
  <si>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</si>
  <si>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</si>
  <si>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</si>
  <si>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</si>
  <si>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</si>
  <si>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</si>
  <si>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</si>
  <si>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</si>
  <si>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</si>
  <si>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</si>
  <si>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</si>
  <si>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</si>
  <si>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</si>
  <si>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</si>
  <si>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</si>
  <si>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</si>
  <si>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</si>
  <si>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</si>
  <si>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</si>
  <si>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</si>
  <si>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</si>
  <si>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</si>
  <si>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</si>
  <si>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</si>
  <si>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</si>
  <si>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</si>
  <si>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</si>
  <si>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</si>
  <si>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</si>
  <si>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</si>
  <si>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</si>
  <si>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</si>
  <si>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</si>
  <si>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</si>
  <si>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</si>
  <si>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</si>
  <si>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</si>
  <si>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</si>
  <si>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</si>
  <si>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</si>
  <si>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</si>
  <si>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</si>
  <si>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</si>
  <si>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</si>
  <si>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</si>
  <si>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</si>
  <si>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</si>
  <si>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</si>
  <si>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</si>
  <si>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</si>
  <si>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</si>
  <si>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</si>
  <si>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</si>
  <si>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</si>
  <si>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</si>
  <si>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</si>
  <si>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</si>
  <si>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</si>
  <si>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</si>
  <si>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</si>
  <si>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</si>
  <si>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</si>
  <si>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</si>
  <si>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</si>
  <si>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</si>
  <si>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</si>
  <si>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</si>
  <si>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</si>
  <si>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</si>
  <si>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</si>
  <si>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</si>
  <si>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</si>
  <si>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</si>
  <si>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</si>
  <si>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</si>
  <si>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</si>
  <si>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</si>
  <si>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</si>
  <si>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</si>
  <si>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</si>
  <si>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</si>
  <si>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</si>
  <si>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</si>
  <si>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</si>
  <si>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</si>
  <si>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</si>
  <si>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</si>
  <si>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</si>
  <si>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</si>
  <si>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</si>
  <si>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</si>
  <si>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</si>
  <si>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</si>
  <si>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</si>
  <si>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</si>
  <si>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</si>
  <si>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</si>
  <si>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</si>
  <si>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</si>
  <si>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</si>
  <si>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</si>
  <si>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</si>
  <si>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</si>
  <si>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</si>
  <si>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</si>
  <si>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</si>
  <si>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</si>
  <si>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</si>
  <si>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</si>
  <si>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</si>
  <si>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</si>
  <si>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</si>
  <si>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</si>
  <si>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</si>
  <si>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</si>
  <si>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</si>
  <si>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</si>
  <si>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</si>
  <si>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</si>
  <si>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</si>
  <si>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</si>
  <si>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</si>
  <si>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</si>
  <si>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</si>
  <si>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</si>
  <si>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</si>
  <si>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</si>
  <si>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</si>
  <si>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</si>
  <si>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</si>
  <si>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</si>
  <si>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</si>
  <si>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</si>
  <si>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</si>
  <si>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</si>
  <si>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</si>
  <si>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</si>
  <si>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</si>
  <si>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</si>
  <si>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</si>
  <si>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</si>
  <si>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</si>
  <si>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</si>
  <si>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</si>
  <si>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</si>
  <si>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</si>
  <si>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</si>
  <si>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</si>
  <si>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</si>
  <si>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</si>
  <si>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</si>
  <si>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</si>
  <si>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</si>
  <si>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</si>
  <si>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</si>
  <si>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</si>
  <si>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</si>
  <si>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</si>
  <si>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</si>
  <si>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</si>
  <si>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</si>
  <si>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</si>
  <si>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</si>
  <si>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</si>
  <si>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</si>
  <si>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</si>
  <si>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</si>
  <si>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</si>
  <si>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</si>
  <si>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</si>
  <si>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</si>
  <si>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</si>
  <si>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</si>
  <si>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</si>
  <si>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</si>
  <si>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</si>
  <si>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</si>
  <si>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</si>
  <si>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</si>
  <si>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</si>
  <si>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</si>
  <si>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</si>
  <si>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</si>
  <si>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</si>
  <si>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</si>
  <si>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</si>
  <si>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</si>
  <si>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</si>
  <si>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</si>
  <si>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</si>
  <si>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</si>
  <si>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</si>
  <si>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</si>
  <si>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</si>
  <si>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</si>
  <si>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</si>
  <si>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</si>
  <si>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</si>
  <si>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</si>
  <si>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</si>
  <si>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</si>
  <si>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</si>
  <si>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</si>
  <si>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</si>
  <si>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</si>
  <si>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</si>
  <si>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</si>
  <si>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</si>
  <si>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</si>
  <si>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</si>
  <si>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</si>
  <si>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</si>
  <si>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</si>
  <si>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</si>
  <si>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</si>
  <si>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</si>
  <si>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</si>
  <si>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</si>
  <si>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</si>
  <si>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</si>
  <si>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</si>
  <si>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</si>
  <si>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</si>
  <si>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</si>
  <si>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</si>
  <si>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</si>
  <si>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</si>
  <si>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</si>
  <si>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</si>
  <si>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</si>
  <si>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</si>
  <si>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</si>
  <si>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</si>
  <si>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</si>
  <si>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</si>
  <si>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</si>
  <si>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</si>
  <si>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</si>
  <si>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</si>
  <si>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</si>
  <si>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</si>
  <si>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</si>
  <si>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</si>
  <si>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</si>
  <si>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</si>
  <si>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</si>
  <si>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</si>
  <si>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</si>
  <si>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</si>
  <si>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</si>
  <si>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</si>
  <si>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</si>
  <si>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</si>
  <si>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</si>
  <si>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</si>
  <si>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</si>
  <si>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</si>
  <si>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</si>
  <si>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</si>
  <si>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</si>
  <si>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</si>
  <si>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</si>
  <si>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</si>
  <si>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</si>
  <si>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</si>
  <si>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</si>
  <si>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</si>
  <si>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</si>
  <si>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</si>
  <si>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</si>
  <si>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</si>
  <si>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</si>
  <si>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</si>
  <si>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</si>
  <si>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</si>
  <si>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</si>
  <si>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</si>
  <si>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</si>
  <si>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</si>
  <si>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</si>
  <si>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</si>
  <si>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</si>
  <si>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</si>
  <si>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</si>
  <si>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</si>
  <si>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</si>
  <si>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</si>
  <si>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</si>
  <si>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</si>
  <si>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</si>
  <si>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</si>
  <si>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</si>
  <si>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</si>
  <si>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</si>
  <si>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</si>
  <si>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</si>
  <si>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</si>
  <si>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</si>
  <si>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</si>
  <si>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</si>
  <si>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</si>
  <si>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</si>
  <si>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</si>
  <si>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</si>
  <si>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</si>
  <si>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</si>
  <si>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</si>
  <si>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</si>
  <si>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</si>
  <si>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</si>
  <si>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</si>
  <si>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</si>
  <si>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</si>
  <si>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</si>
  <si>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</si>
  <si>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</si>
  <si>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</si>
  <si>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</si>
  <si>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</si>
  <si>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</si>
  <si>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</si>
  <si>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</si>
  <si>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</si>
  <si>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</si>
  <si>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</si>
  <si>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</si>
  <si>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</si>
  <si>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</si>
  <si>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</si>
  <si>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</si>
  <si>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</si>
  <si>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</si>
  <si>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</si>
  <si>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</si>
  <si>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</si>
  <si>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</si>
  <si>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</si>
  <si>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</si>
  <si>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</si>
  <si>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</si>
  <si>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</si>
  <si>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</si>
  <si>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</si>
  <si>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</si>
  <si>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</si>
  <si>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</si>
  <si>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</si>
  <si>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</si>
  <si>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</si>
  <si>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</si>
  <si>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</si>
  <si>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</si>
  <si>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</si>
  <si>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</si>
  <si>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</si>
  <si>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</si>
  <si>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</si>
  <si>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</si>
  <si>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</si>
  <si>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</si>
  <si>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</si>
  <si>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</si>
  <si>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</si>
  <si>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</si>
  <si>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</si>
  <si>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</si>
  <si>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</si>
  <si>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</si>
  <si>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</si>
  <si>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</si>
  <si>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</si>
  <si>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</si>
  <si>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</si>
  <si>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</si>
  <si>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</si>
  <si>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</si>
  <si>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</si>
  <si>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</si>
  <si>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</si>
  <si>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</si>
  <si>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</si>
  <si>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</si>
  <si>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</si>
  <si>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</si>
  <si>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</si>
  <si>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</si>
  <si>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</si>
  <si>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</si>
  <si>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</si>
  <si>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</si>
  <si>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</si>
  <si>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</si>
  <si>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</si>
  <si>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</si>
  <si>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</si>
  <si>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</si>
  <si>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</si>
  <si>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</si>
  <si>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</si>
  <si>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</si>
  <si>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</si>
  <si>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</si>
  <si>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</si>
  <si>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</si>
  <si>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</si>
  <si>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</si>
  <si>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</si>
  <si>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</si>
  <si>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</si>
  <si>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</si>
  <si>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</si>
  <si>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</si>
  <si>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</si>
  <si>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</si>
  <si>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</si>
  <si>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</si>
  <si>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</si>
  <si>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</si>
  <si>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</si>
  <si>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</si>
  <si>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</si>
  <si>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</si>
  <si>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</si>
  <si>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</si>
  <si>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</si>
  <si>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</si>
  <si>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</si>
  <si>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</si>
  <si>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</si>
  <si>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</si>
  <si>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</si>
  <si>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</si>
  <si>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</si>
  <si>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</si>
  <si>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</si>
  <si>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</si>
  <si>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</si>
  <si>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</si>
  <si>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</si>
  <si>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</si>
  <si>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</si>
  <si>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</si>
  <si>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</si>
  <si>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</si>
  <si>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</si>
  <si>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</si>
  <si>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</si>
  <si>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</si>
  <si>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</si>
  <si>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</si>
  <si>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</si>
  <si>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</si>
  <si>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</si>
  <si>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</si>
  <si>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</si>
  <si>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</si>
  <si>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</si>
  <si>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</si>
  <si>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</si>
  <si>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</si>
  <si>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</si>
  <si>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</si>
  <si>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</si>
  <si>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</si>
  <si>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</si>
  <si>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</si>
  <si>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</si>
  <si>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</si>
  <si>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</si>
  <si>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</si>
  <si>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</si>
  <si>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</si>
  <si>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</si>
  <si>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</si>
  <si>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</si>
  <si>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</si>
  <si>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</si>
  <si>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</si>
  <si>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</si>
  <si>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</si>
  <si>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</si>
  <si>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</si>
  <si>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</si>
  <si>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</si>
  <si>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</si>
  <si>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</si>
  <si>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</si>
  <si>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</si>
  <si>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</si>
  <si>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</si>
  <si>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</si>
  <si>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</si>
  <si>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</si>
  <si>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</si>
  <si>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</si>
  <si>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</si>
  <si>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</si>
  <si>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</si>
  <si>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</si>
  <si>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</si>
  <si>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</si>
  <si>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</si>
  <si>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</si>
  <si>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</si>
  <si>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</si>
  <si>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</si>
  <si>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</si>
  <si>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</si>
  <si>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</si>
  <si>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</si>
  <si>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</si>
  <si>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</si>
  <si>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</si>
  <si>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</si>
  <si>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</si>
  <si>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</si>
  <si>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</si>
  <si>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</si>
  <si>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</si>
  <si>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</si>
  <si>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</si>
  <si>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</si>
  <si>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</si>
  <si>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</si>
  <si>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</si>
  <si>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</si>
  <si>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</si>
  <si>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</si>
  <si>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</si>
  <si>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</si>
  <si>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</si>
  <si>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</si>
  <si>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</si>
  <si>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</si>
  <si>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</si>
  <si>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</si>
  <si>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</si>
  <si>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</si>
  <si>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</si>
  <si>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</si>
  <si>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</si>
  <si>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</si>
  <si>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</si>
  <si>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</si>
  <si>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</si>
  <si>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</si>
  <si>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</si>
  <si>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</si>
  <si>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</si>
  <si>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</si>
  <si>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</si>
  <si>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</si>
  <si>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</si>
  <si>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</si>
  <si>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</si>
  <si>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</si>
  <si>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</si>
  <si>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</si>
  <si>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</si>
  <si>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</si>
  <si>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</si>
  <si>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</si>
  <si>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</si>
  <si>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</si>
  <si>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</si>
  <si>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</si>
  <si>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</si>
  <si>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</si>
  <si>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</si>
  <si>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</si>
  <si>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</si>
  <si>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</si>
  <si>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</si>
  <si>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</si>
  <si>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</si>
  <si>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</si>
  <si>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</si>
  <si>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</si>
  <si>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</si>
  <si>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</si>
  <si>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</si>
  <si>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</si>
  <si>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</si>
  <si>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</si>
  <si>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</si>
  <si>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</si>
  <si>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</si>
  <si>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</si>
  <si>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</si>
  <si>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</si>
  <si>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</si>
  <si>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</si>
  <si>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</si>
  <si>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</si>
  <si>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</si>
  <si>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</si>
  <si>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</si>
  <si>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</si>
  <si>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</si>
  <si>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</si>
  <si>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</si>
  <si>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</si>
  <si>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</si>
  <si>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</si>
  <si>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</si>
  <si>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</si>
  <si>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</si>
  <si>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</si>
  <si>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</si>
  <si>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</si>
  <si>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</si>
  <si>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</si>
  <si>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</si>
  <si>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</si>
  <si>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</si>
  <si>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</si>
  <si>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</si>
  <si>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</si>
  <si>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</si>
  <si>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</si>
  <si>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</si>
  <si>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</si>
  <si>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</si>
  <si>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</si>
  <si>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</si>
  <si>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</si>
  <si>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</si>
  <si>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</si>
  <si>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</si>
  <si>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</si>
  <si>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</si>
  <si>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</si>
  <si>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</si>
  <si>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</si>
  <si>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</si>
  <si>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</si>
  <si>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</si>
  <si>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</si>
  <si>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</si>
  <si>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</si>
  <si>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</si>
  <si>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</si>
  <si>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</si>
  <si>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</si>
  <si>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</si>
  <si>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</si>
  <si>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</si>
  <si>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</si>
  <si>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</si>
  <si>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</si>
  <si>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</si>
  <si>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</si>
  <si>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</si>
  <si>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</si>
  <si>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</si>
  <si>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</si>
  <si>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</si>
  <si>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</si>
  <si>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</si>
  <si>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</si>
  <si>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</si>
  <si>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</si>
  <si>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</si>
  <si>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</si>
  <si>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</si>
  <si>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</si>
  <si>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</si>
  <si>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</si>
  <si>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</si>
  <si>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</si>
  <si>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</si>
  <si>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</si>
  <si>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</si>
  <si>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</si>
  <si>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</si>
  <si>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</si>
  <si>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</si>
  <si>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</si>
  <si>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</si>
  <si>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</si>
  <si>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</si>
  <si>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</si>
  <si>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</si>
  <si>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</si>
  <si>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</si>
  <si>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</si>
  <si>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</si>
  <si>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</si>
  <si>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</si>
  <si>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</si>
  <si>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</si>
  <si>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</si>
  <si>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</si>
  <si>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</si>
  <si>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</si>
  <si>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</si>
  <si>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</si>
  <si>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</si>
  <si>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</si>
  <si>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</si>
  <si>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</si>
  <si>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</si>
  <si>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</si>
  <si>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</si>
  <si>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</si>
  <si>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</si>
  <si>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</si>
  <si>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</si>
  <si>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</si>
  <si>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</si>
  <si>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</si>
  <si>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</si>
  <si>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</si>
  <si>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</si>
  <si>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</si>
  <si>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</si>
  <si>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</si>
  <si>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</si>
  <si>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</si>
  <si>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</si>
  <si>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</si>
  <si>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</si>
  <si>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</si>
  <si>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</si>
  <si>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</si>
  <si>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</si>
  <si>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</si>
  <si>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</si>
  <si>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</si>
  <si>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</si>
  <si>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</si>
  <si>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</si>
  <si>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</si>
  <si>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</si>
  <si>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</si>
  <si>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</si>
  <si>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</si>
  <si>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</si>
  <si>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</si>
  <si>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</si>
  <si>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</si>
  <si>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</si>
  <si>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</si>
  <si>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</si>
  <si>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</si>
  <si>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</si>
  <si>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</si>
  <si>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</si>
  <si>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</si>
  <si>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</si>
  <si>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</si>
  <si>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</si>
  <si>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</si>
  <si>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</si>
  <si>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</si>
  <si>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</si>
  <si>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</si>
  <si>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</si>
  <si>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</si>
  <si>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</si>
  <si>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</si>
  <si>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</si>
  <si>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</si>
  <si>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</si>
  <si>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</si>
  <si>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</si>
  <si>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</si>
  <si>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</si>
  <si>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</si>
  <si>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</si>
  <si>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</si>
  <si>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</si>
  <si>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</si>
  <si>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</si>
  <si>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</si>
  <si>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</si>
  <si>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</si>
  <si>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</si>
  <si>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</si>
  <si>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</si>
  <si>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</si>
  <si>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</si>
  <si>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</si>
  <si>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</si>
  <si>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</si>
  <si>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</si>
  <si>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</si>
  <si>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</si>
  <si>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</si>
  <si>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</si>
  <si>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</si>
  <si>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</si>
  <si>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</si>
  <si>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</si>
  <si>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</si>
  <si>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</si>
  <si>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</si>
  <si>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</si>
  <si>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</si>
  <si>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</si>
  <si>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</si>
  <si>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</si>
  <si>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</si>
  <si>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</si>
  <si>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</si>
  <si>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</si>
  <si>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</si>
  <si>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</si>
  <si>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</si>
  <si>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</si>
  <si>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</si>
  <si>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</si>
  <si>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</si>
  <si>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</si>
  <si>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</si>
  <si>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</si>
  <si>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</si>
  <si>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</si>
  <si>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</si>
  <si>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</si>
  <si>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</si>
  <si>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</si>
  <si>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</si>
  <si>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</si>
  <si>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</si>
  <si>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</si>
  <si>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</si>
  <si>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</si>
  <si>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</si>
  <si>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</si>
  <si>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</si>
  <si>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</si>
  <si>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</si>
  <si>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</si>
  <si>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</si>
  <si>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</si>
  <si>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</si>
  <si>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</si>
  <si>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</si>
  <si>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</si>
  <si>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</si>
  <si>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</si>
  <si>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</si>
  <si>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</si>
  <si>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</si>
  <si>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</si>
  <si>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</si>
  <si>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</si>
  <si>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</si>
  <si>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</si>
  <si>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</si>
  <si>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</si>
  <si>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</si>
  <si>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</si>
  <si>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</si>
  <si>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</si>
  <si>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</si>
  <si>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</si>
  <si>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</si>
  <si>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</si>
  <si>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</si>
  <si>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</si>
  <si>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</si>
  <si>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</si>
  <si>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</si>
  <si>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</si>
  <si>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</si>
  <si>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</si>
  <si>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</si>
  <si>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</si>
  <si>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</si>
  <si>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</si>
  <si>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</si>
  <si>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</si>
  <si>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</si>
  <si>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</si>
  <si>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</si>
  <si>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</si>
  <si>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</si>
  <si>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</si>
  <si>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</si>
  <si>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</si>
  <si>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</si>
  <si>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</si>
  <si>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</si>
  <si>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</si>
  <si>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</si>
  <si>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</si>
  <si>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</si>
  <si>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</si>
  <si>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</si>
  <si>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</si>
  <si>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</si>
  <si>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</si>
  <si>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</si>
  <si>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</si>
  <si>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</si>
  <si>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</si>
  <si>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</si>
  <si>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</si>
  <si>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</si>
  <si>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</si>
  <si>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</si>
  <si>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</si>
  <si>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</si>
  <si>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</si>
  <si>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</si>
  <si>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</si>
  <si>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</si>
  <si>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</si>
  <si>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</si>
  <si>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</si>
  <si>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</si>
  <si>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</si>
  <si>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</si>
  <si>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</si>
  <si>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</si>
  <si>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</si>
  <si>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</si>
  <si>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</si>
  <si>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</si>
  <si>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</si>
  <si>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</si>
  <si>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</si>
  <si>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</si>
  <si>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</si>
  <si>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</si>
  <si>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</si>
  <si>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</si>
  <si>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</si>
  <si>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</si>
  <si>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</si>
  <si>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</si>
  <si>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</si>
  <si>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</si>
  <si>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</si>
  <si>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</si>
  <si>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</si>
  <si>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</si>
  <si>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</si>
  <si>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</si>
  <si>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</si>
  <si>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</si>
  <si>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</si>
  <si>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</si>
  <si>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</si>
  <si>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</si>
  <si>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</si>
  <si>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</si>
  <si>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</si>
  <si>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</si>
  <si>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</si>
  <si>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</si>
  <si>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</si>
  <si>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</si>
  <si>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</si>
  <si>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</si>
  <si>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</si>
  <si>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</si>
  <si>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</si>
  <si>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</si>
  <si>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</si>
  <si>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</si>
  <si>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</si>
  <si>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</si>
  <si>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</si>
  <si>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</si>
  <si>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</si>
  <si>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</si>
  <si>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</si>
  <si>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</si>
  <si>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</si>
  <si>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</si>
  <si>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</si>
  <si>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</si>
  <si>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</si>
  <si>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</si>
  <si>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</si>
  <si>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</si>
  <si>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</si>
  <si>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</si>
  <si>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</si>
  <si>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</si>
  <si>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</si>
  <si>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</si>
  <si>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</si>
  <si>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</si>
  <si>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</si>
  <si>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</si>
  <si>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</si>
  <si>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</si>
  <si>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</si>
  <si>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</si>
  <si>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</si>
  <si>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</si>
  <si>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</si>
  <si>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</si>
  <si>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</si>
  <si>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</si>
  <si>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</si>
  <si>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</si>
  <si>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</si>
  <si>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</si>
  <si>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</si>
  <si>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</si>
  <si>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</si>
  <si>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</si>
  <si>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</si>
  <si>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</si>
  <si>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</si>
  <si>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</si>
  <si>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</si>
  <si>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</si>
  <si>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</si>
  <si>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</si>
  <si>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</si>
  <si>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</si>
  <si>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</si>
  <si>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</si>
  <si>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</si>
  <si>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</si>
  <si>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</si>
  <si>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</si>
  <si>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</si>
  <si>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</si>
  <si>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</si>
  <si>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</si>
  <si>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</si>
  <si>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</si>
  <si>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</si>
  <si>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</si>
  <si>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</si>
  <si>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</si>
  <si>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</si>
  <si>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</si>
  <si>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</si>
  <si>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</si>
  <si>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</si>
  <si>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</si>
  <si>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</si>
  <si>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</si>
  <si>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</si>
  <si>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</si>
  <si>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</si>
  <si>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</si>
  <si>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</si>
  <si>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</si>
  <si>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</si>
  <si>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</si>
  <si>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</si>
  <si>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</si>
  <si>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</si>
  <si>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</si>
  <si>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</si>
  <si>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</si>
  <si>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</si>
  <si>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</si>
  <si>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</si>
  <si>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</si>
  <si>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</si>
  <si>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</si>
  <si>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</si>
  <si>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</si>
  <si>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</si>
  <si>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</si>
  <si>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</si>
  <si>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</si>
  <si>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</si>
  <si>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</si>
  <si>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</si>
  <si>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</si>
  <si>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</si>
  <si>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</si>
  <si>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</si>
  <si>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</si>
  <si>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</si>
  <si>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</si>
  <si>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</si>
  <si>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</si>
  <si>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</si>
  <si>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</si>
  <si>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</si>
  <si>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</si>
  <si>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</si>
  <si>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</si>
  <si>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</si>
  <si>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</si>
  <si>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</si>
  <si>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</si>
  <si>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</si>
  <si>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</si>
  <si>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</si>
  <si>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</si>
  <si>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</si>
  <si>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</si>
  <si>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</si>
  <si>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</si>
  <si>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</si>
  <si>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</si>
  <si>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</si>
  <si>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</si>
  <si>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</si>
  <si>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</si>
  <si>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</si>
  <si>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</si>
  <si>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</si>
  <si>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</si>
  <si>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</si>
  <si>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</si>
  <si>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</si>
  <si>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</si>
  <si>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</si>
  <si>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</si>
  <si>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</si>
  <si>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</si>
  <si>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</si>
  <si>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</si>
  <si>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</si>
  <si>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</si>
  <si>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</si>
  <si>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</si>
  <si>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</si>
  <si>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</si>
  <si>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</si>
  <si>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</si>
  <si>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</si>
  <si>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</si>
  <si>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</si>
  <si>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</si>
  <si>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</si>
  <si>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</si>
  <si>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</si>
  <si>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</si>
  <si>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</si>
  <si>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</si>
  <si>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</si>
  <si>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</si>
  <si>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</si>
  <si>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</si>
  <si>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</si>
  <si>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</si>
  <si>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</si>
  <si>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</si>
  <si>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</si>
  <si>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</si>
  <si>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</si>
  <si>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</si>
  <si>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</si>
  <si>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</si>
  <si>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</si>
  <si>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</si>
  <si>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</si>
  <si>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</si>
  <si>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</si>
  <si>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</si>
  <si>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</si>
  <si>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</si>
  <si>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</si>
  <si>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</si>
  <si>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</si>
  <si>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</si>
  <si>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</si>
  <si>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</si>
  <si>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</si>
  <si>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</si>
  <si>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</si>
  <si>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</si>
  <si>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</si>
  <si>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</si>
  <si>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</si>
  <si>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</si>
  <si>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</si>
  <si>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</si>
  <si>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</si>
  <si>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</si>
  <si>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</si>
  <si>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</si>
  <si>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</si>
  <si>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</si>
  <si>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</si>
  <si>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</si>
  <si>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</si>
  <si>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</si>
  <si>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</si>
  <si>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</si>
  <si>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</si>
  <si>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</si>
  <si>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</si>
  <si>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</si>
  <si>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</si>
  <si>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</si>
  <si>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</si>
  <si>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</si>
  <si>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</si>
  <si>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</si>
  <si>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</si>
  <si>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</si>
  <si>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</si>
  <si>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</si>
  <si>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</si>
  <si>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</si>
  <si>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</si>
  <si>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</si>
  <si>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</si>
  <si>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</si>
  <si>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</si>
  <si>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</si>
  <si>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</si>
  <si>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</si>
  <si>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</si>
  <si>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</si>
  <si>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</si>
  <si>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</si>
  <si>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</si>
  <si>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</si>
  <si>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</si>
  <si>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</si>
  <si>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</si>
  <si>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</si>
  <si>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</si>
  <si>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</si>
  <si>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</si>
  <si>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</si>
  <si>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</si>
  <si>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</si>
  <si>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</si>
  <si>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</si>
  <si>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</si>
  <si>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</si>
  <si>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</si>
  <si>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</si>
  <si>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</si>
  <si>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</si>
  <si>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</si>
  <si>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</si>
  <si>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</si>
  <si>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</si>
  <si>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</si>
  <si>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</si>
  <si>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</si>
  <si>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</si>
  <si>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</si>
  <si>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</si>
  <si>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</si>
  <si>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</si>
  <si>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</si>
  <si>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</si>
  <si>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</si>
  <si>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</si>
  <si>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</si>
  <si>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</si>
  <si>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</si>
  <si>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</si>
  <si>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</si>
  <si>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</si>
  <si>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</si>
  <si>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</si>
  <si>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</si>
  <si>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</si>
  <si>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</si>
  <si>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</si>
  <si>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</si>
  <si>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</si>
  <si>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</si>
  <si>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</si>
  <si>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</si>
  <si>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</si>
  <si>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</si>
  <si>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</si>
  <si>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</si>
  <si>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</si>
  <si>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</si>
  <si>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</si>
  <si>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</si>
  <si>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</si>
  <si>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</si>
  <si>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</si>
  <si>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</si>
  <si>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</si>
  <si>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</si>
  <si>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</si>
  <si>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</si>
  <si>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</si>
  <si>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</si>
  <si>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</si>
  <si>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</si>
  <si>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</si>
  <si>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</si>
  <si>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</si>
  <si>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</si>
  <si>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</si>
  <si>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</si>
  <si>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</si>
  <si>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</si>
  <si>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</si>
  <si>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</si>
  <si>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</si>
  <si>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</si>
  <si>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</si>
  <si>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</si>
  <si>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</si>
  <si>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</si>
  <si>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</si>
  <si>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</si>
  <si>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</si>
  <si>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</si>
  <si>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</si>
  <si>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</si>
  <si>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</si>
  <si>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</si>
  <si>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</si>
  <si>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</si>
  <si>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</si>
  <si>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</si>
  <si>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</si>
  <si>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</si>
  <si>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</si>
  <si>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</si>
  <si>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</si>
  <si>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</si>
  <si>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</si>
  <si>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</si>
  <si>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</si>
  <si>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</si>
  <si>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</si>
  <si>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</si>
  <si>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</si>
  <si>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</si>
  <si>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</si>
  <si>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</si>
  <si>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</si>
  <si>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</si>
  <si>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</si>
  <si>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</si>
  <si>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</si>
  <si>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</si>
  <si>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</si>
  <si>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</si>
  <si>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</si>
  <si>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</si>
  <si>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</si>
  <si>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</si>
  <si>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</si>
  <si>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</si>
  <si>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</si>
  <si>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</si>
  <si>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</si>
  <si>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</si>
  <si>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</si>
  <si>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</si>
  <si>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</si>
  <si>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</si>
  <si>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</si>
  <si>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</si>
  <si>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</si>
  <si>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</si>
  <si>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</si>
  <si>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</si>
  <si>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</si>
  <si>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</si>
  <si>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</si>
  <si>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</si>
  <si>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</si>
  <si>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</si>
  <si>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</si>
  <si>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</si>
  <si>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</si>
  <si>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</si>
  <si>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</si>
  <si>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</si>
  <si>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</si>
  <si>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</si>
  <si>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</si>
  <si>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</si>
  <si>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</si>
  <si>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</si>
  <si>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</si>
  <si>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</si>
  <si>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</si>
  <si>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</si>
  <si>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</si>
  <si>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</si>
  <si>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</si>
  <si>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</si>
  <si>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</si>
  <si>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</si>
  <si>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</si>
  <si>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</si>
  <si>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</si>
  <si>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</si>
  <si>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</si>
  <si>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</si>
  <si>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</si>
  <si>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</si>
  <si>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</si>
  <si>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</si>
  <si>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</si>
  <si>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</si>
  <si>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</si>
  <si>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</si>
  <si>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</si>
  <si>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</si>
  <si>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</si>
  <si>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</si>
  <si>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</si>
  <si>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</si>
  <si>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</si>
  <si>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</si>
  <si>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</si>
  <si>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</si>
  <si>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</si>
  <si>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</si>
  <si>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</si>
  <si>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</si>
  <si>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</si>
  <si>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</si>
  <si>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</si>
  <si>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</si>
  <si>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</si>
  <si>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</si>
  <si>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</si>
  <si>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</si>
  <si>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</si>
  <si>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</si>
  <si>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</si>
  <si>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</si>
  <si>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</si>
  <si>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</si>
  <si>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</si>
  <si>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</si>
  <si>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</si>
  <si>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</si>
  <si>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</si>
  <si>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</si>
  <si>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</si>
  <si>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</si>
  <si>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</si>
  <si>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</si>
  <si>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</si>
  <si>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</si>
  <si>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</si>
  <si>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</si>
  <si>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</si>
  <si>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</si>
  <si>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</si>
  <si>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</si>
  <si>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</si>
  <si>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</si>
  <si>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</si>
  <si>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</si>
  <si>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</si>
  <si>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</si>
  <si>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</si>
  <si>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</si>
  <si>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</si>
  <si>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</si>
  <si>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</si>
  <si>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</si>
  <si>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</si>
  <si>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</si>
  <si>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</si>
  <si>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</si>
  <si>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</si>
  <si>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</si>
  <si>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</si>
  <si>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</si>
  <si>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</si>
  <si>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</si>
  <si>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</si>
  <si>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</si>
  <si>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</si>
  <si>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</si>
  <si>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</si>
  <si>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</si>
  <si>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</si>
  <si>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</si>
  <si>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</si>
  <si>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</si>
  <si>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</si>
  <si>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</si>
  <si>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</si>
  <si>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</si>
  <si>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</si>
  <si>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</si>
  <si>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</si>
  <si>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</si>
  <si>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</si>
  <si>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</si>
  <si>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</si>
  <si>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</si>
  <si>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</si>
  <si>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</si>
  <si>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</si>
  <si>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</si>
  <si>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</si>
  <si>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</si>
  <si>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</si>
  <si>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</si>
  <si>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</si>
  <si>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</si>
  <si>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</si>
  <si>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</si>
  <si>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</si>
  <si>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</si>
  <si>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</si>
  <si>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</si>
  <si>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</si>
  <si>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</si>
  <si>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</si>
  <si>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</si>
  <si>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</si>
  <si>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</si>
  <si>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</si>
  <si>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</si>
  <si>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</si>
  <si>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</si>
  <si>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</si>
  <si>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</si>
  <si>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</si>
  <si>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</si>
  <si>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</si>
  <si>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</si>
  <si>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</si>
  <si>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</si>
  <si>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</si>
  <si>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</si>
  <si>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</si>
  <si>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</si>
  <si>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</si>
  <si>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</si>
  <si>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</si>
  <si>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</si>
  <si>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</si>
  <si>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</si>
  <si>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</si>
  <si>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</si>
  <si>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</si>
  <si>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</si>
  <si>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</si>
  <si>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</si>
  <si>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</si>
  <si>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</si>
  <si>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</si>
  <si>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</si>
  <si>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</si>
  <si>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</si>
  <si>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</si>
  <si>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</si>
  <si>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</si>
  <si>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</si>
  <si>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</si>
  <si>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</si>
  <si>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</si>
  <si>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</si>
  <si>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</si>
  <si>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</si>
  <si>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</si>
  <si>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</si>
  <si>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</si>
  <si>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</si>
  <si>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</si>
  <si>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</si>
  <si>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</si>
  <si>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</si>
  <si>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</si>
  <si>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</si>
  <si>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</si>
  <si>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</si>
  <si>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</si>
  <si>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</si>
  <si>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</si>
  <si>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</si>
  <si>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</si>
  <si>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</si>
  <si>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</si>
  <si>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</si>
  <si>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</si>
  <si>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</si>
  <si>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</si>
  <si>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</si>
  <si>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</si>
  <si>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</si>
  <si>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</si>
  <si>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</si>
  <si>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</si>
  <si>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</si>
  <si>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</si>
  <si>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</si>
  <si>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</si>
  <si>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</si>
  <si>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</si>
  <si>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</si>
  <si>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</si>
  <si>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</si>
  <si>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</si>
  <si>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</si>
  <si>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</si>
  <si>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</si>
  <si>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</si>
  <si>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</si>
  <si>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</si>
  <si>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</si>
  <si>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</si>
  <si>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</si>
  <si>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</si>
  <si>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</si>
  <si>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</si>
  <si>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</si>
  <si>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</si>
  <si>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</si>
  <si>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</si>
  <si>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</si>
  <si>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</si>
  <si>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</si>
  <si>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</si>
  <si>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</si>
  <si>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</si>
  <si>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</si>
  <si>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</si>
  <si>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</si>
  <si>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</si>
  <si>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</si>
  <si>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</si>
  <si>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</si>
  <si>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</si>
  <si>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</si>
  <si>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</si>
  <si>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</si>
  <si>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</si>
  <si>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</si>
  <si>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</si>
  <si>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</si>
  <si>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</si>
  <si>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</si>
  <si>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</si>
  <si>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</si>
  <si>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</si>
  <si>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</si>
  <si>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</si>
  <si>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</si>
  <si>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</si>
  <si>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</si>
  <si>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</si>
  <si>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</si>
  <si>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</si>
  <si>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</si>
  <si>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</si>
  <si>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</si>
  <si>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</si>
  <si>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</si>
  <si>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</si>
  <si>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</si>
  <si>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</si>
  <si>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</si>
  <si>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</si>
  <si>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</si>
  <si>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</si>
  <si>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</si>
  <si>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</si>
  <si>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</si>
  <si>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</si>
  <si>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</si>
  <si>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</si>
  <si>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</si>
  <si>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</si>
  <si>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</si>
  <si>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</si>
  <si>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</si>
  <si>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</si>
  <si>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</si>
  <si>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</si>
  <si>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</si>
  <si>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</si>
  <si>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</si>
  <si>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</si>
  <si>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</si>
  <si>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</si>
  <si>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</si>
  <si>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</si>
  <si>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</si>
  <si>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</si>
  <si>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</si>
  <si>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</si>
  <si>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</si>
  <si>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</si>
  <si>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</si>
  <si>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</si>
  <si>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</si>
  <si>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</si>
  <si>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</si>
  <si>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</si>
  <si>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</si>
  <si>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</si>
  <si>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</si>
  <si>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</si>
  <si>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</si>
  <si>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</si>
  <si>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</si>
  <si>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</si>
  <si>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</si>
  <si>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</si>
  <si>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</si>
  <si>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</si>
  <si>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</si>
  <si>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</si>
  <si>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</si>
  <si>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</si>
  <si>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</si>
  <si>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</si>
  <si>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</si>
  <si>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</si>
  <si>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</si>
  <si>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</si>
  <si>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</si>
  <si>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</si>
  <si>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</si>
  <si>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</si>
  <si>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</si>
  <si>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</si>
  <si>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</si>
  <si>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</si>
  <si>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</si>
  <si>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</si>
  <si>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</si>
  <si>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</si>
  <si>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</si>
  <si>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</si>
  <si>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</si>
  <si>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</si>
  <si>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</si>
  <si>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</si>
  <si>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</si>
  <si>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</si>
  <si>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</si>
  <si>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</si>
  <si>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</si>
  <si>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</si>
  <si>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</si>
  <si>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</si>
  <si>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</si>
  <si>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</si>
  <si>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</si>
  <si>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</si>
  <si>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</si>
  <si>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</si>
  <si>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</si>
  <si>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</si>
  <si>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</si>
  <si>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</si>
  <si>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</si>
  <si>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</si>
  <si>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</si>
  <si>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</si>
  <si>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</si>
  <si>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</si>
  <si>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</si>
  <si>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</si>
  <si>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</si>
  <si>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</si>
  <si>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</si>
  <si>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</si>
  <si>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</si>
  <si>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</si>
  <si>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</si>
  <si>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</si>
  <si>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</si>
  <si>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</si>
  <si>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</si>
  <si>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</si>
  <si>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</si>
  <si>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</si>
  <si>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</si>
  <si>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</si>
  <si>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</si>
  <si>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</si>
  <si>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</si>
  <si>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</si>
  <si>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</si>
  <si>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</si>
  <si>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</si>
  <si>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</si>
  <si>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</si>
  <si>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</si>
  <si>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</si>
  <si>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</si>
  <si>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</si>
  <si>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</si>
  <si>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</si>
  <si>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</si>
  <si>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</si>
  <si>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</si>
  <si>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</si>
  <si>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</si>
  <si>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</si>
  <si>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</si>
  <si>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</si>
  <si>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</si>
  <si>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</si>
  <si>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</si>
  <si>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</si>
  <si>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</si>
  <si>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</si>
  <si>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</si>
  <si>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</si>
  <si>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</si>
  <si>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</si>
  <si>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</si>
  <si>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</si>
  <si>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</si>
  <si>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</si>
  <si>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</si>
  <si>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</si>
  <si>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</si>
  <si>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</si>
  <si>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</si>
  <si>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</si>
  <si>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</si>
  <si>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</si>
  <si>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</si>
  <si>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</si>
  <si>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</si>
  <si>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</si>
  <si>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</si>
  <si>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</si>
  <si>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</si>
  <si>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</si>
  <si>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</si>
  <si>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</si>
  <si>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</si>
  <si>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</si>
  <si>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</si>
  <si>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</si>
  <si>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</si>
  <si>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</si>
  <si>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</si>
  <si>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</si>
  <si>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</si>
  <si>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</si>
  <si>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</si>
  <si>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</si>
  <si>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</si>
  <si>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</si>
  <si>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</si>
  <si>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</si>
  <si>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</si>
  <si>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</si>
  <si>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</si>
  <si>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</si>
  <si>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</si>
  <si>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</si>
  <si>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</si>
  <si>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</si>
  <si>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</si>
  <si>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</si>
  <si>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</si>
  <si>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</si>
  <si>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</si>
  <si>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</si>
  <si>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</si>
  <si>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</si>
  <si>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</si>
  <si>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</si>
  <si>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</si>
  <si>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</si>
  <si>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</si>
  <si>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</si>
  <si>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</si>
  <si>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</si>
  <si>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</si>
  <si>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</si>
  <si>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</si>
  <si>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</si>
  <si>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</si>
  <si>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</si>
  <si>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</si>
  <si>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</si>
  <si>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</si>
  <si>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</si>
  <si>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</si>
  <si>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</si>
  <si>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</si>
  <si>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</si>
  <si>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</si>
  <si>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</si>
  <si>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</si>
  <si>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</si>
  <si>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</si>
  <si>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</si>
  <si>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</si>
  <si>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</si>
  <si>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</si>
  <si>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</si>
  <si>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</si>
  <si>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</si>
  <si>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</si>
  <si>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</si>
  <si>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</si>
  <si>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</si>
  <si>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</si>
  <si>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</si>
  <si>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</si>
  <si>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</si>
  <si>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</si>
  <si>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</si>
  <si>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</si>
  <si>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</si>
  <si>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</si>
  <si>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</si>
  <si>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</si>
  <si>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</si>
  <si>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</si>
  <si>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</si>
  <si>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</si>
  <si>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</si>
  <si>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</si>
  <si>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</si>
  <si>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</si>
  <si>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</si>
  <si>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</si>
  <si>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</si>
  <si>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</si>
  <si>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</si>
  <si>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</si>
  <si>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</si>
  <si>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</si>
  <si>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</si>
  <si>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</si>
  <si>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</si>
  <si>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</si>
  <si>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</si>
  <si>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</si>
  <si>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</si>
  <si>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</si>
  <si>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</si>
  <si>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</si>
  <si>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</si>
  <si>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</si>
  <si>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</si>
  <si>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</si>
  <si>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</si>
  <si>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</si>
  <si>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</si>
  <si>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</si>
  <si>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</si>
  <si>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</si>
  <si>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</si>
  <si>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</si>
  <si>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</si>
  <si>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</si>
  <si>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</si>
  <si>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</si>
  <si>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</si>
  <si>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</si>
  <si>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</si>
  <si>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</si>
  <si>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</si>
  <si>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</si>
  <si>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</si>
  <si>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</si>
  <si>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</si>
  <si>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</si>
  <si>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</si>
  <si>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</si>
  <si>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</si>
  <si>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</si>
  <si>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</si>
  <si>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</si>
  <si>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</si>
  <si>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</si>
  <si>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</si>
  <si>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</si>
  <si>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</si>
  <si>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</si>
  <si>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</si>
  <si>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</si>
  <si>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</si>
  <si>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</si>
  <si>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</si>
  <si>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</si>
  <si>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</si>
  <si>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</si>
  <si>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</si>
  <si>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</si>
  <si>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</si>
  <si>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</si>
  <si>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</si>
  <si>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</si>
  <si>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</si>
  <si>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</si>
  <si>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</si>
  <si>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</si>
  <si>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</si>
  <si>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</si>
  <si>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</si>
  <si>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</si>
  <si>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</si>
  <si>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</si>
  <si>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</si>
  <si>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</si>
  <si>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</si>
  <si>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</si>
  <si>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</si>
  <si>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</si>
  <si>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</si>
  <si>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</si>
  <si>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</si>
  <si>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</si>
  <si>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</si>
  <si>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</si>
  <si>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</si>
  <si>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</si>
  <si>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</si>
  <si>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</si>
  <si>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</si>
  <si>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</si>
  <si>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</si>
  <si>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</si>
  <si>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</si>
  <si>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</si>
  <si>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</si>
  <si>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</si>
  <si>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</si>
  <si>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</si>
  <si>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</si>
  <si>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</si>
  <si>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</si>
  <si>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</si>
  <si>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</si>
  <si>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</si>
  <si>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</si>
  <si>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</si>
  <si>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</si>
  <si>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</si>
  <si>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</si>
  <si>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</si>
  <si>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</si>
  <si>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</si>
  <si>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</si>
  <si>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</si>
  <si>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</si>
  <si>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</si>
  <si>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</si>
  <si>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</si>
  <si>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</si>
  <si>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</si>
  <si>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</si>
  <si>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</si>
  <si>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</si>
  <si>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</si>
  <si>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</si>
  <si>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</si>
  <si>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</si>
  <si>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</si>
  <si>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</si>
  <si>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</si>
  <si>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</si>
  <si>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</si>
  <si>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</si>
  <si>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</si>
  <si>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</si>
  <si>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</si>
  <si>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</si>
  <si>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</si>
  <si>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</si>
  <si>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</si>
  <si>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</si>
  <si>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</si>
  <si>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</si>
  <si>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</si>
  <si>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</si>
  <si>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</si>
  <si>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</si>
  <si>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</si>
  <si>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</si>
  <si>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</si>
  <si>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</si>
  <si>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</si>
  <si>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</si>
  <si>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</si>
  <si>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</si>
  <si>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</si>
  <si>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</si>
  <si>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</si>
  <si>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</si>
  <si>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</si>
  <si>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</si>
  <si>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</si>
  <si>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</si>
  <si>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</si>
  <si>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</si>
  <si>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</si>
  <si>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</si>
  <si>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</si>
  <si>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</si>
  <si>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</si>
  <si>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</si>
  <si>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</si>
  <si>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</si>
  <si>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</si>
  <si>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</si>
  <si>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</si>
  <si>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</si>
  <si>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</si>
  <si>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</si>
  <si>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</si>
  <si>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</si>
  <si>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</si>
  <si>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</si>
  <si>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</si>
  <si>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</si>
  <si>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</si>
  <si>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</si>
  <si>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</si>
  <si>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</si>
  <si>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</si>
  <si>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</si>
  <si>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</si>
  <si>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</si>
  <si>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</si>
  <si>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</si>
  <si>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</si>
  <si>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</si>
  <si>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</si>
  <si>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</si>
  <si>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</si>
  <si>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</si>
  <si>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</si>
  <si>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</si>
  <si>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</si>
  <si>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</si>
  <si>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</si>
  <si>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</si>
  <si>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</si>
  <si>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</si>
  <si>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</si>
  <si>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</si>
  <si>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</si>
  <si>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</si>
  <si>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</si>
  <si>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</si>
  <si>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</si>
  <si>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</si>
  <si>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</si>
  <si>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</si>
  <si>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</si>
  <si>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</si>
  <si>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</si>
  <si>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</si>
  <si>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</si>
  <si>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</si>
  <si>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</si>
  <si>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</si>
  <si>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</si>
  <si>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</si>
  <si>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</si>
  <si>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</si>
  <si>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</si>
  <si>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</si>
  <si>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</si>
  <si>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</si>
  <si>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</si>
  <si>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</si>
  <si>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</si>
  <si>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</si>
  <si>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</si>
  <si>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</si>
  <si>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</si>
  <si>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</si>
  <si>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</si>
  <si>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</si>
  <si>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</si>
  <si>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</si>
  <si>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</si>
  <si>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</si>
  <si>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</si>
  <si>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</si>
  <si>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</si>
  <si>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</si>
  <si>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</si>
  <si>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</si>
  <si>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</si>
  <si>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</si>
  <si>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</si>
  <si>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</si>
  <si>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</si>
  <si>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</si>
  <si>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</si>
  <si>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</si>
  <si>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</si>
  <si>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</si>
  <si>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</si>
  <si>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</si>
  <si>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</si>
  <si>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</si>
  <si>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</si>
  <si>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</si>
  <si>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</si>
  <si>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</si>
  <si>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</si>
  <si>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</si>
  <si>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</si>
  <si>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</si>
  <si>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</si>
  <si>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</si>
  <si>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</si>
  <si>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</si>
  <si>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</si>
  <si>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</si>
  <si>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</si>
  <si>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</si>
  <si>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</si>
  <si>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</si>
  <si>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</si>
  <si>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</si>
  <si>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</si>
  <si>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</si>
  <si>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</si>
  <si>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</si>
  <si>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</si>
  <si>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</si>
  <si>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</si>
  <si>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</si>
  <si>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</si>
  <si>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</si>
  <si>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</si>
  <si>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</si>
  <si>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</si>
  <si>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</si>
  <si>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</si>
  <si>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</si>
  <si>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</si>
  <si>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</si>
  <si>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</si>
  <si>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</si>
  <si>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</si>
  <si>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</si>
  <si>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</si>
  <si>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</si>
  <si>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</si>
  <si>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</si>
  <si>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</si>
  <si>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</si>
  <si>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</si>
  <si>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</si>
  <si>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</si>
  <si>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</si>
  <si>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</si>
  <si>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</si>
  <si>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</si>
  <si>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</si>
  <si>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</si>
  <si>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</si>
  <si>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</si>
  <si>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</si>
  <si>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</si>
  <si>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</si>
  <si>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</si>
  <si>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</si>
  <si>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</si>
  <si>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</si>
  <si>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</si>
  <si>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</si>
  <si>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</si>
  <si>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</si>
  <si>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</si>
  <si>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</si>
  <si>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</si>
  <si>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</si>
  <si>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</si>
  <si>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</si>
  <si>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</si>
  <si>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</si>
  <si>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</si>
  <si>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</si>
  <si>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</si>
  <si>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</si>
  <si>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</si>
  <si>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</si>
  <si>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</si>
  <si>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</si>
  <si>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</si>
  <si>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</si>
  <si>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</si>
  <si>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</si>
  <si>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</si>
  <si>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</si>
  <si>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</si>
  <si>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</si>
  <si>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</si>
  <si>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</si>
  <si>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</si>
  <si>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</si>
  <si>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</si>
  <si>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</si>
  <si>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</si>
  <si>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</si>
  <si>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</si>
  <si>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</si>
  <si>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</si>
  <si>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</si>
  <si>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</si>
  <si>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</si>
  <si>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</si>
  <si>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</si>
  <si>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</si>
  <si>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</si>
  <si>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</si>
  <si>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</si>
  <si>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</si>
  <si>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</si>
  <si>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</si>
  <si>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</si>
  <si>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</si>
  <si>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</si>
  <si>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</si>
  <si>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</si>
  <si>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</si>
  <si>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</si>
  <si>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</si>
  <si>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</si>
  <si>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</si>
  <si>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</si>
  <si>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</si>
  <si>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</si>
  <si>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</si>
  <si>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</si>
  <si>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</si>
  <si>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</si>
  <si>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</si>
  <si>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</si>
  <si>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</si>
  <si>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</si>
  <si>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</si>
  <si>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</si>
  <si>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</si>
  <si>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</si>
  <si>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</si>
  <si>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</si>
  <si>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</si>
  <si>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</si>
  <si>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</si>
  <si>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</si>
  <si>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</si>
  <si>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</si>
  <si>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</si>
  <si>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</si>
  <si>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</si>
  <si>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</si>
  <si>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</si>
  <si>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</si>
  <si>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</si>
  <si>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</si>
  <si>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</si>
  <si>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</si>
  <si>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</si>
  <si>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</si>
  <si>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</si>
  <si>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</si>
  <si>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</si>
  <si>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</si>
  <si>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</si>
  <si>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</si>
  <si>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</si>
  <si>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</si>
  <si>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</si>
  <si>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</si>
  <si>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</si>
  <si>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</si>
  <si>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</si>
  <si>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</si>
  <si>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</si>
  <si>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</si>
  <si>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</si>
  <si>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</si>
  <si>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</si>
  <si>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</si>
  <si>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</si>
  <si>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</si>
  <si>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</si>
  <si>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</si>
  <si>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</si>
  <si>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</si>
  <si>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</si>
  <si>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</si>
  <si>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</si>
  <si>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</si>
  <si>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</si>
  <si>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</si>
  <si>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</si>
  <si>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</si>
  <si>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</si>
  <si>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</si>
  <si>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</si>
  <si>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</si>
  <si>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</si>
  <si>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</si>
  <si>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</si>
  <si>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</si>
  <si>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</si>
  <si>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</si>
  <si>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</si>
  <si>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</si>
  <si>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</si>
  <si>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</si>
  <si>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</si>
  <si>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</si>
  <si>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</si>
  <si>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</si>
  <si>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</si>
  <si>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</si>
  <si>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</si>
  <si>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</si>
  <si>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</si>
  <si>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</si>
  <si>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</si>
  <si>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</si>
  <si>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</si>
  <si>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</si>
  <si>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</si>
  <si>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</si>
  <si>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</si>
  <si>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</si>
  <si>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</si>
  <si>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</si>
  <si>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</si>
  <si>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</si>
  <si>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</si>
  <si>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</si>
  <si>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</si>
  <si>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</si>
  <si>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</si>
  <si>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</si>
  <si>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</si>
  <si>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</si>
  <si>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</si>
  <si>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</si>
  <si>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</si>
  <si>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</si>
  <si>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</si>
  <si>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</si>
  <si>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</si>
  <si>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</si>
  <si>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</si>
  <si>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</si>
  <si>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</si>
  <si>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</si>
  <si>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</si>
  <si>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</si>
  <si>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</si>
  <si>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</si>
  <si>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</si>
  <si>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</si>
  <si>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</si>
  <si>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</si>
  <si>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</si>
  <si>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</si>
  <si>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</si>
  <si>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</si>
  <si>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</si>
  <si>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</si>
  <si>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</si>
  <si>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</si>
  <si>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</si>
  <si>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</si>
  <si>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</si>
  <si>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</si>
  <si>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</si>
  <si>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</si>
  <si>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</si>
  <si>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</si>
  <si>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</si>
  <si>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</si>
  <si>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</si>
  <si>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</si>
  <si>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</si>
  <si>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</si>
  <si>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</si>
  <si>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</si>
  <si>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</si>
  <si>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</si>
  <si>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</si>
  <si>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</si>
  <si>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</si>
  <si>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</si>
  <si>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</si>
  <si>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</si>
  <si>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</si>
  <si>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</si>
  <si>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</si>
  <si>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</si>
  <si>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</si>
  <si>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</si>
  <si>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</si>
  <si>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</si>
  <si>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</si>
  <si>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</si>
  <si>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</si>
  <si>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</si>
  <si>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</si>
  <si>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</si>
  <si>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</si>
  <si>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</si>
  <si>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</si>
  <si>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</si>
  <si>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</si>
  <si>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</si>
  <si>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</si>
  <si>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</si>
  <si>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</si>
  <si>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</si>
  <si>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</si>
  <si>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</si>
  <si>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</si>
  <si>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</si>
  <si>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</si>
  <si>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</si>
  <si>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</si>
  <si>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</si>
  <si>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</si>
  <si>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</si>
  <si>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</si>
  <si>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</si>
  <si>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</si>
  <si>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</si>
  <si>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</si>
  <si>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</si>
  <si>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</si>
  <si>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</si>
  <si>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</si>
  <si>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</si>
  <si>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</si>
  <si>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</si>
  <si>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</si>
  <si>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</si>
  <si>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</si>
  <si>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</si>
  <si>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</si>
  <si>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</si>
  <si>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</si>
  <si>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</si>
  <si>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</si>
  <si>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</si>
  <si>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</si>
  <si>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</si>
  <si>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</si>
  <si>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</si>
  <si>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</si>
  <si>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</si>
  <si>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</si>
  <si>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</si>
  <si>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</si>
  <si>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</si>
  <si>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</si>
  <si>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</si>
  <si>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</si>
  <si>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</si>
  <si>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</si>
  <si>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</si>
  <si>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</si>
  <si>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</si>
  <si>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</si>
  <si>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</si>
  <si>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</si>
  <si>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</si>
  <si>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</si>
  <si>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</si>
  <si>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</si>
  <si>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</si>
  <si>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</si>
  <si>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</si>
  <si>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</si>
  <si>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</si>
  <si>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</si>
  <si>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</si>
  <si>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</si>
  <si>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</si>
  <si>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</si>
  <si>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</si>
  <si>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</si>
  <si>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</si>
  <si>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</si>
  <si>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</si>
  <si>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</si>
  <si>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</si>
  <si>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</si>
  <si>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</si>
  <si>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</si>
  <si>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</si>
  <si>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</si>
  <si>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</si>
  <si>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</si>
  <si>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</si>
  <si>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</si>
  <si>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</si>
  <si>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</si>
  <si>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</si>
  <si>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</si>
  <si>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</si>
  <si>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</si>
  <si>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</si>
  <si>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</si>
  <si>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</si>
  <si>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</si>
  <si>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</si>
  <si>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</si>
  <si>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</si>
  <si>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</si>
  <si>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</si>
  <si>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</si>
  <si>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</si>
  <si>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</si>
  <si>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</si>
  <si>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</si>
  <si>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</si>
  <si>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</si>
  <si>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</si>
  <si>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</si>
  <si>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</si>
  <si>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</si>
  <si>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</si>
  <si>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</si>
  <si>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</si>
  <si>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</si>
  <si>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</si>
  <si>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</si>
  <si>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</si>
  <si>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</si>
  <si>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</si>
  <si>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</si>
  <si>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</si>
  <si>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</si>
  <si>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</si>
  <si>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</si>
  <si>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</si>
  <si>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</si>
  <si>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</si>
  <si>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</si>
  <si>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</si>
  <si>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</si>
  <si>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</si>
  <si>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</si>
  <si>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</si>
  <si>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</si>
  <si>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</si>
  <si>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</si>
  <si>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</si>
  <si>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</si>
  <si>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</si>
  <si>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</si>
  <si>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</si>
  <si>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</si>
  <si>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</si>
  <si>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</si>
  <si>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</si>
  <si>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</si>
  <si>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</si>
  <si>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</si>
  <si>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</si>
  <si>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</si>
  <si>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</si>
  <si>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</si>
  <si>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</si>
  <si>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</si>
  <si>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</si>
  <si>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</si>
  <si>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</si>
  <si>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</si>
  <si>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</si>
  <si>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</si>
  <si>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</si>
  <si>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</si>
  <si>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</si>
  <si>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</si>
  <si>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</si>
  <si>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</si>
  <si>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</si>
  <si>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</si>
  <si>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</si>
  <si>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</si>
  <si>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</si>
  <si>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</si>
  <si>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</si>
  <si>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</si>
  <si>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</si>
  <si>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</si>
  <si>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</si>
  <si>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</si>
  <si>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</si>
  <si>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</si>
  <si>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</si>
  <si>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</si>
  <si>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</si>
  <si>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</si>
  <si>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</si>
  <si>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</si>
  <si>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</si>
  <si>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</si>
  <si>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</si>
  <si>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</si>
  <si>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</si>
  <si>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</si>
  <si>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</si>
  <si>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</si>
  <si>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</si>
  <si>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</si>
  <si>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</si>
  <si>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</si>
  <si>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</si>
  <si>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</si>
  <si>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</si>
  <si>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</si>
  <si>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</si>
  <si>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</si>
  <si>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</si>
  <si>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</si>
  <si>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</si>
  <si>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</si>
  <si>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</si>
  <si>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</si>
  <si>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</si>
  <si>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</si>
  <si>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</si>
  <si>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</si>
  <si>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</si>
  <si>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</si>
  <si>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</si>
  <si>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</si>
  <si>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</si>
  <si>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</si>
  <si>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</si>
  <si>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</si>
  <si>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</si>
  <si>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</si>
  <si>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</si>
  <si>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</si>
  <si>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</si>
  <si>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</si>
  <si>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</si>
  <si>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</si>
  <si>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</si>
  <si>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</si>
  <si>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</si>
  <si>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</si>
  <si>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</si>
  <si>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</si>
  <si>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</si>
  <si>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</si>
  <si>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</si>
  <si>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</si>
  <si>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</si>
  <si>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</si>
  <si>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</si>
  <si>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</si>
  <si>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</si>
  <si>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</si>
  <si>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</si>
  <si>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</si>
  <si>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</si>
  <si>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</si>
  <si>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</si>
  <si>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</si>
  <si>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</si>
  <si>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</si>
  <si>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</si>
  <si>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</si>
  <si>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</si>
  <si>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</si>
  <si>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</si>
  <si>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</si>
  <si>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</si>
  <si>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</si>
  <si>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</si>
  <si>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</si>
  <si>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</si>
  <si>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</si>
  <si>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</si>
  <si>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</si>
  <si>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</si>
  <si>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</si>
  <si>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</si>
  <si>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</si>
  <si>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</si>
  <si>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</si>
  <si>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</si>
  <si>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</si>
  <si>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</si>
  <si>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</si>
  <si>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</si>
  <si>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</si>
  <si>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</si>
  <si>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</si>
  <si>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</si>
  <si>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</si>
  <si>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</si>
  <si>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</si>
  <si>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</si>
  <si>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</si>
  <si>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</si>
  <si>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</si>
  <si>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</si>
  <si>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</si>
  <si>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</si>
  <si>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</si>
  <si>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</si>
  <si>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</si>
  <si>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</si>
  <si>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</si>
  <si>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</si>
  <si>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</si>
  <si>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</si>
  <si>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</si>
  <si>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</si>
  <si>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</si>
  <si>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</si>
  <si>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</si>
  <si>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</si>
  <si>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</si>
  <si>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</si>
  <si>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</si>
  <si>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</si>
  <si>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</si>
  <si>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</si>
  <si>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</si>
  <si>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</si>
  <si>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</si>
  <si>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</si>
  <si>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</si>
  <si>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</si>
  <si>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</si>
  <si>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</si>
  <si>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</si>
  <si>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</si>
  <si>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</si>
  <si>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</si>
  <si>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</si>
  <si>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</si>
  <si>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</si>
  <si>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</si>
  <si>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</si>
  <si>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</si>
  <si>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</si>
  <si>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</si>
  <si>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</si>
  <si>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</si>
  <si>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</si>
  <si>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</si>
  <si>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</si>
  <si>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</si>
  <si>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</si>
  <si>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</si>
  <si>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</si>
  <si>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</si>
  <si>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</si>
  <si>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</si>
  <si>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</si>
  <si>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</si>
  <si>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</si>
  <si>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</si>
  <si>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</si>
  <si>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</si>
  <si>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</si>
  <si>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</si>
  <si>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</si>
  <si>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</si>
  <si>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</si>
  <si>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</si>
  <si>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</si>
  <si>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</si>
  <si>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</si>
  <si>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</si>
  <si>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</si>
  <si>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</si>
  <si>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</si>
  <si>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</si>
  <si>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</si>
  <si>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</si>
  <si>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</si>
  <si>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</si>
  <si>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</si>
  <si>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</si>
  <si>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</si>
  <si>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</si>
  <si>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</si>
  <si>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</si>
  <si>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</si>
  <si>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</si>
  <si>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</si>
  <si>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</si>
  <si>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</si>
  <si>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</si>
  <si>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</si>
  <si>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</si>
  <si>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</si>
  <si>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</si>
  <si>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</si>
  <si>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</si>
  <si>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</si>
  <si>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</si>
  <si>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</si>
  <si>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</si>
  <si>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</si>
  <si>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</si>
  <si>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</si>
  <si>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</si>
  <si>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</si>
  <si>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</si>
  <si>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</si>
  <si>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</si>
  <si>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</si>
  <si>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</si>
  <si>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</si>
  <si>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</si>
  <si>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</si>
  <si>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</si>
  <si>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</si>
  <si>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</si>
  <si>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</si>
  <si>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</si>
  <si>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</si>
  <si>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</si>
  <si>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</si>
  <si>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</si>
  <si>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</si>
  <si>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</si>
  <si>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</si>
  <si>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</si>
  <si>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</si>
  <si>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</si>
  <si>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</si>
  <si>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</si>
  <si>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</si>
  <si>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</si>
  <si>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</si>
  <si>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</si>
  <si>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</si>
  <si>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</si>
  <si>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</si>
  <si>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</si>
  <si>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</si>
  <si>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</si>
  <si>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</si>
  <si>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</si>
  <si>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</si>
  <si>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</si>
  <si>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</si>
  <si>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</si>
  <si>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</si>
  <si>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</si>
  <si>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</si>
  <si>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</si>
  <si>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</si>
  <si>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</si>
  <si>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</si>
  <si>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</si>
  <si>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</si>
  <si>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</si>
  <si>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</si>
  <si>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</si>
  <si>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</si>
  <si>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</si>
  <si>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</si>
  <si>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</si>
  <si>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</si>
  <si>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</si>
  <si>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</si>
  <si>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</si>
  <si>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</si>
  <si>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</si>
  <si>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</si>
  <si>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</si>
  <si>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</si>
  <si>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</si>
  <si>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</si>
  <si>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</si>
  <si>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</si>
  <si>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</si>
  <si>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</si>
  <si>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</si>
  <si>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</si>
  <si>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</si>
  <si>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</si>
  <si>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</si>
  <si>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</si>
  <si>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</si>
  <si>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</si>
  <si>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</si>
  <si>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</si>
  <si>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</si>
  <si>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</si>
  <si>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</si>
  <si>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</si>
  <si>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</si>
  <si>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</si>
  <si>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</si>
  <si>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</si>
  <si>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</si>
  <si>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</si>
  <si>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</si>
  <si>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</si>
  <si>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</si>
  <si>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</si>
  <si>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</si>
  <si>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</si>
  <si>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</si>
  <si>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</si>
  <si>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</si>
  <si>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</si>
  <si>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</si>
  <si>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</si>
  <si>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</si>
  <si>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</si>
  <si>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</si>
  <si>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</si>
  <si>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</si>
  <si>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</si>
  <si>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</si>
  <si>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</si>
  <si>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</si>
  <si>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</si>
  <si>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</si>
  <si>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</si>
  <si>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</si>
  <si>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</si>
  <si>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</si>
  <si>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</si>
  <si>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</si>
  <si>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</si>
  <si>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</si>
  <si>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</si>
  <si>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</si>
  <si>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</si>
  <si>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</si>
  <si>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</si>
  <si>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</si>
  <si>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</si>
  <si>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</si>
  <si>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</si>
  <si>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</si>
  <si>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</si>
  <si>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</si>
  <si>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</si>
  <si>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</si>
  <si>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</si>
  <si>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</si>
  <si>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</si>
  <si>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</si>
  <si>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</si>
  <si>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</si>
  <si>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</si>
  <si>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</si>
  <si>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</si>
  <si>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</si>
  <si>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</si>
  <si>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</si>
  <si>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</si>
  <si>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</si>
  <si>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</si>
  <si>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</si>
  <si>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</si>
  <si>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</si>
  <si>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</si>
  <si>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</si>
  <si>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</si>
  <si>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</si>
  <si>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</si>
  <si>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</si>
  <si>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</si>
  <si>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</si>
  <si>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</si>
  <si>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</si>
  <si>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</si>
  <si>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</si>
  <si>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</si>
  <si>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</si>
  <si>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</si>
  <si>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</si>
  <si>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</si>
  <si>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</si>
  <si>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</si>
  <si>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</si>
  <si>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</si>
  <si>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</si>
  <si>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</si>
  <si>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</si>
  <si>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</si>
  <si>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</si>
  <si>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</si>
  <si>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</si>
  <si>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</si>
  <si>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</si>
  <si>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</si>
  <si>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</si>
  <si>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</si>
  <si>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</si>
  <si>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</si>
  <si>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</si>
  <si>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</si>
  <si>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</si>
  <si>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</si>
  <si>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</si>
  <si>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</si>
  <si>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</si>
  <si>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</si>
  <si>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</si>
  <si>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</si>
  <si>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</si>
  <si>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</si>
  <si>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</si>
  <si>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</si>
  <si>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</si>
  <si>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</si>
  <si>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</si>
  <si>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</si>
  <si>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</si>
  <si>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</si>
  <si>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</si>
  <si>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</si>
  <si>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</si>
  <si>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</si>
  <si>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</si>
  <si>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</si>
  <si>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</si>
  <si>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</si>
  <si>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</si>
  <si>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</si>
  <si>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</si>
  <si>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</si>
  <si>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</si>
  <si>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</si>
  <si>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</si>
  <si>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</si>
  <si>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</si>
  <si>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</si>
  <si>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</si>
  <si>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</si>
  <si>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</si>
  <si>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</si>
  <si>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</si>
  <si>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</si>
  <si>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</si>
  <si>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</si>
  <si>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</si>
  <si>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</si>
  <si>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</si>
  <si>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</si>
  <si>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</si>
  <si>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</si>
  <si>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</si>
  <si>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</si>
  <si>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</si>
  <si>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</si>
  <si>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</si>
  <si>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</si>
  <si>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</si>
  <si>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</si>
  <si>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</si>
  <si>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</si>
  <si>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</si>
  <si>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</si>
  <si>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</si>
  <si>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</si>
  <si>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</si>
  <si>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</si>
  <si>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</si>
  <si>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</si>
  <si>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</si>
  <si>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</si>
  <si>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</si>
  <si>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</si>
  <si>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</si>
  <si>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</si>
  <si>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</si>
  <si>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</si>
  <si>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</si>
  <si>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</si>
  <si>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</si>
  <si>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</si>
  <si>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</si>
  <si>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</si>
  <si>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</si>
  <si>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</si>
  <si>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</si>
  <si>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</si>
  <si>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</si>
  <si>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</si>
  <si>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</si>
  <si>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</si>
  <si>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</si>
  <si>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</si>
  <si>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</si>
  <si>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</si>
  <si>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</si>
  <si>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</si>
  <si>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</si>
  <si>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</si>
  <si>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</si>
  <si>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</si>
  <si>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</si>
  <si>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</si>
  <si>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</si>
  <si>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</si>
  <si>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</si>
  <si>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</si>
  <si>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</si>
  <si>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</si>
  <si>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</si>
  <si>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</si>
  <si>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</si>
  <si>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</si>
  <si>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</si>
  <si>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</si>
  <si>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</si>
  <si>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</si>
  <si>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</si>
  <si>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</si>
  <si>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</si>
  <si>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</si>
  <si>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</si>
  <si>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</si>
  <si>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</si>
  <si>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</si>
  <si>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</si>
  <si>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</si>
  <si>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</si>
  <si>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</si>
  <si>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</si>
  <si>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</si>
  <si>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</si>
  <si>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</si>
  <si>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</si>
  <si>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</si>
  <si>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</si>
  <si>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</si>
  <si>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</si>
  <si>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</si>
  <si>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</si>
  <si>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</si>
  <si>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</si>
  <si>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</si>
  <si>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</si>
  <si>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</si>
  <si>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</si>
  <si>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</si>
  <si>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</si>
  <si>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</si>
  <si>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</si>
  <si>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</si>
  <si>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</si>
  <si>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</si>
  <si>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</si>
  <si>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</si>
  <si>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</si>
  <si>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</si>
  <si>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</si>
  <si>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</si>
  <si>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</si>
  <si>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</si>
  <si>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</si>
  <si>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</si>
  <si>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</si>
  <si>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</si>
  <si>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</si>
  <si>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</si>
  <si>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</si>
  <si>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</si>
  <si>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</si>
  <si>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</si>
  <si>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</si>
  <si>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</si>
  <si>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</si>
  <si>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</si>
  <si>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</si>
  <si>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</si>
  <si>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</si>
  <si>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</si>
  <si>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</si>
  <si>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</si>
  <si>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</si>
  <si>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</si>
  <si>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</si>
  <si>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</si>
  <si>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</si>
  <si>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</si>
  <si>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</si>
  <si>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</si>
  <si>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</si>
  <si>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</si>
  <si>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</si>
  <si>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</si>
  <si>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</si>
  <si>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</si>
  <si>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</si>
  <si>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</si>
  <si>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</si>
  <si>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</si>
  <si>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</si>
  <si>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</si>
  <si>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</si>
  <si>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</si>
  <si>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</si>
  <si>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</si>
  <si>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</si>
  <si>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</si>
  <si>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</si>
  <si>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</si>
  <si>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</si>
  <si>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</si>
  <si>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</si>
  <si>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</si>
  <si>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</si>
  <si>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</si>
  <si>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</si>
  <si>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</si>
  <si>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</si>
  <si>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</si>
  <si>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</si>
  <si>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</si>
  <si>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</si>
  <si>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</si>
  <si>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</si>
  <si>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</si>
  <si>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</si>
  <si>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</si>
  <si>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</si>
  <si>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</si>
  <si>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</si>
  <si>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</si>
  <si>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</si>
  <si>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</si>
  <si>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</si>
  <si>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</si>
  <si>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</si>
  <si>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</si>
  <si>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</si>
  <si>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</si>
  <si>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</si>
  <si>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</si>
  <si>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</si>
  <si>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</si>
  <si>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</si>
  <si>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</si>
  <si>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</si>
  <si>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</si>
  <si>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</si>
  <si>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</si>
  <si>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</si>
  <si>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</si>
  <si>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</si>
  <si>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</si>
  <si>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</si>
  <si>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</si>
  <si>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</si>
  <si>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</si>
  <si>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</si>
  <si>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</si>
  <si>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</si>
  <si>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</si>
  <si>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</si>
  <si>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</si>
  <si>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</si>
  <si>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</si>
  <si>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</si>
  <si>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</si>
  <si>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</si>
  <si>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</si>
  <si>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</si>
  <si>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</si>
  <si>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</si>
  <si>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</si>
  <si>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</si>
  <si>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</si>
  <si>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</si>
  <si>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</si>
  <si>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</si>
  <si>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</si>
  <si>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</si>
  <si>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</si>
  <si>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</si>
  <si>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</si>
  <si>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</si>
  <si>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</si>
  <si>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</si>
  <si>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</si>
  <si>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</si>
  <si>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</si>
  <si>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</si>
  <si>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</si>
  <si>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</si>
  <si>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</si>
  <si>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</si>
  <si>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</si>
  <si>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</si>
  <si>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</si>
  <si>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</si>
  <si>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</si>
  <si>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</si>
  <si>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</si>
  <si>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</si>
  <si>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</si>
  <si>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</si>
  <si>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</si>
  <si>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</si>
  <si>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</si>
  <si>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</si>
  <si>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</si>
  <si>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</si>
  <si>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</si>
  <si>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</si>
  <si>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</si>
  <si>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</si>
  <si>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</si>
  <si>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</si>
  <si>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</si>
  <si>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</si>
  <si>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</si>
  <si>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</si>
  <si>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</si>
  <si>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</si>
  <si>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</si>
  <si>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</si>
  <si>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</si>
  <si>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</si>
  <si>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</si>
  <si>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</si>
  <si>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</si>
  <si>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</si>
  <si>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</si>
  <si>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</si>
  <si>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</si>
  <si>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</si>
  <si>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</si>
  <si>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</si>
  <si>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</si>
  <si>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</si>
  <si>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</si>
  <si>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</si>
  <si>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</si>
  <si>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</si>
  <si>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</si>
  <si>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</si>
  <si>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</si>
  <si>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</si>
  <si>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</si>
  <si>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</si>
  <si>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</si>
  <si>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</si>
  <si>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</si>
  <si>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</si>
  <si>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</si>
  <si>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</si>
  <si>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</si>
  <si>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</si>
  <si>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</si>
  <si>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</si>
  <si>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</si>
  <si>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</si>
  <si>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</si>
  <si>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</si>
  <si>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</si>
  <si>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</si>
  <si>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</si>
  <si>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</si>
  <si>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</si>
  <si>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</si>
  <si>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</si>
  <si>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</si>
  <si>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</si>
  <si>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</si>
  <si>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</si>
  <si>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</si>
  <si>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</si>
  <si>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</si>
  <si>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</si>
  <si>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</si>
  <si>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</si>
  <si>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</si>
  <si>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</si>
  <si>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</si>
  <si>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</si>
  <si>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</si>
  <si>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</si>
  <si>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</si>
  <si>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</si>
  <si>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</si>
  <si>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</si>
  <si>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</si>
  <si>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</si>
  <si>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</si>
  <si>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</si>
  <si>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</si>
  <si>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</si>
  <si>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</si>
  <si>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</si>
  <si>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</si>
  <si>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</si>
  <si>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</si>
  <si>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</si>
  <si>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</si>
  <si>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</si>
  <si>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</si>
  <si>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</si>
  <si>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</si>
  <si>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</si>
  <si>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</si>
  <si>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</si>
  <si>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</si>
  <si>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</si>
  <si>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</si>
  <si>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</si>
  <si>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</si>
  <si>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</si>
  <si>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</si>
  <si>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</si>
  <si>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</si>
  <si>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</si>
  <si>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</si>
  <si>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</si>
  <si>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</si>
  <si>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</si>
  <si>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</si>
  <si>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</si>
  <si>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</si>
  <si>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</si>
  <si>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</si>
  <si>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</si>
  <si>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</si>
  <si>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</si>
  <si>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</si>
  <si>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</si>
  <si>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</si>
  <si>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</si>
  <si>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</si>
  <si>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</si>
  <si>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</si>
  <si>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</si>
  <si>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</si>
  <si>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</si>
  <si>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</si>
  <si>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</si>
  <si>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</si>
  <si>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</si>
  <si>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</si>
  <si>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</si>
  <si>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</si>
  <si>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</si>
  <si>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</si>
  <si>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</si>
  <si>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</si>
  <si>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</si>
  <si>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</si>
  <si>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</si>
  <si>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</si>
  <si>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</si>
  <si>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</si>
  <si>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</si>
  <si>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</si>
  <si>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</si>
  <si>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</si>
  <si>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</si>
  <si>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</si>
  <si>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</si>
  <si>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</si>
  <si>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</si>
  <si>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</si>
  <si>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</si>
  <si>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</si>
  <si>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</si>
  <si>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</si>
  <si>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</si>
  <si>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</si>
  <si>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</si>
  <si>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</si>
  <si>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</si>
  <si>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</si>
  <si>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</si>
  <si>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</si>
  <si>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</si>
  <si>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</si>
  <si>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</si>
  <si>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</si>
  <si>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</si>
  <si>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</si>
  <si>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</si>
  <si>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</si>
  <si>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</si>
  <si>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</si>
  <si>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</si>
  <si>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</si>
  <si>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</si>
  <si>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</si>
  <si>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</si>
  <si>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</si>
  <si>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</si>
  <si>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</si>
  <si>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</si>
  <si>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</si>
  <si>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</si>
  <si>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</si>
  <si>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</si>
  <si>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</si>
  <si>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</si>
  <si>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</si>
  <si>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</si>
  <si>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</si>
  <si>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</si>
  <si>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</si>
  <si>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</si>
  <si>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</si>
  <si>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</si>
  <si>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</si>
  <si>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</si>
  <si>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</si>
  <si>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</si>
  <si>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</si>
  <si>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</si>
  <si>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</si>
  <si>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</si>
  <si>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</si>
  <si>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</si>
  <si>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</si>
  <si>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</si>
  <si>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</si>
  <si>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</si>
  <si>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</si>
  <si>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</si>
  <si>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</si>
  <si>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</si>
  <si>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</si>
  <si>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</si>
  <si>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</si>
  <si>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</si>
  <si>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</si>
  <si>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</si>
  <si>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</si>
  <si>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</si>
  <si>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</si>
  <si>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</si>
  <si>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</si>
  <si>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</si>
  <si>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</si>
  <si>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</si>
  <si>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</si>
  <si>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</si>
  <si>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</si>
  <si>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</si>
  <si>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</si>
  <si>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</si>
  <si>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</si>
  <si>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</si>
  <si>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</si>
  <si>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</si>
  <si>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</si>
  <si>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</si>
  <si>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</si>
  <si>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</si>
  <si>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</si>
  <si>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</si>
  <si>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</si>
  <si>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</si>
  <si>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</si>
  <si>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</si>
  <si>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</si>
  <si>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</si>
  <si>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</si>
  <si>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</si>
  <si>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</si>
  <si>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</si>
  <si>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</si>
  <si>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</si>
  <si>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</si>
  <si>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</si>
  <si>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</si>
  <si>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</si>
  <si>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</si>
  <si>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</si>
  <si>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</si>
  <si>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</si>
  <si>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</si>
  <si>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</si>
  <si>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</si>
  <si>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</si>
  <si>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</si>
  <si>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</si>
  <si>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</si>
  <si>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</si>
  <si>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</si>
  <si>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</si>
  <si>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</si>
  <si>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</si>
  <si>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</si>
  <si>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</si>
  <si>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</si>
  <si>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</si>
  <si>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</si>
  <si>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</si>
  <si>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</si>
  <si>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</si>
  <si>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</si>
  <si>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</si>
  <si>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</si>
  <si>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</si>
  <si>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</si>
  <si>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</si>
  <si>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</si>
  <si>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</si>
  <si>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</si>
  <si>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</si>
  <si>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</si>
  <si>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</si>
  <si>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</si>
  <si>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</si>
  <si>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</si>
  <si>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</si>
  <si>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</si>
  <si>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</si>
  <si>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</si>
  <si>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</si>
  <si>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</si>
  <si>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</si>
  <si>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</si>
  <si>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</si>
  <si>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</si>
  <si>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</si>
  <si>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</si>
  <si>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</si>
  <si>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</si>
  <si>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</si>
  <si>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</si>
  <si>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</si>
  <si>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</si>
  <si>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</si>
  <si>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</si>
  <si>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</si>
  <si>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</si>
  <si>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</si>
  <si>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</si>
  <si>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</si>
  <si>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</si>
  <si>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</si>
  <si>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</si>
  <si>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</si>
  <si>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</si>
  <si>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</si>
  <si>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</si>
  <si>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</si>
  <si>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</si>
  <si>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</si>
  <si>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</si>
  <si>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</si>
  <si>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</si>
  <si>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</si>
  <si>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</si>
  <si>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</si>
  <si>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</si>
  <si>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</si>
  <si>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</si>
  <si>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</si>
  <si>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</si>
  <si>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</si>
  <si>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</si>
  <si>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</si>
  <si>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</si>
  <si>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</si>
  <si>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</si>
  <si>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</si>
  <si>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</si>
  <si>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</si>
  <si>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</si>
  <si>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</si>
  <si>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</si>
  <si>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</si>
  <si>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</si>
  <si>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</si>
  <si>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</si>
  <si>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</si>
  <si>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</si>
  <si>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</si>
  <si>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</si>
  <si>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</si>
  <si>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</si>
  <si>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</si>
  <si>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</si>
  <si>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</si>
  <si>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</si>
  <si>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</si>
  <si>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</si>
  <si>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</si>
  <si>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</si>
  <si>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</si>
  <si>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</si>
  <si>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</si>
  <si>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</si>
  <si>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</si>
  <si>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</si>
  <si>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</si>
  <si>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</si>
  <si>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</si>
  <si>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</si>
  <si>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</si>
  <si>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</si>
  <si>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</si>
  <si>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</si>
  <si>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</si>
  <si>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</si>
  <si>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</si>
  <si>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</si>
  <si>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</si>
  <si>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</si>
  <si>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</si>
  <si>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</si>
  <si>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</si>
  <si>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</si>
  <si>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</si>
  <si>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</si>
  <si>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</si>
  <si>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</si>
  <si>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</si>
  <si>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</si>
  <si>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</si>
  <si>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</si>
  <si>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</si>
  <si>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</si>
  <si>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</si>
  <si>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</si>
  <si>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</si>
  <si>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</si>
  <si>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</si>
  <si>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</si>
  <si>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</si>
  <si>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</si>
  <si>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</si>
  <si>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</si>
  <si>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</si>
  <si>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</si>
  <si>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</si>
  <si>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</si>
  <si>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</si>
  <si>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</si>
  <si>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</si>
  <si>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</si>
  <si>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</si>
  <si>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</si>
  <si>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</si>
  <si>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</si>
  <si>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</si>
  <si>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</si>
  <si>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</si>
  <si>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</si>
  <si>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</si>
  <si>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</si>
  <si>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</si>
  <si>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</si>
  <si>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</si>
  <si>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</si>
  <si>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</si>
  <si>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</si>
  <si>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</si>
  <si>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</si>
  <si>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</si>
  <si>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</si>
  <si>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</si>
  <si>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</si>
  <si>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</si>
  <si>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</si>
  <si>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</si>
  <si>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</si>
  <si>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</si>
  <si>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</si>
  <si>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</si>
  <si>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</si>
  <si>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</si>
  <si>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</si>
  <si>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</si>
  <si>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</si>
  <si>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</si>
  <si>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</si>
  <si>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</si>
  <si>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</si>
  <si>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</si>
  <si>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</si>
  <si>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</si>
  <si>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</si>
  <si>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</si>
  <si>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</si>
  <si>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</si>
  <si>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</si>
  <si>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</si>
  <si>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</si>
  <si>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</si>
  <si>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</si>
  <si>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</si>
  <si>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</si>
  <si>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</si>
  <si>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</si>
  <si>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</si>
  <si>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</si>
  <si>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</si>
  <si>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</si>
  <si>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</si>
  <si>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</si>
  <si>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</si>
  <si>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</si>
  <si>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</si>
  <si>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</si>
  <si>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</si>
  <si>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</si>
  <si>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</si>
  <si>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</si>
  <si>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</si>
  <si>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</si>
  <si>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</si>
  <si>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</si>
  <si>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</si>
  <si>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</si>
  <si>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</si>
  <si>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</si>
  <si>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</si>
  <si>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</si>
  <si>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</si>
  <si>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</si>
  <si>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</si>
  <si>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</si>
  <si>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</si>
  <si>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</si>
  <si>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</si>
  <si>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</si>
  <si>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</si>
  <si>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</si>
  <si>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</si>
  <si>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</si>
  <si>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</si>
  <si>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</si>
  <si>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</si>
  <si>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</si>
  <si>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</si>
  <si>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</si>
  <si>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</si>
  <si>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</si>
  <si>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</si>
  <si>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</si>
  <si>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</si>
  <si>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</si>
  <si>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</si>
  <si>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</si>
  <si>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</si>
  <si>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</si>
  <si>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</si>
  <si>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</si>
  <si>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</si>
  <si>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</si>
  <si>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</si>
  <si>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</si>
  <si>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</si>
  <si>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</si>
  <si>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</si>
  <si>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</si>
  <si>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</si>
  <si>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</si>
  <si>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</si>
  <si>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</si>
  <si>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</si>
  <si>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</si>
  <si>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</si>
  <si>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</si>
  <si>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</si>
  <si>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</si>
  <si>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</si>
  <si>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</si>
  <si>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</si>
  <si>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</si>
  <si>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</si>
  <si>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</si>
  <si>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</si>
  <si>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</si>
  <si>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</si>
  <si>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</si>
  <si>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</si>
  <si>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</si>
  <si>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</si>
  <si>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</si>
  <si>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</si>
  <si>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</si>
  <si>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</si>
  <si>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</si>
  <si>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</si>
  <si>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</si>
  <si>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</si>
  <si>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</si>
  <si>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</si>
  <si>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</si>
  <si>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</si>
  <si>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</si>
  <si>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</si>
  <si>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</si>
  <si>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</si>
  <si>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</si>
  <si>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</si>
  <si>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</si>
  <si>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</si>
  <si>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</si>
  <si>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</si>
  <si>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</si>
  <si>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</si>
  <si>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</si>
  <si>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</si>
  <si>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</si>
  <si>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</si>
  <si>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</si>
  <si>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</si>
  <si>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</si>
  <si>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</si>
  <si>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</si>
  <si>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</si>
  <si>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</si>
  <si>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</si>
  <si>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</si>
  <si>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</si>
  <si>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</si>
  <si>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</si>
  <si>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</si>
  <si>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</si>
  <si>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</si>
  <si>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</si>
  <si>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</si>
  <si>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</si>
  <si>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</si>
  <si>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</si>
  <si>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</si>
  <si>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</si>
  <si>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</si>
  <si>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</si>
  <si>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</si>
  <si>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</si>
  <si>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</si>
  <si>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</si>
  <si>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</si>
  <si>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</si>
  <si>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</si>
  <si>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</si>
  <si>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</si>
  <si>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</si>
  <si>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</si>
  <si>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</si>
  <si>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</si>
  <si>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</si>
  <si>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</si>
  <si>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</si>
  <si>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</si>
  <si>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</si>
  <si>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</si>
  <si>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</si>
  <si>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</si>
  <si>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</si>
  <si>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</si>
  <si>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</si>
  <si>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</si>
  <si>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</si>
  <si>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</si>
  <si>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</si>
  <si>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</si>
  <si>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</si>
  <si>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</si>
  <si>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</si>
  <si>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</si>
  <si>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</si>
  <si>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</si>
  <si>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</si>
  <si>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</si>
  <si>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</si>
  <si>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</si>
  <si>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</si>
  <si>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</si>
  <si>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</si>
  <si>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</si>
  <si>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</si>
  <si>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</si>
  <si>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</si>
  <si>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</si>
  <si>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</si>
  <si>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</si>
  <si>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</si>
  <si>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</si>
  <si>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</si>
  <si>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</si>
  <si>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</si>
  <si>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</si>
  <si>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</si>
  <si>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</si>
  <si>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</si>
  <si>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</si>
  <si>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</si>
  <si>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</si>
  <si>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</si>
  <si>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</si>
  <si>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</si>
  <si>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</si>
  <si>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</si>
  <si>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</si>
  <si>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</si>
  <si>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</si>
  <si>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</si>
  <si>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</si>
  <si>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</si>
  <si>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</si>
  <si>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</si>
  <si>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</si>
  <si>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</si>
  <si>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</si>
  <si>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</si>
  <si>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</si>
  <si>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</si>
  <si>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</si>
  <si>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</si>
  <si>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</si>
  <si>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</si>
  <si>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</si>
  <si>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</si>
  <si>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</si>
  <si>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</si>
  <si>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</si>
  <si>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</si>
  <si>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</si>
  <si>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</si>
  <si>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</si>
  <si>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</si>
  <si>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</si>
  <si>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</si>
  <si>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</si>
  <si>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</si>
  <si>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</si>
  <si>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</si>
  <si>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</si>
  <si>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</si>
  <si>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</si>
  <si>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</si>
  <si>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</si>
  <si>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</si>
  <si>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</si>
  <si>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</si>
  <si>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</si>
  <si>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</si>
  <si>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</si>
  <si>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</si>
  <si>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</si>
  <si>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</si>
  <si>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</si>
  <si>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</si>
  <si>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</si>
  <si>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</si>
  <si>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</si>
  <si>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</si>
  <si>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</si>
  <si>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</si>
  <si>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</si>
  <si>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</si>
  <si>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</si>
  <si>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</si>
  <si>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</si>
  <si>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</si>
  <si>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</si>
  <si>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</si>
  <si>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</si>
  <si>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</si>
  <si>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</si>
  <si>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</si>
  <si>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</si>
  <si>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</si>
  <si>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</si>
  <si>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</si>
  <si>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</si>
  <si>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</si>
  <si>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</si>
  <si>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</si>
  <si>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</si>
  <si>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</si>
  <si>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</si>
  <si>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</si>
  <si>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</si>
  <si>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</si>
  <si>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</si>
  <si>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</si>
  <si>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</si>
  <si>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</si>
  <si>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</si>
  <si>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</si>
  <si>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</si>
  <si>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</si>
  <si>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</si>
  <si>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</si>
  <si>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</si>
  <si>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</si>
  <si>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</si>
  <si>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</si>
  <si>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</si>
  <si>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</si>
  <si>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</si>
  <si>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</si>
  <si>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</si>
  <si>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</si>
  <si>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</si>
  <si>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</si>
  <si>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</si>
  <si>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</si>
  <si>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</si>
  <si>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</si>
  <si>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</si>
  <si>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</si>
  <si>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</si>
  <si>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</si>
  <si>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</si>
  <si>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</si>
  <si>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</si>
  <si>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</si>
  <si>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</si>
  <si>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</si>
  <si>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</si>
  <si>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</si>
  <si>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</si>
  <si>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</si>
  <si>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</si>
  <si>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</si>
  <si>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</si>
  <si>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</si>
  <si>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</si>
  <si>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</si>
  <si>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</si>
  <si>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</si>
  <si>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</si>
  <si>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</si>
  <si>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</si>
  <si>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</si>
  <si>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</si>
  <si>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</si>
  <si>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</si>
  <si>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</si>
  <si>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</si>
  <si>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</si>
  <si>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</si>
  <si>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</si>
  <si>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</si>
  <si>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</si>
  <si>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</si>
  <si>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</si>
  <si>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</si>
  <si>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</si>
  <si>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</si>
  <si>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</si>
  <si>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</si>
  <si>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</si>
  <si>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</si>
  <si>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</si>
  <si>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</si>
  <si>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</si>
  <si>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</si>
  <si>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</si>
  <si>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</si>
  <si>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</si>
  <si>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</si>
  <si>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</si>
  <si>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</si>
  <si>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</si>
  <si>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</si>
  <si>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</si>
  <si>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</si>
  <si>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</si>
  <si>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</si>
  <si>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</si>
  <si>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</si>
  <si>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</si>
  <si>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</si>
  <si>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</si>
  <si>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</si>
  <si>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</si>
  <si>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</si>
  <si>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</si>
  <si>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</si>
  <si>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</si>
  <si>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</si>
  <si>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</si>
  <si>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</si>
  <si>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</si>
  <si>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</si>
  <si>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</si>
  <si>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</si>
  <si>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</si>
  <si>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</si>
  <si>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</si>
  <si>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</si>
  <si>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</si>
  <si>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</si>
  <si>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</si>
  <si>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</si>
  <si>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</si>
  <si>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</si>
  <si>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</si>
  <si>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</si>
  <si>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</si>
  <si>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</si>
  <si>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</si>
  <si>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</si>
  <si>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</si>
  <si>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</si>
  <si>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</si>
  <si>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</si>
  <si>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</si>
  <si>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</si>
  <si>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</si>
  <si>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</si>
  <si>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</si>
  <si>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</si>
  <si>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</si>
  <si>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</si>
  <si>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</si>
  <si>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</si>
  <si>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</si>
  <si>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</si>
  <si>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</si>
  <si>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</si>
  <si>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</si>
  <si>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</si>
  <si>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</si>
  <si>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</si>
  <si>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</si>
  <si>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</si>
  <si>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</si>
  <si>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</si>
  <si>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</si>
  <si>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</si>
  <si>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</si>
  <si>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</si>
  <si>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</si>
  <si>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</si>
  <si>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</si>
  <si>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</si>
  <si>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</si>
  <si>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</si>
  <si>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</si>
  <si>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</si>
  <si>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</si>
  <si>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</si>
  <si>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</si>
  <si>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</si>
  <si>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</si>
  <si>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</si>
  <si>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</si>
  <si>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</si>
  <si>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</si>
  <si>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</si>
  <si>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</si>
  <si>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</si>
  <si>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</si>
  <si>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</si>
  <si>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</si>
  <si>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</si>
  <si>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</si>
  <si>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</si>
  <si>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</si>
  <si>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</si>
  <si>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</si>
  <si>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</si>
  <si>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</si>
  <si>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</si>
  <si>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</si>
  <si>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</si>
  <si>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</si>
  <si>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</si>
  <si>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</si>
  <si>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</si>
  <si>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</si>
  <si>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</si>
  <si>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</si>
  <si>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</si>
  <si>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</si>
  <si>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</si>
  <si>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</si>
  <si>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</si>
  <si>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</si>
  <si>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</si>
  <si>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</si>
  <si>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</si>
  <si>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</si>
  <si>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</si>
  <si>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</si>
  <si>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</si>
  <si>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</si>
  <si>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</si>
  <si>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</si>
  <si>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</si>
  <si>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</si>
  <si>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</si>
  <si>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</si>
  <si>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</si>
  <si>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</si>
  <si>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</si>
  <si>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</si>
  <si>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</si>
  <si>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</si>
  <si>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</si>
  <si>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</si>
  <si>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</si>
  <si>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</si>
  <si>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</si>
  <si>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</si>
  <si>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</si>
  <si>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</si>
  <si>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</si>
  <si>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</si>
  <si>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</si>
  <si>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</si>
  <si>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</si>
  <si>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</si>
  <si>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</si>
  <si>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</si>
  <si>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</si>
  <si>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</si>
  <si>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</si>
  <si>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</si>
  <si>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</si>
  <si>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</si>
  <si>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</si>
  <si>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</si>
  <si>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</si>
  <si>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</si>
  <si>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</si>
  <si>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</si>
  <si>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</si>
  <si>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</si>
  <si>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</si>
  <si>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</si>
  <si>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</si>
  <si>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</si>
  <si>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</si>
  <si>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</si>
  <si>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</si>
  <si>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</si>
  <si>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</si>
  <si>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</si>
  <si>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</si>
  <si>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</si>
  <si>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</si>
  <si>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</si>
  <si>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</si>
  <si>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</si>
  <si>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</si>
  <si>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</si>
  <si>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</si>
  <si>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</si>
  <si>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</si>
  <si>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</si>
  <si>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</si>
  <si>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</si>
  <si>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</si>
  <si>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</si>
  <si>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</si>
  <si>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</si>
  <si>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</si>
  <si>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</si>
  <si>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</si>
  <si>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</si>
  <si>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</si>
  <si>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</si>
  <si>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</si>
  <si>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</si>
  <si>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</si>
  <si>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</si>
  <si>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</si>
  <si>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</si>
  <si>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</si>
  <si>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</si>
  <si>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</si>
  <si>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</si>
  <si>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</si>
  <si>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</si>
  <si>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</si>
  <si>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</si>
  <si>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</si>
  <si>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</si>
  <si>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</si>
  <si>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</si>
  <si>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</si>
  <si>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</si>
  <si>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</si>
  <si>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</si>
  <si>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</si>
  <si>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</si>
  <si>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</si>
  <si>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</si>
  <si>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</si>
  <si>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</si>
  <si>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</si>
  <si>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</si>
  <si>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</si>
  <si>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</si>
  <si>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</si>
  <si>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</si>
  <si>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</si>
  <si>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</si>
  <si>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</si>
  <si>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</si>
  <si>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</si>
  <si>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</si>
  <si>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</si>
  <si>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</si>
  <si>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</si>
  <si>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</si>
  <si>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</si>
  <si>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</si>
  <si>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</si>
  <si>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</si>
  <si>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</si>
  <si>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</si>
  <si>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</si>
  <si>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</si>
  <si>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</si>
  <si>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</si>
  <si>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</si>
  <si>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</si>
  <si>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</si>
  <si>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</si>
  <si>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</si>
  <si>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</si>
  <si>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</si>
  <si>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</si>
  <si>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</si>
  <si>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</si>
  <si>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</si>
  <si>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</si>
  <si>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</si>
  <si>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</si>
  <si>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</si>
  <si>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</si>
  <si>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</si>
  <si>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</si>
  <si>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</si>
  <si>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</si>
  <si>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</si>
  <si>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</si>
  <si>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</si>
  <si>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</si>
  <si>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</si>
  <si>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</si>
  <si>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</si>
  <si>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</si>
  <si>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</si>
  <si>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</si>
  <si>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</si>
  <si>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</si>
  <si>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</si>
  <si>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</si>
  <si>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</si>
  <si>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</si>
  <si>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</si>
  <si>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</si>
  <si>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</si>
  <si>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</si>
  <si>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</si>
  <si>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</si>
  <si>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</si>
  <si>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</si>
  <si>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</si>
  <si>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</si>
  <si>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</si>
  <si>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</si>
  <si>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</si>
  <si>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</si>
  <si>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</si>
  <si>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</si>
  <si>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</si>
  <si>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</si>
  <si>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</si>
  <si>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</si>
  <si>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</si>
  <si>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</si>
  <si>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</si>
  <si>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</si>
  <si>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</si>
  <si>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</si>
  <si>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</si>
  <si>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</si>
  <si>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</si>
  <si>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</si>
  <si>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</si>
  <si>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</si>
  <si>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</si>
  <si>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</si>
  <si>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</si>
  <si>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</si>
  <si>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</si>
  <si>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</si>
  <si>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</si>
  <si>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</si>
  <si>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</si>
  <si>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</si>
  <si>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</si>
  <si>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</si>
  <si>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</si>
  <si>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</si>
  <si>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</si>
  <si>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</si>
  <si>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</si>
  <si>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</si>
  <si>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</si>
  <si>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</si>
  <si>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</si>
  <si>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</si>
  <si>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</si>
  <si>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</si>
  <si>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</si>
  <si>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</si>
  <si>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</si>
  <si>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</si>
  <si>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</si>
  <si>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</si>
  <si>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</si>
  <si>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</si>
  <si>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</si>
  <si>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</si>
  <si>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</si>
  <si>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</si>
  <si>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</si>
  <si>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</si>
  <si>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</si>
  <si>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</si>
  <si>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</si>
  <si>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</si>
  <si>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</si>
  <si>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</si>
  <si>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</si>
  <si>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</si>
  <si>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</si>
  <si>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</si>
  <si>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</si>
  <si>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</si>
  <si>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</si>
  <si>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</si>
  <si>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</si>
  <si>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</si>
  <si>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</si>
  <si>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</si>
  <si>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</si>
  <si>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</si>
  <si>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</si>
  <si>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</si>
  <si>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</si>
  <si>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</si>
  <si>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</si>
  <si>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</si>
  <si>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</si>
  <si>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</si>
  <si>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</si>
  <si>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</si>
  <si>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</si>
  <si>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</si>
  <si>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</si>
  <si>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</si>
  <si>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</si>
  <si>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</si>
  <si>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</si>
  <si>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</si>
  <si>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</si>
  <si>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</si>
  <si>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</si>
  <si>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</si>
  <si>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</si>
  <si>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</si>
  <si>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</si>
  <si>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</si>
  <si>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</si>
  <si>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</si>
  <si>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</si>
  <si>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</si>
  <si>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</si>
  <si>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</si>
  <si>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</si>
  <si>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</si>
  <si>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</si>
  <si>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</si>
  <si>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</si>
  <si>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</si>
  <si>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</si>
  <si>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</si>
  <si>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</si>
  <si>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</si>
  <si>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</si>
  <si>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</si>
  <si>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</si>
  <si>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</si>
  <si>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</si>
  <si>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</si>
  <si>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</si>
  <si>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</si>
  <si>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</si>
  <si>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</si>
  <si>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</si>
  <si>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</si>
  <si>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</si>
  <si>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</si>
  <si>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</si>
  <si>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</si>
  <si>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</si>
  <si>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</si>
  <si>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</si>
  <si>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</si>
  <si>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</si>
  <si>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</si>
  <si>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</si>
  <si>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</si>
  <si>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</si>
  <si>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</si>
  <si>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</si>
  <si>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</si>
  <si>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</si>
  <si>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</si>
  <si>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</si>
  <si>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</si>
  <si>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</si>
  <si>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</si>
  <si>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</si>
  <si>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</si>
  <si>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</si>
  <si>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</si>
  <si>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</si>
  <si>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</si>
  <si>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</si>
  <si>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</si>
  <si>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</si>
  <si>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</si>
  <si>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</si>
  <si>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</si>
  <si>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</si>
  <si>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</si>
  <si>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</si>
  <si>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</si>
  <si>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</si>
  <si>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</si>
  <si>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</si>
  <si>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</si>
  <si>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</si>
  <si>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</si>
  <si>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</si>
  <si>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</si>
  <si>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</si>
  <si>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</si>
  <si>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</si>
  <si>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</si>
  <si>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</si>
  <si>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</si>
  <si>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</si>
  <si>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</si>
  <si>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</si>
  <si>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</si>
  <si>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</si>
  <si>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</si>
  <si>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</si>
  <si>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</si>
  <si>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</si>
  <si>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</si>
  <si>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</si>
  <si>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</si>
  <si>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</si>
  <si>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</si>
  <si>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</si>
  <si>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</si>
  <si>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</si>
  <si>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</si>
  <si>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</si>
  <si>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</si>
  <si>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</si>
  <si>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</si>
  <si>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</si>
  <si>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</si>
  <si>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</si>
  <si>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</si>
  <si>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</si>
  <si>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</si>
  <si>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</si>
  <si>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</si>
  <si>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</si>
  <si>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</si>
  <si>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</si>
  <si>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SAMPAI DENGAN 11 JULI 2022</t>
  </si>
  <si>
    <t>GUP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</si>
</sst>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9"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93">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75">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2676523</xdr:colOff>
      <xdr:row>14</xdr:row>
      <xdr:rowOff>285750</xdr:rowOff>
    </xdr:from>
    <xdr:to>
      <xdr:col>19</xdr:col>
      <xdr:colOff>5476874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5018"/>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82"/>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9.383542129632" createdVersion="8" refreshedVersion="8" minRefreshableVersion="3" recordCount="141" xr:uid="{82B3EC04-6C7B-4FC3-A1F8-926A3F97EE43}">
  <cacheSource type="worksheet">
    <worksheetSource ref="A3:BB144" sheet="SP2D"/>
  </cacheSource>
  <cacheFields count="54">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21401248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696984514"/>
    </cacheField>
    <cacheField name="Real %" numFmtId="0">
      <sharedItems containsSemiMixedTypes="0" containsString="0" containsNumber="1" minValue="0" maxValue="100"/>
    </cacheField>
    <cacheField name="Sisa" numFmtId="41">
      <sharedItems containsSemiMixedTypes="0" containsString="0" containsNumber="1" containsInteger="1" minValue="0" maxValue="4678819486"/>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4.371335763892"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7532860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0"/>
    <n v="0"/>
    <n v="0"/>
    <n v="0"/>
    <n v="0"/>
    <n v="0"/>
    <s v="Pusat Pendidikan KP"/>
    <x v="0"/>
    <x v="0"/>
    <s v="52"/>
    <s v="SEKRETARIAT BADAN RISET DAN SUMBERDAYA MANUSIA KELAUTAN DAN PERIKANAN"/>
    <n v="26276000"/>
    <n v="60.739713361072589"/>
    <n v="16984000"/>
    <n v="39.260286638927418"/>
    <s v="DL.2376.AFA.001.051.A.524111"/>
    <s v="Non COVID"/>
    <s v="PERJALANAN DINAS"/>
    <s v="Belanja Barang Non Operasional"/>
    <n v="0"/>
    <n v="10950000"/>
    <n v="0"/>
    <n v="0"/>
    <n v="0"/>
    <n v="18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0"/>
    <n v="0"/>
    <n v="0"/>
    <n v="0"/>
    <n v="0"/>
    <n v="0"/>
    <s v="Pusat Pendidikan KP"/>
    <x v="2"/>
    <x v="4"/>
    <s v="52"/>
    <s v="SEKRETARIAT BADAN RISET DAN SUMBERDAYA MANUSIA KELAUTAN DAN PERIKANAN"/>
    <n v="11338500"/>
    <n v="87.293094156594037"/>
    <n v="1650500"/>
    <n v="12.706905843405957"/>
    <s v="WA.2378.EBA.962.301.A.524111"/>
    <s v="Non COVID"/>
    <s v="PERJALANAN DINAS"/>
    <s v="Belanja Barang Non Operasional"/>
    <n v="2685000"/>
    <n v="1650000"/>
    <n v="0"/>
    <n v="3960000"/>
    <n v="0"/>
    <n v="3043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0"/>
    <n v="0"/>
    <n v="0"/>
    <n v="0"/>
    <n v="0"/>
    <n v="0"/>
    <s v="Pusat Pendidikan KP"/>
    <x v="2"/>
    <x v="4"/>
    <s v="52"/>
    <s v="SEKRETARIAT BADAN RISET DAN SUMBERDAYA MANUSIA KELAUTAN DAN PERIKANAN"/>
    <n v="67164280"/>
    <n v="81.377711003949884"/>
    <n v="15369720"/>
    <n v="18.622288996050113"/>
    <s v="WA.2378.EBA.962.301.E.521241"/>
    <s v="COVID"/>
    <s v="NON OPS LAINNYA"/>
    <s v="Belanja Barang Non Operasional"/>
    <n v="0"/>
    <n v="35332450"/>
    <n v="11800000"/>
    <n v="0"/>
    <n v="0"/>
    <n v="0"/>
    <n v="2003183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0"/>
    <n v="0"/>
    <n v="0"/>
    <n v="0"/>
    <n v="0"/>
    <n v="0"/>
    <s v="Pusat Pendidikan KP"/>
    <x v="2"/>
    <x v="4"/>
    <n v="52"/>
    <s v="SEKRETARIAT BADAN RISET DAN SUMBERDAYA MANUSIA KELAUTAN DAN PERIKANAN"/>
    <n v="0"/>
    <n v="0"/>
    <n v="1606000"/>
    <n v="100"/>
    <s v="WA.2378.EBA.962.301.E.522191"/>
    <s v="Non COVID"/>
    <s v="BELANJA JASA"/>
    <s v="Belanja Barang Non Operasional"/>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75328602"/>
    <n v="0"/>
    <n v="0"/>
    <n v="0"/>
    <n v="0"/>
    <n v="0"/>
    <s v="Pusat Pendidikan KP"/>
    <x v="2"/>
    <x v="4"/>
    <s v="52"/>
    <s v="SEKRETARIAT BADAN RISET DAN SUMBERDAYA MANUSIA KELAUTAN DAN PERIKANAN"/>
    <n v="498386753"/>
    <n v="46.309003084871122"/>
    <n v="577833247"/>
    <n v="53.690996915128878"/>
    <s v="WA.2378.EBA.994.002.GA.521111"/>
    <s v="Non COVID"/>
    <s v="KEPERLUAN PERKANTORAN"/>
    <s v="Belanja Barang Operasional"/>
    <n v="2178865"/>
    <n v="8107900"/>
    <n v="6849722"/>
    <n v="8235096"/>
    <n v="8616711"/>
    <n v="7229857"/>
    <n v="0"/>
    <n v="0"/>
    <n v="11688602"/>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PERSEDIAAN"/>
    <s v="Belanja Barang Operasional"/>
    <n v="13175000"/>
    <n v="19299000"/>
    <n v="0"/>
    <n v="8952000"/>
    <n v="1680000"/>
    <n v="21602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155000"/>
    <n v="0"/>
    <n v="0"/>
    <n v="0"/>
    <n v="0"/>
    <n v="0"/>
    <s v="Pusat Pendidikan KP"/>
    <x v="2"/>
    <x v="4"/>
    <s v="52"/>
    <s v="SEKRETARIAT BADAN RISET DAN SUMBERDAYA MANUSIA KELAUTAN DAN PERIKANAN"/>
    <n v="2441050"/>
    <n v="8.1368333333333336"/>
    <n v="27558950"/>
    <n v="91.863166666666658"/>
    <s v="WA.2378.EBA.994.002.GB.521114"/>
    <s v="Non COVID"/>
    <s v="PENGIRIMAN SURAT DINAS POS PUSAT"/>
    <s v="Belanja Barang Operasional"/>
    <n v="295050"/>
    <n v="0"/>
    <n v="59000"/>
    <n v="603000"/>
    <n v="276000"/>
    <n v="1053000"/>
    <n v="0"/>
    <n v="0"/>
    <n v="15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0000000"/>
    <n v="0"/>
    <n v="0"/>
    <n v="0"/>
    <n v="0"/>
    <n v="0"/>
    <s v="Pusat Pendidikan KP"/>
    <x v="2"/>
    <x v="4"/>
    <s v="52"/>
    <s v="SEKRETARIAT BADAN RISET DAN SUMBERDAYA MANUSIA KELAUTAN DAN PERIKANAN"/>
    <n v="69800000"/>
    <n v="58.728502675596538"/>
    <n v="49052000"/>
    <n v="41.271497324403462"/>
    <s v="WA.2378.EBA.994.002.GB.522141"/>
    <s v="Non COVID"/>
    <s v="BELANJA SEWA"/>
    <s v="Belanja Barang Operasional"/>
    <n v="0"/>
    <n v="4950000"/>
    <n v="0"/>
    <n v="9900000"/>
    <n v="0"/>
    <n v="4950000"/>
    <n v="0"/>
    <n v="0"/>
    <n v="50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11143300"/>
    <n v="0"/>
    <n v="0"/>
    <n v="0"/>
    <n v="0"/>
    <n v="0"/>
    <s v="Pusat Pendidikan KP"/>
    <x v="2"/>
    <x v="4"/>
    <s v="52"/>
    <s v="SEKRETARIAT BADAN RISET DAN SUMBERDAYA MANUSIA KELAUTAN DAN PERIKANAN"/>
    <n v="97018740"/>
    <n v="19.518909566442009"/>
    <n v="400031260"/>
    <n v="80.481090433557995"/>
    <s v="WA.2378.EBA.994.002.GC.523121"/>
    <s v="Non COVID"/>
    <s v="BELANJA PEMELIHARAAN"/>
    <s v="Belanja Barang Operasional"/>
    <n v="25004200"/>
    <n v="32727500"/>
    <n v="1859700"/>
    <n v="7448700"/>
    <n v="6968000"/>
    <n v="11867340"/>
    <n v="0"/>
    <n v="0"/>
    <n v="111433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4728000"/>
    <n v="0"/>
    <n v="0"/>
    <n v="0"/>
    <n v="0"/>
    <n v="0"/>
    <s v="Pusat Pendidikan KP"/>
    <x v="2"/>
    <x v="4"/>
    <s v="52"/>
    <s v="SEKRETARIAT BADAN RISET DAN SUMBERDAYA MANUSIA KELAUTAN DAN PERIKANAN"/>
    <n v="18912000"/>
    <n v="32.419089413055403"/>
    <n v="39424000"/>
    <n v="67.580910586944597"/>
    <s v="WA.2378.EBA.994.002.GD.521115"/>
    <s v="Non COVID"/>
    <s v="HONOR OPERASIONAL SATKER"/>
    <s v="Belanja Barang Operasional"/>
    <n v="0"/>
    <n v="9456000"/>
    <n v="0"/>
    <n v="0"/>
    <n v="0"/>
    <n v="4728000"/>
    <n v="0"/>
    <n v="0"/>
    <n v="4728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0"/>
    <n v="0"/>
    <n v="0"/>
    <n v="0"/>
    <n v="0"/>
    <n v="0"/>
    <s v="Pusat Pendidikan KP"/>
    <x v="2"/>
    <x v="7"/>
    <s v="52"/>
    <s v="SEKRETARIAT BADAN RISET DAN SUMBERDAYA MANUSIA KELAUTAN DAN PERIKANAN"/>
    <n v="54730000"/>
    <n v="71.981902594925884"/>
    <n v="21303000"/>
    <n v="28.018097405074112"/>
    <s v="WA.2378.EBD.955.301.F.524111"/>
    <s v="Non COVID"/>
    <s v="PERJALANAN DINAS"/>
    <s v="Belanja Barang Non Operasional"/>
    <n v="0"/>
    <n v="34560000"/>
    <n v="10860000"/>
    <n v="0"/>
    <n v="5600000"/>
    <n v="0"/>
    <n v="1680000"/>
    <n v="2030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r>
  <r>
    <m/>
    <m/>
    <m/>
    <m/>
    <m/>
    <m/>
    <m/>
    <m/>
    <m/>
    <m/>
    <m/>
    <m/>
    <m/>
    <m/>
    <m/>
    <m/>
    <n v="11375804000"/>
    <n v="16863164000"/>
    <n v="100000000"/>
    <n v="5387360000"/>
    <n v="0"/>
    <n v="74237800"/>
    <n v="672277677"/>
    <n v="1892688850"/>
    <n v="1260934024"/>
    <n v="2582833681"/>
    <n v="214012482"/>
    <n v="0"/>
    <n v="0"/>
    <n v="0"/>
    <n v="0"/>
    <n v="0"/>
    <m/>
    <x v="4"/>
    <x v="8"/>
    <m/>
    <m/>
    <n v="6696984514"/>
    <n v="58.87042809457688"/>
    <n v="4678819486"/>
    <n v="41.12957190542312"/>
    <m/>
    <m/>
    <m/>
    <m/>
    <n v="99961115"/>
    <n v="410500187"/>
    <n v="98176375"/>
    <n v="95254996"/>
    <n v="95439616"/>
    <n v="93838577"/>
    <n v="312088731"/>
    <n v="7559500"/>
    <n v="9342390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1120000"/>
    <n v="0"/>
    <n v="0"/>
    <n v="0"/>
    <n v="0"/>
    <n v="0"/>
    <x v="0"/>
    <x v="0"/>
    <x v="0"/>
    <s v="52"/>
    <s v="SEKRETARIAT BADAN RISET DAN SUMBERDAYA MANUSIA KELAUTAN DAN PERIKANAN"/>
    <n v="27396000"/>
    <n v="63.328710124826628"/>
    <n v="15864000"/>
    <n v="36.671289875173372"/>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33484900"/>
    <n v="0"/>
    <n v="0"/>
    <n v="0"/>
    <n v="0"/>
    <n v="0"/>
    <x v="0"/>
    <x v="1"/>
    <x v="2"/>
    <s v="52"/>
    <s v="SEKRETARIAT BADAN RISET DAN SUMBERDAYA MANUSIA KELAUTAN DAN PERIKANAN"/>
    <n v="66713550"/>
    <n v="26.335266299284712"/>
    <n v="186610450"/>
    <n v="73.664733700715288"/>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46539280"/>
    <n v="0"/>
    <n v="0"/>
    <n v="0"/>
    <n v="0"/>
    <n v="0"/>
    <x v="0"/>
    <x v="2"/>
    <x v="4"/>
    <s v="52"/>
    <s v="SEKRETARIAT BADAN RISET DAN SUMBERDAYA MANUSIA KELAUTAN DAN PERIKANAN"/>
    <n v="207119741"/>
    <n v="55.433858000074942"/>
    <n v="166514259"/>
    <n v="44.566141999925065"/>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75328602"/>
    <n v="0"/>
    <n v="0"/>
    <n v="0"/>
    <n v="0"/>
    <n v="0"/>
    <x v="0"/>
    <x v="2"/>
    <x v="4"/>
    <s v="52"/>
    <s v="SEKRETARIAT BADAN RISET DAN SUMBERDAYA MANUSIA KELAUTAN DAN PERIKANAN"/>
    <n v="498386753"/>
    <n v="46.309003084871122"/>
    <n v="577833247"/>
    <n v="53.690996915128878"/>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155000"/>
    <n v="0"/>
    <n v="0"/>
    <n v="0"/>
    <n v="0"/>
    <n v="0"/>
    <x v="0"/>
    <x v="2"/>
    <x v="4"/>
    <s v="52"/>
    <s v="SEKRETARIAT BADAN RISET DAN SUMBERDAYA MANUSIA KELAUTAN DAN PERIKANAN"/>
    <n v="2441050"/>
    <n v="8.1368333333333336"/>
    <n v="27558950"/>
    <n v="91.863166666666658"/>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0000000"/>
    <n v="0"/>
    <n v="0"/>
    <n v="0"/>
    <n v="0"/>
    <n v="0"/>
    <x v="0"/>
    <x v="2"/>
    <x v="4"/>
    <s v="52"/>
    <s v="SEKRETARIAT BADAN RISET DAN SUMBERDAYA MANUSIA KELAUTAN DAN PERIKANAN"/>
    <n v="69800000"/>
    <n v="58.728502675596538"/>
    <n v="49052000"/>
    <n v="41.27149732440346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11143300"/>
    <n v="0"/>
    <n v="0"/>
    <n v="0"/>
    <n v="0"/>
    <n v="0"/>
    <x v="0"/>
    <x v="2"/>
    <x v="4"/>
    <s v="52"/>
    <s v="SEKRETARIAT BADAN RISET DAN SUMBERDAYA MANUSIA KELAUTAN DAN PERIKANAN"/>
    <n v="97018740"/>
    <n v="19.518909566442009"/>
    <n v="400031260"/>
    <n v="80.481090433557995"/>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4728000"/>
    <n v="0"/>
    <n v="0"/>
    <n v="0"/>
    <n v="0"/>
    <n v="0"/>
    <x v="0"/>
    <x v="2"/>
    <x v="4"/>
    <s v="52"/>
    <s v="SEKRETARIAT BADAN RISET DAN SUMBERDAYA MANUSIA KELAUTAN DAN PERIKANAN"/>
    <n v="18912000"/>
    <n v="32.419089413055403"/>
    <n v="39424000"/>
    <n v="67.58091058694459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4"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685">
      <pivotArea outline="0" collapsedLevelsAreSubtotals="1" fieldPosition="0">
        <references count="1">
          <reference field="4294967294" count="1" selected="0">
            <x v="2"/>
          </reference>
        </references>
      </pivotArea>
    </format>
    <format dxfId="684">
      <pivotArea outline="0" collapsedLevelsAreSubtotals="1" fieldPosition="0">
        <references count="1">
          <reference field="4294967294" count="1" selected="0">
            <x v="4"/>
          </reference>
        </references>
      </pivotArea>
    </format>
    <format dxfId="683">
      <pivotArea outline="0" collapsedLevelsAreSubtotals="1" fieldPosition="0">
        <references count="1">
          <reference field="4294967294" count="1" selected="0">
            <x v="3"/>
          </reference>
        </references>
      </pivotArea>
    </format>
    <format dxfId="682">
      <pivotArea outline="0" collapsedLevelsAreSubtotals="1" fieldPosition="0">
        <references count="1">
          <reference field="4294967294" count="1" selected="0">
            <x v="1"/>
          </reference>
        </references>
      </pivotArea>
    </format>
    <format dxfId="681">
      <pivotArea outline="0" collapsedLevelsAreSubtotals="1" fieldPosition="0">
        <references count="1">
          <reference field="4294967294" count="1" selected="0">
            <x v="0"/>
          </reference>
        </references>
      </pivotArea>
    </format>
    <format dxfId="680">
      <pivotArea dataOnly="0" labelOnly="1" fieldPosition="0">
        <references count="1">
          <reference field="3" count="0"/>
        </references>
      </pivotArea>
    </format>
    <format dxfId="679">
      <pivotArea dataOnly="0" labelOnly="1" fieldPosition="0">
        <references count="1">
          <reference field="5" count="0"/>
        </references>
      </pivotArea>
    </format>
    <format dxfId="678">
      <pivotArea dataOnly="0" labelOnly="1" fieldPosition="0">
        <references count="1">
          <reference field="9" count="0"/>
        </references>
      </pivotArea>
    </format>
    <format dxfId="677">
      <pivotArea dataOnly="0" labelOnly="1" fieldPosition="0">
        <references count="1">
          <reference field="11" count="0"/>
        </references>
      </pivotArea>
    </format>
    <format dxfId="676">
      <pivotArea dataOnly="0" labelOnly="1" fieldPosition="0">
        <references count="1">
          <reference field="13" count="0"/>
        </references>
      </pivotArea>
    </format>
    <format dxfId="675">
      <pivotArea dataOnly="0" labelOnly="1" outline="0" fieldPosition="0">
        <references count="1">
          <reference field="4294967294" count="5">
            <x v="0"/>
            <x v="1"/>
            <x v="2"/>
            <x v="3"/>
            <x v="4"/>
          </reference>
        </references>
      </pivotArea>
    </format>
    <format dxfId="674">
      <pivotArea type="all" dataOnly="0" outline="0" fieldPosition="0"/>
    </format>
    <format dxfId="673">
      <pivotArea outline="0" collapsedLevelsAreSubtotals="1" fieldPosition="0"/>
    </format>
    <format dxfId="672">
      <pivotArea field="3" type="button" dataOnly="0" labelOnly="1" outline="0" axis="axisRow" fieldPosition="1"/>
    </format>
    <format dxfId="671">
      <pivotArea dataOnly="0" labelOnly="1" fieldPosition="0">
        <references count="1">
          <reference field="3" count="0"/>
        </references>
      </pivotArea>
    </format>
    <format dxfId="670">
      <pivotArea dataOnly="0" labelOnly="1" grandRow="1" outline="0" fieldPosition="0"/>
    </format>
    <format dxfId="669">
      <pivotArea dataOnly="0" labelOnly="1" fieldPosition="0">
        <references count="2">
          <reference field="3" count="1" selected="0">
            <x v="0"/>
          </reference>
          <reference field="5" count="1">
            <x v="0"/>
          </reference>
        </references>
      </pivotArea>
    </format>
    <format dxfId="668">
      <pivotArea dataOnly="0" labelOnly="1" fieldPosition="0">
        <references count="2">
          <reference field="3" count="1" selected="0">
            <x v="1"/>
          </reference>
          <reference field="5" count="2">
            <x v="1"/>
            <x v="2"/>
          </reference>
        </references>
      </pivotArea>
    </format>
    <format dxfId="667">
      <pivotArea dataOnly="0" labelOnly="1" fieldPosition="0">
        <references count="3">
          <reference field="3" count="1" selected="0">
            <x v="0"/>
          </reference>
          <reference field="5" count="1" selected="0">
            <x v="0"/>
          </reference>
          <reference field="9" count="1">
            <x v="0"/>
          </reference>
        </references>
      </pivotArea>
    </format>
    <format dxfId="666">
      <pivotArea dataOnly="0" labelOnly="1" fieldPosition="0">
        <references count="3">
          <reference field="3" count="1" selected="0">
            <x v="1"/>
          </reference>
          <reference field="5" count="1" selected="0">
            <x v="1"/>
          </reference>
          <reference field="9" count="8">
            <x v="1"/>
            <x v="2"/>
            <x v="3"/>
            <x v="4"/>
            <x v="5"/>
            <x v="6"/>
            <x v="7"/>
            <x v="8"/>
          </reference>
        </references>
      </pivotArea>
    </format>
    <format dxfId="665">
      <pivotArea dataOnly="0" labelOnly="1" fieldPosition="0">
        <references count="3">
          <reference field="3" count="1" selected="0">
            <x v="1"/>
          </reference>
          <reference field="5" count="1" selected="0">
            <x v="2"/>
          </reference>
          <reference field="9" count="1">
            <x v="9"/>
          </reference>
        </references>
      </pivotArea>
    </format>
    <format dxfId="66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6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6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6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6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5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5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5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5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5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5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5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5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5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5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4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4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4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4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4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4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4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4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4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4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39">
      <pivotArea dataOnly="0" labelOnly="1" outline="0" fieldPosition="0">
        <references count="1">
          <reference field="4294967294" count="5">
            <x v="0"/>
            <x v="1"/>
            <x v="2"/>
            <x v="3"/>
            <x v="4"/>
          </reference>
        </references>
      </pivotArea>
    </format>
    <format dxfId="638">
      <pivotArea type="all" dataOnly="0" outline="0" fieldPosition="0"/>
    </format>
    <format dxfId="637">
      <pivotArea outline="0" collapsedLevelsAreSubtotals="1" fieldPosition="0"/>
    </format>
    <format dxfId="636">
      <pivotArea field="3" type="button" dataOnly="0" labelOnly="1" outline="0" axis="axisRow" fieldPosition="1"/>
    </format>
    <format dxfId="635">
      <pivotArea dataOnly="0" labelOnly="1" fieldPosition="0">
        <references count="1">
          <reference field="3" count="0"/>
        </references>
      </pivotArea>
    </format>
    <format dxfId="634">
      <pivotArea dataOnly="0" labelOnly="1" grandRow="1" outline="0" fieldPosition="0"/>
    </format>
    <format dxfId="633">
      <pivotArea dataOnly="0" labelOnly="1" fieldPosition="0">
        <references count="2">
          <reference field="3" count="1" selected="0">
            <x v="0"/>
          </reference>
          <reference field="5" count="1">
            <x v="0"/>
          </reference>
        </references>
      </pivotArea>
    </format>
    <format dxfId="632">
      <pivotArea dataOnly="0" labelOnly="1" fieldPosition="0">
        <references count="2">
          <reference field="3" count="1" selected="0">
            <x v="1"/>
          </reference>
          <reference field="5" count="2">
            <x v="1"/>
            <x v="2"/>
          </reference>
        </references>
      </pivotArea>
    </format>
    <format dxfId="631">
      <pivotArea dataOnly="0" labelOnly="1" fieldPosition="0">
        <references count="3">
          <reference field="3" count="1" selected="0">
            <x v="0"/>
          </reference>
          <reference field="5" count="1" selected="0">
            <x v="0"/>
          </reference>
          <reference field="9" count="1">
            <x v="0"/>
          </reference>
        </references>
      </pivotArea>
    </format>
    <format dxfId="630">
      <pivotArea dataOnly="0" labelOnly="1" fieldPosition="0">
        <references count="3">
          <reference field="3" count="1" selected="0">
            <x v="1"/>
          </reference>
          <reference field="5" count="1" selected="0">
            <x v="1"/>
          </reference>
          <reference field="9" count="8">
            <x v="1"/>
            <x v="2"/>
            <x v="3"/>
            <x v="4"/>
            <x v="5"/>
            <x v="6"/>
            <x v="7"/>
            <x v="8"/>
          </reference>
        </references>
      </pivotArea>
    </format>
    <format dxfId="629">
      <pivotArea dataOnly="0" labelOnly="1" fieldPosition="0">
        <references count="3">
          <reference field="3" count="1" selected="0">
            <x v="1"/>
          </reference>
          <reference field="5" count="1" selected="0">
            <x v="2"/>
          </reference>
          <reference field="9" count="1">
            <x v="9"/>
          </reference>
        </references>
      </pivotArea>
    </format>
    <format dxfId="62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2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2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2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2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2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2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2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2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1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1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1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1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1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1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1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1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1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1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0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0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0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0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0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0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03">
      <pivotArea dataOnly="0" labelOnly="1" outline="0" fieldPosition="0">
        <references count="1">
          <reference field="4294967294" count="5">
            <x v="0"/>
            <x v="1"/>
            <x v="2"/>
            <x v="3"/>
            <x v="4"/>
          </reference>
        </references>
      </pivotArea>
    </format>
    <format dxfId="602">
      <pivotArea collapsedLevelsAreSubtotals="1" fieldPosition="0">
        <references count="1">
          <reference field="3" count="1">
            <x v="0"/>
          </reference>
        </references>
      </pivotArea>
    </format>
    <format dxfId="601">
      <pivotArea collapsedLevelsAreSubtotals="1" fieldPosition="0">
        <references count="1">
          <reference field="3" count="1">
            <x v="1"/>
          </reference>
        </references>
      </pivotArea>
    </format>
    <format dxfId="600">
      <pivotArea collapsedLevelsAreSubtotals="1" fieldPosition="0">
        <references count="3">
          <reference field="3" count="1" selected="0">
            <x v="0"/>
          </reference>
          <reference field="5" count="1" selected="0">
            <x v="0"/>
          </reference>
          <reference field="9" count="1">
            <x v="0"/>
          </reference>
        </references>
      </pivotArea>
    </format>
    <format dxfId="599">
      <pivotArea collapsedLevelsAreSubtotals="1" fieldPosition="0">
        <references count="3">
          <reference field="3" count="1" selected="0">
            <x v="1"/>
          </reference>
          <reference field="5" count="1" selected="0">
            <x v="1"/>
          </reference>
          <reference field="9" count="1">
            <x v="1"/>
          </reference>
        </references>
      </pivotArea>
    </format>
    <format dxfId="598">
      <pivotArea collapsedLevelsAreSubtotals="1" fieldPosition="0">
        <references count="3">
          <reference field="3" count="1" selected="0">
            <x v="1"/>
          </reference>
          <reference field="5" count="1" selected="0">
            <x v="1"/>
          </reference>
          <reference field="9" count="1">
            <x v="2"/>
          </reference>
        </references>
      </pivotArea>
    </format>
    <format dxfId="597">
      <pivotArea collapsedLevelsAreSubtotals="1" fieldPosition="0">
        <references count="3">
          <reference field="3" count="1" selected="0">
            <x v="1"/>
          </reference>
          <reference field="5" count="1" selected="0">
            <x v="1"/>
          </reference>
          <reference field="9" count="1">
            <x v="3"/>
          </reference>
        </references>
      </pivotArea>
    </format>
    <format dxfId="596">
      <pivotArea collapsedLevelsAreSubtotals="1" fieldPosition="0">
        <references count="3">
          <reference field="3" count="1" selected="0">
            <x v="1"/>
          </reference>
          <reference field="5" count="1" selected="0">
            <x v="1"/>
          </reference>
          <reference field="9" count="1">
            <x v="4"/>
          </reference>
        </references>
      </pivotArea>
    </format>
    <format dxfId="595">
      <pivotArea collapsedLevelsAreSubtotals="1" fieldPosition="0">
        <references count="3">
          <reference field="3" count="1" selected="0">
            <x v="1"/>
          </reference>
          <reference field="5" count="1" selected="0">
            <x v="1"/>
          </reference>
          <reference field="9" count="1">
            <x v="5"/>
          </reference>
        </references>
      </pivotArea>
    </format>
    <format dxfId="594">
      <pivotArea collapsedLevelsAreSubtotals="1" fieldPosition="0">
        <references count="3">
          <reference field="3" count="1" selected="0">
            <x v="1"/>
          </reference>
          <reference field="5" count="1" selected="0">
            <x v="1"/>
          </reference>
          <reference field="9" count="1">
            <x v="6"/>
          </reference>
        </references>
      </pivotArea>
    </format>
    <format dxfId="593">
      <pivotArea collapsedLevelsAreSubtotals="1" fieldPosition="0">
        <references count="3">
          <reference field="3" count="1" selected="0">
            <x v="1"/>
          </reference>
          <reference field="5" count="1" selected="0">
            <x v="1"/>
          </reference>
          <reference field="9" count="1">
            <x v="7"/>
          </reference>
        </references>
      </pivotArea>
    </format>
    <format dxfId="592">
      <pivotArea collapsedLevelsAreSubtotals="1" fieldPosition="0">
        <references count="3">
          <reference field="3" count="1" selected="0">
            <x v="1"/>
          </reference>
          <reference field="5" count="1" selected="0">
            <x v="1"/>
          </reference>
          <reference field="9" count="1">
            <x v="8"/>
          </reference>
        </references>
      </pivotArea>
    </format>
    <format dxfId="591">
      <pivotArea collapsedLevelsAreSubtotals="1" fieldPosition="0">
        <references count="3">
          <reference field="3" count="1" selected="0">
            <x v="1"/>
          </reference>
          <reference field="5" count="1" selected="0">
            <x v="2"/>
          </reference>
          <reference field="9" count="1">
            <x v="9"/>
          </reference>
        </references>
      </pivotArea>
    </format>
    <format dxfId="590">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589">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588">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587">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586">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585">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584">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583">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582">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581">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580">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579">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578">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577">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576">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57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57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573">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7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57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57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569">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68">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67">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6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56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56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56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56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56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56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55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55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55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55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55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55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55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552">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5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55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54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54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54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546">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4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54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54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54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54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54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53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53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53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53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535">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34">
      <pivotArea collapsedLevelsAreSubtotals="1" fieldPosition="0">
        <references count="2">
          <reference field="3" count="1" selected="0">
            <x v="1"/>
          </reference>
          <reference field="5" count="1">
            <x v="1"/>
          </reference>
        </references>
      </pivotArea>
    </format>
    <format dxfId="533">
      <pivotArea field="3" type="button" dataOnly="0" labelOnly="1" outline="0" axis="axisRow" fieldPosition="1"/>
    </format>
    <format dxfId="532">
      <pivotArea collapsedLevelsAreSubtotals="1" fieldPosition="0">
        <references count="2">
          <reference field="3" count="1" selected="0">
            <x v="1"/>
          </reference>
          <reference field="5" count="1">
            <x v="2"/>
          </reference>
        </references>
      </pivotArea>
    </format>
    <format dxfId="531">
      <pivotArea collapsedLevelsAreSubtotals="1" fieldPosition="0">
        <references count="2">
          <reference field="3" count="1" selected="0">
            <x v="0"/>
          </reference>
          <reference field="5" count="1">
            <x v="0"/>
          </reference>
        </references>
      </pivotArea>
    </format>
    <format dxfId="530">
      <pivotArea field="3" type="button" dataOnly="0" labelOnly="1" outline="0" axis="axisRow" fieldPosition="1"/>
    </format>
    <format dxfId="529">
      <pivotArea dataOnly="0" labelOnly="1" outline="0" fieldPosition="0">
        <references count="1">
          <reference field="4294967294" count="5">
            <x v="0"/>
            <x v="1"/>
            <x v="2"/>
            <x v="3"/>
            <x v="4"/>
          </reference>
        </references>
      </pivotArea>
    </format>
    <format dxfId="528">
      <pivotArea field="3" type="button" dataOnly="0" labelOnly="1" outline="0" axis="axisRow" fieldPosition="1"/>
    </format>
    <format dxfId="527">
      <pivotArea dataOnly="0" labelOnly="1" outline="0" fieldPosition="0">
        <references count="1">
          <reference field="4294967294" count="5">
            <x v="0"/>
            <x v="1"/>
            <x v="2"/>
            <x v="3"/>
            <x v="4"/>
          </reference>
        </references>
      </pivotArea>
    </format>
    <format dxfId="526">
      <pivotArea field="3" type="button" dataOnly="0" labelOnly="1" outline="0" axis="axisRow" fieldPosition="1"/>
    </format>
    <format dxfId="525">
      <pivotArea dataOnly="0" labelOnly="1" fieldPosition="0">
        <references count="1">
          <reference field="3" count="0"/>
        </references>
      </pivotArea>
    </format>
    <format dxfId="524">
      <pivotArea dataOnly="0" labelOnly="1" grandRow="1" outline="0" fieldPosition="0"/>
    </format>
    <format dxfId="523">
      <pivotArea dataOnly="0" labelOnly="1" fieldPosition="0">
        <references count="2">
          <reference field="3" count="1" selected="0">
            <x v="0"/>
          </reference>
          <reference field="5" count="1">
            <x v="0"/>
          </reference>
        </references>
      </pivotArea>
    </format>
    <format dxfId="522">
      <pivotArea dataOnly="0" labelOnly="1" fieldPosition="0">
        <references count="2">
          <reference field="3" count="1" selected="0">
            <x v="1"/>
          </reference>
          <reference field="5" count="2">
            <x v="1"/>
            <x v="2"/>
          </reference>
        </references>
      </pivotArea>
    </format>
    <format dxfId="521">
      <pivotArea dataOnly="0" labelOnly="1" fieldPosition="0">
        <references count="3">
          <reference field="3" count="1" selected="0">
            <x v="0"/>
          </reference>
          <reference field="5" count="1" selected="0">
            <x v="0"/>
          </reference>
          <reference field="9" count="1">
            <x v="0"/>
          </reference>
        </references>
      </pivotArea>
    </format>
    <format dxfId="520">
      <pivotArea dataOnly="0" labelOnly="1" fieldPosition="0">
        <references count="3">
          <reference field="3" count="1" selected="0">
            <x v="1"/>
          </reference>
          <reference field="5" count="1" selected="0">
            <x v="1"/>
          </reference>
          <reference field="9" count="8">
            <x v="1"/>
            <x v="2"/>
            <x v="3"/>
            <x v="4"/>
            <x v="5"/>
            <x v="6"/>
            <x v="7"/>
            <x v="8"/>
          </reference>
        </references>
      </pivotArea>
    </format>
    <format dxfId="519">
      <pivotArea dataOnly="0" labelOnly="1" fieldPosition="0">
        <references count="3">
          <reference field="3" count="1" selected="0">
            <x v="1"/>
          </reference>
          <reference field="5" count="1" selected="0">
            <x v="2"/>
          </reference>
          <reference field="9" count="1">
            <x v="9"/>
          </reference>
        </references>
      </pivotArea>
    </format>
    <format dxfId="51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1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1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1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1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1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1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1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1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0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0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0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0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0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0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0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0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50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50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9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9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9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9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9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9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93">
      <pivotArea dataOnly="0" labelOnly="1" fieldPosition="0">
        <references count="1">
          <reference field="13" count="0"/>
        </references>
      </pivotArea>
    </format>
    <format dxfId="492">
      <pivotArea dataOnly="0" labelOnly="1" fieldPosition="0">
        <references count="1">
          <reference field="13" count="0"/>
        </references>
      </pivotArea>
    </format>
    <format dxfId="491">
      <pivotArea type="all" dataOnly="0" outline="0" fieldPosition="0"/>
    </format>
    <format dxfId="490">
      <pivotArea outline="0" collapsedLevelsAreSubtotals="1" fieldPosition="0"/>
    </format>
    <format dxfId="489">
      <pivotArea field="32" type="button" dataOnly="0" labelOnly="1" outline="0" axis="axisRow" fieldPosition="0"/>
    </format>
    <format dxfId="488">
      <pivotArea dataOnly="0" labelOnly="1" grandRow="1" outline="0" fieldPosition="0"/>
    </format>
    <format dxfId="487">
      <pivotArea dataOnly="0" labelOnly="1" fieldPosition="0">
        <references count="2">
          <reference field="3" count="0"/>
          <reference field="32" count="0" selected="0"/>
        </references>
      </pivotArea>
    </format>
    <format dxfId="486">
      <pivotArea dataOnly="0" labelOnly="1" fieldPosition="0">
        <references count="3">
          <reference field="3" count="1" selected="0">
            <x v="0"/>
          </reference>
          <reference field="5" count="1">
            <x v="0"/>
          </reference>
          <reference field="32" count="0" selected="0"/>
        </references>
      </pivotArea>
    </format>
    <format dxfId="485">
      <pivotArea dataOnly="0" labelOnly="1" fieldPosition="0">
        <references count="3">
          <reference field="3" count="1" selected="0">
            <x v="1"/>
          </reference>
          <reference field="5" count="2">
            <x v="1"/>
            <x v="2"/>
          </reference>
          <reference field="32" count="0" selected="0"/>
        </references>
      </pivotArea>
    </format>
    <format dxfId="484">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483">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482">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481">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480">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479">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478">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477">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476">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475">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474">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473">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47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7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70">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6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6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46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46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465">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46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46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462">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46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46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459">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458">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457">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456">
      <pivotArea dataOnly="0" labelOnly="1" outline="0" fieldPosition="0">
        <references count="1">
          <reference field="4294967294" count="5">
            <x v="0"/>
            <x v="1"/>
            <x v="2"/>
            <x v="3"/>
            <x v="4"/>
          </reference>
        </references>
      </pivotArea>
    </format>
    <format dxfId="455">
      <pivotArea dataOnly="0" labelOnly="1" fieldPosition="0">
        <references count="1">
          <reference field="33" count="0"/>
        </references>
      </pivotArea>
    </format>
    <format dxfId="454">
      <pivotArea dataOnly="0" labelOnly="1" fieldPosition="0">
        <references count="1">
          <reference field="34" count="0"/>
        </references>
      </pivotArea>
    </format>
    <format dxfId="453">
      <pivotArea dataOnly="0" labelOnly="1" fieldPosition="0">
        <references count="1">
          <reference field="34" count="0"/>
        </references>
      </pivotArea>
    </format>
    <format dxfId="452">
      <pivotArea dataOnly="0" labelOnly="1" fieldPosition="0">
        <references count="1">
          <reference field="34" count="0"/>
        </references>
      </pivotArea>
    </format>
    <format dxfId="451">
      <pivotArea dataOnly="0" labelOnly="1" fieldPosition="0">
        <references count="1">
          <reference field="34" count="0"/>
        </references>
      </pivotArea>
    </format>
    <format dxfId="450">
      <pivotArea dataOnly="0" labelOnly="1" fieldPosition="0">
        <references count="1">
          <reference field="33" count="0"/>
        </references>
      </pivotArea>
    </format>
    <format dxfId="449">
      <pivotArea dataOnly="0" labelOnly="1" fieldPosition="0">
        <references count="1">
          <reference field="33" count="0"/>
        </references>
      </pivotArea>
    </format>
    <format dxfId="448">
      <pivotArea dataOnly="0" labelOnly="1" fieldPosition="0">
        <references count="1">
          <reference field="33" count="0"/>
        </references>
      </pivotArea>
    </format>
    <format dxfId="447">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446">
      <pivotArea dataOnly="0" labelOnly="1" fieldPosition="0">
        <references count="4">
          <reference field="3" count="1" selected="0">
            <x v="0"/>
          </reference>
          <reference field="5" count="1" selected="0">
            <x v="0"/>
          </reference>
          <reference field="32" count="0" selected="0"/>
          <reference field="33" count="1">
            <x v="0"/>
          </reference>
        </references>
      </pivotArea>
    </format>
    <format dxfId="445">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444">
      <pivotArea dataOnly="0" labelOnly="1" fieldPosition="0">
        <references count="4">
          <reference field="3" count="1" selected="0">
            <x v="0"/>
          </reference>
          <reference field="5" count="1" selected="0">
            <x v="0"/>
          </reference>
          <reference field="32" count="0" selected="0"/>
          <reference field="33" count="1">
            <x v="1"/>
          </reference>
        </references>
      </pivotArea>
    </format>
    <format dxfId="443">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442">
      <pivotArea dataOnly="0" labelOnly="1" fieldPosition="0">
        <references count="4">
          <reference field="3" count="1" selected="0">
            <x v="1"/>
          </reference>
          <reference field="5" count="1" selected="0">
            <x v="1"/>
          </reference>
          <reference field="32" count="0" selected="0"/>
          <reference field="33" count="1">
            <x v="0"/>
          </reference>
        </references>
      </pivotArea>
    </format>
    <format dxfId="441">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440">
      <pivotArea dataOnly="0" labelOnly="1" fieldPosition="0">
        <references count="4">
          <reference field="3" count="1" selected="0">
            <x v="1"/>
          </reference>
          <reference field="5" count="1" selected="0">
            <x v="1"/>
          </reference>
          <reference field="32" count="0" selected="0"/>
          <reference field="33" count="1">
            <x v="1"/>
          </reference>
        </references>
      </pivotArea>
    </format>
    <format dxfId="439">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438">
      <pivotArea dataOnly="0" labelOnly="1" fieldPosition="0">
        <references count="4">
          <reference field="3" count="1" selected="0">
            <x v="1"/>
          </reference>
          <reference field="5" count="1" selected="0">
            <x v="1"/>
          </reference>
          <reference field="32" count="0" selected="0"/>
          <reference field="33" count="1">
            <x v="2"/>
          </reference>
        </references>
      </pivotArea>
    </format>
    <format dxfId="437">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436">
      <pivotArea dataOnly="0" labelOnly="1" fieldPosition="0">
        <references count="4">
          <reference field="3" count="1" selected="0">
            <x v="1"/>
          </reference>
          <reference field="5" count="1" selected="0">
            <x v="1"/>
          </reference>
          <reference field="32" count="0" selected="0"/>
          <reference field="33" count="1">
            <x v="3"/>
          </reference>
        </references>
      </pivotArea>
    </format>
    <format dxfId="435">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434">
      <pivotArea dataOnly="0" labelOnly="1" fieldPosition="0">
        <references count="4">
          <reference field="3" count="1" selected="0">
            <x v="1"/>
          </reference>
          <reference field="5" count="1" selected="0">
            <x v="2"/>
          </reference>
          <reference field="32" count="0" selected="0"/>
          <reference field="33" count="1">
            <x v="2"/>
          </reference>
        </references>
      </pivotArea>
    </format>
    <format dxfId="433">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32">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31">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30">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29">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8">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7">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6">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5">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24">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23">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22">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21">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20">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19">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8">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7">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6">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5">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14">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13">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12">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11">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10">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09">
      <pivotArea dataOnly="0" labelOnly="1" fieldPosition="0">
        <references count="1">
          <reference field="32" count="0"/>
        </references>
      </pivotArea>
    </format>
    <format dxfId="408">
      <pivotArea collapsedLevelsAreSubtotals="1" fieldPosition="0">
        <references count="1">
          <reference field="32" count="0"/>
        </references>
      </pivotArea>
    </format>
    <format dxfId="407">
      <pivotArea dataOnly="0" labelOnly="1" fieldPosition="0">
        <references count="1">
          <reference field="32" count="0"/>
        </references>
      </pivotArea>
    </format>
    <format dxfId="406">
      <pivotArea dataOnly="0" labelOnly="1" fieldPosition="0">
        <references count="1">
          <reference field="13" count="0"/>
        </references>
      </pivotArea>
    </format>
    <format dxfId="40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40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40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40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40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40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99">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9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93">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9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9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9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8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8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8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8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8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8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9">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7">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7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7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7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7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7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6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6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6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6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6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6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5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7">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5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5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5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5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5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4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4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4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4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4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4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3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5">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3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3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3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3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3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2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5">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2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23">
      <pivotArea dataOnly="0" labelOnly="1" fieldPosition="0">
        <references count="1">
          <reference field="11" count="0"/>
        </references>
      </pivotArea>
    </format>
    <format dxfId="322">
      <pivotArea dataOnly="0" labelOnly="1" fieldPosition="0">
        <references count="1">
          <reference field="11" count="0"/>
        </references>
      </pivotArea>
    </format>
    <format dxfId="321">
      <pivotArea dataOnly="0" labelOnly="1" fieldPosition="0">
        <references count="1">
          <reference field="13" count="0"/>
        </references>
      </pivotArea>
    </format>
    <format dxfId="320">
      <pivotArea dataOnly="0" labelOnly="1" fieldPosition="0">
        <references count="1">
          <reference field="13" count="0"/>
        </references>
      </pivotArea>
    </format>
    <format dxfId="319">
      <pivotArea dataOnly="0" labelOnly="1" fieldPosition="0">
        <references count="1">
          <reference field="34" count="0"/>
        </references>
      </pivotArea>
    </format>
    <format dxfId="318">
      <pivotArea dataOnly="0" labelOnly="1" fieldPosition="0">
        <references count="1">
          <reference field="34" count="0"/>
        </references>
      </pivotArea>
    </format>
    <format dxfId="3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8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8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7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7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7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7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71">
      <pivotArea dataOnly="0" labelOnly="1" fieldPosition="0">
        <references count="1">
          <reference field="11" count="0"/>
        </references>
      </pivotArea>
    </format>
    <format dxfId="270">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9">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8">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6">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4">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6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6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6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6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6">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5">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4">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53">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52">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51">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50">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8">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6">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4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42">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4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40">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8">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7">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6">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5">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4">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3">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2">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0">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8">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7">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0">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9">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8">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7">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6">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4">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1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12">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11">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10">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9">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6">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4">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03">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02">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01">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00">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9">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8">
      <pivotArea outline="0" collapsedLevelsAreSubtotals="1" fieldPosition="0"/>
    </format>
    <format dxfId="19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19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19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19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193">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19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591AA4-E882-4D11-AF63-028F67754B22}"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K20" firstHeaderRow="0" firstDataRow="1" firstDataCol="1"/>
  <pivotFields count="54">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9">
    <i>
      <x/>
    </i>
    <i i="1">
      <x v="1"/>
    </i>
    <i i="2">
      <x v="2"/>
    </i>
    <i i="3">
      <x v="3"/>
    </i>
    <i i="4">
      <x v="4"/>
    </i>
    <i i="5">
      <x v="5"/>
    </i>
    <i i="6">
      <x v="6"/>
    </i>
    <i i="7">
      <x v="7"/>
    </i>
    <i i="8">
      <x v="8"/>
    </i>
  </colItems>
  <dataFields count="9">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s>
  <formats count="15">
    <format dxfId="191">
      <pivotArea outline="0" collapsedLevelsAreSubtotals="1" fieldPosition="0"/>
    </format>
    <format dxfId="190">
      <pivotArea type="all" dataOnly="0" outline="0" fieldPosition="0"/>
    </format>
    <format dxfId="189">
      <pivotArea outline="0" collapsedLevelsAreSubtotals="1" fieldPosition="0"/>
    </format>
    <format dxfId="188">
      <pivotArea field="33" type="button" dataOnly="0" labelOnly="1" outline="0" axis="axisRow" fieldPosition="0"/>
    </format>
    <format dxfId="187">
      <pivotArea dataOnly="0" labelOnly="1" grandRow="1" outline="0" fieldPosition="0"/>
    </format>
    <format dxfId="186">
      <pivotArea dataOnly="0" labelOnly="1" outline="0" fieldPosition="0">
        <references count="1">
          <reference field="4294967294" count="4">
            <x v="0"/>
            <x v="1"/>
            <x v="2"/>
            <x v="3"/>
          </reference>
        </references>
      </pivotArea>
    </format>
    <format dxfId="185">
      <pivotArea dataOnly="0" labelOnly="1" fieldPosition="0">
        <references count="1">
          <reference field="33" count="0"/>
        </references>
      </pivotArea>
    </format>
    <format dxfId="184">
      <pivotArea collapsedLevelsAreSubtotals="1" fieldPosition="0">
        <references count="1">
          <reference field="33" count="1">
            <x v="0"/>
          </reference>
        </references>
      </pivotArea>
    </format>
    <format dxfId="183">
      <pivotArea dataOnly="0" labelOnly="1" fieldPosition="0">
        <references count="1">
          <reference field="33" count="1">
            <x v="0"/>
          </reference>
        </references>
      </pivotArea>
    </format>
    <format dxfId="182">
      <pivotArea collapsedLevelsAreSubtotals="1" fieldPosition="0">
        <references count="1">
          <reference field="33" count="1">
            <x v="1"/>
          </reference>
        </references>
      </pivotArea>
    </format>
    <format dxfId="181">
      <pivotArea dataOnly="0" labelOnly="1" fieldPosition="0">
        <references count="1">
          <reference field="33" count="1">
            <x v="1"/>
          </reference>
        </references>
      </pivotArea>
    </format>
    <format dxfId="180">
      <pivotArea collapsedLevelsAreSubtotals="1" fieldPosition="0">
        <references count="1">
          <reference field="33" count="1">
            <x v="2"/>
          </reference>
        </references>
      </pivotArea>
    </format>
    <format dxfId="179">
      <pivotArea dataOnly="0" labelOnly="1" fieldPosition="0">
        <references count="1">
          <reference field="33" count="1">
            <x v="2"/>
          </reference>
        </references>
      </pivotArea>
    </format>
    <format dxfId="178">
      <pivotArea collapsedLevelsAreSubtotals="1" fieldPosition="0">
        <references count="1">
          <reference field="33" count="1">
            <x v="3"/>
          </reference>
        </references>
      </pivotArea>
    </format>
    <format dxfId="177">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22">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21">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20">
      <calculatedColumnFormula>_xlfn.TEXTJOIN(" - ",TRUE,Subkoord[[#This Row],[id]],Subkoord[[#This Row],[skrdklpk]])</calculatedColumnFormula>
    </tableColumn>
    <tableColumn id="7" xr3:uid="{BB0E08D1-7433-45E1-9A8E-F09478BEE345}" name="Koordinator" dataDxfId="719">
      <calculatedColumnFormula array="1">INDEX(Koord[Koordinator],MATCH(1,(Subkoord[[#This Row],[id2]]=Koord[id2])*(Subkoord[[#This Row],[id3]]=Koord[id]),0))</calculatedColumnFormula>
    </tableColumn>
    <tableColumn id="8" xr3:uid="{CE9A8D26-5115-4AB0-A0D6-173532BAC073}" name="Eselon2" dataDxfId="718">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93" totalsRowShown="0" headerRowDxfId="714" dataDxfId="713" tableBorderDxfId="712">
  <autoFilter ref="B10:O193" xr:uid="{5439E600-4AE6-4A9C-BF96-1F8B4649EF5E}"/>
  <sortState xmlns:xlrd2="http://schemas.microsoft.com/office/spreadsheetml/2017/richdata2" ref="B11:O181">
    <sortCondition ref="C10:C181"/>
  </sortState>
  <tableColumns count="14">
    <tableColumn id="1" xr3:uid="{EA3EA993-E9B8-4175-AE78-56C2DE826084}" name="No" dataDxfId="711" totalsRowDxfId="710" dataCellStyle="Normal 4" totalsRowCellStyle="Normal 4"/>
    <tableColumn id="14" xr3:uid="{39BE1E11-4C0D-43C9-A7CF-CFD7B6D88EC1}" name="Urut" dataDxfId="709" totalsRowDxfId="708" dataCellStyle="Normal 4" totalsRowCellStyle="Normal 4"/>
    <tableColumn id="2" xr3:uid="{55765DF9-9B2D-49B2-8C10-51C6F4795A2B}" name="Nomor SP2D" dataDxfId="707" totalsRowDxfId="706" totalsRowCellStyle="Normal 4"/>
    <tableColumn id="3" xr3:uid="{95F2A4A6-178D-4D09-BEC2-A35DA9DD284C}" name="Tanggal SP2D" dataDxfId="705" totalsRowDxfId="704" totalsRowCellStyle="Normal 4"/>
    <tableColumn id="4" xr3:uid="{1BFC6E15-B107-44FC-880F-0FA398A70437}" name="Nilai SP2D" dataDxfId="703" totalsRowDxfId="702" dataCellStyle="Comma [0]" totalsRowCellStyle="Comma [0]"/>
    <tableColumn id="5" xr3:uid="{BA79B4B6-6D4D-4C40-A794-FBA956D546A8}" name="Jenis SPM" dataDxfId="701" totalsRowDxfId="700" totalsRowCellStyle="Normal 4"/>
    <tableColumn id="6" xr3:uid="{0728F6B3-877B-4801-849D-78A7FD394756}" name="Nomor Invoice" dataDxfId="699" totalsRowDxfId="698" totalsRowCellStyle="Normal 4"/>
    <tableColumn id="7" xr3:uid="{BC8C9A9E-906E-4F73-AA7C-36C21228DCD0}" name="Tanggal Invoice" dataDxfId="697" totalsRowDxfId="696" totalsRowCellStyle="Normal 4"/>
    <tableColumn id="8" xr3:uid="{4F370E97-CC92-41D4-B70A-C2C397F13E5F}" name="Jenis SP2D" dataDxfId="695" totalsRowDxfId="694" totalsRowCellStyle="Normal 4"/>
    <tableColumn id="9" xr3:uid="{5AB0F2BB-729E-4A36-99C2-531506F2E0D4}" name="Deskripsi" dataDxfId="693" totalsRowDxfId="692" totalsRowCellStyle="Normal 4"/>
    <tableColumn id="10" xr3:uid="{E9855FB4-726E-4E0F-A40E-89C5AF4CAAE7}" name="Bagian / Bidang" dataDxfId="691" totalsRowDxfId="690" dataCellStyle="Normal 4" totalsRowCellStyle="Normal 4"/>
    <tableColumn id="11" xr3:uid="{07CEE088-AC9A-406D-AECA-D9F23626D4D5}" name="Subbagian / Subbidang" dataDxfId="689" totalsRowDxfId="688" dataCellStyle="Normal 4" totalsRowCellStyle="Normal 4"/>
    <tableColumn id="13" xr3:uid="{7D701C80-B1AD-4D78-B3C3-525A71261916}" name="Status Realisasi" dataDxfId="687" dataCellStyle="Normal 4"/>
    <tableColumn id="12" xr3:uid="{BE916C21-2F59-4DE9-9BDF-707A1C1956B2}" name="all" dataDxfId="686"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76" dataDxfId="175">
  <autoFilter ref="A3:BA143" xr:uid="{0C46C9EE-53F2-428C-9BE4-AA19FA2987DF}"/>
  <tableColumns count="53">
    <tableColumn id="1" xr3:uid="{A2BC3788-B1CE-4A3F-B6F3-D1D27F201210}" name="kddept" dataDxfId="174"/>
    <tableColumn id="2" xr3:uid="{2DB0BCF7-353A-4057-BFD0-5A9AFD7AD377}" name="kdunit" dataDxfId="173"/>
    <tableColumn id="3" xr3:uid="{6BCC3689-465C-41AB-AA41-B61148952378}" name="kdprogram" dataDxfId="172"/>
    <tableColumn id="4" xr3:uid="{2A5A7B58-839E-4216-A115-BA31451747CC}" name="Program" dataDxfId="171"/>
    <tableColumn id="5" xr3:uid="{B90B5CFD-D8F4-48C4-81DF-60CCA43D8B33}" name="kdgiat" dataDxfId="170"/>
    <tableColumn id="6" xr3:uid="{665306DE-5004-4796-BA54-AF3E581B23DE}" name="Kegiatan" dataDxfId="169"/>
    <tableColumn id="7" xr3:uid="{896282BA-49FB-4172-920C-20AE0DBD436D}" name="kdoutput" dataDxfId="168"/>
    <tableColumn id="8" xr3:uid="{81ACE6BC-C81E-44B5-AC16-FA7339E6C95D}" name="Output" dataDxfId="167"/>
    <tableColumn id="9" xr3:uid="{B9A79FBA-908D-418C-864B-733536EBB6AD}" name="kdsoutput" dataDxfId="166"/>
    <tableColumn id="10" xr3:uid="{8730A0E5-24CD-4DD0-97C9-7EB5897F6937}" name="SubOutput" dataDxfId="165"/>
    <tableColumn id="11" xr3:uid="{A1213678-0772-43DE-9A68-4CCAC2CAB97F}" name="kdkmpnen" dataDxfId="164"/>
    <tableColumn id="12" xr3:uid="{13F01672-806F-47CD-8E7B-DBEF02211C49}" name="Komponen" dataDxfId="163"/>
    <tableColumn id="13" xr3:uid="{EE24777D-4C50-49CF-9D51-B1D10E6B59C5}" name="kdskmpnen" dataDxfId="162"/>
    <tableColumn id="14" xr3:uid="{6B16732C-65AB-40BC-9BE7-38F27B545CA4}" name="SubKomponen" dataDxfId="161"/>
    <tableColumn id="15" xr3:uid="{9DE11426-CAD6-4307-AF79-5BA31FE425C4}" name="kdakun" dataDxfId="160"/>
    <tableColumn id="16" xr3:uid="{95D2AD80-8C0A-4582-9C73-FCD7148568BD}" name="Akun" dataDxfId="159"/>
    <tableColumn id="17" xr3:uid="{1099A73B-6EFE-4758-9112-C98BE9AF6233}" name="Pagu" dataDxfId="158" dataCellStyle="Comma [0]">
      <calculatedColumnFormula array="1">SUM(_xlfn._xlws.FILTER(DIPA2[PaguRevisi],DIPA2[Akun]=SP2D[[#This Row],[Kode Akun]],0))</calculatedColumnFormula>
    </tableColumn>
    <tableColumn id="18" xr3:uid="{F5761B11-9E81-4F7C-BD95-CB52A5BA049C}" name="Pagu Semula" dataDxfId="157" dataCellStyle="Comma [0]"/>
    <tableColumn id="52" xr3:uid="{756AF1CD-7E6D-49D5-9982-55502306D24E}" name="Blokir AA ke 1" dataDxfId="156" dataCellStyle="Comma [0]"/>
    <tableColumn id="53" xr3:uid="{6DF30DE6-28F7-4458-802A-BCB387ECC2BB}" name="Blokir AA ke 2" dataDxfId="155" dataCellStyle="Comma [0]">
      <calculatedColumnFormula>SP2D[[#This Row],[Pagu Semula]]-SP2D[[#This Row],[Pagu]]</calculatedColumnFormula>
    </tableColumn>
    <tableColumn id="19" xr3:uid="{D85464D1-34A4-4D62-B202-AA5B44380AE8}" name="Jan" dataDxfId="154">
      <calculatedColumnFormula>SUM('PER BULAN'!J92:L92)</calculatedColumnFormula>
    </tableColumn>
    <tableColumn id="20" xr3:uid="{59AFB7C3-9561-4F72-BA75-233CA8574E0E}" name="Feb" dataDxfId="153"/>
    <tableColumn id="21" xr3:uid="{339941D9-EB6A-4D9E-AAFD-8BC87914D9CD}" name="Mar" dataDxfId="152"/>
    <tableColumn id="22" xr3:uid="{4DB8271D-A562-4BDB-AF86-6803F5A0D6B6}" name="Apr" dataDxfId="151"/>
    <tableColumn id="23" xr3:uid="{A6296B83-2C3A-4B7B-B349-C7B81EF82E20}" name="Mei" dataDxfId="150"/>
    <tableColumn id="24" xr3:uid="{E35B9BB8-2C59-4938-BD17-AB6DA6D49836}" name="Jun" dataDxfId="149"/>
    <tableColumn id="25" xr3:uid="{0B56CE2F-22F5-4935-B179-82B908FFA45C}" name="Jul" dataDxfId="148"/>
    <tableColumn id="26" xr3:uid="{C5C2C340-1544-4521-9059-33AEBE3423A8}" name="Ags" dataDxfId="147"/>
    <tableColumn id="27" xr3:uid="{86511B91-6FBB-44C6-BFE0-FC75035E6D40}" name="Sep" dataDxfId="146"/>
    <tableColumn id="28" xr3:uid="{2C0763CA-B0D1-4434-BD74-3778A7A332E6}" name="Okt" dataDxfId="145"/>
    <tableColumn id="29" xr3:uid="{1D2AE206-2433-4713-B023-179D69FA3E25}" name="Nov" dataDxfId="144"/>
    <tableColumn id="30" xr3:uid="{C1E5584B-01F1-4175-8FA8-D285D3701F44}" name="Des" dataDxfId="143"/>
    <tableColumn id="31" xr3:uid="{3BEE2055-AE9D-40FE-AE62-8E331B1816BF}" name="eselon2" dataDxfId="142"/>
    <tableColumn id="32" xr3:uid="{A002471B-4101-4577-BC3A-704405B733FB}" name="koordinator" dataDxfId="141"/>
    <tableColumn id="33" xr3:uid="{D023DF90-D6C9-428C-971B-7DDF8C7D5F03}" name="Subkoordinator" dataDxfId="140"/>
    <tableColumn id="34" xr3:uid="{FE48F7A1-0956-4644-89C0-EA36C183F595}" name="Jns_Belanja" dataDxfId="139"/>
    <tableColumn id="35" xr3:uid="{BE3FC102-4A2C-4D3D-B515-5052A70FFDEB}" name="satker" dataDxfId="138"/>
    <tableColumn id="36" xr3:uid="{C44DBFA7-2D15-465C-8D00-F06B638B5ED4}" name="Realisasi" dataDxfId="137" dataCellStyle="Comma [0]">
      <calculatedColumnFormula>SUM(U4:AF4)</calculatedColumnFormula>
    </tableColumn>
    <tableColumn id="37" xr3:uid="{DE361282-2992-4D2B-992E-4096AF6D8E40}" name="Real %" dataDxfId="136">
      <calculatedColumnFormula>IFERROR(AL4/Q4*100,0)</calculatedColumnFormula>
    </tableColumn>
    <tableColumn id="38" xr3:uid="{EEF961EF-FF6A-40D5-A0B6-ED634EBADFBC}" name="Sisa" dataDxfId="135" dataCellStyle="Comma [0]">
      <calculatedColumnFormula>Q4-AL4</calculatedColumnFormula>
    </tableColumn>
    <tableColumn id="39" xr3:uid="{85643851-7A65-42C2-A08E-B6A7A8DA03F0}" name="Real %2" dataDxfId="134">
      <calculatedColumnFormula>IFERROR(AN4/Q4*100,0)</calculatedColumnFormula>
    </tableColumn>
    <tableColumn id="40" xr3:uid="{9E4F31F6-8A80-4410-976A-8EEA7368EA20}" name="Kode Akun" dataDxfId="133">
      <calculatedColumnFormula>_xlfn.TEXTJOIN(".",TRUE,C4,E4,G4,I4,K4,M4,O4)</calculatedColumnFormula>
    </tableColumn>
    <tableColumn id="41" xr3:uid="{0FDDBC90-1CC8-4C07-8122-50D2362EF739}" name="Status Covid" dataDxfId="132">
      <calculatedColumnFormula>IF(ISNUMBER(SEARCH("COVID",SP2D[[#This Row],[Akun]])),"COVID","Non COVID")</calculatedColumnFormula>
    </tableColumn>
    <tableColumn id="42" xr3:uid="{3D9BDB80-A0C7-4422-BA12-733AF91AF0E5}" name="Status Realisasi" dataDxfId="13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3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29"/>
    <tableColumn id="45" xr3:uid="{4B827D21-BED7-493A-98C2-BF92D20ACB6E}" name="TUP 1" dataDxfId="128"/>
    <tableColumn id="46" xr3:uid="{1A108E85-F9A8-4C5A-B9B2-E8E733C3D3EB}" name="GUP 2" dataDxfId="127"/>
    <tableColumn id="47" xr3:uid="{197D7FA7-EA56-478F-AC63-0B5D47D9765B}" name="GUP 3" dataDxfId="126"/>
    <tableColumn id="48" xr3:uid="{4614C9FA-2AB0-4D2D-AA55-13680C8EE8C5}" name="GUP 4" dataDxfId="125"/>
    <tableColumn id="49" xr3:uid="{9B9C7D3C-BD3B-413C-9633-5B1476894793}" name="GUP 5" dataDxfId="124"/>
    <tableColumn id="50" xr3:uid="{7F81D278-F155-4728-BD7E-4DD553D05EAC}" name="TUP 2 (1)" dataDxfId="123"/>
    <tableColumn id="51" xr3:uid="{40F6E74E-B62F-4684-A934-E1FBCD0EDECE}" name="TUP 2 (2)" dataDxfId="1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121" dataDxfId="120">
  <autoFilter ref="BB3:BB54" xr:uid="{9BE31371-6D84-40BC-BC89-6EB614AAFDED}"/>
  <tableColumns count="1">
    <tableColumn id="1" xr3:uid="{FFEC0591-1F8E-4D42-8DB7-95FE40C6A4FA}" name="GUP 6" dataDxfId="1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8" dataDxfId="117">
  <autoFilter ref="A3:BA15" xr:uid="{0218787B-FAFB-4E31-BAF7-C07090CCABB5}"/>
  <tableColumns count="53">
    <tableColumn id="1" xr3:uid="{80105D8C-B6CC-4C67-A0D5-A51108634790}" name="kddept" dataDxfId="116"/>
    <tableColumn id="2" xr3:uid="{79F788C4-BE24-4442-B4A5-787846FC3242}" name="kdunit" dataDxfId="115"/>
    <tableColumn id="3" xr3:uid="{F5607343-B1C5-442F-9F62-66DAB70DF978}" name="kdprogram" dataDxfId="114"/>
    <tableColumn id="4" xr3:uid="{67275D4D-383A-492A-9FB0-586605819489}" name="Program" dataDxfId="113"/>
    <tableColumn id="5" xr3:uid="{7E089115-5279-4639-B5C8-B5B142691A5E}" name="kdgiat" dataDxfId="112"/>
    <tableColumn id="6" xr3:uid="{86B452FA-0999-4C13-97B6-34303305E62C}" name="Kegiatan" dataDxfId="111"/>
    <tableColumn id="7" xr3:uid="{098073A3-0D75-44F5-98F3-9D58ABD0F494}" name="kdoutput" dataDxfId="110"/>
    <tableColumn id="8" xr3:uid="{DD29FD42-F6B4-48DB-ABD5-0B9035D7350B}" name="Output" dataDxfId="109"/>
    <tableColumn id="9" xr3:uid="{DD7BECAC-0FA2-4D83-AFED-EA1423BBAE3B}" name="kdsoutput" dataDxfId="108"/>
    <tableColumn id="10" xr3:uid="{41EDA2EB-4FE5-485A-9A85-BC1CF6F808E6}" name="SubOutput" dataDxfId="107"/>
    <tableColumn id="11" xr3:uid="{0C0092F1-3B9A-4262-87F2-DF8809ADB48A}" name="kdkmpnen" dataDxfId="106"/>
    <tableColumn id="12" xr3:uid="{7F02E6EE-4073-428C-A01E-C7F9404E22AB}" name="Komponen" dataDxfId="105"/>
    <tableColumn id="13" xr3:uid="{D5E22675-8A73-40C8-BA6D-4D22AD4BD880}" name="kdskmpnen" dataDxfId="104"/>
    <tableColumn id="14" xr3:uid="{21C5F2BB-4B18-41F3-8B47-CA7C999E1D95}" name="SubKomponen" dataDxfId="103"/>
    <tableColumn id="15" xr3:uid="{7EF6CEAB-DE31-4DEA-B8DF-BDD5AD5C3604}" name="kdakun" dataDxfId="102"/>
    <tableColumn id="16" xr3:uid="{897A6630-15AA-4E92-AF17-989B50249F0B}" name="Akun" dataDxfId="101"/>
    <tableColumn id="17" xr3:uid="{F469B670-C97B-4C45-BFA1-11EC2F3BBE30}" name="Pagu" dataDxfId="100" dataCellStyle="Comma [0]">
      <calculatedColumnFormula array="1">SUM(_xlfn._xlws.FILTER(DIPA2[PaguRevisi],DIPA2[Akun]=SP2D_GAJI[[#This Row],[Kode Akun]],0))</calculatedColumnFormula>
    </tableColumn>
    <tableColumn id="18" xr3:uid="{331F462C-70B7-43E1-8F2C-778E95ACAEA1}" name="Pagu Semula" dataDxfId="99" dataCellStyle="Comma [0]"/>
    <tableColumn id="52" xr3:uid="{2F016D06-D133-47D7-B695-4667F3490729}" name="Blokir AA ke 1" dataDxfId="98" dataCellStyle="Comma [0]"/>
    <tableColumn id="53" xr3:uid="{165EF6BA-1776-4571-B8AD-920C3A030766}" name="Blokir AA ke 2" dataDxfId="97" dataCellStyle="Comma [0]"/>
    <tableColumn id="19" xr3:uid="{D0C2276A-7026-4576-85D7-919441521A6C}" name="Jan" dataDxfId="96">
      <calculatedColumnFormula>SUM('PER BULAN'!J238:L238)</calculatedColumnFormula>
    </tableColumn>
    <tableColumn id="20" xr3:uid="{A9EF8502-8C6E-4766-AD68-658B4D1E747D}" name="Feb" dataDxfId="95">
      <calculatedColumnFormula>SUM('PER BULAN'!M238:O238)</calculatedColumnFormula>
    </tableColumn>
    <tableColumn id="21" xr3:uid="{746DC00C-C89E-4DDA-BBC9-1D134830D029}" name="Mar" dataDxfId="94">
      <calculatedColumnFormula>SUM('PER BULAN'!P238:R238)</calculatedColumnFormula>
    </tableColumn>
    <tableColumn id="22" xr3:uid="{05F5FC17-0CBB-4151-889F-60CFCD7C34DD}" name="Apr" dataDxfId="93">
      <calculatedColumnFormula>SUM('PER BULAN'!S238:U238)</calculatedColumnFormula>
    </tableColumn>
    <tableColumn id="23" xr3:uid="{C42FB8F4-7097-4474-A778-F18CBF2B07B1}" name="Mei" dataDxfId="92">
      <calculatedColumnFormula>SUM('PER BULAN'!V238:X238)</calculatedColumnFormula>
    </tableColumn>
    <tableColumn id="24" xr3:uid="{F4454E89-E22D-410A-82EB-5F0DC627F170}" name="Jun" dataDxfId="91">
      <calculatedColumnFormula>SUM('PER BULAN'!Y238:AA238)</calculatedColumnFormula>
    </tableColumn>
    <tableColumn id="25" xr3:uid="{2AA6CCE9-FDEE-48C4-8B21-D75DF41DA271}" name="Jul" dataDxfId="90">
      <calculatedColumnFormula>SUM('PER BULAN'!AB238:AD238)</calculatedColumnFormula>
    </tableColumn>
    <tableColumn id="26" xr3:uid="{7FACB806-C5A3-48BA-9D07-F51AF74D0E09}" name="Ags" dataDxfId="89">
      <calculatedColumnFormula>SUM('PER BULAN'!AE238:AG238)</calculatedColumnFormula>
    </tableColumn>
    <tableColumn id="27" xr3:uid="{C4B9A446-705C-463E-B7DA-7A0740B8C905}" name="Sep" dataDxfId="88">
      <calculatedColumnFormula>SUM('PER BULAN'!AH238:AJ238)</calculatedColumnFormula>
    </tableColumn>
    <tableColumn id="28" xr3:uid="{5AAFBEBC-03FC-4E4A-83F9-E67BEB3D5981}" name="Okt" dataDxfId="87">
      <calculatedColumnFormula>SUM('PER BULAN'!AK238:AM238)</calculatedColumnFormula>
    </tableColumn>
    <tableColumn id="29" xr3:uid="{4906B5CD-CEE5-4A98-B22E-AC637B561A64}" name="Nov" dataDxfId="86">
      <calculatedColumnFormula>SUM('PER BULAN'!AN238:AP238)</calculatedColumnFormula>
    </tableColumn>
    <tableColumn id="30" xr3:uid="{CE67CAFB-1501-4D81-9EF9-85B2D20132C0}" name="Des" dataDxfId="85">
      <calculatedColumnFormula>SUM('PER BULAN'!AQ238:AS238)</calculatedColumnFormula>
    </tableColumn>
    <tableColumn id="31" xr3:uid="{68D2BC5B-AA42-4205-92C2-22EE6E2A455F}" name="eselon2" dataDxfId="84"/>
    <tableColumn id="32" xr3:uid="{BA84A518-BE39-4F09-B013-2F165F75B2C4}" name="koordinator" dataDxfId="83"/>
    <tableColumn id="33" xr3:uid="{056A603E-AF28-4BB5-BFC3-BCB9B9C999CA}" name="Subkoordinator" dataDxfId="82"/>
    <tableColumn id="34" xr3:uid="{D4673DE9-E399-427A-A7FA-55224584489E}" name="Jns_Belanja" dataDxfId="81"/>
    <tableColumn id="35" xr3:uid="{A8855799-45D2-43E8-83A2-AA11614A2AB5}" name="satker" dataDxfId="80"/>
    <tableColumn id="36" xr3:uid="{7FE40A5B-7697-4CF3-B532-E8DEA6942EA1}" name="Realisasi" dataDxfId="79" dataCellStyle="Comma [0]">
      <calculatedColumnFormula>SUM(U4:AF4)</calculatedColumnFormula>
    </tableColumn>
    <tableColumn id="37" xr3:uid="{485221C0-0D00-438E-BDE5-343CD7B9DEA0}" name="Real %" dataDxfId="78">
      <calculatedColumnFormula>IFERROR(AL4/Q4*100,0)</calculatedColumnFormula>
    </tableColumn>
    <tableColumn id="38" xr3:uid="{8B93FCA3-495B-49BB-8273-31AF01368B83}" name="Sisa" dataDxfId="77" dataCellStyle="Comma [0]">
      <calculatedColumnFormula>Q4-AL4</calculatedColumnFormula>
    </tableColumn>
    <tableColumn id="39" xr3:uid="{E92777FB-21B0-4FEC-B74B-99E5CBE0B3F9}" name="Real %2" dataDxfId="76">
      <calculatedColumnFormula>IFERROR(AN4/Q4*100,0)</calculatedColumnFormula>
    </tableColumn>
    <tableColumn id="40" xr3:uid="{AF8769F5-B4D9-4C85-9DA8-FD27BDBB1A6C}" name="Kode Akun" dataDxfId="75">
      <calculatedColumnFormula>_xlfn.TEXTJOIN(".",TRUE,C4,E4,G4,I4,K4,M4,O4)</calculatedColumnFormula>
    </tableColumn>
    <tableColumn id="41" xr3:uid="{3D3B549A-EABA-490D-9DA6-37523724BE61}" name="Status Covid" dataDxfId="74">
      <calculatedColumnFormula>IF(ISNUMBER(SEARCH("COVID",SP2D_GAJI[[#This Row],[Akun]])),"COVID","Non COVID")</calculatedColumnFormula>
    </tableColumn>
    <tableColumn id="42" xr3:uid="{184FBB69-68B1-4E38-891F-51917E4DC587}" name="Status Realisasi" dataDxfId="73">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72">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71"/>
    <tableColumn id="45" xr3:uid="{9C1934D8-99CF-4988-9800-1BFA557120E5}" name="TUP 1" dataDxfId="70"/>
    <tableColumn id="46" xr3:uid="{A4CF8F3D-CD3D-44F3-9820-88903E09EF80}" name="GUP 2" dataDxfId="69"/>
    <tableColumn id="47" xr3:uid="{099E42CD-67D0-44DB-B845-55EC12EB7D6E}" name="GUP 3" dataDxfId="68"/>
    <tableColumn id="48" xr3:uid="{B5E0BACE-F6DB-4087-90C7-B2D17ED966B6}" name="GUP 4" dataDxfId="67"/>
    <tableColumn id="49" xr3:uid="{BDAA27ED-0F52-48FE-B061-0279E351DC40}" name="GUP 5" dataDxfId="66"/>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59" headerRowBorderDxfId="58" tableBorderDxfId="57">
  <autoFilter ref="B234:BH250" xr:uid="{A3F03F6D-6A59-461B-A929-C35C787407F3}"/>
  <tableColumns count="59">
    <tableColumn id="1" xr3:uid="{006731C9-F32D-4A40-8CDB-A1548E10C0D4}" name="KODE" dataDxfId="56"/>
    <tableColumn id="2" xr3:uid="{A9307D7A-2701-4752-B274-B25BEF4C5078}" name="URAIAN" dataDxfId="55"/>
    <tableColumn id="3" xr3:uid="{FCCF3154-C285-471C-AC86-6DCF2BB5907D}" name="VOL" dataDxfId="54"/>
    <tableColumn id="4" xr3:uid="{C6A127B2-6CDD-4E0C-AF9D-730F6DDD09BC}" name="SATUAN" dataDxfId="53"/>
    <tableColumn id="5" xr3:uid="{3F90CE26-DF36-4D37-9C47-12A1CEB8D773}" name="Pagu Revisi" dataDxfId="52" dataCellStyle="Comma [0]"/>
    <tableColumn id="6" xr3:uid="{A2F11568-8A8E-4AFC-9F99-BFB17EAEEC9C}" name="Pagu Semula" dataDxfId="51" dataCellStyle="Comma [0]"/>
    <tableColumn id="7" xr3:uid="{B7EE8BCB-D0ED-4450-8EBB-6FD673560D7C}" name="Blokir AA ke 1" dataDxfId="50" dataCellStyle="Comma [0]"/>
    <tableColumn id="8" xr3:uid="{9EDAF3A8-6D97-400A-848D-D47BF571F43E}" name="Blokir AA ke 2" dataDxfId="49" dataCellStyle="Comma [0]">
      <calculatedColumnFormula>G235-F235</calculatedColumnFormula>
    </tableColumn>
    <tableColumn id="9" xr3:uid="{63315451-3A2B-4613-A63E-C9450FC73D6C}" name="JANUARI" dataDxfId="48" dataCellStyle="Comma [0]"/>
    <tableColumn id="10" xr3:uid="{16EC35FF-13CF-4870-920C-AAB913E770C7}" name="Column4" dataDxfId="47" dataCellStyle="Comma [0]"/>
    <tableColumn id="11" xr3:uid="{729D99E3-0A52-4B2E-A9C0-DE02E05ED840}" name="Column5" dataDxfId="46" dataCellStyle="Comma [0]"/>
    <tableColumn id="12" xr3:uid="{AB374DB6-7598-4C30-A85F-F63F132B7BA1}" name="FEBRUARI" dataDxfId="45" dataCellStyle="Normal 5"/>
    <tableColumn id="13" xr3:uid="{2D1151EC-AD11-4F11-9D1D-698FBA569F26}" name="Column6" dataDxfId="44" dataCellStyle="Comma [0]"/>
    <tableColumn id="14" xr3:uid="{C25F446B-37CA-4C46-8DE3-5CBDF83F99DF}" name="Column7" dataDxfId="43" dataCellStyle="Comma [0]"/>
    <tableColumn id="15" xr3:uid="{2B771376-C41A-4F53-BC5F-03146D6453D2}" name="MARET" dataDxfId="42" dataCellStyle="Normal 5"/>
    <tableColumn id="16" xr3:uid="{26AE15C1-AF2B-46A7-ADBC-F20B8677DE0D}" name="Column8" dataDxfId="41" dataCellStyle="Comma [0]"/>
    <tableColumn id="17" xr3:uid="{DFBDA772-EF7F-41E6-9DFB-E477C75E4388}" name="Column9" dataDxfId="40" dataCellStyle="Comma [0]"/>
    <tableColumn id="18" xr3:uid="{041FDBBB-13D6-40FC-B497-A1E84A4034E8}" name="APRIL" dataDxfId="39" dataCellStyle="Normal 5"/>
    <tableColumn id="19" xr3:uid="{6168E056-C134-418C-BAA8-73541257F097}" name="Column10" dataDxfId="38" dataCellStyle="Comma [0]"/>
    <tableColumn id="20" xr3:uid="{ECE7E801-4FE3-4CB0-B83E-AEDB75DF320F}" name="Column11" dataDxfId="37" dataCellStyle="Comma [0]"/>
    <tableColumn id="21" xr3:uid="{44FEDD28-091B-4680-A5C6-30F0F745EBBE}" name="MEI" dataDxfId="36"/>
    <tableColumn id="22" xr3:uid="{34244EC1-125A-49F5-8D4B-77C41595EB78}" name="Column12" dataDxfId="35" dataCellStyle="Comma [0]"/>
    <tableColumn id="23" xr3:uid="{695AAE0C-3DE2-4C12-A556-529DF387A4B7}" name="Column13" dataDxfId="34" dataCellStyle="Comma [0]"/>
    <tableColumn id="24" xr3:uid="{EE45409D-1AE3-4403-87A9-813634308CF5}" name="JUNI" dataDxfId="33" dataCellStyle="Comma [0]"/>
    <tableColumn id="25" xr3:uid="{5F933D02-7432-46D2-889E-A346FBEB81C1}" name="Column14" dataDxfId="32" dataCellStyle="Comma [0]"/>
    <tableColumn id="26" xr3:uid="{E340073A-FA27-4696-9028-62785F671D51}" name="Column15" dataDxfId="31" dataCellStyle="Comma [0]"/>
    <tableColumn id="27" xr3:uid="{3C80F9B3-4335-4BCB-A2DB-8F873DB578A1}" name="JULI" dataDxfId="30" dataCellStyle="Comma [0]"/>
    <tableColumn id="28" xr3:uid="{0B52D128-430F-4AE8-AF42-C77BCC1DE967}" name="Column16" dataDxfId="29" dataCellStyle="Comma [0]"/>
    <tableColumn id="29" xr3:uid="{9AA400AA-D217-47D3-8A29-9AD35366E1E5}" name="Column17" dataDxfId="28" dataCellStyle="Comma [0]"/>
    <tableColumn id="30" xr3:uid="{7A16243F-CC4F-4632-957C-54DF727D1493}" name="AGUSTUS" dataDxfId="27" dataCellStyle="Comma [0]"/>
    <tableColumn id="31" xr3:uid="{F53FA9C1-6878-4D23-96E5-3E23407112F3}" name="Column18" dataDxfId="26" dataCellStyle="Comma [0]"/>
    <tableColumn id="32" xr3:uid="{56226304-FD99-45E9-B47F-4A0989BC4182}" name="Column19" dataDxfId="25" dataCellStyle="Comma [0]"/>
    <tableColumn id="33" xr3:uid="{918328DE-54FE-4538-8A7A-0C76AA1E939A}" name="SEPTEMBER" dataDxfId="24" dataCellStyle="Comma [0]"/>
    <tableColumn id="34" xr3:uid="{D961E510-3ED4-4CF9-A7AF-9649B976EA3E}" name="Column20" dataDxfId="23" dataCellStyle="Comma [0]"/>
    <tableColumn id="35" xr3:uid="{91DB1DE3-8092-461D-A09A-AE460872B6BA}" name="Column21" dataDxfId="22" dataCellStyle="Comma [0]"/>
    <tableColumn id="36" xr3:uid="{CE58699D-2136-4257-BAD1-7398B982526B}" name="OKTOBER" dataDxfId="21" dataCellStyle="Comma [0]"/>
    <tableColumn id="37" xr3:uid="{1F4E6F0B-F4F1-4921-A7D5-72862BF6A622}" name="Column22" dataDxfId="20" dataCellStyle="Comma [0]"/>
    <tableColumn id="38" xr3:uid="{B76BAD65-739D-4E3A-852D-D26916987757}" name="Column23" dataDxfId="19" dataCellStyle="Comma [0]"/>
    <tableColumn id="39" xr3:uid="{12105BE2-33F4-4402-9A97-62E8F6987E7A}" name="NOVEMBER" dataDxfId="18" dataCellStyle="Comma [0]"/>
    <tableColumn id="40" xr3:uid="{C58384D0-120F-4BEC-B941-E06587266945}" name="Column24" dataDxfId="17" dataCellStyle="Comma [0]"/>
    <tableColumn id="41" xr3:uid="{A058820D-F058-4589-9874-D1A00D172D60}" name="Column25" dataDxfId="16" dataCellStyle="Comma [0]"/>
    <tableColumn id="42" xr3:uid="{CE32C95C-C534-407E-B4B0-C5BE507ACC7B}" name="DESEMBER" dataDxfId="15" dataCellStyle="Comma [0]"/>
    <tableColumn id="43" xr3:uid="{4AA20C6C-166D-40D3-B153-84B32F3DA47E}" name="Column26" dataDxfId="14" dataCellStyle="Comma [0]"/>
    <tableColumn id="44" xr3:uid="{B6199075-DD1D-4379-9C80-D5E0E5D4086B}" name="Column27" dataDxfId="13" dataCellStyle="Comma [0]"/>
    <tableColumn id="45" xr3:uid="{025D8148-41D1-493D-8F91-43A4491832E5}" name="REALISASI" dataDxfId="12" dataCellStyle="Comma [0]">
      <calculatedColumnFormula>SUM(J235:AS235)</calculatedColumnFormula>
    </tableColumn>
    <tableColumn id="46" xr3:uid="{EB91123A-1AE6-419C-99DE-3A8BFD669434}" name="%" dataDxfId="11">
      <calculatedColumnFormula>IFERROR(AT235/F235*100,0)</calculatedColumnFormula>
    </tableColumn>
    <tableColumn id="47" xr3:uid="{B367B8B8-4A10-4559-8042-C79AD776D92F}" name="SISA PAGU" dataDxfId="10">
      <calculatedColumnFormula>F235-AT235</calculatedColumnFormula>
    </tableColumn>
    <tableColumn id="48" xr3:uid="{4447787F-4DC2-4E59-B3FB-02DC54A3FEB4}" name="%28" dataDxfId="9">
      <calculatedColumnFormula>AV235/F235*100</calculatedColumnFormula>
    </tableColumn>
    <tableColumn id="49" xr3:uid="{C7CC6506-6ABE-4181-9F4B-FEC5B702B017}" name="KOORDINATOR" dataDxfId="8"/>
    <tableColumn id="50" xr3:uid="{048FA016-E7FA-4ECE-BABA-429AD0AEF890}" name="Subkoordinator"/>
    <tableColumn id="51" xr3:uid="{B38F358A-82BF-496A-A23D-71F2B98B29E5}" name="Jenis Belanja Barang"/>
    <tableColumn id="52" xr3:uid="{DB80BE10-1DFD-4F7D-BB32-35C9FE353EFD}" name="SPBy" dataDxfId="7" dataCellStyle="Comma [0]"/>
    <tableColumn id="53" xr3:uid="{078C675B-A0F3-404E-848C-5D5DFFD077BC}" name="Column29"/>
    <tableColumn id="54" xr3:uid="{434FFD64-27FE-4383-9669-FEE5F6BE4180}" name="Column30" dataDxfId="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 totalsRowDxfId="0"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50" t="s">
        <v>598</v>
      </c>
      <c r="C1" s="450"/>
      <c r="D1" s="450"/>
      <c r="E1" s="450"/>
      <c r="F1" s="450"/>
      <c r="G1" s="450"/>
      <c r="I1" s="9"/>
    </row>
    <row r="2" spans="1:10" ht="15" x14ac:dyDescent="0.25">
      <c r="B2" s="451" t="s">
        <v>614</v>
      </c>
      <c r="C2" s="451"/>
      <c r="D2" s="451"/>
      <c r="E2" s="451"/>
      <c r="F2" s="451"/>
      <c r="G2" s="451"/>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52" t="s">
        <v>606</v>
      </c>
      <c r="C9" s="454" t="s">
        <v>607</v>
      </c>
      <c r="D9" s="455" t="s">
        <v>608</v>
      </c>
      <c r="E9" s="452" t="s">
        <v>609</v>
      </c>
      <c r="F9" s="455" t="s">
        <v>610</v>
      </c>
      <c r="G9" s="455" t="s">
        <v>611</v>
      </c>
      <c r="I9" s="14"/>
    </row>
    <row r="10" spans="1:10" s="16" customFormat="1" ht="15" x14ac:dyDescent="0.25">
      <c r="A10" s="15" t="s">
        <v>499</v>
      </c>
      <c r="B10" s="453"/>
      <c r="C10" s="453"/>
      <c r="D10" s="453"/>
      <c r="E10" s="456"/>
      <c r="F10" s="453"/>
      <c r="G10" s="453"/>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7" t="s">
        <v>596</v>
      </c>
      <c r="J13" s="448" t="s">
        <v>597</v>
      </c>
    </row>
    <row r="14" spans="1:10" x14ac:dyDescent="0.2">
      <c r="A14" s="7" t="s">
        <v>199</v>
      </c>
      <c r="B14" s="25" t="s">
        <v>194</v>
      </c>
      <c r="C14" s="26" t="s">
        <v>2</v>
      </c>
      <c r="D14" s="25"/>
      <c r="E14" s="55"/>
      <c r="F14" s="27"/>
      <c r="G14" s="27">
        <v>1500000000</v>
      </c>
      <c r="I14" s="447"/>
      <c r="J14" s="448"/>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9"/>
      <c r="J22" s="449"/>
    </row>
    <row r="23" spans="1:10" x14ac:dyDescent="0.2">
      <c r="A23" s="7" t="s">
        <v>208</v>
      </c>
      <c r="B23" s="43" t="s">
        <v>195</v>
      </c>
      <c r="C23" s="44" t="s">
        <v>620</v>
      </c>
      <c r="D23" s="47">
        <v>1</v>
      </c>
      <c r="E23" s="61" t="s">
        <v>9</v>
      </c>
      <c r="F23" s="45">
        <v>1000000</v>
      </c>
      <c r="G23" s="45">
        <v>1000000</v>
      </c>
      <c r="I23" s="449"/>
      <c r="J23" s="449"/>
    </row>
    <row r="24" spans="1:10" x14ac:dyDescent="0.2">
      <c r="A24" s="7" t="s">
        <v>209</v>
      </c>
      <c r="B24" s="40" t="s">
        <v>516</v>
      </c>
      <c r="C24" s="41" t="s">
        <v>11</v>
      </c>
      <c r="D24" s="40"/>
      <c r="E24" s="60"/>
      <c r="F24" s="42"/>
      <c r="G24" s="42">
        <v>9000000</v>
      </c>
      <c r="I24" s="449"/>
      <c r="J24" s="449"/>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50" t="s">
        <v>598</v>
      </c>
      <c r="C1" s="450"/>
      <c r="D1" s="450"/>
      <c r="E1" s="450"/>
      <c r="F1" s="450"/>
      <c r="G1" s="458"/>
      <c r="H1" s="269"/>
      <c r="I1" s="269"/>
      <c r="J1" s="269"/>
      <c r="K1" s="269"/>
    </row>
    <row r="2" spans="1:13" ht="15.75" x14ac:dyDescent="0.25">
      <c r="B2" s="459" t="s">
        <v>4186</v>
      </c>
      <c r="C2" s="459"/>
      <c r="D2" s="459"/>
      <c r="E2" s="459"/>
      <c r="F2" s="459"/>
      <c r="G2" s="460"/>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61" t="s">
        <v>606</v>
      </c>
      <c r="C9" s="462" t="s">
        <v>607</v>
      </c>
      <c r="D9" s="463" t="s">
        <v>608</v>
      </c>
      <c r="E9" s="461" t="s">
        <v>609</v>
      </c>
      <c r="F9" s="463" t="s">
        <v>610</v>
      </c>
      <c r="G9" s="457" t="s">
        <v>3848</v>
      </c>
      <c r="H9" s="457" t="s">
        <v>3849</v>
      </c>
      <c r="I9" s="457" t="s">
        <v>3846</v>
      </c>
      <c r="J9" s="457" t="s">
        <v>3850</v>
      </c>
      <c r="K9" s="457" t="s">
        <v>3846</v>
      </c>
    </row>
    <row r="10" spans="1:13" s="133" customFormat="1" ht="14.25" customHeight="1" x14ac:dyDescent="0.2">
      <c r="A10" s="132" t="s">
        <v>499</v>
      </c>
      <c r="B10" s="453"/>
      <c r="C10" s="453"/>
      <c r="D10" s="456"/>
      <c r="E10" s="456"/>
      <c r="F10" s="453"/>
      <c r="G10" s="453"/>
      <c r="H10" s="457"/>
      <c r="I10" s="457"/>
      <c r="J10" s="457"/>
      <c r="K10" s="457"/>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774" priority="18">
      <formula>NOT(_xlfn.ISFORMULA(G12))</formula>
    </cfRule>
  </conditionalFormatting>
  <conditionalFormatting sqref="B11:K12 K56:K57">
    <cfRule type="expression" dxfId="773" priority="19">
      <formula>AND(#REF!="Ya",#REF!=ROW())</formula>
    </cfRule>
  </conditionalFormatting>
  <conditionalFormatting sqref="B13:J57">
    <cfRule type="expression" dxfId="772" priority="22">
      <formula>AND(#REF!="Ya",#REF!=ROW())</formula>
    </cfRule>
  </conditionalFormatting>
  <conditionalFormatting sqref="K13:K56">
    <cfRule type="expression" dxfId="771" priority="4">
      <formula>AND(#REF!="Ya",#REF!=ROW())</formula>
    </cfRule>
  </conditionalFormatting>
  <conditionalFormatting sqref="I55:I56 I53 I49 I47 I45 I41 I37 I33 I29 I25 I21 I13:I17">
    <cfRule type="expression" dxfId="770" priority="3">
      <formula>AND(#REF!="Ya",#REF!=ROW())</formula>
    </cfRule>
  </conditionalFormatting>
  <conditionalFormatting sqref="J55:J56 J53 J49 J47 J45 J41 J37 J33 J29 J25 J21 J13:J17">
    <cfRule type="expression" dxfId="769" priority="2">
      <formula>AND(#REF!="Ya",#REF!=ROW())</formula>
    </cfRule>
  </conditionalFormatting>
  <conditionalFormatting sqref="K55 K53 K49 K47 K45 K41 K37 K33 K29 K25 K21 K13:K17">
    <cfRule type="expression" dxfId="768"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50" t="s">
        <v>598</v>
      </c>
      <c r="C1" s="450"/>
      <c r="D1" s="450"/>
      <c r="E1" s="450"/>
      <c r="F1" s="450"/>
      <c r="G1" s="458"/>
      <c r="H1" s="234"/>
      <c r="I1" s="234"/>
      <c r="J1" s="234"/>
    </row>
    <row r="2" spans="1:24" ht="15.75" x14ac:dyDescent="0.25">
      <c r="B2" s="459" t="s">
        <v>4012</v>
      </c>
      <c r="C2" s="459"/>
      <c r="D2" s="459"/>
      <c r="E2" s="459"/>
      <c r="F2" s="459"/>
      <c r="G2" s="460"/>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61" t="s">
        <v>606</v>
      </c>
      <c r="C9" s="462" t="s">
        <v>607</v>
      </c>
      <c r="D9" s="463" t="s">
        <v>608</v>
      </c>
      <c r="E9" s="461" t="s">
        <v>609</v>
      </c>
      <c r="F9" s="463" t="s">
        <v>610</v>
      </c>
      <c r="G9" s="457" t="s">
        <v>611</v>
      </c>
      <c r="H9" s="152"/>
      <c r="I9" s="152"/>
      <c r="J9" s="152"/>
      <c r="K9" s="464" t="s">
        <v>3827</v>
      </c>
      <c r="L9" s="464"/>
      <c r="M9" s="464"/>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3"/>
      <c r="C10" s="453"/>
      <c r="D10" s="456"/>
      <c r="E10" s="456"/>
      <c r="F10" s="453"/>
      <c r="G10" s="453"/>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25.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25.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767" priority="14">
      <formula>NOT(_xlfn.ISFORMULA(G12))</formula>
    </cfRule>
  </conditionalFormatting>
  <conditionalFormatting sqref="B11:J12 H13:J545">
    <cfRule type="expression" dxfId="766" priority="15">
      <formula>AND(#REF!="Ya",#REF!=ROW())</formula>
    </cfRule>
  </conditionalFormatting>
  <conditionalFormatting sqref="B517:F517 G542:G543 G539:G540 G535 G532 G530 G526:G528 G522:G523 G520 G517:G518 B13:G516">
    <cfRule type="expression" dxfId="765" priority="13">
      <formula>AND($R$4="Ya",$Q$2=ROW())</formula>
    </cfRule>
  </conditionalFormatting>
  <conditionalFormatting sqref="G545">
    <cfRule type="expression" dxfId="764" priority="12">
      <formula>AND($R$4="Ya",$Q$2=ROW())</formula>
    </cfRule>
  </conditionalFormatting>
  <conditionalFormatting sqref="G545 G542:G543 G539:G540 G535 G532 G530 G526:G528 G522:G523 G520 G517:G518">
    <cfRule type="expression" dxfId="763" priority="11">
      <formula>NOT(_xlfn.ISFORMULA(G517))</formula>
    </cfRule>
  </conditionalFormatting>
  <conditionalFormatting sqref="G529">
    <cfRule type="expression" dxfId="762" priority="10">
      <formula>NOT(_xlfn.ISFORMULA(G529))</formula>
    </cfRule>
  </conditionalFormatting>
  <conditionalFormatting sqref="G529">
    <cfRule type="expression" dxfId="761" priority="9">
      <formula>AND($R$4="Ya",$Q$2=ROW())</formula>
    </cfRule>
  </conditionalFormatting>
  <conditionalFormatting sqref="G519">
    <cfRule type="expression" dxfId="760" priority="8">
      <formula>NOT(_xlfn.ISFORMULA(G519))</formula>
    </cfRule>
  </conditionalFormatting>
  <conditionalFormatting sqref="G519">
    <cfRule type="expression" dxfId="759" priority="7">
      <formula>AND($R$4="Ya",$Q$2=ROW())</formula>
    </cfRule>
  </conditionalFormatting>
  <conditionalFormatting sqref="G544">
    <cfRule type="expression" dxfId="758" priority="6">
      <formula>NOT(_xlfn.ISFORMULA(G544))</formula>
    </cfRule>
  </conditionalFormatting>
  <conditionalFormatting sqref="G544">
    <cfRule type="expression" dxfId="757" priority="5">
      <formula>AND($R$4="Ya",$Q$2=ROW())</formula>
    </cfRule>
  </conditionalFormatting>
  <conditionalFormatting sqref="G541">
    <cfRule type="expression" dxfId="756" priority="4">
      <formula>NOT(_xlfn.ISFORMULA(G541))</formula>
    </cfRule>
  </conditionalFormatting>
  <conditionalFormatting sqref="G541">
    <cfRule type="expression" dxfId="755" priority="3">
      <formula>AND($R$4="Ya",$Q$2=ROW())</formula>
    </cfRule>
  </conditionalFormatting>
  <conditionalFormatting sqref="G538">
    <cfRule type="expression" dxfId="754" priority="2">
      <formula>NOT(_xlfn.ISFORMULA(G538))</formula>
    </cfRule>
  </conditionalFormatting>
  <conditionalFormatting sqref="G538">
    <cfRule type="expression" dxfId="753"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50" t="s">
        <v>598</v>
      </c>
      <c r="C1" s="450"/>
      <c r="D1" s="450"/>
      <c r="E1" s="450"/>
      <c r="F1" s="450"/>
      <c r="G1" s="458"/>
      <c r="H1" s="158"/>
      <c r="I1" s="177"/>
      <c r="J1" s="177"/>
    </row>
    <row r="2" spans="1:24" ht="15.75" x14ac:dyDescent="0.25">
      <c r="B2" s="459" t="s">
        <v>3826</v>
      </c>
      <c r="C2" s="459"/>
      <c r="D2" s="459"/>
      <c r="E2" s="459"/>
      <c r="F2" s="459"/>
      <c r="G2" s="460"/>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61" t="s">
        <v>606</v>
      </c>
      <c r="C9" s="462" t="s">
        <v>607</v>
      </c>
      <c r="D9" s="463" t="s">
        <v>608</v>
      </c>
      <c r="E9" s="461" t="s">
        <v>609</v>
      </c>
      <c r="F9" s="463" t="s">
        <v>610</v>
      </c>
      <c r="G9" s="457" t="s">
        <v>611</v>
      </c>
      <c r="H9" s="152"/>
      <c r="I9" s="152"/>
      <c r="J9" s="152"/>
      <c r="K9" s="464" t="s">
        <v>3827</v>
      </c>
      <c r="L9" s="464"/>
      <c r="M9" s="464"/>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3"/>
      <c r="C10" s="453"/>
      <c r="D10" s="456"/>
      <c r="E10" s="456"/>
      <c r="F10" s="453"/>
      <c r="G10" s="453"/>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752" priority="14">
      <formula>NOT(_xlfn.ISFORMULA(G12))</formula>
    </cfRule>
  </conditionalFormatting>
  <conditionalFormatting sqref="B11:J12 H13:J589">
    <cfRule type="expression" dxfId="751" priority="15">
      <formula>AND(#REF!="Ya",#REF!=ROW())</formula>
    </cfRule>
  </conditionalFormatting>
  <conditionalFormatting sqref="B561:F561 G586:G587 G583:G584 G579 G576 G574 G570:G572 G566:G567 G564 G561:G562 B13:G560">
    <cfRule type="expression" dxfId="750" priority="13">
      <formula>AND($R$4="Ya",$Q$2=ROW())</formula>
    </cfRule>
  </conditionalFormatting>
  <conditionalFormatting sqref="G589">
    <cfRule type="expression" dxfId="749" priority="12">
      <formula>AND($R$4="Ya",$Q$2=ROW())</formula>
    </cfRule>
  </conditionalFormatting>
  <conditionalFormatting sqref="G589 G586:G587 G583:G584 G579 G576 G574 G570:G572 G566:G567 G564 G561:G562">
    <cfRule type="expression" dxfId="748" priority="11">
      <formula>NOT(_xlfn.ISFORMULA(G561))</formula>
    </cfRule>
  </conditionalFormatting>
  <conditionalFormatting sqref="G573">
    <cfRule type="expression" dxfId="747" priority="10">
      <formula>NOT(_xlfn.ISFORMULA(G573))</formula>
    </cfRule>
  </conditionalFormatting>
  <conditionalFormatting sqref="G573">
    <cfRule type="expression" dxfId="746" priority="9">
      <formula>AND($R$4="Ya",$Q$2=ROW())</formula>
    </cfRule>
  </conditionalFormatting>
  <conditionalFormatting sqref="G563">
    <cfRule type="expression" dxfId="745" priority="8">
      <formula>NOT(_xlfn.ISFORMULA(G563))</formula>
    </cfRule>
  </conditionalFormatting>
  <conditionalFormatting sqref="G563">
    <cfRule type="expression" dxfId="744" priority="7">
      <formula>AND($R$4="Ya",$Q$2=ROW())</formula>
    </cfRule>
  </conditionalFormatting>
  <conditionalFormatting sqref="G588">
    <cfRule type="expression" dxfId="743" priority="6">
      <formula>NOT(_xlfn.ISFORMULA(G588))</formula>
    </cfRule>
  </conditionalFormatting>
  <conditionalFormatting sqref="G588">
    <cfRule type="expression" dxfId="742" priority="5">
      <formula>AND($R$4="Ya",$Q$2=ROW())</formula>
    </cfRule>
  </conditionalFormatting>
  <conditionalFormatting sqref="G585">
    <cfRule type="expression" dxfId="741" priority="4">
      <formula>NOT(_xlfn.ISFORMULA(G585))</formula>
    </cfRule>
  </conditionalFormatting>
  <conditionalFormatting sqref="G585">
    <cfRule type="expression" dxfId="740" priority="3">
      <formula>AND($R$4="Ya",$Q$2=ROW())</formula>
    </cfRule>
  </conditionalFormatting>
  <conditionalFormatting sqref="G582">
    <cfRule type="expression" dxfId="739" priority="2">
      <formula>NOT(_xlfn.ISFORMULA(G582))</formula>
    </cfRule>
  </conditionalFormatting>
  <conditionalFormatting sqref="G582">
    <cfRule type="expression" dxfId="738"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50" t="s">
        <v>598</v>
      </c>
      <c r="C1" s="450"/>
      <c r="D1" s="450"/>
      <c r="E1" s="450"/>
      <c r="F1" s="450"/>
      <c r="G1" s="458"/>
      <c r="H1" s="150"/>
    </row>
    <row r="2" spans="1:22" ht="15.75" x14ac:dyDescent="0.25">
      <c r="B2" s="459" t="s">
        <v>3826</v>
      </c>
      <c r="C2" s="459"/>
      <c r="D2" s="459"/>
      <c r="E2" s="459"/>
      <c r="F2" s="459"/>
      <c r="G2" s="460"/>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61" t="s">
        <v>606</v>
      </c>
      <c r="C9" s="462" t="s">
        <v>607</v>
      </c>
      <c r="D9" s="463" t="s">
        <v>608</v>
      </c>
      <c r="E9" s="461" t="s">
        <v>609</v>
      </c>
      <c r="F9" s="463" t="s">
        <v>610</v>
      </c>
      <c r="G9" s="457" t="s">
        <v>611</v>
      </c>
      <c r="H9" s="152"/>
      <c r="I9" s="464" t="s">
        <v>3827</v>
      </c>
      <c r="J9" s="464"/>
      <c r="K9" s="464"/>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53"/>
      <c r="C10" s="453"/>
      <c r="D10" s="456"/>
      <c r="E10" s="456"/>
      <c r="F10" s="453"/>
      <c r="G10" s="453"/>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25.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25.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737" priority="15">
      <formula>NOT(_xlfn.ISFORMULA(G12))</formula>
    </cfRule>
  </conditionalFormatting>
  <conditionalFormatting sqref="B11:H12 H13:H589">
    <cfRule type="expression" dxfId="736" priority="17">
      <formula>AND(#REF!="Ya",#REF!=ROW())</formula>
    </cfRule>
  </conditionalFormatting>
  <conditionalFormatting sqref="B561:F561 G586:G587 G583:G584 G579 G576 G574 G570:G572 G566:G567 G564 G561:G562 B13:G560">
    <cfRule type="expression" dxfId="735" priority="14">
      <formula>AND($P$4="Ya",$O$2=ROW())</formula>
    </cfRule>
  </conditionalFormatting>
  <conditionalFormatting sqref="G589">
    <cfRule type="expression" dxfId="734" priority="12">
      <formula>AND($P$4="Ya",$O$2=ROW())</formula>
    </cfRule>
  </conditionalFormatting>
  <conditionalFormatting sqref="G589 G586:G587 G583:G584 G579 G576 G574 G570:G572 G566:G567 G564 G561:G562">
    <cfRule type="expression" dxfId="733" priority="11">
      <formula>NOT(_xlfn.ISFORMULA(G561))</formula>
    </cfRule>
  </conditionalFormatting>
  <conditionalFormatting sqref="G573">
    <cfRule type="expression" dxfId="732" priority="10">
      <formula>NOT(_xlfn.ISFORMULA(G573))</formula>
    </cfRule>
  </conditionalFormatting>
  <conditionalFormatting sqref="G573">
    <cfRule type="expression" dxfId="731" priority="9">
      <formula>AND($P$4="Ya",$O$2=ROW())</formula>
    </cfRule>
  </conditionalFormatting>
  <conditionalFormatting sqref="G563">
    <cfRule type="expression" dxfId="730" priority="8">
      <formula>NOT(_xlfn.ISFORMULA(G563))</formula>
    </cfRule>
  </conditionalFormatting>
  <conditionalFormatting sqref="G563">
    <cfRule type="expression" dxfId="729" priority="7">
      <formula>AND($P$4="Ya",$O$2=ROW())</formula>
    </cfRule>
  </conditionalFormatting>
  <conditionalFormatting sqref="G588">
    <cfRule type="expression" dxfId="728" priority="6">
      <formula>NOT(_xlfn.ISFORMULA(G588))</formula>
    </cfRule>
  </conditionalFormatting>
  <conditionalFormatting sqref="G588">
    <cfRule type="expression" dxfId="727" priority="5">
      <formula>AND($P$4="Ya",$O$2=ROW())</formula>
    </cfRule>
  </conditionalFormatting>
  <conditionalFormatting sqref="G585">
    <cfRule type="expression" dxfId="726" priority="4">
      <formula>NOT(_xlfn.ISFORMULA(G585))</formula>
    </cfRule>
  </conditionalFormatting>
  <conditionalFormatting sqref="G585">
    <cfRule type="expression" dxfId="725" priority="3">
      <formula>AND($P$4="Ya",$O$2=ROW())</formula>
    </cfRule>
  </conditionalFormatting>
  <conditionalFormatting sqref="G582">
    <cfRule type="expression" dxfId="724" priority="2">
      <formula>NOT(_xlfn.ISFORMULA(G582))</formula>
    </cfRule>
  </conditionalFormatting>
  <conditionalFormatting sqref="G582">
    <cfRule type="expression" dxfId="723"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93"/>
  <sheetViews>
    <sheetView tabSelected="1" zoomScale="60" zoomScaleNormal="60" workbookViewId="0">
      <pane ySplit="10" topLeftCell="A107" activePane="bottomLeft" state="frozen"/>
      <selection pane="bottomLeft" activeCell="M190" sqref="M190"/>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30" customHeight="1" x14ac:dyDescent="0.6">
      <c r="E3" s="283"/>
      <c r="K3" s="285"/>
      <c r="L3" s="446">
        <f>SUM(O7:O9)</f>
        <v>10473198240</v>
      </c>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3731608826</v>
      </c>
    </row>
    <row r="8" spans="2:20" ht="15" x14ac:dyDescent="0.2">
      <c r="E8" s="283"/>
      <c r="F8" s="282"/>
      <c r="K8" s="285"/>
      <c r="N8" s="329">
        <v>52</v>
      </c>
      <c r="O8" s="328">
        <f>SUMIF(Table1[all],N8,Table1[Nilai SP2D])</f>
        <v>6087389414</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5" customHeight="1" x14ac:dyDescent="0.2">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5" customHeight="1" x14ac:dyDescent="0.2">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5" customHeight="1" x14ac:dyDescent="0.2">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5" customHeight="1" x14ac:dyDescent="0.2">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5" customHeight="1" x14ac:dyDescent="0.2">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5" customHeight="1" x14ac:dyDescent="0.2">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5" customHeight="1" x14ac:dyDescent="0.2">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5" customHeight="1" x14ac:dyDescent="0.2">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5" customHeight="1" x14ac:dyDescent="0.2">
      <c r="B182" s="260">
        <v>172</v>
      </c>
      <c r="C182" s="335">
        <v>7</v>
      </c>
      <c r="D182" s="336" t="s">
        <v>5629</v>
      </c>
      <c r="E182" s="337" t="s">
        <v>5630</v>
      </c>
      <c r="F182" s="338">
        <v>210098588</v>
      </c>
      <c r="G182" s="437" t="s">
        <v>4191</v>
      </c>
      <c r="H182" s="336" t="s">
        <v>5631</v>
      </c>
      <c r="I182" s="336" t="s">
        <v>4535</v>
      </c>
      <c r="J182" s="336" t="s">
        <v>4053</v>
      </c>
      <c r="K182" s="341" t="s">
        <v>5632</v>
      </c>
      <c r="L182" s="339" t="s">
        <v>576</v>
      </c>
      <c r="M182" s="339" t="s">
        <v>4340</v>
      </c>
      <c r="N182" s="335"/>
      <c r="O182" s="335">
        <v>51</v>
      </c>
    </row>
    <row r="183" spans="2:15" ht="69.95" customHeight="1" x14ac:dyDescent="0.2">
      <c r="B183" s="443">
        <v>173</v>
      </c>
      <c r="C183" s="335">
        <v>7</v>
      </c>
      <c r="D183" s="336" t="s">
        <v>5633</v>
      </c>
      <c r="E183" s="337" t="s">
        <v>5630</v>
      </c>
      <c r="F183" s="338">
        <v>217887192</v>
      </c>
      <c r="G183" s="437" t="s">
        <v>5634</v>
      </c>
      <c r="H183" s="336" t="s">
        <v>5635</v>
      </c>
      <c r="I183" s="336" t="s">
        <v>5599</v>
      </c>
      <c r="J183" s="336" t="s">
        <v>4053</v>
      </c>
      <c r="K183" s="341" t="s">
        <v>5636</v>
      </c>
      <c r="L183" s="339" t="s">
        <v>576</v>
      </c>
      <c r="M183" s="339" t="s">
        <v>4340</v>
      </c>
      <c r="N183" s="335"/>
      <c r="O183" s="335">
        <v>51</v>
      </c>
    </row>
    <row r="184" spans="2:15" ht="69.95" customHeight="1" x14ac:dyDescent="0.2">
      <c r="B184" s="260">
        <v>174</v>
      </c>
      <c r="C184" s="335">
        <v>7</v>
      </c>
      <c r="D184" s="256" t="s">
        <v>5639</v>
      </c>
      <c r="E184" s="292" t="s">
        <v>5640</v>
      </c>
      <c r="F184" s="257">
        <v>121840910</v>
      </c>
      <c r="G184" s="305" t="s">
        <v>5641</v>
      </c>
      <c r="H184" s="256" t="s">
        <v>5642</v>
      </c>
      <c r="I184" s="256" t="s">
        <v>5630</v>
      </c>
      <c r="J184" s="256" t="s">
        <v>4039</v>
      </c>
      <c r="K184" s="259" t="s">
        <v>5643</v>
      </c>
      <c r="L184" s="339" t="s">
        <v>576</v>
      </c>
      <c r="M184" s="339" t="s">
        <v>4340</v>
      </c>
      <c r="N184" s="333"/>
      <c r="O184" s="333">
        <v>51</v>
      </c>
    </row>
    <row r="185" spans="2:15" ht="69.95" customHeight="1" x14ac:dyDescent="0.2">
      <c r="B185" s="443">
        <v>175</v>
      </c>
      <c r="C185" s="335">
        <v>7</v>
      </c>
      <c r="D185" s="336" t="s">
        <v>5644</v>
      </c>
      <c r="E185" s="337" t="s">
        <v>5640</v>
      </c>
      <c r="F185" s="338">
        <v>93423902</v>
      </c>
      <c r="G185" s="302" t="s">
        <v>3839</v>
      </c>
      <c r="H185" s="336" t="s">
        <v>5645</v>
      </c>
      <c r="I185" s="336" t="s">
        <v>5630</v>
      </c>
      <c r="J185" s="336" t="s">
        <v>4039</v>
      </c>
      <c r="K185" s="341" t="s">
        <v>5646</v>
      </c>
      <c r="L185" s="339"/>
      <c r="M185" s="339"/>
      <c r="N185" s="335"/>
      <c r="O185" s="335">
        <v>52</v>
      </c>
    </row>
    <row r="186" spans="2:15" ht="69.95" customHeight="1" x14ac:dyDescent="0.2">
      <c r="B186" s="260">
        <v>176</v>
      </c>
      <c r="C186" s="335">
        <v>7</v>
      </c>
      <c r="D186" s="336" t="s">
        <v>5647</v>
      </c>
      <c r="E186" s="337" t="s">
        <v>5640</v>
      </c>
      <c r="F186" s="288">
        <v>63640000</v>
      </c>
      <c r="G186" s="300" t="s">
        <v>4036</v>
      </c>
      <c r="H186" s="336" t="s">
        <v>5648</v>
      </c>
      <c r="I186" s="336" t="s">
        <v>5630</v>
      </c>
      <c r="J186" s="336" t="s">
        <v>4039</v>
      </c>
      <c r="K186" s="341" t="s">
        <v>5649</v>
      </c>
      <c r="L186" s="339" t="s">
        <v>576</v>
      </c>
      <c r="M186" s="339" t="s">
        <v>4338</v>
      </c>
      <c r="N186" s="335"/>
      <c r="O186" s="335">
        <v>52</v>
      </c>
    </row>
    <row r="187" spans="2:15" ht="69.95" customHeight="1" x14ac:dyDescent="0.2">
      <c r="B187" s="443">
        <v>177</v>
      </c>
      <c r="C187" s="335">
        <v>7</v>
      </c>
      <c r="D187" s="336" t="s">
        <v>5650</v>
      </c>
      <c r="E187" s="337" t="s">
        <v>5651</v>
      </c>
      <c r="F187" s="338">
        <v>7415300</v>
      </c>
      <c r="G187" s="320" t="s">
        <v>4039</v>
      </c>
      <c r="H187" s="336" t="s">
        <v>5652</v>
      </c>
      <c r="I187" s="336" t="s">
        <v>5653</v>
      </c>
      <c r="J187" s="336" t="s">
        <v>4039</v>
      </c>
      <c r="K187" s="341" t="s">
        <v>5654</v>
      </c>
      <c r="L187" s="313" t="s">
        <v>542</v>
      </c>
      <c r="M187" s="313" t="s">
        <v>4339</v>
      </c>
      <c r="N187" s="335"/>
      <c r="O187" s="335">
        <v>52</v>
      </c>
    </row>
    <row r="188" spans="2:15" ht="69.95" customHeight="1" x14ac:dyDescent="0.2">
      <c r="B188" s="260">
        <v>178</v>
      </c>
      <c r="C188" s="335">
        <v>7</v>
      </c>
      <c r="D188" s="336" t="s">
        <v>5655</v>
      </c>
      <c r="E188" s="337" t="s">
        <v>5651</v>
      </c>
      <c r="F188" s="338">
        <v>46539280</v>
      </c>
      <c r="G188" s="320" t="s">
        <v>4039</v>
      </c>
      <c r="H188" s="336" t="s">
        <v>5656</v>
      </c>
      <c r="I188" s="336" t="s">
        <v>5653</v>
      </c>
      <c r="J188" s="336" t="s">
        <v>4039</v>
      </c>
      <c r="K188" s="341" t="s">
        <v>5657</v>
      </c>
      <c r="L188" s="339" t="s">
        <v>576</v>
      </c>
      <c r="M188" s="339" t="s">
        <v>4338</v>
      </c>
      <c r="N188" s="335"/>
      <c r="O188" s="335">
        <v>52</v>
      </c>
    </row>
    <row r="189" spans="2:15" ht="69.95" customHeight="1" x14ac:dyDescent="0.2">
      <c r="B189" s="443">
        <v>179</v>
      </c>
      <c r="C189" s="335">
        <v>7</v>
      </c>
      <c r="D189" s="336" t="s">
        <v>5658</v>
      </c>
      <c r="E189" s="337" t="s">
        <v>5651</v>
      </c>
      <c r="F189" s="338">
        <v>2994000</v>
      </c>
      <c r="G189" s="320" t="s">
        <v>4039</v>
      </c>
      <c r="H189" s="336" t="s">
        <v>5659</v>
      </c>
      <c r="I189" s="336" t="s">
        <v>5653</v>
      </c>
      <c r="J189" s="336" t="s">
        <v>4039</v>
      </c>
      <c r="K189" s="341" t="s">
        <v>5660</v>
      </c>
      <c r="L189" s="339" t="s">
        <v>535</v>
      </c>
      <c r="M189" s="339" t="s">
        <v>4375</v>
      </c>
      <c r="N189" s="335"/>
      <c r="O189" s="335">
        <v>52</v>
      </c>
    </row>
    <row r="190" spans="2:15" ht="69.95" customHeight="1" x14ac:dyDescent="0.2">
      <c r="B190" s="260">
        <v>180</v>
      </c>
      <c r="C190" s="335">
        <v>7</v>
      </c>
      <c r="D190" s="336" t="s">
        <v>5661</v>
      </c>
      <c r="E190" s="337" t="s">
        <v>5662</v>
      </c>
      <c r="F190" s="338">
        <v>1120000</v>
      </c>
      <c r="G190" s="320" t="s">
        <v>4039</v>
      </c>
      <c r="H190" s="336" t="s">
        <v>5663</v>
      </c>
      <c r="I190" s="336" t="s">
        <v>5664</v>
      </c>
      <c r="J190" s="336" t="s">
        <v>4039</v>
      </c>
      <c r="K190" s="341" t="s">
        <v>5665</v>
      </c>
      <c r="L190" s="339" t="s">
        <v>531</v>
      </c>
      <c r="M190" s="339" t="s">
        <v>4373</v>
      </c>
      <c r="N190" s="335"/>
      <c r="O190" s="335">
        <v>52</v>
      </c>
    </row>
    <row r="191" spans="2:15" ht="69.95" customHeight="1" x14ac:dyDescent="0.2">
      <c r="B191" s="443">
        <v>181</v>
      </c>
      <c r="C191" s="335">
        <v>7</v>
      </c>
      <c r="D191" s="336" t="s">
        <v>5666</v>
      </c>
      <c r="E191" s="337" t="s">
        <v>5662</v>
      </c>
      <c r="F191" s="338">
        <v>241399832</v>
      </c>
      <c r="G191" s="437" t="s">
        <v>4039</v>
      </c>
      <c r="H191" s="336" t="s">
        <v>5667</v>
      </c>
      <c r="I191" s="336" t="s">
        <v>5664</v>
      </c>
      <c r="J191" s="336" t="s">
        <v>4039</v>
      </c>
      <c r="K191" s="341" t="s">
        <v>5668</v>
      </c>
      <c r="L191" s="339" t="s">
        <v>576</v>
      </c>
      <c r="M191" s="339" t="s">
        <v>4338</v>
      </c>
      <c r="N191" s="335"/>
      <c r="O191" s="335">
        <v>51</v>
      </c>
    </row>
    <row r="192" spans="2:15" ht="69.95" customHeight="1" x14ac:dyDescent="0.2">
      <c r="B192" s="260">
        <v>182</v>
      </c>
      <c r="C192" s="335">
        <v>7</v>
      </c>
      <c r="D192" s="336" t="s">
        <v>5669</v>
      </c>
      <c r="E192" s="337" t="s">
        <v>5662</v>
      </c>
      <c r="F192" s="338">
        <v>33484900</v>
      </c>
      <c r="G192" s="320" t="s">
        <v>4039</v>
      </c>
      <c r="H192" s="336" t="s">
        <v>5670</v>
      </c>
      <c r="I192" s="336" t="s">
        <v>5664</v>
      </c>
      <c r="J192" s="336" t="s">
        <v>4039</v>
      </c>
      <c r="K192" s="341" t="s">
        <v>5671</v>
      </c>
      <c r="L192" s="339" t="s">
        <v>535</v>
      </c>
      <c r="M192" s="339" t="s">
        <v>4372</v>
      </c>
      <c r="N192" s="335"/>
      <c r="O192" s="335">
        <v>52</v>
      </c>
    </row>
    <row r="193" spans="2:15" ht="69.95" customHeight="1" x14ac:dyDescent="0.2">
      <c r="B193" s="443">
        <v>183</v>
      </c>
      <c r="C193" s="335">
        <v>7</v>
      </c>
      <c r="D193" s="336" t="s">
        <v>5672</v>
      </c>
      <c r="E193" s="337" t="s">
        <v>5662</v>
      </c>
      <c r="F193" s="338">
        <v>10000000</v>
      </c>
      <c r="G193" s="320" t="s">
        <v>4039</v>
      </c>
      <c r="H193" s="336" t="s">
        <v>5673</v>
      </c>
      <c r="I193" s="336" t="s">
        <v>5664</v>
      </c>
      <c r="J193" s="336" t="s">
        <v>4039</v>
      </c>
      <c r="K193" s="341" t="s">
        <v>5674</v>
      </c>
      <c r="L193" s="339" t="s">
        <v>531</v>
      </c>
      <c r="M193" s="339" t="s">
        <v>4374</v>
      </c>
      <c r="N193" s="335"/>
      <c r="O193" s="335">
        <v>52</v>
      </c>
    </row>
  </sheetData>
  <sortState xmlns:xlrd2="http://schemas.microsoft.com/office/spreadsheetml/2017/richdata2" ref="B11:K51">
    <sortCondition ref="H11:H51"/>
  </sortState>
  <conditionalFormatting sqref="D113:D116">
    <cfRule type="duplicateValues" dxfId="717" priority="3"/>
  </conditionalFormatting>
  <conditionalFormatting sqref="D11:D171">
    <cfRule type="duplicateValues" dxfId="716" priority="28"/>
    <cfRule type="duplicateValues" dxfId="715"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L11:L193</xm:sqref>
        </x14:dataValidation>
        <x14:dataValidation type="list" allowBlank="1" showInputMessage="1" showErrorMessage="1" xr:uid="{1D7AA939-12B2-4A2A-99CA-5C400ED59A4C}">
          <x14:formula1>
            <xm:f>Eselon2!$R$2:$R$9</xm:f>
          </x14:formula1>
          <xm:sqref>M11:M193</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topLeftCell="A190" zoomScale="70" zoomScaleNormal="70" zoomScaleSheetLayoutView="70" workbookViewId="0">
      <selection activeCell="G214" sqref="G214"/>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5" t="str">
        <f>'PERSUBBID - Gaji'!A1</f>
        <v>REALISASI TANPA GAJI (BERDASARKAN PAGU SETELAH BLOKIR)</v>
      </c>
      <c r="D1" s="465"/>
      <c r="E1" s="465"/>
      <c r="F1" s="465"/>
      <c r="G1" s="465"/>
      <c r="H1" s="465"/>
    </row>
    <row r="2" spans="3:18" ht="19.5" x14ac:dyDescent="0.4">
      <c r="C2" s="465" t="str">
        <f>'PER BULAN'!B5</f>
        <v>Berdasarkan DIPA Revisi 2 TA. 2022 (Tanggal 9 Juni 2022)</v>
      </c>
      <c r="D2" s="465"/>
      <c r="E2" s="465"/>
      <c r="F2" s="465"/>
      <c r="G2" s="465"/>
      <c r="H2" s="465"/>
    </row>
    <row r="3" spans="3:18" ht="19.5" x14ac:dyDescent="0.4">
      <c r="C3" s="465" t="str">
        <f>'PER BULAN'!B6</f>
        <v>SAMPAI DENGAN 11 JULI 2022</v>
      </c>
      <c r="D3" s="465"/>
      <c r="E3" s="465"/>
      <c r="F3" s="465"/>
      <c r="G3" s="465"/>
      <c r="H3" s="465"/>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6741589414</v>
      </c>
      <c r="F6" s="350">
        <v>59.262531369211359</v>
      </c>
      <c r="G6" s="349">
        <v>4634214586</v>
      </c>
      <c r="H6" s="350">
        <v>40.737468630788648</v>
      </c>
      <c r="R6" s="215"/>
    </row>
    <row r="7" spans="3:18" x14ac:dyDescent="0.25">
      <c r="C7" s="309" t="s">
        <v>3888</v>
      </c>
      <c r="D7" s="351">
        <v>1000000000</v>
      </c>
      <c r="E7" s="351">
        <v>408446000</v>
      </c>
      <c r="F7" s="352">
        <v>40.8446</v>
      </c>
      <c r="G7" s="351">
        <v>591554000</v>
      </c>
      <c r="H7" s="352">
        <v>59.1554</v>
      </c>
      <c r="R7" s="215"/>
    </row>
    <row r="8" spans="3:18" x14ac:dyDescent="0.25">
      <c r="C8" s="309" t="s">
        <v>3898</v>
      </c>
      <c r="D8" s="351">
        <v>1000000000</v>
      </c>
      <c r="E8" s="351">
        <v>408446000</v>
      </c>
      <c r="F8" s="352">
        <v>40.8446</v>
      </c>
      <c r="G8" s="351">
        <v>591554000</v>
      </c>
      <c r="H8" s="352">
        <v>59.1554</v>
      </c>
    </row>
    <row r="9" spans="3:18" x14ac:dyDescent="0.25">
      <c r="C9" s="310" t="s">
        <v>535</v>
      </c>
      <c r="D9" s="353">
        <v>821400000</v>
      </c>
      <c r="E9" s="353">
        <v>325268500</v>
      </c>
      <c r="F9" s="354">
        <v>39.599281714146578</v>
      </c>
      <c r="G9" s="353">
        <v>496131500</v>
      </c>
      <c r="H9" s="354">
        <v>60.400718285853415</v>
      </c>
    </row>
    <row r="10" spans="3:18" x14ac:dyDescent="0.25">
      <c r="C10" s="170" t="s">
        <v>536</v>
      </c>
      <c r="D10" s="355">
        <v>686300000</v>
      </c>
      <c r="E10" s="355">
        <v>247665140</v>
      </c>
      <c r="F10" s="356">
        <v>36.087008596823544</v>
      </c>
      <c r="G10" s="355">
        <v>438634860</v>
      </c>
      <c r="H10" s="356">
        <v>63.912991403176456</v>
      </c>
    </row>
    <row r="11" spans="3:18" x14ac:dyDescent="0.25">
      <c r="C11" s="309" t="s">
        <v>3900</v>
      </c>
      <c r="D11" s="351">
        <v>686300000</v>
      </c>
      <c r="E11" s="351">
        <v>247665140</v>
      </c>
      <c r="F11" s="352">
        <v>36.087008596823544</v>
      </c>
      <c r="G11" s="351">
        <v>438634860</v>
      </c>
      <c r="H11" s="352">
        <v>63.912991403176456</v>
      </c>
    </row>
    <row r="12" spans="3:18" x14ac:dyDescent="0.25">
      <c r="C12" s="325" t="s">
        <v>3906</v>
      </c>
      <c r="D12" s="357">
        <v>686300000</v>
      </c>
      <c r="E12" s="357">
        <v>247665140</v>
      </c>
      <c r="F12" s="358">
        <v>36.087008596823544</v>
      </c>
      <c r="G12" s="357">
        <v>438634860</v>
      </c>
      <c r="H12" s="358">
        <v>63.912991403176456</v>
      </c>
    </row>
    <row r="13" spans="3:18" x14ac:dyDescent="0.25">
      <c r="C13" s="311" t="s">
        <v>3907</v>
      </c>
      <c r="D13" s="359">
        <v>386924000</v>
      </c>
      <c r="E13" s="359">
        <v>92408550</v>
      </c>
      <c r="F13" s="360">
        <v>23.882868470293907</v>
      </c>
      <c r="G13" s="359">
        <v>294515450</v>
      </c>
      <c r="H13" s="360">
        <v>76.1171315297061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66713550</v>
      </c>
      <c r="F19" s="352">
        <v>26.335266299284712</v>
      </c>
      <c r="G19" s="351">
        <v>186610450</v>
      </c>
      <c r="H19" s="352">
        <v>73.664733700715288</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77603360</v>
      </c>
      <c r="F33" s="356">
        <v>57.441421169504068</v>
      </c>
      <c r="G33" s="355">
        <v>57496640</v>
      </c>
      <c r="H33" s="356">
        <v>42.558578830495932</v>
      </c>
    </row>
    <row r="34" spans="3:15" x14ac:dyDescent="0.25">
      <c r="C34" s="309" t="s">
        <v>3900</v>
      </c>
      <c r="D34" s="351">
        <v>135100000</v>
      </c>
      <c r="E34" s="351">
        <v>77603360</v>
      </c>
      <c r="F34" s="352">
        <v>57.441421169504068</v>
      </c>
      <c r="G34" s="351">
        <v>57496640</v>
      </c>
      <c r="H34" s="352">
        <v>42.558578830495932</v>
      </c>
      <c r="O34" s="217"/>
    </row>
    <row r="35" spans="3:15" x14ac:dyDescent="0.25">
      <c r="C35" s="325" t="s">
        <v>3910</v>
      </c>
      <c r="D35" s="357">
        <v>135100000</v>
      </c>
      <c r="E35" s="357">
        <v>77603360</v>
      </c>
      <c r="F35" s="358">
        <v>57.441421169504068</v>
      </c>
      <c r="G35" s="357">
        <v>57496640</v>
      </c>
      <c r="H35" s="358">
        <v>42.558578830495932</v>
      </c>
    </row>
    <row r="36" spans="3:15" x14ac:dyDescent="0.25">
      <c r="C36" s="311" t="s">
        <v>3911</v>
      </c>
      <c r="D36" s="359">
        <v>135100000</v>
      </c>
      <c r="E36" s="359">
        <v>77603360</v>
      </c>
      <c r="F36" s="360">
        <v>57.441421169504068</v>
      </c>
      <c r="G36" s="359">
        <v>57496640</v>
      </c>
      <c r="H36" s="360">
        <v>42.558578830495932</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60912610</v>
      </c>
      <c r="F41" s="352">
        <v>62.528342366757009</v>
      </c>
      <c r="G41" s="351">
        <v>36503390</v>
      </c>
      <c r="H41" s="352">
        <v>37.471657633242998</v>
      </c>
    </row>
    <row r="42" spans="3:15" x14ac:dyDescent="0.25">
      <c r="C42" s="310" t="s">
        <v>531</v>
      </c>
      <c r="D42" s="353">
        <v>178600000</v>
      </c>
      <c r="E42" s="353">
        <v>83177500</v>
      </c>
      <c r="F42" s="354">
        <v>46.57194848824188</v>
      </c>
      <c r="G42" s="353">
        <v>95422500</v>
      </c>
      <c r="H42" s="354">
        <v>53.42805151175812</v>
      </c>
    </row>
    <row r="43" spans="3:15" x14ac:dyDescent="0.25">
      <c r="C43" s="170" t="s">
        <v>532</v>
      </c>
      <c r="D43" s="355">
        <v>124100000</v>
      </c>
      <c r="E43" s="355">
        <v>57463000</v>
      </c>
      <c r="F43" s="356">
        <v>46.303787268331995</v>
      </c>
      <c r="G43" s="355">
        <v>66637000</v>
      </c>
      <c r="H43" s="356">
        <v>53.696212731668012</v>
      </c>
    </row>
    <row r="44" spans="3:15" x14ac:dyDescent="0.25">
      <c r="C44" s="309" t="s">
        <v>3900</v>
      </c>
      <c r="D44" s="351">
        <v>124100000</v>
      </c>
      <c r="E44" s="351">
        <v>57463000</v>
      </c>
      <c r="F44" s="352">
        <v>46.303787268331995</v>
      </c>
      <c r="G44" s="351">
        <v>66637000</v>
      </c>
      <c r="H44" s="352">
        <v>53.696212731668012</v>
      </c>
    </row>
    <row r="45" spans="3:15" x14ac:dyDescent="0.25">
      <c r="C45" s="325" t="s">
        <v>3901</v>
      </c>
      <c r="D45" s="357">
        <v>124100000</v>
      </c>
      <c r="E45" s="357">
        <v>57463000</v>
      </c>
      <c r="F45" s="358">
        <v>46.303787268331995</v>
      </c>
      <c r="G45" s="357">
        <v>66637000</v>
      </c>
      <c r="H45" s="358">
        <v>53.696212731668012</v>
      </c>
    </row>
    <row r="46" spans="3:15" x14ac:dyDescent="0.25">
      <c r="C46" s="311" t="s">
        <v>3902</v>
      </c>
      <c r="D46" s="359">
        <v>83135000</v>
      </c>
      <c r="E46" s="359">
        <v>35902000</v>
      </c>
      <c r="F46" s="360">
        <v>43.185180730137731</v>
      </c>
      <c r="G46" s="359">
        <v>47233000</v>
      </c>
      <c r="H46" s="360">
        <v>56.814819269862269</v>
      </c>
    </row>
    <row r="47" spans="3:15" x14ac:dyDescent="0.25">
      <c r="C47" s="315" t="s">
        <v>3890</v>
      </c>
      <c r="D47" s="351">
        <v>19875000</v>
      </c>
      <c r="E47" s="351">
        <v>6406000</v>
      </c>
      <c r="F47" s="352">
        <v>32.231446540880505</v>
      </c>
      <c r="G47" s="351">
        <v>13469000</v>
      </c>
      <c r="H47" s="352">
        <v>67.768553459119502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27396000</v>
      </c>
      <c r="F49" s="352">
        <v>63.328710124826628</v>
      </c>
      <c r="G49" s="351">
        <v>15864000</v>
      </c>
      <c r="H49" s="352">
        <v>36.671289875173372</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25714500</v>
      </c>
      <c r="F54" s="356">
        <v>47.18256880733945</v>
      </c>
      <c r="G54" s="355">
        <v>28785500</v>
      </c>
      <c r="H54" s="356">
        <v>52.81743119266055</v>
      </c>
    </row>
    <row r="55" spans="3:8" x14ac:dyDescent="0.25">
      <c r="C55" s="309" t="s">
        <v>3900</v>
      </c>
      <c r="D55" s="351">
        <v>54500000</v>
      </c>
      <c r="E55" s="351">
        <v>25714500</v>
      </c>
      <c r="F55" s="352">
        <v>47.18256880733945</v>
      </c>
      <c r="G55" s="351">
        <v>28785500</v>
      </c>
      <c r="H55" s="352">
        <v>52.81743119266055</v>
      </c>
    </row>
    <row r="56" spans="3:8" x14ac:dyDescent="0.25">
      <c r="C56" s="325" t="s">
        <v>3905</v>
      </c>
      <c r="D56" s="357">
        <v>54500000</v>
      </c>
      <c r="E56" s="357">
        <v>25714500</v>
      </c>
      <c r="F56" s="358">
        <v>47.18256880733945</v>
      </c>
      <c r="G56" s="357">
        <v>28785500</v>
      </c>
      <c r="H56" s="358">
        <v>52.81743119266055</v>
      </c>
    </row>
    <row r="57" spans="3:8" x14ac:dyDescent="0.25">
      <c r="C57" s="311" t="s">
        <v>3922</v>
      </c>
      <c r="D57" s="359">
        <v>54500000</v>
      </c>
      <c r="E57" s="359">
        <v>25714500</v>
      </c>
      <c r="F57" s="360">
        <v>47.18256880733945</v>
      </c>
      <c r="G57" s="359">
        <v>28785500</v>
      </c>
      <c r="H57" s="360">
        <v>52.81743119266055</v>
      </c>
    </row>
    <row r="58" spans="3:8" x14ac:dyDescent="0.25">
      <c r="C58" s="315" t="s">
        <v>3890</v>
      </c>
      <c r="D58" s="351">
        <v>21250000</v>
      </c>
      <c r="E58" s="351">
        <v>4620000</v>
      </c>
      <c r="F58" s="352">
        <v>21.741176470588236</v>
      </c>
      <c r="G58" s="351">
        <v>16630000</v>
      </c>
      <c r="H58" s="352">
        <v>78.258823529411771</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6333143414</v>
      </c>
      <c r="F60" s="352">
        <v>61.037616111483985</v>
      </c>
      <c r="G60" s="351">
        <v>4042660586</v>
      </c>
      <c r="H60" s="352">
        <v>38.962383888516008</v>
      </c>
    </row>
    <row r="61" spans="3:8" x14ac:dyDescent="0.25">
      <c r="C61" s="309" t="s">
        <v>3914</v>
      </c>
      <c r="D61" s="351">
        <v>4293304000</v>
      </c>
      <c r="E61" s="351">
        <v>2444459202</v>
      </c>
      <c r="F61" s="352">
        <v>56.936550544755271</v>
      </c>
      <c r="G61" s="351">
        <v>1848844798</v>
      </c>
      <c r="H61" s="352">
        <v>43.063449455244722</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139623590</v>
      </c>
      <c r="F70" s="354">
        <v>72.056722179502401</v>
      </c>
      <c r="G70" s="353">
        <v>54145410</v>
      </c>
      <c r="H70" s="354">
        <v>27.943277820497602</v>
      </c>
    </row>
    <row r="71" spans="3:8" x14ac:dyDescent="0.25">
      <c r="C71" s="170" t="s">
        <v>532</v>
      </c>
      <c r="D71" s="355">
        <v>83506000</v>
      </c>
      <c r="E71" s="355">
        <v>80472590</v>
      </c>
      <c r="F71" s="356">
        <v>96.367434675352669</v>
      </c>
      <c r="G71" s="355">
        <v>3033410</v>
      </c>
      <c r="H71" s="356">
        <v>3.6325653246473308</v>
      </c>
    </row>
    <row r="72" spans="3:8" x14ac:dyDescent="0.25">
      <c r="C72" s="309" t="s">
        <v>3935</v>
      </c>
      <c r="D72" s="351">
        <v>83506000</v>
      </c>
      <c r="E72" s="351">
        <v>80472590</v>
      </c>
      <c r="F72" s="352">
        <v>96.367434675352669</v>
      </c>
      <c r="G72" s="351">
        <v>3033410</v>
      </c>
      <c r="H72" s="352">
        <v>3.6325653246473308</v>
      </c>
    </row>
    <row r="73" spans="3:8" x14ac:dyDescent="0.25">
      <c r="C73" s="325" t="s">
        <v>3934</v>
      </c>
      <c r="D73" s="357">
        <v>83506000</v>
      </c>
      <c r="E73" s="357">
        <v>80472590</v>
      </c>
      <c r="F73" s="358">
        <v>96.367434675352669</v>
      </c>
      <c r="G73" s="357">
        <v>3033410</v>
      </c>
      <c r="H73" s="358">
        <v>3.6325653246473308</v>
      </c>
    </row>
    <row r="74" spans="3:8" x14ac:dyDescent="0.25">
      <c r="C74" s="311" t="s">
        <v>3940</v>
      </c>
      <c r="D74" s="359">
        <v>83506000</v>
      </c>
      <c r="E74" s="359">
        <v>80472590</v>
      </c>
      <c r="F74" s="360">
        <v>96.367434675352669</v>
      </c>
      <c r="G74" s="359">
        <v>3033410</v>
      </c>
      <c r="H74" s="360">
        <v>3.6325653246473308</v>
      </c>
    </row>
    <row r="75" spans="3:8" x14ac:dyDescent="0.25">
      <c r="C75" s="315" t="s">
        <v>3890</v>
      </c>
      <c r="D75" s="351">
        <v>12550000</v>
      </c>
      <c r="E75" s="351">
        <v>12517500</v>
      </c>
      <c r="F75" s="352">
        <v>99.741035856573703</v>
      </c>
      <c r="G75" s="351">
        <v>32500</v>
      </c>
      <c r="H75" s="352">
        <v>0.25896414342629481</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6000000</v>
      </c>
      <c r="F77" s="352">
        <v>66.666666666666657</v>
      </c>
      <c r="G77" s="351">
        <v>3000000</v>
      </c>
      <c r="H77" s="352">
        <v>33.333333333333329</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59151000</v>
      </c>
      <c r="F79" s="356">
        <v>53.64537514850857</v>
      </c>
      <c r="G79" s="355">
        <v>51112000</v>
      </c>
      <c r="H79" s="356">
        <v>46.35462485149143</v>
      </c>
    </row>
    <row r="80" spans="3:8" x14ac:dyDescent="0.25">
      <c r="C80" s="309" t="s">
        <v>3935</v>
      </c>
      <c r="D80" s="351">
        <v>110263000</v>
      </c>
      <c r="E80" s="351">
        <v>59151000</v>
      </c>
      <c r="F80" s="352">
        <v>53.64537514850857</v>
      </c>
      <c r="G80" s="351">
        <v>51112000</v>
      </c>
      <c r="H80" s="352">
        <v>46.35462485149143</v>
      </c>
    </row>
    <row r="81" spans="3:8" x14ac:dyDescent="0.25">
      <c r="C81" s="325" t="s">
        <v>3934</v>
      </c>
      <c r="D81" s="357">
        <v>110263000</v>
      </c>
      <c r="E81" s="357">
        <v>59151000</v>
      </c>
      <c r="F81" s="358">
        <v>53.64537514850857</v>
      </c>
      <c r="G81" s="357">
        <v>51112000</v>
      </c>
      <c r="H81" s="358">
        <v>46.35462485149143</v>
      </c>
    </row>
    <row r="82" spans="3:8" x14ac:dyDescent="0.25">
      <c r="C82" s="311" t="s">
        <v>3942</v>
      </c>
      <c r="D82" s="359">
        <v>110263000</v>
      </c>
      <c r="E82" s="359">
        <v>59151000</v>
      </c>
      <c r="F82" s="360">
        <v>53.64537514850857</v>
      </c>
      <c r="G82" s="359">
        <v>51112000</v>
      </c>
      <c r="H82" s="360">
        <v>46.35462485149143</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24000000</v>
      </c>
      <c r="F85" s="352">
        <v>60</v>
      </c>
      <c r="G85" s="351">
        <v>16000000</v>
      </c>
      <c r="H85" s="352">
        <v>40</v>
      </c>
    </row>
    <row r="86" spans="3:8" x14ac:dyDescent="0.25">
      <c r="C86" s="315" t="s">
        <v>3894</v>
      </c>
      <c r="D86" s="351">
        <v>25062000</v>
      </c>
      <c r="E86" s="351">
        <v>25062000</v>
      </c>
      <c r="F86" s="352">
        <v>100</v>
      </c>
      <c r="G86" s="351">
        <v>0</v>
      </c>
      <c r="H86" s="352">
        <v>0</v>
      </c>
    </row>
    <row r="87" spans="3:8" x14ac:dyDescent="0.25">
      <c r="C87" s="310" t="s">
        <v>542</v>
      </c>
      <c r="D87" s="353">
        <v>463716000</v>
      </c>
      <c r="E87" s="353">
        <v>247567692</v>
      </c>
      <c r="F87" s="354">
        <v>53.387783039619073</v>
      </c>
      <c r="G87" s="353">
        <v>216148308</v>
      </c>
      <c r="H87" s="354">
        <v>46.612216960380927</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141771395</v>
      </c>
      <c r="F104" s="356">
        <v>48.23501622901626</v>
      </c>
      <c r="G104" s="355">
        <v>152146605</v>
      </c>
      <c r="H104" s="356">
        <v>51.76498377098374</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111936545</v>
      </c>
      <c r="F111" s="352">
        <v>61.98997906652194</v>
      </c>
      <c r="G111" s="351">
        <v>68635455</v>
      </c>
      <c r="H111" s="352">
        <v>38.010020933478053</v>
      </c>
    </row>
    <row r="112" spans="3:8" x14ac:dyDescent="0.25">
      <c r="C112" s="325" t="s">
        <v>3962</v>
      </c>
      <c r="D112" s="357">
        <v>180572000</v>
      </c>
      <c r="E112" s="357">
        <v>111936545</v>
      </c>
      <c r="F112" s="358">
        <v>61.98997906652194</v>
      </c>
      <c r="G112" s="357">
        <v>68635455</v>
      </c>
      <c r="H112" s="358">
        <v>38.010020933478053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30108100</v>
      </c>
      <c r="F118" s="360">
        <v>38.6001282051282</v>
      </c>
      <c r="G118" s="359">
        <v>47891900</v>
      </c>
      <c r="H118" s="360">
        <v>61.3998717948718</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14386100</v>
      </c>
      <c r="F122" s="352">
        <v>31.969111111111108</v>
      </c>
      <c r="G122" s="351">
        <v>30613900</v>
      </c>
      <c r="H122" s="352">
        <v>68.030888888888882</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2043620562</v>
      </c>
      <c r="F127" s="354">
        <v>56.477601865101803</v>
      </c>
      <c r="G127" s="353">
        <v>1574841438</v>
      </c>
      <c r="H127" s="354">
        <v>43.522398134898197</v>
      </c>
    </row>
    <row r="128" spans="3:8" x14ac:dyDescent="0.25">
      <c r="C128" s="170" t="s">
        <v>546</v>
      </c>
      <c r="D128" s="355">
        <v>197920000</v>
      </c>
      <c r="E128" s="355">
        <v>147757520</v>
      </c>
      <c r="F128" s="356">
        <v>74.655173807599027</v>
      </c>
      <c r="G128" s="355">
        <v>50162480</v>
      </c>
      <c r="H128" s="356">
        <v>25.344826192400973</v>
      </c>
    </row>
    <row r="129" spans="3:8" x14ac:dyDescent="0.25">
      <c r="C129" s="309" t="s">
        <v>3970</v>
      </c>
      <c r="D129" s="351">
        <v>197920000</v>
      </c>
      <c r="E129" s="351">
        <v>147757520</v>
      </c>
      <c r="F129" s="352">
        <v>74.655173807599027</v>
      </c>
      <c r="G129" s="351">
        <v>50162480</v>
      </c>
      <c r="H129" s="352">
        <v>25.344826192400973</v>
      </c>
    </row>
    <row r="130" spans="3:8" x14ac:dyDescent="0.25">
      <c r="C130" s="325" t="s">
        <v>3971</v>
      </c>
      <c r="D130" s="357">
        <v>197920000</v>
      </c>
      <c r="E130" s="357">
        <v>147757520</v>
      </c>
      <c r="F130" s="358">
        <v>74.655173807599027</v>
      </c>
      <c r="G130" s="357">
        <v>50162480</v>
      </c>
      <c r="H130" s="358">
        <v>25.344826192400973</v>
      </c>
    </row>
    <row r="131" spans="3:8" x14ac:dyDescent="0.25">
      <c r="C131" s="311" t="s">
        <v>3972</v>
      </c>
      <c r="D131" s="359">
        <v>27102000</v>
      </c>
      <c r="E131" s="359">
        <v>24822552</v>
      </c>
      <c r="F131" s="360">
        <v>91.589373477972103</v>
      </c>
      <c r="G131" s="359">
        <v>2279448</v>
      </c>
      <c r="H131" s="360">
        <v>8.4106265220278953</v>
      </c>
    </row>
    <row r="132" spans="3:8" x14ac:dyDescent="0.25">
      <c r="C132" s="315" t="s">
        <v>3890</v>
      </c>
      <c r="D132" s="351">
        <v>18400000</v>
      </c>
      <c r="E132" s="351">
        <v>16121000</v>
      </c>
      <c r="F132" s="352">
        <v>87.614130434782609</v>
      </c>
      <c r="G132" s="351">
        <v>2279000</v>
      </c>
      <c r="H132" s="352">
        <v>12.385869565217392</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7467500</v>
      </c>
      <c r="F137" s="360">
        <v>99.566666666666663</v>
      </c>
      <c r="G137" s="359">
        <v>32500</v>
      </c>
      <c r="H137" s="360">
        <v>0.43333333333333329</v>
      </c>
    </row>
    <row r="138" spans="3:8" ht="17.100000000000001" customHeight="1" x14ac:dyDescent="0.25">
      <c r="C138" s="315" t="s">
        <v>3890</v>
      </c>
      <c r="D138" s="351">
        <v>7500000</v>
      </c>
      <c r="E138" s="351">
        <v>7467500</v>
      </c>
      <c r="F138" s="352">
        <v>99.566666666666663</v>
      </c>
      <c r="G138" s="351">
        <v>32500</v>
      </c>
      <c r="H138" s="352">
        <v>0.43333333333333329</v>
      </c>
    </row>
    <row r="139" spans="3:8" x14ac:dyDescent="0.25">
      <c r="C139" s="311" t="s">
        <v>3975</v>
      </c>
      <c r="D139" s="359">
        <v>34635000</v>
      </c>
      <c r="E139" s="359">
        <v>33099468</v>
      </c>
      <c r="F139" s="360">
        <v>95.566530965786058</v>
      </c>
      <c r="G139" s="359">
        <v>1535532</v>
      </c>
      <c r="H139" s="360">
        <v>4.4334690342139451</v>
      </c>
    </row>
    <row r="140" spans="3:8" ht="17.100000000000001" customHeight="1" x14ac:dyDescent="0.25">
      <c r="C140" s="315" t="s">
        <v>3890</v>
      </c>
      <c r="D140" s="351">
        <v>14000000</v>
      </c>
      <c r="E140" s="351">
        <v>12465000</v>
      </c>
      <c r="F140" s="352">
        <v>89.035714285714278</v>
      </c>
      <c r="G140" s="351">
        <v>1535000</v>
      </c>
      <c r="H140" s="352">
        <v>10.964285714285714</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69630000</v>
      </c>
      <c r="F144" s="360">
        <v>64.274043920135142</v>
      </c>
      <c r="G144" s="359">
        <v>38703000</v>
      </c>
      <c r="H144" s="360">
        <v>35.725956079864865</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14900000</v>
      </c>
      <c r="F146" s="352">
        <v>54.181818181818187</v>
      </c>
      <c r="G146" s="351">
        <v>12600000</v>
      </c>
      <c r="H146" s="352">
        <v>45.81818181818182</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1895863042</v>
      </c>
      <c r="F148" s="356">
        <v>55.42580801522098</v>
      </c>
      <c r="G148" s="355">
        <v>1524678958</v>
      </c>
      <c r="H148" s="356">
        <v>44.57419198477902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436986499</v>
      </c>
      <c r="F153" s="352">
        <v>65.155348718621582</v>
      </c>
      <c r="G153" s="351">
        <v>233697501</v>
      </c>
      <c r="H153" s="352">
        <v>34.844651281378411</v>
      </c>
    </row>
    <row r="154" spans="3:8" x14ac:dyDescent="0.25">
      <c r="C154" s="325" t="s">
        <v>3934</v>
      </c>
      <c r="D154" s="357">
        <v>670684000</v>
      </c>
      <c r="E154" s="357">
        <v>436986499</v>
      </c>
      <c r="F154" s="358">
        <v>65.155348718621582</v>
      </c>
      <c r="G154" s="357">
        <v>233697501</v>
      </c>
      <c r="H154" s="358">
        <v>34.844651281378411</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214120741</v>
      </c>
      <c r="F159" s="360">
        <v>55.519878910453372</v>
      </c>
      <c r="G159" s="359">
        <v>171544259</v>
      </c>
      <c r="H159" s="360">
        <v>44.480121089546628</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207119741</v>
      </c>
      <c r="F162" s="352">
        <v>55.433858000074942</v>
      </c>
      <c r="G162" s="351">
        <v>166514259</v>
      </c>
      <c r="H162" s="352">
        <v>44.566141999925065</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804676543</v>
      </c>
      <c r="F181" s="352">
        <v>38.397321652674243</v>
      </c>
      <c r="G181" s="351">
        <v>1290981457</v>
      </c>
      <c r="H181" s="352">
        <v>61.602678347325757</v>
      </c>
    </row>
    <row r="182" spans="3:8" ht="17.100000000000001" customHeight="1" x14ac:dyDescent="0.25">
      <c r="C182" s="440" t="s">
        <v>3851</v>
      </c>
      <c r="D182" s="441">
        <v>2095658000</v>
      </c>
      <c r="E182" s="441">
        <v>804676543</v>
      </c>
      <c r="F182" s="442">
        <v>38.397321652674243</v>
      </c>
      <c r="G182" s="441">
        <v>1290981457</v>
      </c>
      <c r="H182" s="442">
        <v>61.602678347325757</v>
      </c>
    </row>
    <row r="183" spans="3:8" ht="17.100000000000001" customHeight="1" x14ac:dyDescent="0.25">
      <c r="C183" s="439" t="s">
        <v>3944</v>
      </c>
      <c r="D183" s="359">
        <v>1254380000</v>
      </c>
      <c r="E183" s="359">
        <v>563094753</v>
      </c>
      <c r="F183" s="360">
        <v>44.890284682472611</v>
      </c>
      <c r="G183" s="359">
        <v>691285247</v>
      </c>
      <c r="H183" s="360">
        <v>55.109715317527389</v>
      </c>
    </row>
    <row r="184" spans="3:8" x14ac:dyDescent="0.25">
      <c r="C184" s="315" t="s">
        <v>3945</v>
      </c>
      <c r="D184" s="351">
        <v>1076220000</v>
      </c>
      <c r="E184" s="351">
        <v>498386753</v>
      </c>
      <c r="F184" s="352">
        <v>46.309003084871122</v>
      </c>
      <c r="G184" s="351">
        <v>577833247</v>
      </c>
      <c r="H184" s="352">
        <v>53.690996915128878</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72241050</v>
      </c>
      <c r="F186" s="360">
        <v>48.532132588074063</v>
      </c>
      <c r="G186" s="359">
        <v>76610950</v>
      </c>
      <c r="H186" s="360">
        <v>51.467867411925937</v>
      </c>
    </row>
    <row r="187" spans="3:8" ht="17.100000000000001" customHeight="1" x14ac:dyDescent="0.25">
      <c r="C187" s="315" t="s">
        <v>3947</v>
      </c>
      <c r="D187" s="351">
        <v>30000000</v>
      </c>
      <c r="E187" s="351">
        <v>2441050</v>
      </c>
      <c r="F187" s="352">
        <v>8.1368333333333336</v>
      </c>
      <c r="G187" s="351">
        <v>27558950</v>
      </c>
      <c r="H187" s="352">
        <v>91.863166666666658</v>
      </c>
    </row>
    <row r="188" spans="3:8" x14ac:dyDescent="0.25">
      <c r="C188" s="315" t="s">
        <v>3896</v>
      </c>
      <c r="D188" s="351">
        <v>118852000</v>
      </c>
      <c r="E188" s="351">
        <v>69800000</v>
      </c>
      <c r="F188" s="352">
        <v>58.728502675596538</v>
      </c>
      <c r="G188" s="351">
        <v>49052000</v>
      </c>
      <c r="H188" s="352">
        <v>41.271497324403462</v>
      </c>
    </row>
    <row r="189" spans="3:8" ht="17.100000000000001" customHeight="1" x14ac:dyDescent="0.25">
      <c r="C189" s="439" t="s">
        <v>3948</v>
      </c>
      <c r="D189" s="359">
        <v>533050000</v>
      </c>
      <c r="E189" s="359">
        <v>106018740</v>
      </c>
      <c r="F189" s="360">
        <v>19.889079823656317</v>
      </c>
      <c r="G189" s="359">
        <v>427031260</v>
      </c>
      <c r="H189" s="360">
        <v>80.110920176343683</v>
      </c>
    </row>
    <row r="190" spans="3:8" ht="17.100000000000001" customHeight="1" x14ac:dyDescent="0.25">
      <c r="C190" s="315" t="s">
        <v>3949</v>
      </c>
      <c r="D190" s="351">
        <v>497050000</v>
      </c>
      <c r="E190" s="351">
        <v>97018740</v>
      </c>
      <c r="F190" s="352">
        <v>19.518909566442009</v>
      </c>
      <c r="G190" s="351">
        <v>400031260</v>
      </c>
      <c r="H190" s="352">
        <v>80.481090433557995</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63322000</v>
      </c>
      <c r="F192" s="360">
        <v>39.731201686577656</v>
      </c>
      <c r="G192" s="359">
        <v>96054000</v>
      </c>
      <c r="H192" s="360">
        <v>60.268798313422344</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18912000</v>
      </c>
      <c r="F194" s="352">
        <v>32.419089413055403</v>
      </c>
      <c r="G194" s="351">
        <v>39424000</v>
      </c>
      <c r="H194" s="352">
        <v>67.580910586944597</v>
      </c>
    </row>
    <row r="195" spans="3:8" x14ac:dyDescent="0.25">
      <c r="C195" s="309" t="s">
        <v>3920</v>
      </c>
      <c r="D195" s="351">
        <v>6082500000</v>
      </c>
      <c r="E195" s="351">
        <v>3888684212</v>
      </c>
      <c r="F195" s="352">
        <v>63.932333941635846</v>
      </c>
      <c r="G195" s="351">
        <v>2193815788</v>
      </c>
      <c r="H195" s="352">
        <v>36.067666058364161</v>
      </c>
    </row>
    <row r="196" spans="3:8" x14ac:dyDescent="0.25">
      <c r="C196" s="310" t="s">
        <v>542</v>
      </c>
      <c r="D196" s="353">
        <v>6082500000</v>
      </c>
      <c r="E196" s="353">
        <v>3888684212</v>
      </c>
      <c r="F196" s="354">
        <v>63.932333941635846</v>
      </c>
      <c r="G196" s="353">
        <v>2193815788</v>
      </c>
      <c r="H196" s="354">
        <v>36.067666058364161</v>
      </c>
    </row>
    <row r="197" spans="3:8" x14ac:dyDescent="0.25">
      <c r="C197" s="170" t="s">
        <v>543</v>
      </c>
      <c r="D197" s="355">
        <v>6082500000</v>
      </c>
      <c r="E197" s="355">
        <v>3888684212</v>
      </c>
      <c r="F197" s="356">
        <v>63.932333941635846</v>
      </c>
      <c r="G197" s="355">
        <v>2193815788</v>
      </c>
      <c r="H197" s="356">
        <v>36.067666058364161</v>
      </c>
    </row>
    <row r="198" spans="3:8" x14ac:dyDescent="0.25">
      <c r="C198" s="309" t="s">
        <v>3980</v>
      </c>
      <c r="D198" s="351">
        <v>6082500000</v>
      </c>
      <c r="E198" s="351">
        <v>3888684212</v>
      </c>
      <c r="F198" s="352">
        <v>63.932333941635846</v>
      </c>
      <c r="G198" s="351">
        <v>2193815788</v>
      </c>
      <c r="H198" s="352">
        <v>36.067666058364161</v>
      </c>
    </row>
    <row r="199" spans="3:8" x14ac:dyDescent="0.25">
      <c r="C199" s="325" t="s">
        <v>3981</v>
      </c>
      <c r="D199" s="357">
        <v>5973300000</v>
      </c>
      <c r="E199" s="357">
        <v>3880878212</v>
      </c>
      <c r="F199" s="358">
        <v>64.970421910836549</v>
      </c>
      <c r="G199" s="357">
        <v>2092421788</v>
      </c>
      <c r="H199" s="358">
        <v>35.029578089163444</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3855488212</v>
      </c>
      <c r="F207" s="360">
        <v>94.365541529654067</v>
      </c>
      <c r="G207" s="359">
        <v>230206788</v>
      </c>
      <c r="H207" s="360">
        <v>5.6344584703459262</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3797621206</v>
      </c>
      <c r="F209" s="352">
        <v>99.709249651127223</v>
      </c>
      <c r="G209" s="351">
        <v>11073794</v>
      </c>
      <c r="H209" s="352">
        <v>0.29075034887277662</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50138506</v>
      </c>
      <c r="F212" s="352">
        <v>23.212271296296297</v>
      </c>
      <c r="G212" s="351">
        <v>165861494</v>
      </c>
      <c r="H212" s="352">
        <v>76.787728703703706</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445" t="s">
        <v>4004</v>
      </c>
      <c r="D222" s="351">
        <v>11375804000</v>
      </c>
      <c r="E222" s="351">
        <v>6741589414</v>
      </c>
      <c r="F222" s="352">
        <v>59.262531369211359</v>
      </c>
      <c r="G222" s="351">
        <v>4634214586</v>
      </c>
      <c r="H222" s="352">
        <v>40.737468630788648</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6175278502</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K20"/>
  <sheetViews>
    <sheetView workbookViewId="0">
      <selection activeCell="H28" sqref="H28"/>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1" width="13.140625" bestFit="1" customWidth="1"/>
    <col min="12"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1" x14ac:dyDescent="0.25">
      <c r="B5" s="295" t="s">
        <v>4029</v>
      </c>
      <c r="C5" s="296" t="s">
        <v>4013</v>
      </c>
      <c r="D5" s="296" t="s">
        <v>4014</v>
      </c>
      <c r="E5" s="296" t="s">
        <v>4015</v>
      </c>
      <c r="F5" s="296" t="s">
        <v>4023</v>
      </c>
      <c r="G5" s="296" t="s">
        <v>4341</v>
      </c>
      <c r="H5" s="296" t="s">
        <v>4377</v>
      </c>
      <c r="I5" s="296" t="s">
        <v>4414</v>
      </c>
      <c r="J5" s="296" t="s">
        <v>4553</v>
      </c>
      <c r="K5" s="296" t="s">
        <v>5637</v>
      </c>
    </row>
    <row r="6" spans="2:11" x14ac:dyDescent="0.25">
      <c r="B6" s="295" t="s">
        <v>4027</v>
      </c>
      <c r="C6" s="297" t="s">
        <v>4346</v>
      </c>
      <c r="D6" s="297" t="s">
        <v>4347</v>
      </c>
      <c r="E6" s="297" t="s">
        <v>4345</v>
      </c>
      <c r="F6" s="297" t="s">
        <v>4344</v>
      </c>
      <c r="G6" s="298" t="s">
        <v>4343</v>
      </c>
      <c r="H6" s="298" t="s">
        <v>4413</v>
      </c>
      <c r="I6" s="298" t="s">
        <v>4413</v>
      </c>
      <c r="J6" s="298" t="s">
        <v>4554</v>
      </c>
      <c r="K6" s="298">
        <v>44746</v>
      </c>
    </row>
    <row r="7" spans="2:11" hidden="1" x14ac:dyDescent="0.25">
      <c r="B7" s="254" t="s">
        <v>4021</v>
      </c>
      <c r="C7" s="164" t="s">
        <v>4018</v>
      </c>
      <c r="D7" s="164" t="s">
        <v>4019</v>
      </c>
      <c r="E7" s="164" t="s">
        <v>4020</v>
      </c>
      <c r="F7" s="164" t="s">
        <v>4024</v>
      </c>
      <c r="G7" s="164" t="s">
        <v>4342</v>
      </c>
      <c r="H7" s="164" t="s">
        <v>4411</v>
      </c>
      <c r="I7" s="164" t="s">
        <v>4412</v>
      </c>
      <c r="J7" s="164" t="s">
        <v>4552</v>
      </c>
      <c r="K7" s="164" t="s">
        <v>5638</v>
      </c>
    </row>
    <row r="8" spans="2:11" x14ac:dyDescent="0.25">
      <c r="B8" s="316" t="s">
        <v>576</v>
      </c>
      <c r="C8" s="314">
        <v>99961115</v>
      </c>
      <c r="D8" s="314">
        <v>249311050</v>
      </c>
      <c r="E8" s="314">
        <v>39291922</v>
      </c>
      <c r="F8" s="314">
        <v>95254996</v>
      </c>
      <c r="G8" s="314">
        <v>90588412</v>
      </c>
      <c r="H8" s="314">
        <v>75905247</v>
      </c>
      <c r="I8" s="314">
        <v>103091640</v>
      </c>
      <c r="J8" s="314">
        <v>2030000</v>
      </c>
      <c r="K8" s="314">
        <v>88923902</v>
      </c>
    </row>
    <row r="9" spans="2:11" x14ac:dyDescent="0.25">
      <c r="B9" s="268" t="s">
        <v>546</v>
      </c>
      <c r="C9" s="169">
        <v>0</v>
      </c>
      <c r="D9" s="169">
        <v>50674500</v>
      </c>
      <c r="E9" s="169">
        <v>18269500</v>
      </c>
      <c r="F9" s="169">
        <v>19929200</v>
      </c>
      <c r="G9" s="169">
        <v>10000000</v>
      </c>
      <c r="H9" s="169">
        <v>9882500</v>
      </c>
      <c r="I9" s="169">
        <v>25762820</v>
      </c>
      <c r="J9" s="169">
        <v>2030000</v>
      </c>
      <c r="K9" s="169">
        <v>11209000</v>
      </c>
    </row>
    <row r="10" spans="2:11" x14ac:dyDescent="0.25">
      <c r="B10" s="268" t="s">
        <v>560</v>
      </c>
      <c r="C10" s="169">
        <v>99961115</v>
      </c>
      <c r="D10" s="169">
        <v>198636550</v>
      </c>
      <c r="E10" s="169">
        <v>21022422</v>
      </c>
      <c r="F10" s="169">
        <v>75325796</v>
      </c>
      <c r="G10" s="169">
        <v>80588412</v>
      </c>
      <c r="H10" s="169">
        <v>66022747</v>
      </c>
      <c r="I10" s="169">
        <v>77328820</v>
      </c>
      <c r="J10" s="169">
        <v>0</v>
      </c>
      <c r="K10" s="169">
        <v>77714902</v>
      </c>
    </row>
    <row r="11" spans="2:11" x14ac:dyDescent="0.25">
      <c r="B11" s="316" t="s">
        <v>542</v>
      </c>
      <c r="C11" s="314">
        <v>0</v>
      </c>
      <c r="D11" s="314">
        <v>46363943</v>
      </c>
      <c r="E11" s="314">
        <v>13965000</v>
      </c>
      <c r="F11" s="314">
        <v>0</v>
      </c>
      <c r="G11" s="314">
        <v>0</v>
      </c>
      <c r="H11" s="314">
        <v>300383</v>
      </c>
      <c r="I11" s="314">
        <v>99280968</v>
      </c>
      <c r="J11" s="314">
        <v>5529500</v>
      </c>
      <c r="K11" s="314">
        <v>0</v>
      </c>
    </row>
    <row r="12" spans="2:11" x14ac:dyDescent="0.25">
      <c r="B12" s="268" t="s">
        <v>591</v>
      </c>
      <c r="C12" s="169">
        <v>0</v>
      </c>
      <c r="D12" s="169">
        <v>5496528</v>
      </c>
      <c r="E12" s="169">
        <v>4230000</v>
      </c>
      <c r="F12" s="169">
        <v>0</v>
      </c>
      <c r="G12" s="169">
        <v>0</v>
      </c>
      <c r="H12" s="169">
        <v>300383</v>
      </c>
      <c r="I12" s="169">
        <v>36489355</v>
      </c>
      <c r="J12" s="169">
        <v>2640000</v>
      </c>
      <c r="K12" s="169">
        <v>0</v>
      </c>
    </row>
    <row r="13" spans="2:11" x14ac:dyDescent="0.25">
      <c r="B13" s="268" t="s">
        <v>543</v>
      </c>
      <c r="C13" s="169">
        <v>0</v>
      </c>
      <c r="D13" s="169">
        <v>40867415</v>
      </c>
      <c r="E13" s="169">
        <v>9735000</v>
      </c>
      <c r="F13" s="169">
        <v>0</v>
      </c>
      <c r="G13" s="169">
        <v>0</v>
      </c>
      <c r="H13" s="169">
        <v>0</v>
      </c>
      <c r="I13" s="169">
        <v>62791613</v>
      </c>
      <c r="J13" s="169">
        <v>2889500</v>
      </c>
      <c r="K13" s="169">
        <v>0</v>
      </c>
    </row>
    <row r="14" spans="2:11" x14ac:dyDescent="0.25">
      <c r="B14" s="316" t="s">
        <v>531</v>
      </c>
      <c r="C14" s="314">
        <v>0</v>
      </c>
      <c r="D14" s="314">
        <v>53677994</v>
      </c>
      <c r="E14" s="314">
        <v>21269213</v>
      </c>
      <c r="F14" s="314">
        <v>0</v>
      </c>
      <c r="G14" s="314">
        <v>0</v>
      </c>
      <c r="H14" s="314">
        <v>16306833</v>
      </c>
      <c r="I14" s="314">
        <v>45801723</v>
      </c>
      <c r="J14" s="314">
        <v>0</v>
      </c>
      <c r="K14" s="314">
        <v>4500000</v>
      </c>
    </row>
    <row r="15" spans="2:11" x14ac:dyDescent="0.25">
      <c r="B15" s="268" t="s">
        <v>532</v>
      </c>
      <c r="C15" s="169">
        <v>0</v>
      </c>
      <c r="D15" s="169">
        <v>31461994</v>
      </c>
      <c r="E15" s="169">
        <v>9369213</v>
      </c>
      <c r="F15" s="169">
        <v>0</v>
      </c>
      <c r="G15" s="169">
        <v>0</v>
      </c>
      <c r="H15" s="169">
        <v>11498833</v>
      </c>
      <c r="I15" s="169">
        <v>15810223</v>
      </c>
      <c r="J15" s="169">
        <v>0</v>
      </c>
      <c r="K15" s="169">
        <v>3000000</v>
      </c>
    </row>
    <row r="16" spans="2:11" x14ac:dyDescent="0.25">
      <c r="B16" s="268" t="s">
        <v>534</v>
      </c>
      <c r="C16" s="169">
        <v>0</v>
      </c>
      <c r="D16" s="169">
        <v>22216000</v>
      </c>
      <c r="E16" s="169">
        <v>11900000</v>
      </c>
      <c r="F16" s="169">
        <v>0</v>
      </c>
      <c r="G16" s="169">
        <v>0</v>
      </c>
      <c r="H16" s="169">
        <v>4808000</v>
      </c>
      <c r="I16" s="169">
        <v>29991500</v>
      </c>
      <c r="J16" s="169">
        <v>0</v>
      </c>
      <c r="K16" s="169">
        <v>1500000</v>
      </c>
    </row>
    <row r="17" spans="2:11" x14ac:dyDescent="0.25">
      <c r="B17" s="316" t="s">
        <v>535</v>
      </c>
      <c r="C17" s="314">
        <v>0</v>
      </c>
      <c r="D17" s="314">
        <v>61147200</v>
      </c>
      <c r="E17" s="314">
        <v>23650240</v>
      </c>
      <c r="F17" s="314">
        <v>0</v>
      </c>
      <c r="G17" s="314">
        <v>4851204</v>
      </c>
      <c r="H17" s="314">
        <v>1326114</v>
      </c>
      <c r="I17" s="314">
        <v>63914400</v>
      </c>
      <c r="J17" s="314">
        <v>0</v>
      </c>
      <c r="K17" s="314">
        <v>0</v>
      </c>
    </row>
    <row r="18" spans="2:11" x14ac:dyDescent="0.25">
      <c r="B18" s="268" t="s">
        <v>536</v>
      </c>
      <c r="C18" s="169">
        <v>0</v>
      </c>
      <c r="D18" s="169">
        <v>35690450</v>
      </c>
      <c r="E18" s="169">
        <v>7572800</v>
      </c>
      <c r="F18" s="169">
        <v>0</v>
      </c>
      <c r="G18" s="169">
        <v>0</v>
      </c>
      <c r="H18" s="169">
        <v>1074100</v>
      </c>
      <c r="I18" s="169">
        <v>63914400</v>
      </c>
      <c r="J18" s="169">
        <v>0</v>
      </c>
      <c r="K18" s="169">
        <v>0</v>
      </c>
    </row>
    <row r="19" spans="2:11" x14ac:dyDescent="0.25">
      <c r="B19" s="268" t="s">
        <v>538</v>
      </c>
      <c r="C19" s="169">
        <v>0</v>
      </c>
      <c r="D19" s="169">
        <v>25456750</v>
      </c>
      <c r="E19" s="169">
        <v>16077440</v>
      </c>
      <c r="F19" s="169">
        <v>0</v>
      </c>
      <c r="G19" s="169">
        <v>4851204</v>
      </c>
      <c r="H19" s="169">
        <v>252014</v>
      </c>
      <c r="I19" s="169">
        <v>0</v>
      </c>
      <c r="J19" s="169">
        <v>0</v>
      </c>
      <c r="K19" s="169">
        <v>0</v>
      </c>
    </row>
    <row r="20" spans="2:11" x14ac:dyDescent="0.25">
      <c r="B20" s="255" t="s">
        <v>4004</v>
      </c>
      <c r="C20" s="169">
        <v>99961115</v>
      </c>
      <c r="D20" s="169">
        <v>410500187</v>
      </c>
      <c r="E20" s="169">
        <v>98176375</v>
      </c>
      <c r="F20" s="169">
        <v>95254996</v>
      </c>
      <c r="G20" s="169">
        <v>95439616</v>
      </c>
      <c r="H20" s="169">
        <v>93838577</v>
      </c>
      <c r="I20" s="169">
        <v>312088731</v>
      </c>
      <c r="J20" s="169">
        <v>7559500</v>
      </c>
      <c r="K20" s="169">
        <v>93423902</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B145"/>
  <sheetViews>
    <sheetView showGridLines="0" topLeftCell="AL1" zoomScale="85" zoomScaleNormal="85" workbookViewId="0">
      <pane ySplit="3" topLeftCell="A4" activePane="bottomLeft" state="frozen"/>
      <selection activeCell="N1" sqref="N1"/>
      <selection pane="bottomLeft" activeCell="BB4" sqref="BB4"/>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4" width="11.7109375" bestFit="1" customWidth="1"/>
  </cols>
  <sheetData>
    <row r="1" spans="1:54" x14ac:dyDescent="0.25">
      <c r="Y1" t="s">
        <v>3842</v>
      </c>
    </row>
    <row r="2" spans="1:54" x14ac:dyDescent="0.25">
      <c r="AD2" t="s">
        <v>3842</v>
      </c>
    </row>
    <row r="3" spans="1:54"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44" t="s">
        <v>5637</v>
      </c>
    </row>
    <row r="4" spans="1:54"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6406000</v>
      </c>
      <c r="AM4" s="231">
        <f>IFERROR(AL4/Q4*100,0)</f>
        <v>32.231446540880505</v>
      </c>
      <c r="AN4" s="380">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row>
    <row r="5" spans="1:54"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row>
    <row r="6" spans="1:54"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1120000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27396000</v>
      </c>
      <c r="AM6" s="231">
        <f t="shared" si="1"/>
        <v>63.328710124826628</v>
      </c>
      <c r="AN6" s="380">
        <f t="shared" si="2"/>
        <v>15864000</v>
      </c>
      <c r="AO6" s="231">
        <f t="shared" si="3"/>
        <v>36.671289875173372</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row>
    <row r="7" spans="1:54"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row>
    <row r="8" spans="1:54"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row>
    <row r="9" spans="1:54"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row>
    <row r="10" spans="1:54"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4620000</v>
      </c>
      <c r="AM10" s="231">
        <f t="shared" si="1"/>
        <v>21.741176470588236</v>
      </c>
      <c r="AN10" s="380">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row>
    <row r="11" spans="1:54"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row>
    <row r="12" spans="1:54"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row>
    <row r="13" spans="1:54"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row>
    <row r="14" spans="1:54"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row>
    <row r="15" spans="1:54"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row>
    <row r="16" spans="1:54"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row>
    <row r="17" spans="1:54"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33484900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66713550</v>
      </c>
      <c r="AM17" s="231">
        <f t="shared" si="1"/>
        <v>26.335266299284712</v>
      </c>
      <c r="AN17" s="380">
        <f t="shared" si="2"/>
        <v>186610450</v>
      </c>
      <c r="AO17" s="231">
        <f t="shared" si="3"/>
        <v>73.664733700715288</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row>
    <row r="18" spans="1:54"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row>
    <row r="19" spans="1:54"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row>
    <row r="20" spans="1:54"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row>
    <row r="21" spans="1:54"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row>
    <row r="22" spans="1:54"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row>
    <row r="23" spans="1:54"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row>
    <row r="24" spans="1:54"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row>
    <row r="25" spans="1:54"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row>
    <row r="26" spans="1:54"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row>
    <row r="27" spans="1:54"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row>
    <row r="28" spans="1:54"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row>
    <row r="29" spans="1:54"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row>
    <row r="30" spans="1:54"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row>
    <row r="31" spans="1:54"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row>
    <row r="32" spans="1:54"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row>
    <row r="33" spans="1:54"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60912610</v>
      </c>
      <c r="AM33" s="231">
        <f t="shared" si="1"/>
        <v>62.528342366757009</v>
      </c>
      <c r="AN33" s="380">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row>
    <row r="34" spans="1:54"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row>
    <row r="35" spans="1:54"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row>
    <row r="36" spans="1:54"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row>
    <row r="37" spans="1:54"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row>
    <row r="38" spans="1:54"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row>
    <row r="39" spans="1:54"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row>
    <row r="40" spans="1:54"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row>
    <row r="41" spans="1:54"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row>
    <row r="42" spans="1:54"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row>
    <row r="43" spans="1:54"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row>
    <row r="44" spans="1:54"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row>
    <row r="45" spans="1:54"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46539280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207119741</v>
      </c>
      <c r="AM45" s="231">
        <f t="shared" si="1"/>
        <v>55.433858000074942</v>
      </c>
      <c r="AN45" s="380">
        <f t="shared" si="2"/>
        <v>166514259</v>
      </c>
      <c r="AO45" s="231">
        <f t="shared" si="3"/>
        <v>44.566141999925065</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row>
    <row r="46" spans="1:54"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row>
    <row r="47" spans="1:54"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row>
    <row r="48" spans="1:54"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row>
    <row r="49" spans="1:54"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row>
    <row r="50" spans="1:54"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row>
    <row r="51" spans="1:54"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row>
    <row r="52" spans="1:54"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row>
    <row r="53" spans="1:54"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row>
    <row r="54" spans="1:54"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row>
    <row r="55" spans="1:54"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row>
    <row r="56" spans="1:54"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row>
    <row r="57" spans="1:54"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row>
    <row r="58" spans="1:54"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row>
    <row r="59" spans="1:54"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row>
    <row r="60" spans="1:54"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row>
    <row r="61" spans="1:54"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row>
    <row r="62" spans="1:54"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row>
    <row r="63" spans="1:54"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row>
    <row r="64" spans="1:54"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12517500</v>
      </c>
      <c r="AM64" s="231">
        <f t="shared" si="1"/>
        <v>99.741035856573703</v>
      </c>
      <c r="AN64" s="380">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row>
    <row r="65" spans="1:54"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row>
    <row r="66" spans="1:54"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6000000</v>
      </c>
      <c r="AM66" s="231">
        <f t="shared" si="1"/>
        <v>66.666666666666657</v>
      </c>
      <c r="AN66" s="380">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row>
    <row r="67" spans="1:54"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row>
    <row r="68" spans="1:54"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row>
    <row r="69" spans="1:54"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row>
    <row r="70" spans="1:54"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row>
    <row r="71" spans="1:54"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row>
    <row r="72" spans="1:54"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row>
    <row r="73" spans="1:54"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row>
    <row r="74" spans="1:54"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24000000</v>
      </c>
      <c r="AM74" s="231">
        <f t="shared" si="8"/>
        <v>60</v>
      </c>
      <c r="AN74" s="380">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row>
    <row r="75" spans="1:54"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row>
    <row r="76" spans="1:54"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75328602</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498386753</v>
      </c>
      <c r="AM76" s="231">
        <f t="shared" si="8"/>
        <v>46.309003084871122</v>
      </c>
      <c r="AN76" s="380">
        <f t="shared" si="9"/>
        <v>577833247</v>
      </c>
      <c r="AO76" s="231">
        <f t="shared" si="10"/>
        <v>53.690996915128878</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row>
    <row r="77" spans="1:54"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row>
    <row r="78" spans="1:54"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155000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2441050</v>
      </c>
      <c r="AM78" s="231">
        <f t="shared" si="8"/>
        <v>8.1368333333333336</v>
      </c>
      <c r="AN78" s="380">
        <f t="shared" si="9"/>
        <v>27558950</v>
      </c>
      <c r="AO78" s="231">
        <f t="shared" si="10"/>
        <v>91.863166666666658</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row>
    <row r="79" spans="1:54"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50000000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69800000</v>
      </c>
      <c r="AM79" s="231">
        <f t="shared" si="8"/>
        <v>58.728502675596538</v>
      </c>
      <c r="AN79" s="380">
        <f t="shared" si="9"/>
        <v>49052000</v>
      </c>
      <c r="AO79" s="231">
        <f t="shared" si="10"/>
        <v>41.271497324403462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row>
    <row r="80" spans="1:54"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11143300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97018740</v>
      </c>
      <c r="AM80" s="231">
        <f t="shared" si="8"/>
        <v>19.518909566442009</v>
      </c>
      <c r="AN80" s="380">
        <f t="shared" si="9"/>
        <v>400031260</v>
      </c>
      <c r="AO80" s="231">
        <f t="shared" si="10"/>
        <v>80.481090433557995</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row>
    <row r="81" spans="1:54"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row>
    <row r="82" spans="1:54"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row>
    <row r="83" spans="1:54"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4728000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18912000</v>
      </c>
      <c r="AM83" s="231">
        <f t="shared" si="8"/>
        <v>32.419089413055403</v>
      </c>
      <c r="AN83" s="380">
        <f t="shared" si="9"/>
        <v>39424000</v>
      </c>
      <c r="AO83" s="231">
        <f t="shared" si="10"/>
        <v>67.580910586944597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row>
    <row r="84" spans="1:54"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row>
    <row r="85" spans="1:54"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row>
    <row r="86" spans="1:54"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row>
    <row r="87" spans="1:54"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row>
    <row r="88" spans="1:54"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row>
    <row r="89" spans="1:54"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row>
    <row r="90" spans="1:54"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row>
    <row r="91" spans="1:54"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row>
    <row r="92" spans="1:54"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row>
    <row r="93" spans="1:54"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row>
    <row r="94" spans="1:54"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row>
    <row r="95" spans="1:54"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row>
    <row r="96" spans="1:54"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14386100</v>
      </c>
      <c r="AM96" s="231">
        <f t="shared" si="8"/>
        <v>31.969111111111108</v>
      </c>
      <c r="AN96" s="380">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row>
    <row r="97" spans="1:54"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row>
    <row r="98" spans="1:54"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row>
    <row r="99" spans="1:54"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row>
    <row r="100" spans="1:54"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row>
    <row r="101" spans="1:54"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row>
    <row r="102" spans="1:54"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row>
    <row r="103" spans="1:54"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row>
    <row r="104" spans="1:54"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row>
    <row r="105" spans="1:54"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row>
    <row r="106" spans="1:54"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row>
    <row r="107" spans="1:54"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row>
    <row r="108" spans="1:54"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row>
    <row r="109" spans="1:54"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row>
    <row r="110" spans="1:54"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row>
    <row r="111" spans="1:54"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row>
    <row r="112" spans="1:54"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16121000</v>
      </c>
      <c r="AM112" s="231">
        <f t="shared" si="8"/>
        <v>87.614130434782609</v>
      </c>
      <c r="AN112" s="380">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row>
    <row r="113" spans="1:54"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row>
    <row r="114" spans="1:54"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row>
    <row r="115" spans="1:54"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row>
    <row r="116" spans="1:54"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7467500</v>
      </c>
      <c r="AM116" s="231">
        <f t="shared" si="8"/>
        <v>99.566666666666663</v>
      </c>
      <c r="AN116" s="380">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row>
    <row r="117" spans="1:54"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row>
    <row r="118" spans="1:54"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12465000</v>
      </c>
      <c r="AM118" s="231">
        <f t="shared" si="8"/>
        <v>89.035714285714278</v>
      </c>
      <c r="AN118" s="380">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row>
    <row r="119" spans="1:54"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row>
    <row r="120" spans="1:54"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row>
    <row r="121" spans="1:54"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row>
    <row r="122" spans="1:54"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row>
    <row r="123" spans="1:54"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row>
    <row r="124" spans="1:54"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14900000</v>
      </c>
      <c r="AM124" s="231">
        <f t="shared" si="8"/>
        <v>54.181818181818187</v>
      </c>
      <c r="AN124" s="380">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row>
    <row r="125" spans="1:54"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row>
    <row r="126" spans="1:54"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row>
    <row r="127" spans="1:54"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row>
    <row r="128" spans="1:54"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row>
    <row r="129" spans="1:54"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row>
    <row r="130" spans="1:54"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row>
    <row r="131" spans="1:54"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row>
    <row r="132" spans="1:54"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row>
    <row r="133" spans="1:54"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row>
    <row r="134" spans="1:54"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row>
    <row r="135" spans="1:54"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row>
    <row r="136" spans="1:54"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50138506</v>
      </c>
      <c r="AM136" s="231">
        <f t="shared" si="14"/>
        <v>23.212271296296297</v>
      </c>
      <c r="AN136" s="380">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row>
    <row r="137" spans="1:54"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row>
    <row r="138" spans="1:54"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row>
    <row r="139" spans="1:54"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row>
    <row r="140" spans="1:54"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row>
    <row r="141" spans="1:54"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row>
    <row r="142" spans="1:54"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row>
    <row r="143" spans="1:54"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row>
    <row r="144" spans="1:54"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258617382</v>
      </c>
      <c r="AB144" s="237">
        <f t="shared" si="17"/>
        <v>0</v>
      </c>
      <c r="AC144" s="237">
        <f t="shared" si="17"/>
        <v>0</v>
      </c>
      <c r="AD144" s="237">
        <f t="shared" si="17"/>
        <v>0</v>
      </c>
      <c r="AE144" s="237">
        <f t="shared" si="17"/>
        <v>0</v>
      </c>
      <c r="AF144" s="237">
        <f t="shared" si="17"/>
        <v>0</v>
      </c>
      <c r="AL144" s="237">
        <f>SUM(AL4:AL143)</f>
        <v>6741589414</v>
      </c>
      <c r="AM144" s="238">
        <f>AL144/Q144*100</f>
        <v>59.262531369211359</v>
      </c>
      <c r="AN144" s="237">
        <f>SUM(AN4:AN143)</f>
        <v>4634214586</v>
      </c>
      <c r="AO144" s="238">
        <f>AN144/Q144*100</f>
        <v>40.737468630788648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 t="shared" ref="BB144" si="22">SUM(BB4:BB143)</f>
        <v>93423902</v>
      </c>
    </row>
    <row r="145" spans="23:23" x14ac:dyDescent="0.25">
      <c r="W145" s="217"/>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1687913431</v>
      </c>
      <c r="AM14" s="231">
        <f t="shared" si="1"/>
        <v>64.045574519785333</v>
      </c>
      <c r="AN14" s="348">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AU180" activePane="bottomRight" state="frozen"/>
      <selection pane="topRight" activeCell="D1" sqref="D1"/>
      <selection pane="bottomLeft" activeCell="A15" sqref="A15"/>
      <selection pane="bottomRight" activeCell="BL194" sqref="BL194"/>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7" width="17.42578125" customWidth="1"/>
    <col min="8"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2" width="12" bestFit="1" customWidth="1"/>
  </cols>
  <sheetData>
    <row r="4" spans="2:62" x14ac:dyDescent="0.25">
      <c r="B4" s="189" t="s">
        <v>598</v>
      </c>
      <c r="C4" s="189"/>
    </row>
    <row r="5" spans="2:62" x14ac:dyDescent="0.25">
      <c r="B5" s="189" t="s">
        <v>5595</v>
      </c>
      <c r="C5" s="189"/>
    </row>
    <row r="6" spans="2:62" x14ac:dyDescent="0.25">
      <c r="B6" s="189" t="s">
        <v>5675</v>
      </c>
      <c r="C6" s="189"/>
    </row>
    <row r="7" spans="2:62" x14ac:dyDescent="0.25">
      <c r="B7" s="189" t="s">
        <v>599</v>
      </c>
      <c r="C7" s="189" t="s">
        <v>600</v>
      </c>
    </row>
    <row r="8" spans="2:62" x14ac:dyDescent="0.25">
      <c r="B8" s="189" t="s">
        <v>601</v>
      </c>
      <c r="C8" s="189" t="s">
        <v>602</v>
      </c>
    </row>
    <row r="9" spans="2:62" x14ac:dyDescent="0.25">
      <c r="B9" s="189" t="s">
        <v>603</v>
      </c>
      <c r="C9" s="189" t="s">
        <v>604</v>
      </c>
    </row>
    <row r="10" spans="2:62" x14ac:dyDescent="0.25">
      <c r="B10" s="189" t="s">
        <v>605</v>
      </c>
      <c r="C10" s="189" t="s">
        <v>4003</v>
      </c>
    </row>
    <row r="12" spans="2:62" s="163" customFormat="1" x14ac:dyDescent="0.25">
      <c r="B12" s="245" t="s">
        <v>606</v>
      </c>
      <c r="C12" s="245" t="s">
        <v>607</v>
      </c>
      <c r="D12" s="245" t="s">
        <v>608</v>
      </c>
      <c r="E12" s="245" t="s">
        <v>609</v>
      </c>
      <c r="F12" s="245" t="s">
        <v>5413</v>
      </c>
      <c r="G12" s="342" t="s">
        <v>5414</v>
      </c>
      <c r="H12" s="363" t="s">
        <v>5543</v>
      </c>
      <c r="I12" s="363" t="s">
        <v>5544</v>
      </c>
      <c r="J12" s="466" t="s">
        <v>3827</v>
      </c>
      <c r="K12" s="466"/>
      <c r="L12" s="466"/>
      <c r="M12" s="466" t="s">
        <v>3828</v>
      </c>
      <c r="N12" s="466"/>
      <c r="O12" s="466"/>
      <c r="P12" s="466" t="s">
        <v>3829</v>
      </c>
      <c r="Q12" s="466"/>
      <c r="R12" s="466"/>
      <c r="S12" s="466" t="s">
        <v>3830</v>
      </c>
      <c r="T12" s="466"/>
      <c r="U12" s="466"/>
      <c r="V12" s="466" t="s">
        <v>3831</v>
      </c>
      <c r="W12" s="466"/>
      <c r="X12" s="466"/>
      <c r="Y12" s="466" t="s">
        <v>3832</v>
      </c>
      <c r="Z12" s="466"/>
      <c r="AA12" s="466"/>
      <c r="AB12" s="466" t="s">
        <v>3833</v>
      </c>
      <c r="AC12" s="466"/>
      <c r="AD12" s="466"/>
      <c r="AE12" s="466" t="s">
        <v>3834</v>
      </c>
      <c r="AF12" s="466"/>
      <c r="AG12" s="466"/>
      <c r="AH12" s="466" t="s">
        <v>3835</v>
      </c>
      <c r="AI12" s="466"/>
      <c r="AJ12" s="466"/>
      <c r="AK12" s="466" t="s">
        <v>3836</v>
      </c>
      <c r="AL12" s="466"/>
      <c r="AM12" s="466"/>
      <c r="AN12" s="466" t="s">
        <v>3837</v>
      </c>
      <c r="AO12" s="466"/>
      <c r="AP12" s="466"/>
      <c r="AQ12" s="466" t="s">
        <v>3838</v>
      </c>
      <c r="AR12" s="466"/>
      <c r="AS12" s="466"/>
      <c r="AT12" s="468" t="s">
        <v>3845</v>
      </c>
      <c r="AU12" s="469" t="s">
        <v>3846</v>
      </c>
      <c r="AV12" s="467" t="s">
        <v>3847</v>
      </c>
      <c r="AW12" s="467" t="s">
        <v>3846</v>
      </c>
      <c r="AX12" s="244" t="s">
        <v>4017</v>
      </c>
      <c r="AY12" s="244" t="s">
        <v>500</v>
      </c>
      <c r="AZ12" s="244" t="s">
        <v>4001</v>
      </c>
      <c r="BA12" s="243" t="s">
        <v>4016</v>
      </c>
      <c r="BB12" s="243"/>
      <c r="BC12" s="243"/>
      <c r="BD12" s="243"/>
      <c r="BE12" s="243"/>
      <c r="BF12" s="243"/>
      <c r="BG12" s="243"/>
      <c r="BH12" s="243"/>
      <c r="BI12" s="243"/>
      <c r="BJ12" s="243"/>
    </row>
    <row r="13" spans="2:62"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8"/>
      <c r="AU13" s="469"/>
      <c r="AV13" s="467"/>
      <c r="AW13" s="467"/>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5676</v>
      </c>
    </row>
    <row r="14" spans="2:62"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165193480</v>
      </c>
      <c r="AC14" s="249">
        <f t="shared" si="1"/>
        <v>93423902</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6741589414</v>
      </c>
      <c r="AU14" s="250">
        <f>IFERROR(AT14/F14*100,0)</f>
        <v>58.746118476753352</v>
      </c>
      <c r="AV14" s="251">
        <f>F14-AT14</f>
        <v>4734214586</v>
      </c>
      <c r="AW14" s="250">
        <f>AV14/F14*100</f>
        <v>41.253881523246648</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x14ac:dyDescent="0.25">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37598900</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408446000</v>
      </c>
      <c r="AU15" s="193">
        <f t="shared" ref="AU15:AU78" si="7">IFERROR(AT15/F15*100,0)</f>
        <v>40.8446</v>
      </c>
      <c r="AV15" s="194">
        <f t="shared" ref="AV15:AV78" si="8">F15-AT15</f>
        <v>591554000</v>
      </c>
      <c r="AW15" s="193">
        <f>AV15/F15*100</f>
        <v>59.1554</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x14ac:dyDescent="0.25">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37598900</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408446000</v>
      </c>
      <c r="AU16" s="187">
        <f t="shared" si="7"/>
        <v>40.8446</v>
      </c>
      <c r="AV16" s="188">
        <f t="shared" si="8"/>
        <v>591554000</v>
      </c>
      <c r="AW16" s="187">
        <f t="shared" ref="AW16:AW78" si="11">AV16/F16*100</f>
        <v>59.1554</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x14ac:dyDescent="0.25">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37598900</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408446000</v>
      </c>
      <c r="AU17" s="182">
        <f t="shared" si="7"/>
        <v>40.8446</v>
      </c>
      <c r="AV17" s="183">
        <f t="shared" si="8"/>
        <v>591554000</v>
      </c>
      <c r="AW17" s="182">
        <f>AV17/F17*100</f>
        <v>59.1554</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37598900</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408446000</v>
      </c>
      <c r="AU18" s="173">
        <f t="shared" si="7"/>
        <v>40.8446</v>
      </c>
      <c r="AV18" s="174">
        <f t="shared" si="8"/>
        <v>591554000</v>
      </c>
      <c r="AW18" s="173">
        <f t="shared" si="11"/>
        <v>59.1554</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x14ac:dyDescent="0.25">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1120000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57463000</v>
      </c>
      <c r="AU19" s="199">
        <f t="shared" si="7"/>
        <v>46.303787268331995</v>
      </c>
      <c r="AV19" s="200">
        <f t="shared" si="8"/>
        <v>66637000</v>
      </c>
      <c r="AW19" s="199">
        <f t="shared" si="11"/>
        <v>53.696212731668012</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1120000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35902000</v>
      </c>
      <c r="AU20" s="175">
        <f t="shared" si="7"/>
        <v>43.185180730137731</v>
      </c>
      <c r="AV20" s="176">
        <f t="shared" si="8"/>
        <v>47233000</v>
      </c>
      <c r="AW20" s="175">
        <f t="shared" si="11"/>
        <v>56.814819269862269</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8"/>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x14ac:dyDescent="0.25">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8"/>
        <v>2100000</v>
      </c>
      <c r="AU22" s="168">
        <f t="shared" si="7"/>
        <v>10.5</v>
      </c>
      <c r="AV22" s="169">
        <f t="shared" si="8"/>
        <v>17900000</v>
      </c>
      <c r="AW22" s="168">
        <f t="shared" si="11"/>
        <v>89.5</v>
      </c>
      <c r="AX22" s="164" t="s">
        <v>531</v>
      </c>
      <c r="AY22" s="164" t="s">
        <v>532</v>
      </c>
      <c r="AZ22" s="164" t="s">
        <v>3921</v>
      </c>
      <c r="BA22" s="165"/>
      <c r="BB22" s="240">
        <v>900000</v>
      </c>
      <c r="BC22" s="240"/>
      <c r="BD22" s="165"/>
      <c r="BE22" s="165"/>
      <c r="BF22" s="165"/>
      <c r="BG22" s="165"/>
      <c r="BH22" s="165"/>
      <c r="BI22" s="165"/>
      <c r="BJ22" s="165"/>
    </row>
    <row r="23" spans="2:62" x14ac:dyDescent="0.25">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v>1120000</v>
      </c>
      <c r="AC23" s="165"/>
      <c r="AD23" s="165"/>
      <c r="AE23" s="165"/>
      <c r="AF23" s="165"/>
      <c r="AG23" s="165"/>
      <c r="AH23" s="165"/>
      <c r="AI23" s="165"/>
      <c r="AJ23" s="165"/>
      <c r="AK23" s="165"/>
      <c r="AL23" s="165"/>
      <c r="AM23" s="165"/>
      <c r="AN23" s="165"/>
      <c r="AO23" s="165"/>
      <c r="AP23" s="165"/>
      <c r="AQ23" s="165"/>
      <c r="AR23" s="165"/>
      <c r="AS23" s="165"/>
      <c r="AT23" s="165">
        <f t="shared" si="18"/>
        <v>27396000</v>
      </c>
      <c r="AU23" s="168">
        <f t="shared" si="7"/>
        <v>63.328710124826628</v>
      </c>
      <c r="AV23" s="169">
        <f t="shared" si="8"/>
        <v>15864000</v>
      </c>
      <c r="AW23" s="168">
        <f t="shared" si="11"/>
        <v>36.671289875173372</v>
      </c>
      <c r="AX23" s="164" t="s">
        <v>531</v>
      </c>
      <c r="AY23" s="164" t="s">
        <v>532</v>
      </c>
      <c r="AZ23" s="164" t="s">
        <v>3921</v>
      </c>
      <c r="BA23" s="165"/>
      <c r="BB23" s="240">
        <v>10950000</v>
      </c>
      <c r="BC23" s="240"/>
      <c r="BD23" s="165"/>
      <c r="BE23" s="165"/>
      <c r="BF23" s="165">
        <v>1800000</v>
      </c>
      <c r="BG23" s="165"/>
      <c r="BH23" s="165"/>
      <c r="BI23" s="165"/>
      <c r="BJ23" s="165"/>
    </row>
    <row r="24" spans="2:62" x14ac:dyDescent="0.25">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x14ac:dyDescent="0.25">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x14ac:dyDescent="0.25">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x14ac:dyDescent="0.25">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x14ac:dyDescent="0.25">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0</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25714500</v>
      </c>
      <c r="AU28" s="199">
        <f t="shared" si="7"/>
        <v>47.18256880733945</v>
      </c>
      <c r="AV28" s="200">
        <f>F28-AT28</f>
        <v>28785500</v>
      </c>
      <c r="AW28" s="199">
        <f t="shared" si="11"/>
        <v>52.81743119266055</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x14ac:dyDescent="0.25">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0</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25714500</v>
      </c>
      <c r="AU29" s="175">
        <f t="shared" si="7"/>
        <v>47.18256880733945</v>
      </c>
      <c r="AV29" s="176">
        <f t="shared" si="8"/>
        <v>28785500</v>
      </c>
      <c r="AW29" s="175">
        <f t="shared" si="11"/>
        <v>52.81743119266055</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x14ac:dyDescent="0.25">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x14ac:dyDescent="0.25">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8"/>
        <v>21094500</v>
      </c>
      <c r="AU31" s="168">
        <f t="shared" si="7"/>
        <v>63.442105263157899</v>
      </c>
      <c r="AV31" s="169">
        <f t="shared" si="8"/>
        <v>12155500</v>
      </c>
      <c r="AW31" s="168">
        <f t="shared" si="11"/>
        <v>36.557894736842108</v>
      </c>
      <c r="AX31" s="164" t="s">
        <v>531</v>
      </c>
      <c r="AY31" s="164" t="s">
        <v>534</v>
      </c>
      <c r="AZ31" s="164" t="s">
        <v>3921</v>
      </c>
      <c r="BA31" s="165"/>
      <c r="BB31" s="240">
        <v>1080000</v>
      </c>
      <c r="BC31" s="240">
        <v>2700000</v>
      </c>
      <c r="BD31" s="165"/>
      <c r="BE31" s="165"/>
      <c r="BF31" s="165">
        <v>3620000</v>
      </c>
      <c r="BG31" s="165">
        <v>9244500</v>
      </c>
      <c r="BH31" s="165"/>
      <c r="BI31" s="165"/>
      <c r="BJ31" s="165"/>
    </row>
    <row r="32" spans="2:62" x14ac:dyDescent="0.25">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33484900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247665140</v>
      </c>
      <c r="AU32" s="199">
        <f t="shared" si="7"/>
        <v>36.087008596823544</v>
      </c>
      <c r="AV32" s="200">
        <f t="shared" si="8"/>
        <v>438634860</v>
      </c>
      <c r="AW32" s="199">
        <f t="shared" si="11"/>
        <v>63.912991403176456</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x14ac:dyDescent="0.25">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33484900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92408550</v>
      </c>
      <c r="AU33" s="175">
        <f t="shared" si="7"/>
        <v>23.882868470293907</v>
      </c>
      <c r="AV33" s="176">
        <f t="shared" si="8"/>
        <v>294515450</v>
      </c>
      <c r="AW33" s="175">
        <f t="shared" si="11"/>
        <v>76.1171315297061</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x14ac:dyDescent="0.25">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x14ac:dyDescent="0.25">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x14ac:dyDescent="0.25">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x14ac:dyDescent="0.25">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x14ac:dyDescent="0.25">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x14ac:dyDescent="0.25">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v>33484900</v>
      </c>
      <c r="AC39" s="165"/>
      <c r="AD39" s="165"/>
      <c r="AE39" s="165"/>
      <c r="AF39" s="165"/>
      <c r="AG39" s="165"/>
      <c r="AH39" s="165"/>
      <c r="AI39" s="165"/>
      <c r="AJ39" s="165"/>
      <c r="AK39" s="165"/>
      <c r="AL39" s="165"/>
      <c r="AM39" s="165"/>
      <c r="AN39" s="165"/>
      <c r="AO39" s="165"/>
      <c r="AP39" s="165"/>
      <c r="AQ39" s="165"/>
      <c r="AR39" s="165"/>
      <c r="AS39" s="165"/>
      <c r="AT39" s="165">
        <f t="shared" si="38"/>
        <v>66713550</v>
      </c>
      <c r="AU39" s="168">
        <f t="shared" si="7"/>
        <v>26.335266299284712</v>
      </c>
      <c r="AV39" s="169">
        <f>F39-AT39</f>
        <v>186610450</v>
      </c>
      <c r="AW39" s="168">
        <f t="shared" si="11"/>
        <v>73.664733700715288</v>
      </c>
      <c r="AX39" s="164" t="s">
        <v>535</v>
      </c>
      <c r="AY39" s="164" t="s">
        <v>536</v>
      </c>
      <c r="AZ39" s="164" t="s">
        <v>3921</v>
      </c>
      <c r="BA39" s="165"/>
      <c r="BB39" s="240">
        <v>7130000</v>
      </c>
      <c r="BC39" s="240">
        <v>3480000</v>
      </c>
      <c r="BD39" s="165"/>
      <c r="BE39" s="165"/>
      <c r="BF39" s="165"/>
      <c r="BG39" s="165"/>
      <c r="BH39" s="165"/>
      <c r="BI39" s="165"/>
      <c r="BJ39" s="165"/>
    </row>
    <row r="40" spans="2:62" x14ac:dyDescent="0.25">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x14ac:dyDescent="0.25">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x14ac:dyDescent="0.25">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x14ac:dyDescent="0.25">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x14ac:dyDescent="0.25">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x14ac:dyDescent="0.25">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x14ac:dyDescent="0.25">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x14ac:dyDescent="0.25">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x14ac:dyDescent="0.25">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x14ac:dyDescent="0.25">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x14ac:dyDescent="0.25">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x14ac:dyDescent="0.25">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x14ac:dyDescent="0.25">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x14ac:dyDescent="0.25">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x14ac:dyDescent="0.25">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x14ac:dyDescent="0.25">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x14ac:dyDescent="0.25">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x14ac:dyDescent="0.25">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x14ac:dyDescent="0.25">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x14ac:dyDescent="0.25">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x14ac:dyDescent="0.25">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127594580</v>
      </c>
      <c r="AC60" s="192">
        <f t="shared" si="94"/>
        <v>91098902</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6333143414</v>
      </c>
      <c r="AU60" s="193">
        <f t="shared" si="7"/>
        <v>60.454962826719552</v>
      </c>
      <c r="AV60" s="194">
        <f t="shared" ref="AV60:AV64" si="97">F60-AT60</f>
        <v>4142660586</v>
      </c>
      <c r="AW60" s="193">
        <f t="shared" ref="AW60:AW65" si="98">AV60/F60*100</f>
        <v>39.545037173280448</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x14ac:dyDescent="0.25">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120179280</v>
      </c>
      <c r="AC61" s="186">
        <f t="shared" si="103"/>
        <v>91098902</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2444459202</v>
      </c>
      <c r="AU61" s="187">
        <f t="shared" si="7"/>
        <v>55.640565779194887</v>
      </c>
      <c r="AV61" s="188">
        <f t="shared" si="97"/>
        <v>1948844798</v>
      </c>
      <c r="AW61" s="187">
        <f t="shared" si="98"/>
        <v>44.359434220805113</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x14ac:dyDescent="0.25">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x14ac:dyDescent="0.25">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x14ac:dyDescent="0.25">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x14ac:dyDescent="0.25">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x14ac:dyDescent="0.25">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120179280</v>
      </c>
      <c r="AC67" s="179">
        <f t="shared" si="115"/>
        <v>79889902</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1424768840</v>
      </c>
      <c r="AU67" s="182">
        <f t="shared" si="7"/>
        <v>44.652205988816647</v>
      </c>
      <c r="AV67" s="183">
        <f>F67-AT67</f>
        <v>1766045160</v>
      </c>
      <c r="AW67" s="182">
        <f>AV67/F67*100</f>
        <v>55.347794011183346</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x14ac:dyDescent="0.25">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x14ac:dyDescent="0.25">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x14ac:dyDescent="0.25">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x14ac:dyDescent="0.25">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x14ac:dyDescent="0.25">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x14ac:dyDescent="0.25">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x14ac:dyDescent="0.25">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x14ac:dyDescent="0.25">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x14ac:dyDescent="0.25">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56539280</v>
      </c>
      <c r="AC76" s="172">
        <f t="shared" si="135"/>
        <v>2175000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590257447</v>
      </c>
      <c r="AU76" s="173">
        <f t="shared" si="7"/>
        <v>66.937032580714657</v>
      </c>
      <c r="AV76" s="174">
        <f t="shared" si="8"/>
        <v>291552553</v>
      </c>
      <c r="AW76" s="173">
        <f t="shared" si="11"/>
        <v>33.062967419285336</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x14ac:dyDescent="0.25">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56539280</v>
      </c>
      <c r="AC77" s="172">
        <f t="shared" si="137"/>
        <v>2175000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590257447</v>
      </c>
      <c r="AU77" s="173">
        <f t="shared" si="7"/>
        <v>66.937032580714657</v>
      </c>
      <c r="AV77" s="174">
        <f t="shared" si="8"/>
        <v>291552553</v>
      </c>
      <c r="AW77" s="173">
        <f t="shared" si="11"/>
        <v>33.062967419285336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x14ac:dyDescent="0.25">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16087300</v>
      </c>
      <c r="AU78" s="175">
        <f t="shared" si="7"/>
        <v>85.849298254976247</v>
      </c>
      <c r="AV78" s="176">
        <f t="shared" si="8"/>
        <v>2651700</v>
      </c>
      <c r="AW78" s="175">
        <f t="shared" si="11"/>
        <v>14.150701745023747</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x14ac:dyDescent="0.25">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x14ac:dyDescent="0.25">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56"/>
        <v>11338500</v>
      </c>
      <c r="AU80" s="168">
        <f t="shared" si="157"/>
        <v>87.293094156594037</v>
      </c>
      <c r="AV80" s="169">
        <f t="shared" si="158"/>
        <v>1650500</v>
      </c>
      <c r="AW80" s="168">
        <f t="shared" si="159"/>
        <v>12.706905843405957</v>
      </c>
      <c r="AX80" s="164" t="s">
        <v>576</v>
      </c>
      <c r="AY80" s="164" t="s">
        <v>560</v>
      </c>
      <c r="AZ80" s="164" t="s">
        <v>3921</v>
      </c>
      <c r="BA80" s="165">
        <v>2685000</v>
      </c>
      <c r="BB80" s="165">
        <v>1650000</v>
      </c>
      <c r="BC80" s="240"/>
      <c r="BD80" s="165">
        <v>3960000</v>
      </c>
      <c r="BE80" s="165"/>
      <c r="BF80" s="165">
        <v>3043500</v>
      </c>
      <c r="BG80" s="165"/>
      <c r="BH80" s="165"/>
      <c r="BI80" s="165"/>
      <c r="BJ80" s="165"/>
    </row>
    <row r="81" spans="2:62" x14ac:dyDescent="0.25">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56"/>
        <v>750000</v>
      </c>
      <c r="AU81" s="168">
        <f t="shared" si="157"/>
        <v>100</v>
      </c>
      <c r="AV81" s="169">
        <f t="shared" si="158"/>
        <v>0</v>
      </c>
      <c r="AW81" s="168">
        <f t="shared" si="159"/>
        <v>0</v>
      </c>
      <c r="AX81" s="164" t="s">
        <v>576</v>
      </c>
      <c r="AY81" s="164" t="s">
        <v>560</v>
      </c>
      <c r="AZ81" s="164" t="s">
        <v>3921</v>
      </c>
      <c r="BA81" s="165">
        <v>450000</v>
      </c>
      <c r="BB81" s="165">
        <v>300000</v>
      </c>
      <c r="BC81" s="240"/>
      <c r="BD81" s="165"/>
      <c r="BE81" s="165"/>
      <c r="BF81" s="165"/>
      <c r="BG81" s="165"/>
      <c r="BH81" s="165"/>
      <c r="BI81" s="165"/>
      <c r="BJ81" s="165">
        <v>1350000</v>
      </c>
    </row>
    <row r="82" spans="2:62" x14ac:dyDescent="0.25">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46539280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214120741</v>
      </c>
      <c r="AU82" s="175">
        <f t="shared" si="157"/>
        <v>55.519878910453372</v>
      </c>
      <c r="AV82" s="176">
        <f t="shared" si="158"/>
        <v>171544259</v>
      </c>
      <c r="AW82" s="175">
        <f t="shared" si="159"/>
        <v>44.480121089546628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x14ac:dyDescent="0.25">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x14ac:dyDescent="0.25">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x14ac:dyDescent="0.25">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v>46539280</v>
      </c>
      <c r="AC85" s="165"/>
      <c r="AD85" s="165"/>
      <c r="AE85" s="165"/>
      <c r="AF85" s="165"/>
      <c r="AG85" s="165"/>
      <c r="AH85" s="165"/>
      <c r="AI85" s="165"/>
      <c r="AJ85" s="165"/>
      <c r="AK85" s="165"/>
      <c r="AL85" s="165"/>
      <c r="AM85" s="165"/>
      <c r="AN85" s="165"/>
      <c r="AO85" s="165"/>
      <c r="AP85" s="165"/>
      <c r="AQ85" s="165"/>
      <c r="AR85" s="165"/>
      <c r="AS85" s="165"/>
      <c r="AT85" s="165">
        <f t="shared" si="156"/>
        <v>207119741</v>
      </c>
      <c r="AU85" s="168">
        <f t="shared" si="157"/>
        <v>55.433858000074942</v>
      </c>
      <c r="AV85" s="169">
        <f t="shared" si="158"/>
        <v>166514259</v>
      </c>
      <c r="AW85" s="168">
        <f t="shared" si="159"/>
        <v>44.566141999925065</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x14ac:dyDescent="0.25">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x14ac:dyDescent="0.25">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x14ac:dyDescent="0.25">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x14ac:dyDescent="0.25">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x14ac:dyDescent="0.25">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x14ac:dyDescent="0.25">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x14ac:dyDescent="0.25">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x14ac:dyDescent="0.25">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x14ac:dyDescent="0.25">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x14ac:dyDescent="0.25">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131355980</v>
      </c>
      <c r="AU95" s="175">
        <f t="shared" si="157"/>
        <v>88.55240432258978</v>
      </c>
      <c r="AV95" s="176">
        <f t="shared" si="158"/>
        <v>16981020</v>
      </c>
      <c r="AW95" s="175">
        <f t="shared" si="159"/>
        <v>11.447595677410222</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x14ac:dyDescent="0.25">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x14ac:dyDescent="0.25">
      <c r="B97" s="228">
        <v>521241</v>
      </c>
      <c r="C97" s="164" t="s">
        <v>642</v>
      </c>
      <c r="D97" s="164"/>
      <c r="E97" s="164"/>
      <c r="F97" s="165">
        <v>82534000</v>
      </c>
      <c r="G97" s="165">
        <v>226200000</v>
      </c>
      <c r="H97" s="165"/>
      <c r="I97" s="165">
        <f t="shared" si="194"/>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56"/>
        <v>67164280</v>
      </c>
      <c r="AU97" s="168">
        <f t="shared" si="157"/>
        <v>81.377711003949884</v>
      </c>
      <c r="AV97" s="169">
        <f t="shared" si="158"/>
        <v>15369720</v>
      </c>
      <c r="AW97" s="168">
        <f t="shared" si="159"/>
        <v>18.622288996050113</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x14ac:dyDescent="0.25">
      <c r="B98" s="228">
        <v>522191</v>
      </c>
      <c r="C98" s="164" t="s">
        <v>22</v>
      </c>
      <c r="D98" s="164"/>
      <c r="E98" s="164"/>
      <c r="F98" s="165">
        <v>1606000</v>
      </c>
      <c r="G98" s="165">
        <v>35000000</v>
      </c>
      <c r="H98" s="165"/>
      <c r="I98" s="165">
        <f t="shared" si="194"/>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x14ac:dyDescent="0.25">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x14ac:dyDescent="0.25">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x14ac:dyDescent="0.25">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x14ac:dyDescent="0.25">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x14ac:dyDescent="0.25">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x14ac:dyDescent="0.25">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x14ac:dyDescent="0.25">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x14ac:dyDescent="0.25">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x14ac:dyDescent="0.25">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x14ac:dyDescent="0.25">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x14ac:dyDescent="0.25">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56"/>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x14ac:dyDescent="0.25">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56"/>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x14ac:dyDescent="0.25">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x14ac:dyDescent="0.25">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56"/>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x14ac:dyDescent="0.25">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x14ac:dyDescent="0.25">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x14ac:dyDescent="0.25">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x14ac:dyDescent="0.25">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x14ac:dyDescent="0.25">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x14ac:dyDescent="0.25">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x14ac:dyDescent="0.25">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x14ac:dyDescent="0.25">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x14ac:dyDescent="0.25">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77714902</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804676543</v>
      </c>
      <c r="AU123" s="173">
        <f t="shared" si="157"/>
        <v>36.648537386059218</v>
      </c>
      <c r="AV123" s="174">
        <f>F123-AT123</f>
        <v>1390981457</v>
      </c>
      <c r="AW123" s="173">
        <f>AV123/F123*100</f>
        <v>63.351462613940789</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77714902</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804676543</v>
      </c>
      <c r="AU124" s="173">
        <f t="shared" si="157"/>
        <v>36.648537386059218</v>
      </c>
      <c r="AV124" s="174">
        <f>F124-AT124</f>
        <v>1390981457</v>
      </c>
      <c r="AW124" s="173">
        <f t="shared" si="159"/>
        <v>63.351462613940789</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11688602</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563094753</v>
      </c>
      <c r="AU125" s="175">
        <f t="shared" si="157"/>
        <v>44.890284682472611</v>
      </c>
      <c r="AV125" s="176">
        <f>F125-AT125</f>
        <v>691285247</v>
      </c>
      <c r="AW125" s="175">
        <f>AV125/F125*100</f>
        <v>55.109715317527389</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x14ac:dyDescent="0.25">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v>11688602</v>
      </c>
      <c r="AD126" s="165"/>
      <c r="AE126" s="165"/>
      <c r="AF126" s="165"/>
      <c r="AG126" s="165"/>
      <c r="AH126" s="165"/>
      <c r="AI126" s="165"/>
      <c r="AJ126" s="165"/>
      <c r="AK126" s="165"/>
      <c r="AL126" s="165"/>
      <c r="AM126" s="165"/>
      <c r="AN126" s="165"/>
      <c r="AO126" s="165"/>
      <c r="AP126" s="165"/>
      <c r="AQ126" s="165"/>
      <c r="AR126" s="165"/>
      <c r="AS126" s="165"/>
      <c r="AT126" s="165">
        <f>SUM(J126:AS126)</f>
        <v>498386753</v>
      </c>
      <c r="AU126" s="168">
        <f t="shared" si="157"/>
        <v>46.309003084871122</v>
      </c>
      <c r="AV126" s="169">
        <f>F126-AT126</f>
        <v>577833247</v>
      </c>
      <c r="AW126" s="168">
        <f>AV126/F126*100</f>
        <v>53.690996915128878</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x14ac:dyDescent="0.25">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56"/>
        <v>64708000</v>
      </c>
      <c r="AU127" s="168">
        <f t="shared" si="157"/>
        <v>36.320161652447233</v>
      </c>
      <c r="AV127" s="169">
        <f>F127-AT127</f>
        <v>113452000</v>
      </c>
      <c r="AW127" s="168">
        <f t="shared" si="159"/>
        <v>63.679838347552767</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x14ac:dyDescent="0.25">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50155000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72241050</v>
      </c>
      <c r="AU128" s="175">
        <f t="shared" si="157"/>
        <v>48.532132588074063</v>
      </c>
      <c r="AV128" s="176">
        <f t="shared" ref="AV128" si="250">F128-AT128</f>
        <v>76610950</v>
      </c>
      <c r="AW128" s="175">
        <f t="shared" ref="AW128:AW135" si="251">AV128/F128*100</f>
        <v>51.467867411925937</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x14ac:dyDescent="0.25">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v>155000</v>
      </c>
      <c r="AD129" s="165"/>
      <c r="AE129" s="165"/>
      <c r="AF129" s="165"/>
      <c r="AG129" s="165"/>
      <c r="AH129" s="165"/>
      <c r="AI129" s="165"/>
      <c r="AJ129" s="165"/>
      <c r="AK129" s="165"/>
      <c r="AL129" s="165"/>
      <c r="AM129" s="165"/>
      <c r="AN129" s="165"/>
      <c r="AO129" s="165"/>
      <c r="AP129" s="165"/>
      <c r="AQ129" s="165"/>
      <c r="AR129" s="165"/>
      <c r="AS129" s="165"/>
      <c r="AT129" s="165">
        <f t="shared" si="249"/>
        <v>2441050</v>
      </c>
      <c r="AU129" s="168">
        <f t="shared" si="157"/>
        <v>8.1368333333333336</v>
      </c>
      <c r="AV129" s="169">
        <f t="shared" ref="AV129:AV138" si="258">F129-AT129</f>
        <v>27558950</v>
      </c>
      <c r="AW129" s="168">
        <f t="shared" si="251"/>
        <v>91.863166666666658</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x14ac:dyDescent="0.25">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v>50000000</v>
      </c>
      <c r="AD130" s="165"/>
      <c r="AE130" s="165"/>
      <c r="AF130" s="165"/>
      <c r="AG130" s="165"/>
      <c r="AH130" s="165"/>
      <c r="AI130" s="165"/>
      <c r="AJ130" s="165"/>
      <c r="AK130" s="165"/>
      <c r="AL130" s="165"/>
      <c r="AM130" s="165"/>
      <c r="AN130" s="165"/>
      <c r="AO130" s="165"/>
      <c r="AP130" s="165"/>
      <c r="AQ130" s="165"/>
      <c r="AR130" s="165"/>
      <c r="AS130" s="165"/>
      <c r="AT130" s="165">
        <f t="shared" si="249"/>
        <v>69800000</v>
      </c>
      <c r="AU130" s="168">
        <f t="shared" si="157"/>
        <v>58.728502675596538</v>
      </c>
      <c r="AV130" s="169">
        <f t="shared" si="258"/>
        <v>49052000</v>
      </c>
      <c r="AW130" s="168">
        <f t="shared" si="251"/>
        <v>41.271497324403462</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11143300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106018740</v>
      </c>
      <c r="AU131" s="175">
        <f t="shared" si="157"/>
        <v>19.889079823656317</v>
      </c>
      <c r="AV131" s="176">
        <f t="shared" si="258"/>
        <v>427031260</v>
      </c>
      <c r="AW131" s="175">
        <f t="shared" si="251"/>
        <v>80.110920176343683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x14ac:dyDescent="0.25">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v>11143300</v>
      </c>
      <c r="AD132" s="165"/>
      <c r="AE132" s="165"/>
      <c r="AF132" s="165"/>
      <c r="AG132" s="165"/>
      <c r="AH132" s="165"/>
      <c r="AI132" s="165"/>
      <c r="AJ132" s="165"/>
      <c r="AK132" s="165"/>
      <c r="AL132" s="165"/>
      <c r="AM132" s="165"/>
      <c r="AN132" s="165"/>
      <c r="AO132" s="165"/>
      <c r="AP132" s="165"/>
      <c r="AQ132" s="165"/>
      <c r="AR132" s="165"/>
      <c r="AS132" s="165"/>
      <c r="AT132" s="165">
        <f t="shared" si="249"/>
        <v>97018740</v>
      </c>
      <c r="AU132" s="168">
        <f t="shared" si="157"/>
        <v>19.518909566442009</v>
      </c>
      <c r="AV132" s="169">
        <f t="shared" si="258"/>
        <v>400031260</v>
      </c>
      <c r="AW132" s="168">
        <f t="shared" si="251"/>
        <v>80.481090433557995</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x14ac:dyDescent="0.25">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49"/>
        <v>9000000</v>
      </c>
      <c r="AU133" s="168">
        <f t="shared" si="157"/>
        <v>25</v>
      </c>
      <c r="AV133" s="169">
        <f t="shared" si="258"/>
        <v>27000000</v>
      </c>
      <c r="AW133" s="168">
        <f t="shared" si="251"/>
        <v>75</v>
      </c>
      <c r="AX133" s="164" t="s">
        <v>576</v>
      </c>
      <c r="AY133" s="164" t="s">
        <v>560</v>
      </c>
      <c r="AZ133" s="164" t="s">
        <v>3999</v>
      </c>
      <c r="BA133" s="165"/>
      <c r="BB133" s="165">
        <v>6000000</v>
      </c>
      <c r="BC133" s="240"/>
      <c r="BD133" s="165"/>
      <c r="BE133" s="165">
        <v>3000000</v>
      </c>
      <c r="BF133" s="165"/>
      <c r="BG133" s="165"/>
      <c r="BH133" s="165"/>
      <c r="BI133" s="165"/>
      <c r="BJ133" s="165">
        <v>3000000</v>
      </c>
    </row>
    <row r="134" spans="2:62" x14ac:dyDescent="0.25">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4728000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63322000</v>
      </c>
      <c r="AU134" s="175">
        <f t="shared" si="157"/>
        <v>39.731201686577656</v>
      </c>
      <c r="AV134" s="176">
        <f t="shared" si="258"/>
        <v>96054000</v>
      </c>
      <c r="AW134" s="175">
        <f t="shared" si="251"/>
        <v>60.268798313422344</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x14ac:dyDescent="0.25">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x14ac:dyDescent="0.25">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v>4728000</v>
      </c>
      <c r="AD136" s="165"/>
      <c r="AE136" s="165"/>
      <c r="AF136" s="165"/>
      <c r="AG136" s="165"/>
      <c r="AH136" s="165"/>
      <c r="AI136" s="165"/>
      <c r="AJ136" s="165"/>
      <c r="AK136" s="165"/>
      <c r="AL136" s="165"/>
      <c r="AM136" s="165"/>
      <c r="AN136" s="165"/>
      <c r="AO136" s="165"/>
      <c r="AP136" s="165"/>
      <c r="AQ136" s="165"/>
      <c r="AR136" s="165"/>
      <c r="AS136" s="165"/>
      <c r="AT136" s="165">
        <f t="shared" si="249"/>
        <v>18912000</v>
      </c>
      <c r="AU136" s="168">
        <f t="shared" si="157"/>
        <v>32.419089413055403</v>
      </c>
      <c r="AV136" s="169">
        <f t="shared" si="258"/>
        <v>39424000</v>
      </c>
      <c r="AW136" s="168">
        <f t="shared" ref="AW136:AW189" si="273">AV136/F136*100</f>
        <v>67.580910586944597</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x14ac:dyDescent="0.25">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x14ac:dyDescent="0.25">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x14ac:dyDescent="0.25">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x14ac:dyDescent="0.25">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x14ac:dyDescent="0.25">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x14ac:dyDescent="0.25">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0</v>
      </c>
      <c r="AC146" s="179">
        <f t="shared" si="299"/>
        <v>11209000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365490362</v>
      </c>
      <c r="AU146" s="182">
        <f t="shared" si="292"/>
        <v>66.660045231538049</v>
      </c>
      <c r="AV146" s="183">
        <f>F146-AT146</f>
        <v>182799638</v>
      </c>
      <c r="AW146" s="182">
        <f>AV146/F146*100</f>
        <v>33.339954768461944</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x14ac:dyDescent="0.25">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111936545</v>
      </c>
      <c r="AU147" s="173">
        <f t="shared" si="292"/>
        <v>61.98997906652194</v>
      </c>
      <c r="AV147" s="174">
        <f t="shared" ref="AV147:AV148" si="307">F147-AT147</f>
        <v>68635455</v>
      </c>
      <c r="AW147" s="173">
        <f t="shared" ref="AW147:AW148" si="308">AV147/F147*100</f>
        <v>38.010020933478053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111936545</v>
      </c>
      <c r="AU148" s="173">
        <f t="shared" si="292"/>
        <v>61.98997906652194</v>
      </c>
      <c r="AV148" s="174">
        <f t="shared" si="307"/>
        <v>68635455</v>
      </c>
      <c r="AW148" s="173">
        <f t="shared" si="308"/>
        <v>38.010020933478053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x14ac:dyDescent="0.25">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x14ac:dyDescent="0.25">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x14ac:dyDescent="0.25">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x14ac:dyDescent="0.25">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x14ac:dyDescent="0.25">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x14ac:dyDescent="0.25">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30108100</v>
      </c>
      <c r="AU154" s="175">
        <f t="shared" si="292"/>
        <v>38.6001282051282</v>
      </c>
      <c r="AV154" s="176">
        <f t="shared" si="327"/>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x14ac:dyDescent="0.25">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x14ac:dyDescent="0.25">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x14ac:dyDescent="0.25">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x14ac:dyDescent="0.25">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x14ac:dyDescent="0.25">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39"/>
        <v>14386100</v>
      </c>
      <c r="AU159" s="168">
        <f t="shared" si="292"/>
        <v>31.969111111111108</v>
      </c>
      <c r="AV159" s="169">
        <f t="shared" si="338"/>
        <v>30613900</v>
      </c>
      <c r="AW159" s="168">
        <f t="shared" si="273"/>
        <v>68.030888888888882</v>
      </c>
      <c r="AX159" s="164" t="s">
        <v>542</v>
      </c>
      <c r="AY159" s="164" t="s">
        <v>543</v>
      </c>
      <c r="AZ159" s="164" t="s">
        <v>3921</v>
      </c>
      <c r="BA159" s="165"/>
      <c r="BB159" s="165"/>
      <c r="BC159" s="240"/>
      <c r="BD159" s="165"/>
      <c r="BE159" s="165"/>
      <c r="BF159" s="165"/>
      <c r="BG159" s="165"/>
      <c r="BH159" s="165"/>
      <c r="BI159" s="165"/>
      <c r="BJ159" s="165"/>
    </row>
    <row r="160" spans="2:62" x14ac:dyDescent="0.25">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x14ac:dyDescent="0.25">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x14ac:dyDescent="0.25">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x14ac:dyDescent="0.25">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x14ac:dyDescent="0.25">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x14ac:dyDescent="0.25">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x14ac:dyDescent="0.25">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x14ac:dyDescent="0.25">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x14ac:dyDescent="0.25">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x14ac:dyDescent="0.25">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x14ac:dyDescent="0.25">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x14ac:dyDescent="0.25">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x14ac:dyDescent="0.25">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x14ac:dyDescent="0.25">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x14ac:dyDescent="0.25">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x14ac:dyDescent="0.25">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x14ac:dyDescent="0.25">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x14ac:dyDescent="0.25">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x14ac:dyDescent="0.25">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x14ac:dyDescent="0.25">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11209000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147757520</v>
      </c>
      <c r="AU182" s="173">
        <f t="shared" si="292"/>
        <v>74.655173807599027</v>
      </c>
      <c r="AV182" s="174">
        <f t="shared" si="338"/>
        <v>50162480</v>
      </c>
      <c r="AW182" s="173">
        <f t="shared" si="273"/>
        <v>25.344826192400973</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x14ac:dyDescent="0.25">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11209000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147757520</v>
      </c>
      <c r="AU183" s="173">
        <f t="shared" si="292"/>
        <v>74.655173807599027</v>
      </c>
      <c r="AV183" s="174">
        <f t="shared" si="338"/>
        <v>50162480</v>
      </c>
      <c r="AW183" s="173">
        <f t="shared" si="273"/>
        <v>25.344826192400973</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x14ac:dyDescent="0.25">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x14ac:dyDescent="0.25">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x14ac:dyDescent="0.25">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x14ac:dyDescent="0.25">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x14ac:dyDescent="0.25">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x14ac:dyDescent="0.25">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x14ac:dyDescent="0.25">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x14ac:dyDescent="0.25">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x14ac:dyDescent="0.25">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4" x14ac:dyDescent="0.25">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4" x14ac:dyDescent="0.25">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4" x14ac:dyDescent="0.25">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4" x14ac:dyDescent="0.25">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4" x14ac:dyDescent="0.25">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4" x14ac:dyDescent="0.25">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4" x14ac:dyDescent="0.25">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4" x14ac:dyDescent="0.25">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4940000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69630000</v>
      </c>
      <c r="AU200" s="175">
        <f t="shared" si="292"/>
        <v>64.274043920135142</v>
      </c>
      <c r="AV200" s="176">
        <f t="shared" si="426"/>
        <v>38703000</v>
      </c>
      <c r="AW200" s="175">
        <f t="shared" si="427"/>
        <v>35.725956079864865</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4" x14ac:dyDescent="0.25">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4" x14ac:dyDescent="0.25">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4" x14ac:dyDescent="0.25">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425"/>
        <v>54730000</v>
      </c>
      <c r="AU203" s="168">
        <f t="shared" si="292"/>
        <v>71.981902594925884</v>
      </c>
      <c r="AV203" s="169">
        <f t="shared" si="426"/>
        <v>21303000</v>
      </c>
      <c r="AW203" s="168">
        <f t="shared" si="427"/>
        <v>28.018097405074112</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4" x14ac:dyDescent="0.25">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7415300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3888684212</v>
      </c>
      <c r="AU204" s="173">
        <f t="shared" si="292"/>
        <v>63.932333941635846</v>
      </c>
      <c r="AV204" s="174">
        <f t="shared" si="426"/>
        <v>2193815788</v>
      </c>
      <c r="AW204" s="173">
        <f t="shared" si="427"/>
        <v>36.067666058364161</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L204" t="s">
        <v>3842</v>
      </c>
    </row>
    <row r="205" spans="2:64" x14ac:dyDescent="0.25">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7415300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3888684212</v>
      </c>
      <c r="AU205" s="173">
        <f t="shared" si="292"/>
        <v>63.932333941635846</v>
      </c>
      <c r="AV205" s="174">
        <f t="shared" si="426"/>
        <v>2193815788</v>
      </c>
      <c r="AW205" s="173">
        <f t="shared" si="427"/>
        <v>36.067666058364161</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7415300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3888684212</v>
      </c>
      <c r="AU206" s="173">
        <f t="shared" si="292"/>
        <v>63.932333941635846</v>
      </c>
      <c r="AV206" s="174">
        <f t="shared" si="426"/>
        <v>2193815788</v>
      </c>
      <c r="AW206" s="173">
        <f t="shared" si="427"/>
        <v>36.067666058364161</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7415300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3880878212</v>
      </c>
      <c r="AU207" s="173">
        <f t="shared" ref="AU207:AU231" si="472">IFERROR(AT207/F207*100,0)</f>
        <v>64.970421910836549</v>
      </c>
      <c r="AV207" s="174">
        <f t="shared" si="426"/>
        <v>2092421788</v>
      </c>
      <c r="AW207" s="173">
        <f t="shared" si="427"/>
        <v>35.029578089163444</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25390000</v>
      </c>
      <c r="AU208" s="175">
        <f t="shared" si="472"/>
        <v>1.4817071320359203</v>
      </c>
      <c r="AV208" s="176">
        <f t="shared" si="426"/>
        <v>1688174000</v>
      </c>
      <c r="AW208" s="175">
        <f t="shared" si="427"/>
        <v>98.518292867964078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x14ac:dyDescent="0.25">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x14ac:dyDescent="0.25">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x14ac:dyDescent="0.25">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x14ac:dyDescent="0.25">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x14ac:dyDescent="0.25">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x14ac:dyDescent="0.25">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425"/>
        <v>20535000</v>
      </c>
      <c r="AU214" s="168">
        <f t="shared" si="472"/>
        <v>14.880434782608695</v>
      </c>
      <c r="AV214" s="169">
        <f t="shared" si="426"/>
        <v>117465000</v>
      </c>
      <c r="AW214" s="168">
        <f t="shared" si="427"/>
        <v>85.119565217391298</v>
      </c>
      <c r="AX214" s="164" t="s">
        <v>542</v>
      </c>
      <c r="AY214" s="164" t="s">
        <v>543</v>
      </c>
      <c r="AZ214" s="164" t="s">
        <v>3921</v>
      </c>
      <c r="BA214" s="165"/>
      <c r="BB214" s="165"/>
      <c r="BC214" s="165"/>
      <c r="BD214" s="165"/>
      <c r="BE214" s="165"/>
      <c r="BF214" s="165"/>
      <c r="BG214" s="165"/>
      <c r="BH214" s="165"/>
      <c r="BI214" s="165"/>
      <c r="BJ214" s="165"/>
    </row>
    <row r="215" spans="2:62" x14ac:dyDescent="0.25">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x14ac:dyDescent="0.25">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x14ac:dyDescent="0.25">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x14ac:dyDescent="0.25">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x14ac:dyDescent="0.25">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x14ac:dyDescent="0.25">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x14ac:dyDescent="0.25">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x14ac:dyDescent="0.25">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x14ac:dyDescent="0.25">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x14ac:dyDescent="0.25">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x14ac:dyDescent="0.25">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x14ac:dyDescent="0.25">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x14ac:dyDescent="0.25">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x14ac:dyDescent="0.25">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x14ac:dyDescent="0.25">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x14ac:dyDescent="0.25">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x14ac:dyDescent="0.25">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x14ac:dyDescent="0.25">
      <c r="F232" s="227"/>
      <c r="G232" s="227"/>
      <c r="H232" s="227"/>
      <c r="I232" s="227"/>
      <c r="AT232" s="220"/>
    </row>
    <row r="233" spans="2:62" x14ac:dyDescent="0.25">
      <c r="AU233" t="s">
        <v>3842</v>
      </c>
    </row>
    <row r="234" spans="2:62"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2" x14ac:dyDescent="0.25">
      <c r="B235" s="385"/>
      <c r="C235" s="363"/>
      <c r="D235" s="363"/>
      <c r="E235" s="363"/>
      <c r="F235" s="363"/>
      <c r="G235" s="363"/>
      <c r="H235" s="363"/>
      <c r="I235" s="406">
        <f t="shared" ref="I235:I250" si="518">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x14ac:dyDescent="0.25">
      <c r="B236" s="386"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791226522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3731608826</v>
      </c>
      <c r="AU236" s="382">
        <f t="shared" ref="AU236:AU248" si="522">IFERROR(AT236/F236*100,0)</f>
        <v>57.595479700867237</v>
      </c>
      <c r="AV236" s="187">
        <f t="shared" ref="AV236:AV248" si="523">F236-AT236</f>
        <v>2747387174</v>
      </c>
      <c r="AW236" s="187">
        <f t="shared" ref="AW236:AW248" si="524">AV236/F236*100</f>
        <v>42.404520299132763</v>
      </c>
      <c r="AX236" s="185" t="s">
        <v>576</v>
      </c>
      <c r="AY236" s="189" t="s">
        <v>546</v>
      </c>
      <c r="BA236" s="366"/>
      <c r="BC236" s="366"/>
    </row>
    <row r="237" spans="2:62" x14ac:dyDescent="0.25">
      <c r="B237" s="387" t="s">
        <v>1807</v>
      </c>
      <c r="C237" s="367" t="s">
        <v>1808</v>
      </c>
      <c r="D237" s="368"/>
      <c r="E237" s="368"/>
      <c r="F237" s="369">
        <f>SUM(F238:F248)</f>
        <v>6155047000</v>
      </c>
      <c r="G237" s="369">
        <f>SUM(G238:G248)</f>
        <v>6155047000</v>
      </c>
      <c r="H237" s="369">
        <f>SUM(H238:H248)</f>
        <v>0</v>
      </c>
      <c r="I237" s="369">
        <f t="shared" si="518"/>
        <v>0</v>
      </c>
      <c r="J237" s="369">
        <f t="shared" ref="J237:K237" si="525">SUM(J238:J248)</f>
        <v>208949299</v>
      </c>
      <c r="K237" s="369">
        <f t="shared" si="525"/>
        <v>0</v>
      </c>
      <c r="L237" s="369">
        <f>SUM(L238:L248)</f>
        <v>0</v>
      </c>
      <c r="M237" s="369">
        <f t="shared" ref="M237:N237" si="526">SUM(M238:M248)</f>
        <v>471416928</v>
      </c>
      <c r="N237" s="369">
        <f t="shared" si="526"/>
        <v>0</v>
      </c>
      <c r="O237" s="369">
        <f>SUM(O238:O248)</f>
        <v>0</v>
      </c>
      <c r="P237" s="369">
        <f t="shared" ref="P237:Q237" si="527">SUM(P238:P248)</f>
        <v>493246114</v>
      </c>
      <c r="Q237" s="369">
        <f t="shared" si="527"/>
        <v>0</v>
      </c>
      <c r="R237" s="369">
        <f>SUM(R238:R248)</f>
        <v>0</v>
      </c>
      <c r="S237" s="369">
        <f t="shared" ref="S237:AR237" si="528">SUM(S238:S248)</f>
        <v>811194029</v>
      </c>
      <c r="T237" s="369">
        <f t="shared" si="528"/>
        <v>0</v>
      </c>
      <c r="U237" s="369">
        <f t="shared" si="528"/>
        <v>0</v>
      </c>
      <c r="V237" s="369">
        <f t="shared" si="528"/>
        <v>480605233</v>
      </c>
      <c r="W237" s="369">
        <f t="shared" si="528"/>
        <v>0</v>
      </c>
      <c r="X237" s="369">
        <f t="shared" si="528"/>
        <v>0</v>
      </c>
      <c r="Y237" s="369">
        <f t="shared" si="528"/>
        <v>474970701</v>
      </c>
      <c r="Z237" s="369">
        <f t="shared" si="528"/>
        <v>0</v>
      </c>
      <c r="AA237" s="369">
        <f t="shared" si="528"/>
        <v>0</v>
      </c>
      <c r="AB237" s="369">
        <f t="shared" si="528"/>
        <v>791226522</v>
      </c>
      <c r="AC237" s="369">
        <f t="shared" si="528"/>
        <v>0</v>
      </c>
      <c r="AD237" s="369">
        <f t="shared" si="528"/>
        <v>0</v>
      </c>
      <c r="AE237" s="369">
        <f t="shared" si="528"/>
        <v>0</v>
      </c>
      <c r="AF237" s="369">
        <f t="shared" si="528"/>
        <v>0</v>
      </c>
      <c r="AG237" s="369">
        <f t="shared" si="528"/>
        <v>0</v>
      </c>
      <c r="AH237" s="369">
        <f t="shared" si="528"/>
        <v>0</v>
      </c>
      <c r="AI237" s="369">
        <f t="shared" si="528"/>
        <v>0</v>
      </c>
      <c r="AJ237" s="369">
        <f t="shared" si="528"/>
        <v>0</v>
      </c>
      <c r="AK237" s="369">
        <f t="shared" si="528"/>
        <v>0</v>
      </c>
      <c r="AL237" s="369">
        <f t="shared" si="528"/>
        <v>0</v>
      </c>
      <c r="AM237" s="369">
        <f t="shared" si="528"/>
        <v>0</v>
      </c>
      <c r="AN237" s="369">
        <f t="shared" si="528"/>
        <v>0</v>
      </c>
      <c r="AO237" s="369">
        <f t="shared" si="528"/>
        <v>0</v>
      </c>
      <c r="AP237" s="369">
        <f t="shared" si="528"/>
        <v>0</v>
      </c>
      <c r="AQ237" s="369">
        <f t="shared" si="528"/>
        <v>0</v>
      </c>
      <c r="AR237" s="369">
        <f t="shared" si="528"/>
        <v>0</v>
      </c>
      <c r="AS237" s="167"/>
      <c r="AT237" s="167">
        <f t="shared" si="521"/>
        <v>3731608826</v>
      </c>
      <c r="AU237" s="226">
        <f t="shared" si="522"/>
        <v>60.626812857805959</v>
      </c>
      <c r="AV237" s="175">
        <f t="shared" si="523"/>
        <v>2423438174</v>
      </c>
      <c r="AW237" s="381">
        <f t="shared" si="524"/>
        <v>39.373187142194041</v>
      </c>
      <c r="AX237" s="368" t="s">
        <v>576</v>
      </c>
      <c r="AY237" t="s">
        <v>546</v>
      </c>
      <c r="BA237" s="370"/>
      <c r="BB237"/>
      <c r="BC237" s="370"/>
      <c r="BD237"/>
    </row>
    <row r="238" spans="2:62" x14ac:dyDescent="0.25">
      <c r="B238" s="388">
        <v>511111</v>
      </c>
      <c r="C238" s="371" t="s">
        <v>77</v>
      </c>
      <c r="D238" s="371"/>
      <c r="E238" s="371"/>
      <c r="F238" s="372">
        <v>2483477000</v>
      </c>
      <c r="G238" s="373">
        <v>2483477000</v>
      </c>
      <c r="H238" s="373"/>
      <c r="I238" s="373">
        <f t="shared" si="518"/>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521"/>
        <v>1519430900</v>
      </c>
      <c r="AU238" s="383">
        <f t="shared" si="522"/>
        <v>61.181597413626143</v>
      </c>
      <c r="AV238" s="378">
        <f t="shared" si="523"/>
        <v>964046100</v>
      </c>
      <c r="AW238" s="377">
        <f t="shared" si="524"/>
        <v>38.818402586373864</v>
      </c>
      <c r="AX238" s="371" t="s">
        <v>576</v>
      </c>
      <c r="AY238" t="s">
        <v>546</v>
      </c>
      <c r="BA238" s="215"/>
      <c r="BB238"/>
      <c r="BC238" s="215"/>
      <c r="BD238"/>
    </row>
    <row r="239" spans="2:62" x14ac:dyDescent="0.25">
      <c r="B239" s="388">
        <v>511119</v>
      </c>
      <c r="C239" s="371" t="s">
        <v>79</v>
      </c>
      <c r="D239" s="371"/>
      <c r="E239" s="371"/>
      <c r="F239" s="372">
        <v>38000</v>
      </c>
      <c r="G239" s="373">
        <v>38000</v>
      </c>
      <c r="H239" s="373"/>
      <c r="I239" s="373">
        <f t="shared" si="518"/>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521"/>
        <v>23486</v>
      </c>
      <c r="AU239" s="383">
        <f t="shared" si="522"/>
        <v>61.805263157894743</v>
      </c>
      <c r="AV239" s="378">
        <f t="shared" si="523"/>
        <v>14514</v>
      </c>
      <c r="AW239" s="377">
        <f t="shared" si="524"/>
        <v>38.194736842105264</v>
      </c>
      <c r="AX239" s="371" t="s">
        <v>576</v>
      </c>
      <c r="AY239" t="s">
        <v>546</v>
      </c>
      <c r="BA239" s="215"/>
      <c r="BB239"/>
      <c r="BC239" s="215"/>
      <c r="BD239"/>
    </row>
    <row r="240" spans="2:62" x14ac:dyDescent="0.25">
      <c r="B240" s="388">
        <v>511121</v>
      </c>
      <c r="C240" s="371" t="s">
        <v>80</v>
      </c>
      <c r="D240" s="371"/>
      <c r="E240" s="371"/>
      <c r="F240" s="372">
        <v>171959000</v>
      </c>
      <c r="G240" s="373">
        <v>171959000</v>
      </c>
      <c r="H240" s="373"/>
      <c r="I240" s="373">
        <f t="shared" si="518"/>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521"/>
        <v>98865380</v>
      </c>
      <c r="AU240" s="383">
        <f t="shared" si="522"/>
        <v>57.493576957297968</v>
      </c>
      <c r="AV240" s="378">
        <f t="shared" si="523"/>
        <v>73093620</v>
      </c>
      <c r="AW240" s="377">
        <f t="shared" si="524"/>
        <v>42.506423042702039</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518"/>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521"/>
        <v>29665932</v>
      </c>
      <c r="AU241" s="383">
        <f t="shared" si="522"/>
        <v>63.52447965738758</v>
      </c>
      <c r="AV241" s="378">
        <f t="shared" si="523"/>
        <v>17034068</v>
      </c>
      <c r="AW241" s="377">
        <f t="shared" si="524"/>
        <v>36.47552034261242</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518"/>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521"/>
        <v>87570000</v>
      </c>
      <c r="AU242" s="383">
        <f t="shared" si="522"/>
        <v>55.424050632911396</v>
      </c>
      <c r="AV242" s="378">
        <f t="shared" si="523"/>
        <v>70430000</v>
      </c>
      <c r="AW242" s="377">
        <f t="shared" si="524"/>
        <v>44.575949367088604</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518"/>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521"/>
        <v>44376000</v>
      </c>
      <c r="AU243" s="383">
        <f t="shared" si="522"/>
        <v>92.104607721046079</v>
      </c>
      <c r="AV243" s="378">
        <f t="shared" si="523"/>
        <v>3804000</v>
      </c>
      <c r="AW243" s="377">
        <f t="shared" si="524"/>
        <v>7.8953922789539224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518"/>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521"/>
        <v>7240337</v>
      </c>
      <c r="AU244" s="383">
        <f t="shared" si="522"/>
        <v>55.130868803776742</v>
      </c>
      <c r="AV244" s="378">
        <f t="shared" si="523"/>
        <v>5892663</v>
      </c>
      <c r="AW244" s="377">
        <f t="shared" si="524"/>
        <v>44.869131196223258</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518"/>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521"/>
        <v>80241360</v>
      </c>
      <c r="AU245" s="383">
        <f t="shared" si="522"/>
        <v>61.566418328435624</v>
      </c>
      <c r="AV245" s="378">
        <f t="shared" si="523"/>
        <v>50091640</v>
      </c>
      <c r="AW245" s="377">
        <f t="shared" si="524"/>
        <v>38.433581671564376</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518"/>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521"/>
        <v>126427000</v>
      </c>
      <c r="AU246" s="383">
        <f t="shared" si="522"/>
        <v>33.324722770633059</v>
      </c>
      <c r="AV246" s="378">
        <f t="shared" si="523"/>
        <v>252952000</v>
      </c>
      <c r="AW246" s="377">
        <f t="shared" si="524"/>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518"/>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521"/>
        <v>49855000</v>
      </c>
      <c r="AU247" s="383">
        <f t="shared" si="522"/>
        <v>56.422589406971483</v>
      </c>
      <c r="AV247" s="378">
        <f t="shared" si="523"/>
        <v>38505000</v>
      </c>
      <c r="AW247" s="377">
        <f t="shared" si="524"/>
        <v>43.577410593028517</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518"/>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f>121840910+241399832</f>
        <v>363240742</v>
      </c>
      <c r="AC248" s="374"/>
      <c r="AD248" s="374"/>
      <c r="AE248" s="374"/>
      <c r="AF248" s="374"/>
      <c r="AG248" s="374"/>
      <c r="AH248" s="374"/>
      <c r="AI248" s="374"/>
      <c r="AJ248" s="374"/>
      <c r="AK248" s="374"/>
      <c r="AL248" s="374"/>
      <c r="AM248" s="374"/>
      <c r="AN248" s="374"/>
      <c r="AO248" s="374"/>
      <c r="AP248" s="374"/>
      <c r="AQ248" s="374"/>
      <c r="AR248" s="374"/>
      <c r="AS248" s="374"/>
      <c r="AT248" s="374">
        <f t="shared" si="521"/>
        <v>1687913431</v>
      </c>
      <c r="AU248" s="383">
        <f t="shared" si="522"/>
        <v>64.045574519785333</v>
      </c>
      <c r="AV248" s="378">
        <f t="shared" si="523"/>
        <v>947574569</v>
      </c>
      <c r="AW248" s="377">
        <f t="shared" si="524"/>
        <v>35.954425480214667</v>
      </c>
      <c r="AX248" s="371" t="s">
        <v>576</v>
      </c>
      <c r="AY248" t="s">
        <v>546</v>
      </c>
      <c r="BA248" s="215"/>
      <c r="BB248"/>
      <c r="BC248" s="215"/>
      <c r="BD248"/>
    </row>
    <row r="249" spans="2:60" x14ac:dyDescent="0.25">
      <c r="B249" s="387" t="s">
        <v>2208</v>
      </c>
      <c r="C249" s="367" t="s">
        <v>3702</v>
      </c>
      <c r="D249" s="368"/>
      <c r="E249" s="368"/>
      <c r="F249" s="369">
        <f t="shared" ref="F249:G249" si="529">F250</f>
        <v>323949000</v>
      </c>
      <c r="G249" s="369">
        <f t="shared" si="529"/>
        <v>323949000</v>
      </c>
      <c r="H249" s="369">
        <f>H250</f>
        <v>323949000</v>
      </c>
      <c r="I249" s="369">
        <f t="shared" si="518"/>
        <v>0</v>
      </c>
      <c r="J249" s="369">
        <f t="shared" ref="J249:K249" si="530">SUM(J250:J260)</f>
        <v>0</v>
      </c>
      <c r="K249" s="369">
        <f t="shared" si="530"/>
        <v>0</v>
      </c>
      <c r="L249" s="369">
        <f>SUM(L250:L260)</f>
        <v>0</v>
      </c>
      <c r="M249" s="369">
        <f t="shared" ref="M249:N249" si="531">SUM(M250:M260)</f>
        <v>0</v>
      </c>
      <c r="N249" s="369">
        <f t="shared" si="531"/>
        <v>0</v>
      </c>
      <c r="O249" s="369">
        <f>SUM(O250:O260)</f>
        <v>0</v>
      </c>
      <c r="P249" s="369">
        <f t="shared" ref="P249:Q249" si="532">SUM(P250:P260)</f>
        <v>0</v>
      </c>
      <c r="Q249" s="369">
        <f t="shared" si="532"/>
        <v>0</v>
      </c>
      <c r="R249" s="369">
        <f>SUM(R250:R260)</f>
        <v>0</v>
      </c>
      <c r="S249" s="369">
        <f t="shared" ref="S249:AR249" si="533">SUM(S250:S260)</f>
        <v>0</v>
      </c>
      <c r="T249" s="369">
        <f t="shared" si="533"/>
        <v>0</v>
      </c>
      <c r="U249" s="369">
        <f t="shared" si="533"/>
        <v>0</v>
      </c>
      <c r="V249" s="369">
        <f t="shared" si="533"/>
        <v>0</v>
      </c>
      <c r="W249" s="369">
        <f t="shared" si="533"/>
        <v>0</v>
      </c>
      <c r="X249" s="369">
        <f t="shared" si="533"/>
        <v>0</v>
      </c>
      <c r="Y249" s="369">
        <f t="shared" si="533"/>
        <v>0</v>
      </c>
      <c r="Z249" s="369">
        <f t="shared" si="533"/>
        <v>0</v>
      </c>
      <c r="AA249" s="369">
        <f t="shared" si="533"/>
        <v>0</v>
      </c>
      <c r="AB249" s="369">
        <f t="shared" si="533"/>
        <v>0</v>
      </c>
      <c r="AC249" s="369">
        <f t="shared" si="533"/>
        <v>0</v>
      </c>
      <c r="AD249" s="369">
        <f t="shared" si="533"/>
        <v>0</v>
      </c>
      <c r="AE249" s="369">
        <f t="shared" si="533"/>
        <v>0</v>
      </c>
      <c r="AF249" s="369">
        <f t="shared" si="533"/>
        <v>0</v>
      </c>
      <c r="AG249" s="369">
        <f t="shared" si="533"/>
        <v>0</v>
      </c>
      <c r="AH249" s="369">
        <f t="shared" si="533"/>
        <v>0</v>
      </c>
      <c r="AI249" s="369">
        <f t="shared" si="533"/>
        <v>0</v>
      </c>
      <c r="AJ249" s="369">
        <f t="shared" si="533"/>
        <v>0</v>
      </c>
      <c r="AK249" s="369">
        <f t="shared" si="533"/>
        <v>0</v>
      </c>
      <c r="AL249" s="369">
        <f t="shared" si="533"/>
        <v>0</v>
      </c>
      <c r="AM249" s="369">
        <f t="shared" si="533"/>
        <v>0</v>
      </c>
      <c r="AN249" s="369">
        <f t="shared" si="533"/>
        <v>0</v>
      </c>
      <c r="AO249" s="369">
        <f t="shared" si="533"/>
        <v>0</v>
      </c>
      <c r="AP249" s="369">
        <f t="shared" si="533"/>
        <v>0</v>
      </c>
      <c r="AQ249" s="369">
        <f t="shared" si="533"/>
        <v>0</v>
      </c>
      <c r="AR249" s="369">
        <f t="shared" si="533"/>
        <v>0</v>
      </c>
      <c r="AS249" s="167"/>
      <c r="AT249" s="167">
        <f t="shared" ref="AT249" si="534">SUM(J249:AS249)</f>
        <v>0</v>
      </c>
      <c r="AU249" s="226">
        <f t="shared" ref="AU249" si="535">IFERROR(AT249/F249*100,0)</f>
        <v>0</v>
      </c>
      <c r="AV249" s="175">
        <f t="shared" ref="AV249" si="536">F249-AT249</f>
        <v>323949000</v>
      </c>
      <c r="AW249" s="381">
        <f t="shared" ref="AW249" si="537">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518"/>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3" spans="2:60" x14ac:dyDescent="0.25">
      <c r="AT253" s="217">
        <f>AT238+AT239+AT240+AT241+AT242+AT243+AT244+AT245+AT247</f>
        <v>1917268395</v>
      </c>
    </row>
    <row r="254" spans="2:60" x14ac:dyDescent="0.25">
      <c r="AT254" s="217">
        <f>AT246</f>
        <v>126427000</v>
      </c>
    </row>
    <row r="255" spans="2:60" x14ac:dyDescent="0.25">
      <c r="AB255" s="217"/>
      <c r="AT255" s="217">
        <f>AT248</f>
        <v>1687913431</v>
      </c>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J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65" priority="7">
      <formula>ROW()=CELL("ROW")</formula>
    </cfRule>
  </conditionalFormatting>
  <conditionalFormatting sqref="AS236:AS237">
    <cfRule type="expression" dxfId="64" priority="5">
      <formula>ROW()=CELL("ROW")</formula>
    </cfRule>
  </conditionalFormatting>
  <conditionalFormatting sqref="B237:C237">
    <cfRule type="expression" dxfId="63" priority="4">
      <formula>AND($R$4="Ya",$Q$2=ROW())</formula>
    </cfRule>
  </conditionalFormatting>
  <conditionalFormatting sqref="AT238:AT248">
    <cfRule type="expression" dxfId="62" priority="3">
      <formula>ROW()=CELL("ROW")</formula>
    </cfRule>
  </conditionalFormatting>
  <conditionalFormatting sqref="AS249">
    <cfRule type="expression" dxfId="61" priority="2">
      <formula>ROW()=CELL("ROW")</formula>
    </cfRule>
  </conditionalFormatting>
  <conditionalFormatting sqref="B249:C249">
    <cfRule type="expression" dxfId="60"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5" priority="3"/>
    <cfRule type="duplicateValues" dxfId="4" priority="4"/>
  </conditionalFormatting>
  <conditionalFormatting sqref="D3">
    <cfRule type="duplicateValues" dxfId="3" priority="1"/>
    <cfRule type="duplicateValues" dxfId="2"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82" t="str">
        <f>IF(L8=TRUE,"REALISASI TANPA GAJI (BERDASARKAN PAGU SEBELUM BLOKIR)","REALISASI TANPA GAJI (BERDASARKAN PAGU SETELAH BLOKIR)")</f>
        <v>REALISASI TANPA GAJI (BERDASARKAN PAGU SETELAH BLOKIR)</v>
      </c>
      <c r="B1" s="482"/>
      <c r="C1" s="482"/>
      <c r="D1" s="482"/>
      <c r="E1" s="482"/>
      <c r="F1" s="482"/>
      <c r="G1" s="482"/>
      <c r="H1" s="482"/>
      <c r="I1" s="482"/>
      <c r="J1" s="482"/>
      <c r="L1" s="431" t="s">
        <v>5584</v>
      </c>
    </row>
    <row r="2" spans="1:13" ht="15.75" x14ac:dyDescent="0.25">
      <c r="A2" s="483" t="str">
        <f>'PER BULAN'!B5</f>
        <v>Berdasarkan DIPA Revisi 2 TA. 2022 (Tanggal 9 Juni 2022)</v>
      </c>
      <c r="B2" s="483"/>
      <c r="C2" s="483"/>
      <c r="D2" s="483"/>
      <c r="E2" s="483"/>
      <c r="F2" s="483"/>
      <c r="G2" s="483"/>
      <c r="H2" s="483"/>
      <c r="I2" s="483"/>
      <c r="J2" s="483"/>
    </row>
    <row r="3" spans="1:13" ht="15.75" x14ac:dyDescent="0.25">
      <c r="A3" s="483" t="str">
        <f>'PER BULAN'!B6</f>
        <v>SAMPAI DENGAN 11 JULI 2022</v>
      </c>
      <c r="B3" s="483"/>
      <c r="C3" s="483"/>
      <c r="D3" s="483"/>
      <c r="E3" s="483"/>
      <c r="F3" s="483"/>
      <c r="G3" s="483"/>
      <c r="H3" s="483"/>
      <c r="I3" s="483"/>
      <c r="J3" s="483"/>
    </row>
    <row r="4" spans="1:13" x14ac:dyDescent="0.25">
      <c r="A4" s="201"/>
      <c r="B4" s="201"/>
      <c r="C4" s="201"/>
      <c r="D4" s="365"/>
      <c r="E4" s="405"/>
      <c r="F4" s="405"/>
      <c r="G4" s="201"/>
      <c r="H4" s="201"/>
      <c r="I4" s="201"/>
      <c r="J4" s="253"/>
    </row>
    <row r="5" spans="1:13" ht="15.75" x14ac:dyDescent="0.25">
      <c r="A5" s="433" t="s">
        <v>3995</v>
      </c>
    </row>
    <row r="6" spans="1:13" x14ac:dyDescent="0.25">
      <c r="A6" s="472" t="s">
        <v>592</v>
      </c>
      <c r="B6" s="472" t="s">
        <v>500</v>
      </c>
      <c r="C6" s="472" t="s">
        <v>5580</v>
      </c>
      <c r="D6" s="472" t="s">
        <v>5577</v>
      </c>
      <c r="E6" s="472" t="s">
        <v>5579</v>
      </c>
      <c r="F6" s="472" t="s">
        <v>5581</v>
      </c>
      <c r="G6" s="474" t="str">
        <f>IF($L$8=TRUE,"Realisasi vs Pagu+Blokir","Realisasi vs Pagu-Blokir")</f>
        <v>Realisasi vs Pagu-Blokir</v>
      </c>
      <c r="H6" s="474"/>
      <c r="I6" s="474" t="str">
        <f>IF($L$8=TRUE,"Sisa vs Pagu+Blokir","Sisa vs Pagu-Blokir")</f>
        <v>Sisa vs Pagu-Blokir</v>
      </c>
      <c r="J6" s="474"/>
    </row>
    <row r="7" spans="1:13" x14ac:dyDescent="0.25">
      <c r="A7" s="472"/>
      <c r="B7" s="472"/>
      <c r="C7" s="472"/>
      <c r="D7" s="472"/>
      <c r="E7" s="472"/>
      <c r="F7" s="472"/>
      <c r="G7" s="417" t="s">
        <v>5589</v>
      </c>
      <c r="H7" s="417" t="s">
        <v>3846</v>
      </c>
      <c r="I7" s="417" t="s">
        <v>5589</v>
      </c>
      <c r="J7" s="417" t="s">
        <v>3846</v>
      </c>
    </row>
    <row r="8" spans="1:13" x14ac:dyDescent="0.25">
      <c r="A8" s="47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L8" s="416" t="b">
        <v>0</v>
      </c>
    </row>
    <row r="9" spans="1:13" x14ac:dyDescent="0.25">
      <c r="A9" s="47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7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79"/>
      <c r="B12" s="296" t="s">
        <v>5585</v>
      </c>
      <c r="C12" s="194">
        <f>SUM(C8:C11)</f>
        <v>4328014000</v>
      </c>
      <c r="D12" s="194">
        <f>SUM(D8:D11)</f>
        <v>100000000</v>
      </c>
      <c r="E12" s="194">
        <f>SUM(E8:E11)</f>
        <v>609552000</v>
      </c>
      <c r="F12" s="194">
        <f>SUM(F8:F11)</f>
        <v>3618462000</v>
      </c>
      <c r="G12" s="194">
        <f>SUM(G8:G11)</f>
        <v>2043620562</v>
      </c>
      <c r="H12" s="424">
        <f t="shared" si="0"/>
        <v>56.477601865101803</v>
      </c>
      <c r="I12" s="194">
        <f t="shared" si="1"/>
        <v>1574841438</v>
      </c>
      <c r="J12" s="264">
        <f t="shared" si="2"/>
        <v>43.522398134898197</v>
      </c>
      <c r="K12" s="189"/>
    </row>
    <row r="13" spans="1:13" ht="15" customHeight="1" x14ac:dyDescent="0.25">
      <c r="A13" s="477"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8"/>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23">
        <f t="shared" si="0"/>
        <v>63.932333941635846</v>
      </c>
      <c r="I14" s="169">
        <f t="shared" si="1"/>
        <v>2193815788</v>
      </c>
      <c r="J14" s="263">
        <f t="shared" si="2"/>
        <v>36.067666058364161</v>
      </c>
      <c r="M14" s="217"/>
    </row>
    <row r="15" spans="1:13" x14ac:dyDescent="0.25">
      <c r="A15" s="478"/>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9"/>
      <c r="B16" s="296" t="s">
        <v>5586</v>
      </c>
      <c r="C16" s="194">
        <f>SUM(C13:C15)</f>
        <v>9985150000</v>
      </c>
      <c r="D16" s="194">
        <f t="shared" ref="D16:E16" si="3">SUM(D13:D15)</f>
        <v>0</v>
      </c>
      <c r="E16" s="194">
        <f t="shared" si="3"/>
        <v>3438934000</v>
      </c>
      <c r="F16" s="194">
        <f>SUM(F13:F15)</f>
        <v>6546216000</v>
      </c>
      <c r="G16" s="194">
        <f>SUM(G13:G15)</f>
        <v>4136251904</v>
      </c>
      <c r="H16" s="424">
        <f t="shared" si="0"/>
        <v>63.185386855551364</v>
      </c>
      <c r="I16" s="194">
        <f t="shared" si="1"/>
        <v>2409964096</v>
      </c>
      <c r="J16" s="264">
        <f t="shared" si="2"/>
        <v>36.814613144448636</v>
      </c>
    </row>
    <row r="17" spans="1:13" ht="15" customHeight="1" x14ac:dyDescent="0.25">
      <c r="A17" s="477"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137935590</v>
      </c>
      <c r="H17" s="423">
        <f t="shared" si="0"/>
        <v>66.441042166411378</v>
      </c>
      <c r="I17" s="169">
        <f t="shared" si="1"/>
        <v>69670410</v>
      </c>
      <c r="J17" s="263">
        <f t="shared" si="2"/>
        <v>33.558957833588629</v>
      </c>
    </row>
    <row r="18" spans="1:13" x14ac:dyDescent="0.25">
      <c r="A18" s="478"/>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84865500</v>
      </c>
      <c r="H18" s="423">
        <f t="shared" si="0"/>
        <v>51.507620036051783</v>
      </c>
      <c r="I18" s="169">
        <f t="shared" si="1"/>
        <v>79897500</v>
      </c>
      <c r="J18" s="263">
        <f t="shared" si="2"/>
        <v>48.492379963948217</v>
      </c>
      <c r="M18" s="217"/>
    </row>
    <row r="19" spans="1:13" x14ac:dyDescent="0.25">
      <c r="A19" s="479"/>
      <c r="B19" s="296" t="s">
        <v>5587</v>
      </c>
      <c r="C19" s="194">
        <f>SUM(C17:C18)</f>
        <v>1278600000</v>
      </c>
      <c r="D19" s="194">
        <f t="shared" ref="D19:E19" si="4">SUM(D17:D18)</f>
        <v>0</v>
      </c>
      <c r="E19" s="194">
        <f t="shared" si="4"/>
        <v>906231000</v>
      </c>
      <c r="F19" s="194">
        <f>SUM(F17:F18)</f>
        <v>372369000</v>
      </c>
      <c r="G19" s="194">
        <f>SUM(G17:G18)</f>
        <v>222801090</v>
      </c>
      <c r="H19" s="424">
        <f t="shared" si="0"/>
        <v>59.833415241333199</v>
      </c>
      <c r="I19" s="194">
        <f t="shared" si="1"/>
        <v>149567910</v>
      </c>
      <c r="J19" s="264">
        <f t="shared" si="2"/>
        <v>40.166584758666808</v>
      </c>
    </row>
    <row r="20" spans="1:13" ht="15" customHeight="1" x14ac:dyDescent="0.25">
      <c r="A20" s="477"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247665140</v>
      </c>
      <c r="H20" s="423">
        <f t="shared" si="0"/>
        <v>36.087008596823544</v>
      </c>
      <c r="I20" s="169">
        <f t="shared" si="1"/>
        <v>438634860</v>
      </c>
      <c r="J20" s="263">
        <f t="shared" si="2"/>
        <v>63.912991403176456</v>
      </c>
    </row>
    <row r="21" spans="1:13" x14ac:dyDescent="0.25">
      <c r="A21" s="478"/>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79"/>
      <c r="B22" s="296" t="s">
        <v>5588</v>
      </c>
      <c r="C22" s="194">
        <f>SUM(C20:C21)</f>
        <v>1271400000</v>
      </c>
      <c r="D22" s="194">
        <f t="shared" ref="D22:E22" si="5">SUM(D20:D21)</f>
        <v>0</v>
      </c>
      <c r="E22" s="194">
        <f t="shared" si="5"/>
        <v>432643000</v>
      </c>
      <c r="F22" s="194">
        <f>SUM(F20:F21)</f>
        <v>838757000</v>
      </c>
      <c r="G22" s="194">
        <f>SUM(G20:G21)</f>
        <v>338915858</v>
      </c>
      <c r="H22" s="424">
        <f t="shared" si="0"/>
        <v>40.406918571171389</v>
      </c>
      <c r="I22" s="194">
        <f t="shared" si="1"/>
        <v>499841142</v>
      </c>
      <c r="J22" s="264">
        <f t="shared" si="2"/>
        <v>59.593081428828611</v>
      </c>
    </row>
    <row r="23" spans="1:13" x14ac:dyDescent="0.25">
      <c r="A23" s="470" t="s">
        <v>3852</v>
      </c>
      <c r="B23" s="470"/>
      <c r="C23" s="176">
        <f>C12++C16+C19+C22</f>
        <v>16863164000</v>
      </c>
      <c r="D23" s="176">
        <f t="shared" ref="D23:E23" si="6">D12++D16+D19+D22</f>
        <v>100000000</v>
      </c>
      <c r="E23" s="176">
        <f t="shared" si="6"/>
        <v>5387360000</v>
      </c>
      <c r="F23" s="176">
        <f>F12++F16+F19+F22</f>
        <v>11375804000</v>
      </c>
      <c r="G23" s="176">
        <f>G12++G16+G19+G22</f>
        <v>6741589414</v>
      </c>
      <c r="H23" s="425">
        <f t="shared" si="0"/>
        <v>59.262531369211359</v>
      </c>
      <c r="I23" s="176">
        <f t="shared" si="1"/>
        <v>4634214586</v>
      </c>
      <c r="J23" s="265">
        <f t="shared" si="2"/>
        <v>40.737468630788648</v>
      </c>
      <c r="M23" s="215"/>
    </row>
    <row r="24" spans="1:13" x14ac:dyDescent="0.25">
      <c r="A24" s="484" t="s">
        <v>5583</v>
      </c>
      <c r="B24" s="485"/>
      <c r="C24" s="415">
        <f>C23</f>
        <v>16863164000</v>
      </c>
      <c r="D24" s="486">
        <f>SUM(D23,E23)</f>
        <v>5487360000</v>
      </c>
      <c r="E24" s="487"/>
      <c r="F24" s="415">
        <f>F23</f>
        <v>11375804000</v>
      </c>
      <c r="G24" s="176">
        <f>G23</f>
        <v>6741589414</v>
      </c>
      <c r="H24" s="425">
        <f t="shared" si="0"/>
        <v>59.262531369211359</v>
      </c>
      <c r="I24" s="176">
        <f t="shared" si="1"/>
        <v>4634214586</v>
      </c>
      <c r="J24" s="265">
        <f t="shared" si="2"/>
        <v>40.737468630788648</v>
      </c>
      <c r="M24" s="217"/>
    </row>
    <row r="26" spans="1:13" x14ac:dyDescent="0.25">
      <c r="J26" s="278"/>
    </row>
    <row r="27" spans="1:13" ht="15.75" x14ac:dyDescent="0.25">
      <c r="A27" s="433" t="s">
        <v>4002</v>
      </c>
    </row>
    <row r="28" spans="1:13" ht="14.45" customHeight="1" x14ac:dyDescent="0.25">
      <c r="A28" s="480" t="s">
        <v>3988</v>
      </c>
      <c r="B28" s="480" t="s">
        <v>3989</v>
      </c>
      <c r="C28" s="480" t="s">
        <v>5580</v>
      </c>
      <c r="D28" s="488" t="s">
        <v>5577</v>
      </c>
      <c r="E28" s="488" t="s">
        <v>5579</v>
      </c>
      <c r="F28" s="480" t="s">
        <v>5581</v>
      </c>
      <c r="G28" s="474" t="str">
        <f>IF($L$8=TRUE,"Realisasi vs Pagu+Blokir","Realisasi vs Pagu-Blokir")</f>
        <v>Realisasi vs Pagu-Blokir</v>
      </c>
      <c r="H28" s="474"/>
      <c r="I28" s="474" t="str">
        <f>IF($L$8=TRUE,"Sisa vs Pagu+Blokir","Sisa vs Pagu-Blokir")</f>
        <v>Sisa vs Pagu-Blokir</v>
      </c>
      <c r="J28" s="474"/>
    </row>
    <row r="29" spans="1:13" x14ac:dyDescent="0.25">
      <c r="A29" s="481"/>
      <c r="B29" s="481"/>
      <c r="C29" s="481"/>
      <c r="D29" s="489"/>
      <c r="E29" s="489"/>
      <c r="F29" s="481"/>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6087389414</v>
      </c>
      <c r="H30" s="205">
        <f t="shared" ref="H30:H37" si="8">IFERROR(IF($L$8=TRUE,G30/C30*100,G30/F30*100),0)</f>
        <v>56.776853668536909</v>
      </c>
      <c r="I30" s="206">
        <f t="shared" ref="I30:I37" si="9">IF($L$8=TRUE,C30-G30,F30-G30)</f>
        <v>4634214586</v>
      </c>
      <c r="J30" s="205">
        <f t="shared" ref="J30:J37" si="10">IFERROR(IF($L$8=TRUE,I30/C30*100,I30/F30*100),0)</f>
        <v>43.223146331463091</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5282712871</v>
      </c>
      <c r="H32" s="209">
        <f t="shared" si="8"/>
        <v>61.242127773579845</v>
      </c>
      <c r="I32" s="210">
        <f t="shared" si="9"/>
        <v>3343233129</v>
      </c>
      <c r="J32" s="209">
        <f t="shared" si="10"/>
        <v>38.757872226420155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5" t="s">
        <v>611</v>
      </c>
      <c r="B35" s="476"/>
      <c r="C35" s="213">
        <f>SUM(C30,C33)</f>
        <v>16863164000</v>
      </c>
      <c r="D35" s="213">
        <f t="shared" ref="D35:E35" si="11">SUM(D30,D33)</f>
        <v>100000000</v>
      </c>
      <c r="E35" s="213">
        <f t="shared" si="11"/>
        <v>5387360000</v>
      </c>
      <c r="F35" s="213">
        <f>SUM(F30,F33)</f>
        <v>11375804000</v>
      </c>
      <c r="G35" s="213">
        <f>SUM(G30,G33)</f>
        <v>6741589414</v>
      </c>
      <c r="H35" s="214">
        <f t="shared" si="8"/>
        <v>59.262531369211359</v>
      </c>
      <c r="I35" s="213">
        <f t="shared" si="9"/>
        <v>4634214586</v>
      </c>
      <c r="J35" s="214">
        <f t="shared" si="10"/>
        <v>40.737468630788648</v>
      </c>
    </row>
    <row r="36" spans="1:12" x14ac:dyDescent="0.25">
      <c r="A36" s="475" t="s">
        <v>3993</v>
      </c>
      <c r="B36" s="476"/>
      <c r="C36" s="213"/>
      <c r="D36" s="213"/>
      <c r="E36" s="213"/>
      <c r="F36" s="213"/>
      <c r="G36" s="213"/>
      <c r="H36" s="214"/>
      <c r="I36" s="213"/>
      <c r="J36" s="214"/>
    </row>
    <row r="37" spans="1:12" x14ac:dyDescent="0.25">
      <c r="A37" s="475" t="s">
        <v>3994</v>
      </c>
      <c r="B37" s="476"/>
      <c r="C37" s="213">
        <f>C35</f>
        <v>16863164000</v>
      </c>
      <c r="D37" s="490">
        <f>SUM(D35:E35)</f>
        <v>5487360000</v>
      </c>
      <c r="E37" s="491"/>
      <c r="F37" s="213">
        <f>F35</f>
        <v>11375804000</v>
      </c>
      <c r="G37" s="213">
        <f>G35-G36</f>
        <v>6741589414</v>
      </c>
      <c r="H37" s="214">
        <f t="shared" si="8"/>
        <v>59.262531369211359</v>
      </c>
      <c r="I37" s="213">
        <f t="shared" si="9"/>
        <v>4634214586</v>
      </c>
      <c r="J37" s="214">
        <f t="shared" si="10"/>
        <v>40.737468630788648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72" t="s">
        <v>592</v>
      </c>
      <c r="B41" s="472" t="s">
        <v>500</v>
      </c>
      <c r="C41" s="472" t="s">
        <v>5580</v>
      </c>
      <c r="D41" s="472" t="s">
        <v>5577</v>
      </c>
      <c r="E41" s="472" t="s">
        <v>5579</v>
      </c>
      <c r="F41" s="472" t="s">
        <v>5581</v>
      </c>
      <c r="G41" s="474" t="str">
        <f>IF($L$8=TRUE,"Realisasi vs Pagu+Blokir","Realisasi vs Pagu-Blokir")</f>
        <v>Realisasi vs Pagu-Blokir</v>
      </c>
      <c r="H41" s="474"/>
      <c r="I41" s="474" t="str">
        <f>IF($L$8=TRUE,"Sisa vs Pagu+Blokir","Sisa vs Pagu-Blokir")</f>
        <v>Sisa vs Pagu-Blokir</v>
      </c>
      <c r="J41" s="474"/>
    </row>
    <row r="42" spans="1:12" x14ac:dyDescent="0.25">
      <c r="A42" s="472"/>
      <c r="B42" s="472"/>
      <c r="C42" s="472"/>
      <c r="D42" s="472"/>
      <c r="E42" s="472"/>
      <c r="F42" s="472"/>
      <c r="G42" s="417" t="s">
        <v>5589</v>
      </c>
      <c r="H42" s="417" t="s">
        <v>3846</v>
      </c>
      <c r="I42" s="417" t="s">
        <v>5589</v>
      </c>
      <c r="J42" s="417" t="s">
        <v>3846</v>
      </c>
    </row>
    <row r="43" spans="1:12" x14ac:dyDescent="0.25">
      <c r="A43" s="473"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3"/>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3"/>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73"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3"/>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3"/>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73"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3"/>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3"/>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73"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3"/>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3"/>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70" t="s">
        <v>3852</v>
      </c>
      <c r="B55" s="470"/>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70" t="s">
        <v>5583</v>
      </c>
      <c r="B56" s="470"/>
      <c r="C56" s="415">
        <f>C55</f>
        <v>348880000</v>
      </c>
      <c r="D56" s="471">
        <f>SUM(D55:E55)</f>
        <v>247069000</v>
      </c>
      <c r="E56" s="471"/>
      <c r="F56" s="415">
        <f>F55</f>
        <v>101811000</v>
      </c>
      <c r="G56" s="176">
        <f>G55</f>
        <v>73806280</v>
      </c>
      <c r="H56" s="429">
        <f t="shared" si="12"/>
        <v>72.493424089734901</v>
      </c>
      <c r="I56" s="176">
        <f t="shared" si="13"/>
        <v>28004720</v>
      </c>
      <c r="J56" s="425">
        <f t="shared" si="14"/>
        <v>27.506575910265095</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3" activePane="bottomRight" state="frozen"/>
      <selection pane="topRight" activeCell="C1" sqref="C1"/>
      <selection pane="bottomLeft" activeCell="A4" sqref="A4"/>
      <selection pane="bottomRight" activeCell="L38" sqref="L38"/>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82" t="str">
        <f>IF(L8=TRUE,"REALISASI TANPA GAJI (BERDASARKAN PAGU SEBELUM BLOKIR)","REALISASI TANPA GAJI (BERDASARKAN PAGU SETELAH BLOKIR)")</f>
        <v>REALISASI TANPA GAJI (BERDASARKAN PAGU SETELAH BLOKIR)</v>
      </c>
      <c r="B1" s="482"/>
      <c r="C1" s="482"/>
      <c r="D1" s="482"/>
      <c r="E1" s="482"/>
      <c r="F1" s="482"/>
      <c r="G1" s="482"/>
      <c r="H1" s="482"/>
      <c r="I1" s="482"/>
      <c r="J1" s="482"/>
      <c r="L1" s="431" t="s">
        <v>5584</v>
      </c>
    </row>
    <row r="2" spans="1:13" ht="15.75" x14ac:dyDescent="0.25">
      <c r="A2" s="483" t="str">
        <f>'PER BULAN'!B5</f>
        <v>Berdasarkan DIPA Revisi 2 TA. 2022 (Tanggal 9 Juni 2022)</v>
      </c>
      <c r="B2" s="483"/>
      <c r="C2" s="483"/>
      <c r="D2" s="483"/>
      <c r="E2" s="483"/>
      <c r="F2" s="483"/>
      <c r="G2" s="483"/>
      <c r="H2" s="483"/>
      <c r="I2" s="483"/>
      <c r="J2" s="483"/>
    </row>
    <row r="3" spans="1:13" ht="15.75" x14ac:dyDescent="0.25">
      <c r="A3" s="483" t="str">
        <f>'PER BULAN'!B6</f>
        <v>SAMPAI DENGAN 11 JULI 2022</v>
      </c>
      <c r="B3" s="483"/>
      <c r="C3" s="483"/>
      <c r="D3" s="483"/>
      <c r="E3" s="483"/>
      <c r="F3" s="483"/>
      <c r="G3" s="483"/>
      <c r="H3" s="483"/>
      <c r="I3" s="483"/>
      <c r="J3" s="483"/>
    </row>
    <row r="4" spans="1:13" x14ac:dyDescent="0.25">
      <c r="A4" s="436"/>
      <c r="B4" s="436"/>
      <c r="C4" s="436"/>
      <c r="D4" s="436"/>
      <c r="E4" s="436"/>
      <c r="F4" s="436"/>
      <c r="G4" s="436"/>
      <c r="H4" s="436"/>
      <c r="I4" s="436"/>
      <c r="J4" s="436"/>
    </row>
    <row r="5" spans="1:13" ht="15.75" x14ac:dyDescent="0.25">
      <c r="A5" s="433" t="s">
        <v>3995</v>
      </c>
    </row>
    <row r="6" spans="1:13" x14ac:dyDescent="0.25">
      <c r="A6" s="472" t="s">
        <v>592</v>
      </c>
      <c r="B6" s="472" t="s">
        <v>500</v>
      </c>
      <c r="C6" s="472" t="s">
        <v>5580</v>
      </c>
      <c r="D6" s="472" t="s">
        <v>5577</v>
      </c>
      <c r="E6" s="472" t="s">
        <v>5579</v>
      </c>
      <c r="F6" s="472" t="s">
        <v>3848</v>
      </c>
      <c r="G6" s="474" t="s">
        <v>3849</v>
      </c>
      <c r="H6" s="474"/>
      <c r="I6" s="474" t="s">
        <v>3850</v>
      </c>
      <c r="J6" s="474"/>
    </row>
    <row r="7" spans="1:13" x14ac:dyDescent="0.25">
      <c r="A7" s="472"/>
      <c r="B7" s="472"/>
      <c r="C7" s="472"/>
      <c r="D7" s="472"/>
      <c r="E7" s="472"/>
      <c r="F7" s="472"/>
      <c r="G7" s="417" t="s">
        <v>5589</v>
      </c>
      <c r="H7" s="417" t="s">
        <v>3846</v>
      </c>
      <c r="I7" s="417" t="s">
        <v>5589</v>
      </c>
      <c r="J7" s="417" t="s">
        <v>3846</v>
      </c>
    </row>
    <row r="8" spans="1:13" x14ac:dyDescent="0.25">
      <c r="A8" s="47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L8" s="416" t="b">
        <v>0</v>
      </c>
    </row>
    <row r="9" spans="1:13" x14ac:dyDescent="0.25">
      <c r="A9" s="47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7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79"/>
      <c r="B12" s="296" t="s">
        <v>5585</v>
      </c>
      <c r="C12" s="194">
        <f>SUM(C8:C11)</f>
        <v>4328014000</v>
      </c>
      <c r="D12" s="194">
        <f>SUM(D8:D11)</f>
        <v>100000000</v>
      </c>
      <c r="E12" s="194">
        <f>SUM(E8:E11)</f>
        <v>609552000</v>
      </c>
      <c r="F12" s="194">
        <f>SUM(F8:F11)</f>
        <v>3618462000</v>
      </c>
      <c r="G12" s="194">
        <f>SUM(G8:G11)</f>
        <v>2043620562</v>
      </c>
      <c r="H12" s="424">
        <f t="shared" si="0"/>
        <v>56.477601865101803</v>
      </c>
      <c r="I12" s="194">
        <f t="shared" si="1"/>
        <v>1574841438</v>
      </c>
      <c r="J12" s="264">
        <f t="shared" si="2"/>
        <v>43.522398134898197</v>
      </c>
      <c r="K12" s="189"/>
    </row>
    <row r="13" spans="1:13" ht="15" customHeight="1" x14ac:dyDescent="0.25">
      <c r="A13" s="477"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8"/>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23">
        <f t="shared" si="0"/>
        <v>63.932333941635846</v>
      </c>
      <c r="I14" s="169">
        <f t="shared" si="1"/>
        <v>2193815788</v>
      </c>
      <c r="J14" s="263">
        <f t="shared" si="2"/>
        <v>36.067666058364161</v>
      </c>
      <c r="M14" s="217"/>
    </row>
    <row r="15" spans="1:13" x14ac:dyDescent="0.25">
      <c r="A15" s="478"/>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9"/>
      <c r="B16" s="296" t="s">
        <v>5586</v>
      </c>
      <c r="C16" s="194">
        <f>SUM(C13:C15)</f>
        <v>9985150000</v>
      </c>
      <c r="D16" s="194">
        <f t="shared" ref="D16:E16" si="3">SUM(D13:D15)</f>
        <v>0</v>
      </c>
      <c r="E16" s="194">
        <f t="shared" si="3"/>
        <v>3438934000</v>
      </c>
      <c r="F16" s="194">
        <f>SUM(F13:F15)</f>
        <v>6546216000</v>
      </c>
      <c r="G16" s="194">
        <f>SUM(G13:G15)</f>
        <v>4136251904</v>
      </c>
      <c r="H16" s="424">
        <f t="shared" si="0"/>
        <v>63.185386855551364</v>
      </c>
      <c r="I16" s="194">
        <f t="shared" si="1"/>
        <v>2409964096</v>
      </c>
      <c r="J16" s="264">
        <f t="shared" si="2"/>
        <v>36.814613144448636</v>
      </c>
    </row>
    <row r="17" spans="1:13" ht="15" customHeight="1" x14ac:dyDescent="0.25">
      <c r="A17" s="477"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137935590</v>
      </c>
      <c r="H17" s="423">
        <f t="shared" si="0"/>
        <v>66.441042166411378</v>
      </c>
      <c r="I17" s="169">
        <f t="shared" si="1"/>
        <v>69670410</v>
      </c>
      <c r="J17" s="263">
        <f t="shared" si="2"/>
        <v>33.558957833588629</v>
      </c>
    </row>
    <row r="18" spans="1:13" x14ac:dyDescent="0.25">
      <c r="A18" s="478"/>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84865500</v>
      </c>
      <c r="H18" s="423">
        <f t="shared" si="0"/>
        <v>51.507620036051783</v>
      </c>
      <c r="I18" s="169">
        <f t="shared" si="1"/>
        <v>79897500</v>
      </c>
      <c r="J18" s="263">
        <f t="shared" si="2"/>
        <v>48.492379963948217</v>
      </c>
      <c r="M18" s="217"/>
    </row>
    <row r="19" spans="1:13" x14ac:dyDescent="0.25">
      <c r="A19" s="479"/>
      <c r="B19" s="296" t="s">
        <v>5587</v>
      </c>
      <c r="C19" s="194">
        <f>SUM(C17:C18)</f>
        <v>1278600000</v>
      </c>
      <c r="D19" s="194">
        <f t="shared" ref="D19:E19" si="4">SUM(D17:D18)</f>
        <v>0</v>
      </c>
      <c r="E19" s="194">
        <f t="shared" si="4"/>
        <v>906231000</v>
      </c>
      <c r="F19" s="194">
        <f>SUM(F17:F18)</f>
        <v>372369000</v>
      </c>
      <c r="G19" s="194">
        <f>SUM(G17:G18)</f>
        <v>222801090</v>
      </c>
      <c r="H19" s="424">
        <f t="shared" si="0"/>
        <v>59.833415241333199</v>
      </c>
      <c r="I19" s="194">
        <f t="shared" si="1"/>
        <v>149567910</v>
      </c>
      <c r="J19" s="264">
        <f t="shared" si="2"/>
        <v>40.166584758666808</v>
      </c>
    </row>
    <row r="20" spans="1:13" ht="15" customHeight="1" x14ac:dyDescent="0.25">
      <c r="A20" s="477"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247665140</v>
      </c>
      <c r="H20" s="423">
        <f t="shared" si="0"/>
        <v>36.087008596823544</v>
      </c>
      <c r="I20" s="169">
        <f t="shared" si="1"/>
        <v>438634860</v>
      </c>
      <c r="J20" s="263">
        <f t="shared" si="2"/>
        <v>63.912991403176456</v>
      </c>
    </row>
    <row r="21" spans="1:13" x14ac:dyDescent="0.25">
      <c r="A21" s="478"/>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79"/>
      <c r="B22" s="296" t="s">
        <v>5588</v>
      </c>
      <c r="C22" s="194">
        <f>SUM(C20:C21)</f>
        <v>1271400000</v>
      </c>
      <c r="D22" s="194">
        <f t="shared" ref="D22:E22" si="5">SUM(D20:D21)</f>
        <v>0</v>
      </c>
      <c r="E22" s="194">
        <f t="shared" si="5"/>
        <v>432643000</v>
      </c>
      <c r="F22" s="194">
        <f>SUM(F20:F21)</f>
        <v>838757000</v>
      </c>
      <c r="G22" s="194">
        <f>SUM(G20:G21)</f>
        <v>338915858</v>
      </c>
      <c r="H22" s="424">
        <f t="shared" si="0"/>
        <v>40.406918571171389</v>
      </c>
      <c r="I22" s="194">
        <f t="shared" si="1"/>
        <v>499841142</v>
      </c>
      <c r="J22" s="264">
        <f t="shared" si="2"/>
        <v>59.593081428828611</v>
      </c>
    </row>
    <row r="23" spans="1:13" x14ac:dyDescent="0.25">
      <c r="A23" s="470" t="s">
        <v>3852</v>
      </c>
      <c r="B23" s="470"/>
      <c r="C23" s="176">
        <f>C12++C16+C19+C22</f>
        <v>16863164000</v>
      </c>
      <c r="D23" s="176">
        <f t="shared" ref="D23:E23" si="6">D12++D16+D19+D22</f>
        <v>100000000</v>
      </c>
      <c r="E23" s="176">
        <f t="shared" si="6"/>
        <v>5387360000</v>
      </c>
      <c r="F23" s="176">
        <f>F12++F16+F19+F22</f>
        <v>11375804000</v>
      </c>
      <c r="G23" s="176">
        <f>G12++G16+G19+G22</f>
        <v>6741589414</v>
      </c>
      <c r="H23" s="425">
        <f t="shared" si="0"/>
        <v>59.262531369211359</v>
      </c>
      <c r="I23" s="176">
        <f t="shared" si="1"/>
        <v>4634214586</v>
      </c>
      <c r="J23" s="265">
        <f t="shared" si="2"/>
        <v>40.737468630788648</v>
      </c>
      <c r="M23" s="215"/>
    </row>
    <row r="24" spans="1:13" x14ac:dyDescent="0.25">
      <c r="A24" s="484" t="s">
        <v>5583</v>
      </c>
      <c r="B24" s="485"/>
      <c r="C24" s="415">
        <f>C23</f>
        <v>16863164000</v>
      </c>
      <c r="D24" s="486">
        <f>SUM(D23,E23)</f>
        <v>5487360000</v>
      </c>
      <c r="E24" s="487"/>
      <c r="F24" s="415">
        <f>F23</f>
        <v>11375804000</v>
      </c>
      <c r="G24" s="176">
        <f>G23</f>
        <v>6741589414</v>
      </c>
      <c r="H24" s="425">
        <f t="shared" si="0"/>
        <v>59.262531369211359</v>
      </c>
      <c r="I24" s="176">
        <f t="shared" si="1"/>
        <v>4634214586</v>
      </c>
      <c r="J24" s="265">
        <f t="shared" si="2"/>
        <v>40.737468630788648</v>
      </c>
      <c r="M24" s="217"/>
    </row>
    <row r="27" spans="1:13" ht="15.75" x14ac:dyDescent="0.25">
      <c r="A27" s="433" t="s">
        <v>4002</v>
      </c>
    </row>
    <row r="28" spans="1:13" ht="14.45" customHeight="1" x14ac:dyDescent="0.25">
      <c r="A28" s="480" t="s">
        <v>3988</v>
      </c>
      <c r="B28" s="480" t="s">
        <v>3989</v>
      </c>
      <c r="C28" s="480" t="s">
        <v>5580</v>
      </c>
      <c r="D28" s="488" t="s">
        <v>5577</v>
      </c>
      <c r="E28" s="488" t="s">
        <v>5579</v>
      </c>
      <c r="F28" s="472" t="s">
        <v>3848</v>
      </c>
      <c r="G28" s="474" t="s">
        <v>3849</v>
      </c>
      <c r="H28" s="474"/>
      <c r="I28" s="474" t="s">
        <v>3850</v>
      </c>
      <c r="J28" s="474"/>
    </row>
    <row r="29" spans="1:13" x14ac:dyDescent="0.25">
      <c r="A29" s="481"/>
      <c r="B29" s="481"/>
      <c r="C29" s="481"/>
      <c r="D29" s="489"/>
      <c r="E29" s="489"/>
      <c r="F29" s="472"/>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6087389414</v>
      </c>
      <c r="H30" s="205">
        <f t="shared" ref="H30:H37" si="8">IFERROR(IF($L$8=TRUE,G30/C30*100,G30/F30*100),0)</f>
        <v>56.776853668536909</v>
      </c>
      <c r="I30" s="206">
        <f t="shared" ref="I30:I37" si="9">IF($L$8=TRUE,C30-G30,F30-G30)</f>
        <v>4634214586</v>
      </c>
      <c r="J30" s="205">
        <f t="shared" ref="J30:J37" si="10">IFERROR(IF($L$8=TRUE,I30/C30*100,I30/F30*100),0)</f>
        <v>43.223146331463091</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5282712871</v>
      </c>
      <c r="H32" s="209">
        <f t="shared" si="8"/>
        <v>61.242127773579845</v>
      </c>
      <c r="I32" s="210">
        <f t="shared" si="9"/>
        <v>3343233129</v>
      </c>
      <c r="J32" s="209">
        <f t="shared" si="10"/>
        <v>38.757872226420155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5" t="s">
        <v>611</v>
      </c>
      <c r="B35" s="476"/>
      <c r="C35" s="213">
        <f>SUM(C30,C33)</f>
        <v>16863164000</v>
      </c>
      <c r="D35" s="213">
        <f t="shared" ref="D35:E35" si="11">SUM(D30,D33)</f>
        <v>100000000</v>
      </c>
      <c r="E35" s="213">
        <f t="shared" si="11"/>
        <v>5387360000</v>
      </c>
      <c r="F35" s="213">
        <f>SUM(F30,F33)</f>
        <v>11375804000</v>
      </c>
      <c r="G35" s="213">
        <f>SUM(G30,G33)</f>
        <v>6741589414</v>
      </c>
      <c r="H35" s="214">
        <f t="shared" si="8"/>
        <v>59.262531369211359</v>
      </c>
      <c r="I35" s="213">
        <f t="shared" si="9"/>
        <v>4634214586</v>
      </c>
      <c r="J35" s="214">
        <f t="shared" si="10"/>
        <v>40.737468630788648</v>
      </c>
    </row>
    <row r="36" spans="1:12" x14ac:dyDescent="0.25">
      <c r="A36" s="475" t="s">
        <v>3993</v>
      </c>
      <c r="B36" s="476"/>
      <c r="C36" s="213"/>
      <c r="D36" s="213"/>
      <c r="E36" s="213"/>
      <c r="F36" s="213"/>
      <c r="G36" s="213"/>
      <c r="H36" s="214"/>
      <c r="I36" s="213"/>
      <c r="J36" s="214"/>
    </row>
    <row r="37" spans="1:12" x14ac:dyDescent="0.25">
      <c r="A37" s="475" t="s">
        <v>3994</v>
      </c>
      <c r="B37" s="476"/>
      <c r="C37" s="213">
        <f>C35</f>
        <v>16863164000</v>
      </c>
      <c r="D37" s="490">
        <f>SUM(D35:E35)</f>
        <v>5487360000</v>
      </c>
      <c r="E37" s="491"/>
      <c r="F37" s="213">
        <f>F35</f>
        <v>11375804000</v>
      </c>
      <c r="G37" s="213">
        <f>G35-G36</f>
        <v>6741589414</v>
      </c>
      <c r="H37" s="214">
        <f t="shared" si="8"/>
        <v>59.262531369211359</v>
      </c>
      <c r="I37" s="213">
        <f t="shared" si="9"/>
        <v>4634214586</v>
      </c>
      <c r="J37" s="214">
        <f t="shared" si="10"/>
        <v>40.737468630788648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72" t="s">
        <v>592</v>
      </c>
      <c r="B41" s="472" t="s">
        <v>500</v>
      </c>
      <c r="C41" s="472" t="s">
        <v>5580</v>
      </c>
      <c r="D41" s="472" t="s">
        <v>5577</v>
      </c>
      <c r="E41" s="472" t="s">
        <v>5579</v>
      </c>
      <c r="F41" s="472" t="s">
        <v>3848</v>
      </c>
      <c r="G41" s="474" t="s">
        <v>3849</v>
      </c>
      <c r="H41" s="474"/>
      <c r="I41" s="474" t="s">
        <v>3850</v>
      </c>
      <c r="J41" s="474"/>
    </row>
    <row r="42" spans="1:12" x14ac:dyDescent="0.25">
      <c r="A42" s="472"/>
      <c r="B42" s="472"/>
      <c r="C42" s="472"/>
      <c r="D42" s="472"/>
      <c r="E42" s="472"/>
      <c r="F42" s="472"/>
      <c r="G42" s="417" t="s">
        <v>5589</v>
      </c>
      <c r="H42" s="417" t="s">
        <v>3846</v>
      </c>
      <c r="I42" s="417" t="s">
        <v>5589</v>
      </c>
      <c r="J42" s="417" t="s">
        <v>3846</v>
      </c>
    </row>
    <row r="43" spans="1:12" x14ac:dyDescent="0.25">
      <c r="A43" s="473"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3"/>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3"/>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73"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3"/>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3"/>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73"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3"/>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3"/>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73"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3"/>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3"/>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70" t="s">
        <v>3852</v>
      </c>
      <c r="B55" s="470"/>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70" t="s">
        <v>5583</v>
      </c>
      <c r="B56" s="470"/>
      <c r="C56" s="415">
        <f>C55</f>
        <v>348880000</v>
      </c>
      <c r="D56" s="471">
        <f>SUM(D55:E55)</f>
        <v>247069000</v>
      </c>
      <c r="E56" s="471"/>
      <c r="F56" s="415">
        <f>F55</f>
        <v>101811000</v>
      </c>
      <c r="G56" s="176">
        <f>G55</f>
        <v>73806280</v>
      </c>
      <c r="H56" s="429">
        <f t="shared" si="12"/>
        <v>72.493424089734901</v>
      </c>
      <c r="I56" s="176">
        <f t="shared" si="13"/>
        <v>28004720</v>
      </c>
      <c r="J56" s="425">
        <f t="shared" si="14"/>
        <v>27.506575910265095</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13" zoomScale="85" zoomScaleNormal="100" zoomScaleSheetLayoutView="85" workbookViewId="0">
      <selection activeCell="AA28" sqref="AA28"/>
    </sheetView>
  </sheetViews>
  <sheetFormatPr defaultRowHeight="15" x14ac:dyDescent="0.25"/>
  <sheetData>
    <row r="1" spans="2:16" x14ac:dyDescent="0.25">
      <c r="B1" s="492" t="str">
        <f>'PERSUBBID - Gaji'!A1</f>
        <v>REALISASI TANPA GAJI (BERDASARKAN PAGU SETELAH BLOKIR)</v>
      </c>
      <c r="C1" s="492"/>
      <c r="D1" s="492"/>
      <c r="E1" s="492"/>
      <c r="F1" s="492"/>
      <c r="G1" s="492"/>
      <c r="H1" s="492"/>
      <c r="I1" s="492"/>
      <c r="J1" s="492"/>
      <c r="K1" s="492"/>
      <c r="L1" s="492"/>
      <c r="M1" s="492"/>
      <c r="N1" s="492"/>
      <c r="O1" s="492"/>
      <c r="P1" s="492"/>
    </row>
    <row r="2" spans="2:16" ht="15.75" x14ac:dyDescent="0.25">
      <c r="B2" s="483" t="str">
        <f>'PERSUBBID - Gaji'!A2</f>
        <v>Berdasarkan DIPA Revisi 2 TA. 2022 (Tanggal 9 Juni 2022)</v>
      </c>
      <c r="C2" s="483"/>
      <c r="D2" s="483"/>
      <c r="E2" s="483"/>
      <c r="F2" s="483"/>
      <c r="G2" s="483"/>
      <c r="H2" s="483"/>
      <c r="I2" s="483"/>
      <c r="J2" s="483"/>
      <c r="K2" s="483"/>
      <c r="L2" s="483"/>
      <c r="M2" s="483"/>
      <c r="N2" s="483"/>
      <c r="O2" s="483"/>
      <c r="P2" s="483"/>
    </row>
    <row r="3" spans="2:16" ht="15.75" x14ac:dyDescent="0.25">
      <c r="B3" s="483" t="str">
        <f>'PERSUBBID - Gaji'!A3</f>
        <v>SAMPAI DENGAN 11 JULI 2022</v>
      </c>
      <c r="C3" s="483"/>
      <c r="D3" s="483"/>
      <c r="E3" s="483"/>
      <c r="F3" s="483"/>
      <c r="G3" s="483"/>
      <c r="H3" s="483"/>
      <c r="I3" s="483"/>
      <c r="J3" s="483"/>
      <c r="K3" s="483"/>
      <c r="L3" s="483"/>
      <c r="M3" s="483"/>
      <c r="N3" s="483"/>
      <c r="O3" s="483"/>
      <c r="P3" s="483"/>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82" t="str">
        <f>IF(L8=TRUE,"REALISASI DENGAN GAJI (BERDASARKAN PAGU SEBELUM BLOKIR)","REALISASI DENGAN GAJI (BERDASARKAN PAGU SETELAH BLOKIR)")</f>
        <v>REALISASI DENGAN GAJI (BERDASARKAN PAGU SETELAH BLOKIR)</v>
      </c>
      <c r="B1" s="482"/>
      <c r="C1" s="482"/>
      <c r="D1" s="482"/>
      <c r="E1" s="482"/>
      <c r="F1" s="482"/>
      <c r="G1" s="482"/>
      <c r="H1" s="482"/>
      <c r="I1" s="482"/>
      <c r="J1" s="482"/>
      <c r="L1" s="431"/>
    </row>
    <row r="2" spans="1:13" ht="15.75" x14ac:dyDescent="0.25">
      <c r="A2" s="483" t="str">
        <f>'PER BULAN'!B5</f>
        <v>Berdasarkan DIPA Revisi 2 TA. 2022 (Tanggal 9 Juni 2022)</v>
      </c>
      <c r="B2" s="483"/>
      <c r="C2" s="483"/>
      <c r="D2" s="483"/>
      <c r="E2" s="483"/>
      <c r="F2" s="483"/>
      <c r="G2" s="483"/>
      <c r="H2" s="483"/>
      <c r="I2" s="483"/>
      <c r="J2" s="483"/>
    </row>
    <row r="3" spans="1:13" ht="15.75" x14ac:dyDescent="0.25">
      <c r="A3" s="483" t="str">
        <f>'PER BULAN'!B6</f>
        <v>SAMPAI DENGAN 11 JULI 2022</v>
      </c>
      <c r="B3" s="483"/>
      <c r="C3" s="483"/>
      <c r="D3" s="483"/>
      <c r="E3" s="483"/>
      <c r="F3" s="483"/>
      <c r="G3" s="483"/>
      <c r="H3" s="483"/>
      <c r="I3" s="483"/>
      <c r="J3" s="483"/>
    </row>
    <row r="4" spans="1:13" x14ac:dyDescent="0.25">
      <c r="A4" s="405"/>
      <c r="B4" s="405"/>
      <c r="C4" s="405"/>
      <c r="D4" s="405"/>
      <c r="E4" s="405"/>
      <c r="F4" s="405"/>
      <c r="G4" s="405"/>
      <c r="H4" s="405"/>
      <c r="I4" s="405"/>
      <c r="J4" s="405"/>
    </row>
    <row r="5" spans="1:13" ht="15.75" x14ac:dyDescent="0.25">
      <c r="A5" s="433" t="s">
        <v>3995</v>
      </c>
    </row>
    <row r="6" spans="1:13" x14ac:dyDescent="0.25">
      <c r="A6" s="472" t="s">
        <v>592</v>
      </c>
      <c r="B6" s="472" t="s">
        <v>500</v>
      </c>
      <c r="C6" s="472" t="s">
        <v>5580</v>
      </c>
      <c r="D6" s="472" t="s">
        <v>5577</v>
      </c>
      <c r="E6" s="472" t="s">
        <v>5579</v>
      </c>
      <c r="F6" s="472" t="s">
        <v>5581</v>
      </c>
      <c r="G6" s="474" t="str">
        <f>IF($L$8=TRUE,"Realisasi vs Pagu+Blokir","Realisasi vs Pagu-Blokir")</f>
        <v>Realisasi vs Pagu-Blokir</v>
      </c>
      <c r="H6" s="474"/>
      <c r="I6" s="474" t="str">
        <f>IF($L$8=TRUE,"Sisa vs Pagu+Blokir","Sisa vs Pagu-Blokir")</f>
        <v>Sisa vs Pagu-Blokir</v>
      </c>
      <c r="J6" s="474"/>
    </row>
    <row r="7" spans="1:13" x14ac:dyDescent="0.25">
      <c r="A7" s="472"/>
      <c r="B7" s="472"/>
      <c r="C7" s="472"/>
      <c r="D7" s="472"/>
      <c r="E7" s="472"/>
      <c r="F7" s="472"/>
      <c r="G7" s="417" t="s">
        <v>5589</v>
      </c>
      <c r="H7" s="417" t="s">
        <v>3846</v>
      </c>
      <c r="I7" s="417" t="s">
        <v>5589</v>
      </c>
      <c r="J7" s="417" t="s">
        <v>3846</v>
      </c>
    </row>
    <row r="8" spans="1:13" x14ac:dyDescent="0.25">
      <c r="A8" s="47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K8" s="434"/>
      <c r="L8" s="416" t="b">
        <v>0</v>
      </c>
    </row>
    <row r="9" spans="1:13" x14ac:dyDescent="0.25">
      <c r="A9" s="47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7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78"/>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3731608826</v>
      </c>
      <c r="H12" s="423">
        <f t="shared" ref="H12" si="3">IFERROR(IF($L$8=TRUE,G12/C12*100,G12/F12*100),0)</f>
        <v>60.626812857805959</v>
      </c>
      <c r="I12" s="169">
        <f t="shared" ref="I12" si="4">IF($L$8=TRUE,C12-G12,F12-G12)</f>
        <v>2423438174</v>
      </c>
      <c r="J12" s="263">
        <f t="shared" ref="J12" si="5">IFERROR(IF($L$8=TRUE,I12/C12*100,I12/F12*100),0)</f>
        <v>39.373187142194041</v>
      </c>
      <c r="K12" s="434"/>
    </row>
    <row r="13" spans="1:13" x14ac:dyDescent="0.25">
      <c r="A13" s="479"/>
      <c r="B13" s="296" t="s">
        <v>5585</v>
      </c>
      <c r="C13" s="194">
        <f>SUM(C8:C12)</f>
        <v>10807010000</v>
      </c>
      <c r="D13" s="194">
        <f t="shared" ref="D13:G13" si="6">SUM(D8:D12)</f>
        <v>423949000</v>
      </c>
      <c r="E13" s="194">
        <f t="shared" si="6"/>
        <v>609552000</v>
      </c>
      <c r="F13" s="194">
        <f t="shared" si="6"/>
        <v>9773509000</v>
      </c>
      <c r="G13" s="194">
        <f t="shared" si="6"/>
        <v>5775229388</v>
      </c>
      <c r="H13" s="424">
        <f t="shared" si="0"/>
        <v>59.090643780038462</v>
      </c>
      <c r="I13" s="194">
        <f t="shared" si="1"/>
        <v>3998279612</v>
      </c>
      <c r="J13" s="264">
        <f t="shared" si="2"/>
        <v>40.909356219961531</v>
      </c>
      <c r="K13" s="434"/>
    </row>
    <row r="14" spans="1:13" ht="15" customHeight="1" x14ac:dyDescent="0.25">
      <c r="A14" s="477"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8"/>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23">
        <f t="shared" si="0"/>
        <v>63.932333941635846</v>
      </c>
      <c r="I15" s="169">
        <f t="shared" si="1"/>
        <v>2193815788</v>
      </c>
      <c r="J15" s="263">
        <f t="shared" si="2"/>
        <v>36.067666058364161</v>
      </c>
      <c r="K15" s="434"/>
      <c r="M15" s="217"/>
    </row>
    <row r="16" spans="1:13" x14ac:dyDescent="0.25">
      <c r="A16" s="478"/>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9"/>
      <c r="B17" s="296" t="s">
        <v>5586</v>
      </c>
      <c r="C17" s="194">
        <f>SUM(C14:C16)</f>
        <v>9985150000</v>
      </c>
      <c r="D17" s="194">
        <f t="shared" ref="D17:E17" si="7">SUM(D14:D16)</f>
        <v>0</v>
      </c>
      <c r="E17" s="194">
        <f t="shared" si="7"/>
        <v>3438934000</v>
      </c>
      <c r="F17" s="194">
        <f>SUM(F14:F16)</f>
        <v>6546216000</v>
      </c>
      <c r="G17" s="194">
        <f>SUM(G14:G16)</f>
        <v>4136251904</v>
      </c>
      <c r="H17" s="424">
        <f t="shared" si="0"/>
        <v>63.185386855551364</v>
      </c>
      <c r="I17" s="194">
        <f t="shared" si="1"/>
        <v>2409964096</v>
      </c>
      <c r="J17" s="264">
        <f t="shared" si="2"/>
        <v>36.814613144448636</v>
      </c>
      <c r="K17" s="434"/>
    </row>
    <row r="18" spans="1:13" ht="15" customHeight="1" x14ac:dyDescent="0.25">
      <c r="A18" s="477"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137935590</v>
      </c>
      <c r="H18" s="423">
        <f t="shared" si="0"/>
        <v>66.441042166411378</v>
      </c>
      <c r="I18" s="169">
        <f t="shared" si="1"/>
        <v>69670410</v>
      </c>
      <c r="J18" s="263">
        <f t="shared" si="2"/>
        <v>33.558957833588629</v>
      </c>
      <c r="K18" s="434"/>
    </row>
    <row r="19" spans="1:13" x14ac:dyDescent="0.25">
      <c r="A19" s="478"/>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84865500</v>
      </c>
      <c r="H19" s="423">
        <f t="shared" si="0"/>
        <v>51.507620036051783</v>
      </c>
      <c r="I19" s="169">
        <f t="shared" si="1"/>
        <v>79897500</v>
      </c>
      <c r="J19" s="263">
        <f t="shared" si="2"/>
        <v>48.492379963948217</v>
      </c>
      <c r="K19" s="434"/>
      <c r="M19" s="217"/>
    </row>
    <row r="20" spans="1:13" x14ac:dyDescent="0.25">
      <c r="A20" s="479"/>
      <c r="B20" s="296" t="s">
        <v>5587</v>
      </c>
      <c r="C20" s="194">
        <f>SUM(C18:C19)</f>
        <v>1278600000</v>
      </c>
      <c r="D20" s="194">
        <f t="shared" ref="D20:E20" si="8">SUM(D18:D19)</f>
        <v>0</v>
      </c>
      <c r="E20" s="194">
        <f t="shared" si="8"/>
        <v>906231000</v>
      </c>
      <c r="F20" s="194">
        <f>SUM(F18:F19)</f>
        <v>372369000</v>
      </c>
      <c r="G20" s="194">
        <f>SUM(G18:G19)</f>
        <v>222801090</v>
      </c>
      <c r="H20" s="424">
        <f t="shared" si="0"/>
        <v>59.833415241333199</v>
      </c>
      <c r="I20" s="194">
        <f t="shared" si="1"/>
        <v>149567910</v>
      </c>
      <c r="J20" s="264">
        <f t="shared" si="2"/>
        <v>40.166584758666808</v>
      </c>
      <c r="K20" s="434"/>
    </row>
    <row r="21" spans="1:13" ht="15" customHeight="1" x14ac:dyDescent="0.25">
      <c r="A21" s="477"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247665140</v>
      </c>
      <c r="H21" s="423">
        <f t="shared" si="0"/>
        <v>36.087008596823544</v>
      </c>
      <c r="I21" s="169">
        <f t="shared" si="1"/>
        <v>438634860</v>
      </c>
      <c r="J21" s="263">
        <f t="shared" si="2"/>
        <v>63.912991403176456</v>
      </c>
      <c r="K21" s="434"/>
    </row>
    <row r="22" spans="1:13" x14ac:dyDescent="0.25">
      <c r="A22" s="478"/>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79"/>
      <c r="B23" s="296" t="s">
        <v>5588</v>
      </c>
      <c r="C23" s="194">
        <f>SUM(C21:C22)</f>
        <v>1271400000</v>
      </c>
      <c r="D23" s="194">
        <f t="shared" ref="D23:E23" si="9">SUM(D21:D22)</f>
        <v>0</v>
      </c>
      <c r="E23" s="194">
        <f t="shared" si="9"/>
        <v>432643000</v>
      </c>
      <c r="F23" s="194">
        <f>SUM(F21:F22)</f>
        <v>838757000</v>
      </c>
      <c r="G23" s="194">
        <f>SUM(G21:G22)</f>
        <v>338915858</v>
      </c>
      <c r="H23" s="424">
        <f t="shared" si="0"/>
        <v>40.406918571171389</v>
      </c>
      <c r="I23" s="194">
        <f t="shared" si="1"/>
        <v>499841142</v>
      </c>
      <c r="J23" s="264">
        <f t="shared" si="2"/>
        <v>59.593081428828611</v>
      </c>
      <c r="K23" s="434"/>
    </row>
    <row r="24" spans="1:13" x14ac:dyDescent="0.25">
      <c r="A24" s="470" t="s">
        <v>3852</v>
      </c>
      <c r="B24" s="470"/>
      <c r="C24" s="176">
        <f>C13++C17+C20+C23</f>
        <v>23342160000</v>
      </c>
      <c r="D24" s="176">
        <f t="shared" ref="D24:E24" si="10">D13++D17+D20+D23</f>
        <v>423949000</v>
      </c>
      <c r="E24" s="176">
        <f t="shared" si="10"/>
        <v>5387360000</v>
      </c>
      <c r="F24" s="176">
        <f>F13++F17+F20+F23</f>
        <v>17530851000</v>
      </c>
      <c r="G24" s="176">
        <f>G13++G17+G20+G23</f>
        <v>10473198240</v>
      </c>
      <c r="H24" s="425">
        <f t="shared" si="0"/>
        <v>59.741527892741772</v>
      </c>
      <c r="I24" s="176">
        <f t="shared" si="1"/>
        <v>7057652760</v>
      </c>
      <c r="J24" s="265">
        <f t="shared" si="2"/>
        <v>40.258472107258228</v>
      </c>
      <c r="K24" s="434"/>
      <c r="M24" s="215"/>
    </row>
    <row r="25" spans="1:13" x14ac:dyDescent="0.25">
      <c r="A25" s="484" t="s">
        <v>5583</v>
      </c>
      <c r="B25" s="485"/>
      <c r="C25" s="415">
        <f>C24</f>
        <v>23342160000</v>
      </c>
      <c r="D25" s="486">
        <f>SUM(D24,E24)</f>
        <v>5811309000</v>
      </c>
      <c r="E25" s="487"/>
      <c r="F25" s="415">
        <f>F24</f>
        <v>17530851000</v>
      </c>
      <c r="G25" s="176">
        <f>G24</f>
        <v>10473198240</v>
      </c>
      <c r="H25" s="425">
        <f t="shared" si="0"/>
        <v>59.741527892741772</v>
      </c>
      <c r="I25" s="176">
        <f t="shared" si="1"/>
        <v>7057652760</v>
      </c>
      <c r="J25" s="265">
        <f t="shared" si="2"/>
        <v>40.258472107258228</v>
      </c>
      <c r="K25" s="434"/>
      <c r="M25" s="217"/>
    </row>
    <row r="29" spans="1:13" ht="15.75" x14ac:dyDescent="0.25">
      <c r="A29" s="433" t="s">
        <v>4002</v>
      </c>
    </row>
    <row r="30" spans="1:13" ht="14.45" customHeight="1" x14ac:dyDescent="0.25">
      <c r="A30" s="480" t="s">
        <v>3988</v>
      </c>
      <c r="B30" s="480" t="s">
        <v>3989</v>
      </c>
      <c r="C30" s="480" t="s">
        <v>5580</v>
      </c>
      <c r="D30" s="488" t="s">
        <v>5577</v>
      </c>
      <c r="E30" s="488" t="s">
        <v>5579</v>
      </c>
      <c r="F30" s="480" t="s">
        <v>5581</v>
      </c>
      <c r="G30" s="474" t="str">
        <f>IF($L$8=TRUE,"Realisasi vs Pagu+Blokir","Realisasi vs Pagu-Blokir")</f>
        <v>Realisasi vs Pagu-Blokir</v>
      </c>
      <c r="H30" s="474"/>
      <c r="I30" s="474" t="str">
        <f>IF($L$8=TRUE,"Sisa vs Pagu+Blokir","Sisa vs Pagu-Blokir")</f>
        <v>Sisa vs Pagu-Blokir</v>
      </c>
      <c r="J30" s="474"/>
    </row>
    <row r="31" spans="1:13" x14ac:dyDescent="0.25">
      <c r="A31" s="481"/>
      <c r="B31" s="481"/>
      <c r="C31" s="481"/>
      <c r="D31" s="489"/>
      <c r="E31" s="489"/>
      <c r="F31" s="481"/>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3731608826</v>
      </c>
      <c r="H32" s="205">
        <f t="shared" ref="H32" si="12">IFERROR(IF($L$8=TRUE,G32/C32*100,G32/F32*100),0)</f>
        <v>60.626812857805959</v>
      </c>
      <c r="I32" s="206">
        <f t="shared" ref="I32" si="13">IF($L$8=TRUE,C32-G32,F32-G32)</f>
        <v>2423438174</v>
      </c>
      <c r="J32" s="205">
        <f t="shared" ref="J32" si="14">IFERROR(IF($L$8=TRUE,I32/C32*100,I32/F32*100),0)</f>
        <v>39.373187142194041</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6087389414</v>
      </c>
      <c r="H33" s="205">
        <f t="shared" ref="H33:H40" si="16">IFERROR(IF($L$8=TRUE,G33/C33*100,G33/F33*100),0)</f>
        <v>56.776853668536909</v>
      </c>
      <c r="I33" s="206">
        <f t="shared" ref="I33:I40" si="17">IF($L$8=TRUE,C33-G33,F33-G33)</f>
        <v>4634214586</v>
      </c>
      <c r="J33" s="205">
        <f t="shared" ref="J33:J40" si="18">IFERROR(IF($L$8=TRUE,I33/C33*100,I33/F33*100),0)</f>
        <v>43.223146331463091</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16"/>
        <v>38.397321652674243</v>
      </c>
      <c r="I34" s="210">
        <f t="shared" si="17"/>
        <v>1290981457</v>
      </c>
      <c r="J34" s="209">
        <f t="shared" si="18"/>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5282712871</v>
      </c>
      <c r="H35" s="209">
        <f t="shared" si="16"/>
        <v>61.242127773579845</v>
      </c>
      <c r="I35" s="210">
        <f t="shared" si="17"/>
        <v>3343233129</v>
      </c>
      <c r="J35" s="209">
        <f t="shared" si="18"/>
        <v>38.757872226420155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75" t="s">
        <v>611</v>
      </c>
      <c r="B38" s="476"/>
      <c r="C38" s="213">
        <f>SUM(C32,C33,C36)</f>
        <v>23342160000</v>
      </c>
      <c r="D38" s="213">
        <f t="shared" ref="D38:G38" si="19">SUM(D32,D33,D36)</f>
        <v>423949000</v>
      </c>
      <c r="E38" s="213">
        <f t="shared" si="19"/>
        <v>5387360000</v>
      </c>
      <c r="F38" s="213">
        <f t="shared" si="19"/>
        <v>17530851000</v>
      </c>
      <c r="G38" s="213">
        <f t="shared" si="19"/>
        <v>10473198240</v>
      </c>
      <c r="H38" s="214">
        <f t="shared" si="16"/>
        <v>59.741527892741772</v>
      </c>
      <c r="I38" s="213">
        <f t="shared" si="17"/>
        <v>7057652760</v>
      </c>
      <c r="J38" s="214">
        <f t="shared" si="18"/>
        <v>40.258472107258228</v>
      </c>
      <c r="K38" s="434"/>
    </row>
    <row r="39" spans="1:12" x14ac:dyDescent="0.25">
      <c r="A39" s="475" t="s">
        <v>3993</v>
      </c>
      <c r="B39" s="476"/>
      <c r="C39" s="213"/>
      <c r="D39" s="213"/>
      <c r="E39" s="213"/>
      <c r="F39" s="213"/>
      <c r="G39" s="213"/>
      <c r="H39" s="214"/>
      <c r="I39" s="213"/>
      <c r="J39" s="214"/>
      <c r="K39" s="434"/>
    </row>
    <row r="40" spans="1:12" x14ac:dyDescent="0.25">
      <c r="A40" s="475" t="s">
        <v>3994</v>
      </c>
      <c r="B40" s="476"/>
      <c r="C40" s="213">
        <f>C38</f>
        <v>23342160000</v>
      </c>
      <c r="D40" s="490">
        <f>SUM(D38:E38)</f>
        <v>5811309000</v>
      </c>
      <c r="E40" s="491"/>
      <c r="F40" s="213">
        <f>F38</f>
        <v>17530851000</v>
      </c>
      <c r="G40" s="213">
        <f>G38-G39</f>
        <v>10473198240</v>
      </c>
      <c r="H40" s="214">
        <f t="shared" si="16"/>
        <v>59.741527892741772</v>
      </c>
      <c r="I40" s="213">
        <f t="shared" si="17"/>
        <v>7057652760</v>
      </c>
      <c r="J40" s="214">
        <f t="shared" si="18"/>
        <v>40.258472107258228</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72" t="s">
        <v>592</v>
      </c>
      <c r="B45" s="472" t="s">
        <v>500</v>
      </c>
      <c r="C45" s="472" t="s">
        <v>5580</v>
      </c>
      <c r="D45" s="472" t="s">
        <v>5577</v>
      </c>
      <c r="E45" s="472" t="s">
        <v>5579</v>
      </c>
      <c r="F45" s="472" t="s">
        <v>5581</v>
      </c>
      <c r="G45" s="474" t="str">
        <f>IF($L$8=TRUE,"Realisasi vs Pagu+Blokir","Realisasi vs Pagu-Blokir")</f>
        <v>Realisasi vs Pagu-Blokir</v>
      </c>
      <c r="H45" s="474"/>
      <c r="I45" s="474" t="str">
        <f>IF($L$8=TRUE,"Sisa vs Pagu+Blokir","Sisa vs Pagu-Blokir")</f>
        <v>Sisa vs Pagu-Blokir</v>
      </c>
      <c r="J45" s="474"/>
    </row>
    <row r="46" spans="1:12" x14ac:dyDescent="0.25">
      <c r="A46" s="472"/>
      <c r="B46" s="472"/>
      <c r="C46" s="472"/>
      <c r="D46" s="472"/>
      <c r="E46" s="472"/>
      <c r="F46" s="472"/>
      <c r="G46" s="417" t="s">
        <v>5589</v>
      </c>
      <c r="H46" s="417" t="s">
        <v>3846</v>
      </c>
      <c r="I46" s="417" t="s">
        <v>5589</v>
      </c>
      <c r="J46" s="417" t="s">
        <v>3846</v>
      </c>
    </row>
    <row r="47" spans="1:12" x14ac:dyDescent="0.25">
      <c r="A47" s="473"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73"/>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73"/>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73"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73"/>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73"/>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73"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73"/>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73"/>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73"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73"/>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73"/>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70" t="s">
        <v>3852</v>
      </c>
      <c r="B59" s="470"/>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70" t="s">
        <v>5583</v>
      </c>
      <c r="B60" s="470"/>
      <c r="C60" s="415">
        <f>C59</f>
        <v>348880000</v>
      </c>
      <c r="D60" s="471">
        <f>SUM(D59:E59)</f>
        <v>247069000</v>
      </c>
      <c r="E60" s="471"/>
      <c r="F60" s="415">
        <f>F59</f>
        <v>101811000</v>
      </c>
      <c r="G60" s="176">
        <f>G59</f>
        <v>73806280</v>
      </c>
      <c r="H60" s="429">
        <f t="shared" si="20"/>
        <v>72.493424089734901</v>
      </c>
      <c r="I60" s="176">
        <f t="shared" si="21"/>
        <v>28004720</v>
      </c>
      <c r="J60" s="425">
        <f t="shared" si="22"/>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O38" sqref="O38"/>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82" t="str">
        <f>IF(L8=TRUE,"REALISASI DENGAN GAJI (BERDASARKAN PAGU SEBELUM BLOKIR)","REALISASI DENGAN GAJI (BERDASARKAN PAGU SETELAH BLOKIR)")</f>
        <v>REALISASI DENGAN GAJI (BERDASARKAN PAGU SETELAH BLOKIR)</v>
      </c>
      <c r="B1" s="482"/>
      <c r="C1" s="482"/>
      <c r="D1" s="482"/>
      <c r="E1" s="482"/>
      <c r="F1" s="482"/>
      <c r="G1" s="482"/>
      <c r="H1" s="482"/>
      <c r="I1" s="482"/>
      <c r="J1" s="482"/>
      <c r="L1" s="431"/>
    </row>
    <row r="2" spans="1:13" ht="15.75" x14ac:dyDescent="0.25">
      <c r="A2" s="483" t="str">
        <f>'PER BULAN'!B5</f>
        <v>Berdasarkan DIPA Revisi 2 TA. 2022 (Tanggal 9 Juni 2022)</v>
      </c>
      <c r="B2" s="483"/>
      <c r="C2" s="483"/>
      <c r="D2" s="483"/>
      <c r="E2" s="483"/>
      <c r="F2" s="483"/>
      <c r="G2" s="483"/>
      <c r="H2" s="483"/>
      <c r="I2" s="483"/>
      <c r="J2" s="483"/>
    </row>
    <row r="3" spans="1:13" ht="15.75" x14ac:dyDescent="0.25">
      <c r="A3" s="483" t="str">
        <f>'PER BULAN'!B6</f>
        <v>SAMPAI DENGAN 11 JULI 2022</v>
      </c>
      <c r="B3" s="483"/>
      <c r="C3" s="483"/>
      <c r="D3" s="483"/>
      <c r="E3" s="483"/>
      <c r="F3" s="483"/>
      <c r="G3" s="483"/>
      <c r="H3" s="483"/>
      <c r="I3" s="483"/>
      <c r="J3" s="483"/>
    </row>
    <row r="4" spans="1:13" x14ac:dyDescent="0.25">
      <c r="A4" s="436"/>
      <c r="B4" s="436"/>
      <c r="C4" s="436"/>
      <c r="D4" s="436"/>
      <c r="E4" s="436"/>
      <c r="F4" s="436"/>
      <c r="G4" s="436"/>
      <c r="H4" s="436"/>
      <c r="I4" s="436"/>
      <c r="J4" s="436"/>
    </row>
    <row r="5" spans="1:13" ht="15.75" x14ac:dyDescent="0.25">
      <c r="A5" s="433" t="s">
        <v>3995</v>
      </c>
    </row>
    <row r="6" spans="1:13" x14ac:dyDescent="0.25">
      <c r="A6" s="472" t="s">
        <v>592</v>
      </c>
      <c r="B6" s="472" t="s">
        <v>500</v>
      </c>
      <c r="C6" s="472" t="s">
        <v>5580</v>
      </c>
      <c r="D6" s="472" t="s">
        <v>5577</v>
      </c>
      <c r="E6" s="472" t="s">
        <v>5579</v>
      </c>
      <c r="F6" s="472" t="s">
        <v>3848</v>
      </c>
      <c r="G6" s="474" t="s">
        <v>3849</v>
      </c>
      <c r="H6" s="474"/>
      <c r="I6" s="474" t="s">
        <v>3850</v>
      </c>
      <c r="J6" s="474"/>
    </row>
    <row r="7" spans="1:13" x14ac:dyDescent="0.25">
      <c r="A7" s="472"/>
      <c r="B7" s="472"/>
      <c r="C7" s="472"/>
      <c r="D7" s="472"/>
      <c r="E7" s="472"/>
      <c r="F7" s="472"/>
      <c r="G7" s="417" t="s">
        <v>5589</v>
      </c>
      <c r="H7" s="417" t="s">
        <v>3846</v>
      </c>
      <c r="I7" s="417" t="s">
        <v>5589</v>
      </c>
      <c r="J7" s="417" t="s">
        <v>3846</v>
      </c>
    </row>
    <row r="8" spans="1:13" x14ac:dyDescent="0.25">
      <c r="A8" s="47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K8" s="434"/>
      <c r="L8" s="416" t="b">
        <v>0</v>
      </c>
    </row>
    <row r="9" spans="1:13" x14ac:dyDescent="0.25">
      <c r="A9" s="47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7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78"/>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3731608826</v>
      </c>
      <c r="H12" s="423">
        <f t="shared" si="0"/>
        <v>60.626812857805959</v>
      </c>
      <c r="I12" s="169">
        <f t="shared" si="1"/>
        <v>2423438174</v>
      </c>
      <c r="J12" s="263">
        <f t="shared" si="2"/>
        <v>39.373187142194041</v>
      </c>
      <c r="K12" s="434"/>
    </row>
    <row r="13" spans="1:13" x14ac:dyDescent="0.25">
      <c r="A13" s="479"/>
      <c r="B13" s="296" t="s">
        <v>5585</v>
      </c>
      <c r="C13" s="194">
        <f>SUM(C8:C12)</f>
        <v>10807010000</v>
      </c>
      <c r="D13" s="194">
        <f t="shared" ref="D13:G13" si="3">SUM(D8:D12)</f>
        <v>423949000</v>
      </c>
      <c r="E13" s="194">
        <f t="shared" si="3"/>
        <v>609552000</v>
      </c>
      <c r="F13" s="194">
        <f t="shared" si="3"/>
        <v>9773509000</v>
      </c>
      <c r="G13" s="194">
        <f t="shared" si="3"/>
        <v>5775229388</v>
      </c>
      <c r="H13" s="424">
        <f t="shared" si="0"/>
        <v>59.090643780038462</v>
      </c>
      <c r="I13" s="194">
        <f t="shared" si="1"/>
        <v>3998279612</v>
      </c>
      <c r="J13" s="264">
        <f t="shared" si="2"/>
        <v>40.909356219961531</v>
      </c>
      <c r="K13" s="434"/>
    </row>
    <row r="14" spans="1:13" ht="15" customHeight="1" x14ac:dyDescent="0.25">
      <c r="A14" s="477"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8"/>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23">
        <f t="shared" si="0"/>
        <v>63.932333941635846</v>
      </c>
      <c r="I15" s="169">
        <f t="shared" si="1"/>
        <v>2193815788</v>
      </c>
      <c r="J15" s="263">
        <f t="shared" si="2"/>
        <v>36.067666058364161</v>
      </c>
      <c r="K15" s="434"/>
      <c r="M15" s="217"/>
    </row>
    <row r="16" spans="1:13" x14ac:dyDescent="0.25">
      <c r="A16" s="478"/>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9"/>
      <c r="B17" s="296" t="s">
        <v>5586</v>
      </c>
      <c r="C17" s="194">
        <f>SUM(C14:C16)</f>
        <v>9985150000</v>
      </c>
      <c r="D17" s="194">
        <f t="shared" ref="D17:E17" si="4">SUM(D14:D16)</f>
        <v>0</v>
      </c>
      <c r="E17" s="194">
        <f t="shared" si="4"/>
        <v>3438934000</v>
      </c>
      <c r="F17" s="194">
        <f>SUM(F14:F16)</f>
        <v>6546216000</v>
      </c>
      <c r="G17" s="194">
        <f>SUM(G14:G16)</f>
        <v>4136251904</v>
      </c>
      <c r="H17" s="424">
        <f t="shared" si="0"/>
        <v>63.185386855551364</v>
      </c>
      <c r="I17" s="194">
        <f t="shared" si="1"/>
        <v>2409964096</v>
      </c>
      <c r="J17" s="264">
        <f t="shared" si="2"/>
        <v>36.814613144448636</v>
      </c>
      <c r="K17" s="434"/>
    </row>
    <row r="18" spans="1:13" ht="15" customHeight="1" x14ac:dyDescent="0.25">
      <c r="A18" s="477"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137935590</v>
      </c>
      <c r="H18" s="423">
        <f t="shared" si="0"/>
        <v>66.441042166411378</v>
      </c>
      <c r="I18" s="169">
        <f t="shared" si="1"/>
        <v>69670410</v>
      </c>
      <c r="J18" s="263">
        <f t="shared" si="2"/>
        <v>33.558957833588629</v>
      </c>
      <c r="K18" s="434"/>
    </row>
    <row r="19" spans="1:13" x14ac:dyDescent="0.25">
      <c r="A19" s="478"/>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84865500</v>
      </c>
      <c r="H19" s="423">
        <f t="shared" si="0"/>
        <v>51.507620036051783</v>
      </c>
      <c r="I19" s="169">
        <f t="shared" si="1"/>
        <v>79897500</v>
      </c>
      <c r="J19" s="263">
        <f t="shared" si="2"/>
        <v>48.492379963948217</v>
      </c>
      <c r="K19" s="434"/>
      <c r="M19" s="217"/>
    </row>
    <row r="20" spans="1:13" x14ac:dyDescent="0.25">
      <c r="A20" s="479"/>
      <c r="B20" s="296" t="s">
        <v>5587</v>
      </c>
      <c r="C20" s="194">
        <f>SUM(C18:C19)</f>
        <v>1278600000</v>
      </c>
      <c r="D20" s="194">
        <f t="shared" ref="D20:E20" si="5">SUM(D18:D19)</f>
        <v>0</v>
      </c>
      <c r="E20" s="194">
        <f t="shared" si="5"/>
        <v>906231000</v>
      </c>
      <c r="F20" s="194">
        <f>SUM(F18:F19)</f>
        <v>372369000</v>
      </c>
      <c r="G20" s="194">
        <f>SUM(G18:G19)</f>
        <v>222801090</v>
      </c>
      <c r="H20" s="424">
        <f t="shared" si="0"/>
        <v>59.833415241333199</v>
      </c>
      <c r="I20" s="194">
        <f t="shared" si="1"/>
        <v>149567910</v>
      </c>
      <c r="J20" s="264">
        <f t="shared" si="2"/>
        <v>40.166584758666808</v>
      </c>
      <c r="K20" s="434"/>
    </row>
    <row r="21" spans="1:13" ht="15" customHeight="1" x14ac:dyDescent="0.25">
      <c r="A21" s="477"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247665140</v>
      </c>
      <c r="H21" s="423">
        <f t="shared" si="0"/>
        <v>36.087008596823544</v>
      </c>
      <c r="I21" s="169">
        <f t="shared" si="1"/>
        <v>438634860</v>
      </c>
      <c r="J21" s="263">
        <f t="shared" si="2"/>
        <v>63.912991403176456</v>
      </c>
      <c r="K21" s="434"/>
    </row>
    <row r="22" spans="1:13" x14ac:dyDescent="0.25">
      <c r="A22" s="478"/>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79"/>
      <c r="B23" s="296" t="s">
        <v>5588</v>
      </c>
      <c r="C23" s="194">
        <f>SUM(C21:C22)</f>
        <v>1271400000</v>
      </c>
      <c r="D23" s="194">
        <f t="shared" ref="D23:E23" si="6">SUM(D21:D22)</f>
        <v>0</v>
      </c>
      <c r="E23" s="194">
        <f t="shared" si="6"/>
        <v>432643000</v>
      </c>
      <c r="F23" s="194">
        <f>SUM(F21:F22)</f>
        <v>838757000</v>
      </c>
      <c r="G23" s="194">
        <f>SUM(G21:G22)</f>
        <v>338915858</v>
      </c>
      <c r="H23" s="424">
        <f t="shared" si="0"/>
        <v>40.406918571171389</v>
      </c>
      <c r="I23" s="194">
        <f t="shared" si="1"/>
        <v>499841142</v>
      </c>
      <c r="J23" s="264">
        <f t="shared" si="2"/>
        <v>59.593081428828611</v>
      </c>
      <c r="K23" s="434"/>
    </row>
    <row r="24" spans="1:13" x14ac:dyDescent="0.25">
      <c r="A24" s="470" t="s">
        <v>3852</v>
      </c>
      <c r="B24" s="470"/>
      <c r="C24" s="176">
        <f>C13++C17+C20+C23</f>
        <v>23342160000</v>
      </c>
      <c r="D24" s="176">
        <f t="shared" ref="D24:E24" si="7">D13++D17+D20+D23</f>
        <v>423949000</v>
      </c>
      <c r="E24" s="176">
        <f t="shared" si="7"/>
        <v>5387360000</v>
      </c>
      <c r="F24" s="176">
        <f>F13++F17+F20+F23</f>
        <v>17530851000</v>
      </c>
      <c r="G24" s="176">
        <f>G13++G17+G20+G23</f>
        <v>10473198240</v>
      </c>
      <c r="H24" s="425">
        <f t="shared" si="0"/>
        <v>59.741527892741772</v>
      </c>
      <c r="I24" s="176">
        <f t="shared" si="1"/>
        <v>7057652760</v>
      </c>
      <c r="J24" s="265">
        <f t="shared" si="2"/>
        <v>40.258472107258228</v>
      </c>
      <c r="K24" s="434"/>
      <c r="M24" s="215"/>
    </row>
    <row r="25" spans="1:13" x14ac:dyDescent="0.25">
      <c r="A25" s="484" t="s">
        <v>5583</v>
      </c>
      <c r="B25" s="485"/>
      <c r="C25" s="415">
        <f>C24</f>
        <v>23342160000</v>
      </c>
      <c r="D25" s="486">
        <f>SUM(D24,E24)</f>
        <v>5811309000</v>
      </c>
      <c r="E25" s="487"/>
      <c r="F25" s="415">
        <f>F24</f>
        <v>17530851000</v>
      </c>
      <c r="G25" s="176">
        <f>G24</f>
        <v>10473198240</v>
      </c>
      <c r="H25" s="425">
        <f t="shared" si="0"/>
        <v>59.741527892741772</v>
      </c>
      <c r="I25" s="176">
        <f t="shared" si="1"/>
        <v>7057652760</v>
      </c>
      <c r="J25" s="265">
        <f t="shared" si="2"/>
        <v>40.258472107258228</v>
      </c>
      <c r="K25" s="434"/>
      <c r="M25" s="217"/>
    </row>
    <row r="29" spans="1:13" ht="15.75" x14ac:dyDescent="0.25">
      <c r="A29" s="433" t="s">
        <v>4002</v>
      </c>
    </row>
    <row r="30" spans="1:13" ht="14.45" customHeight="1" x14ac:dyDescent="0.25">
      <c r="A30" s="480" t="s">
        <v>3988</v>
      </c>
      <c r="B30" s="480" t="s">
        <v>3989</v>
      </c>
      <c r="C30" s="480" t="s">
        <v>5580</v>
      </c>
      <c r="D30" s="488" t="s">
        <v>5577</v>
      </c>
      <c r="E30" s="488" t="s">
        <v>5579</v>
      </c>
      <c r="F30" s="472" t="s">
        <v>3848</v>
      </c>
      <c r="G30" s="474" t="s">
        <v>3849</v>
      </c>
      <c r="H30" s="474"/>
      <c r="I30" s="474" t="s">
        <v>3850</v>
      </c>
      <c r="J30" s="474"/>
    </row>
    <row r="31" spans="1:13" x14ac:dyDescent="0.25">
      <c r="A31" s="481"/>
      <c r="B31" s="481"/>
      <c r="C31" s="481"/>
      <c r="D31" s="489"/>
      <c r="E31" s="489"/>
      <c r="F31" s="472"/>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3731608826</v>
      </c>
      <c r="H32" s="205">
        <f t="shared" ref="H32:H40" si="9">IFERROR(IF($L$8=TRUE,G32/C32*100,G32/F32*100),0)</f>
        <v>60.626812857805959</v>
      </c>
      <c r="I32" s="206">
        <f t="shared" ref="I32:I40" si="10">IF($L$8=TRUE,C32-G32,F32-G32)</f>
        <v>2423438174</v>
      </c>
      <c r="J32" s="205">
        <f t="shared" ref="J32:J40" si="11">IFERROR(IF($L$8=TRUE,I32/C32*100,I32/F32*100),0)</f>
        <v>39.373187142194041</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6087389414</v>
      </c>
      <c r="H33" s="205">
        <f t="shared" si="9"/>
        <v>56.776853668536909</v>
      </c>
      <c r="I33" s="206">
        <f t="shared" si="10"/>
        <v>4634214586</v>
      </c>
      <c r="J33" s="205">
        <f t="shared" si="11"/>
        <v>43.223146331463091</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9"/>
        <v>38.397321652674243</v>
      </c>
      <c r="I34" s="210">
        <f t="shared" si="10"/>
        <v>1290981457</v>
      </c>
      <c r="J34" s="209">
        <f t="shared" si="11"/>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5282712871</v>
      </c>
      <c r="H35" s="209">
        <f t="shared" si="9"/>
        <v>61.242127773579845</v>
      </c>
      <c r="I35" s="210">
        <f t="shared" si="10"/>
        <v>3343233129</v>
      </c>
      <c r="J35" s="209">
        <f t="shared" si="11"/>
        <v>38.757872226420155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75" t="s">
        <v>611</v>
      </c>
      <c r="B38" s="476"/>
      <c r="C38" s="213">
        <f>SUM(C32,C33,C36)</f>
        <v>23342160000</v>
      </c>
      <c r="D38" s="213">
        <f t="shared" ref="D38:G38" si="13">SUM(D32,D33,D36)</f>
        <v>423949000</v>
      </c>
      <c r="E38" s="213">
        <f t="shared" si="13"/>
        <v>5387360000</v>
      </c>
      <c r="F38" s="213">
        <f t="shared" si="13"/>
        <v>17530851000</v>
      </c>
      <c r="G38" s="213">
        <f t="shared" si="13"/>
        <v>10473198240</v>
      </c>
      <c r="H38" s="214">
        <f t="shared" si="9"/>
        <v>59.741527892741772</v>
      </c>
      <c r="I38" s="213">
        <f t="shared" si="10"/>
        <v>7057652760</v>
      </c>
      <c r="J38" s="214">
        <f t="shared" si="11"/>
        <v>40.258472107258228</v>
      </c>
      <c r="K38" s="434"/>
    </row>
    <row r="39" spans="1:12" x14ac:dyDescent="0.25">
      <c r="A39" s="475" t="s">
        <v>3993</v>
      </c>
      <c r="B39" s="476"/>
      <c r="C39" s="213"/>
      <c r="D39" s="213"/>
      <c r="E39" s="213"/>
      <c r="F39" s="213"/>
      <c r="G39" s="213"/>
      <c r="H39" s="214"/>
      <c r="I39" s="213"/>
      <c r="J39" s="214"/>
      <c r="K39" s="434"/>
    </row>
    <row r="40" spans="1:12" x14ac:dyDescent="0.25">
      <c r="A40" s="475" t="s">
        <v>3994</v>
      </c>
      <c r="B40" s="476"/>
      <c r="C40" s="213">
        <f>C38</f>
        <v>23342160000</v>
      </c>
      <c r="D40" s="490">
        <f>SUM(D38:E38)</f>
        <v>5811309000</v>
      </c>
      <c r="E40" s="491"/>
      <c r="F40" s="213">
        <f>F38</f>
        <v>17530851000</v>
      </c>
      <c r="G40" s="213">
        <f>G38-G39</f>
        <v>10473198240</v>
      </c>
      <c r="H40" s="214">
        <f t="shared" si="9"/>
        <v>59.741527892741772</v>
      </c>
      <c r="I40" s="213">
        <f t="shared" si="10"/>
        <v>7057652760</v>
      </c>
      <c r="J40" s="214">
        <f t="shared" si="11"/>
        <v>40.258472107258228</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72" t="s">
        <v>592</v>
      </c>
      <c r="B45" s="472" t="s">
        <v>500</v>
      </c>
      <c r="C45" s="472" t="s">
        <v>5580</v>
      </c>
      <c r="D45" s="472" t="s">
        <v>5577</v>
      </c>
      <c r="E45" s="472" t="s">
        <v>5579</v>
      </c>
      <c r="F45" s="472" t="s">
        <v>3848</v>
      </c>
      <c r="G45" s="474" t="s">
        <v>3849</v>
      </c>
      <c r="H45" s="474"/>
      <c r="I45" s="474" t="s">
        <v>3850</v>
      </c>
      <c r="J45" s="474"/>
    </row>
    <row r="46" spans="1:12" x14ac:dyDescent="0.25">
      <c r="A46" s="472"/>
      <c r="B46" s="472"/>
      <c r="C46" s="472"/>
      <c r="D46" s="472"/>
      <c r="E46" s="472"/>
      <c r="F46" s="472"/>
      <c r="G46" s="417" t="s">
        <v>5589</v>
      </c>
      <c r="H46" s="417" t="s">
        <v>3846</v>
      </c>
      <c r="I46" s="417" t="s">
        <v>5589</v>
      </c>
      <c r="J46" s="417" t="s">
        <v>3846</v>
      </c>
    </row>
    <row r="47" spans="1:12" x14ac:dyDescent="0.25">
      <c r="A47" s="473"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73"/>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73"/>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73"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73"/>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73"/>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73"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73"/>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73"/>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73"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73"/>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73"/>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70" t="s">
        <v>3852</v>
      </c>
      <c r="B59" s="470"/>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70" t="s">
        <v>5583</v>
      </c>
      <c r="B60" s="470"/>
      <c r="C60" s="415">
        <f>C59</f>
        <v>348880000</v>
      </c>
      <c r="D60" s="471">
        <f>SUM(D59:E59)</f>
        <v>247069000</v>
      </c>
      <c r="E60" s="471"/>
      <c r="F60" s="415">
        <f>F59</f>
        <v>101811000</v>
      </c>
      <c r="G60" s="176">
        <f>G59</f>
        <v>73806280</v>
      </c>
      <c r="H60" s="429">
        <f t="shared" si="14"/>
        <v>72.493424089734901</v>
      </c>
      <c r="I60" s="176">
        <f t="shared" si="15"/>
        <v>28004720</v>
      </c>
      <c r="J60" s="425">
        <f t="shared" si="16"/>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18" sqref="Z18"/>
    </sheetView>
  </sheetViews>
  <sheetFormatPr defaultRowHeight="15" x14ac:dyDescent="0.25"/>
  <cols>
    <col min="16" max="16" width="7" customWidth="1"/>
    <col min="17" max="17" width="5.5703125" customWidth="1"/>
    <col min="21" max="21" width="4.7109375" customWidth="1"/>
  </cols>
  <sheetData>
    <row r="1" spans="2:16" x14ac:dyDescent="0.25">
      <c r="B1" s="492" t="str">
        <f>'PERSUBBID - Gaji'!A1</f>
        <v>REALISASI TANPA GAJI (BERDASARKAN PAGU SETELAH BLOKIR)</v>
      </c>
      <c r="C1" s="492"/>
      <c r="D1" s="492"/>
      <c r="E1" s="492"/>
      <c r="F1" s="492"/>
      <c r="G1" s="492"/>
      <c r="H1" s="492"/>
      <c r="I1" s="492"/>
      <c r="J1" s="492"/>
      <c r="K1" s="492"/>
      <c r="L1" s="492"/>
      <c r="M1" s="492"/>
      <c r="N1" s="492"/>
      <c r="O1" s="492"/>
      <c r="P1" s="492"/>
    </row>
    <row r="2" spans="2:16" ht="15.75" x14ac:dyDescent="0.25">
      <c r="B2" s="483" t="str">
        <f>'PERSUBBID - Gaji'!A2</f>
        <v>Berdasarkan DIPA Revisi 2 TA. 2022 (Tanggal 9 Juni 2022)</v>
      </c>
      <c r="C2" s="483"/>
      <c r="D2" s="483"/>
      <c r="E2" s="483"/>
      <c r="F2" s="483"/>
      <c r="G2" s="483"/>
      <c r="H2" s="483"/>
      <c r="I2" s="483"/>
      <c r="J2" s="483"/>
      <c r="K2" s="483"/>
      <c r="L2" s="483"/>
      <c r="M2" s="483"/>
      <c r="N2" s="483"/>
      <c r="O2" s="483"/>
      <c r="P2" s="483"/>
    </row>
    <row r="3" spans="2:16" ht="15.75" x14ac:dyDescent="0.25">
      <c r="B3" s="483" t="str">
        <f>'PERSUBBID - Gaji'!A3</f>
        <v>SAMPAI DENGAN 11 JULI 2022</v>
      </c>
      <c r="C3" s="483"/>
      <c r="D3" s="483"/>
      <c r="E3" s="483"/>
      <c r="F3" s="483"/>
      <c r="G3" s="483"/>
      <c r="H3" s="483"/>
      <c r="I3" s="483"/>
      <c r="J3" s="483"/>
      <c r="K3" s="483"/>
      <c r="L3" s="483"/>
      <c r="M3" s="483"/>
      <c r="N3" s="483"/>
      <c r="O3" s="483"/>
      <c r="P3" s="483"/>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2" sqref="F32"/>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2022-07-08T08:42:50Z</cp:lastPrinted>
  <dcterms:created xsi:type="dcterms:W3CDTF">2021-07-27T04:05:22Z</dcterms:created>
  <dcterms:modified xsi:type="dcterms:W3CDTF">2022-07-12T10:17:53Z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