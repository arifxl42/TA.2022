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13_ncr:1_{05DDF1D6-C83E-43F9-866C-3151FBD077E7}" xr6:coauthVersionLast="47" xr6:coauthVersionMax="47" xr10:uidLastSave="{00000000-0000-0000-0000-000000000000}"/>
  <bookViews>
    <workbookView xWindow="-108" yWindow="-108" windowWidth="23256" windowHeight="12576" firstSheet="1" activeTab="2" xr2:uid="{61C84AEA-A539-4D70-AFD9-121B78DC1838}"/>
  </bookViews>
  <sheets>
    <sheet name="DIPA4_PUSDIK (2)" sheetId="6" state="hidden" r:id="rId1"/>
    <sheet name="GAJI" sheetId="24" r:id="rId2"/>
    <sheet name="non 51" sheetId="21" r:id="rId3"/>
    <sheet name="Cetak_Pusdik (2)" sheetId="11" r:id="rId4"/>
    <sheet name="626402" sheetId="8" r:id="rId5"/>
    <sheet name="Cetak_Pusdik" sheetId="10" r:id="rId6"/>
    <sheet name="Eselon2" sheetId="7" r:id="rId7"/>
    <sheet name="SP2D ON" sheetId="23" r:id="rId8"/>
    <sheet name="PERAKUN" sheetId="20" r:id="rId9"/>
    <sheet name="GUP TUP" sheetId="22" r:id="rId10"/>
    <sheet name="SP2D" sheetId="16" r:id="rId11"/>
    <sheet name="PER BULAN" sheetId="13" r:id="rId12"/>
    <sheet name="PERSUBBID" sheetId="14" r:id="rId13"/>
    <sheet name="TANPA GAJI" sheetId="17" r:id="rId14"/>
    <sheet name="PERSUBBID GAJI" sheetId="25" r:id="rId15"/>
    <sheet name="DENGAN GAJI" sheetId="27" r:id="rId16"/>
  </sheets>
  <functionGroups builtInGroupCount="19"/>
  <externalReferences>
    <externalReference r:id="rId17"/>
    <externalReference r:id="rId18"/>
    <externalReference r:id="rId19"/>
    <externalReference r:id="rId20"/>
    <externalReference r:id="rId21"/>
  </externalReferences>
  <definedNames>
    <definedName name="_xlnm._FilterDatabase" localSheetId="4" hidden="1">'626402'!$A$11:$G$2249</definedName>
    <definedName name="_xlnm._FilterDatabase" localSheetId="5"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9" hidden="1">'GUP TUP'!$B$5:$I$20</definedName>
    <definedName name="_xlnm._FilterDatabase" localSheetId="2" hidden="1">'non 51'!$A$11:$H$546</definedName>
    <definedName name="_xlnm._FilterDatabase" localSheetId="11" hidden="1">'PER BULAN'!$B$12:$BE$231</definedName>
    <definedName name="_xlnm._FilterDatabase" localSheetId="8" hidden="1">PERAKUN!$C$1:$H$246</definedName>
    <definedName name="_xlnm._FilterDatabase" localSheetId="10" hidden="1">SP2D!$A$3:$AT$144</definedName>
    <definedName name="_xlnm._FilterDatabase" localSheetId="7" hidden="1">'SP2D ON'!$B$10:$K$100</definedName>
    <definedName name="cAkun" localSheetId="4">'626402'!$M$21</definedName>
    <definedName name="cAkun" localSheetId="5">Cetak_Pusdik!#REF!</definedName>
    <definedName name="cAkun" localSheetId="3">'Cetak_Pusdik (2)'!#REF!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'626402'!$N$21</definedName>
    <definedName name="chkAkun" localSheetId="5">Cetak_Pusdik!#REF!</definedName>
    <definedName name="chkAkun" localSheetId="3">'Cetak_Pusdik (2)'!#REF!</definedName>
    <definedName name="chkAkun" localSheetId="0">'DIPA4_PUSDIK (2)'!$J$21</definedName>
    <definedName name="chkAkun" localSheetId="1">GAJI!#REF!</definedName>
    <definedName name="chkAkun" localSheetId="2">'non 51'!#REF!</definedName>
    <definedName name="chkAkun">#REF!</definedName>
    <definedName name="chkKegiatan" localSheetId="4">'626402'!$N$16</definedName>
    <definedName name="chkKegiatan" localSheetId="5">Cetak_Pusdik!#REF!</definedName>
    <definedName name="chkKegiatan" localSheetId="3">'Cetak_Pusdik (2)'!#REF!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'626402'!$N$19</definedName>
    <definedName name="chkKomponen" localSheetId="5">Cetak_Pusdik!#REF!</definedName>
    <definedName name="chkKomponen" localSheetId="3">'Cetak_Pusdik (2)'!#REF!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'626402'!$N$17</definedName>
    <definedName name="chkKRO" localSheetId="5">Cetak_Pusdik!#REF!</definedName>
    <definedName name="chkKRO" localSheetId="3">'Cetak_Pusdik (2)'!#REF!</definedName>
    <definedName name="chkKRO" localSheetId="0">'DIPA4_PUSDIK (2)'!$J$17</definedName>
    <definedName name="chkKRO" localSheetId="1">GAJI!#REF!</definedName>
    <definedName name="chkKRO" localSheetId="2">'non 51'!#REF!</definedName>
    <definedName name="chkKRO">#REF!</definedName>
    <definedName name="chkProgram" localSheetId="4">'626402'!$N$15</definedName>
    <definedName name="chkProgram" localSheetId="5">Cetak_Pusdik!#REF!</definedName>
    <definedName name="chkProgram" localSheetId="3">'Cetak_Pusdik (2)'!#REF!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'626402'!$N$18</definedName>
    <definedName name="chkRO" localSheetId="5">Cetak_Pusdik!#REF!</definedName>
    <definedName name="chkRO" localSheetId="3">'Cetak_Pusdik (2)'!#REF!</definedName>
    <definedName name="chkRO" localSheetId="0">'DIPA4_PUSDIK (2)'!$J$18</definedName>
    <definedName name="chkRO" localSheetId="1">GAJI!#REF!</definedName>
    <definedName name="chkRO" localSheetId="2">'non 51'!#REF!</definedName>
    <definedName name="chkRO">#REF!</definedName>
    <definedName name="chksKomponen" localSheetId="4">'626402'!$N$20</definedName>
    <definedName name="chksKomponen" localSheetId="5">Cetak_Pusdik!#REF!</definedName>
    <definedName name="chksKomponen" localSheetId="3">'Cetak_Pusdik (2)'!#REF!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'626402'!$M$16</definedName>
    <definedName name="cKegiatan" localSheetId="5">Cetak_Pusdik!#REF!</definedName>
    <definedName name="cKegiatan" localSheetId="3">'Cetak_Pusdik (2)'!#REF!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'626402'!$M$19</definedName>
    <definedName name="cKomponen" localSheetId="5">Cetak_Pusdik!#REF!</definedName>
    <definedName name="cKomponen" localSheetId="3">'Cetak_Pusdik (2)'!#REF!</definedName>
    <definedName name="cKomponen" localSheetId="0">'DIPA4_PUSDIK (2)'!$I$19</definedName>
    <definedName name="cKomponen" localSheetId="1">GAJI!#REF!</definedName>
    <definedName name="cKomponen" localSheetId="2">'non 51'!#REF!</definedName>
    <definedName name="cKomponen">#REF!</definedName>
    <definedName name="cKRO" localSheetId="4">'626402'!$M$17</definedName>
    <definedName name="cKRO" localSheetId="5">Cetak_Pusdik!#REF!</definedName>
    <definedName name="cKRO" localSheetId="3">'Cetak_Pusdik (2)'!#REF!</definedName>
    <definedName name="cKRO" localSheetId="0">'DIPA4_PUSDIK (2)'!$I$17</definedName>
    <definedName name="cKRO" localSheetId="1">GAJI!#REF!</definedName>
    <definedName name="cKRO" localSheetId="2">'non 51'!#REF!</definedName>
    <definedName name="cKRO">#REF!</definedName>
    <definedName name="cProgram" localSheetId="4">'626402'!$M$15</definedName>
    <definedName name="cProgram" localSheetId="5">Cetak_Pusdik!#REF!</definedName>
    <definedName name="cProgram" localSheetId="3">'Cetak_Pusdik (2)'!#REF!</definedName>
    <definedName name="cProgram" localSheetId="0">'DIPA4_PUSDIK (2)'!$I$15</definedName>
    <definedName name="cProgram" localSheetId="1">GAJI!#REF!</definedName>
    <definedName name="cProgram" localSheetId="2">'non 51'!#REF!</definedName>
    <definedName name="cProgram">#REF!</definedName>
    <definedName name="cRO" localSheetId="4">'626402'!$M$18</definedName>
    <definedName name="cRO" localSheetId="5">Cetak_Pusdik!#REF!</definedName>
    <definedName name="cRO" localSheetId="3">'Cetak_Pusdik (2)'!#REF!</definedName>
    <definedName name="cRO" localSheetId="0">'DIPA4_PUSDIK (2)'!$I$18</definedName>
    <definedName name="cRO" localSheetId="1">GAJI!#REF!</definedName>
    <definedName name="cRO" localSheetId="2">'non 51'!#REF!</definedName>
    <definedName name="cRO">#REF!</definedName>
    <definedName name="cSKomponen" localSheetId="4">'626402'!$M$20</definedName>
    <definedName name="cSKomponen" localSheetId="5">Cetak_Pusdik!#REF!</definedName>
    <definedName name="cSKomponen" localSheetId="3">'Cetak_Pusdik (2)'!#REF!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'626402'!$I$10</definedName>
    <definedName name="Entri_Es2" localSheetId="5">Cetak_Pusdik!#REF!</definedName>
    <definedName name="Entri_Es2" localSheetId="3">'Cetak_Pusdik (2)'!#REF!</definedName>
    <definedName name="Entri_Es2" localSheetId="1">GAJI!#REF!</definedName>
    <definedName name="Entri_Es2" localSheetId="2">'non 51'!#REF!</definedName>
    <definedName name="Entri_Es2">#REF!</definedName>
    <definedName name="Entri_Es3" localSheetId="4">'626402'!$J$10</definedName>
    <definedName name="Entri_Es3" localSheetId="5">Cetak_Pusdik!#REF!</definedName>
    <definedName name="Entri_Es3" localSheetId="3">'Cetak_Pusdik (2)'!#REF!</definedName>
    <definedName name="Entri_Es3" localSheetId="1">GAJI!#REF!</definedName>
    <definedName name="Entri_Es3" localSheetId="2">'non 51'!#REF!</definedName>
    <definedName name="Entri_Es3">#REF!</definedName>
    <definedName name="Entri_Es4" localSheetId="4">'626402'!$K$10</definedName>
    <definedName name="Entri_Es4" localSheetId="5">Cetak_Pusdik!#REF!</definedName>
    <definedName name="Entri_Es4" localSheetId="3">'Cetak_Pusdik (2)'!#REF!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FILTER_LAP">'[1]DASHBOARD SP2D'!#REF!</definedName>
    <definedName name="kegiatan" localSheetId="4">'626402'!$T$2:$T$2</definedName>
    <definedName name="kegiatan" localSheetId="5">Cetak_Pusdik!#REF!</definedName>
    <definedName name="kegiatan" localSheetId="3">'Cetak_Pusdik (2)'!#REF!</definedName>
    <definedName name="kegiatan" localSheetId="1">GAJI!#REF!</definedName>
    <definedName name="kegiatan" localSheetId="2">'non 51'!#REF!</definedName>
    <definedName name="kegiatan">#REF!</definedName>
    <definedName name="_xlnm.Print_Area" localSheetId="4">'626402'!$A$1:$N$2249</definedName>
    <definedName name="_xlnm.Print_Area" localSheetId="5">Cetak_Pusdik!$B$1:$G$589</definedName>
    <definedName name="_xlnm.Print_Area" localSheetId="3">'Cetak_Pusdik (2)'!$B$1:$G$589</definedName>
    <definedName name="_xlnm.Print_Area" localSheetId="15">'DENGAN GAJI'!$B$1:$P$64</definedName>
    <definedName name="_xlnm.Print_Area" localSheetId="0">'DIPA4_PUSDIK (2)'!$B$1:$G$2221</definedName>
    <definedName name="_xlnm.Print_Area" localSheetId="1">GAJI!$B$1:$K$57</definedName>
    <definedName name="_xlnm.Print_Area" localSheetId="9">'GUP TUP'!$B$7:$F$20</definedName>
    <definedName name="_xlnm.Print_Area" localSheetId="2">'non 51'!$A$1:$G$546</definedName>
    <definedName name="_xlnm.Print_Area" localSheetId="11">'PER BULAN'!$B$4:$AT$231</definedName>
    <definedName name="_xlnm.Print_Area" localSheetId="8">PERAKUN!$C$1:$H$246</definedName>
    <definedName name="_xlnm.Print_Area" localSheetId="12">PERSUBBID!$A$1:$G$55</definedName>
    <definedName name="_xlnm.Print_Area" localSheetId="14">'PERSUBBID GAJI'!$A$1:$G$60</definedName>
    <definedName name="_xlnm.Print_Area" localSheetId="13">'TANPA GAJI'!$B$1:$P$61</definedName>
    <definedName name="_xlnm.Print_Titles" localSheetId="4">'626402'!$1:$11</definedName>
    <definedName name="_xlnm.Print_Titles" localSheetId="5">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8">PERAKUN!$5:$5</definedName>
    <definedName name="rngSP2D">'[3]Tambahan Realisasi'!$C$2</definedName>
    <definedName name="rowEselon2" localSheetId="4">'626402'!$Q$2</definedName>
    <definedName name="rowEselon2" localSheetId="5">Cetak_Pusdik!#REF!</definedName>
    <definedName name="rowEselon2" localSheetId="3">'Cetak_Pusdik (2)'!#REF!</definedName>
    <definedName name="rowEselon2" localSheetId="1">GAJI!#REF!</definedName>
    <definedName name="rowEselon2" localSheetId="2">'non 51'!#REF!</definedName>
    <definedName name="rowEselon2">#REF!</definedName>
    <definedName name="rowKoord" localSheetId="4">'626402'!$R$2</definedName>
    <definedName name="rowKoord" localSheetId="5">Cetak_Pusdik!#REF!</definedName>
    <definedName name="rowKoord" localSheetId="3">'Cetak_Pusdik (2)'!#REF!</definedName>
    <definedName name="rowKoord" localSheetId="1">GAJI!#REF!</definedName>
    <definedName name="rowKoord" localSheetId="2">'non 51'!#REF!</definedName>
    <definedName name="rowKoord">#REF!</definedName>
    <definedName name="rowSelect" localSheetId="4">'626402'!$P$2</definedName>
    <definedName name="rowSelect" localSheetId="5">Cetak_Pusdik!#REF!</definedName>
    <definedName name="rowSelect" localSheetId="3">'Cetak_Pusdik (2)'!#REF!</definedName>
    <definedName name="rowSelect" localSheetId="1">GAJI!#REF!</definedName>
    <definedName name="rowSelect" localSheetId="2">'non 51'!#REF!</definedName>
    <definedName name="rowSelect">#REF!</definedName>
    <definedName name="rowSubKoord" localSheetId="4">'626402'!$S$2</definedName>
    <definedName name="rowSubKoord" localSheetId="5">Cetak_Pusdik!#REF!</definedName>
    <definedName name="rowSubKoord" localSheetId="3">'Cetak_Pusdik (2)'!#REF!</definedName>
    <definedName name="rowSubKoord" localSheetId="1">GAJI!#REF!</definedName>
    <definedName name="rowSubKoord" localSheetId="2">'non 51'!#REF!</definedName>
    <definedName name="rowSubKoord">#REF!</definedName>
    <definedName name="Slicer_koordinator">#N/A</definedName>
    <definedName name="Slicer_Subkoordinator">#N/A</definedName>
    <definedName name="SSBP">[1]SSBP!#REF!</definedName>
    <definedName name="Start_Jadi" localSheetId="4">'626402'!$B$13</definedName>
    <definedName name="Start_Jadi" localSheetId="5">Cetak_Pusdik!$B$13</definedName>
    <definedName name="Start_Jadi" localSheetId="3">'Cetak_Pusdik (2)'!$B$13</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17" r:id="rId22"/>
    <pivotCache cacheId="18" r:id="rId23"/>
  </pivotCaches>
  <extLst>
    <ext xmlns:x14="http://schemas.microsoft.com/office/spreadsheetml/2009/9/main" uri="{BBE1A952-AA13-448e-AADC-164F8A28A991}">
      <x14:slicerCaches>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217" i="13" l="1"/>
  <c r="H330" i="11"/>
  <c r="V176" i="13" l="1"/>
  <c r="T10" i="23" a="1"/>
  <c r="T10" i="23" s="1"/>
  <c r="V112" i="13"/>
  <c r="V47" i="13"/>
  <c r="O4" i="23" l="1"/>
  <c r="H511" i="10"/>
  <c r="M16" i="24"/>
  <c r="L17" i="24"/>
  <c r="O9" i="23" l="1"/>
  <c r="J37" i="25" s="1"/>
  <c r="O7" i="23"/>
  <c r="J34" i="25" s="1"/>
  <c r="O2" i="23"/>
  <c r="O5" i="2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X144" i="16" l="1"/>
  <c r="BE20" i="13"/>
  <c r="BE24" i="13"/>
  <c r="BE19" i="13" s="1"/>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207" i="13" l="1"/>
  <c r="BE206" i="13" s="1"/>
  <c r="BE205" i="13" s="1"/>
  <c r="BE204" i="13" s="1"/>
  <c r="BE148" i="13"/>
  <c r="BE147" i="13" s="1"/>
  <c r="BE183" i="13"/>
  <c r="BE182" i="13" s="1"/>
  <c r="BE166" i="13"/>
  <c r="BE165" i="13" s="1"/>
  <c r="BE124" i="13"/>
  <c r="BE123" i="13" s="1"/>
  <c r="BE77" i="13"/>
  <c r="BE76" i="13" s="1"/>
  <c r="BE32" i="13"/>
  <c r="BE18" i="13" s="1"/>
  <c r="BE17" i="13" s="1"/>
  <c r="BE16" i="13" s="1"/>
  <c r="BE15" i="13" s="1"/>
  <c r="O3" i="23"/>
  <c r="V107" i="13"/>
  <c r="J246" i="20"/>
  <c r="V220" i="13"/>
  <c r="J247" i="20"/>
  <c r="BE146" i="13" l="1"/>
  <c r="BE67" i="13"/>
  <c r="BE61" i="13" s="1"/>
  <c r="BE60" i="13" s="1"/>
  <c r="BE14" i="13" s="1"/>
  <c r="V59" i="13"/>
  <c r="F70" i="13"/>
  <c r="F69" i="13" s="1"/>
  <c r="T185" i="13"/>
  <c r="T135" i="13"/>
  <c r="AV4" i="16"/>
  <c r="AV5"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56" i="16"/>
  <c r="AV57" i="16"/>
  <c r="AV58" i="16"/>
  <c r="AV59" i="16"/>
  <c r="AV60" i="16"/>
  <c r="AV61" i="16"/>
  <c r="AV62" i="16"/>
  <c r="AV63" i="16"/>
  <c r="AV64" i="16"/>
  <c r="AV65" i="16"/>
  <c r="AV66" i="16"/>
  <c r="AV67" i="16"/>
  <c r="AV68" i="16"/>
  <c r="AV69" i="16"/>
  <c r="AV70" i="16"/>
  <c r="AV71" i="16"/>
  <c r="AV72" i="16"/>
  <c r="AV73" i="16"/>
  <c r="AV74" i="16"/>
  <c r="AV75" i="16"/>
  <c r="AV76" i="16"/>
  <c r="AV77" i="16"/>
  <c r="AV78" i="16"/>
  <c r="AV79" i="16"/>
  <c r="AV80" i="16"/>
  <c r="AV81" i="16"/>
  <c r="AV82" i="16"/>
  <c r="AV83" i="16"/>
  <c r="AV84" i="16"/>
  <c r="AV85" i="16"/>
  <c r="AV86" i="16"/>
  <c r="AV87" i="16"/>
  <c r="AV88" i="16"/>
  <c r="AV89" i="16"/>
  <c r="AV90" i="16"/>
  <c r="AV91" i="16"/>
  <c r="AV92" i="16"/>
  <c r="AV93" i="16"/>
  <c r="AV94" i="16"/>
  <c r="AW94" i="16"/>
  <c r="AV95" i="16"/>
  <c r="AW95" i="16"/>
  <c r="AV96" i="16"/>
  <c r="AW96" i="16"/>
  <c r="AV97" i="16"/>
  <c r="AW97" i="16"/>
  <c r="AV98" i="16"/>
  <c r="AW98" i="16"/>
  <c r="AV99" i="16"/>
  <c r="AW99" i="16"/>
  <c r="AV100" i="16"/>
  <c r="AW100" i="16"/>
  <c r="AV101" i="16"/>
  <c r="AW101" i="16"/>
  <c r="AV102" i="16"/>
  <c r="AW102" i="16"/>
  <c r="AV103" i="16"/>
  <c r="AW103" i="16"/>
  <c r="AV104" i="16"/>
  <c r="AW104" i="16"/>
  <c r="AV105" i="16"/>
  <c r="AW105" i="16"/>
  <c r="AV106" i="16"/>
  <c r="AW106" i="16"/>
  <c r="AV107" i="16"/>
  <c r="AW107" i="16"/>
  <c r="AV108" i="16"/>
  <c r="AW108" i="16"/>
  <c r="AV109" i="16"/>
  <c r="AW109" i="16"/>
  <c r="AV110" i="16"/>
  <c r="AW110" i="16"/>
  <c r="AV111" i="16"/>
  <c r="AW111" i="16"/>
  <c r="AV112" i="16"/>
  <c r="AW112" i="16"/>
  <c r="AV113" i="16"/>
  <c r="AW113" i="16"/>
  <c r="AV114" i="16"/>
  <c r="AW114" i="16"/>
  <c r="AV115" i="16"/>
  <c r="AW115" i="16"/>
  <c r="AV116" i="16"/>
  <c r="AW116" i="16"/>
  <c r="AV117" i="16"/>
  <c r="AW117" i="16"/>
  <c r="AV118" i="16"/>
  <c r="AW118" i="16"/>
  <c r="AV119" i="16"/>
  <c r="AW119" i="16"/>
  <c r="AV120" i="16"/>
  <c r="AW120" i="16"/>
  <c r="AV121" i="16"/>
  <c r="AW121" i="16"/>
  <c r="AV122" i="16"/>
  <c r="AW122" i="16"/>
  <c r="AV123" i="16"/>
  <c r="AW123" i="16"/>
  <c r="AV124" i="16"/>
  <c r="AW124" i="16"/>
  <c r="AV125" i="16"/>
  <c r="AW125" i="16"/>
  <c r="AV126" i="16"/>
  <c r="AW126" i="16"/>
  <c r="AV127" i="16"/>
  <c r="AW127" i="16"/>
  <c r="AV128" i="16"/>
  <c r="AW128" i="16"/>
  <c r="AV129" i="16"/>
  <c r="AW129" i="16"/>
  <c r="AV130" i="16"/>
  <c r="AW130" i="16"/>
  <c r="AV131" i="16"/>
  <c r="AW131" i="16"/>
  <c r="AV132" i="16"/>
  <c r="AW132" i="16"/>
  <c r="AV133" i="16"/>
  <c r="AW133" i="16"/>
  <c r="AV134" i="16"/>
  <c r="AW134" i="16"/>
  <c r="AV135" i="16"/>
  <c r="AW135" i="16"/>
  <c r="AV136" i="16"/>
  <c r="AW136" i="16"/>
  <c r="AV137" i="16"/>
  <c r="AW137" i="16"/>
  <c r="AV138" i="16"/>
  <c r="AW138" i="16"/>
  <c r="AV139" i="16"/>
  <c r="AW139" i="16"/>
  <c r="AV140" i="16"/>
  <c r="AW140" i="16"/>
  <c r="AV141" i="16"/>
  <c r="AW141" i="16"/>
  <c r="AV142" i="16"/>
  <c r="AW142" i="16"/>
  <c r="AV143" i="16"/>
  <c r="AW143" i="16"/>
  <c r="S112" i="13"/>
  <c r="S159" i="13"/>
  <c r="S153" i="13"/>
  <c r="T194" i="13"/>
  <c r="T132" i="13"/>
  <c r="T129" i="13"/>
  <c r="T127" i="13"/>
  <c r="T126" i="13"/>
  <c r="T104" i="13"/>
  <c r="T100" i="13"/>
  <c r="T89" i="13"/>
  <c r="T85" i="13"/>
  <c r="BC20" i="13"/>
  <c r="BD20" i="13"/>
  <c r="BC24" i="13"/>
  <c r="BD24" i="13"/>
  <c r="BC29" i="13"/>
  <c r="BC28" i="13" s="1"/>
  <c r="BD29" i="13"/>
  <c r="BD28" i="13" s="1"/>
  <c r="BC33" i="13"/>
  <c r="BD33" i="13"/>
  <c r="BC41" i="13"/>
  <c r="BD41" i="13"/>
  <c r="BC48" i="13"/>
  <c r="BD48" i="13"/>
  <c r="BC54" i="13"/>
  <c r="BC53" i="13" s="1"/>
  <c r="BD54" i="13"/>
  <c r="BD53" i="13" s="1"/>
  <c r="BC65" i="13"/>
  <c r="BC64" i="13" s="1"/>
  <c r="BC63" i="13" s="1"/>
  <c r="BC62" i="13" s="1"/>
  <c r="BD65" i="13"/>
  <c r="BD64" i="13" s="1"/>
  <c r="BD63" i="13" s="1"/>
  <c r="BD62" i="13" s="1"/>
  <c r="BC70" i="13"/>
  <c r="BC69" i="13" s="1"/>
  <c r="BC68" i="13" s="1"/>
  <c r="BD70" i="13"/>
  <c r="BD69" i="13" s="1"/>
  <c r="BD68" i="13" s="1"/>
  <c r="BC78" i="13"/>
  <c r="BD78" i="13"/>
  <c r="BC82" i="13"/>
  <c r="BD82" i="13"/>
  <c r="BC86" i="13"/>
  <c r="BD86" i="13"/>
  <c r="BC91" i="13"/>
  <c r="BD91" i="13"/>
  <c r="BC95" i="13"/>
  <c r="BD95" i="13"/>
  <c r="BC102" i="13"/>
  <c r="BD102" i="13"/>
  <c r="BC108" i="13"/>
  <c r="BD108" i="13"/>
  <c r="BC113" i="13"/>
  <c r="BD113" i="13"/>
  <c r="BC118" i="13"/>
  <c r="BD118" i="13"/>
  <c r="BC125" i="13"/>
  <c r="BD125" i="13"/>
  <c r="BC128" i="13"/>
  <c r="BD128" i="13"/>
  <c r="BC131" i="13"/>
  <c r="BD131" i="13"/>
  <c r="BC134" i="13"/>
  <c r="BD134" i="13"/>
  <c r="BC137" i="13"/>
  <c r="BD137" i="13"/>
  <c r="BC144" i="13"/>
  <c r="BC143" i="13" s="1"/>
  <c r="BC142" i="13" s="1"/>
  <c r="BC141" i="13" s="1"/>
  <c r="BD144" i="13"/>
  <c r="BD143" i="13" s="1"/>
  <c r="BD142" i="13" s="1"/>
  <c r="BD141" i="13" s="1"/>
  <c r="BC149" i="13"/>
  <c r="BD149" i="13"/>
  <c r="BC154" i="13"/>
  <c r="BD154" i="13"/>
  <c r="BC160" i="13"/>
  <c r="BD160" i="13"/>
  <c r="BC167" i="13"/>
  <c r="BD167" i="13"/>
  <c r="BC171" i="13"/>
  <c r="BD171" i="13"/>
  <c r="BC178" i="13"/>
  <c r="BC177" i="13" s="1"/>
  <c r="BD178" i="13"/>
  <c r="BD177" i="13" s="1"/>
  <c r="BC184" i="13"/>
  <c r="BD184" i="13"/>
  <c r="BC187" i="13"/>
  <c r="BD187" i="13"/>
  <c r="BC190" i="13"/>
  <c r="BD190" i="13"/>
  <c r="BC193" i="13"/>
  <c r="BD193" i="13"/>
  <c r="BC197" i="13"/>
  <c r="BD197" i="13"/>
  <c r="BC200" i="13"/>
  <c r="BD200" i="13"/>
  <c r="BC208" i="13"/>
  <c r="BD208" i="13"/>
  <c r="BC215" i="13"/>
  <c r="BD215" i="13"/>
  <c r="BC221" i="13"/>
  <c r="BD221" i="13"/>
  <c r="BC225" i="13"/>
  <c r="BD225" i="13"/>
  <c r="BC228" i="13"/>
  <c r="BC227" i="13" s="1"/>
  <c r="BD228" i="13"/>
  <c r="BD227" i="13" s="1"/>
  <c r="AW144" i="16" l="1"/>
  <c r="AV144" i="16"/>
  <c r="BC166" i="13"/>
  <c r="BD183" i="13"/>
  <c r="BD182" i="13" s="1"/>
  <c r="BC32" i="13"/>
  <c r="BD207" i="13"/>
  <c r="BD206" i="13" s="1"/>
  <c r="BD205" i="13" s="1"/>
  <c r="BD204" i="13" s="1"/>
  <c r="BD77" i="13"/>
  <c r="BD76" i="13" s="1"/>
  <c r="BD32" i="13"/>
  <c r="BD166" i="13"/>
  <c r="BD165" i="13" s="1"/>
  <c r="BD148" i="13"/>
  <c r="BD147" i="13" s="1"/>
  <c r="BD124" i="13"/>
  <c r="BD123" i="13" s="1"/>
  <c r="BD19" i="13"/>
  <c r="BC77" i="13"/>
  <c r="BC76" i="13" s="1"/>
  <c r="BC207" i="13"/>
  <c r="BC206" i="13" s="1"/>
  <c r="BC205" i="13" s="1"/>
  <c r="BC204" i="13" s="1"/>
  <c r="BC183" i="13"/>
  <c r="BC182" i="13" s="1"/>
  <c r="BC148" i="13"/>
  <c r="BC147" i="13" s="1"/>
  <c r="BC124" i="13"/>
  <c r="BC123" i="13" s="1"/>
  <c r="BC19" i="13"/>
  <c r="BC165" i="13"/>
  <c r="BC18" i="13" l="1"/>
  <c r="BC17" i="13" s="1"/>
  <c r="BC16" i="13" s="1"/>
  <c r="BC15" i="13" s="1"/>
  <c r="BD146" i="13"/>
  <c r="BD18" i="13"/>
  <c r="BD17" i="13" s="1"/>
  <c r="BD16" i="13" s="1"/>
  <c r="BD15" i="13" s="1"/>
  <c r="BC146" i="13"/>
  <c r="BC67" i="13"/>
  <c r="BD67" i="13"/>
  <c r="BC61" i="13" l="1"/>
  <c r="BC60" i="13" s="1"/>
  <c r="BC14" i="13" s="1"/>
  <c r="BD61" i="13"/>
  <c r="BD60" i="13" s="1"/>
  <c r="BD14" i="13" s="1"/>
  <c r="T86" i="13" l="1"/>
  <c r="U24" i="13"/>
  <c r="U29" i="13"/>
  <c r="U28" i="13" s="1"/>
  <c r="U33" i="13"/>
  <c r="U41" i="13"/>
  <c r="U48" i="13"/>
  <c r="U54" i="13"/>
  <c r="U53" i="13" s="1"/>
  <c r="U65" i="13"/>
  <c r="U64" i="13" s="1"/>
  <c r="U63" i="13" s="1"/>
  <c r="U62" i="13" s="1"/>
  <c r="U70" i="13"/>
  <c r="U69" i="13" s="1"/>
  <c r="U68" i="13" s="1"/>
  <c r="U78" i="13"/>
  <c r="U82" i="13"/>
  <c r="U86" i="13"/>
  <c r="U91" i="13"/>
  <c r="U95" i="13"/>
  <c r="U102" i="13"/>
  <c r="U108" i="13"/>
  <c r="U113" i="13"/>
  <c r="U118" i="13"/>
  <c r="U125" i="13"/>
  <c r="U128" i="13"/>
  <c r="U131" i="13"/>
  <c r="U134" i="13"/>
  <c r="U137" i="13"/>
  <c r="U144" i="13"/>
  <c r="U143" i="13" s="1"/>
  <c r="U142" i="13" s="1"/>
  <c r="U141" i="13" s="1"/>
  <c r="U149" i="13"/>
  <c r="U154" i="13"/>
  <c r="U160" i="13"/>
  <c r="U148" i="13" l="1"/>
  <c r="U147" i="13" s="1"/>
  <c r="U124" i="13"/>
  <c r="U123" i="13" s="1"/>
  <c r="U32" i="13"/>
  <c r="U77" i="13"/>
  <c r="U76" i="13" s="1"/>
  <c r="U67" i="13" l="1"/>
  <c r="AU143" i="16" l="1"/>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U144" i="16" l="1"/>
  <c r="BB20" i="13"/>
  <c r="BB24" i="13"/>
  <c r="BB29" i="13"/>
  <c r="BB28" i="13" s="1"/>
  <c r="BB33" i="13"/>
  <c r="BB41" i="13"/>
  <c r="BB48" i="13"/>
  <c r="BB54" i="13"/>
  <c r="BB53" i="13" s="1"/>
  <c r="BB65" i="13"/>
  <c r="BB64" i="13" s="1"/>
  <c r="BB63" i="13" s="1"/>
  <c r="BB62" i="13" s="1"/>
  <c r="BB70" i="13"/>
  <c r="BB69" i="13" s="1"/>
  <c r="BB68" i="13" s="1"/>
  <c r="BB78" i="13"/>
  <c r="BB82" i="13"/>
  <c r="BB86" i="13"/>
  <c r="BB91" i="13"/>
  <c r="BB95" i="13"/>
  <c r="BB102" i="13"/>
  <c r="BB108" i="13"/>
  <c r="BB113" i="13"/>
  <c r="BB118" i="13"/>
  <c r="BB125" i="13"/>
  <c r="BB128" i="13"/>
  <c r="BB131" i="13"/>
  <c r="BB134" i="13"/>
  <c r="BB137" i="13"/>
  <c r="BB144" i="13"/>
  <c r="BB143" i="13" s="1"/>
  <c r="BB142" i="13" s="1"/>
  <c r="BB141" i="13" s="1"/>
  <c r="BB149" i="13"/>
  <c r="BB154" i="13"/>
  <c r="BB160" i="13"/>
  <c r="BB167" i="13"/>
  <c r="BB171" i="13"/>
  <c r="BB178" i="13"/>
  <c r="BB177" i="13" s="1"/>
  <c r="BB184" i="13"/>
  <c r="BB187" i="13"/>
  <c r="BB190" i="13"/>
  <c r="BB193" i="13"/>
  <c r="BB197" i="13"/>
  <c r="BB200" i="13"/>
  <c r="BB208" i="13"/>
  <c r="BB215" i="13"/>
  <c r="BB221" i="13"/>
  <c r="BB225" i="13"/>
  <c r="BB228" i="13"/>
  <c r="BB227" i="13" s="1"/>
  <c r="A3" i="25"/>
  <c r="BB166" i="13" l="1"/>
  <c r="BB165" i="13" s="1"/>
  <c r="BB77" i="13"/>
  <c r="BB76" i="13" s="1"/>
  <c r="BB148" i="13"/>
  <c r="BB147" i="13" s="1"/>
  <c r="BB19" i="13"/>
  <c r="BB32" i="13"/>
  <c r="BB207" i="13"/>
  <c r="BB206" i="13" s="1"/>
  <c r="BB205" i="13" s="1"/>
  <c r="BB204" i="13" s="1"/>
  <c r="BB183" i="13"/>
  <c r="BB182" i="13" s="1"/>
  <c r="BB124" i="13"/>
  <c r="BB123" i="13" s="1"/>
  <c r="P181" i="13"/>
  <c r="P217" i="13"/>
  <c r="BB18" i="13" l="1"/>
  <c r="BB17" i="13" s="1"/>
  <c r="BB16" i="13" s="1"/>
  <c r="BB15" i="13" s="1"/>
  <c r="BB67" i="13"/>
  <c r="BB146" i="13"/>
  <c r="D13" i="25"/>
  <c r="C13" i="25"/>
  <c r="C37" i="25" s="1"/>
  <c r="C12" i="25"/>
  <c r="C36" i="25" s="1"/>
  <c r="BB61" i="13" l="1"/>
  <c r="BB60" i="13" s="1"/>
  <c r="BB14" i="13" s="1"/>
  <c r="C35" i="25"/>
  <c r="E37" i="25"/>
  <c r="F37" i="25"/>
  <c r="G37" i="25" s="1"/>
  <c r="E13" i="25"/>
  <c r="F13" i="25"/>
  <c r="G13" i="25" s="1"/>
  <c r="D57" i="25" l="1"/>
  <c r="C56" i="25"/>
  <c r="F56" i="25" s="1"/>
  <c r="G56" i="25" s="1"/>
  <c r="C55" i="25"/>
  <c r="F55" i="25" s="1"/>
  <c r="G55" i="25" s="1"/>
  <c r="D54" i="25"/>
  <c r="C54" i="25"/>
  <c r="F53" i="25"/>
  <c r="G53" i="25" s="1"/>
  <c r="E53" i="25"/>
  <c r="F52" i="25"/>
  <c r="G52" i="25" s="1"/>
  <c r="E52" i="25"/>
  <c r="D51" i="25"/>
  <c r="F50" i="25"/>
  <c r="E50" i="25"/>
  <c r="C49" i="25"/>
  <c r="F49" i="25" s="1"/>
  <c r="F47" i="25"/>
  <c r="E47" i="25"/>
  <c r="C46" i="25"/>
  <c r="C48" i="25" s="1"/>
  <c r="C31" i="25"/>
  <c r="C40" i="25" s="1"/>
  <c r="A2" i="25"/>
  <c r="F54" i="25" l="1"/>
  <c r="G54" i="25" s="1"/>
  <c r="C42" i="25"/>
  <c r="C57" i="25"/>
  <c r="F57" i="25" s="1"/>
  <c r="G57" i="25" s="1"/>
  <c r="E49" i="25"/>
  <c r="C51" i="25"/>
  <c r="F51" i="25" s="1"/>
  <c r="G51" i="25" s="1"/>
  <c r="E55" i="25"/>
  <c r="E56" i="25"/>
  <c r="L53" i="24"/>
  <c r="L49" i="24"/>
  <c r="L47" i="24"/>
  <c r="L45" i="24"/>
  <c r="L41" i="24"/>
  <c r="L37" i="24"/>
  <c r="L33" i="24"/>
  <c r="L29" i="24"/>
  <c r="L25" i="24"/>
  <c r="L21" i="24"/>
  <c r="H16" i="24"/>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E57" i="25" l="1"/>
  <c r="C58" i="25"/>
  <c r="E51" i="25"/>
  <c r="G29" i="24"/>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P126" i="13"/>
  <c r="F65" i="23"/>
  <c r="P23" i="13"/>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4" i="16"/>
  <c r="BA225" i="13"/>
  <c r="BA228" i="13"/>
  <c r="BA227" i="13" s="1"/>
  <c r="BA221" i="13"/>
  <c r="BA215" i="13"/>
  <c r="BA208" i="13"/>
  <c r="BA200" i="13"/>
  <c r="BA197" i="13"/>
  <c r="BA193" i="13"/>
  <c r="BA190" i="13"/>
  <c r="BA187" i="13"/>
  <c r="BA184" i="13"/>
  <c r="BA178" i="13"/>
  <c r="BA177" i="13" s="1"/>
  <c r="BA171" i="13"/>
  <c r="BA167" i="13"/>
  <c r="BA160" i="13"/>
  <c r="BA154" i="13"/>
  <c r="BA149" i="13"/>
  <c r="BA144" i="13"/>
  <c r="BA143" i="13" s="1"/>
  <c r="BA142" i="13" s="1"/>
  <c r="BA141" i="13" s="1"/>
  <c r="BA137" i="13"/>
  <c r="BA134" i="13"/>
  <c r="BA131" i="13"/>
  <c r="BA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G13" i="24" l="1"/>
  <c r="J14" i="24"/>
  <c r="K14" i="24" s="1"/>
  <c r="I14" i="24"/>
  <c r="O8" i="23"/>
  <c r="J31" i="25" s="1"/>
  <c r="BA166" i="13"/>
  <c r="BA124" i="13"/>
  <c r="BA123" i="13" s="1"/>
  <c r="BA183" i="13"/>
  <c r="BA182" i="13" s="1"/>
  <c r="AT144" i="16"/>
  <c r="BA207" i="13"/>
  <c r="BA206" i="13" s="1"/>
  <c r="BA205" i="13" s="1"/>
  <c r="BA204" i="13" s="1"/>
  <c r="BA148" i="13"/>
  <c r="BA147" i="13" s="1"/>
  <c r="BA77" i="13"/>
  <c r="BA76" i="13" s="1"/>
  <c r="BA67" i="13" s="1"/>
  <c r="BA165" i="13"/>
  <c r="BA32" i="13"/>
  <c r="BA19" i="13"/>
  <c r="P31" i="13"/>
  <c r="AZ178" i="13"/>
  <c r="AZ177" i="13" s="1"/>
  <c r="AZ167" i="13"/>
  <c r="AY167" i="13"/>
  <c r="AZ154" i="13"/>
  <c r="AY154" i="13"/>
  <c r="AX154" i="13"/>
  <c r="AZ144" i="13"/>
  <c r="AY144" i="13"/>
  <c r="AY143" i="13" s="1"/>
  <c r="AY142" i="13" s="1"/>
  <c r="AY141" i="13" s="1"/>
  <c r="AQ231" i="13"/>
  <c r="AQ152" i="13"/>
  <c r="AR152" i="13" s="1"/>
  <c r="AQ150" i="13"/>
  <c r="AS150" i="13" s="1"/>
  <c r="AT150" i="13" s="1"/>
  <c r="AQ145" i="13"/>
  <c r="AS145" i="13" s="1"/>
  <c r="AQ140" i="13"/>
  <c r="AS140" i="13" s="1"/>
  <c r="AT140" i="13" s="1"/>
  <c r="AQ139" i="13"/>
  <c r="AR139" i="13" s="1"/>
  <c r="AQ138" i="13"/>
  <c r="AS138" i="13" s="1"/>
  <c r="AT138" i="13" s="1"/>
  <c r="AQ135" i="13"/>
  <c r="AS135" i="13" s="1"/>
  <c r="AT135" i="13" s="1"/>
  <c r="AQ136" i="13"/>
  <c r="AS136" i="13" s="1"/>
  <c r="AQ133" i="13"/>
  <c r="AS133" i="13" s="1"/>
  <c r="AT133" i="13" s="1"/>
  <c r="AQ130" i="13"/>
  <c r="AR130" i="13" s="1"/>
  <c r="AX128" i="13"/>
  <c r="AQ155" i="13"/>
  <c r="AQ151" i="13"/>
  <c r="AR151" i="13" s="1"/>
  <c r="AQ153" i="13"/>
  <c r="AR153" i="13" s="1"/>
  <c r="AC55" i="16"/>
  <c r="AB55" i="16"/>
  <c r="AA55" i="16"/>
  <c r="Z55" i="16"/>
  <c r="Y55" i="16"/>
  <c r="X55" i="16"/>
  <c r="W55" i="16"/>
  <c r="V55" i="16"/>
  <c r="U55" i="16"/>
  <c r="T55" i="16"/>
  <c r="S55" i="16"/>
  <c r="R55" i="16"/>
  <c r="S54" i="16"/>
  <c r="R54" i="16"/>
  <c r="R53" i="16"/>
  <c r="R142" i="16"/>
  <c r="R141" i="16"/>
  <c r="R138" i="16"/>
  <c r="R137" i="16"/>
  <c r="R135" i="16"/>
  <c r="R134" i="16"/>
  <c r="R133" i="16"/>
  <c r="R132" i="16"/>
  <c r="R130" i="16"/>
  <c r="R129" i="16"/>
  <c r="R128" i="16"/>
  <c r="R127" i="16"/>
  <c r="R126" i="16"/>
  <c r="R124" i="16"/>
  <c r="R123" i="16"/>
  <c r="R121" i="16"/>
  <c r="R119" i="16"/>
  <c r="R118" i="16"/>
  <c r="R116" i="16"/>
  <c r="R114" i="16"/>
  <c r="R112" i="16"/>
  <c r="R110" i="16"/>
  <c r="R109" i="16"/>
  <c r="R107" i="16"/>
  <c r="R106" i="16"/>
  <c r="R105" i="16"/>
  <c r="R104" i="16"/>
  <c r="R102" i="16"/>
  <c r="R101" i="16"/>
  <c r="R99" i="16"/>
  <c r="R98" i="16"/>
  <c r="R97" i="16"/>
  <c r="R95" i="16"/>
  <c r="R94" i="16"/>
  <c r="R93" i="16"/>
  <c r="R92" i="16"/>
  <c r="R90" i="16"/>
  <c r="R89" i="16"/>
  <c r="R88" i="16"/>
  <c r="R85" i="16"/>
  <c r="R84" i="16"/>
  <c r="R82" i="16"/>
  <c r="R80" i="16"/>
  <c r="R78" i="16"/>
  <c r="R76" i="16"/>
  <c r="R74" i="16"/>
  <c r="R73" i="16"/>
  <c r="R72" i="16"/>
  <c r="R70" i="16"/>
  <c r="R69" i="16"/>
  <c r="R68" i="16"/>
  <c r="R66" i="16"/>
  <c r="R65" i="16"/>
  <c r="R64" i="16"/>
  <c r="R62" i="16"/>
  <c r="R61" i="16"/>
  <c r="R60" i="16"/>
  <c r="R59" i="16"/>
  <c r="R57" i="16"/>
  <c r="R56" i="16"/>
  <c r="AS143" i="16"/>
  <c r="AS142" i="16"/>
  <c r="AS141" i="16"/>
  <c r="AS140" i="16"/>
  <c r="AS139" i="16"/>
  <c r="AS138" i="16"/>
  <c r="AS137" i="16"/>
  <c r="AS136" i="16"/>
  <c r="AS135" i="16"/>
  <c r="AS134" i="16"/>
  <c r="AS133" i="16"/>
  <c r="AS132" i="16"/>
  <c r="AS131" i="16"/>
  <c r="AS130" i="16"/>
  <c r="AS129" i="16"/>
  <c r="AS128" i="16"/>
  <c r="AS127" i="16"/>
  <c r="AS126" i="16"/>
  <c r="AS125" i="16"/>
  <c r="AS124" i="16"/>
  <c r="AS123" i="16"/>
  <c r="AS122" i="16"/>
  <c r="AS121" i="16"/>
  <c r="AS120" i="16"/>
  <c r="AS119" i="16"/>
  <c r="AS118" i="16"/>
  <c r="AS117" i="16"/>
  <c r="AS116" i="16"/>
  <c r="AS115" i="16"/>
  <c r="AS114" i="16"/>
  <c r="AS113" i="16"/>
  <c r="AS112" i="16"/>
  <c r="AS111" i="16"/>
  <c r="AS110" i="16"/>
  <c r="AS109" i="16"/>
  <c r="AS108" i="16"/>
  <c r="AS107" i="16"/>
  <c r="AS106" i="16"/>
  <c r="AS105" i="16"/>
  <c r="AS104" i="16"/>
  <c r="AS103" i="16"/>
  <c r="AS102" i="16"/>
  <c r="AS101" i="16"/>
  <c r="AS100" i="16"/>
  <c r="AS99" i="16"/>
  <c r="AS98" i="16"/>
  <c r="AS97" i="16"/>
  <c r="AS96" i="16"/>
  <c r="AS95" i="16"/>
  <c r="AS94" i="16"/>
  <c r="AS93" i="16"/>
  <c r="AS92" i="16"/>
  <c r="AS91" i="16"/>
  <c r="AS90" i="16"/>
  <c r="AS89" i="16"/>
  <c r="AS88" i="16"/>
  <c r="AS87" i="16"/>
  <c r="AS86" i="16"/>
  <c r="AS85" i="16"/>
  <c r="AS84" i="16"/>
  <c r="AS83" i="16"/>
  <c r="AS82" i="16"/>
  <c r="AS81" i="16"/>
  <c r="AS80" i="16"/>
  <c r="AS79" i="16"/>
  <c r="AS78" i="16"/>
  <c r="AS77" i="16"/>
  <c r="AS76" i="16"/>
  <c r="AS75" i="16"/>
  <c r="AS74" i="16"/>
  <c r="AS73" i="16"/>
  <c r="AS72" i="16"/>
  <c r="AS71" i="16"/>
  <c r="AS70" i="16"/>
  <c r="AS69" i="16"/>
  <c r="AS68" i="16"/>
  <c r="AS67" i="16"/>
  <c r="AS66" i="16"/>
  <c r="AS65" i="16"/>
  <c r="AS64" i="16"/>
  <c r="AS63" i="16"/>
  <c r="AS62" i="16"/>
  <c r="AS61" i="16"/>
  <c r="AS60" i="16"/>
  <c r="AS59" i="16"/>
  <c r="AS58" i="16"/>
  <c r="AS57" i="16"/>
  <c r="AS56" i="16"/>
  <c r="AS5" i="16"/>
  <c r="AR143" i="16"/>
  <c r="AR142" i="16"/>
  <c r="AR141" i="16"/>
  <c r="AR140" i="16"/>
  <c r="AR139" i="16"/>
  <c r="AR138" i="16"/>
  <c r="AR137" i="16"/>
  <c r="AR136" i="16"/>
  <c r="AR135" i="16"/>
  <c r="AR134" i="16"/>
  <c r="AR133" i="16"/>
  <c r="AR132" i="16"/>
  <c r="AR131" i="16"/>
  <c r="AR130" i="16"/>
  <c r="AR129" i="16"/>
  <c r="AR128" i="16"/>
  <c r="AR127" i="16"/>
  <c r="AR126" i="16"/>
  <c r="AR125" i="16"/>
  <c r="AR124" i="16"/>
  <c r="AR123" i="16"/>
  <c r="AR122" i="16"/>
  <c r="AR121" i="16"/>
  <c r="AR120" i="16"/>
  <c r="AR119" i="16"/>
  <c r="AR118" i="16"/>
  <c r="AR117" i="16"/>
  <c r="AR116" i="16"/>
  <c r="AR115" i="16"/>
  <c r="AR114" i="16"/>
  <c r="AR113" i="16"/>
  <c r="AR112" i="16"/>
  <c r="AR111" i="16"/>
  <c r="AR110" i="16"/>
  <c r="AR109" i="16"/>
  <c r="AR108" i="16"/>
  <c r="AR107" i="16"/>
  <c r="AR106" i="16"/>
  <c r="AR105" i="16"/>
  <c r="AR104" i="16"/>
  <c r="AR103" i="16"/>
  <c r="AR102" i="16"/>
  <c r="AR101" i="16"/>
  <c r="AR100" i="16"/>
  <c r="AR99" i="16"/>
  <c r="AR98" i="16"/>
  <c r="AR97" i="16"/>
  <c r="AR96" i="16"/>
  <c r="AR95" i="16"/>
  <c r="AR94" i="16"/>
  <c r="AR93" i="16"/>
  <c r="AR92" i="16"/>
  <c r="AR91" i="16"/>
  <c r="AR90" i="16"/>
  <c r="AR89" i="16"/>
  <c r="AR88" i="16"/>
  <c r="AR87" i="16"/>
  <c r="AR86" i="16"/>
  <c r="AR85" i="16"/>
  <c r="AR84" i="16"/>
  <c r="AR83" i="16"/>
  <c r="AR82" i="16"/>
  <c r="AR81" i="16"/>
  <c r="AR80" i="16"/>
  <c r="AR79" i="16"/>
  <c r="AR78" i="16"/>
  <c r="AR77" i="16"/>
  <c r="AR76" i="16"/>
  <c r="AR75" i="16"/>
  <c r="AR74" i="16"/>
  <c r="AR73" i="16"/>
  <c r="AR72" i="16"/>
  <c r="AR71" i="16"/>
  <c r="AR70" i="16"/>
  <c r="AR69" i="16"/>
  <c r="AR68" i="16"/>
  <c r="AR67" i="16"/>
  <c r="AR66" i="16"/>
  <c r="AR65" i="16"/>
  <c r="AR64" i="16"/>
  <c r="AR63" i="16"/>
  <c r="AR62" i="16"/>
  <c r="AR61" i="16"/>
  <c r="AR60" i="16"/>
  <c r="AR59" i="16"/>
  <c r="AR58" i="16"/>
  <c r="AR57" i="16"/>
  <c r="AR56" i="16"/>
  <c r="AR54" i="16"/>
  <c r="AR53" i="16"/>
  <c r="AR52" i="16"/>
  <c r="AR51" i="16"/>
  <c r="AR50" i="16"/>
  <c r="AR49" i="16"/>
  <c r="AR48" i="16"/>
  <c r="AR47" i="16"/>
  <c r="AR46" i="16"/>
  <c r="AR45" i="16"/>
  <c r="AR44" i="16"/>
  <c r="AR43" i="16"/>
  <c r="AR42" i="16"/>
  <c r="AR41" i="16"/>
  <c r="AR40" i="16"/>
  <c r="AR39" i="16"/>
  <c r="AR38" i="16"/>
  <c r="AR37" i="16"/>
  <c r="AR36" i="16"/>
  <c r="AR35" i="16"/>
  <c r="AR34" i="16"/>
  <c r="AR33" i="16"/>
  <c r="AR32" i="16"/>
  <c r="AR31" i="16"/>
  <c r="AR30" i="16"/>
  <c r="AR29" i="16"/>
  <c r="AR28" i="16"/>
  <c r="AR27" i="16"/>
  <c r="AR26" i="16"/>
  <c r="AR25" i="16"/>
  <c r="AR24" i="16"/>
  <c r="AR23" i="16"/>
  <c r="AR22" i="16"/>
  <c r="AR21" i="16"/>
  <c r="AR20" i="16"/>
  <c r="AR19" i="16"/>
  <c r="AR18" i="16"/>
  <c r="AR17" i="16"/>
  <c r="AR16" i="16"/>
  <c r="AR15" i="16"/>
  <c r="AR14" i="16"/>
  <c r="AR13" i="16"/>
  <c r="AR12" i="16"/>
  <c r="AR11" i="16"/>
  <c r="AR10" i="16"/>
  <c r="AR9" i="16"/>
  <c r="AR8" i="16"/>
  <c r="AR7" i="16"/>
  <c r="AR6" i="16"/>
  <c r="AR5" i="16"/>
  <c r="AR4" i="16"/>
  <c r="AQ143" i="16"/>
  <c r="AQ142" i="16"/>
  <c r="AQ141" i="16"/>
  <c r="AQ140" i="16"/>
  <c r="AQ139" i="16"/>
  <c r="AQ138" i="16"/>
  <c r="AQ137" i="16"/>
  <c r="AQ136" i="16"/>
  <c r="AQ135" i="16"/>
  <c r="AQ134" i="16"/>
  <c r="AQ133" i="16"/>
  <c r="AQ132" i="16"/>
  <c r="AQ131" i="16"/>
  <c r="AQ130" i="16"/>
  <c r="AQ129" i="16"/>
  <c r="AQ128" i="16"/>
  <c r="AQ127" i="16"/>
  <c r="AQ126" i="16"/>
  <c r="AQ125" i="16"/>
  <c r="AQ124" i="16"/>
  <c r="AQ123" i="16"/>
  <c r="AQ122" i="16"/>
  <c r="AQ121" i="16"/>
  <c r="AQ120" i="16"/>
  <c r="AQ119" i="16"/>
  <c r="AQ118" i="16"/>
  <c r="AQ117" i="16"/>
  <c r="AQ116" i="16"/>
  <c r="AQ115" i="16"/>
  <c r="AQ114" i="16"/>
  <c r="AQ113" i="16"/>
  <c r="AQ112" i="16"/>
  <c r="AQ111" i="16"/>
  <c r="AQ110" i="16"/>
  <c r="AQ109" i="16"/>
  <c r="AQ108" i="16"/>
  <c r="AQ107" i="16"/>
  <c r="AQ106" i="16"/>
  <c r="AQ105" i="16"/>
  <c r="AQ104" i="16"/>
  <c r="AQ103" i="16"/>
  <c r="AQ102" i="16"/>
  <c r="AQ101" i="16"/>
  <c r="AQ100" i="16"/>
  <c r="AQ99" i="16"/>
  <c r="AQ98" i="16"/>
  <c r="AQ97" i="16"/>
  <c r="AQ96" i="16"/>
  <c r="AQ95" i="16"/>
  <c r="AQ94" i="16"/>
  <c r="AQ93" i="16"/>
  <c r="AQ92" i="16"/>
  <c r="AQ91" i="16"/>
  <c r="AQ90" i="16"/>
  <c r="AQ89" i="16"/>
  <c r="AQ88" i="16"/>
  <c r="AQ87" i="16"/>
  <c r="AQ86" i="16"/>
  <c r="AQ85" i="16"/>
  <c r="AQ84" i="16"/>
  <c r="AQ83" i="16"/>
  <c r="AQ82" i="16"/>
  <c r="AQ81" i="16"/>
  <c r="AQ80" i="16"/>
  <c r="AQ79" i="16"/>
  <c r="AQ78" i="16"/>
  <c r="AQ77" i="16"/>
  <c r="AQ76" i="16"/>
  <c r="AQ75" i="16"/>
  <c r="AQ74" i="16"/>
  <c r="AQ73" i="16"/>
  <c r="AQ72" i="16"/>
  <c r="AQ71" i="16"/>
  <c r="AQ70" i="16"/>
  <c r="AQ69" i="16"/>
  <c r="AQ68" i="16"/>
  <c r="AQ67" i="16"/>
  <c r="AQ66" i="16"/>
  <c r="AQ65" i="16"/>
  <c r="AQ64" i="16"/>
  <c r="AQ63" i="16"/>
  <c r="AQ62" i="16"/>
  <c r="AQ61" i="16"/>
  <c r="AQ60" i="16"/>
  <c r="AQ59" i="16"/>
  <c r="AQ58" i="16"/>
  <c r="AQ57" i="16"/>
  <c r="AQ56" i="16"/>
  <c r="AQ54" i="16"/>
  <c r="AQ53" i="16"/>
  <c r="AQ52" i="16"/>
  <c r="AQ51" i="16"/>
  <c r="AQ50" i="16"/>
  <c r="AQ49" i="16"/>
  <c r="AQ48" i="16"/>
  <c r="AQ47" i="16"/>
  <c r="AQ46" i="16"/>
  <c r="AQ45" i="16"/>
  <c r="AQ44" i="16"/>
  <c r="AQ43" i="16"/>
  <c r="AQ42" i="16"/>
  <c r="AQ41" i="16"/>
  <c r="AQ40" i="16"/>
  <c r="AQ39" i="16"/>
  <c r="AQ38" i="16"/>
  <c r="AQ37" i="16"/>
  <c r="AQ36" i="16"/>
  <c r="AQ35" i="16"/>
  <c r="AQ34" i="16"/>
  <c r="AQ33" i="16"/>
  <c r="AQ32" i="16"/>
  <c r="AQ31" i="16"/>
  <c r="AQ30" i="16"/>
  <c r="AQ29" i="16"/>
  <c r="AQ28" i="16"/>
  <c r="AQ27" i="16"/>
  <c r="AQ26" i="16"/>
  <c r="AQ25" i="16"/>
  <c r="AQ18" i="16"/>
  <c r="AQ17" i="16"/>
  <c r="AQ16" i="16"/>
  <c r="AQ15" i="16"/>
  <c r="AQ14" i="16"/>
  <c r="AQ13" i="16"/>
  <c r="AQ12" i="16"/>
  <c r="AQ11" i="16"/>
  <c r="AQ10" i="16"/>
  <c r="AQ9" i="16"/>
  <c r="AQ8" i="16"/>
  <c r="AQ7" i="16"/>
  <c r="AQ6" i="16"/>
  <c r="AQ5" i="16"/>
  <c r="AQ4" i="16"/>
  <c r="AQ20" i="16"/>
  <c r="AQ21" i="16"/>
  <c r="AQ22" i="16"/>
  <c r="AQ23" i="16"/>
  <c r="AQ24" i="16"/>
  <c r="AQ19" i="16"/>
  <c r="AY225" i="13"/>
  <c r="AZ225" i="13"/>
  <c r="AY228" i="13"/>
  <c r="AY227" i="13" s="1"/>
  <c r="AZ228" i="13"/>
  <c r="AZ227" i="13" s="1"/>
  <c r="AY221" i="13"/>
  <c r="AZ221" i="13"/>
  <c r="AY215" i="13"/>
  <c r="AZ215" i="13"/>
  <c r="AY208" i="13"/>
  <c r="AZ208" i="13"/>
  <c r="AY200" i="13"/>
  <c r="AZ200" i="13"/>
  <c r="AY197" i="13"/>
  <c r="AZ197" i="13"/>
  <c r="AY193" i="13"/>
  <c r="AZ193" i="13"/>
  <c r="AY190" i="13"/>
  <c r="AZ190" i="13"/>
  <c r="AY187" i="13"/>
  <c r="AZ187" i="13"/>
  <c r="AY184" i="13"/>
  <c r="AZ184" i="13"/>
  <c r="AY178" i="13"/>
  <c r="AY177" i="13" s="1"/>
  <c r="AY171" i="13"/>
  <c r="AZ171" i="13"/>
  <c r="AY160" i="13"/>
  <c r="AZ160" i="13"/>
  <c r="AZ143" i="13"/>
  <c r="AZ142" i="13" s="1"/>
  <c r="AZ141" i="13" s="1"/>
  <c r="AY149" i="13"/>
  <c r="AZ149" i="13"/>
  <c r="AY137" i="13"/>
  <c r="AZ137" i="13"/>
  <c r="AY134" i="13"/>
  <c r="AZ134" i="13"/>
  <c r="AY131" i="13"/>
  <c r="AZ131" i="13"/>
  <c r="AY128" i="13"/>
  <c r="AZ128" i="13"/>
  <c r="AY125" i="13"/>
  <c r="AZ125" i="13"/>
  <c r="AY118" i="13"/>
  <c r="AZ118" i="13"/>
  <c r="AY113" i="13"/>
  <c r="AZ113" i="13"/>
  <c r="AY108" i="13"/>
  <c r="AZ108" i="13"/>
  <c r="AY102" i="13"/>
  <c r="AZ102" i="13"/>
  <c r="AY95" i="13"/>
  <c r="AZ95" i="13"/>
  <c r="AY91" i="13"/>
  <c r="AZ91" i="13"/>
  <c r="AY86" i="13"/>
  <c r="AZ86" i="13"/>
  <c r="AY82" i="13"/>
  <c r="AZ82" i="13"/>
  <c r="AY78" i="13"/>
  <c r="AZ78" i="13"/>
  <c r="AY70" i="13"/>
  <c r="AY69" i="13" s="1"/>
  <c r="AY68" i="13" s="1"/>
  <c r="AZ70" i="13"/>
  <c r="AZ69" i="13" s="1"/>
  <c r="AZ68" i="13" s="1"/>
  <c r="AY65" i="13"/>
  <c r="AY64" i="13" s="1"/>
  <c r="AY63" i="13" s="1"/>
  <c r="AY62" i="13" s="1"/>
  <c r="AZ65" i="13"/>
  <c r="AZ64" i="13" s="1"/>
  <c r="AZ63" i="13" s="1"/>
  <c r="AZ62" i="13" s="1"/>
  <c r="AY54" i="13"/>
  <c r="AY53" i="13" s="1"/>
  <c r="AZ54" i="13"/>
  <c r="AZ53" i="13" s="1"/>
  <c r="AY48" i="13"/>
  <c r="AZ48" i="13"/>
  <c r="AZ41" i="13"/>
  <c r="AY33" i="13"/>
  <c r="AZ33" i="13"/>
  <c r="AY29" i="13"/>
  <c r="AY28" i="13" s="1"/>
  <c r="AZ29" i="13"/>
  <c r="AZ28" i="13" s="1"/>
  <c r="AY24" i="13"/>
  <c r="AZ24" i="13"/>
  <c r="AZ20" i="13"/>
  <c r="AY41" i="13"/>
  <c r="AY20" i="13"/>
  <c r="AX228" i="13"/>
  <c r="AX227" i="13" s="1"/>
  <c r="AX225" i="13"/>
  <c r="AX221" i="13"/>
  <c r="AX215" i="13"/>
  <c r="AX208" i="13"/>
  <c r="AX200" i="13"/>
  <c r="AX197" i="13"/>
  <c r="AX193" i="13"/>
  <c r="AX190" i="13"/>
  <c r="AX187" i="13"/>
  <c r="AX184" i="13"/>
  <c r="AX178" i="13"/>
  <c r="AX177" i="13" s="1"/>
  <c r="AX171" i="13"/>
  <c r="AX167" i="13"/>
  <c r="AX160" i="13"/>
  <c r="H154" i="13"/>
  <c r="I154" i="13"/>
  <c r="J154" i="13"/>
  <c r="K154" i="13"/>
  <c r="L154" i="13"/>
  <c r="M154" i="13"/>
  <c r="N154" i="13"/>
  <c r="O154" i="13"/>
  <c r="P154" i="13"/>
  <c r="Q154" i="13"/>
  <c r="R154" i="13"/>
  <c r="S154" i="13"/>
  <c r="T154" i="13"/>
  <c r="V154" i="13"/>
  <c r="W154" i="13"/>
  <c r="X154" i="13"/>
  <c r="Y154" i="13"/>
  <c r="Z154" i="13"/>
  <c r="AA154" i="13"/>
  <c r="AB154" i="13"/>
  <c r="AC154" i="13"/>
  <c r="AD154" i="13"/>
  <c r="AE154" i="13"/>
  <c r="AF154" i="13"/>
  <c r="AG154" i="13"/>
  <c r="AH154" i="13"/>
  <c r="AI154" i="13"/>
  <c r="AJ154" i="13"/>
  <c r="AK154" i="13"/>
  <c r="AL154" i="13"/>
  <c r="AM154" i="13"/>
  <c r="AN154" i="13"/>
  <c r="AO154" i="13"/>
  <c r="AP154" i="13"/>
  <c r="H149" i="13"/>
  <c r="I149" i="13"/>
  <c r="J149" i="13"/>
  <c r="K149" i="13"/>
  <c r="L149" i="13"/>
  <c r="M149" i="13"/>
  <c r="N149" i="13"/>
  <c r="O149" i="13"/>
  <c r="P149" i="13"/>
  <c r="Q149" i="13"/>
  <c r="R149" i="13"/>
  <c r="S149" i="13"/>
  <c r="T149" i="13"/>
  <c r="V149" i="13"/>
  <c r="W149" i="13"/>
  <c r="X149" i="13"/>
  <c r="Y149" i="13"/>
  <c r="Z149" i="13"/>
  <c r="AA149" i="13"/>
  <c r="AB149" i="13"/>
  <c r="AC149" i="13"/>
  <c r="AD149" i="13"/>
  <c r="AE149" i="13"/>
  <c r="AF149" i="13"/>
  <c r="AG149" i="13"/>
  <c r="AH149" i="13"/>
  <c r="AI149" i="13"/>
  <c r="AJ149" i="13"/>
  <c r="AK149" i="13"/>
  <c r="AL149" i="13"/>
  <c r="AM149" i="13"/>
  <c r="AN149" i="13"/>
  <c r="AO149" i="13"/>
  <c r="AP149" i="13"/>
  <c r="AX149" i="13"/>
  <c r="H144" i="13"/>
  <c r="H143" i="13" s="1"/>
  <c r="H142" i="13" s="1"/>
  <c r="H141" i="13" s="1"/>
  <c r="I144" i="13"/>
  <c r="I143" i="13" s="1"/>
  <c r="I142" i="13" s="1"/>
  <c r="I141" i="13" s="1"/>
  <c r="J144" i="13"/>
  <c r="J143" i="13" s="1"/>
  <c r="J142" i="13" s="1"/>
  <c r="J141" i="13" s="1"/>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V144" i="13"/>
  <c r="V143" i="13" s="1"/>
  <c r="V142" i="13" s="1"/>
  <c r="V141" i="13" s="1"/>
  <c r="W144" i="13"/>
  <c r="W143" i="13" s="1"/>
  <c r="W142" i="13" s="1"/>
  <c r="W141" i="13" s="1"/>
  <c r="X144" i="13"/>
  <c r="X143" i="13" s="1"/>
  <c r="X142" i="13" s="1"/>
  <c r="X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X144" i="13"/>
  <c r="AX143" i="13" s="1"/>
  <c r="AX142" i="13" s="1"/>
  <c r="AX141" i="13" s="1"/>
  <c r="H137" i="13"/>
  <c r="I137" i="13"/>
  <c r="J137" i="13"/>
  <c r="K137" i="13"/>
  <c r="L137" i="13"/>
  <c r="M137" i="13"/>
  <c r="N137" i="13"/>
  <c r="O137" i="13"/>
  <c r="P137" i="13"/>
  <c r="Q137" i="13"/>
  <c r="R137" i="13"/>
  <c r="S137" i="13"/>
  <c r="T137" i="13"/>
  <c r="V137" i="13"/>
  <c r="W137" i="13"/>
  <c r="X137" i="13"/>
  <c r="Y137" i="13"/>
  <c r="Z137" i="13"/>
  <c r="AA137" i="13"/>
  <c r="AB137" i="13"/>
  <c r="AC137" i="13"/>
  <c r="AD137" i="13"/>
  <c r="AE137" i="13"/>
  <c r="AF137" i="13"/>
  <c r="AG137" i="13"/>
  <c r="AH137" i="13"/>
  <c r="AI137" i="13"/>
  <c r="AJ137" i="13"/>
  <c r="AK137" i="13"/>
  <c r="AL137" i="13"/>
  <c r="AM137" i="13"/>
  <c r="AN137" i="13"/>
  <c r="AO137" i="13"/>
  <c r="AP137" i="13"/>
  <c r="AX137" i="13"/>
  <c r="H134" i="13"/>
  <c r="I134" i="13"/>
  <c r="J134" i="13"/>
  <c r="K134" i="13"/>
  <c r="L134" i="13"/>
  <c r="M134" i="13"/>
  <c r="N134" i="13"/>
  <c r="O134" i="13"/>
  <c r="P134" i="13"/>
  <c r="Q134" i="13"/>
  <c r="R134" i="13"/>
  <c r="S134" i="13"/>
  <c r="T134" i="13"/>
  <c r="V134" i="13"/>
  <c r="W134" i="13"/>
  <c r="X134" i="13"/>
  <c r="Y134" i="13"/>
  <c r="Z134" i="13"/>
  <c r="AA134" i="13"/>
  <c r="AB134" i="13"/>
  <c r="AC134" i="13"/>
  <c r="AD134" i="13"/>
  <c r="AE134" i="13"/>
  <c r="AF134" i="13"/>
  <c r="AG134" i="13"/>
  <c r="AH134" i="13"/>
  <c r="AI134" i="13"/>
  <c r="AJ134" i="13"/>
  <c r="AK134" i="13"/>
  <c r="AL134" i="13"/>
  <c r="AM134" i="13"/>
  <c r="AN134" i="13"/>
  <c r="AO134" i="13"/>
  <c r="AP134" i="13"/>
  <c r="AX134" i="13"/>
  <c r="H131" i="13"/>
  <c r="I131" i="13"/>
  <c r="J131" i="13"/>
  <c r="K131" i="13"/>
  <c r="L131" i="13"/>
  <c r="M131" i="13"/>
  <c r="O131" i="13"/>
  <c r="P131" i="13"/>
  <c r="Q131" i="13"/>
  <c r="R131" i="13"/>
  <c r="S131" i="13"/>
  <c r="T131" i="13"/>
  <c r="V131" i="13"/>
  <c r="W131" i="13"/>
  <c r="X131" i="13"/>
  <c r="Y131" i="13"/>
  <c r="Z131" i="13"/>
  <c r="AA131" i="13"/>
  <c r="AB131" i="13"/>
  <c r="AC131" i="13"/>
  <c r="AD131" i="13"/>
  <c r="AE131" i="13"/>
  <c r="AF131" i="13"/>
  <c r="AG131" i="13"/>
  <c r="AH131" i="13"/>
  <c r="AI131" i="13"/>
  <c r="AJ131" i="13"/>
  <c r="AK131" i="13"/>
  <c r="AL131" i="13"/>
  <c r="AM131" i="13"/>
  <c r="AN131" i="13"/>
  <c r="AO131" i="13"/>
  <c r="AP131" i="13"/>
  <c r="AX131" i="13"/>
  <c r="N132" i="13"/>
  <c r="AQ132" i="13" s="1"/>
  <c r="AS132" i="13" s="1"/>
  <c r="AT132" i="13" s="1"/>
  <c r="H128" i="13"/>
  <c r="I128" i="13"/>
  <c r="J128" i="13"/>
  <c r="K128" i="13"/>
  <c r="L128" i="13"/>
  <c r="M128" i="13"/>
  <c r="O128" i="13"/>
  <c r="P128" i="13"/>
  <c r="Q128" i="13"/>
  <c r="R128" i="13"/>
  <c r="S128" i="13"/>
  <c r="T128" i="13"/>
  <c r="V128" i="13"/>
  <c r="W128" i="13"/>
  <c r="X128" i="13"/>
  <c r="Y128" i="13"/>
  <c r="Z128" i="13"/>
  <c r="AA128" i="13"/>
  <c r="AB128" i="13"/>
  <c r="AC128" i="13"/>
  <c r="AD128" i="13"/>
  <c r="AE128" i="13"/>
  <c r="AF128" i="13"/>
  <c r="AG128" i="13"/>
  <c r="AH128" i="13"/>
  <c r="AI128" i="13"/>
  <c r="AJ128" i="13"/>
  <c r="AK128" i="13"/>
  <c r="AL128" i="13"/>
  <c r="AM128" i="13"/>
  <c r="AN128" i="13"/>
  <c r="AO128" i="13"/>
  <c r="AP128" i="13"/>
  <c r="AX125" i="13"/>
  <c r="AX118" i="13"/>
  <c r="AX113" i="13"/>
  <c r="AX108" i="13"/>
  <c r="AX102" i="13"/>
  <c r="AX95" i="13"/>
  <c r="AX91" i="13"/>
  <c r="AX86" i="13"/>
  <c r="AX82" i="13"/>
  <c r="AX78" i="13"/>
  <c r="AX70" i="13"/>
  <c r="AX69" i="13" s="1"/>
  <c r="AX68" i="13" s="1"/>
  <c r="AX65" i="13"/>
  <c r="AX64" i="13" s="1"/>
  <c r="AX63" i="13" s="1"/>
  <c r="AX62" i="13" s="1"/>
  <c r="AX54" i="13"/>
  <c r="AX53" i="13" s="1"/>
  <c r="AX48" i="13"/>
  <c r="AX41" i="13"/>
  <c r="AX33" i="13"/>
  <c r="AX29" i="13"/>
  <c r="AX28" i="13" s="1"/>
  <c r="AX24" i="13"/>
  <c r="AX20" i="13"/>
  <c r="G20" i="13"/>
  <c r="G12" i="24" l="1"/>
  <c r="J13" i="24"/>
  <c r="K13" i="24" s="1"/>
  <c r="I13" i="24"/>
  <c r="BA146" i="13"/>
  <c r="BA61" i="13" s="1"/>
  <c r="BA60" i="13" s="1"/>
  <c r="AR136" i="13"/>
  <c r="AS151" i="13"/>
  <c r="AT151" i="13" s="1"/>
  <c r="BA18" i="13"/>
  <c r="BA17" i="13" s="1"/>
  <c r="BA16" i="13" s="1"/>
  <c r="BA15" i="13" s="1"/>
  <c r="AS153" i="13"/>
  <c r="AT153" i="13" s="1"/>
  <c r="AR133" i="13"/>
  <c r="AS152" i="13"/>
  <c r="AT152" i="13" s="1"/>
  <c r="AT145" i="13"/>
  <c r="AR145" i="13"/>
  <c r="AR140" i="13"/>
  <c r="AS139" i="13"/>
  <c r="AT139" i="13" s="1"/>
  <c r="AR138" i="13"/>
  <c r="AR135" i="13"/>
  <c r="AR132" i="13"/>
  <c r="AS130" i="13"/>
  <c r="AT130" i="13" s="1"/>
  <c r="AR150" i="13"/>
  <c r="AI55" i="16"/>
  <c r="AJ55" i="16" s="1"/>
  <c r="AY166" i="13"/>
  <c r="AY165" i="13" s="1"/>
  <c r="AZ124" i="13"/>
  <c r="AZ123" i="13" s="1"/>
  <c r="AX166" i="13"/>
  <c r="AX165" i="13" s="1"/>
  <c r="AY77" i="13"/>
  <c r="AY76" i="13" s="1"/>
  <c r="AZ148" i="13"/>
  <c r="AZ147" i="13" s="1"/>
  <c r="AZ166" i="13"/>
  <c r="AZ165" i="13" s="1"/>
  <c r="AY207" i="13"/>
  <c r="AZ77" i="13"/>
  <c r="AZ76" i="13" s="1"/>
  <c r="AY148" i="13"/>
  <c r="AY147" i="13" s="1"/>
  <c r="AY32" i="13"/>
  <c r="N131" i="13"/>
  <c r="AX124" i="13"/>
  <c r="AX123" i="13" s="1"/>
  <c r="AY124" i="13"/>
  <c r="AY123" i="13" s="1"/>
  <c r="AZ183" i="13"/>
  <c r="AZ182" i="13" s="1"/>
  <c r="AZ207" i="13"/>
  <c r="AZ206" i="13" s="1"/>
  <c r="AZ205" i="13" s="1"/>
  <c r="AZ204" i="13" s="1"/>
  <c r="AR144" i="16"/>
  <c r="AS144" i="16"/>
  <c r="AQ144" i="16"/>
  <c r="AY206" i="13"/>
  <c r="AY205" i="13" s="1"/>
  <c r="AY204" i="13" s="1"/>
  <c r="AY183" i="13"/>
  <c r="AY182" i="13" s="1"/>
  <c r="AZ32" i="13"/>
  <c r="AZ19" i="13"/>
  <c r="AX148" i="13"/>
  <c r="AX147" i="13" s="1"/>
  <c r="AX19" i="13"/>
  <c r="AX183" i="13"/>
  <c r="AX182" i="13" s="1"/>
  <c r="AX207" i="13"/>
  <c r="AX206" i="13" s="1"/>
  <c r="AX205" i="13" s="1"/>
  <c r="AX204" i="13" s="1"/>
  <c r="AY19" i="13"/>
  <c r="AT136" i="13"/>
  <c r="AX77" i="13"/>
  <c r="AX76" i="13" s="1"/>
  <c r="AX32" i="13"/>
  <c r="I12" i="24" l="1"/>
  <c r="J12" i="24"/>
  <c r="K12" i="24" s="1"/>
  <c r="C7" i="24"/>
  <c r="BA14" i="13"/>
  <c r="AK55" i="16"/>
  <c r="AL55" i="16" s="1"/>
  <c r="AX67" i="13"/>
  <c r="AZ67" i="13"/>
  <c r="AY67" i="13"/>
  <c r="AZ146" i="13"/>
  <c r="AY146" i="13"/>
  <c r="AX18" i="13"/>
  <c r="AX17" i="13" s="1"/>
  <c r="AX16" i="13" s="1"/>
  <c r="AX15" i="13" s="1"/>
  <c r="AY18" i="13"/>
  <c r="AY17" i="13" s="1"/>
  <c r="AY16" i="13" s="1"/>
  <c r="AY15" i="13" s="1"/>
  <c r="AX146" i="13"/>
  <c r="AZ18" i="13"/>
  <c r="AZ17" i="13" s="1"/>
  <c r="AZ16" i="13" s="1"/>
  <c r="AZ15" i="13" s="1"/>
  <c r="AX61" i="13" l="1"/>
  <c r="AX60" i="13" s="1"/>
  <c r="AX14" i="13" s="1"/>
  <c r="AZ61" i="13"/>
  <c r="AZ60" i="13" s="1"/>
  <c r="AZ14" i="13" s="1"/>
  <c r="AY61" i="13"/>
  <c r="AY60" i="13" s="1"/>
  <c r="AY14" i="13" s="1"/>
  <c r="N129" i="13"/>
  <c r="N126" i="13"/>
  <c r="AQ126" i="13" s="1"/>
  <c r="AS126" i="13" s="1"/>
  <c r="AT126" i="13" s="1"/>
  <c r="N84" i="13"/>
  <c r="N128" i="13" l="1"/>
  <c r="AQ129" i="13"/>
  <c r="T4" i="16"/>
  <c r="AP48" i="13"/>
  <c r="T54" i="16"/>
  <c r="U54" i="16"/>
  <c r="V54" i="16"/>
  <c r="W54" i="16"/>
  <c r="X54" i="16"/>
  <c r="Y54" i="16"/>
  <c r="Z54" i="16"/>
  <c r="AA54" i="16"/>
  <c r="AB54" i="16"/>
  <c r="AC54" i="16"/>
  <c r="T56" i="16"/>
  <c r="U56" i="16"/>
  <c r="V56" i="16"/>
  <c r="W56" i="16"/>
  <c r="X56" i="16"/>
  <c r="Y56" i="16"/>
  <c r="Z56" i="16"/>
  <c r="AA56" i="16"/>
  <c r="AB56" i="16"/>
  <c r="AC56" i="16"/>
  <c r="T57" i="16"/>
  <c r="U57" i="16"/>
  <c r="V57" i="16"/>
  <c r="W57" i="16"/>
  <c r="X57" i="16"/>
  <c r="Y57" i="16"/>
  <c r="Z57" i="16"/>
  <c r="AA57" i="16"/>
  <c r="AB57" i="16"/>
  <c r="AC57" i="16"/>
  <c r="T58" i="16"/>
  <c r="U58" i="16"/>
  <c r="V58" i="16"/>
  <c r="W58" i="16"/>
  <c r="X58" i="16"/>
  <c r="Y58" i="16"/>
  <c r="Z58" i="16"/>
  <c r="AA58" i="16"/>
  <c r="AB58" i="16"/>
  <c r="AC58" i="16"/>
  <c r="AC53" i="16"/>
  <c r="AB53" i="16"/>
  <c r="AA53" i="16"/>
  <c r="Z53" i="16"/>
  <c r="Y53" i="16"/>
  <c r="X53" i="16"/>
  <c r="W53" i="16"/>
  <c r="V53" i="16"/>
  <c r="U53" i="16"/>
  <c r="T53" i="16"/>
  <c r="G228" i="13"/>
  <c r="H228" i="13"/>
  <c r="H227" i="13" s="1"/>
  <c r="I228" i="13"/>
  <c r="I227" i="13" s="1"/>
  <c r="J228" i="13"/>
  <c r="J227" i="13" s="1"/>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G208" i="13"/>
  <c r="H208" i="13"/>
  <c r="I208" i="13"/>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G184" i="13"/>
  <c r="H184" i="13"/>
  <c r="I184"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G167" i="13"/>
  <c r="H167" i="13"/>
  <c r="I167"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G149" i="13"/>
  <c r="G144" i="13"/>
  <c r="AQ144" i="13" s="1"/>
  <c r="G128" i="13"/>
  <c r="G125" i="13"/>
  <c r="H125" i="13"/>
  <c r="I125" i="13"/>
  <c r="J125" i="13"/>
  <c r="K125" i="13"/>
  <c r="L125" i="13"/>
  <c r="M125" i="13"/>
  <c r="N125" i="13"/>
  <c r="O125" i="13"/>
  <c r="P125" i="13"/>
  <c r="Q125" i="13"/>
  <c r="R125" i="13"/>
  <c r="S125" i="13"/>
  <c r="T125" i="13"/>
  <c r="V125" i="13"/>
  <c r="W125" i="13"/>
  <c r="X125" i="13"/>
  <c r="Y125" i="13"/>
  <c r="Z125" i="13"/>
  <c r="AA125" i="13"/>
  <c r="AB125" i="13"/>
  <c r="AC125" i="13"/>
  <c r="AD125" i="13"/>
  <c r="AE125" i="13"/>
  <c r="AF125" i="13"/>
  <c r="AG125" i="13"/>
  <c r="AH125" i="13"/>
  <c r="AI125" i="13"/>
  <c r="AJ125" i="13"/>
  <c r="AK125" i="13"/>
  <c r="AL125" i="13"/>
  <c r="AM125" i="13"/>
  <c r="AN125" i="13"/>
  <c r="AO125" i="13"/>
  <c r="AP125" i="13"/>
  <c r="G118" i="13"/>
  <c r="H118" i="13"/>
  <c r="I118" i="13"/>
  <c r="J118" i="13"/>
  <c r="K118" i="13"/>
  <c r="L118" i="13"/>
  <c r="M118" i="13"/>
  <c r="N118" i="13"/>
  <c r="O118" i="13"/>
  <c r="P118" i="13"/>
  <c r="Q118" i="13"/>
  <c r="R118" i="13"/>
  <c r="S118" i="13"/>
  <c r="T118" i="13"/>
  <c r="V118" i="13"/>
  <c r="W118" i="13"/>
  <c r="X118" i="13"/>
  <c r="Y118" i="13"/>
  <c r="Z118" i="13"/>
  <c r="AA118" i="13"/>
  <c r="AB118" i="13"/>
  <c r="AC118" i="13"/>
  <c r="AD118" i="13"/>
  <c r="AE118" i="13"/>
  <c r="AF118" i="13"/>
  <c r="AG118" i="13"/>
  <c r="AH118" i="13"/>
  <c r="AI118" i="13"/>
  <c r="AJ118" i="13"/>
  <c r="AK118" i="13"/>
  <c r="AL118" i="13"/>
  <c r="AM118" i="13"/>
  <c r="AN118" i="13"/>
  <c r="AO118" i="13"/>
  <c r="AP118" i="13"/>
  <c r="AP113" i="13"/>
  <c r="AO113" i="13"/>
  <c r="AN113" i="13"/>
  <c r="AM113" i="13"/>
  <c r="AL113" i="13"/>
  <c r="AK113" i="13"/>
  <c r="AJ113" i="13"/>
  <c r="AI113" i="13"/>
  <c r="AH113" i="13"/>
  <c r="AG113" i="13"/>
  <c r="AF113" i="13"/>
  <c r="AE113" i="13"/>
  <c r="AD113" i="13"/>
  <c r="AC113" i="13"/>
  <c r="AB113" i="13"/>
  <c r="AA113" i="13"/>
  <c r="Z113" i="13"/>
  <c r="Y113" i="13"/>
  <c r="X113" i="13"/>
  <c r="W113" i="13"/>
  <c r="V113" i="13"/>
  <c r="T113" i="13"/>
  <c r="S113" i="13"/>
  <c r="R113" i="13"/>
  <c r="Q113" i="13"/>
  <c r="P113" i="13"/>
  <c r="O113" i="13"/>
  <c r="N113" i="13"/>
  <c r="M113" i="13"/>
  <c r="L113" i="13"/>
  <c r="K113" i="13"/>
  <c r="J113" i="13"/>
  <c r="I113" i="13"/>
  <c r="H113" i="13"/>
  <c r="G113" i="13"/>
  <c r="AP108" i="13"/>
  <c r="AO108" i="13"/>
  <c r="AN108" i="13"/>
  <c r="AM108" i="13"/>
  <c r="AL108" i="13"/>
  <c r="AK108" i="13"/>
  <c r="AJ108" i="13"/>
  <c r="AI108" i="13"/>
  <c r="AH108" i="13"/>
  <c r="AG108" i="13"/>
  <c r="AF108" i="13"/>
  <c r="AE108" i="13"/>
  <c r="AD108" i="13"/>
  <c r="AC108" i="13"/>
  <c r="AB108" i="13"/>
  <c r="AA108" i="13"/>
  <c r="Z108" i="13"/>
  <c r="Y108" i="13"/>
  <c r="X108" i="13"/>
  <c r="W108" i="13"/>
  <c r="V108" i="13"/>
  <c r="T108" i="13"/>
  <c r="S108" i="13"/>
  <c r="R108" i="13"/>
  <c r="Q108" i="13"/>
  <c r="P108" i="13"/>
  <c r="O108" i="13"/>
  <c r="N108" i="13"/>
  <c r="M108" i="13"/>
  <c r="L108" i="13"/>
  <c r="K108" i="13"/>
  <c r="J108" i="13"/>
  <c r="I108" i="13"/>
  <c r="H108" i="13"/>
  <c r="G108" i="13"/>
  <c r="AP102" i="13"/>
  <c r="AO102" i="13"/>
  <c r="AN102" i="13"/>
  <c r="AM102" i="13"/>
  <c r="AL102" i="13"/>
  <c r="AK102" i="13"/>
  <c r="AJ102" i="13"/>
  <c r="AI102" i="13"/>
  <c r="AH102" i="13"/>
  <c r="AG102" i="13"/>
  <c r="AF102" i="13"/>
  <c r="AE102" i="13"/>
  <c r="AD102" i="13"/>
  <c r="AC102" i="13"/>
  <c r="AB102" i="13"/>
  <c r="AA102" i="13"/>
  <c r="Z102" i="13"/>
  <c r="Y102" i="13"/>
  <c r="X102" i="13"/>
  <c r="W102" i="13"/>
  <c r="V102" i="13"/>
  <c r="T102" i="13"/>
  <c r="S102" i="13"/>
  <c r="R102" i="13"/>
  <c r="Q102" i="13"/>
  <c r="P102" i="13"/>
  <c r="O102" i="13"/>
  <c r="N102" i="13"/>
  <c r="M102" i="13"/>
  <c r="L102" i="13"/>
  <c r="K102" i="13"/>
  <c r="J102" i="13"/>
  <c r="I102" i="13"/>
  <c r="H102" i="13"/>
  <c r="G102" i="13"/>
  <c r="AP95" i="13"/>
  <c r="AO95" i="13"/>
  <c r="AN95" i="13"/>
  <c r="AM95" i="13"/>
  <c r="AL95" i="13"/>
  <c r="AK95" i="13"/>
  <c r="AJ95" i="13"/>
  <c r="AI95" i="13"/>
  <c r="AH95" i="13"/>
  <c r="AG95" i="13"/>
  <c r="AF95" i="13"/>
  <c r="AE95" i="13"/>
  <c r="AD95" i="13"/>
  <c r="AC95" i="13"/>
  <c r="AB95" i="13"/>
  <c r="AA95" i="13"/>
  <c r="Z95" i="13"/>
  <c r="Y95" i="13"/>
  <c r="X95" i="13"/>
  <c r="W95" i="13"/>
  <c r="V95" i="13"/>
  <c r="T95" i="13"/>
  <c r="S95" i="13"/>
  <c r="R95" i="13"/>
  <c r="Q95" i="13"/>
  <c r="P95" i="13"/>
  <c r="O95" i="13"/>
  <c r="N95" i="13"/>
  <c r="M95" i="13"/>
  <c r="L95" i="13"/>
  <c r="K95" i="13"/>
  <c r="J95" i="13"/>
  <c r="I95" i="13"/>
  <c r="H95" i="13"/>
  <c r="G95" i="13"/>
  <c r="AP91" i="13"/>
  <c r="AO91" i="13"/>
  <c r="AN91" i="13"/>
  <c r="AM91" i="13"/>
  <c r="AL91" i="13"/>
  <c r="AK91" i="13"/>
  <c r="AJ91" i="13"/>
  <c r="AI91" i="13"/>
  <c r="AH91" i="13"/>
  <c r="AG91" i="13"/>
  <c r="AF91" i="13"/>
  <c r="AE91" i="13"/>
  <c r="AD91" i="13"/>
  <c r="AC91" i="13"/>
  <c r="AB91" i="13"/>
  <c r="AA91" i="13"/>
  <c r="Z91" i="13"/>
  <c r="Y91" i="13"/>
  <c r="X91" i="13"/>
  <c r="W91" i="13"/>
  <c r="V91" i="13"/>
  <c r="T91" i="13"/>
  <c r="S91" i="13"/>
  <c r="R91" i="13"/>
  <c r="Q91" i="13"/>
  <c r="P91" i="13"/>
  <c r="O91" i="13"/>
  <c r="N91" i="13"/>
  <c r="M91" i="13"/>
  <c r="L91" i="13"/>
  <c r="K91" i="13"/>
  <c r="J91" i="13"/>
  <c r="I91" i="13"/>
  <c r="H91" i="13"/>
  <c r="G91" i="13"/>
  <c r="AP86" i="13"/>
  <c r="AO86" i="13"/>
  <c r="AN86" i="13"/>
  <c r="AM86" i="13"/>
  <c r="AL86" i="13"/>
  <c r="AK86" i="13"/>
  <c r="AJ86" i="13"/>
  <c r="AI86" i="13"/>
  <c r="AH86" i="13"/>
  <c r="AG86" i="13"/>
  <c r="AF86" i="13"/>
  <c r="AE86" i="13"/>
  <c r="AD86" i="13"/>
  <c r="AC86" i="13"/>
  <c r="AB86" i="13"/>
  <c r="AA86" i="13"/>
  <c r="Z86" i="13"/>
  <c r="Y86" i="13"/>
  <c r="X86" i="13"/>
  <c r="W86" i="13"/>
  <c r="V86" i="13"/>
  <c r="S86" i="13"/>
  <c r="R86" i="13"/>
  <c r="Q86" i="13"/>
  <c r="P86" i="13"/>
  <c r="O86" i="13"/>
  <c r="N86" i="13"/>
  <c r="M86" i="13"/>
  <c r="L86" i="13"/>
  <c r="K86" i="13"/>
  <c r="J86" i="13"/>
  <c r="I86" i="13"/>
  <c r="H86" i="13"/>
  <c r="G86" i="13"/>
  <c r="AP82" i="13"/>
  <c r="AO82" i="13"/>
  <c r="AN82" i="13"/>
  <c r="AM82" i="13"/>
  <c r="AL82" i="13"/>
  <c r="AK82" i="13"/>
  <c r="AJ82" i="13"/>
  <c r="AI82" i="13"/>
  <c r="AH82" i="13"/>
  <c r="AG82" i="13"/>
  <c r="AF82" i="13"/>
  <c r="AE82" i="13"/>
  <c r="AD82" i="13"/>
  <c r="AC82" i="13"/>
  <c r="AB82" i="13"/>
  <c r="AA82" i="13"/>
  <c r="Z82" i="13"/>
  <c r="Y82" i="13"/>
  <c r="X82" i="13"/>
  <c r="W82" i="13"/>
  <c r="V82" i="13"/>
  <c r="T82" i="13"/>
  <c r="S82" i="13"/>
  <c r="R82" i="13"/>
  <c r="Q82" i="13"/>
  <c r="P82" i="13"/>
  <c r="O82" i="13"/>
  <c r="N82" i="13"/>
  <c r="M82" i="13"/>
  <c r="L82" i="13"/>
  <c r="K82" i="13"/>
  <c r="J82" i="13"/>
  <c r="I82" i="13"/>
  <c r="H82" i="13"/>
  <c r="G82" i="13"/>
  <c r="AP78" i="13"/>
  <c r="AO78" i="13"/>
  <c r="AN78" i="13"/>
  <c r="AM78" i="13"/>
  <c r="AL78" i="13"/>
  <c r="AK78" i="13"/>
  <c r="AJ78" i="13"/>
  <c r="AI78" i="13"/>
  <c r="AH78" i="13"/>
  <c r="AG78" i="13"/>
  <c r="AF78" i="13"/>
  <c r="AE78" i="13"/>
  <c r="AD78" i="13"/>
  <c r="AC78" i="13"/>
  <c r="AB78" i="13"/>
  <c r="AA78" i="13"/>
  <c r="Z78" i="13"/>
  <c r="Y78" i="13"/>
  <c r="X78" i="13"/>
  <c r="W78" i="13"/>
  <c r="V78" i="13"/>
  <c r="T78" i="13"/>
  <c r="S78" i="13"/>
  <c r="R78" i="13"/>
  <c r="Q78" i="13"/>
  <c r="P78" i="13"/>
  <c r="O78" i="13"/>
  <c r="N78" i="13"/>
  <c r="M78" i="13"/>
  <c r="L78" i="13"/>
  <c r="K78" i="13"/>
  <c r="J78" i="13"/>
  <c r="I78" i="13"/>
  <c r="H78" i="13"/>
  <c r="G78" i="13"/>
  <c r="AP70" i="13"/>
  <c r="AP69" i="13" s="1"/>
  <c r="AP68" i="13" s="1"/>
  <c r="AO70" i="13"/>
  <c r="AO69" i="13" s="1"/>
  <c r="AO68" i="13" s="1"/>
  <c r="AN70" i="13"/>
  <c r="AN69" i="13" s="1"/>
  <c r="AN68" i="13" s="1"/>
  <c r="AM70" i="13"/>
  <c r="AM69" i="13" s="1"/>
  <c r="AM68" i="13" s="1"/>
  <c r="AL70" i="13"/>
  <c r="AL69" i="13" s="1"/>
  <c r="AL68" i="13" s="1"/>
  <c r="AK70" i="13"/>
  <c r="AK69" i="13" s="1"/>
  <c r="AK68" i="13" s="1"/>
  <c r="AJ70" i="13"/>
  <c r="AJ69" i="13" s="1"/>
  <c r="AJ68" i="13" s="1"/>
  <c r="AI70" i="13"/>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X70" i="13"/>
  <c r="X69" i="13" s="1"/>
  <c r="X68" i="13" s="1"/>
  <c r="W70" i="13"/>
  <c r="W69" i="13" s="1"/>
  <c r="W68" i="13" s="1"/>
  <c r="V70" i="13"/>
  <c r="V69" i="13" s="1"/>
  <c r="V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I70" i="13"/>
  <c r="I69" i="13" s="1"/>
  <c r="I68" i="13" s="1"/>
  <c r="H70" i="13"/>
  <c r="H69" i="13" s="1"/>
  <c r="H68" i="13" s="1"/>
  <c r="G70" i="13"/>
  <c r="G69" i="13" s="1"/>
  <c r="G68" i="13" s="1"/>
  <c r="AI69" i="13"/>
  <c r="AI68"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X65" i="13"/>
  <c r="X64" i="13" s="1"/>
  <c r="X63" i="13" s="1"/>
  <c r="X62" i="13" s="1"/>
  <c r="W65" i="13"/>
  <c r="W64" i="13" s="1"/>
  <c r="W63" i="13" s="1"/>
  <c r="W62" i="13" s="1"/>
  <c r="V65" i="13"/>
  <c r="V64" i="13" s="1"/>
  <c r="V63" i="13" s="1"/>
  <c r="V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J63" i="13" s="1"/>
  <c r="J62" i="13" s="1"/>
  <c r="I65" i="13"/>
  <c r="I64" i="13" s="1"/>
  <c r="I63" i="13" s="1"/>
  <c r="I62" i="13" s="1"/>
  <c r="H65" i="13"/>
  <c r="H64" i="13" s="1"/>
  <c r="H63" i="13" s="1"/>
  <c r="H62" i="13" s="1"/>
  <c r="G65" i="13"/>
  <c r="G64"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X54" i="13"/>
  <c r="X53" i="13" s="1"/>
  <c r="W54" i="13"/>
  <c r="W53" i="13" s="1"/>
  <c r="V54" i="13"/>
  <c r="V53" i="13" s="1"/>
  <c r="T54" i="13"/>
  <c r="T53" i="13" s="1"/>
  <c r="S54" i="13"/>
  <c r="S53" i="13" s="1"/>
  <c r="R54" i="13"/>
  <c r="R53" i="13" s="1"/>
  <c r="Q54" i="13"/>
  <c r="Q53" i="13" s="1"/>
  <c r="P54" i="13"/>
  <c r="P53" i="13" s="1"/>
  <c r="O54" i="13"/>
  <c r="O53" i="13" s="1"/>
  <c r="N54" i="13"/>
  <c r="N53" i="13" s="1"/>
  <c r="M54" i="13"/>
  <c r="M53" i="13" s="1"/>
  <c r="L54" i="13"/>
  <c r="L53" i="13" s="1"/>
  <c r="K54" i="13"/>
  <c r="K53" i="13" s="1"/>
  <c r="J54" i="13"/>
  <c r="J53" i="13" s="1"/>
  <c r="I54" i="13"/>
  <c r="I53" i="13" s="1"/>
  <c r="H54" i="13"/>
  <c r="H53" i="13" s="1"/>
  <c r="G54" i="13"/>
  <c r="AO48" i="13"/>
  <c r="AN48" i="13"/>
  <c r="AM48" i="13"/>
  <c r="AL48" i="13"/>
  <c r="AK48" i="13"/>
  <c r="AJ48" i="13"/>
  <c r="AI48" i="13"/>
  <c r="AH48" i="13"/>
  <c r="AG48" i="13"/>
  <c r="AF48" i="13"/>
  <c r="AE48" i="13"/>
  <c r="AD48" i="13"/>
  <c r="AC48" i="13"/>
  <c r="AB48" i="13"/>
  <c r="AA48" i="13"/>
  <c r="Z48" i="13"/>
  <c r="Y48" i="13"/>
  <c r="X48" i="13"/>
  <c r="W48" i="13"/>
  <c r="V48" i="13"/>
  <c r="T48" i="13"/>
  <c r="S48" i="13"/>
  <c r="R48" i="13"/>
  <c r="Q48" i="13"/>
  <c r="P48" i="13"/>
  <c r="O48" i="13"/>
  <c r="N48" i="13"/>
  <c r="M48" i="13"/>
  <c r="L48" i="13"/>
  <c r="K48" i="13"/>
  <c r="J48" i="13"/>
  <c r="I48" i="13"/>
  <c r="H48" i="13"/>
  <c r="G48" i="13"/>
  <c r="AP41" i="13"/>
  <c r="AO41" i="13"/>
  <c r="AN41" i="13"/>
  <c r="AM41" i="13"/>
  <c r="AL41" i="13"/>
  <c r="AK41" i="13"/>
  <c r="AJ41" i="13"/>
  <c r="AI41" i="13"/>
  <c r="AH41" i="13"/>
  <c r="AG41" i="13"/>
  <c r="AF41" i="13"/>
  <c r="AE41" i="13"/>
  <c r="AD41" i="13"/>
  <c r="AC41" i="13"/>
  <c r="AB41" i="13"/>
  <c r="AA41" i="13"/>
  <c r="Z41" i="13"/>
  <c r="Y41" i="13"/>
  <c r="X41" i="13"/>
  <c r="W41" i="13"/>
  <c r="V41" i="13"/>
  <c r="T41" i="13"/>
  <c r="S41" i="13"/>
  <c r="R41" i="13"/>
  <c r="Q41" i="13"/>
  <c r="P41" i="13"/>
  <c r="O41" i="13"/>
  <c r="N41" i="13"/>
  <c r="M41" i="13"/>
  <c r="L41" i="13"/>
  <c r="K41" i="13"/>
  <c r="J41" i="13"/>
  <c r="I41" i="13"/>
  <c r="H41" i="13"/>
  <c r="G41" i="13"/>
  <c r="AP33" i="13"/>
  <c r="AO33" i="13"/>
  <c r="AN33" i="13"/>
  <c r="AM33" i="13"/>
  <c r="AL33" i="13"/>
  <c r="AK33" i="13"/>
  <c r="AJ33" i="13"/>
  <c r="AI33" i="13"/>
  <c r="AH33" i="13"/>
  <c r="AG33" i="13"/>
  <c r="AF33" i="13"/>
  <c r="AE33" i="13"/>
  <c r="AD33" i="13"/>
  <c r="AC33" i="13"/>
  <c r="AB33" i="13"/>
  <c r="AA33" i="13"/>
  <c r="Z33" i="13"/>
  <c r="Y33" i="13"/>
  <c r="X33" i="13"/>
  <c r="W33" i="13"/>
  <c r="V33" i="13"/>
  <c r="T33" i="13"/>
  <c r="S33" i="13"/>
  <c r="R33" i="13"/>
  <c r="Q33" i="13"/>
  <c r="P33" i="13"/>
  <c r="O33" i="13"/>
  <c r="N33" i="13"/>
  <c r="M33" i="13"/>
  <c r="L33" i="13"/>
  <c r="K33" i="13"/>
  <c r="J33" i="13"/>
  <c r="I33" i="13"/>
  <c r="H33" i="13"/>
  <c r="G33" i="13"/>
  <c r="G29" i="13"/>
  <c r="G28" i="13" s="1"/>
  <c r="H29" i="13"/>
  <c r="H28" i="13" s="1"/>
  <c r="I29" i="13"/>
  <c r="I28" i="13" s="1"/>
  <c r="J29" i="13"/>
  <c r="J28" i="13" s="1"/>
  <c r="K29" i="13"/>
  <c r="K28" i="13" s="1"/>
  <c r="L29" i="13"/>
  <c r="L28" i="13" s="1"/>
  <c r="M29" i="13"/>
  <c r="M28" i="13" s="1"/>
  <c r="N29" i="13"/>
  <c r="N28" i="13" s="1"/>
  <c r="O29" i="13"/>
  <c r="O28" i="13" s="1"/>
  <c r="P29" i="13"/>
  <c r="P28" i="13" s="1"/>
  <c r="Q29" i="13"/>
  <c r="Q28" i="13" s="1"/>
  <c r="R29" i="13"/>
  <c r="R28" i="13" s="1"/>
  <c r="S29" i="13"/>
  <c r="S28" i="13" s="1"/>
  <c r="T29" i="13"/>
  <c r="T28" i="13" s="1"/>
  <c r="V29" i="13"/>
  <c r="V28" i="13" s="1"/>
  <c r="W29" i="13"/>
  <c r="W28" i="13" s="1"/>
  <c r="X29" i="13"/>
  <c r="X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G24" i="13"/>
  <c r="H24" i="13"/>
  <c r="I24" i="13"/>
  <c r="J24" i="13"/>
  <c r="K24" i="13"/>
  <c r="L24" i="13"/>
  <c r="M24" i="13"/>
  <c r="N24" i="13"/>
  <c r="O24" i="13"/>
  <c r="P24" i="13"/>
  <c r="Q24" i="13"/>
  <c r="R24" i="13"/>
  <c r="S24" i="13"/>
  <c r="T24" i="13"/>
  <c r="V24" i="13"/>
  <c r="W24" i="13"/>
  <c r="X24" i="13"/>
  <c r="Y24" i="13"/>
  <c r="Z24" i="13"/>
  <c r="AA24" i="13"/>
  <c r="AB24" i="13"/>
  <c r="AC24" i="13"/>
  <c r="AD24" i="13"/>
  <c r="AE24" i="13"/>
  <c r="AF24" i="13"/>
  <c r="AG24" i="13"/>
  <c r="AH24" i="13"/>
  <c r="AI24" i="13"/>
  <c r="AJ24" i="13"/>
  <c r="AK24" i="13"/>
  <c r="AL24" i="13"/>
  <c r="AM24" i="13"/>
  <c r="AN24" i="13"/>
  <c r="AO24" i="13"/>
  <c r="AP24" i="13"/>
  <c r="H20" i="13"/>
  <c r="I20" i="13"/>
  <c r="J20"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F24" i="13"/>
  <c r="G154" i="13"/>
  <c r="G134" i="13"/>
  <c r="G131" i="13"/>
  <c r="G178" i="13"/>
  <c r="H178" i="13"/>
  <c r="H177" i="13" s="1"/>
  <c r="I178" i="13"/>
  <c r="I177" i="13" s="1"/>
  <c r="J178" i="13"/>
  <c r="J177" i="13" s="1"/>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G171" i="13"/>
  <c r="H171" i="13"/>
  <c r="I171" i="13"/>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G160" i="13"/>
  <c r="H160" i="13"/>
  <c r="H148" i="13" s="1"/>
  <c r="H147" i="13" s="1"/>
  <c r="I160" i="13"/>
  <c r="I148" i="13" s="1"/>
  <c r="I147" i="13" s="1"/>
  <c r="J160" i="13"/>
  <c r="J148" i="13" s="1"/>
  <c r="J147" i="13" s="1"/>
  <c r="K160" i="13"/>
  <c r="K148" i="13" s="1"/>
  <c r="K147" i="13" s="1"/>
  <c r="L160" i="13"/>
  <c r="L148" i="13" s="1"/>
  <c r="L147" i="13" s="1"/>
  <c r="M160" i="13"/>
  <c r="M148" i="13" s="1"/>
  <c r="M147" i="13" s="1"/>
  <c r="N160" i="13"/>
  <c r="N148" i="13" s="1"/>
  <c r="N147" i="13" s="1"/>
  <c r="O160" i="13"/>
  <c r="O148" i="13" s="1"/>
  <c r="O147" i="13" s="1"/>
  <c r="F29" i="13"/>
  <c r="H546" i="21"/>
  <c r="G546" i="21"/>
  <c r="G545" i="21" s="1"/>
  <c r="H545" i="21"/>
  <c r="H544" i="21"/>
  <c r="G544" i="21"/>
  <c r="H543" i="21"/>
  <c r="G543" i="21"/>
  <c r="H542" i="21"/>
  <c r="G542" i="21"/>
  <c r="H541" i="21"/>
  <c r="G541" i="21"/>
  <c r="H540" i="21"/>
  <c r="G540" i="21"/>
  <c r="G539" i="21" s="1"/>
  <c r="H539" i="21"/>
  <c r="H538" i="21"/>
  <c r="H537" i="21"/>
  <c r="H536" i="21"/>
  <c r="G536" i="21"/>
  <c r="G535" i="21" s="1"/>
  <c r="G534" i="21" s="1"/>
  <c r="H535" i="21"/>
  <c r="H534" i="21"/>
  <c r="H533" i="21"/>
  <c r="G533" i="21"/>
  <c r="G532" i="21" s="1"/>
  <c r="H532" i="21"/>
  <c r="H531" i="21"/>
  <c r="G531" i="21"/>
  <c r="G530" i="21" s="1"/>
  <c r="H530" i="21"/>
  <c r="H529" i="21"/>
  <c r="G529" i="21"/>
  <c r="H528" i="21"/>
  <c r="G528" i="21"/>
  <c r="H527" i="21"/>
  <c r="G527" i="21"/>
  <c r="H526" i="21"/>
  <c r="H525" i="21"/>
  <c r="H524" i="21"/>
  <c r="G524" i="21"/>
  <c r="H523" i="21"/>
  <c r="G523" i="21"/>
  <c r="H522" i="21"/>
  <c r="H521" i="21"/>
  <c r="G521" i="21"/>
  <c r="G520" i="21" s="1"/>
  <c r="H520" i="21"/>
  <c r="H519" i="21"/>
  <c r="G519" i="21"/>
  <c r="H518" i="21"/>
  <c r="G518" i="21"/>
  <c r="H517" i="21"/>
  <c r="H516" i="21"/>
  <c r="G516" i="21"/>
  <c r="H515" i="21"/>
  <c r="G515" i="21"/>
  <c r="H514" i="21"/>
  <c r="G514" i="21"/>
  <c r="H513" i="21"/>
  <c r="H512" i="21"/>
  <c r="G512" i="21"/>
  <c r="H511" i="21"/>
  <c r="G511" i="21"/>
  <c r="H510" i="21"/>
  <c r="H509" i="21"/>
  <c r="H508" i="21"/>
  <c r="G508" i="21"/>
  <c r="H507" i="21"/>
  <c r="G507" i="21"/>
  <c r="H506" i="21"/>
  <c r="H505" i="21"/>
  <c r="G505" i="21"/>
  <c r="G504" i="21" s="1"/>
  <c r="H504" i="21"/>
  <c r="H503" i="21"/>
  <c r="G503" i="21"/>
  <c r="G502" i="21" s="1"/>
  <c r="H502" i="21"/>
  <c r="H501" i="21"/>
  <c r="G501" i="21"/>
  <c r="H500" i="21"/>
  <c r="G500" i="21"/>
  <c r="H499" i="21"/>
  <c r="G499" i="21"/>
  <c r="H498" i="21"/>
  <c r="G498" i="21"/>
  <c r="H497" i="21"/>
  <c r="G497" i="21"/>
  <c r="G496" i="21" s="1"/>
  <c r="H496" i="21"/>
  <c r="H495" i="21"/>
  <c r="G495" i="21"/>
  <c r="H494" i="21"/>
  <c r="G494" i="21"/>
  <c r="H493" i="21"/>
  <c r="G493" i="21"/>
  <c r="H492" i="21"/>
  <c r="G492" i="21"/>
  <c r="H491" i="21"/>
  <c r="H490" i="21"/>
  <c r="H489" i="21"/>
  <c r="H488" i="21"/>
  <c r="H487" i="21"/>
  <c r="H486" i="21"/>
  <c r="H485" i="21"/>
  <c r="G485" i="21"/>
  <c r="G484" i="21" s="1"/>
  <c r="H484" i="21"/>
  <c r="H483" i="21"/>
  <c r="G483" i="21"/>
  <c r="G482" i="21" s="1"/>
  <c r="H482" i="21"/>
  <c r="H481" i="21"/>
  <c r="G481" i="21"/>
  <c r="H480" i="21"/>
  <c r="G480" i="21"/>
  <c r="H479" i="21"/>
  <c r="H478" i="21"/>
  <c r="G478" i="21"/>
  <c r="G477" i="21" s="1"/>
  <c r="H477" i="21"/>
  <c r="H476" i="21"/>
  <c r="H475" i="21"/>
  <c r="G475" i="21"/>
  <c r="G474" i="21" s="1"/>
  <c r="H474" i="21"/>
  <c r="H473" i="21"/>
  <c r="G473" i="21"/>
  <c r="G472" i="21" s="1"/>
  <c r="H472" i="21"/>
  <c r="H471" i="21"/>
  <c r="G471" i="21"/>
  <c r="H470" i="21"/>
  <c r="G470" i="21"/>
  <c r="G469" i="21" s="1"/>
  <c r="H469" i="21"/>
  <c r="H468" i="21"/>
  <c r="H467" i="21"/>
  <c r="G467" i="21"/>
  <c r="G466" i="21" s="1"/>
  <c r="H466" i="21"/>
  <c r="H465" i="21"/>
  <c r="G465" i="21"/>
  <c r="G464" i="21" s="1"/>
  <c r="H464" i="21"/>
  <c r="H463" i="21"/>
  <c r="G463" i="21"/>
  <c r="G462" i="21" s="1"/>
  <c r="H462" i="21"/>
  <c r="H461" i="21"/>
  <c r="G461" i="21"/>
  <c r="H460" i="21"/>
  <c r="G460" i="21"/>
  <c r="H459" i="21"/>
  <c r="G459" i="21"/>
  <c r="H458" i="21"/>
  <c r="G458" i="21"/>
  <c r="H457" i="21"/>
  <c r="G457" i="21"/>
  <c r="H456" i="21"/>
  <c r="H455" i="21"/>
  <c r="H454" i="21"/>
  <c r="G454" i="21"/>
  <c r="G453" i="21" s="1"/>
  <c r="H453" i="21"/>
  <c r="H452" i="21"/>
  <c r="G452" i="21"/>
  <c r="G451" i="21" s="1"/>
  <c r="H451" i="21"/>
  <c r="H450" i="21"/>
  <c r="G450" i="21"/>
  <c r="H449" i="21"/>
  <c r="G449" i="21"/>
  <c r="H448" i="21"/>
  <c r="H447" i="21"/>
  <c r="H446" i="21"/>
  <c r="G446" i="21"/>
  <c r="G445" i="21" s="1"/>
  <c r="H445" i="21"/>
  <c r="H444" i="21"/>
  <c r="G444" i="21"/>
  <c r="G443" i="21" s="1"/>
  <c r="H443" i="21"/>
  <c r="H442" i="21"/>
  <c r="G442" i="21"/>
  <c r="H441" i="21"/>
  <c r="G441" i="21"/>
  <c r="H440" i="21"/>
  <c r="G440" i="21"/>
  <c r="G439" i="21" s="1"/>
  <c r="H439" i="21"/>
  <c r="H438" i="21"/>
  <c r="H437" i="21"/>
  <c r="G437" i="21"/>
  <c r="G436" i="21" s="1"/>
  <c r="H436" i="21"/>
  <c r="H435" i="21"/>
  <c r="G435" i="21"/>
  <c r="G434" i="21" s="1"/>
  <c r="H434" i="21"/>
  <c r="H433" i="21"/>
  <c r="G433" i="21"/>
  <c r="H432" i="21"/>
  <c r="G432" i="21"/>
  <c r="H431" i="21"/>
  <c r="G431" i="21"/>
  <c r="H430" i="21"/>
  <c r="G430" i="21"/>
  <c r="H429" i="21"/>
  <c r="H428" i="21"/>
  <c r="H427" i="21"/>
  <c r="H426" i="21"/>
  <c r="H425" i="21"/>
  <c r="G425" i="21"/>
  <c r="G424" i="21" s="1"/>
  <c r="H424" i="21"/>
  <c r="H423" i="21"/>
  <c r="G423" i="21"/>
  <c r="G422" i="21" s="1"/>
  <c r="H422" i="21"/>
  <c r="H421" i="21"/>
  <c r="G421" i="21"/>
  <c r="H420" i="21"/>
  <c r="G420" i="21"/>
  <c r="H419" i="21"/>
  <c r="G419" i="21"/>
  <c r="H418" i="21"/>
  <c r="G418" i="21"/>
  <c r="H417" i="21"/>
  <c r="G417" i="21"/>
  <c r="G416" i="21" s="1"/>
  <c r="G415" i="21" s="1"/>
  <c r="G414" i="21" s="1"/>
  <c r="H416" i="21"/>
  <c r="H415" i="21"/>
  <c r="H414" i="21"/>
  <c r="H413" i="21"/>
  <c r="G413" i="21"/>
  <c r="G412" i="21" s="1"/>
  <c r="H412" i="21"/>
  <c r="H411" i="21"/>
  <c r="G411" i="21"/>
  <c r="G410" i="21" s="1"/>
  <c r="H410" i="21"/>
  <c r="H409" i="21"/>
  <c r="G409" i="21"/>
  <c r="G408" i="21" s="1"/>
  <c r="H408" i="21"/>
  <c r="H407" i="21"/>
  <c r="G407" i="21"/>
  <c r="H406" i="21"/>
  <c r="G406" i="21"/>
  <c r="G405" i="21" s="1"/>
  <c r="H405" i="21"/>
  <c r="H404" i="21"/>
  <c r="G404" i="21"/>
  <c r="H403" i="21"/>
  <c r="G403" i="21"/>
  <c r="H402" i="21"/>
  <c r="G402" i="21"/>
  <c r="H401" i="21"/>
  <c r="G401" i="21"/>
  <c r="H400" i="21"/>
  <c r="G400" i="21"/>
  <c r="H399" i="21"/>
  <c r="G399" i="21"/>
  <c r="H398" i="21"/>
  <c r="H397" i="21"/>
  <c r="H396" i="21"/>
  <c r="G396" i="21"/>
  <c r="H395" i="21"/>
  <c r="G395" i="21"/>
  <c r="H394" i="21"/>
  <c r="G394" i="21"/>
  <c r="H393" i="21"/>
  <c r="G393" i="21"/>
  <c r="H392" i="21"/>
  <c r="G392" i="21"/>
  <c r="H391" i="21"/>
  <c r="G391" i="21"/>
  <c r="G387" i="21" s="1"/>
  <c r="G386" i="21" s="1"/>
  <c r="H390" i="21"/>
  <c r="G390" i="21"/>
  <c r="H389" i="21"/>
  <c r="G389" i="21"/>
  <c r="H388" i="21"/>
  <c r="G388" i="21"/>
  <c r="H387" i="21"/>
  <c r="H386" i="21"/>
  <c r="H385" i="21"/>
  <c r="H384" i="21"/>
  <c r="H383" i="21"/>
  <c r="G383" i="21"/>
  <c r="G382" i="21" s="1"/>
  <c r="H382" i="21"/>
  <c r="H381" i="21"/>
  <c r="G381" i="21"/>
  <c r="G380" i="21" s="1"/>
  <c r="H380" i="21"/>
  <c r="H379" i="21"/>
  <c r="G379" i="21"/>
  <c r="H378" i="21"/>
  <c r="G378" i="21"/>
  <c r="H377" i="21"/>
  <c r="H376" i="21"/>
  <c r="G376" i="21"/>
  <c r="H375" i="21"/>
  <c r="G375" i="21"/>
  <c r="H374" i="21"/>
  <c r="G374" i="21"/>
  <c r="H373" i="21"/>
  <c r="H372" i="21"/>
  <c r="H371" i="21"/>
  <c r="G371" i="21"/>
  <c r="G370" i="21" s="1"/>
  <c r="H370" i="21"/>
  <c r="H369" i="21"/>
  <c r="G369" i="21"/>
  <c r="G368" i="21" s="1"/>
  <c r="H368" i="21"/>
  <c r="H367" i="21"/>
  <c r="G367" i="21"/>
  <c r="H366" i="21"/>
  <c r="G366" i="21"/>
  <c r="H365" i="21"/>
  <c r="H364" i="21"/>
  <c r="G364" i="21"/>
  <c r="G363" i="21" s="1"/>
  <c r="H363" i="21"/>
  <c r="H362" i="21"/>
  <c r="G362" i="21"/>
  <c r="H361" i="21"/>
  <c r="G361" i="21"/>
  <c r="H360" i="21"/>
  <c r="G360" i="21"/>
  <c r="H359" i="21"/>
  <c r="H358" i="21"/>
  <c r="H357" i="21"/>
  <c r="G357" i="21"/>
  <c r="G356" i="21" s="1"/>
  <c r="H356" i="21"/>
  <c r="H355" i="21"/>
  <c r="G355" i="21"/>
  <c r="H354" i="21"/>
  <c r="G354" i="21"/>
  <c r="H353" i="21"/>
  <c r="H352" i="21"/>
  <c r="G352" i="21"/>
  <c r="G351" i="21" s="1"/>
  <c r="H351" i="21"/>
  <c r="H350" i="21"/>
  <c r="G350" i="21"/>
  <c r="H349" i="21"/>
  <c r="G349" i="21"/>
  <c r="H348" i="21"/>
  <c r="G348" i="21"/>
  <c r="H347" i="21"/>
  <c r="H346" i="21"/>
  <c r="H345" i="21"/>
  <c r="H344" i="21"/>
  <c r="H343" i="21"/>
  <c r="H342" i="21"/>
  <c r="G342" i="21"/>
  <c r="G341" i="21" s="1"/>
  <c r="G340" i="21" s="1"/>
  <c r="G339" i="21" s="1"/>
  <c r="G338" i="21" s="1"/>
  <c r="G337" i="21" s="1"/>
  <c r="H341" i="21"/>
  <c r="H340" i="21"/>
  <c r="H339" i="21"/>
  <c r="H338" i="21"/>
  <c r="H337" i="21"/>
  <c r="H336" i="21"/>
  <c r="G336" i="21"/>
  <c r="H335" i="21"/>
  <c r="G335" i="21"/>
  <c r="H334" i="21"/>
  <c r="G334" i="21"/>
  <c r="H333" i="21"/>
  <c r="G333" i="21"/>
  <c r="G331" i="21" s="1"/>
  <c r="H332" i="21"/>
  <c r="G332" i="21"/>
  <c r="H331" i="21"/>
  <c r="H330" i="21"/>
  <c r="G330" i="21"/>
  <c r="H329" i="21"/>
  <c r="G329" i="21"/>
  <c r="H328" i="21"/>
  <c r="G328" i="21"/>
  <c r="H327" i="21"/>
  <c r="G327" i="21"/>
  <c r="G326" i="21" s="1"/>
  <c r="H326" i="21"/>
  <c r="H325" i="21"/>
  <c r="G325" i="21"/>
  <c r="H324" i="21"/>
  <c r="G324" i="21"/>
  <c r="H323" i="21"/>
  <c r="G323" i="21"/>
  <c r="H322" i="21"/>
  <c r="G322" i="21"/>
  <c r="G321" i="21" s="1"/>
  <c r="G320" i="21" s="1"/>
  <c r="H321" i="21"/>
  <c r="H320" i="21"/>
  <c r="H319" i="21"/>
  <c r="G319" i="21"/>
  <c r="H318" i="21"/>
  <c r="G318" i="21"/>
  <c r="H317" i="21"/>
  <c r="G317" i="21"/>
  <c r="H316" i="21"/>
  <c r="G316" i="21"/>
  <c r="H315" i="21"/>
  <c r="G315" i="21"/>
  <c r="H314" i="21"/>
  <c r="G314" i="21"/>
  <c r="H313" i="21"/>
  <c r="G313" i="21"/>
  <c r="H312" i="21"/>
  <c r="G312" i="21"/>
  <c r="H311" i="21"/>
  <c r="G311" i="21"/>
  <c r="H310" i="21"/>
  <c r="G310" i="21"/>
  <c r="H309" i="21"/>
  <c r="H308" i="21"/>
  <c r="G308" i="21"/>
  <c r="H307" i="21"/>
  <c r="G307" i="21"/>
  <c r="H306" i="21"/>
  <c r="H305" i="21"/>
  <c r="H304" i="21"/>
  <c r="G304" i="21"/>
  <c r="G303" i="21" s="1"/>
  <c r="H303" i="21"/>
  <c r="H302" i="21"/>
  <c r="G302" i="21"/>
  <c r="H301" i="21"/>
  <c r="G301" i="21"/>
  <c r="H300" i="21"/>
  <c r="G300" i="21"/>
  <c r="H299" i="21"/>
  <c r="G299" i="21"/>
  <c r="H298" i="21"/>
  <c r="G298" i="21"/>
  <c r="H297" i="21"/>
  <c r="G297" i="21"/>
  <c r="H296" i="21"/>
  <c r="G296" i="21"/>
  <c r="H295" i="21"/>
  <c r="G295" i="21"/>
  <c r="H294" i="21"/>
  <c r="G294" i="21"/>
  <c r="H293" i="21"/>
  <c r="H292" i="21"/>
  <c r="H291" i="21"/>
  <c r="G291" i="21"/>
  <c r="H290" i="21"/>
  <c r="G290" i="21"/>
  <c r="H289" i="21"/>
  <c r="H288" i="21"/>
  <c r="G288" i="21"/>
  <c r="G287" i="21" s="1"/>
  <c r="H287" i="21"/>
  <c r="H286" i="21"/>
  <c r="H285" i="21"/>
  <c r="G285" i="21"/>
  <c r="H284" i="21"/>
  <c r="G284" i="21"/>
  <c r="H283" i="21"/>
  <c r="G283" i="21"/>
  <c r="H282" i="21"/>
  <c r="G282" i="21"/>
  <c r="H281" i="21"/>
  <c r="G281" i="21"/>
  <c r="H280" i="21"/>
  <c r="G280" i="21"/>
  <c r="H279" i="21"/>
  <c r="G279" i="21"/>
  <c r="H278" i="21"/>
  <c r="G278" i="21"/>
  <c r="H277" i="21"/>
  <c r="G277" i="21"/>
  <c r="H276" i="21"/>
  <c r="H275" i="21"/>
  <c r="G275" i="21"/>
  <c r="H274" i="21"/>
  <c r="G274" i="21"/>
  <c r="H273" i="21"/>
  <c r="G273" i="21"/>
  <c r="H272" i="21"/>
  <c r="G272" i="21"/>
  <c r="H271" i="21"/>
  <c r="G271" i="21"/>
  <c r="H270" i="21"/>
  <c r="G270" i="21"/>
  <c r="H269" i="21"/>
  <c r="G269" i="21"/>
  <c r="H268" i="21"/>
  <c r="G268" i="21"/>
  <c r="H267" i="21"/>
  <c r="G267" i="21"/>
  <c r="H266" i="21"/>
  <c r="H265" i="21"/>
  <c r="H264" i="21"/>
  <c r="H263" i="21"/>
  <c r="H262" i="21"/>
  <c r="G262" i="21"/>
  <c r="G261" i="21" s="1"/>
  <c r="H261" i="21"/>
  <c r="H260" i="21"/>
  <c r="G260" i="21"/>
  <c r="G259" i="21" s="1"/>
  <c r="H259" i="21"/>
  <c r="H258" i="21"/>
  <c r="G258" i="21"/>
  <c r="G257" i="21" s="1"/>
  <c r="H257" i="21"/>
  <c r="H256" i="21"/>
  <c r="G256" i="21"/>
  <c r="H255" i="21"/>
  <c r="G255" i="21"/>
  <c r="H254" i="21"/>
  <c r="G254" i="21"/>
  <c r="H253" i="21"/>
  <c r="G253" i="21"/>
  <c r="H252" i="21"/>
  <c r="G252" i="21"/>
  <c r="H251" i="21"/>
  <c r="G251" i="21"/>
  <c r="H250" i="21"/>
  <c r="G250" i="21"/>
  <c r="H249" i="21"/>
  <c r="H248" i="21"/>
  <c r="H247" i="21"/>
  <c r="G247" i="21"/>
  <c r="G246" i="21" s="1"/>
  <c r="H246" i="21"/>
  <c r="H245" i="21"/>
  <c r="G245" i="21"/>
  <c r="H244" i="21"/>
  <c r="G244" i="21"/>
  <c r="H243" i="21"/>
  <c r="G243" i="21"/>
  <c r="H242" i="21"/>
  <c r="H241" i="21"/>
  <c r="G241" i="21"/>
  <c r="H240" i="21"/>
  <c r="G240" i="21"/>
  <c r="H239" i="21"/>
  <c r="H238" i="21"/>
  <c r="G238" i="21"/>
  <c r="H237" i="21"/>
  <c r="G237" i="21"/>
  <c r="H236" i="21"/>
  <c r="G236" i="21"/>
  <c r="H235" i="21"/>
  <c r="G235" i="21"/>
  <c r="H234" i="21"/>
  <c r="G234" i="21"/>
  <c r="H233" i="21"/>
  <c r="G233" i="21"/>
  <c r="H232" i="21"/>
  <c r="G232" i="21"/>
  <c r="H231" i="21"/>
  <c r="G231" i="21"/>
  <c r="H230" i="21"/>
  <c r="G230" i="21"/>
  <c r="H229" i="21"/>
  <c r="H228" i="21"/>
  <c r="H227" i="21"/>
  <c r="G227" i="21"/>
  <c r="G226" i="21" s="1"/>
  <c r="H226" i="21"/>
  <c r="H225" i="21"/>
  <c r="G225" i="21"/>
  <c r="G224" i="21" s="1"/>
  <c r="H224" i="21"/>
  <c r="H223" i="21"/>
  <c r="G223" i="21"/>
  <c r="G222" i="21" s="1"/>
  <c r="H222" i="21"/>
  <c r="H221" i="21"/>
  <c r="G221" i="21"/>
  <c r="H220" i="21"/>
  <c r="G220" i="21"/>
  <c r="H219" i="21"/>
  <c r="G219" i="21"/>
  <c r="H218" i="21"/>
  <c r="G218" i="21"/>
  <c r="H217" i="21"/>
  <c r="H216" i="21"/>
  <c r="H215" i="21"/>
  <c r="G215" i="21"/>
  <c r="G214" i="21" s="1"/>
  <c r="H214" i="21"/>
  <c r="H213" i="21"/>
  <c r="G213" i="21"/>
  <c r="G212" i="21" s="1"/>
  <c r="H212" i="21"/>
  <c r="H211" i="21"/>
  <c r="G211" i="21"/>
  <c r="G210" i="21" s="1"/>
  <c r="H210" i="21"/>
  <c r="H209" i="21"/>
  <c r="G209" i="21"/>
  <c r="H208" i="21"/>
  <c r="G208" i="21"/>
  <c r="H207" i="21"/>
  <c r="G207" i="21"/>
  <c r="H206" i="21"/>
  <c r="G206" i="21"/>
  <c r="H205" i="21"/>
  <c r="H204" i="21"/>
  <c r="G204" i="21"/>
  <c r="H203" i="21"/>
  <c r="G203" i="21"/>
  <c r="H202" i="21"/>
  <c r="G202" i="21"/>
  <c r="H201" i="21"/>
  <c r="H200" i="21"/>
  <c r="H199" i="21"/>
  <c r="G199" i="21"/>
  <c r="G198" i="21" s="1"/>
  <c r="H198" i="21"/>
  <c r="H197" i="21"/>
  <c r="G197" i="21"/>
  <c r="G196" i="21" s="1"/>
  <c r="H196" i="21"/>
  <c r="H195" i="21"/>
  <c r="G195" i="21"/>
  <c r="G194" i="21" s="1"/>
  <c r="H194" i="21"/>
  <c r="H193" i="21"/>
  <c r="G193" i="21"/>
  <c r="H192" i="21"/>
  <c r="G192" i="21"/>
  <c r="H191" i="21"/>
  <c r="G191" i="21"/>
  <c r="H190" i="21"/>
  <c r="H189" i="21"/>
  <c r="G189" i="21"/>
  <c r="H188" i="21"/>
  <c r="G188" i="21"/>
  <c r="H187" i="21"/>
  <c r="G187" i="21"/>
  <c r="H186" i="21"/>
  <c r="G186" i="21"/>
  <c r="H185" i="21"/>
  <c r="H184" i="21"/>
  <c r="H183" i="21"/>
  <c r="G183" i="21"/>
  <c r="G182" i="21" s="1"/>
  <c r="H182" i="21"/>
  <c r="H181" i="21"/>
  <c r="G181" i="21"/>
  <c r="G180" i="21" s="1"/>
  <c r="H180" i="21"/>
  <c r="H179" i="21"/>
  <c r="G179" i="21"/>
  <c r="H178" i="21"/>
  <c r="G178" i="21"/>
  <c r="H177" i="21"/>
  <c r="G177" i="21"/>
  <c r="H176" i="21"/>
  <c r="G176" i="21"/>
  <c r="H175" i="21"/>
  <c r="H174" i="21"/>
  <c r="H173" i="21"/>
  <c r="G173" i="21"/>
  <c r="G172" i="21" s="1"/>
  <c r="H172" i="21"/>
  <c r="H171" i="21"/>
  <c r="G171" i="21"/>
  <c r="G170" i="21" s="1"/>
  <c r="H170" i="21"/>
  <c r="H169" i="21"/>
  <c r="G169" i="21"/>
  <c r="G168" i="21" s="1"/>
  <c r="H168" i="21"/>
  <c r="H167" i="21"/>
  <c r="G167" i="21"/>
  <c r="H166" i="21"/>
  <c r="G166" i="21"/>
  <c r="H165" i="21"/>
  <c r="G165" i="21"/>
  <c r="H164" i="21"/>
  <c r="G164" i="21"/>
  <c r="H163" i="21"/>
  <c r="G163" i="21"/>
  <c r="H162" i="21"/>
  <c r="H161" i="21"/>
  <c r="H160" i="21"/>
  <c r="G160" i="21"/>
  <c r="H159" i="21"/>
  <c r="G159" i="21"/>
  <c r="H158" i="21"/>
  <c r="H157" i="21"/>
  <c r="G157" i="21"/>
  <c r="G156" i="21" s="1"/>
  <c r="H156" i="21"/>
  <c r="H155" i="21"/>
  <c r="G155" i="21"/>
  <c r="G154" i="21" s="1"/>
  <c r="H154" i="21"/>
  <c r="H153" i="21"/>
  <c r="G153" i="21"/>
  <c r="H152" i="21"/>
  <c r="G152" i="21"/>
  <c r="H151" i="21"/>
  <c r="H150" i="21"/>
  <c r="H149" i="21"/>
  <c r="G149" i="21"/>
  <c r="G148" i="21" s="1"/>
  <c r="H148" i="21"/>
  <c r="H147" i="21"/>
  <c r="G147" i="21"/>
  <c r="G146" i="21" s="1"/>
  <c r="H146" i="21"/>
  <c r="H145" i="21"/>
  <c r="G145" i="21"/>
  <c r="H144" i="21"/>
  <c r="G144" i="21"/>
  <c r="H143" i="21"/>
  <c r="G143" i="21"/>
  <c r="H142" i="21"/>
  <c r="G142" i="21"/>
  <c r="H141" i="21"/>
  <c r="H140" i="21"/>
  <c r="H139" i="21"/>
  <c r="H138" i="21"/>
  <c r="H137" i="21"/>
  <c r="G137" i="21"/>
  <c r="G136" i="21" s="1"/>
  <c r="H136" i="21"/>
  <c r="H135" i="21"/>
  <c r="G135" i="21"/>
  <c r="G134" i="21" s="1"/>
  <c r="H134" i="21"/>
  <c r="H133" i="21"/>
  <c r="G133" i="21"/>
  <c r="H132" i="21"/>
  <c r="G132" i="21"/>
  <c r="H131" i="21"/>
  <c r="H130" i="21"/>
  <c r="G130" i="21"/>
  <c r="G129" i="21" s="1"/>
  <c r="H129" i="21"/>
  <c r="H128" i="21"/>
  <c r="G128" i="21"/>
  <c r="H127" i="21"/>
  <c r="G127" i="21"/>
  <c r="H126" i="21"/>
  <c r="H125" i="21"/>
  <c r="H124" i="21"/>
  <c r="H123" i="21"/>
  <c r="H122" i="21"/>
  <c r="H121" i="21"/>
  <c r="G121" i="21"/>
  <c r="G120" i="21" s="1"/>
  <c r="G119" i="21" s="1"/>
  <c r="G118" i="21" s="1"/>
  <c r="G117" i="21" s="1"/>
  <c r="G116" i="21" s="1"/>
  <c r="H120" i="21"/>
  <c r="H119" i="21"/>
  <c r="H118" i="21"/>
  <c r="H117" i="21"/>
  <c r="H116" i="21"/>
  <c r="H115" i="21"/>
  <c r="H114" i="21"/>
  <c r="H113" i="21"/>
  <c r="G113" i="21"/>
  <c r="G112" i="21" s="1"/>
  <c r="H112" i="21"/>
  <c r="H111" i="21"/>
  <c r="G111" i="21"/>
  <c r="G110" i="21" s="1"/>
  <c r="H110" i="21"/>
  <c r="H109" i="21"/>
  <c r="G109" i="21"/>
  <c r="G108" i="21" s="1"/>
  <c r="H108" i="21"/>
  <c r="H107" i="21"/>
  <c r="G107" i="21"/>
  <c r="G106" i="21" s="1"/>
  <c r="H106" i="21"/>
  <c r="H105" i="21"/>
  <c r="G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G29" i="21" s="1"/>
  <c r="G28" i="21" s="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C1" i="20"/>
  <c r="C3" i="20"/>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V32" i="13" l="1"/>
  <c r="AD32" i="13"/>
  <c r="AH32" i="13"/>
  <c r="AL32" i="13"/>
  <c r="H32" i="13"/>
  <c r="L32" i="13"/>
  <c r="P32" i="13"/>
  <c r="AK32" i="13"/>
  <c r="J32" i="13"/>
  <c r="R32" i="13"/>
  <c r="AF32" i="13"/>
  <c r="AJ32" i="13"/>
  <c r="R71" i="16"/>
  <c r="AR129" i="13"/>
  <c r="AS129" i="13"/>
  <c r="AT129" i="13" s="1"/>
  <c r="R63" i="16"/>
  <c r="R75" i="16"/>
  <c r="R67" i="16"/>
  <c r="R58" i="16"/>
  <c r="AN19" i="13"/>
  <c r="AF19" i="13"/>
  <c r="X19" i="13"/>
  <c r="T19" i="13"/>
  <c r="H19" i="13"/>
  <c r="G143" i="13"/>
  <c r="R86" i="16"/>
  <c r="AQ134" i="13"/>
  <c r="R81" i="16"/>
  <c r="AQ154" i="13"/>
  <c r="R91" i="16"/>
  <c r="AJ19" i="13"/>
  <c r="AB19" i="13"/>
  <c r="P19" i="13"/>
  <c r="L19" i="13"/>
  <c r="L18" i="13" s="1"/>
  <c r="L17" i="13" s="1"/>
  <c r="L16" i="13" s="1"/>
  <c r="L15" i="13" s="1"/>
  <c r="AQ128" i="13"/>
  <c r="R77" i="16"/>
  <c r="R96" i="16"/>
  <c r="R103" i="16"/>
  <c r="R108" i="16"/>
  <c r="R79" i="16"/>
  <c r="AQ131" i="13"/>
  <c r="AQ125" i="13"/>
  <c r="AQ149" i="13"/>
  <c r="R87" i="16"/>
  <c r="R100" i="16"/>
  <c r="R111" i="16"/>
  <c r="R125" i="16"/>
  <c r="G227" i="13"/>
  <c r="AQ228" i="13"/>
  <c r="R140" i="16"/>
  <c r="Z32" i="13"/>
  <c r="N32" i="13"/>
  <c r="AO19" i="13"/>
  <c r="AK19" i="13"/>
  <c r="AG19" i="13"/>
  <c r="AC19" i="13"/>
  <c r="Y19" i="13"/>
  <c r="U19" i="13"/>
  <c r="Q19" i="13"/>
  <c r="M19" i="13"/>
  <c r="I19" i="13"/>
  <c r="AM19" i="13"/>
  <c r="AE19" i="13"/>
  <c r="W19" i="13"/>
  <c r="K19" i="13"/>
  <c r="AE77" i="13"/>
  <c r="AE76" i="13" s="1"/>
  <c r="AA19" i="13"/>
  <c r="S19" i="13"/>
  <c r="O19" i="13"/>
  <c r="AP19" i="13"/>
  <c r="AL19" i="13"/>
  <c r="AH19" i="13"/>
  <c r="AH18" i="13" s="1"/>
  <c r="AH17" i="13" s="1"/>
  <c r="AH16" i="13" s="1"/>
  <c r="AH15" i="13" s="1"/>
  <c r="AD19" i="13"/>
  <c r="Z19" i="13"/>
  <c r="V19" i="13"/>
  <c r="R19" i="13"/>
  <c r="N19" i="13"/>
  <c r="G19" i="13"/>
  <c r="AQ20" i="13"/>
  <c r="X32" i="13"/>
  <c r="AN32" i="13"/>
  <c r="AP32" i="13"/>
  <c r="AI19" i="13"/>
  <c r="J19" i="13"/>
  <c r="T32" i="13"/>
  <c r="AB32" i="13"/>
  <c r="AC77" i="13"/>
  <c r="AC76" i="13" s="1"/>
  <c r="I77" i="13"/>
  <c r="I76" i="13" s="1"/>
  <c r="M77" i="13"/>
  <c r="M76" i="13" s="1"/>
  <c r="Q77" i="13"/>
  <c r="Q76" i="13" s="1"/>
  <c r="Y77" i="13"/>
  <c r="Y76" i="13" s="1"/>
  <c r="AG77" i="13"/>
  <c r="AG76" i="13" s="1"/>
  <c r="AK77" i="13"/>
  <c r="AK76" i="13" s="1"/>
  <c r="AO77" i="13"/>
  <c r="AO76" i="13" s="1"/>
  <c r="J77" i="13"/>
  <c r="J76" i="13" s="1"/>
  <c r="AM77" i="13"/>
  <c r="AM76" i="13" s="1"/>
  <c r="AI77" i="13"/>
  <c r="AI76" i="13" s="1"/>
  <c r="AA77" i="13"/>
  <c r="AA76" i="13" s="1"/>
  <c r="W77" i="13"/>
  <c r="W76" i="13" s="1"/>
  <c r="S77" i="13"/>
  <c r="S76" i="13" s="1"/>
  <c r="O77" i="13"/>
  <c r="O76" i="13" s="1"/>
  <c r="AQ65" i="13"/>
  <c r="AQ70" i="13"/>
  <c r="I32" i="13"/>
  <c r="M32" i="13"/>
  <c r="Q32" i="13"/>
  <c r="Y32" i="13"/>
  <c r="AC32" i="13"/>
  <c r="AG32" i="13"/>
  <c r="AO32" i="13"/>
  <c r="AN77" i="13"/>
  <c r="AN76" i="13" s="1"/>
  <c r="AJ77" i="13"/>
  <c r="AJ76" i="13" s="1"/>
  <c r="AF77" i="13"/>
  <c r="AF76" i="13" s="1"/>
  <c r="AB77" i="13"/>
  <c r="AB76" i="13" s="1"/>
  <c r="X77" i="13"/>
  <c r="X76" i="13" s="1"/>
  <c r="T77" i="13"/>
  <c r="T76" i="13" s="1"/>
  <c r="P77" i="13"/>
  <c r="P76" i="13" s="1"/>
  <c r="L77" i="13"/>
  <c r="L76" i="13" s="1"/>
  <c r="AQ41" i="13"/>
  <c r="AQ54" i="13"/>
  <c r="G53" i="13"/>
  <c r="AQ53" i="13" s="1"/>
  <c r="AQ64" i="13"/>
  <c r="G63" i="13"/>
  <c r="AN166" i="13"/>
  <c r="AN165" i="13" s="1"/>
  <c r="AJ166" i="13"/>
  <c r="AJ165" i="13" s="1"/>
  <c r="AF166" i="13"/>
  <c r="AF165" i="13" s="1"/>
  <c r="AB166" i="13"/>
  <c r="AB165" i="13" s="1"/>
  <c r="X166" i="13"/>
  <c r="X165" i="13" s="1"/>
  <c r="T166" i="13"/>
  <c r="T165" i="13" s="1"/>
  <c r="P166" i="13"/>
  <c r="P165" i="13" s="1"/>
  <c r="L166" i="13"/>
  <c r="L165" i="13" s="1"/>
  <c r="H166" i="13"/>
  <c r="H165" i="13" s="1"/>
  <c r="AQ24" i="13"/>
  <c r="AR24" i="13" s="1"/>
  <c r="AQ28" i="13"/>
  <c r="AQ171" i="13"/>
  <c r="AM166" i="13"/>
  <c r="AM165" i="13" s="1"/>
  <c r="AE166" i="13"/>
  <c r="AE165" i="13" s="1"/>
  <c r="W166" i="13"/>
  <c r="W165" i="13" s="1"/>
  <c r="O166" i="13"/>
  <c r="O165" i="13" s="1"/>
  <c r="G166" i="13"/>
  <c r="AQ167" i="13"/>
  <c r="G32" i="13"/>
  <c r="AQ48" i="13"/>
  <c r="K32" i="13"/>
  <c r="O32" i="13"/>
  <c r="S32" i="13"/>
  <c r="W32" i="13"/>
  <c r="AA32" i="13"/>
  <c r="AE32" i="13"/>
  <c r="AI32" i="13"/>
  <c r="AM32" i="13"/>
  <c r="G177" i="13"/>
  <c r="AQ177" i="13" s="1"/>
  <c r="AQ178" i="13"/>
  <c r="G148" i="13"/>
  <c r="AI166" i="13"/>
  <c r="AI165" i="13" s="1"/>
  <c r="AA166" i="13"/>
  <c r="AA165" i="13" s="1"/>
  <c r="S166" i="13"/>
  <c r="S165" i="13" s="1"/>
  <c r="K166" i="13"/>
  <c r="K165" i="13" s="1"/>
  <c r="K77" i="13"/>
  <c r="K76" i="13" s="1"/>
  <c r="G77" i="13"/>
  <c r="G76" i="13" s="1"/>
  <c r="AP77" i="13"/>
  <c r="AP76" i="13" s="1"/>
  <c r="AL77" i="13"/>
  <c r="AL76" i="13" s="1"/>
  <c r="AH77" i="13"/>
  <c r="AH76" i="13" s="1"/>
  <c r="AD77" i="13"/>
  <c r="AD76" i="13" s="1"/>
  <c r="Z77" i="13"/>
  <c r="Z76" i="13" s="1"/>
  <c r="V77" i="13"/>
  <c r="V76" i="13" s="1"/>
  <c r="R77" i="13"/>
  <c r="R76" i="13" s="1"/>
  <c r="N77" i="13"/>
  <c r="N76" i="13" s="1"/>
  <c r="AP166" i="13"/>
  <c r="AP165" i="13" s="1"/>
  <c r="AL166" i="13"/>
  <c r="AL165" i="13" s="1"/>
  <c r="AH166" i="13"/>
  <c r="AH165" i="13" s="1"/>
  <c r="AD166" i="13"/>
  <c r="AD165" i="13" s="1"/>
  <c r="Z166" i="13"/>
  <c r="Z165" i="13" s="1"/>
  <c r="V166" i="13"/>
  <c r="V165" i="13" s="1"/>
  <c r="R166" i="13"/>
  <c r="R165" i="13" s="1"/>
  <c r="N166" i="13"/>
  <c r="N165" i="13" s="1"/>
  <c r="J166" i="13"/>
  <c r="J165" i="13" s="1"/>
  <c r="H77" i="13"/>
  <c r="H76" i="13" s="1"/>
  <c r="AO166" i="13"/>
  <c r="AO165" i="13" s="1"/>
  <c r="AK166" i="13"/>
  <c r="AK165" i="13" s="1"/>
  <c r="AG166" i="13"/>
  <c r="AG165" i="13" s="1"/>
  <c r="AC166" i="13"/>
  <c r="AC165" i="13" s="1"/>
  <c r="Y166" i="13"/>
  <c r="Y165" i="13" s="1"/>
  <c r="U166" i="13"/>
  <c r="U165" i="13" s="1"/>
  <c r="Q166" i="13"/>
  <c r="Q165" i="13" s="1"/>
  <c r="M166" i="13"/>
  <c r="M165" i="13" s="1"/>
  <c r="I166" i="13"/>
  <c r="I165" i="13" s="1"/>
  <c r="G229" i="21"/>
  <c r="G506" i="21"/>
  <c r="G55" i="21"/>
  <c r="G87" i="21"/>
  <c r="G86" i="21" s="1"/>
  <c r="G175" i="21"/>
  <c r="G185" i="21"/>
  <c r="G217" i="21"/>
  <c r="G510" i="21"/>
  <c r="G509" i="21" s="1"/>
  <c r="G40" i="21"/>
  <c r="G39" i="21" s="1"/>
  <c r="G38" i="21" s="1"/>
  <c r="G141" i="21"/>
  <c r="G151" i="21"/>
  <c r="G205" i="21"/>
  <c r="G242" i="21"/>
  <c r="G276" i="21"/>
  <c r="G306" i="21"/>
  <c r="G538" i="21"/>
  <c r="G537" i="21" s="1"/>
  <c r="G51" i="21"/>
  <c r="G162" i="21"/>
  <c r="G19" i="21"/>
  <c r="G77" i="21"/>
  <c r="G69" i="21" s="1"/>
  <c r="G239" i="21"/>
  <c r="G249" i="21"/>
  <c r="G248" i="21" s="1"/>
  <c r="G266" i="21"/>
  <c r="G265" i="21" s="1"/>
  <c r="G293" i="21"/>
  <c r="G292" i="21" s="1"/>
  <c r="G309" i="21"/>
  <c r="G377" i="21"/>
  <c r="G448" i="21"/>
  <c r="G447" i="21" s="1"/>
  <c r="G479" i="21"/>
  <c r="G476" i="21" s="1"/>
  <c r="G522" i="21"/>
  <c r="G526" i="21"/>
  <c r="G525" i="21" s="1"/>
  <c r="G74" i="21"/>
  <c r="G131" i="21"/>
  <c r="G158" i="21"/>
  <c r="G201" i="21"/>
  <c r="G353" i="21"/>
  <c r="G365" i="21"/>
  <c r="G373" i="21"/>
  <c r="G398" i="21"/>
  <c r="G429" i="21"/>
  <c r="G456" i="21"/>
  <c r="G455" i="21" s="1"/>
  <c r="G517" i="21"/>
  <c r="G70" i="21"/>
  <c r="G100" i="21"/>
  <c r="G99" i="21" s="1"/>
  <c r="G98" i="21" s="1"/>
  <c r="G126" i="21"/>
  <c r="G125" i="21" s="1"/>
  <c r="G124" i="21" s="1"/>
  <c r="G123" i="21" s="1"/>
  <c r="G190" i="21"/>
  <c r="G289" i="21"/>
  <c r="G347" i="21"/>
  <c r="G346" i="21" s="1"/>
  <c r="G359" i="21"/>
  <c r="G358" i="21" s="1"/>
  <c r="G491" i="21"/>
  <c r="G513" i="21"/>
  <c r="G286" i="21"/>
  <c r="G305" i="21"/>
  <c r="G438" i="21"/>
  <c r="G50" i="21"/>
  <c r="G161" i="21"/>
  <c r="G174" i="21"/>
  <c r="G184" i="21"/>
  <c r="G18" i="21"/>
  <c r="G17" i="21" s="1"/>
  <c r="G140" i="21"/>
  <c r="G150" i="21"/>
  <c r="G216" i="21"/>
  <c r="G228" i="21"/>
  <c r="G372" i="21"/>
  <c r="G397" i="21"/>
  <c r="G385" i="21" s="1"/>
  <c r="G384" i="21" s="1"/>
  <c r="G428" i="21"/>
  <c r="G468" i="21"/>
  <c r="G490" i="21"/>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1"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V143" i="16"/>
  <c r="V142" i="16"/>
  <c r="V141" i="16"/>
  <c r="V140" i="16"/>
  <c r="V139" i="16"/>
  <c r="V138" i="16"/>
  <c r="V137" i="16"/>
  <c r="V136" i="16"/>
  <c r="V135" i="16"/>
  <c r="V134" i="16"/>
  <c r="V133" i="16"/>
  <c r="V132" i="16"/>
  <c r="V131" i="16"/>
  <c r="V130" i="16"/>
  <c r="V129" i="16"/>
  <c r="V128" i="16"/>
  <c r="V127" i="16"/>
  <c r="V126" i="16"/>
  <c r="V125" i="16"/>
  <c r="V124" i="16"/>
  <c r="V123" i="16"/>
  <c r="V122" i="16"/>
  <c r="V121" i="16"/>
  <c r="V120" i="16"/>
  <c r="V119" i="16"/>
  <c r="V118" i="16"/>
  <c r="V117" i="16"/>
  <c r="V116" i="16"/>
  <c r="V115" i="16"/>
  <c r="V114" i="16"/>
  <c r="V113" i="16"/>
  <c r="V112" i="16"/>
  <c r="V111" i="16"/>
  <c r="V110" i="16"/>
  <c r="V109" i="16"/>
  <c r="V108" i="16"/>
  <c r="V107" i="16"/>
  <c r="V106" i="16"/>
  <c r="V105" i="16"/>
  <c r="V104" i="16"/>
  <c r="V103" i="16"/>
  <c r="V102" i="16"/>
  <c r="V101" i="16"/>
  <c r="V100" i="16"/>
  <c r="V99" i="16"/>
  <c r="V98" i="16"/>
  <c r="V97" i="16"/>
  <c r="V96" i="16"/>
  <c r="V95" i="16"/>
  <c r="V94" i="16"/>
  <c r="V93" i="16"/>
  <c r="V92" i="16"/>
  <c r="V91" i="16"/>
  <c r="V90" i="16"/>
  <c r="V89" i="16"/>
  <c r="V88" i="16"/>
  <c r="V87" i="16"/>
  <c r="V86" i="16"/>
  <c r="V85" i="16"/>
  <c r="V84" i="16"/>
  <c r="V83" i="16"/>
  <c r="V82" i="16"/>
  <c r="V81" i="16"/>
  <c r="V80" i="16"/>
  <c r="V79" i="16"/>
  <c r="V78" i="16"/>
  <c r="V77" i="16"/>
  <c r="V76" i="16"/>
  <c r="V75" i="16"/>
  <c r="V74" i="16"/>
  <c r="V73" i="16"/>
  <c r="V72" i="16"/>
  <c r="V71" i="16"/>
  <c r="V70" i="16"/>
  <c r="V69" i="16"/>
  <c r="V68" i="16"/>
  <c r="V67" i="16"/>
  <c r="V66" i="16"/>
  <c r="V65" i="16"/>
  <c r="V64" i="16"/>
  <c r="V63" i="16"/>
  <c r="V62" i="16"/>
  <c r="V61" i="16"/>
  <c r="V60" i="16"/>
  <c r="V59"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U143" i="16"/>
  <c r="U142" i="16"/>
  <c r="U141" i="16"/>
  <c r="U140" i="16"/>
  <c r="U139" i="16"/>
  <c r="U138" i="16"/>
  <c r="U137" i="16"/>
  <c r="U136" i="16"/>
  <c r="U135" i="16"/>
  <c r="U134" i="16"/>
  <c r="U133" i="16"/>
  <c r="U132" i="16"/>
  <c r="U131" i="16"/>
  <c r="U130" i="16"/>
  <c r="U129" i="16"/>
  <c r="U128" i="16"/>
  <c r="U127" i="16"/>
  <c r="U126" i="16"/>
  <c r="U125" i="16"/>
  <c r="U124" i="16"/>
  <c r="U123" i="16"/>
  <c r="U122" i="16"/>
  <c r="U121" i="16"/>
  <c r="U120" i="16"/>
  <c r="U119" i="16"/>
  <c r="U118" i="16"/>
  <c r="U117" i="16"/>
  <c r="U116" i="16"/>
  <c r="U115" i="16"/>
  <c r="U114" i="16"/>
  <c r="U113" i="16"/>
  <c r="U112" i="16"/>
  <c r="U111" i="16"/>
  <c r="U110" i="16"/>
  <c r="U109" i="16"/>
  <c r="U108" i="16"/>
  <c r="U107" i="16"/>
  <c r="U106" i="16"/>
  <c r="U105" i="16"/>
  <c r="U104" i="16"/>
  <c r="U103" i="16"/>
  <c r="U102" i="16"/>
  <c r="U101" i="16"/>
  <c r="U100" i="16"/>
  <c r="U99" i="16"/>
  <c r="U98" i="16"/>
  <c r="U97" i="16"/>
  <c r="U96" i="16"/>
  <c r="U95" i="16"/>
  <c r="U94" i="16"/>
  <c r="U93" i="16"/>
  <c r="U92" i="16"/>
  <c r="U91" i="16"/>
  <c r="U90" i="16"/>
  <c r="U89" i="16"/>
  <c r="U88" i="16"/>
  <c r="U87" i="16"/>
  <c r="U86" i="16"/>
  <c r="U85" i="16"/>
  <c r="U84" i="16"/>
  <c r="U83" i="16"/>
  <c r="U82" i="16"/>
  <c r="U81" i="16"/>
  <c r="U80" i="16"/>
  <c r="U79" i="16"/>
  <c r="U78" i="16"/>
  <c r="U77" i="16"/>
  <c r="U76" i="16"/>
  <c r="U75" i="16"/>
  <c r="U74" i="16"/>
  <c r="U73" i="16"/>
  <c r="U72" i="16"/>
  <c r="U71" i="16"/>
  <c r="U70" i="16"/>
  <c r="U69" i="16"/>
  <c r="U68" i="16"/>
  <c r="U67" i="16"/>
  <c r="U66" i="16"/>
  <c r="U65" i="16"/>
  <c r="U64" i="16"/>
  <c r="U63" i="16"/>
  <c r="U62" i="16"/>
  <c r="U61" i="16"/>
  <c r="U60" i="16"/>
  <c r="U59" i="16"/>
  <c r="U52" i="16"/>
  <c r="U51" i="16"/>
  <c r="U50" i="16"/>
  <c r="U49" i="16"/>
  <c r="U48" i="16"/>
  <c r="U47" i="16"/>
  <c r="U46" i="16"/>
  <c r="U45" i="16"/>
  <c r="U44" i="16"/>
  <c r="U43" i="16"/>
  <c r="U42" i="16"/>
  <c r="U41" i="16"/>
  <c r="U40" i="16"/>
  <c r="U39" i="16"/>
  <c r="U38" i="16"/>
  <c r="U37" i="16"/>
  <c r="U36" i="16"/>
  <c r="U35" i="16"/>
  <c r="U34" i="16"/>
  <c r="U33" i="16"/>
  <c r="U32" i="16"/>
  <c r="U31" i="16"/>
  <c r="U30" i="16"/>
  <c r="U29" i="16"/>
  <c r="U28" i="16"/>
  <c r="U27" i="16"/>
  <c r="U26" i="16"/>
  <c r="U25" i="16"/>
  <c r="U24" i="16"/>
  <c r="U23" i="16"/>
  <c r="U22" i="16"/>
  <c r="U21" i="16"/>
  <c r="U20" i="16"/>
  <c r="U19" i="16"/>
  <c r="U18" i="16"/>
  <c r="U17" i="16"/>
  <c r="U16" i="16"/>
  <c r="U15" i="16"/>
  <c r="U14" i="16"/>
  <c r="U13" i="16"/>
  <c r="U12" i="16"/>
  <c r="U11" i="16"/>
  <c r="U10" i="16"/>
  <c r="U9" i="16"/>
  <c r="U8" i="16"/>
  <c r="U7" i="16"/>
  <c r="U6" i="16"/>
  <c r="U5" i="16"/>
  <c r="U4" i="16"/>
  <c r="T71" i="16"/>
  <c r="S71" i="16"/>
  <c r="S58" i="16"/>
  <c r="S57" i="16"/>
  <c r="T143" i="16"/>
  <c r="T142" i="16"/>
  <c r="T141" i="16"/>
  <c r="T140" i="16"/>
  <c r="T139" i="16"/>
  <c r="T138" i="16"/>
  <c r="T137" i="16"/>
  <c r="T136" i="16"/>
  <c r="T135" i="16"/>
  <c r="T134" i="16"/>
  <c r="T133" i="16"/>
  <c r="T132" i="16"/>
  <c r="T131" i="16"/>
  <c r="T130" i="16"/>
  <c r="T129" i="16"/>
  <c r="T128" i="16"/>
  <c r="T127" i="16"/>
  <c r="T126" i="16"/>
  <c r="T125" i="16"/>
  <c r="T124" i="16"/>
  <c r="T123" i="16"/>
  <c r="T122" i="16"/>
  <c r="T121" i="16"/>
  <c r="T120" i="16"/>
  <c r="T119" i="16"/>
  <c r="T118" i="16"/>
  <c r="T117" i="16"/>
  <c r="T116" i="16"/>
  <c r="T115" i="16"/>
  <c r="T114" i="16"/>
  <c r="T113" i="16"/>
  <c r="T112" i="16"/>
  <c r="T111" i="16"/>
  <c r="T110" i="16"/>
  <c r="T109" i="16"/>
  <c r="T108" i="16"/>
  <c r="T107" i="16"/>
  <c r="T106" i="16"/>
  <c r="T105" i="16"/>
  <c r="T104" i="16"/>
  <c r="T103" i="16"/>
  <c r="T102" i="16"/>
  <c r="T101" i="16"/>
  <c r="T100" i="16"/>
  <c r="T99" i="16"/>
  <c r="T98" i="16"/>
  <c r="T97" i="16"/>
  <c r="T96" i="16"/>
  <c r="T95" i="16"/>
  <c r="T94" i="16"/>
  <c r="T93" i="16"/>
  <c r="T92" i="16"/>
  <c r="T91" i="16"/>
  <c r="T90" i="16"/>
  <c r="T89" i="16"/>
  <c r="T88" i="16"/>
  <c r="T87" i="16"/>
  <c r="T86" i="16"/>
  <c r="T85" i="16"/>
  <c r="T84" i="16"/>
  <c r="T83" i="16"/>
  <c r="T82" i="16"/>
  <c r="T81" i="16"/>
  <c r="T80" i="16"/>
  <c r="T79" i="16"/>
  <c r="T78" i="16"/>
  <c r="T77" i="16"/>
  <c r="T76" i="16"/>
  <c r="T75" i="16"/>
  <c r="T74" i="16"/>
  <c r="T73" i="16"/>
  <c r="T72" i="16"/>
  <c r="T70" i="16"/>
  <c r="T69" i="16"/>
  <c r="T68" i="16"/>
  <c r="T67" i="16"/>
  <c r="T66" i="16"/>
  <c r="T65" i="16"/>
  <c r="T64" i="16"/>
  <c r="T63" i="16"/>
  <c r="T62" i="16"/>
  <c r="T61" i="16"/>
  <c r="T60" i="16"/>
  <c r="T59" i="16"/>
  <c r="T52" i="16"/>
  <c r="T51" i="16"/>
  <c r="T50" i="16"/>
  <c r="T49" i="16"/>
  <c r="T48" i="16"/>
  <c r="T47" i="16"/>
  <c r="T46" i="16"/>
  <c r="T45" i="16"/>
  <c r="T44" i="16"/>
  <c r="T43" i="16"/>
  <c r="T42" i="16"/>
  <c r="T41" i="16"/>
  <c r="T40" i="16"/>
  <c r="T39" i="16"/>
  <c r="T38" i="16"/>
  <c r="T37" i="16"/>
  <c r="T36" i="16"/>
  <c r="T35" i="16"/>
  <c r="T34" i="16"/>
  <c r="T33" i="16"/>
  <c r="T32" i="16"/>
  <c r="T31" i="16"/>
  <c r="T30" i="16"/>
  <c r="T29" i="16"/>
  <c r="T28" i="16"/>
  <c r="T27" i="16"/>
  <c r="T26" i="16"/>
  <c r="T25" i="16"/>
  <c r="T24" i="16"/>
  <c r="T23" i="16"/>
  <c r="T22" i="16"/>
  <c r="T21" i="16"/>
  <c r="T20" i="16"/>
  <c r="T19" i="16"/>
  <c r="T18" i="16"/>
  <c r="T17" i="16"/>
  <c r="T16" i="16"/>
  <c r="T15" i="16"/>
  <c r="T14" i="16"/>
  <c r="T13" i="16"/>
  <c r="T12" i="16"/>
  <c r="T11" i="16"/>
  <c r="T10" i="16"/>
  <c r="T9" i="16"/>
  <c r="T8" i="16"/>
  <c r="T7" i="16"/>
  <c r="T6" i="16"/>
  <c r="T5" i="16"/>
  <c r="AK18" i="13" l="1"/>
  <c r="AK17" i="13" s="1"/>
  <c r="AK16" i="13" s="1"/>
  <c r="AK15" i="13" s="1"/>
  <c r="J18" i="13"/>
  <c r="J17" i="13" s="1"/>
  <c r="J16" i="13" s="1"/>
  <c r="J15" i="13" s="1"/>
  <c r="R18" i="13"/>
  <c r="R17" i="13" s="1"/>
  <c r="R16" i="13" s="1"/>
  <c r="R15" i="13" s="1"/>
  <c r="H18" i="13"/>
  <c r="H17" i="13" s="1"/>
  <c r="H16" i="13" s="1"/>
  <c r="H15" i="13" s="1"/>
  <c r="Y18" i="13"/>
  <c r="Y17" i="13" s="1"/>
  <c r="Y16" i="13" s="1"/>
  <c r="Y15" i="13" s="1"/>
  <c r="V18" i="13"/>
  <c r="V17" i="13" s="1"/>
  <c r="V16" i="13" s="1"/>
  <c r="V15" i="13" s="1"/>
  <c r="AD18" i="13"/>
  <c r="AD17" i="13" s="1"/>
  <c r="AD16" i="13" s="1"/>
  <c r="AD15" i="13" s="1"/>
  <c r="P18" i="13"/>
  <c r="P17" i="13" s="1"/>
  <c r="P16" i="13" s="1"/>
  <c r="P15" i="13" s="1"/>
  <c r="AL18" i="13"/>
  <c r="AL17" i="13" s="1"/>
  <c r="AL16" i="13" s="1"/>
  <c r="AL15" i="13" s="1"/>
  <c r="AF18" i="13"/>
  <c r="AF17" i="13" s="1"/>
  <c r="AF16" i="13" s="1"/>
  <c r="AF15" i="13" s="1"/>
  <c r="AJ18" i="13"/>
  <c r="AJ17" i="13" s="1"/>
  <c r="AJ16" i="13" s="1"/>
  <c r="AJ15" i="13" s="1"/>
  <c r="S18" i="13"/>
  <c r="S17" i="13" s="1"/>
  <c r="S16" i="13" s="1"/>
  <c r="S15" i="13" s="1"/>
  <c r="AG18" i="13"/>
  <c r="AG17" i="13" s="1"/>
  <c r="AG16" i="13" s="1"/>
  <c r="AG15" i="13" s="1"/>
  <c r="AB18" i="13"/>
  <c r="AB17" i="13" s="1"/>
  <c r="AB16" i="13" s="1"/>
  <c r="AB15" i="13" s="1"/>
  <c r="AN18" i="13"/>
  <c r="AN17" i="13" s="1"/>
  <c r="AN16" i="13" s="1"/>
  <c r="AN15" i="13" s="1"/>
  <c r="N18" i="13"/>
  <c r="N17" i="13" s="1"/>
  <c r="N16" i="13" s="1"/>
  <c r="N15" i="13" s="1"/>
  <c r="AA18" i="13"/>
  <c r="AA17" i="13" s="1"/>
  <c r="AA16" i="13" s="1"/>
  <c r="AA15" i="13" s="1"/>
  <c r="Q18" i="13"/>
  <c r="Q17" i="13" s="1"/>
  <c r="Q16" i="13" s="1"/>
  <c r="Q15" i="13" s="1"/>
  <c r="D10" i="25"/>
  <c r="D38" i="25" s="1"/>
  <c r="J38" i="25" s="1"/>
  <c r="J39" i="25" s="1"/>
  <c r="D10" i="14"/>
  <c r="D17" i="25"/>
  <c r="I18" i="13"/>
  <c r="I17" i="13" s="1"/>
  <c r="I16" i="13" s="1"/>
  <c r="I15" i="13" s="1"/>
  <c r="Z18" i="13"/>
  <c r="Z17" i="13" s="1"/>
  <c r="Z16" i="13" s="1"/>
  <c r="Z15" i="13" s="1"/>
  <c r="X18" i="13"/>
  <c r="X17" i="13" s="1"/>
  <c r="X16" i="13" s="1"/>
  <c r="X15" i="13" s="1"/>
  <c r="G142" i="13"/>
  <c r="AQ143" i="13"/>
  <c r="T18" i="13"/>
  <c r="T17" i="13" s="1"/>
  <c r="T16" i="13" s="1"/>
  <c r="T15" i="13" s="1"/>
  <c r="AO18" i="13"/>
  <c r="AO17" i="13" s="1"/>
  <c r="AO16" i="13" s="1"/>
  <c r="AO15" i="13" s="1"/>
  <c r="U18" i="13"/>
  <c r="U17" i="13" s="1"/>
  <c r="U16" i="13" s="1"/>
  <c r="U15" i="13" s="1"/>
  <c r="M18" i="13"/>
  <c r="M17" i="13" s="1"/>
  <c r="M16" i="13" s="1"/>
  <c r="M15" i="13" s="1"/>
  <c r="AC18" i="13"/>
  <c r="AC17" i="13" s="1"/>
  <c r="AC16" i="13" s="1"/>
  <c r="AC15" i="13" s="1"/>
  <c r="AP18" i="13"/>
  <c r="AP17" i="13" s="1"/>
  <c r="AP16" i="13" s="1"/>
  <c r="AP15" i="13" s="1"/>
  <c r="AM18" i="13"/>
  <c r="AM17" i="13" s="1"/>
  <c r="AM16" i="13" s="1"/>
  <c r="AM15" i="13" s="1"/>
  <c r="G18" i="13"/>
  <c r="G17" i="13" s="1"/>
  <c r="K18" i="13"/>
  <c r="K17" i="13" s="1"/>
  <c r="K16" i="13" s="1"/>
  <c r="K15" i="13" s="1"/>
  <c r="O18" i="13"/>
  <c r="O17" i="13" s="1"/>
  <c r="O16" i="13" s="1"/>
  <c r="O15" i="13" s="1"/>
  <c r="W18" i="13"/>
  <c r="W17" i="13" s="1"/>
  <c r="W16" i="13" s="1"/>
  <c r="W15" i="13" s="1"/>
  <c r="AE18" i="13"/>
  <c r="AE17" i="13" s="1"/>
  <c r="AE16" i="13" s="1"/>
  <c r="AE15" i="13" s="1"/>
  <c r="AI18" i="13"/>
  <c r="AI17" i="13" s="1"/>
  <c r="AI16" i="13" s="1"/>
  <c r="AI15" i="13" s="1"/>
  <c r="G165" i="13"/>
  <c r="G147" i="13"/>
  <c r="AQ63" i="13"/>
  <c r="G62" i="13"/>
  <c r="AQ62" i="13" s="1"/>
  <c r="G489" i="21"/>
  <c r="G488" i="21" s="1"/>
  <c r="G487" i="21" s="1"/>
  <c r="G486" i="21" s="1"/>
  <c r="G200" i="21"/>
  <c r="G345" i="21"/>
  <c r="G344" i="21" s="1"/>
  <c r="G139" i="21"/>
  <c r="G138" i="21" s="1"/>
  <c r="G427" i="21"/>
  <c r="G426" i="21" s="1"/>
  <c r="G264" i="21"/>
  <c r="G263" i="21" s="1"/>
  <c r="G49" i="21"/>
  <c r="G16" i="21" s="1"/>
  <c r="G15" i="21" s="1"/>
  <c r="G14" i="21" s="1"/>
  <c r="G13" i="21" s="1"/>
  <c r="F38" i="25" l="1"/>
  <c r="G38" i="25" s="1"/>
  <c r="E38" i="25"/>
  <c r="G141" i="13"/>
  <c r="AQ141" i="13" s="1"/>
  <c r="AQ142" i="13"/>
  <c r="AQ18" i="13"/>
  <c r="G16" i="13"/>
  <c r="AQ17" i="13"/>
  <c r="G343" i="21"/>
  <c r="G122" i="21"/>
  <c r="G115" i="21" s="1"/>
  <c r="G114" i="21" s="1"/>
  <c r="G12" i="21" s="1"/>
  <c r="C7" i="21" s="1"/>
  <c r="U144" i="16"/>
  <c r="V144" i="16"/>
  <c r="W144" i="16"/>
  <c r="X144" i="16"/>
  <c r="Y144" i="16"/>
  <c r="Z144" i="16"/>
  <c r="AA144" i="16"/>
  <c r="AB144" i="16"/>
  <c r="AC144" i="16"/>
  <c r="S143" i="16"/>
  <c r="S142" i="16"/>
  <c r="S141" i="16"/>
  <c r="S140" i="16"/>
  <c r="S139" i="16"/>
  <c r="S138" i="16"/>
  <c r="S137" i="16"/>
  <c r="S136" i="16"/>
  <c r="S135" i="16"/>
  <c r="S134" i="16"/>
  <c r="S133" i="16"/>
  <c r="S132" i="16"/>
  <c r="S131" i="16"/>
  <c r="S130" i="16"/>
  <c r="S129" i="16"/>
  <c r="S128" i="16"/>
  <c r="S127" i="16"/>
  <c r="AI127" i="16" s="1"/>
  <c r="AK127" i="16" s="1"/>
  <c r="AL127" i="16" s="1"/>
  <c r="S126" i="16"/>
  <c r="S125" i="16"/>
  <c r="S124" i="16"/>
  <c r="S123" i="16"/>
  <c r="S122" i="16"/>
  <c r="S121" i="16"/>
  <c r="AI121" i="16" s="1"/>
  <c r="AK121" i="16" s="1"/>
  <c r="AL121" i="16" s="1"/>
  <c r="S120" i="16"/>
  <c r="S119" i="16"/>
  <c r="S118" i="16"/>
  <c r="S117" i="16"/>
  <c r="S116" i="16"/>
  <c r="S115" i="16"/>
  <c r="S114" i="16"/>
  <c r="S113" i="16"/>
  <c r="S112" i="16"/>
  <c r="S111" i="16"/>
  <c r="S110" i="16"/>
  <c r="S109" i="16"/>
  <c r="S108" i="16"/>
  <c r="S107" i="16"/>
  <c r="S106" i="16"/>
  <c r="S105" i="16"/>
  <c r="S104" i="16"/>
  <c r="S103" i="16"/>
  <c r="S102" i="16"/>
  <c r="S101" i="16"/>
  <c r="AI101" i="16" s="1"/>
  <c r="AK101" i="16" s="1"/>
  <c r="AL101" i="16" s="1"/>
  <c r="S100" i="16"/>
  <c r="S99" i="16"/>
  <c r="S98" i="16"/>
  <c r="S97" i="16"/>
  <c r="AI97" i="16" s="1"/>
  <c r="AK97" i="16" s="1"/>
  <c r="AL97" i="16" s="1"/>
  <c r="S96" i="16"/>
  <c r="S95" i="16"/>
  <c r="S94" i="16"/>
  <c r="S93" i="16"/>
  <c r="S92" i="16"/>
  <c r="S91" i="16"/>
  <c r="S90" i="16"/>
  <c r="S89" i="16"/>
  <c r="S88" i="16"/>
  <c r="AI88" i="16" s="1"/>
  <c r="S87" i="16"/>
  <c r="S86" i="16"/>
  <c r="S85" i="16"/>
  <c r="S84" i="16"/>
  <c r="AI84" i="16" s="1"/>
  <c r="S83" i="16"/>
  <c r="S82" i="16"/>
  <c r="S81" i="16"/>
  <c r="S80" i="16"/>
  <c r="S79" i="16"/>
  <c r="S78" i="16"/>
  <c r="S77" i="16"/>
  <c r="AI77" i="16" s="1"/>
  <c r="AK77" i="16" s="1"/>
  <c r="AL77" i="16" s="1"/>
  <c r="S75" i="16"/>
  <c r="S74" i="16"/>
  <c r="S73" i="16"/>
  <c r="S72" i="16"/>
  <c r="S70" i="16"/>
  <c r="S69" i="16"/>
  <c r="S68" i="16"/>
  <c r="S67" i="16"/>
  <c r="S66" i="16"/>
  <c r="S65" i="16"/>
  <c r="S64" i="16"/>
  <c r="S63" i="16"/>
  <c r="S62" i="16"/>
  <c r="S61" i="16"/>
  <c r="S60" i="16"/>
  <c r="S59" i="16"/>
  <c r="S56" i="16"/>
  <c r="S53" i="16"/>
  <c r="S52" i="16"/>
  <c r="S51" i="16"/>
  <c r="S50" i="16"/>
  <c r="S49" i="16"/>
  <c r="S48" i="16"/>
  <c r="S47" i="16"/>
  <c r="S46" i="16"/>
  <c r="S45" i="16"/>
  <c r="S44" i="16"/>
  <c r="S43" i="16"/>
  <c r="S42" i="16"/>
  <c r="S41" i="16"/>
  <c r="S40" i="16"/>
  <c r="S39" i="16"/>
  <c r="S38" i="16"/>
  <c r="S37" i="16"/>
  <c r="S36" i="16"/>
  <c r="S35" i="16"/>
  <c r="S34" i="16"/>
  <c r="S33" i="16"/>
  <c r="S32" i="16"/>
  <c r="S31" i="16"/>
  <c r="S30" i="16"/>
  <c r="S29" i="16"/>
  <c r="S28" i="16"/>
  <c r="S27" i="16"/>
  <c r="S26" i="16"/>
  <c r="S25" i="16"/>
  <c r="S24" i="16"/>
  <c r="S23" i="16"/>
  <c r="S22" i="16"/>
  <c r="S21" i="16"/>
  <c r="S20" i="16"/>
  <c r="S19" i="16"/>
  <c r="S18" i="16"/>
  <c r="S17" i="16"/>
  <c r="S16" i="16"/>
  <c r="S15" i="16"/>
  <c r="S14" i="16"/>
  <c r="S13" i="16"/>
  <c r="S12" i="16"/>
  <c r="S11" i="16"/>
  <c r="S10" i="16"/>
  <c r="S9" i="16"/>
  <c r="S8" i="16"/>
  <c r="S7" i="16"/>
  <c r="S6" i="16"/>
  <c r="S5" i="16"/>
  <c r="S4" i="16"/>
  <c r="S76" i="16"/>
  <c r="AI57" i="16"/>
  <c r="R143" i="16"/>
  <c r="R51" i="16"/>
  <c r="R52" i="16"/>
  <c r="R50" i="16"/>
  <c r="R47" i="16"/>
  <c r="R48" i="16"/>
  <c r="R49" i="16"/>
  <c r="R46" i="16"/>
  <c r="R45" i="16"/>
  <c r="R44" i="16"/>
  <c r="R43" i="16"/>
  <c r="R41" i="16"/>
  <c r="R42" i="16"/>
  <c r="R40" i="16"/>
  <c r="R36" i="16"/>
  <c r="R37" i="16"/>
  <c r="R38" i="16"/>
  <c r="R39" i="16"/>
  <c r="R34" i="16"/>
  <c r="R35" i="16"/>
  <c r="R33" i="16"/>
  <c r="R30" i="16"/>
  <c r="R31" i="16"/>
  <c r="R32" i="16"/>
  <c r="R29" i="16"/>
  <c r="R26" i="16"/>
  <c r="R27" i="16"/>
  <c r="R28" i="16"/>
  <c r="R25" i="16"/>
  <c r="R24" i="16"/>
  <c r="R20" i="16"/>
  <c r="R21" i="16"/>
  <c r="R22" i="16"/>
  <c r="R23" i="16"/>
  <c r="R19" i="16"/>
  <c r="R18" i="16"/>
  <c r="R13" i="16"/>
  <c r="R14" i="16"/>
  <c r="R15" i="16"/>
  <c r="R16" i="16"/>
  <c r="R17" i="16"/>
  <c r="R12" i="16"/>
  <c r="R11" i="16"/>
  <c r="R10" i="16"/>
  <c r="R8" i="16"/>
  <c r="R9" i="16"/>
  <c r="R7" i="16"/>
  <c r="R5" i="16"/>
  <c r="R6" i="16"/>
  <c r="R4" i="16"/>
  <c r="AI51" i="16" l="1"/>
  <c r="AK51" i="16" s="1"/>
  <c r="AL51" i="16" s="1"/>
  <c r="AI8" i="16"/>
  <c r="AI37" i="16"/>
  <c r="AK37" i="16" s="1"/>
  <c r="AL37" i="16" s="1"/>
  <c r="AI138" i="16"/>
  <c r="AK138" i="16" s="1"/>
  <c r="AL138" i="16" s="1"/>
  <c r="AI142" i="16"/>
  <c r="AJ142" i="16" s="1"/>
  <c r="G15" i="13"/>
  <c r="AQ15" i="13" s="1"/>
  <c r="AQ16" i="13"/>
  <c r="AI32" i="16"/>
  <c r="AK32" i="16" s="1"/>
  <c r="AL32" i="16" s="1"/>
  <c r="AI47" i="16"/>
  <c r="AJ47" i="16" s="1"/>
  <c r="AI20" i="16"/>
  <c r="AJ20" i="16" s="1"/>
  <c r="AI36" i="16"/>
  <c r="AJ36" i="16" s="1"/>
  <c r="AI56" i="16"/>
  <c r="AJ56" i="16" s="1"/>
  <c r="AI62" i="16"/>
  <c r="AK62" i="16" s="1"/>
  <c r="AL62" i="16" s="1"/>
  <c r="AI100" i="16"/>
  <c r="AK100" i="16" s="1"/>
  <c r="AL100" i="16" s="1"/>
  <c r="AI66" i="16"/>
  <c r="AK66" i="16" s="1"/>
  <c r="AL66" i="16" s="1"/>
  <c r="AI135" i="16"/>
  <c r="AK135" i="16" s="1"/>
  <c r="AL135" i="16" s="1"/>
  <c r="AI76" i="16"/>
  <c r="AJ76" i="16" s="1"/>
  <c r="AI12" i="16"/>
  <c r="AJ12" i="16" s="1"/>
  <c r="AI6" i="16"/>
  <c r="AI22" i="16"/>
  <c r="AJ22" i="16" s="1"/>
  <c r="AI38" i="16"/>
  <c r="AK38" i="16" s="1"/>
  <c r="AL38" i="16" s="1"/>
  <c r="AI42" i="16"/>
  <c r="AJ42" i="16" s="1"/>
  <c r="AI128" i="16"/>
  <c r="AJ128" i="16" s="1"/>
  <c r="AI85" i="16"/>
  <c r="AK85" i="16" s="1"/>
  <c r="AL85" i="16" s="1"/>
  <c r="AI124" i="16"/>
  <c r="AK124" i="16" s="1"/>
  <c r="AL124" i="16" s="1"/>
  <c r="AI89" i="16"/>
  <c r="AJ89" i="16" s="1"/>
  <c r="AI105" i="16"/>
  <c r="AJ105" i="16" s="1"/>
  <c r="AI23" i="16"/>
  <c r="AK23" i="16" s="1"/>
  <c r="AL23" i="16" s="1"/>
  <c r="AI61" i="16"/>
  <c r="AJ61" i="16" s="1"/>
  <c r="AI79" i="16"/>
  <c r="AK79" i="16" s="1"/>
  <c r="AL79" i="16" s="1"/>
  <c r="AI114" i="16"/>
  <c r="AK114" i="16" s="1"/>
  <c r="AL114" i="16" s="1"/>
  <c r="AI48" i="16"/>
  <c r="AK48" i="16" s="1"/>
  <c r="AL48" i="16" s="1"/>
  <c r="AI59" i="16"/>
  <c r="AK59" i="16" s="1"/>
  <c r="AL59" i="16" s="1"/>
  <c r="AI72" i="16"/>
  <c r="AJ72" i="16" s="1"/>
  <c r="AI93" i="16"/>
  <c r="AK93" i="16" s="1"/>
  <c r="AL93" i="16" s="1"/>
  <c r="AI143" i="16"/>
  <c r="AK143" i="16" s="1"/>
  <c r="AL143" i="16" s="1"/>
  <c r="AI10" i="16"/>
  <c r="AK10" i="16" s="1"/>
  <c r="AL10" i="16" s="1"/>
  <c r="AI18" i="16"/>
  <c r="AK18" i="16" s="1"/>
  <c r="AL18" i="16" s="1"/>
  <c r="AI64" i="16"/>
  <c r="AJ64" i="16" s="1"/>
  <c r="AI86" i="16"/>
  <c r="AJ86" i="16" s="1"/>
  <c r="AI34" i="16"/>
  <c r="AK34" i="16" s="1"/>
  <c r="AL34" i="16" s="1"/>
  <c r="AI46" i="16"/>
  <c r="AK46" i="16" s="1"/>
  <c r="AL46" i="16" s="1"/>
  <c r="AI103" i="16"/>
  <c r="AK103" i="16" s="1"/>
  <c r="AL103" i="16" s="1"/>
  <c r="AI132" i="16"/>
  <c r="AJ132" i="16" s="1"/>
  <c r="AI45" i="16"/>
  <c r="AJ45" i="16" s="1"/>
  <c r="AI53" i="16"/>
  <c r="AJ53" i="16" s="1"/>
  <c r="AI68" i="16"/>
  <c r="AK68" i="16" s="1"/>
  <c r="AL68" i="16" s="1"/>
  <c r="AI26" i="16"/>
  <c r="AJ26" i="16" s="1"/>
  <c r="AI30" i="16"/>
  <c r="AK30" i="16" s="1"/>
  <c r="AL30" i="16" s="1"/>
  <c r="AI110" i="16"/>
  <c r="AK110" i="16" s="1"/>
  <c r="AL110" i="16" s="1"/>
  <c r="AI29" i="16"/>
  <c r="AK29" i="16" s="1"/>
  <c r="AL29" i="16" s="1"/>
  <c r="AI14" i="16"/>
  <c r="AK14" i="16" s="1"/>
  <c r="AL14" i="16" s="1"/>
  <c r="S144" i="16"/>
  <c r="AI74" i="16"/>
  <c r="AJ74" i="16" s="1"/>
  <c r="AI129" i="16"/>
  <c r="AK129" i="16" s="1"/>
  <c r="AL129" i="16" s="1"/>
  <c r="AI24" i="16"/>
  <c r="AJ24" i="16" s="1"/>
  <c r="AI134" i="16"/>
  <c r="AJ134" i="16" s="1"/>
  <c r="AI87" i="16"/>
  <c r="AK87" i="16" s="1"/>
  <c r="AL87" i="16" s="1"/>
  <c r="AI40" i="16"/>
  <c r="AJ40" i="16" s="1"/>
  <c r="AI5" i="16"/>
  <c r="AI13" i="16"/>
  <c r="AK13" i="16" s="1"/>
  <c r="AL13" i="16" s="1"/>
  <c r="AI21" i="16"/>
  <c r="AK21" i="16" s="1"/>
  <c r="AL21" i="16" s="1"/>
  <c r="AI25" i="16"/>
  <c r="AJ25" i="16" s="1"/>
  <c r="AI41" i="16"/>
  <c r="AK41" i="16" s="1"/>
  <c r="AL41" i="16" s="1"/>
  <c r="AI44" i="16"/>
  <c r="AK44" i="16" s="1"/>
  <c r="AL44" i="16" s="1"/>
  <c r="AI78" i="16"/>
  <c r="AK78" i="16" s="1"/>
  <c r="AL78" i="16" s="1"/>
  <c r="AI90" i="16"/>
  <c r="AJ90" i="16" s="1"/>
  <c r="AI94" i="16"/>
  <c r="AK94" i="16" s="1"/>
  <c r="AL94" i="16" s="1"/>
  <c r="AI98" i="16"/>
  <c r="AK98" i="16" s="1"/>
  <c r="AL98" i="16" s="1"/>
  <c r="AI102" i="16"/>
  <c r="AJ102" i="16" s="1"/>
  <c r="AI106" i="16"/>
  <c r="AJ106" i="16" s="1"/>
  <c r="AI116" i="16"/>
  <c r="AJ116" i="16" s="1"/>
  <c r="AI125" i="16"/>
  <c r="AI140" i="16"/>
  <c r="AK140" i="16" s="1"/>
  <c r="AL140" i="16" s="1"/>
  <c r="AI104" i="16"/>
  <c r="AJ104" i="16" s="1"/>
  <c r="AI9" i="16"/>
  <c r="AI33" i="16"/>
  <c r="AK33" i="16" s="1"/>
  <c r="AL33" i="16" s="1"/>
  <c r="AI112" i="16"/>
  <c r="AJ112" i="16" s="1"/>
  <c r="AI123" i="16"/>
  <c r="AK123" i="16" s="1"/>
  <c r="AL123" i="16" s="1"/>
  <c r="AI126" i="16"/>
  <c r="AJ126" i="16" s="1"/>
  <c r="AI80" i="16"/>
  <c r="AJ80" i="16" s="1"/>
  <c r="AI108" i="16"/>
  <c r="AJ108" i="16" s="1"/>
  <c r="AI17" i="16"/>
  <c r="AK17" i="16" s="1"/>
  <c r="AL17" i="16" s="1"/>
  <c r="AI92" i="16"/>
  <c r="AJ92" i="16" s="1"/>
  <c r="AI54" i="16"/>
  <c r="AK54" i="16" s="1"/>
  <c r="AL54" i="16" s="1"/>
  <c r="AI50" i="16"/>
  <c r="AK50" i="16" s="1"/>
  <c r="AL50" i="16" s="1"/>
  <c r="AI137" i="16"/>
  <c r="AK137" i="16" s="1"/>
  <c r="AL137" i="16" s="1"/>
  <c r="AI141" i="16"/>
  <c r="AK141" i="16" s="1"/>
  <c r="AL141" i="16" s="1"/>
  <c r="AI19" i="16"/>
  <c r="AJ19" i="16" s="1"/>
  <c r="AI91" i="16"/>
  <c r="AK91" i="16" s="1"/>
  <c r="AL91" i="16" s="1"/>
  <c r="AI95" i="16"/>
  <c r="AK95" i="16" s="1"/>
  <c r="AL95" i="16" s="1"/>
  <c r="AI99" i="16"/>
  <c r="AK99" i="16" s="1"/>
  <c r="AL99" i="16" s="1"/>
  <c r="AI39" i="16"/>
  <c r="AK39" i="16" s="1"/>
  <c r="AL39" i="16" s="1"/>
  <c r="AI49" i="16"/>
  <c r="AK49" i="16" s="1"/>
  <c r="AL49" i="16" s="1"/>
  <c r="AI63" i="16"/>
  <c r="AK63" i="16" s="1"/>
  <c r="AL63" i="16" s="1"/>
  <c r="AI27" i="16"/>
  <c r="AK27" i="16" s="1"/>
  <c r="AL27" i="16" s="1"/>
  <c r="AI31" i="16"/>
  <c r="AJ31" i="16" s="1"/>
  <c r="AI35" i="16"/>
  <c r="AJ35" i="16" s="1"/>
  <c r="AI67" i="16"/>
  <c r="AK67" i="16" s="1"/>
  <c r="AL67" i="16" s="1"/>
  <c r="AI71" i="16"/>
  <c r="AK71" i="16" s="1"/>
  <c r="AL71" i="16" s="1"/>
  <c r="AI75" i="16"/>
  <c r="AK75" i="16" s="1"/>
  <c r="AL75" i="16" s="1"/>
  <c r="AI107" i="16"/>
  <c r="AK107" i="16" s="1"/>
  <c r="AL107" i="16" s="1"/>
  <c r="AI111" i="16"/>
  <c r="AK111" i="16" s="1"/>
  <c r="AL111" i="16" s="1"/>
  <c r="AI7" i="16"/>
  <c r="AI133" i="16"/>
  <c r="AK133" i="16" s="1"/>
  <c r="AL133" i="16" s="1"/>
  <c r="AI52" i="16"/>
  <c r="AK52" i="16" s="1"/>
  <c r="AL52" i="16" s="1"/>
  <c r="AI65" i="16"/>
  <c r="AK65" i="16" s="1"/>
  <c r="AL65" i="16" s="1"/>
  <c r="AI73" i="16"/>
  <c r="AK73" i="16" s="1"/>
  <c r="AL73" i="16" s="1"/>
  <c r="AK57" i="16"/>
  <c r="AL57" i="16" s="1"/>
  <c r="AJ57" i="16"/>
  <c r="AI70" i="16"/>
  <c r="AJ70" i="16" s="1"/>
  <c r="AI96" i="16"/>
  <c r="AJ96" i="16" s="1"/>
  <c r="AI118" i="16"/>
  <c r="AJ118" i="16" s="1"/>
  <c r="AI16" i="16"/>
  <c r="AJ16" i="16" s="1"/>
  <c r="AI28" i="16"/>
  <c r="AJ28" i="16" s="1"/>
  <c r="AI69" i="16"/>
  <c r="AK69" i="16" s="1"/>
  <c r="AL69" i="16" s="1"/>
  <c r="AI82" i="16"/>
  <c r="AJ82" i="16" s="1"/>
  <c r="AI130" i="16"/>
  <c r="AJ130" i="16" s="1"/>
  <c r="AI81" i="16"/>
  <c r="AK81" i="16" s="1"/>
  <c r="AL81" i="16" s="1"/>
  <c r="AI109" i="16"/>
  <c r="AK109" i="16" s="1"/>
  <c r="AL109" i="16" s="1"/>
  <c r="AI11" i="16"/>
  <c r="AK11" i="16" s="1"/>
  <c r="AL11" i="16" s="1"/>
  <c r="AI15" i="16"/>
  <c r="AK15" i="16" s="1"/>
  <c r="AL15" i="16" s="1"/>
  <c r="AI43" i="16"/>
  <c r="AK43" i="16" s="1"/>
  <c r="AL43" i="16" s="1"/>
  <c r="AI60" i="16"/>
  <c r="AJ60" i="16" s="1"/>
  <c r="AI119" i="16"/>
  <c r="AJ119" i="16" s="1"/>
  <c r="AJ121" i="16"/>
  <c r="AI4" i="16"/>
  <c r="AJ77" i="16"/>
  <c r="AJ88" i="16"/>
  <c r="AK88" i="16"/>
  <c r="AL88" i="16" s="1"/>
  <c r="AJ84" i="16"/>
  <c r="AK84" i="16"/>
  <c r="AL84" i="16" s="1"/>
  <c r="AJ51" i="16"/>
  <c r="AJ97" i="16"/>
  <c r="AJ127" i="16"/>
  <c r="AJ101" i="16"/>
  <c r="AJ37" i="16" l="1"/>
  <c r="AK142" i="16"/>
  <c r="AL142" i="16" s="1"/>
  <c r="AJ138" i="16"/>
  <c r="AJ32" i="16"/>
  <c r="AJ135" i="16"/>
  <c r="AK47" i="16"/>
  <c r="AL47" i="16" s="1"/>
  <c r="AK56" i="16"/>
  <c r="AL56" i="16" s="1"/>
  <c r="AJ62" i="16"/>
  <c r="AK22" i="16"/>
  <c r="AL22" i="16" s="1"/>
  <c r="AJ100" i="16"/>
  <c r="AK20" i="16"/>
  <c r="AL20" i="16" s="1"/>
  <c r="AK76" i="16"/>
  <c r="AL76" i="16" s="1"/>
  <c r="AK36" i="16"/>
  <c r="AL36" i="16" s="1"/>
  <c r="AJ66" i="16"/>
  <c r="AJ59" i="16"/>
  <c r="AK12" i="16"/>
  <c r="AL12" i="16" s="1"/>
  <c r="AJ143" i="16"/>
  <c r="AK72" i="16"/>
  <c r="AL72" i="16" s="1"/>
  <c r="AK45" i="16"/>
  <c r="AL45" i="16" s="1"/>
  <c r="AK128" i="16"/>
  <c r="AL128" i="16" s="1"/>
  <c r="AJ10" i="16"/>
  <c r="AK61" i="16"/>
  <c r="AL61" i="16" s="1"/>
  <c r="AK26" i="16"/>
  <c r="AL26" i="16" s="1"/>
  <c r="AK53" i="16"/>
  <c r="AL53" i="16" s="1"/>
  <c r="AK89" i="16"/>
  <c r="AL89" i="16" s="1"/>
  <c r="AJ30" i="16"/>
  <c r="AJ38" i="16"/>
  <c r="AJ79" i="16"/>
  <c r="AK134" i="16"/>
  <c r="AL134" i="16" s="1"/>
  <c r="AK105" i="16"/>
  <c r="AL105" i="16" s="1"/>
  <c r="AJ85" i="16"/>
  <c r="AK74" i="16"/>
  <c r="AL74" i="16" s="1"/>
  <c r="AJ34" i="16"/>
  <c r="AJ23" i="16"/>
  <c r="AK42" i="16"/>
  <c r="AL42" i="16" s="1"/>
  <c r="AJ68" i="16"/>
  <c r="AK64" i="16"/>
  <c r="AL64" i="16" s="1"/>
  <c r="AJ114" i="16"/>
  <c r="AJ93" i="16"/>
  <c r="AK24" i="16"/>
  <c r="AL24" i="16" s="1"/>
  <c r="AK132" i="16"/>
  <c r="AL132" i="16" s="1"/>
  <c r="AJ29" i="16"/>
  <c r="AJ14" i="16"/>
  <c r="AJ48" i="16"/>
  <c r="AJ124" i="16"/>
  <c r="AK86" i="16"/>
  <c r="AL86" i="16" s="1"/>
  <c r="AJ41" i="16"/>
  <c r="AJ46" i="16"/>
  <c r="AK40" i="16"/>
  <c r="AL40" i="16" s="1"/>
  <c r="AJ87" i="16"/>
  <c r="AJ103" i="16"/>
  <c r="AK25" i="16"/>
  <c r="AL25" i="16" s="1"/>
  <c r="AJ129" i="16"/>
  <c r="AJ18" i="16"/>
  <c r="AJ110" i="16"/>
  <c r="AK125" i="16"/>
  <c r="AL125" i="16" s="1"/>
  <c r="AJ125" i="16"/>
  <c r="AJ13" i="16"/>
  <c r="AJ44" i="16"/>
  <c r="AJ21" i="16"/>
  <c r="AJ67" i="16"/>
  <c r="AJ49" i="16"/>
  <c r="AJ78" i="16"/>
  <c r="AK108" i="16"/>
  <c r="AL108" i="16" s="1"/>
  <c r="AK4" i="16"/>
  <c r="AL4" i="16" s="1"/>
  <c r="AJ65" i="16"/>
  <c r="AJ133" i="16"/>
  <c r="AJ123" i="16"/>
  <c r="AJ107" i="16"/>
  <c r="AK90" i="16"/>
  <c r="AL90" i="16" s="1"/>
  <c r="AK106" i="16"/>
  <c r="AL106" i="16" s="1"/>
  <c r="AK102" i="16"/>
  <c r="AL102" i="16" s="1"/>
  <c r="AK35" i="16"/>
  <c r="AL35" i="16" s="1"/>
  <c r="AJ63" i="16"/>
  <c r="AJ17" i="16"/>
  <c r="AK16" i="16"/>
  <c r="AL16" i="16" s="1"/>
  <c r="AJ140" i="16"/>
  <c r="AJ94" i="16"/>
  <c r="AK92" i="16"/>
  <c r="AL92" i="16" s="1"/>
  <c r="AK126" i="16"/>
  <c r="AL126" i="16" s="1"/>
  <c r="AK112" i="16"/>
  <c r="AL112" i="16" s="1"/>
  <c r="AJ95" i="16"/>
  <c r="AJ33" i="16"/>
  <c r="AJ98" i="16"/>
  <c r="AK116" i="16"/>
  <c r="AL116" i="16" s="1"/>
  <c r="AK104" i="16"/>
  <c r="AL104" i="16" s="1"/>
  <c r="AK19" i="16"/>
  <c r="AL19" i="16" s="1"/>
  <c r="AK80" i="16"/>
  <c r="AL80" i="16" s="1"/>
  <c r="AK31" i="16"/>
  <c r="AL31" i="16" s="1"/>
  <c r="AJ54" i="16"/>
  <c r="AJ52" i="16"/>
  <c r="AJ75" i="16"/>
  <c r="AJ39" i="16"/>
  <c r="AK130" i="16"/>
  <c r="AL130" i="16" s="1"/>
  <c r="AJ91" i="16"/>
  <c r="AJ50" i="16"/>
  <c r="AJ99" i="16"/>
  <c r="AJ111" i="16"/>
  <c r="AK28" i="16"/>
  <c r="AL28" i="16" s="1"/>
  <c r="AJ27" i="16"/>
  <c r="AJ71" i="16"/>
  <c r="AJ141" i="16"/>
  <c r="AJ137" i="16"/>
  <c r="AK118" i="16"/>
  <c r="AL118" i="16" s="1"/>
  <c r="AJ11" i="16"/>
  <c r="AJ4" i="16"/>
  <c r="AJ43" i="16"/>
  <c r="AK82" i="16"/>
  <c r="AL82" i="16" s="1"/>
  <c r="AK119" i="16"/>
  <c r="AL119" i="16" s="1"/>
  <c r="AK70" i="16"/>
  <c r="AL70" i="16" s="1"/>
  <c r="AK96" i="16"/>
  <c r="AL96" i="16" s="1"/>
  <c r="AJ81" i="16"/>
  <c r="AJ15" i="16"/>
  <c r="AJ69" i="16"/>
  <c r="AJ73" i="16"/>
  <c r="AK60" i="16"/>
  <c r="AL60" i="16" s="1"/>
  <c r="AJ109" i="16"/>
  <c r="AQ23" i="13"/>
  <c r="AR23" i="13" s="1"/>
  <c r="AQ22" i="13"/>
  <c r="AR22" i="13" s="1"/>
  <c r="AQ21" i="13"/>
  <c r="AR21" i="13" s="1"/>
  <c r="C29" i="14" l="1"/>
  <c r="F228" i="13"/>
  <c r="F225" i="13"/>
  <c r="F221" i="13"/>
  <c r="F215" i="13"/>
  <c r="F208" i="13"/>
  <c r="F200" i="13"/>
  <c r="F197" i="13"/>
  <c r="F193" i="13"/>
  <c r="F190" i="13"/>
  <c r="F187" i="13"/>
  <c r="F184" i="13"/>
  <c r="F178" i="13"/>
  <c r="F171" i="13"/>
  <c r="F167" i="13"/>
  <c r="F160" i="13"/>
  <c r="F154" i="13"/>
  <c r="F149" i="13"/>
  <c r="F144" i="13"/>
  <c r="F137" i="13"/>
  <c r="C9" i="25" s="1"/>
  <c r="F134" i="13"/>
  <c r="F131" i="13"/>
  <c r="F128" i="13"/>
  <c r="F125" i="13"/>
  <c r="F118" i="13"/>
  <c r="F102" i="13"/>
  <c r="F108" i="13"/>
  <c r="F113" i="13"/>
  <c r="F95" i="13"/>
  <c r="F91" i="13"/>
  <c r="F86" i="13"/>
  <c r="F82" i="13"/>
  <c r="F78" i="13"/>
  <c r="F65" i="13"/>
  <c r="F54" i="13"/>
  <c r="F48" i="13"/>
  <c r="AR48" i="13" s="1"/>
  <c r="F41" i="13"/>
  <c r="AR41" i="13" s="1"/>
  <c r="F33" i="13"/>
  <c r="F28" i="13"/>
  <c r="F20" i="13"/>
  <c r="C35" i="14"/>
  <c r="C37" i="14" s="1"/>
  <c r="E45" i="14"/>
  <c r="Q5" i="16"/>
  <c r="Q6" i="16"/>
  <c r="Q7" i="16"/>
  <c r="Q8" i="16"/>
  <c r="AJ8" i="16" s="1"/>
  <c r="Q9" i="16"/>
  <c r="B3" i="17"/>
  <c r="B1" i="17"/>
  <c r="C23" i="25" l="1"/>
  <c r="C20" i="25"/>
  <c r="C17" i="25"/>
  <c r="E17" i="25" s="1"/>
  <c r="C22" i="25"/>
  <c r="C15" i="25"/>
  <c r="C19" i="25"/>
  <c r="C21" i="25" s="1"/>
  <c r="AS125" i="13"/>
  <c r="AT125" i="13" s="1"/>
  <c r="C8" i="25"/>
  <c r="C11" i="25"/>
  <c r="C10" i="25"/>
  <c r="F17" i="25"/>
  <c r="G17" i="25" s="1"/>
  <c r="C16" i="25"/>
  <c r="C7" i="25"/>
  <c r="F53" i="13"/>
  <c r="AR53" i="13" s="1"/>
  <c r="AR54" i="13"/>
  <c r="AS65" i="13"/>
  <c r="AT65" i="13" s="1"/>
  <c r="AR65" i="13"/>
  <c r="AS128" i="13"/>
  <c r="AT128" i="13" s="1"/>
  <c r="AR128" i="13"/>
  <c r="F68" i="13"/>
  <c r="AR70" i="13"/>
  <c r="AS131" i="13"/>
  <c r="AT131" i="13" s="1"/>
  <c r="AR131" i="13"/>
  <c r="AS149" i="13"/>
  <c r="AT149" i="13" s="1"/>
  <c r="AR149" i="13"/>
  <c r="F227" i="13"/>
  <c r="AS228" i="13"/>
  <c r="AR28" i="13"/>
  <c r="AS28" i="13"/>
  <c r="F143" i="13"/>
  <c r="AS144" i="13"/>
  <c r="AT144" i="13" s="1"/>
  <c r="AR144" i="13"/>
  <c r="F19" i="13"/>
  <c r="AR20" i="13"/>
  <c r="AR134" i="13"/>
  <c r="AS134" i="13"/>
  <c r="AT134" i="13" s="1"/>
  <c r="AS154" i="13"/>
  <c r="AT154" i="13" s="1"/>
  <c r="AR154" i="13"/>
  <c r="F124" i="13"/>
  <c r="F123" i="13" s="1"/>
  <c r="AK8" i="16"/>
  <c r="AL8" i="16" s="1"/>
  <c r="AK7" i="16"/>
  <c r="AL7" i="16" s="1"/>
  <c r="AJ7" i="16"/>
  <c r="F148" i="13"/>
  <c r="AS171" i="13"/>
  <c r="AT171" i="13" s="1"/>
  <c r="AR171" i="13"/>
  <c r="AK9" i="16"/>
  <c r="AL9" i="16" s="1"/>
  <c r="AJ9" i="16"/>
  <c r="AJ5" i="16"/>
  <c r="AK5" i="16"/>
  <c r="AL5" i="16" s="1"/>
  <c r="F64" i="13"/>
  <c r="AR64" i="13" s="1"/>
  <c r="AK6" i="16"/>
  <c r="AL6" i="16" s="1"/>
  <c r="AJ6" i="16"/>
  <c r="AS48" i="13"/>
  <c r="AT48" i="13" s="1"/>
  <c r="F77" i="13"/>
  <c r="F76" i="13" s="1"/>
  <c r="F177" i="13"/>
  <c r="AR178" i="13"/>
  <c r="AS178" i="13"/>
  <c r="AT178" i="13" s="1"/>
  <c r="F207" i="13"/>
  <c r="F206" i="13" s="1"/>
  <c r="F205" i="13" s="1"/>
  <c r="F204" i="13" s="1"/>
  <c r="F32" i="13"/>
  <c r="F183" i="13"/>
  <c r="F182" i="13" s="1"/>
  <c r="F166" i="13"/>
  <c r="Q144" i="16"/>
  <c r="F165" i="13" l="1"/>
  <c r="C24" i="25"/>
  <c r="C18" i="25"/>
  <c r="C14" i="25"/>
  <c r="F10" i="25"/>
  <c r="G10" i="25" s="1"/>
  <c r="E10" i="25"/>
  <c r="F18" i="13"/>
  <c r="AR18" i="13" s="1"/>
  <c r="F67" i="13"/>
  <c r="F142" i="13"/>
  <c r="AS143" i="13"/>
  <c r="AT143" i="13" s="1"/>
  <c r="AR143" i="13"/>
  <c r="F147" i="13"/>
  <c r="AR177" i="13"/>
  <c r="AS177" i="13"/>
  <c r="AT177" i="13" s="1"/>
  <c r="F63" i="13"/>
  <c r="AR63" i="13" s="1"/>
  <c r="AS64" i="13"/>
  <c r="AT64" i="13" s="1"/>
  <c r="C10" i="14"/>
  <c r="C7" i="14"/>
  <c r="C25" i="25" l="1"/>
  <c r="F17" i="13"/>
  <c r="F16" i="13" s="1"/>
  <c r="F141" i="13"/>
  <c r="AS142" i="13"/>
  <c r="AT142" i="13" s="1"/>
  <c r="AR142" i="13"/>
  <c r="F146" i="13"/>
  <c r="F62" i="13"/>
  <c r="AR62" i="13" s="1"/>
  <c r="AS63" i="13"/>
  <c r="AT63" i="13" s="1"/>
  <c r="E47" i="14"/>
  <c r="E48" i="14"/>
  <c r="E42" i="14"/>
  <c r="C49" i="14"/>
  <c r="AR17" i="13" l="1"/>
  <c r="AS141" i="13"/>
  <c r="AT141" i="13" s="1"/>
  <c r="AR141" i="13"/>
  <c r="F15" i="13"/>
  <c r="AR15" i="13" s="1"/>
  <c r="AR16" i="13"/>
  <c r="AS62" i="13"/>
  <c r="AT62" i="13" s="1"/>
  <c r="F61" i="13"/>
  <c r="F45" i="14"/>
  <c r="F42" i="14"/>
  <c r="D52" i="14"/>
  <c r="D46" i="14"/>
  <c r="D49" i="14"/>
  <c r="F49" i="14" s="1"/>
  <c r="G49" i="14" s="1"/>
  <c r="F48" i="14"/>
  <c r="G48" i="14" s="1"/>
  <c r="F60" i="13" l="1"/>
  <c r="C51" i="14"/>
  <c r="F51" i="14" s="1"/>
  <c r="G51" i="14" s="1"/>
  <c r="C50" i="14"/>
  <c r="F50" i="14" s="1"/>
  <c r="G50" i="14" s="1"/>
  <c r="C44" i="14"/>
  <c r="C46" i="14" s="1"/>
  <c r="F46" i="14" s="1"/>
  <c r="F47" i="14"/>
  <c r="G47" i="14" s="1"/>
  <c r="C41" i="14"/>
  <c r="C43" i="14" s="1"/>
  <c r="C8" i="14"/>
  <c r="C9" i="14"/>
  <c r="A2" i="14"/>
  <c r="C21" i="14"/>
  <c r="C20" i="14"/>
  <c r="F14" i="13" l="1"/>
  <c r="Q146" i="16" s="1"/>
  <c r="B2" i="17"/>
  <c r="C2" i="20"/>
  <c r="C22" i="14"/>
  <c r="G46" i="14"/>
  <c r="E46" i="14"/>
  <c r="E51" i="14"/>
  <c r="C52" i="14"/>
  <c r="F52" i="14" s="1"/>
  <c r="E50" i="14"/>
  <c r="F44" i="14"/>
  <c r="E44" i="14"/>
  <c r="C53" i="14" l="1"/>
  <c r="E52" i="14"/>
  <c r="G52" i="14"/>
  <c r="C11" i="14"/>
  <c r="C12" i="14" s="1"/>
  <c r="C17" i="14"/>
  <c r="C18" i="14"/>
  <c r="C13" i="14"/>
  <c r="C14" i="14"/>
  <c r="C15" i="14"/>
  <c r="R7" i="7"/>
  <c r="R22" i="7"/>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L225" i="13"/>
  <c r="K225" i="13"/>
  <c r="J225"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L221" i="13"/>
  <c r="K221" i="13"/>
  <c r="J221"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L215" i="13"/>
  <c r="K215" i="13"/>
  <c r="J215"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L200" i="13"/>
  <c r="K200" i="13"/>
  <c r="J200"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L197" i="13"/>
  <c r="K197" i="13"/>
  <c r="J197"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L190" i="13"/>
  <c r="K190" i="13"/>
  <c r="J190"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L187" i="13"/>
  <c r="K187" i="13"/>
  <c r="J187" i="13"/>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X160" i="13"/>
  <c r="X148" i="13" s="1"/>
  <c r="X147" i="13" s="1"/>
  <c r="W160" i="13"/>
  <c r="W148" i="13" s="1"/>
  <c r="W147" i="13" s="1"/>
  <c r="V160" i="13"/>
  <c r="V148" i="13" s="1"/>
  <c r="V147" i="13" s="1"/>
  <c r="T160" i="13"/>
  <c r="T148" i="13" s="1"/>
  <c r="T147" i="13" s="1"/>
  <c r="S160" i="13"/>
  <c r="S148" i="13" s="1"/>
  <c r="S147" i="13" s="1"/>
  <c r="R160" i="13"/>
  <c r="R148" i="13" s="1"/>
  <c r="R147" i="13" s="1"/>
  <c r="Q160" i="13"/>
  <c r="Q148" i="13" s="1"/>
  <c r="Q147" i="13" s="1"/>
  <c r="P160" i="13"/>
  <c r="P148"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X124" i="13"/>
  <c r="X123" i="13" s="1"/>
  <c r="X67" i="13" s="1"/>
  <c r="W124" i="13"/>
  <c r="W123" i="13" s="1"/>
  <c r="W67" i="13" s="1"/>
  <c r="V124" i="13"/>
  <c r="V123" i="13" s="1"/>
  <c r="V67" i="13" s="1"/>
  <c r="T124" i="13"/>
  <c r="T123" i="13" s="1"/>
  <c r="T67" i="13" s="1"/>
  <c r="S124" i="13"/>
  <c r="S123" i="13" s="1"/>
  <c r="S67" i="13" s="1"/>
  <c r="R124" i="13"/>
  <c r="R123" i="13" s="1"/>
  <c r="R67" i="13" s="1"/>
  <c r="Q124" i="13"/>
  <c r="Q123" i="13" s="1"/>
  <c r="Q67" i="13" s="1"/>
  <c r="P124" i="13"/>
  <c r="O124" i="13"/>
  <c r="O123" i="13" s="1"/>
  <c r="O67" i="13" s="1"/>
  <c r="N124" i="13"/>
  <c r="N123" i="13" s="1"/>
  <c r="N67" i="13" s="1"/>
  <c r="M124" i="13"/>
  <c r="M123" i="13" s="1"/>
  <c r="M67" i="13" s="1"/>
  <c r="L124" i="13"/>
  <c r="L123" i="13" s="1"/>
  <c r="L67" i="13" s="1"/>
  <c r="K124" i="13"/>
  <c r="K123" i="13" s="1"/>
  <c r="K67" i="13" s="1"/>
  <c r="J124" i="13"/>
  <c r="J123" i="13" s="1"/>
  <c r="J67" i="13" s="1"/>
  <c r="I225" i="13"/>
  <c r="H225" i="13"/>
  <c r="I221" i="13"/>
  <c r="H221" i="13"/>
  <c r="I215" i="13"/>
  <c r="H215" i="13"/>
  <c r="I200" i="13"/>
  <c r="H200" i="13"/>
  <c r="I197" i="13"/>
  <c r="H197" i="13"/>
  <c r="I193" i="13"/>
  <c r="H193" i="13"/>
  <c r="I190" i="13"/>
  <c r="H190" i="13"/>
  <c r="I187" i="13"/>
  <c r="H187" i="13"/>
  <c r="I124" i="13"/>
  <c r="I123" i="13" s="1"/>
  <c r="I67" i="13" s="1"/>
  <c r="H124" i="13"/>
  <c r="H123" i="13" s="1"/>
  <c r="H67" i="13" s="1"/>
  <c r="G225" i="13"/>
  <c r="G221" i="13"/>
  <c r="G215" i="13"/>
  <c r="G200" i="13"/>
  <c r="G197" i="13"/>
  <c r="G193" i="13"/>
  <c r="G190" i="13"/>
  <c r="G187" i="13"/>
  <c r="G137" i="13"/>
  <c r="AS231" i="13"/>
  <c r="AT231" i="13" s="1"/>
  <c r="AR231" i="13"/>
  <c r="AS22" i="13"/>
  <c r="AT22" i="13" s="1"/>
  <c r="AS23" i="13"/>
  <c r="AT23" i="13" s="1"/>
  <c r="AQ25" i="13"/>
  <c r="AR25" i="13" s="1"/>
  <c r="AQ26" i="13"/>
  <c r="AQ27" i="13"/>
  <c r="AQ30" i="13"/>
  <c r="AQ31" i="13"/>
  <c r="AQ34" i="13"/>
  <c r="AQ35" i="13"/>
  <c r="AQ36" i="13"/>
  <c r="AQ37" i="13"/>
  <c r="AR37" i="13" s="1"/>
  <c r="AQ38" i="13"/>
  <c r="AQ39" i="13"/>
  <c r="AQ40" i="13"/>
  <c r="AQ42" i="13"/>
  <c r="AQ43" i="13"/>
  <c r="AQ44" i="13"/>
  <c r="AQ45" i="13"/>
  <c r="AR45" i="13" s="1"/>
  <c r="AQ46" i="13"/>
  <c r="AR46" i="13" s="1"/>
  <c r="AQ47" i="13"/>
  <c r="AQ49" i="13"/>
  <c r="AR49" i="13" s="1"/>
  <c r="AQ50" i="13"/>
  <c r="AQ51" i="13"/>
  <c r="AQ52" i="13"/>
  <c r="AQ55" i="13"/>
  <c r="AQ56" i="13"/>
  <c r="AQ57" i="13"/>
  <c r="AR57" i="13" s="1"/>
  <c r="AQ58" i="13"/>
  <c r="AQ59" i="13"/>
  <c r="AQ66" i="13"/>
  <c r="AQ71" i="13"/>
  <c r="AQ72" i="13"/>
  <c r="AQ73" i="13"/>
  <c r="AQ74" i="13"/>
  <c r="AQ75" i="13"/>
  <c r="AQ79" i="13"/>
  <c r="AQ80" i="13"/>
  <c r="AQ81" i="13"/>
  <c r="AR81" i="13" s="1"/>
  <c r="AQ83" i="13"/>
  <c r="AQ84" i="13"/>
  <c r="AQ85" i="13"/>
  <c r="AQ87" i="13"/>
  <c r="AQ88" i="13"/>
  <c r="AR88" i="13" s="1"/>
  <c r="AQ89" i="13"/>
  <c r="AQ90" i="13"/>
  <c r="AQ92" i="13"/>
  <c r="AR92" i="13" s="1"/>
  <c r="AQ93" i="13"/>
  <c r="AQ94" i="13"/>
  <c r="AQ96" i="13"/>
  <c r="AR96" i="13" s="1"/>
  <c r="AQ97" i="13"/>
  <c r="AR97" i="13" s="1"/>
  <c r="AQ99" i="13"/>
  <c r="AQ100" i="13"/>
  <c r="AR100" i="13" s="1"/>
  <c r="AQ101" i="13"/>
  <c r="AR101" i="13" s="1"/>
  <c r="AQ103" i="13"/>
  <c r="AS103" i="13" s="1"/>
  <c r="AT103" i="13" s="1"/>
  <c r="AQ104" i="13"/>
  <c r="AS104" i="13" s="1"/>
  <c r="AT104" i="13" s="1"/>
  <c r="AQ105" i="13"/>
  <c r="AQ106" i="13"/>
  <c r="AS106" i="13" s="1"/>
  <c r="AT106" i="13" s="1"/>
  <c r="AQ107" i="13"/>
  <c r="AS107" i="13" s="1"/>
  <c r="AT107" i="13" s="1"/>
  <c r="AQ109" i="13"/>
  <c r="AQ110" i="13"/>
  <c r="AR110" i="13" s="1"/>
  <c r="AQ111" i="13"/>
  <c r="AS111" i="13" s="1"/>
  <c r="AT111" i="13" s="1"/>
  <c r="AQ112" i="13"/>
  <c r="AS112" i="13" s="1"/>
  <c r="AT112" i="13" s="1"/>
  <c r="AQ114" i="13"/>
  <c r="AS114" i="13" s="1"/>
  <c r="AT114" i="13" s="1"/>
  <c r="AQ115" i="13"/>
  <c r="AS115" i="13" s="1"/>
  <c r="AT115" i="13" s="1"/>
  <c r="AQ116" i="13"/>
  <c r="AQ117" i="13"/>
  <c r="AQ119" i="13"/>
  <c r="AS119" i="13" s="1"/>
  <c r="AT119" i="13" s="1"/>
  <c r="AQ120" i="13"/>
  <c r="AS120" i="13" s="1"/>
  <c r="AT120" i="13" s="1"/>
  <c r="AQ121" i="13"/>
  <c r="AS121" i="13" s="1"/>
  <c r="AQ122" i="13"/>
  <c r="AS122" i="13" s="1"/>
  <c r="AT122" i="13" s="1"/>
  <c r="AQ127" i="13"/>
  <c r="AQ156" i="13"/>
  <c r="AS156" i="13" s="1"/>
  <c r="AT156" i="13" s="1"/>
  <c r="AQ157" i="13"/>
  <c r="AS157" i="13" s="1"/>
  <c r="AT157" i="13" s="1"/>
  <c r="AQ158" i="13"/>
  <c r="AQ159" i="13"/>
  <c r="AS159" i="13" s="1"/>
  <c r="AT159" i="13" s="1"/>
  <c r="AQ161" i="13"/>
  <c r="AS161" i="13" s="1"/>
  <c r="AT161" i="13" s="1"/>
  <c r="AQ162" i="13"/>
  <c r="AQ163" i="13"/>
  <c r="AS163" i="13" s="1"/>
  <c r="AT163" i="13" s="1"/>
  <c r="AQ164" i="13"/>
  <c r="AS164" i="13" s="1"/>
  <c r="AT164" i="13" s="1"/>
  <c r="AQ168" i="13"/>
  <c r="AS168" i="13" s="1"/>
  <c r="AT168" i="13" s="1"/>
  <c r="AQ169" i="13"/>
  <c r="AS169" i="13" s="1"/>
  <c r="AT169" i="13" s="1"/>
  <c r="AQ170" i="13"/>
  <c r="AQ172" i="13"/>
  <c r="AS172" i="13" s="1"/>
  <c r="AT172" i="13" s="1"/>
  <c r="AQ173" i="13"/>
  <c r="AS173" i="13" s="1"/>
  <c r="AT173" i="13" s="1"/>
  <c r="AQ174" i="13"/>
  <c r="AQ175" i="13"/>
  <c r="AS175" i="13" s="1"/>
  <c r="AT175" i="13" s="1"/>
  <c r="AQ176" i="13"/>
  <c r="AS176" i="13" s="1"/>
  <c r="AT176" i="13" s="1"/>
  <c r="AQ179" i="13"/>
  <c r="AS179" i="13" s="1"/>
  <c r="AT179" i="13" s="1"/>
  <c r="AQ180" i="13"/>
  <c r="AS180" i="13" s="1"/>
  <c r="AT180" i="13" s="1"/>
  <c r="AQ181" i="13"/>
  <c r="AS181" i="13" s="1"/>
  <c r="AT181" i="13" s="1"/>
  <c r="AQ185" i="13"/>
  <c r="AS185" i="13" s="1"/>
  <c r="AT185" i="13" s="1"/>
  <c r="AQ186" i="13"/>
  <c r="AQ188" i="13"/>
  <c r="AS188" i="13" s="1"/>
  <c r="AT188" i="13" s="1"/>
  <c r="AQ189" i="13"/>
  <c r="AQ191" i="13"/>
  <c r="AS191" i="13" s="1"/>
  <c r="AT191" i="13" s="1"/>
  <c r="AQ192" i="13"/>
  <c r="AQ194" i="13"/>
  <c r="AS194" i="13" s="1"/>
  <c r="AT194" i="13" s="1"/>
  <c r="AQ195" i="13"/>
  <c r="AQ196" i="13"/>
  <c r="AS196" i="13" s="1"/>
  <c r="AT196" i="13" s="1"/>
  <c r="AQ198" i="13"/>
  <c r="AQ199" i="13"/>
  <c r="AR199" i="13" s="1"/>
  <c r="AQ201" i="13"/>
  <c r="AQ202" i="13"/>
  <c r="AS202" i="13" s="1"/>
  <c r="AT202" i="13" s="1"/>
  <c r="AQ203" i="13"/>
  <c r="AS203" i="13" s="1"/>
  <c r="AT203" i="13" s="1"/>
  <c r="AQ209" i="13"/>
  <c r="AS209" i="13" s="1"/>
  <c r="AT209" i="13" s="1"/>
  <c r="AQ210" i="13"/>
  <c r="AS210" i="13" s="1"/>
  <c r="AT210" i="13" s="1"/>
  <c r="AQ211" i="13"/>
  <c r="AS211" i="13" s="1"/>
  <c r="AT211" i="13" s="1"/>
  <c r="AQ212" i="13"/>
  <c r="AQ213" i="13"/>
  <c r="AR213" i="13" s="1"/>
  <c r="AQ214" i="13"/>
  <c r="AS214" i="13" s="1"/>
  <c r="AT214" i="13" s="1"/>
  <c r="AQ216" i="13"/>
  <c r="AQ217" i="13"/>
  <c r="AS217" i="13" s="1"/>
  <c r="AT217" i="13" s="1"/>
  <c r="AQ218" i="13"/>
  <c r="AS218" i="13" s="1"/>
  <c r="AT218" i="13" s="1"/>
  <c r="AQ219" i="13"/>
  <c r="AS219" i="13" s="1"/>
  <c r="AT219" i="13" s="1"/>
  <c r="AQ220" i="13"/>
  <c r="AQ222" i="13"/>
  <c r="AS222" i="13" s="1"/>
  <c r="AT222" i="13" s="1"/>
  <c r="AQ223" i="13"/>
  <c r="AS223" i="13" s="1"/>
  <c r="AT223" i="13" s="1"/>
  <c r="AQ224" i="13"/>
  <c r="AQ226" i="13"/>
  <c r="AS226" i="13" s="1"/>
  <c r="AT226" i="13" s="1"/>
  <c r="AQ229" i="13"/>
  <c r="AS229" i="13" s="1"/>
  <c r="AT229" i="13" s="1"/>
  <c r="AQ230" i="13"/>
  <c r="AS230" i="13" s="1"/>
  <c r="AT230" i="13" s="1"/>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I207" i="13" l="1"/>
  <c r="I206" i="13" s="1"/>
  <c r="I205" i="13" s="1"/>
  <c r="I204" i="13" s="1"/>
  <c r="R115" i="16"/>
  <c r="AI115" i="16" s="1"/>
  <c r="AK115" i="16" s="1"/>
  <c r="AL115" i="16" s="1"/>
  <c r="R131" i="16"/>
  <c r="AI131" i="16" s="1"/>
  <c r="AK131" i="16" s="1"/>
  <c r="AL131" i="16" s="1"/>
  <c r="M183" i="13"/>
  <c r="M182" i="13" s="1"/>
  <c r="M146" i="13" s="1"/>
  <c r="M61" i="13" s="1"/>
  <c r="Q183" i="13"/>
  <c r="Q182" i="13" s="1"/>
  <c r="Q146" i="13" s="1"/>
  <c r="Q61" i="13" s="1"/>
  <c r="U183" i="13"/>
  <c r="U182" i="13" s="1"/>
  <c r="U146" i="13" s="1"/>
  <c r="U61" i="13" s="1"/>
  <c r="Y183" i="13"/>
  <c r="Y182" i="13" s="1"/>
  <c r="Y146" i="13" s="1"/>
  <c r="Y61" i="13" s="1"/>
  <c r="AC183" i="13"/>
  <c r="AC182" i="13" s="1"/>
  <c r="AC146" i="13" s="1"/>
  <c r="AC61" i="13" s="1"/>
  <c r="AG183" i="13"/>
  <c r="AG182" i="13" s="1"/>
  <c r="AG146" i="13" s="1"/>
  <c r="AG61" i="13" s="1"/>
  <c r="AK183" i="13"/>
  <c r="AK182" i="13" s="1"/>
  <c r="AK146" i="13" s="1"/>
  <c r="AK61" i="13" s="1"/>
  <c r="L207" i="13"/>
  <c r="L206" i="13" s="1"/>
  <c r="L205" i="13" s="1"/>
  <c r="L204"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R117" i="16"/>
  <c r="AI117" i="16" s="1"/>
  <c r="AK117" i="16" s="1"/>
  <c r="AL117" i="16" s="1"/>
  <c r="R136" i="16"/>
  <c r="AI136" i="16" s="1"/>
  <c r="AK136" i="16" s="1"/>
  <c r="AL136" i="16" s="1"/>
  <c r="AR84" i="13"/>
  <c r="D46" i="25"/>
  <c r="AS94" i="13"/>
  <c r="AT94" i="13" s="1"/>
  <c r="AR94" i="13"/>
  <c r="AS72" i="13"/>
  <c r="AT72" i="13" s="1"/>
  <c r="AR72" i="13"/>
  <c r="AS52" i="13"/>
  <c r="AT52" i="13" s="1"/>
  <c r="AR52" i="13"/>
  <c r="AS43" i="13"/>
  <c r="AT43" i="13" s="1"/>
  <c r="AR43" i="13"/>
  <c r="AS38" i="13"/>
  <c r="AT38" i="13" s="1"/>
  <c r="AR38" i="13"/>
  <c r="AS26" i="13"/>
  <c r="AT26" i="13" s="1"/>
  <c r="AR26" i="13"/>
  <c r="AJ115" i="16"/>
  <c r="AS87" i="13"/>
  <c r="AT87" i="13" s="1"/>
  <c r="AR87" i="13"/>
  <c r="AS74" i="13"/>
  <c r="AT74" i="13" s="1"/>
  <c r="AR74" i="13"/>
  <c r="AR66" i="13"/>
  <c r="AS66" i="13"/>
  <c r="AT66" i="13" s="1"/>
  <c r="AS56" i="13"/>
  <c r="AT56" i="13" s="1"/>
  <c r="AR56" i="13"/>
  <c r="AS50" i="13"/>
  <c r="AT50" i="13" s="1"/>
  <c r="AR50" i="13"/>
  <c r="AS40" i="13"/>
  <c r="AT40" i="13" s="1"/>
  <c r="AR40" i="13"/>
  <c r="AS36" i="13"/>
  <c r="AT36" i="13" s="1"/>
  <c r="AR36" i="13"/>
  <c r="AR30" i="13"/>
  <c r="AS30" i="13"/>
  <c r="AT30" i="13" s="1"/>
  <c r="G124" i="13"/>
  <c r="G123" i="13" s="1"/>
  <c r="G67" i="13" s="1"/>
  <c r="AQ137" i="13"/>
  <c r="R83" i="16"/>
  <c r="R120" i="16"/>
  <c r="AI120" i="16" s="1"/>
  <c r="R139" i="16"/>
  <c r="AI139" i="16" s="1"/>
  <c r="P147" i="13"/>
  <c r="AQ147" i="13" s="1"/>
  <c r="AQ148" i="13"/>
  <c r="AS89" i="13"/>
  <c r="AT89" i="13" s="1"/>
  <c r="AR89" i="13"/>
  <c r="AS79" i="13"/>
  <c r="AT79" i="13" s="1"/>
  <c r="AR79" i="13"/>
  <c r="AS58" i="13"/>
  <c r="AT58" i="13" s="1"/>
  <c r="AR58" i="13"/>
  <c r="AS47" i="13"/>
  <c r="AT47" i="13" s="1"/>
  <c r="AR47" i="13"/>
  <c r="AS34" i="13"/>
  <c r="AT34" i="13" s="1"/>
  <c r="AR34" i="13"/>
  <c r="AS127" i="13"/>
  <c r="AT127" i="13" s="1"/>
  <c r="AS99" i="13"/>
  <c r="AT99" i="13" s="1"/>
  <c r="AR99" i="13"/>
  <c r="AS93" i="13"/>
  <c r="AT93" i="13" s="1"/>
  <c r="AR93" i="13"/>
  <c r="AS83" i="13"/>
  <c r="AT83" i="13" s="1"/>
  <c r="AR83" i="13"/>
  <c r="AS71" i="13"/>
  <c r="AT71" i="13" s="1"/>
  <c r="AR71" i="13"/>
  <c r="AS51" i="13"/>
  <c r="AT51" i="13" s="1"/>
  <c r="AR51" i="13"/>
  <c r="AS42" i="13"/>
  <c r="AT42" i="13" s="1"/>
  <c r="AR42" i="13"/>
  <c r="AS116" i="13"/>
  <c r="AT116" i="13" s="1"/>
  <c r="AS90" i="13"/>
  <c r="AT90" i="13" s="1"/>
  <c r="AR90" i="13"/>
  <c r="AS85" i="13"/>
  <c r="AT85" i="13" s="1"/>
  <c r="AR85" i="13"/>
  <c r="AS80" i="13"/>
  <c r="AT80" i="13" s="1"/>
  <c r="AR80" i="13"/>
  <c r="AR73" i="13"/>
  <c r="AS73" i="13"/>
  <c r="AT73" i="13" s="1"/>
  <c r="AS55" i="13"/>
  <c r="AT55" i="13" s="1"/>
  <c r="AR55" i="13"/>
  <c r="AS44" i="13"/>
  <c r="AT44" i="13" s="1"/>
  <c r="AR44" i="13"/>
  <c r="AS39" i="13"/>
  <c r="AT39" i="13" s="1"/>
  <c r="AR39" i="13"/>
  <c r="AS35" i="13"/>
  <c r="AT35" i="13" s="1"/>
  <c r="AR35" i="13"/>
  <c r="AS27" i="13"/>
  <c r="AT27" i="13" s="1"/>
  <c r="AR27" i="13"/>
  <c r="R113" i="16"/>
  <c r="AI113" i="16" s="1"/>
  <c r="R122" i="16"/>
  <c r="AI122" i="16" s="1"/>
  <c r="AS75" i="13"/>
  <c r="AT75" i="13" s="1"/>
  <c r="AR75" i="13"/>
  <c r="AS31" i="13"/>
  <c r="AT31" i="13" s="1"/>
  <c r="AR31" i="13"/>
  <c r="AS59" i="13"/>
  <c r="AT59" i="13" s="1"/>
  <c r="AR59" i="13"/>
  <c r="P123" i="13"/>
  <c r="G207" i="13"/>
  <c r="G206" i="13" s="1"/>
  <c r="G205" i="13" s="1"/>
  <c r="G204" i="13" s="1"/>
  <c r="AR155" i="13"/>
  <c r="AO183" i="13"/>
  <c r="AO182" i="13" s="1"/>
  <c r="AO146" i="13" s="1"/>
  <c r="AO61"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H183" i="13"/>
  <c r="H182" i="13" s="1"/>
  <c r="I183" i="13"/>
  <c r="I182" i="13" s="1"/>
  <c r="K183" i="13"/>
  <c r="K182" i="13" s="1"/>
  <c r="O183" i="13"/>
  <c r="O182" i="13" s="1"/>
  <c r="S183" i="13"/>
  <c r="S182" i="13" s="1"/>
  <c r="S146" i="13" s="1"/>
  <c r="S61" i="13" s="1"/>
  <c r="W183" i="13"/>
  <c r="W182" i="13" s="1"/>
  <c r="W146" i="13" s="1"/>
  <c r="W61" i="13" s="1"/>
  <c r="AA183" i="13"/>
  <c r="AA182" i="13" s="1"/>
  <c r="AE183" i="13"/>
  <c r="AE182" i="13" s="1"/>
  <c r="AI183" i="13"/>
  <c r="AI182" i="13" s="1"/>
  <c r="AM183" i="13"/>
  <c r="AM182" i="13" s="1"/>
  <c r="J207" i="13"/>
  <c r="J206" i="13" s="1"/>
  <c r="J205" i="13" s="1"/>
  <c r="J204"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J183" i="13"/>
  <c r="J182" i="13" s="1"/>
  <c r="N183" i="13"/>
  <c r="N182" i="13" s="1"/>
  <c r="R183" i="13"/>
  <c r="R182" i="13" s="1"/>
  <c r="V183" i="13"/>
  <c r="V182" i="13" s="1"/>
  <c r="V146" i="13" s="1"/>
  <c r="Z183" i="13"/>
  <c r="Z182" i="13" s="1"/>
  <c r="Z146" i="13" s="1"/>
  <c r="AD183" i="13"/>
  <c r="AD182" i="13" s="1"/>
  <c r="AH183" i="13"/>
  <c r="AH182" i="13" s="1"/>
  <c r="AL183" i="13"/>
  <c r="AL182" i="13" s="1"/>
  <c r="AL146" i="13" s="1"/>
  <c r="AP183" i="13"/>
  <c r="AP182" i="13" s="1"/>
  <c r="AP146" i="13" s="1"/>
  <c r="G183" i="13"/>
  <c r="G182" i="13" s="1"/>
  <c r="G146" i="13" s="1"/>
  <c r="H207" i="13"/>
  <c r="H206" i="13" s="1"/>
  <c r="H205" i="13" s="1"/>
  <c r="H204" i="13" s="1"/>
  <c r="L183" i="13"/>
  <c r="L182" i="13" s="1"/>
  <c r="P183" i="13"/>
  <c r="P182" i="13" s="1"/>
  <c r="T183" i="13"/>
  <c r="T182" i="13" s="1"/>
  <c r="T146" i="13" s="1"/>
  <c r="X183" i="13"/>
  <c r="X182" i="13" s="1"/>
  <c r="AB183" i="13"/>
  <c r="AB182" i="13" s="1"/>
  <c r="AF183" i="13"/>
  <c r="AF182" i="13" s="1"/>
  <c r="AF146" i="13" s="1"/>
  <c r="AJ183" i="13"/>
  <c r="AJ182" i="13" s="1"/>
  <c r="AJ146" i="13" s="1"/>
  <c r="AN183" i="13"/>
  <c r="AN182" i="13" s="1"/>
  <c r="K207" i="13"/>
  <c r="K206" i="13" s="1"/>
  <c r="K205" i="13" s="1"/>
  <c r="K204"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T144" i="16"/>
  <c r="AI58" i="16"/>
  <c r="D41" i="14"/>
  <c r="E41" i="14" s="1"/>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Q225" i="13"/>
  <c r="AR225" i="13" s="1"/>
  <c r="AQ190" i="13"/>
  <c r="AS190" i="13" s="1"/>
  <c r="AT190" i="13" s="1"/>
  <c r="AQ160" i="13"/>
  <c r="D15" i="25" s="1"/>
  <c r="AQ200" i="13"/>
  <c r="AR200" i="13" s="1"/>
  <c r="AQ82" i="13"/>
  <c r="AQ102" i="13"/>
  <c r="AQ184" i="13"/>
  <c r="AQ197" i="13"/>
  <c r="AS197" i="13" s="1"/>
  <c r="AT197" i="13" s="1"/>
  <c r="AT228" i="13"/>
  <c r="AQ86" i="13"/>
  <c r="AQ108" i="13"/>
  <c r="AQ187" i="13"/>
  <c r="AS187" i="13" s="1"/>
  <c r="AT187" i="13" s="1"/>
  <c r="AQ78" i="13"/>
  <c r="AQ95" i="13"/>
  <c r="AQ118" i="13"/>
  <c r="AS118" i="13" s="1"/>
  <c r="AT118" i="13" s="1"/>
  <c r="AQ193" i="13"/>
  <c r="AS193" i="13" s="1"/>
  <c r="AT193" i="13" s="1"/>
  <c r="AQ215" i="13"/>
  <c r="AQ33" i="13"/>
  <c r="AQ221" i="13"/>
  <c r="AS221" i="13" s="1"/>
  <c r="AT221" i="13" s="1"/>
  <c r="AQ208" i="13"/>
  <c r="AQ91" i="13"/>
  <c r="AQ113" i="13"/>
  <c r="AR113" i="13" s="1"/>
  <c r="AQ227" i="13"/>
  <c r="AS227" i="13" s="1"/>
  <c r="AT227" i="13" s="1"/>
  <c r="AS155" i="13"/>
  <c r="AQ68" i="13"/>
  <c r="AQ69" i="13"/>
  <c r="AR211" i="13"/>
  <c r="AR185" i="13"/>
  <c r="AR169" i="13"/>
  <c r="AR112" i="13"/>
  <c r="AS100" i="13"/>
  <c r="AT100" i="13" s="1"/>
  <c r="AR226" i="13"/>
  <c r="AR218" i="13"/>
  <c r="AR210" i="13"/>
  <c r="AR203" i="13"/>
  <c r="AR176" i="13"/>
  <c r="AR168" i="13"/>
  <c r="AR119" i="13"/>
  <c r="AR111" i="13"/>
  <c r="AR103" i="13"/>
  <c r="AS97" i="13"/>
  <c r="AT97" i="13" s="1"/>
  <c r="AS46" i="13"/>
  <c r="AT46" i="13" s="1"/>
  <c r="AR223" i="13"/>
  <c r="AR194" i="13"/>
  <c r="AR188" i="13"/>
  <c r="AR181" i="13"/>
  <c r="AR173" i="13"/>
  <c r="AR157" i="13"/>
  <c r="AR116" i="13"/>
  <c r="AS199" i="13"/>
  <c r="AT199" i="13" s="1"/>
  <c r="AR219" i="13"/>
  <c r="AR191" i="13"/>
  <c r="AR161" i="13"/>
  <c r="AR120" i="13"/>
  <c r="AR104" i="13"/>
  <c r="AR230" i="13"/>
  <c r="AR222" i="13"/>
  <c r="AR214" i="13"/>
  <c r="AR180" i="13"/>
  <c r="AR172" i="13"/>
  <c r="AR164" i="13"/>
  <c r="AR156" i="13"/>
  <c r="AR115" i="13"/>
  <c r="AR107" i="13"/>
  <c r="AS213" i="13"/>
  <c r="AT213" i="13" s="1"/>
  <c r="AS110" i="13"/>
  <c r="AT110" i="13" s="1"/>
  <c r="AR224" i="13"/>
  <c r="AS224" i="13"/>
  <c r="AT224" i="13" s="1"/>
  <c r="AR220" i="13"/>
  <c r="AS220" i="13"/>
  <c r="AT220" i="13" s="1"/>
  <c r="AR216" i="13"/>
  <c r="AS216" i="13"/>
  <c r="AT216" i="13" s="1"/>
  <c r="AS212" i="13"/>
  <c r="AT212" i="13" s="1"/>
  <c r="AR212" i="13"/>
  <c r="AS201" i="13"/>
  <c r="AT201" i="13" s="1"/>
  <c r="AR201" i="13"/>
  <c r="AS198" i="13"/>
  <c r="AT198" i="13" s="1"/>
  <c r="AR198" i="13"/>
  <c r="AR195" i="13"/>
  <c r="AS195" i="13"/>
  <c r="AT195" i="13" s="1"/>
  <c r="AR192" i="13"/>
  <c r="AS192" i="13"/>
  <c r="AT192" i="13" s="1"/>
  <c r="AR189" i="13"/>
  <c r="AS189" i="13"/>
  <c r="AT189" i="13" s="1"/>
  <c r="AS186" i="13"/>
  <c r="AT186" i="13" s="1"/>
  <c r="AR186" i="13"/>
  <c r="AR174" i="13"/>
  <c r="AS174" i="13"/>
  <c r="AT174" i="13" s="1"/>
  <c r="AS170" i="13"/>
  <c r="AT170" i="13" s="1"/>
  <c r="AR170" i="13"/>
  <c r="AR162" i="13"/>
  <c r="AS162" i="13"/>
  <c r="AT162" i="13" s="1"/>
  <c r="AR158" i="13"/>
  <c r="AS158" i="13"/>
  <c r="AT158" i="13" s="1"/>
  <c r="AR126" i="13"/>
  <c r="AR121" i="13"/>
  <c r="AT121" i="13"/>
  <c r="AS117" i="13"/>
  <c r="AT117" i="13" s="1"/>
  <c r="AR117" i="13"/>
  <c r="AR109" i="13"/>
  <c r="AS109" i="13"/>
  <c r="AT109" i="13" s="1"/>
  <c r="AR105" i="13"/>
  <c r="AS105" i="13"/>
  <c r="AT105" i="13" s="1"/>
  <c r="AS101" i="13"/>
  <c r="AT101" i="13" s="1"/>
  <c r="AS96" i="13"/>
  <c r="AT96" i="13" s="1"/>
  <c r="AS92" i="13"/>
  <c r="AT92" i="13" s="1"/>
  <c r="AS88" i="13"/>
  <c r="AT88" i="13" s="1"/>
  <c r="AS84" i="13"/>
  <c r="AT84" i="13" s="1"/>
  <c r="AS81" i="13"/>
  <c r="AT81" i="13" s="1"/>
  <c r="AS57" i="13"/>
  <c r="AT57" i="13" s="1"/>
  <c r="AS49" i="13"/>
  <c r="AT49" i="13" s="1"/>
  <c r="AS45" i="13"/>
  <c r="AT45" i="13" s="1"/>
  <c r="AS37" i="13"/>
  <c r="AT37" i="13" s="1"/>
  <c r="AS25" i="13"/>
  <c r="AT25" i="13" s="1"/>
  <c r="AS21" i="13"/>
  <c r="AT21" i="13" s="1"/>
  <c r="AR229" i="13"/>
  <c r="AR217" i="13"/>
  <c r="AR209" i="13"/>
  <c r="AR202" i="13"/>
  <c r="AR196" i="13"/>
  <c r="AR179" i="13"/>
  <c r="AR175" i="13"/>
  <c r="AR163" i="13"/>
  <c r="AR159" i="13"/>
  <c r="AR127" i="13"/>
  <c r="AR122" i="13"/>
  <c r="AR114" i="13"/>
  <c r="AR106" i="13"/>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D7" i="14" l="1"/>
  <c r="AJ131" i="16"/>
  <c r="AJ117" i="16"/>
  <c r="M60" i="13"/>
  <c r="M14" i="13" s="1"/>
  <c r="AJ136" i="16"/>
  <c r="U60" i="13"/>
  <c r="D11" i="25"/>
  <c r="E11" i="25" s="1"/>
  <c r="AS102" i="13"/>
  <c r="AT102" i="13" s="1"/>
  <c r="D23" i="25"/>
  <c r="D48" i="25"/>
  <c r="F46" i="25"/>
  <c r="G46" i="25" s="1"/>
  <c r="E46" i="25"/>
  <c r="D16" i="25"/>
  <c r="E16" i="25" s="1"/>
  <c r="AR78" i="13"/>
  <c r="D7" i="25"/>
  <c r="F7" i="25" s="1"/>
  <c r="G7" i="25" s="1"/>
  <c r="D9" i="25"/>
  <c r="D8" i="25"/>
  <c r="E15" i="25"/>
  <c r="F15" i="25"/>
  <c r="G15" i="25" s="1"/>
  <c r="AR33" i="13"/>
  <c r="D22" i="25"/>
  <c r="AS108" i="13"/>
  <c r="AT108" i="13" s="1"/>
  <c r="D19" i="25"/>
  <c r="P146" i="13"/>
  <c r="AQ124" i="13"/>
  <c r="AS124" i="13" s="1"/>
  <c r="AS91" i="13"/>
  <c r="AT91" i="13" s="1"/>
  <c r="AR91" i="13"/>
  <c r="AS82" i="13"/>
  <c r="AT82" i="13" s="1"/>
  <c r="AR82" i="13"/>
  <c r="AS148" i="13"/>
  <c r="AT148" i="13" s="1"/>
  <c r="AR148" i="13"/>
  <c r="R144" i="16"/>
  <c r="AI83" i="16"/>
  <c r="AK122" i="16"/>
  <c r="AL122" i="16" s="1"/>
  <c r="AJ122" i="16"/>
  <c r="AS147" i="13"/>
  <c r="AT147" i="13" s="1"/>
  <c r="AR147" i="13"/>
  <c r="AS137" i="13"/>
  <c r="AT137" i="13" s="1"/>
  <c r="AR137" i="13"/>
  <c r="G61" i="13"/>
  <c r="G60" i="13" s="1"/>
  <c r="G14" i="13" s="1"/>
  <c r="AK113" i="16"/>
  <c r="AL113" i="16" s="1"/>
  <c r="AJ113" i="16"/>
  <c r="AK139" i="16"/>
  <c r="AL139" i="16" s="1"/>
  <c r="AJ139" i="16"/>
  <c r="AS95" i="13"/>
  <c r="AT95" i="13" s="1"/>
  <c r="AR95" i="13"/>
  <c r="AS86" i="13"/>
  <c r="AT86" i="13" s="1"/>
  <c r="AR86" i="13"/>
  <c r="AK120" i="16"/>
  <c r="AL120" i="16" s="1"/>
  <c r="AJ120" i="16"/>
  <c r="AS69" i="13"/>
  <c r="AT69" i="13" s="1"/>
  <c r="AR69" i="13"/>
  <c r="AS68" i="13"/>
  <c r="AT68" i="13" s="1"/>
  <c r="AR68" i="13"/>
  <c r="AS215" i="13"/>
  <c r="AT215" i="13" s="1"/>
  <c r="D14" i="14"/>
  <c r="P67" i="13"/>
  <c r="AQ67" i="13" s="1"/>
  <c r="AQ123" i="13"/>
  <c r="AS123" i="13" s="1"/>
  <c r="AT123" i="13" s="1"/>
  <c r="L146" i="13"/>
  <c r="L61" i="13" s="1"/>
  <c r="L60" i="13" s="1"/>
  <c r="L14" i="13" s="1"/>
  <c r="O146" i="13"/>
  <c r="O61" i="13" s="1"/>
  <c r="O60" i="13" s="1"/>
  <c r="O14" i="13" s="1"/>
  <c r="AE146" i="13"/>
  <c r="AE61" i="13" s="1"/>
  <c r="AE60" i="13" s="1"/>
  <c r="AE14" i="13" s="1"/>
  <c r="AH146" i="13"/>
  <c r="AH61" i="13" s="1"/>
  <c r="AH60" i="13" s="1"/>
  <c r="AH14" i="13" s="1"/>
  <c r="N146" i="13"/>
  <c r="N61" i="13" s="1"/>
  <c r="N60" i="13" s="1"/>
  <c r="N14" i="13" s="1"/>
  <c r="K146" i="13"/>
  <c r="K61" i="13" s="1"/>
  <c r="K60" i="13" s="1"/>
  <c r="K14" i="13" s="1"/>
  <c r="AD146" i="13"/>
  <c r="AD61" i="13" s="1"/>
  <c r="AD60" i="13" s="1"/>
  <c r="AD14" i="13" s="1"/>
  <c r="AA146" i="13"/>
  <c r="AA61" i="13" s="1"/>
  <c r="AA60" i="13" s="1"/>
  <c r="AA14" i="13" s="1"/>
  <c r="AJ61" i="13"/>
  <c r="AJ60" i="13" s="1"/>
  <c r="AJ14" i="13" s="1"/>
  <c r="T61" i="13"/>
  <c r="T60" i="13" s="1"/>
  <c r="T14" i="13" s="1"/>
  <c r="AP61" i="13"/>
  <c r="AP60" i="13" s="1"/>
  <c r="AP14" i="13" s="1"/>
  <c r="Z61" i="13"/>
  <c r="Z60" i="13" s="1"/>
  <c r="Z14" i="13" s="1"/>
  <c r="J146" i="13"/>
  <c r="J61" i="13" s="1"/>
  <c r="J60" i="13" s="1"/>
  <c r="J14" i="13" s="1"/>
  <c r="I146" i="13"/>
  <c r="I61" i="13" s="1"/>
  <c r="I60" i="13" s="1"/>
  <c r="I14" i="13" s="1"/>
  <c r="R146" i="13"/>
  <c r="R61" i="13" s="1"/>
  <c r="R60" i="13" s="1"/>
  <c r="R14" i="13" s="1"/>
  <c r="AB146" i="13"/>
  <c r="AB61" i="13" s="1"/>
  <c r="AB60" i="13" s="1"/>
  <c r="AB14" i="13" s="1"/>
  <c r="AM146" i="13"/>
  <c r="AM61" i="13" s="1"/>
  <c r="AM60" i="13" s="1"/>
  <c r="AM14" i="13" s="1"/>
  <c r="AT155" i="13"/>
  <c r="AF61" i="13"/>
  <c r="AF60" i="13" s="1"/>
  <c r="AF14" i="13" s="1"/>
  <c r="AL61" i="13"/>
  <c r="AL60" i="13" s="1"/>
  <c r="AL14" i="13" s="1"/>
  <c r="V61" i="13"/>
  <c r="V60" i="13" s="1"/>
  <c r="V14" i="13" s="1"/>
  <c r="H146" i="13"/>
  <c r="H61" i="13" s="1"/>
  <c r="H60" i="13" s="1"/>
  <c r="H14" i="13" s="1"/>
  <c r="AN146" i="13"/>
  <c r="AN61" i="13" s="1"/>
  <c r="AN60" i="13" s="1"/>
  <c r="AN14" i="13" s="1"/>
  <c r="X146" i="13"/>
  <c r="X61" i="13" s="1"/>
  <c r="X60" i="13" s="1"/>
  <c r="X14" i="13" s="1"/>
  <c r="AI146" i="13"/>
  <c r="AI61" i="13" s="1"/>
  <c r="AI60" i="13" s="1"/>
  <c r="AI14" i="13" s="1"/>
  <c r="AG60" i="13"/>
  <c r="AG14" i="13" s="1"/>
  <c r="Q60" i="13"/>
  <c r="Q14" i="13" s="1"/>
  <c r="AC60" i="13"/>
  <c r="AC14" i="13" s="1"/>
  <c r="AK60" i="13"/>
  <c r="AK14" i="13" s="1"/>
  <c r="U14" i="13"/>
  <c r="AO60" i="13"/>
  <c r="AO14" i="13" s="1"/>
  <c r="Y60" i="13"/>
  <c r="Y14" i="13" s="1"/>
  <c r="W60" i="13"/>
  <c r="W14" i="13" s="1"/>
  <c r="S60" i="13"/>
  <c r="S14" i="13" s="1"/>
  <c r="D8" i="14"/>
  <c r="D30" i="14" s="1"/>
  <c r="AS160" i="13"/>
  <c r="AJ58" i="16"/>
  <c r="AK58" i="16"/>
  <c r="AS53" i="13"/>
  <c r="AT53" i="13" s="1"/>
  <c r="AQ32" i="13"/>
  <c r="AR32" i="13" s="1"/>
  <c r="AQ29" i="13"/>
  <c r="AS24" i="13"/>
  <c r="AT24" i="13" s="1"/>
  <c r="C23" i="14"/>
  <c r="G533" i="11"/>
  <c r="G348" i="11"/>
  <c r="G363" i="11"/>
  <c r="G307" i="11" s="1"/>
  <c r="D43" i="14"/>
  <c r="F43" i="14" s="1"/>
  <c r="F41" i="14"/>
  <c r="G41" i="14" s="1"/>
  <c r="D9" i="14"/>
  <c r="D31" i="14" s="1"/>
  <c r="AS54" i="13"/>
  <c r="AT54" i="13" s="1"/>
  <c r="D21" i="14"/>
  <c r="AS33" i="13"/>
  <c r="AT33" i="13" s="1"/>
  <c r="D20" i="14"/>
  <c r="AS184" i="13"/>
  <c r="AT184" i="13" s="1"/>
  <c r="D11" i="14"/>
  <c r="AR125" i="13"/>
  <c r="D33" i="14"/>
  <c r="E33" i="14" s="1"/>
  <c r="AS70" i="13"/>
  <c r="AT70" i="13" s="1"/>
  <c r="D13" i="14"/>
  <c r="D15" i="14"/>
  <c r="AR208" i="13"/>
  <c r="AS200" i="13"/>
  <c r="AT200" i="13" s="1"/>
  <c r="AR118" i="13"/>
  <c r="AR184" i="13"/>
  <c r="AS113" i="13"/>
  <c r="AT113" i="13" s="1"/>
  <c r="AR190" i="13"/>
  <c r="AR167" i="13"/>
  <c r="AS78" i="13"/>
  <c r="AT78" i="13" s="1"/>
  <c r="AR215" i="13"/>
  <c r="AR160" i="13"/>
  <c r="AS208" i="13"/>
  <c r="AT208" i="13" s="1"/>
  <c r="AS225" i="13"/>
  <c r="AT225" i="13" s="1"/>
  <c r="AR108" i="13"/>
  <c r="AR221" i="13"/>
  <c r="AR197" i="13"/>
  <c r="AR193" i="13"/>
  <c r="AR227" i="13"/>
  <c r="AS20" i="13"/>
  <c r="AT20" i="13" s="1"/>
  <c r="AR228" i="13"/>
  <c r="AR102" i="13"/>
  <c r="AS167" i="13"/>
  <c r="AT167" i="13" s="1"/>
  <c r="AQ166" i="13"/>
  <c r="AR166" i="13" s="1"/>
  <c r="AR187" i="13"/>
  <c r="AS41" i="13"/>
  <c r="AT41" i="13" s="1"/>
  <c r="AQ165" i="13"/>
  <c r="AQ207" i="13"/>
  <c r="AS207" i="13" s="1"/>
  <c r="AT207" i="13" s="1"/>
  <c r="AQ183" i="13"/>
  <c r="AR183" i="13" s="1"/>
  <c r="AQ206" i="13"/>
  <c r="AS206" i="13" s="1"/>
  <c r="AT206" i="13" s="1"/>
  <c r="AQ204" i="13"/>
  <c r="AR204" i="13" s="1"/>
  <c r="AQ182" i="13"/>
  <c r="AQ76" i="13"/>
  <c r="AR76" i="13" s="1"/>
  <c r="AQ77" i="13"/>
  <c r="AR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2249" i="8"/>
  <c r="G2247" i="8"/>
  <c r="G2246" i="8"/>
  <c r="G2244" i="8"/>
  <c r="G2243" i="8"/>
  <c r="G2239" i="8"/>
  <c r="G2236" i="8"/>
  <c r="G2234" i="8"/>
  <c r="G2232" i="8"/>
  <c r="G2231" i="8"/>
  <c r="G2230" i="8"/>
  <c r="G2227" i="8"/>
  <c r="G2226" i="8"/>
  <c r="G2224" i="8"/>
  <c r="G2222" i="8"/>
  <c r="G2221" i="8"/>
  <c r="G2219" i="8"/>
  <c r="G2218" i="8"/>
  <c r="G2217" i="8"/>
  <c r="G2215" i="8"/>
  <c r="G2214" i="8"/>
  <c r="G2211" i="8"/>
  <c r="G2210" i="8"/>
  <c r="G2208" i="8"/>
  <c r="G2206" i="8"/>
  <c r="G2204" i="8"/>
  <c r="G2203" i="8"/>
  <c r="G2201" i="8"/>
  <c r="G2200" i="8"/>
  <c r="G2198" i="8"/>
  <c r="G2197" i="8"/>
  <c r="G2196" i="8"/>
  <c r="G2195" i="8"/>
  <c r="G2188" i="8"/>
  <c r="G2182" i="8"/>
  <c r="G2181" i="8"/>
  <c r="G2179" i="8"/>
  <c r="G2177" i="8"/>
  <c r="G2176" i="8"/>
  <c r="G2175" i="8"/>
  <c r="G2174" i="8"/>
  <c r="G2171" i="8"/>
  <c r="G2169" i="8"/>
  <c r="G2168" i="8"/>
  <c r="G2166" i="8"/>
  <c r="G2163" i="8"/>
  <c r="G2161" i="8"/>
  <c r="G2160" i="8"/>
  <c r="G2158" i="8"/>
  <c r="G2155" i="8"/>
  <c r="G2154" i="8"/>
  <c r="G2152" i="8"/>
  <c r="G2151" i="8"/>
  <c r="G2150" i="8"/>
  <c r="G2148" i="8"/>
  <c r="G2146" i="8"/>
  <c r="G2145" i="8"/>
  <c r="G2143" i="8"/>
  <c r="G2140" i="8"/>
  <c r="G2138" i="8"/>
  <c r="G2137" i="8"/>
  <c r="G2135" i="8"/>
  <c r="G2130" i="8"/>
  <c r="G2128" i="8"/>
  <c r="G2126" i="8"/>
  <c r="G2125" i="8"/>
  <c r="G2123" i="8"/>
  <c r="G2120" i="8"/>
  <c r="G2118" i="8"/>
  <c r="G2116" i="8"/>
  <c r="G2115" i="8"/>
  <c r="G2112" i="8"/>
  <c r="G2110" i="8"/>
  <c r="G2108" i="8"/>
  <c r="G2106" i="8"/>
  <c r="G2105" i="8"/>
  <c r="G2104" i="8"/>
  <c r="G2103" i="8"/>
  <c r="G2102" i="8"/>
  <c r="G2099" i="8"/>
  <c r="G2097" i="8"/>
  <c r="G2095" i="8"/>
  <c r="G2094" i="8"/>
  <c r="G2091" i="8"/>
  <c r="G2089" i="8"/>
  <c r="G2087" i="8"/>
  <c r="G2086" i="8"/>
  <c r="G2085" i="8"/>
  <c r="G2082" i="8"/>
  <c r="G2080" i="8"/>
  <c r="G2078" i="8"/>
  <c r="G2077" i="8"/>
  <c r="G2076" i="8"/>
  <c r="G2075" i="8"/>
  <c r="G2071" i="8"/>
  <c r="G2069" i="8"/>
  <c r="G2068" i="8"/>
  <c r="G2065" i="8"/>
  <c r="G2064" i="8"/>
  <c r="G2063" i="8"/>
  <c r="G2060" i="8"/>
  <c r="G2059" i="8"/>
  <c r="G2057" i="8"/>
  <c r="G2056" i="8"/>
  <c r="G2055" i="8"/>
  <c r="G2054" i="8"/>
  <c r="G2051" i="8"/>
  <c r="G2050" i="8"/>
  <c r="G2049" i="8"/>
  <c r="G2048" i="8"/>
  <c r="G2046" i="8"/>
  <c r="G2044" i="8"/>
  <c r="G2043" i="8"/>
  <c r="G2042" i="8"/>
  <c r="G2041" i="8"/>
  <c r="G2037" i="8"/>
  <c r="G2035" i="8"/>
  <c r="G2034" i="8"/>
  <c r="G2032" i="8"/>
  <c r="G2031" i="8"/>
  <c r="G2029" i="8"/>
  <c r="G2028" i="8"/>
  <c r="G2026" i="8"/>
  <c r="G2025" i="8"/>
  <c r="G2024" i="8"/>
  <c r="G2021" i="8"/>
  <c r="G2019" i="8"/>
  <c r="G2018" i="8"/>
  <c r="G2016" i="8"/>
  <c r="G2015" i="8"/>
  <c r="G2014" i="8"/>
  <c r="G2013" i="8"/>
  <c r="G2011" i="8"/>
  <c r="G2010" i="8"/>
  <c r="G2008" i="8"/>
  <c r="G2007" i="8"/>
  <c r="G2006" i="8"/>
  <c r="G2005" i="8"/>
  <c r="G2002" i="8"/>
  <c r="G2001" i="8"/>
  <c r="G1999" i="8"/>
  <c r="G1998" i="8"/>
  <c r="G1996" i="8"/>
  <c r="G1994" i="8"/>
  <c r="G1992" i="8"/>
  <c r="G1991" i="8"/>
  <c r="G1989" i="8"/>
  <c r="G1987" i="8"/>
  <c r="G1986" i="8"/>
  <c r="G1983" i="8"/>
  <c r="G1981" i="8"/>
  <c r="G1980" i="8"/>
  <c r="G1979" i="8"/>
  <c r="G1978" i="8"/>
  <c r="G1975" i="8"/>
  <c r="G1973" i="8"/>
  <c r="G1972" i="8"/>
  <c r="G1970" i="8"/>
  <c r="G1969" i="8"/>
  <c r="G1967" i="8"/>
  <c r="G1965" i="8"/>
  <c r="G1964" i="8"/>
  <c r="G1962" i="8"/>
  <c r="G1961" i="8"/>
  <c r="G1960" i="8"/>
  <c r="G1959" i="8"/>
  <c r="G1958" i="8"/>
  <c r="G1957" i="8"/>
  <c r="G1954" i="8"/>
  <c r="G1952" i="8"/>
  <c r="G1951" i="8"/>
  <c r="G1949" i="8"/>
  <c r="G1948" i="8"/>
  <c r="G1947" i="8"/>
  <c r="G1946" i="8"/>
  <c r="G1944" i="8"/>
  <c r="G1942" i="8"/>
  <c r="G1941" i="8"/>
  <c r="G1939" i="8"/>
  <c r="G1938" i="8"/>
  <c r="G1937" i="8"/>
  <c r="G1936" i="8"/>
  <c r="G1935" i="8"/>
  <c r="G1934" i="8"/>
  <c r="G1929" i="8"/>
  <c r="G1927" i="8"/>
  <c r="G1925" i="8"/>
  <c r="G1924" i="8"/>
  <c r="G1923" i="8"/>
  <c r="G1922" i="8"/>
  <c r="G1921" i="8"/>
  <c r="G1917" i="8"/>
  <c r="G1915" i="8"/>
  <c r="G1913" i="8"/>
  <c r="G1911" i="8"/>
  <c r="G1910" i="8"/>
  <c r="G1908" i="8"/>
  <c r="G1907" i="8"/>
  <c r="G1906" i="8"/>
  <c r="G1905" i="8"/>
  <c r="G1904" i="8"/>
  <c r="G1903" i="8"/>
  <c r="G1900" i="8"/>
  <c r="G1898" i="8"/>
  <c r="G1896" i="8"/>
  <c r="G1895" i="8"/>
  <c r="G1894" i="8"/>
  <c r="G1893" i="8"/>
  <c r="G1892" i="8"/>
  <c r="G1888" i="8"/>
  <c r="G1886" i="8"/>
  <c r="G1884" i="8"/>
  <c r="G1883" i="8"/>
  <c r="G1882" i="8"/>
  <c r="G1881" i="8"/>
  <c r="G1878" i="8"/>
  <c r="G1876" i="8"/>
  <c r="G1875" i="8"/>
  <c r="G1874" i="8"/>
  <c r="G1871" i="8"/>
  <c r="G1869" i="8"/>
  <c r="G1868" i="8"/>
  <c r="G1867" i="8"/>
  <c r="G1864" i="8"/>
  <c r="G1862" i="8"/>
  <c r="G1861" i="8"/>
  <c r="G1860" i="8"/>
  <c r="G1856" i="8"/>
  <c r="G1854" i="8"/>
  <c r="G1853" i="8"/>
  <c r="G1852" i="8"/>
  <c r="G1851" i="8"/>
  <c r="G1848" i="8"/>
  <c r="G1846" i="8"/>
  <c r="G1844" i="8"/>
  <c r="G1843" i="8"/>
  <c r="G1842" i="8"/>
  <c r="G1841" i="8"/>
  <c r="G1837" i="8"/>
  <c r="G1836" i="8"/>
  <c r="G1834" i="8"/>
  <c r="G1832" i="8"/>
  <c r="G1831" i="8"/>
  <c r="G1830" i="8"/>
  <c r="G1828" i="8"/>
  <c r="G1826" i="8"/>
  <c r="G1825" i="8"/>
  <c r="G1823" i="8"/>
  <c r="G1822" i="8"/>
  <c r="G1820" i="8"/>
  <c r="G1819" i="8"/>
  <c r="G1818" i="8"/>
  <c r="G1817" i="8"/>
  <c r="G1814" i="8"/>
  <c r="G1813" i="8"/>
  <c r="G1811" i="8"/>
  <c r="G1809" i="8"/>
  <c r="G1808" i="8"/>
  <c r="G1807" i="8"/>
  <c r="G1806" i="8"/>
  <c r="G1804" i="8"/>
  <c r="G1803" i="8"/>
  <c r="G1801" i="8"/>
  <c r="G1800" i="8"/>
  <c r="G1799" i="8"/>
  <c r="G1798" i="8"/>
  <c r="G1797" i="8"/>
  <c r="G1794" i="8"/>
  <c r="G1793" i="8"/>
  <c r="G1791" i="8"/>
  <c r="G1789" i="8"/>
  <c r="G1787" i="8"/>
  <c r="G1786" i="8"/>
  <c r="G1784" i="8"/>
  <c r="G1783" i="8"/>
  <c r="G1780" i="8"/>
  <c r="G1778" i="8"/>
  <c r="G1776" i="8"/>
  <c r="G1774" i="8"/>
  <c r="G1773" i="8"/>
  <c r="G1771" i="8"/>
  <c r="G1770" i="8"/>
  <c r="G1766" i="8"/>
  <c r="G1764" i="8"/>
  <c r="G1763" i="8"/>
  <c r="G1761" i="8"/>
  <c r="G1760" i="8"/>
  <c r="G1758" i="8"/>
  <c r="G1757" i="8"/>
  <c r="G1756" i="8"/>
  <c r="G1755" i="8"/>
  <c r="G1754" i="8"/>
  <c r="G1751" i="8"/>
  <c r="G1750" i="8"/>
  <c r="G1748" i="8"/>
  <c r="G1747" i="8"/>
  <c r="G1746" i="8"/>
  <c r="G1744" i="8"/>
  <c r="G1743" i="8"/>
  <c r="G1741" i="8"/>
  <c r="G1740" i="8"/>
  <c r="G1738" i="8"/>
  <c r="G1737" i="8"/>
  <c r="G1736" i="8"/>
  <c r="G1735" i="8"/>
  <c r="G1734" i="8"/>
  <c r="G1731" i="8"/>
  <c r="G1730" i="8"/>
  <c r="G1728" i="8"/>
  <c r="G1727" i="8"/>
  <c r="G1726" i="8"/>
  <c r="G1725" i="8"/>
  <c r="G1724" i="8"/>
  <c r="G1722" i="8"/>
  <c r="G1720" i="8"/>
  <c r="G1719" i="8"/>
  <c r="G1718" i="8"/>
  <c r="G1716" i="8"/>
  <c r="G1715" i="8"/>
  <c r="G1713" i="8"/>
  <c r="G1711" i="8"/>
  <c r="G1710" i="8"/>
  <c r="G1709" i="8"/>
  <c r="G1708" i="8"/>
  <c r="G1707" i="8"/>
  <c r="G1706" i="8"/>
  <c r="G1701" i="8"/>
  <c r="G1699" i="8"/>
  <c r="G1697" i="8"/>
  <c r="G1696" i="8"/>
  <c r="G1694" i="8"/>
  <c r="G1693" i="8"/>
  <c r="G1692" i="8"/>
  <c r="G1689" i="8"/>
  <c r="G1687" i="8"/>
  <c r="G1685" i="8"/>
  <c r="G1684" i="8"/>
  <c r="G1682" i="8"/>
  <c r="G1680" i="8"/>
  <c r="G1679" i="8"/>
  <c r="G1678" i="8"/>
  <c r="G1675" i="8"/>
  <c r="G1673" i="8"/>
  <c r="G1672" i="8"/>
  <c r="G1670" i="8"/>
  <c r="G1668" i="8"/>
  <c r="G1667" i="8"/>
  <c r="G1666" i="8"/>
  <c r="G1662" i="8"/>
  <c r="G1660" i="8"/>
  <c r="G1658" i="8"/>
  <c r="G1657" i="8"/>
  <c r="G1656" i="8"/>
  <c r="G1654" i="8"/>
  <c r="G1653" i="8"/>
  <c r="G1652" i="8"/>
  <c r="G1651" i="8"/>
  <c r="G1649" i="8"/>
  <c r="G1647" i="8"/>
  <c r="G1646" i="8"/>
  <c r="G1645" i="8"/>
  <c r="G1644" i="8"/>
  <c r="G1643" i="8"/>
  <c r="G1640" i="8"/>
  <c r="G1639" i="8"/>
  <c r="G1638" i="8"/>
  <c r="G1637" i="8"/>
  <c r="G1635" i="8"/>
  <c r="G1633" i="8"/>
  <c r="G1631" i="8"/>
  <c r="G1630" i="8"/>
  <c r="G1629" i="8"/>
  <c r="G1627" i="8"/>
  <c r="G1626" i="8"/>
  <c r="G1625" i="8"/>
  <c r="G1624" i="8"/>
  <c r="G1623" i="8"/>
  <c r="G1622" i="8"/>
  <c r="G1621" i="8"/>
  <c r="G1618" i="8"/>
  <c r="G1616" i="8"/>
  <c r="G1614" i="8"/>
  <c r="G1613" i="8"/>
  <c r="G1612" i="8"/>
  <c r="G1611" i="8"/>
  <c r="G1610" i="8"/>
  <c r="G1607" i="8"/>
  <c r="G1605" i="8"/>
  <c r="G1604" i="8"/>
  <c r="G1603" i="8"/>
  <c r="G1602" i="8"/>
  <c r="G1601" i="8"/>
  <c r="G1597" i="8"/>
  <c r="G1596" i="8"/>
  <c r="G1594" i="8"/>
  <c r="G1593" i="8"/>
  <c r="G1592" i="8"/>
  <c r="G1591" i="8"/>
  <c r="G1588" i="8"/>
  <c r="G1587" i="8"/>
  <c r="G1585" i="8"/>
  <c r="G1583" i="8"/>
  <c r="G1581" i="8"/>
  <c r="G1580" i="8"/>
  <c r="G1579" i="8"/>
  <c r="G1577" i="8"/>
  <c r="G1576" i="8"/>
  <c r="G1574" i="8"/>
  <c r="G1573" i="8"/>
  <c r="G1572" i="8"/>
  <c r="G1570" i="8"/>
  <c r="G1569" i="8"/>
  <c r="G1568" i="8"/>
  <c r="G1567" i="8"/>
  <c r="G1566" i="8"/>
  <c r="G1565" i="8"/>
  <c r="G1564" i="8"/>
  <c r="G1562" i="8"/>
  <c r="G1561" i="8"/>
  <c r="G1560" i="8"/>
  <c r="G1559" i="8"/>
  <c r="G1557" i="8"/>
  <c r="G1556" i="8"/>
  <c r="G1555" i="8"/>
  <c r="G1554" i="8"/>
  <c r="G1553" i="8"/>
  <c r="G1552" i="8"/>
  <c r="G1551" i="8"/>
  <c r="G1547" i="8"/>
  <c r="G1546" i="8"/>
  <c r="G1544" i="8"/>
  <c r="G1543" i="8"/>
  <c r="G1541" i="8"/>
  <c r="G1539" i="8"/>
  <c r="G1538" i="8"/>
  <c r="G1536" i="8"/>
  <c r="G1534" i="8"/>
  <c r="G1533" i="8"/>
  <c r="G1531" i="8"/>
  <c r="G1530" i="8"/>
  <c r="G1527" i="8"/>
  <c r="G1526" i="8"/>
  <c r="G1524" i="8"/>
  <c r="G1523" i="8"/>
  <c r="G1521" i="8"/>
  <c r="G1520" i="8"/>
  <c r="G1518" i="8"/>
  <c r="G1517" i="8"/>
  <c r="G1516" i="8"/>
  <c r="G1514" i="8"/>
  <c r="G1513" i="8"/>
  <c r="G1511" i="8"/>
  <c r="G1510" i="8"/>
  <c r="G1508" i="8"/>
  <c r="G1507" i="8"/>
  <c r="G1506" i="8"/>
  <c r="G1503" i="8"/>
  <c r="G1502" i="8"/>
  <c r="G1500" i="8"/>
  <c r="G1499" i="8"/>
  <c r="G1497" i="8"/>
  <c r="G1495" i="8"/>
  <c r="G1493" i="8"/>
  <c r="G1492" i="8"/>
  <c r="G1491" i="8"/>
  <c r="G1489" i="8"/>
  <c r="G1488" i="8"/>
  <c r="G1486" i="8"/>
  <c r="G1485" i="8"/>
  <c r="G1484" i="8"/>
  <c r="G1477" i="8"/>
  <c r="G1476" i="8"/>
  <c r="G1475" i="8"/>
  <c r="G1473" i="8"/>
  <c r="G1471" i="8"/>
  <c r="G1469" i="8"/>
  <c r="G1468" i="8"/>
  <c r="G1466" i="8"/>
  <c r="G1465" i="8"/>
  <c r="G1463" i="8"/>
  <c r="G1460" i="8"/>
  <c r="G1459" i="8"/>
  <c r="G1457" i="8"/>
  <c r="G1456" i="8"/>
  <c r="G1455" i="8"/>
  <c r="G1453" i="8"/>
  <c r="G1451" i="8"/>
  <c r="G1449" i="8"/>
  <c r="G1448" i="8"/>
  <c r="G1446" i="8"/>
  <c r="G1442" i="8"/>
  <c r="G1440" i="8"/>
  <c r="G1439" i="8"/>
  <c r="G1437" i="8"/>
  <c r="G1436" i="8"/>
  <c r="G1433" i="8"/>
  <c r="G1432" i="8"/>
  <c r="G1429" i="8"/>
  <c r="G1427" i="8"/>
  <c r="G1424" i="8"/>
  <c r="G1422" i="8"/>
  <c r="G1419" i="8"/>
  <c r="G1418" i="8"/>
  <c r="G1416" i="8"/>
  <c r="G1415" i="8"/>
  <c r="G1413" i="8"/>
  <c r="G1412" i="8"/>
  <c r="G1411" i="8"/>
  <c r="G1407" i="8"/>
  <c r="G1406" i="8"/>
  <c r="G1404" i="8"/>
  <c r="G1403" i="8"/>
  <c r="G1402" i="8"/>
  <c r="G1401" i="8"/>
  <c r="G1400" i="8"/>
  <c r="G1399" i="8"/>
  <c r="G1398" i="8"/>
  <c r="G1397" i="8"/>
  <c r="G1396" i="8"/>
  <c r="G1395" i="8"/>
  <c r="G1393" i="8"/>
  <c r="G1392" i="8"/>
  <c r="G1390" i="8"/>
  <c r="G1389" i="8"/>
  <c r="G1387" i="8"/>
  <c r="G1386" i="8"/>
  <c r="G1384" i="8"/>
  <c r="G1383" i="8"/>
  <c r="G1381" i="8"/>
  <c r="G1380" i="8"/>
  <c r="G1374" i="8"/>
  <c r="G1373" i="8"/>
  <c r="G1372" i="8"/>
  <c r="G1366" i="8"/>
  <c r="G1362" i="8"/>
  <c r="G1361" i="8"/>
  <c r="G1357" i="8"/>
  <c r="G1351" i="8"/>
  <c r="G1350" i="8"/>
  <c r="G1349" i="8"/>
  <c r="G1348" i="8"/>
  <c r="G1347" i="8"/>
  <c r="G1345" i="8"/>
  <c r="G1344" i="8"/>
  <c r="G1343" i="8"/>
  <c r="G1342" i="8"/>
  <c r="G1340" i="8"/>
  <c r="G1339" i="8"/>
  <c r="G1338" i="8"/>
  <c r="G1337" i="8"/>
  <c r="G1334" i="8"/>
  <c r="G1333" i="8"/>
  <c r="G1332" i="8"/>
  <c r="G1331" i="8"/>
  <c r="G1330" i="8"/>
  <c r="G1329" i="8"/>
  <c r="G1328" i="8"/>
  <c r="G1327" i="8"/>
  <c r="G1326" i="8"/>
  <c r="G1325" i="8"/>
  <c r="G1323" i="8"/>
  <c r="G1322" i="8"/>
  <c r="G1319" i="8"/>
  <c r="G1317" i="8"/>
  <c r="G1316" i="8"/>
  <c r="G1315" i="8"/>
  <c r="G1314" i="8"/>
  <c r="G1313" i="8"/>
  <c r="G1312" i="8"/>
  <c r="G1311" i="8"/>
  <c r="G1310" i="8"/>
  <c r="G1309" i="8"/>
  <c r="G1306" i="8"/>
  <c r="G1305" i="8"/>
  <c r="G1303" i="8"/>
  <c r="G1300" i="8"/>
  <c r="G1299" i="8"/>
  <c r="G1298" i="8"/>
  <c r="G1297" i="8"/>
  <c r="G1296" i="8"/>
  <c r="G1295" i="8"/>
  <c r="G1294" i="8"/>
  <c r="G1293" i="8"/>
  <c r="G1292" i="8"/>
  <c r="G1290" i="8"/>
  <c r="G1289" i="8"/>
  <c r="G1288" i="8"/>
  <c r="G1287" i="8"/>
  <c r="G1286" i="8"/>
  <c r="G1285" i="8"/>
  <c r="G1284" i="8"/>
  <c r="G1283" i="8"/>
  <c r="G1282" i="8"/>
  <c r="G1279" i="8"/>
  <c r="G1277" i="8"/>
  <c r="G1276" i="8"/>
  <c r="G1275" i="8"/>
  <c r="G1274" i="8"/>
  <c r="G1272" i="8"/>
  <c r="G1269" i="8"/>
  <c r="G1268" i="8"/>
  <c r="G1267" i="8"/>
  <c r="G1266" i="8"/>
  <c r="G1265" i="8"/>
  <c r="G1264" i="8"/>
  <c r="G1261" i="8"/>
  <c r="G1259" i="8"/>
  <c r="G1258" i="8"/>
  <c r="G1257" i="8"/>
  <c r="G1255" i="8"/>
  <c r="G1254" i="8"/>
  <c r="G1253" i="8"/>
  <c r="G1252" i="8"/>
  <c r="G1250" i="8"/>
  <c r="G1247" i="8"/>
  <c r="G1246" i="8"/>
  <c r="G1244" i="8"/>
  <c r="G1242" i="8"/>
  <c r="G1241" i="8"/>
  <c r="G1240" i="8"/>
  <c r="G1239" i="8"/>
  <c r="G1238" i="8"/>
  <c r="G1237" i="8"/>
  <c r="G1234" i="8"/>
  <c r="G1233" i="8"/>
  <c r="G1231" i="8"/>
  <c r="G1230" i="8"/>
  <c r="G1229" i="8"/>
  <c r="G1228" i="8"/>
  <c r="G1227" i="8"/>
  <c r="G1226" i="8"/>
  <c r="G1225" i="8"/>
  <c r="G1224" i="8"/>
  <c r="G1223" i="8"/>
  <c r="G1222" i="8"/>
  <c r="G1221" i="8"/>
  <c r="G1220" i="8"/>
  <c r="G1219" i="8"/>
  <c r="G1218" i="8"/>
  <c r="G1217" i="8"/>
  <c r="G1216" i="8"/>
  <c r="G1215" i="8"/>
  <c r="G1214" i="8"/>
  <c r="G1213" i="8"/>
  <c r="G1211" i="8"/>
  <c r="G1210" i="8"/>
  <c r="G1209" i="8"/>
  <c r="G1206" i="8"/>
  <c r="G1203" i="8"/>
  <c r="G1201" i="8"/>
  <c r="G1199" i="8"/>
  <c r="G1197" i="8"/>
  <c r="G1194" i="8"/>
  <c r="G1193" i="8"/>
  <c r="G1192" i="8"/>
  <c r="G1189" i="8"/>
  <c r="G1188" i="8"/>
  <c r="G1186" i="8"/>
  <c r="G1185" i="8"/>
  <c r="G1183" i="8"/>
  <c r="G1182" i="8"/>
  <c r="G1181" i="8"/>
  <c r="G1180" i="8"/>
  <c r="G1178" i="8"/>
  <c r="G1177" i="8"/>
  <c r="G1176" i="8"/>
  <c r="G1175" i="8"/>
  <c r="G1173" i="8"/>
  <c r="G1172" i="8"/>
  <c r="G1171" i="8"/>
  <c r="G1170" i="8"/>
  <c r="G1169" i="8"/>
  <c r="G1168" i="8"/>
  <c r="G1166" i="8"/>
  <c r="G1165" i="8"/>
  <c r="G1164" i="8"/>
  <c r="G1163" i="8"/>
  <c r="G1162" i="8"/>
  <c r="G1161" i="8"/>
  <c r="G1160" i="8"/>
  <c r="G1157" i="8"/>
  <c r="G1156" i="8"/>
  <c r="G1155" i="8"/>
  <c r="G1154" i="8"/>
  <c r="G1151" i="8"/>
  <c r="G1150" i="8"/>
  <c r="G1149" i="8"/>
  <c r="G1147" i="8"/>
  <c r="G1145" i="8"/>
  <c r="G1144" i="8"/>
  <c r="G1143" i="8"/>
  <c r="G1142" i="8"/>
  <c r="G1140" i="8"/>
  <c r="G1139" i="8"/>
  <c r="G1138" i="8"/>
  <c r="G1137" i="8"/>
  <c r="G1136" i="8"/>
  <c r="G1135" i="8"/>
  <c r="G1134" i="8"/>
  <c r="G1133" i="8"/>
  <c r="G1132" i="8"/>
  <c r="G1131" i="8"/>
  <c r="G1130" i="8"/>
  <c r="G1129" i="8"/>
  <c r="G1128" i="8"/>
  <c r="G1126" i="8"/>
  <c r="G1124" i="8"/>
  <c r="G1123" i="8"/>
  <c r="G1122" i="8"/>
  <c r="G1119" i="8"/>
  <c r="G1118" i="8"/>
  <c r="G1116" i="8"/>
  <c r="G1114" i="8"/>
  <c r="G1111" i="8"/>
  <c r="G1109" i="8"/>
  <c r="G1108" i="8"/>
  <c r="G1107" i="8"/>
  <c r="G1106" i="8"/>
  <c r="G1105" i="8"/>
  <c r="G1104" i="8"/>
  <c r="G1103" i="8"/>
  <c r="G1102" i="8"/>
  <c r="G1101" i="8"/>
  <c r="G1097" i="8"/>
  <c r="G1094" i="8"/>
  <c r="G1092" i="8"/>
  <c r="G1091" i="8"/>
  <c r="G1090" i="8"/>
  <c r="G1088" i="8"/>
  <c r="G1086" i="8"/>
  <c r="G1084" i="8"/>
  <c r="G1083" i="8"/>
  <c r="G1082" i="8"/>
  <c r="G1080" i="8"/>
  <c r="G1079" i="8"/>
  <c r="G1078" i="8"/>
  <c r="G1076" i="8"/>
  <c r="G1075" i="8"/>
  <c r="G1074" i="8"/>
  <c r="G1072" i="8"/>
  <c r="G1071" i="8"/>
  <c r="G1070" i="8"/>
  <c r="G1068" i="8"/>
  <c r="G1067" i="8"/>
  <c r="G1066" i="8"/>
  <c r="G1064" i="8"/>
  <c r="G1063" i="8"/>
  <c r="G1062" i="8"/>
  <c r="G1060" i="8"/>
  <c r="G1059" i="8"/>
  <c r="G1058" i="8"/>
  <c r="G1055" i="8"/>
  <c r="G1052" i="8"/>
  <c r="G1050" i="8"/>
  <c r="G1048" i="8"/>
  <c r="G1046" i="8"/>
  <c r="G1044" i="8"/>
  <c r="G1042" i="8"/>
  <c r="G1040" i="8"/>
  <c r="G1038" i="8"/>
  <c r="G1036" i="8"/>
  <c r="G1034" i="8"/>
  <c r="G1032" i="8"/>
  <c r="G1029" i="8"/>
  <c r="G1027" i="8"/>
  <c r="G1025" i="8"/>
  <c r="G1023" i="8"/>
  <c r="G1020" i="8"/>
  <c r="G1018" i="8"/>
  <c r="G1017" i="8"/>
  <c r="G1016" i="8"/>
  <c r="G1014" i="8"/>
  <c r="G1012" i="8"/>
  <c r="G1010" i="8"/>
  <c r="G1009" i="8"/>
  <c r="G1008" i="8"/>
  <c r="G1006" i="8"/>
  <c r="G1005" i="8"/>
  <c r="G1004" i="8"/>
  <c r="G1002" i="8"/>
  <c r="G1001" i="8"/>
  <c r="G1000" i="8"/>
  <c r="G998" i="8"/>
  <c r="G997" i="8"/>
  <c r="G996" i="8"/>
  <c r="G994" i="8"/>
  <c r="G993" i="8"/>
  <c r="G992" i="8"/>
  <c r="G990" i="8"/>
  <c r="G989" i="8"/>
  <c r="G988" i="8"/>
  <c r="G986" i="8"/>
  <c r="G985" i="8"/>
  <c r="G984" i="8"/>
  <c r="G979" i="8"/>
  <c r="G977" i="8"/>
  <c r="G975" i="8"/>
  <c r="G974" i="8"/>
  <c r="G972" i="8"/>
  <c r="G969" i="8"/>
  <c r="G967" i="8"/>
  <c r="G966" i="8"/>
  <c r="G964" i="8"/>
  <c r="G963" i="8"/>
  <c r="G962" i="8"/>
  <c r="G961" i="8"/>
  <c r="G960" i="8"/>
  <c r="G957" i="8"/>
  <c r="G956" i="8"/>
  <c r="G955" i="8"/>
  <c r="G954" i="8"/>
  <c r="G951" i="8"/>
  <c r="G947" i="8"/>
  <c r="G946" i="8"/>
  <c r="G945" i="8"/>
  <c r="G943" i="8"/>
  <c r="G942" i="8"/>
  <c r="G941" i="8"/>
  <c r="G938" i="8"/>
  <c r="G936" i="8"/>
  <c r="G935" i="8"/>
  <c r="G933" i="8"/>
  <c r="G932" i="8"/>
  <c r="G929" i="8"/>
  <c r="G928" i="8"/>
  <c r="G927" i="8"/>
  <c r="G926" i="8"/>
  <c r="G924" i="8"/>
  <c r="G923" i="8"/>
  <c r="G922" i="8"/>
  <c r="G921" i="8"/>
  <c r="G917" i="8"/>
  <c r="G916" i="8"/>
  <c r="G914" i="8"/>
  <c r="G913" i="8"/>
  <c r="G911" i="8"/>
  <c r="G910" i="8"/>
  <c r="G908" i="8"/>
  <c r="G906" i="8"/>
  <c r="G904" i="8"/>
  <c r="G902" i="8"/>
  <c r="G901" i="8"/>
  <c r="G899" i="8"/>
  <c r="G898" i="8"/>
  <c r="G896" i="8"/>
  <c r="G894" i="8"/>
  <c r="G893" i="8"/>
  <c r="G892" i="8"/>
  <c r="G889" i="8"/>
  <c r="G888" i="8"/>
  <c r="G887" i="8"/>
  <c r="G881" i="8"/>
  <c r="G879" i="8"/>
  <c r="G877" i="8"/>
  <c r="G875" i="8"/>
  <c r="G874" i="8"/>
  <c r="G873" i="8"/>
  <c r="G872" i="8"/>
  <c r="G871" i="8"/>
  <c r="G870" i="8"/>
  <c r="G869" i="8"/>
  <c r="G866" i="8"/>
  <c r="G864" i="8"/>
  <c r="G863" i="8"/>
  <c r="G862" i="8"/>
  <c r="G860" i="8"/>
  <c r="G859" i="8"/>
  <c r="G857" i="8"/>
  <c r="G856" i="8"/>
  <c r="G855" i="8"/>
  <c r="G854" i="8"/>
  <c r="G853" i="8"/>
  <c r="G852" i="8"/>
  <c r="G851" i="8"/>
  <c r="G850" i="8"/>
  <c r="G849" i="8"/>
  <c r="G846" i="8"/>
  <c r="G844" i="8"/>
  <c r="G842" i="8"/>
  <c r="G840" i="8"/>
  <c r="G839" i="8"/>
  <c r="G838" i="8"/>
  <c r="G837" i="8"/>
  <c r="G834" i="8"/>
  <c r="G832" i="8"/>
  <c r="G830" i="8"/>
  <c r="G828" i="8"/>
  <c r="G827" i="8"/>
  <c r="G826" i="8"/>
  <c r="G825" i="8"/>
  <c r="G823" i="8"/>
  <c r="G822" i="8"/>
  <c r="G821" i="8"/>
  <c r="G818" i="8"/>
  <c r="G816" i="8"/>
  <c r="G814" i="8"/>
  <c r="G812" i="8"/>
  <c r="G811" i="8"/>
  <c r="G810" i="8"/>
  <c r="G808" i="8"/>
  <c r="G807" i="8"/>
  <c r="G806" i="8"/>
  <c r="G805" i="8"/>
  <c r="G802" i="8"/>
  <c r="G800" i="8"/>
  <c r="G798" i="8"/>
  <c r="G797" i="8"/>
  <c r="G796" i="8"/>
  <c r="G795" i="8"/>
  <c r="G792" i="8"/>
  <c r="G790" i="8"/>
  <c r="G788" i="8"/>
  <c r="G786" i="8"/>
  <c r="G785" i="8"/>
  <c r="G784" i="8"/>
  <c r="G783" i="8"/>
  <c r="G782" i="8"/>
  <c r="G779" i="8"/>
  <c r="G778" i="8"/>
  <c r="G776" i="8"/>
  <c r="G774" i="8"/>
  <c r="G772" i="8"/>
  <c r="G771" i="8"/>
  <c r="G768" i="8"/>
  <c r="G766" i="8"/>
  <c r="G764" i="8"/>
  <c r="G763" i="8"/>
  <c r="G762" i="8"/>
  <c r="G761" i="8"/>
  <c r="G757" i="8"/>
  <c r="G754" i="8"/>
  <c r="G753" i="8"/>
  <c r="G751" i="8"/>
  <c r="G750" i="8"/>
  <c r="G749" i="8"/>
  <c r="G747" i="8"/>
  <c r="G746" i="8"/>
  <c r="G745" i="8"/>
  <c r="G744" i="8"/>
  <c r="G741" i="8"/>
  <c r="G740" i="8"/>
  <c r="G739" i="8"/>
  <c r="G738" i="8"/>
  <c r="G735" i="8"/>
  <c r="G733" i="8"/>
  <c r="G732" i="8"/>
  <c r="G730" i="8"/>
  <c r="G727" i="8"/>
  <c r="G725" i="8"/>
  <c r="G723" i="8"/>
  <c r="G722" i="8"/>
  <c r="G721" i="8"/>
  <c r="G720" i="8"/>
  <c r="G717" i="8"/>
  <c r="G715" i="8"/>
  <c r="G714" i="8"/>
  <c r="G712" i="8"/>
  <c r="G711" i="8"/>
  <c r="G707" i="8"/>
  <c r="G706" i="8"/>
  <c r="G704" i="8"/>
  <c r="G703" i="8"/>
  <c r="G702" i="8"/>
  <c r="G700" i="8"/>
  <c r="G698" i="8"/>
  <c r="G697" i="8"/>
  <c r="G695" i="8"/>
  <c r="G694" i="8"/>
  <c r="G692" i="8"/>
  <c r="G691" i="8"/>
  <c r="G688" i="8"/>
  <c r="G686" i="8"/>
  <c r="G685" i="8"/>
  <c r="G683" i="8"/>
  <c r="G682" i="8"/>
  <c r="G680" i="8"/>
  <c r="G675" i="8"/>
  <c r="G673" i="8"/>
  <c r="G671" i="8"/>
  <c r="G670" i="8"/>
  <c r="G668" i="8"/>
  <c r="G665" i="8"/>
  <c r="G663" i="8"/>
  <c r="G662" i="8"/>
  <c r="G660" i="8"/>
  <c r="G656" i="8"/>
  <c r="G655" i="8"/>
  <c r="G653" i="8"/>
  <c r="G651" i="8"/>
  <c r="G650" i="8"/>
  <c r="G648" i="8"/>
  <c r="G647" i="8"/>
  <c r="G645" i="8"/>
  <c r="G642" i="8"/>
  <c r="G641" i="8"/>
  <c r="G639" i="8"/>
  <c r="G637" i="8"/>
  <c r="G635" i="8"/>
  <c r="G634" i="8"/>
  <c r="G632" i="8"/>
  <c r="G630" i="8"/>
  <c r="G625" i="8"/>
  <c r="G623" i="8"/>
  <c r="G621" i="8"/>
  <c r="G620" i="8"/>
  <c r="G618" i="8"/>
  <c r="G616" i="8"/>
  <c r="G615" i="8"/>
  <c r="G611" i="8"/>
  <c r="G610" i="8"/>
  <c r="G608" i="8"/>
  <c r="G606" i="8"/>
  <c r="G605" i="8"/>
  <c r="G603" i="8"/>
  <c r="G602" i="8"/>
  <c r="G601" i="8"/>
  <c r="G599" i="8"/>
  <c r="G598" i="8"/>
  <c r="G596" i="8"/>
  <c r="G594" i="8"/>
  <c r="G591" i="8"/>
  <c r="G589" i="8"/>
  <c r="G588" i="8"/>
  <c r="G586" i="8"/>
  <c r="G584" i="8"/>
  <c r="G583" i="8"/>
  <c r="G581" i="8"/>
  <c r="G577" i="8"/>
  <c r="G576" i="8"/>
  <c r="G574" i="8"/>
  <c r="G573" i="8"/>
  <c r="G569" i="8"/>
  <c r="G567" i="8"/>
  <c r="G566" i="8"/>
  <c r="G564" i="8"/>
  <c r="G563" i="8"/>
  <c r="G562" i="8"/>
  <c r="G558" i="8"/>
  <c r="G557" i="8"/>
  <c r="G556" i="8"/>
  <c r="G555" i="8"/>
  <c r="G554" i="8"/>
  <c r="G552" i="8"/>
  <c r="G551" i="8"/>
  <c r="G549" i="8"/>
  <c r="G548" i="8"/>
  <c r="G546" i="8"/>
  <c r="G545" i="8"/>
  <c r="G544" i="8"/>
  <c r="G542" i="8"/>
  <c r="G541" i="8"/>
  <c r="G539" i="8"/>
  <c r="G538" i="8"/>
  <c r="G536" i="8"/>
  <c r="G535" i="8"/>
  <c r="G534" i="8"/>
  <c r="G532" i="8"/>
  <c r="G531" i="8"/>
  <c r="G530" i="8"/>
  <c r="G528" i="8"/>
  <c r="G527" i="8"/>
  <c r="G526" i="8"/>
  <c r="G523" i="8"/>
  <c r="G518" i="8"/>
  <c r="G517" i="8"/>
  <c r="G515" i="8"/>
  <c r="G513" i="8"/>
  <c r="G512" i="8"/>
  <c r="G510" i="8"/>
  <c r="G509" i="8"/>
  <c r="G507" i="8"/>
  <c r="G504" i="8"/>
  <c r="G503" i="8"/>
  <c r="G501" i="8"/>
  <c r="G499" i="8"/>
  <c r="G497" i="8"/>
  <c r="G496" i="8"/>
  <c r="G494" i="8"/>
  <c r="G492" i="8"/>
  <c r="G491" i="8"/>
  <c r="G486" i="8"/>
  <c r="G484" i="8"/>
  <c r="G482" i="8"/>
  <c r="G480" i="8"/>
  <c r="G478" i="8"/>
  <c r="G477" i="8"/>
  <c r="G475" i="8"/>
  <c r="G472" i="8"/>
  <c r="G470" i="8"/>
  <c r="G469" i="8"/>
  <c r="G467" i="8"/>
  <c r="G466" i="8"/>
  <c r="G465" i="8"/>
  <c r="G464" i="8"/>
  <c r="G463" i="8"/>
  <c r="G460" i="8"/>
  <c r="G459" i="8"/>
  <c r="G457" i="8"/>
  <c r="G455" i="8"/>
  <c r="G453" i="8"/>
  <c r="G452" i="8"/>
  <c r="G450" i="8"/>
  <c r="G447" i="8"/>
  <c r="G446" i="8"/>
  <c r="G445" i="8"/>
  <c r="G443" i="8"/>
  <c r="G442" i="8"/>
  <c r="G440" i="8"/>
  <c r="G439" i="8"/>
  <c r="G438" i="8"/>
  <c r="G437" i="8"/>
  <c r="G436" i="8"/>
  <c r="G433" i="8"/>
  <c r="G432" i="8"/>
  <c r="G430" i="8"/>
  <c r="G428" i="8"/>
  <c r="G427" i="8"/>
  <c r="G425" i="8"/>
  <c r="G423" i="8"/>
  <c r="G421" i="8"/>
  <c r="G420" i="8"/>
  <c r="G418" i="8"/>
  <c r="G417" i="8"/>
  <c r="G415" i="8"/>
  <c r="G412" i="8"/>
  <c r="G410" i="8"/>
  <c r="G408" i="8"/>
  <c r="G406" i="8"/>
  <c r="G404" i="8"/>
  <c r="G403" i="8"/>
  <c r="G401" i="8"/>
  <c r="G398" i="8"/>
  <c r="G396" i="8"/>
  <c r="G394" i="8"/>
  <c r="G393" i="8"/>
  <c r="G391" i="8"/>
  <c r="G390" i="8"/>
  <c r="G384" i="8"/>
  <c r="G380" i="8"/>
  <c r="G372" i="8"/>
  <c r="G370" i="8"/>
  <c r="G368" i="8"/>
  <c r="G366" i="8"/>
  <c r="G364" i="8"/>
  <c r="G363" i="8"/>
  <c r="G362" i="8"/>
  <c r="G361" i="8"/>
  <c r="G360" i="8"/>
  <c r="G356" i="8"/>
  <c r="G354" i="8"/>
  <c r="G352" i="8"/>
  <c r="G350" i="8"/>
  <c r="G349" i="8"/>
  <c r="G348" i="8"/>
  <c r="G347" i="8"/>
  <c r="G344" i="8"/>
  <c r="G342" i="8"/>
  <c r="G340" i="8"/>
  <c r="G338" i="8"/>
  <c r="G337" i="8"/>
  <c r="G335" i="8"/>
  <c r="G334" i="8"/>
  <c r="G332" i="8"/>
  <c r="G331" i="8"/>
  <c r="G330" i="8"/>
  <c r="G327" i="8"/>
  <c r="G325" i="8"/>
  <c r="G323" i="8"/>
  <c r="G321" i="8"/>
  <c r="G319" i="8"/>
  <c r="G318" i="8"/>
  <c r="G316" i="8"/>
  <c r="G315" i="8"/>
  <c r="G313" i="8"/>
  <c r="G312" i="8"/>
  <c r="G311" i="8"/>
  <c r="G307" i="8"/>
  <c r="G305" i="8"/>
  <c r="G304" i="8"/>
  <c r="G303" i="8"/>
  <c r="G302" i="8"/>
  <c r="G301" i="8"/>
  <c r="G300" i="8"/>
  <c r="G296" i="8"/>
  <c r="G294" i="8"/>
  <c r="G292" i="8"/>
  <c r="G291" i="8"/>
  <c r="G290" i="8"/>
  <c r="G289" i="8"/>
  <c r="G286" i="8"/>
  <c r="G284" i="8"/>
  <c r="G282" i="8"/>
  <c r="G281" i="8"/>
  <c r="G280" i="8"/>
  <c r="G279" i="8"/>
  <c r="G272" i="8"/>
  <c r="G270" i="8"/>
  <c r="G269" i="8"/>
  <c r="G268" i="8"/>
  <c r="G267" i="8"/>
  <c r="G266" i="8"/>
  <c r="G263" i="8"/>
  <c r="G261" i="8"/>
  <c r="G259" i="8"/>
  <c r="G258" i="8"/>
  <c r="G257" i="8"/>
  <c r="G256" i="8"/>
  <c r="G255" i="8"/>
  <c r="G252" i="8"/>
  <c r="G251" i="8"/>
  <c r="G249" i="8"/>
  <c r="G247" i="8"/>
  <c r="G246" i="8"/>
  <c r="G245" i="8"/>
  <c r="G244" i="8"/>
  <c r="G243" i="8"/>
  <c r="G242" i="8"/>
  <c r="G241" i="8"/>
  <c r="G238" i="8"/>
  <c r="G237" i="8"/>
  <c r="G235" i="8"/>
  <c r="G234" i="8"/>
  <c r="G232" i="8"/>
  <c r="G230" i="8"/>
  <c r="G228" i="8"/>
  <c r="G227" i="8"/>
  <c r="G226" i="8"/>
  <c r="G225" i="8"/>
  <c r="G224" i="8"/>
  <c r="G223" i="8"/>
  <c r="G219" i="8"/>
  <c r="G218" i="8"/>
  <c r="G217" i="8"/>
  <c r="G215" i="8"/>
  <c r="G213" i="8"/>
  <c r="G212" i="8"/>
  <c r="G211" i="8"/>
  <c r="G210" i="8"/>
  <c r="G209" i="8"/>
  <c r="G206" i="8"/>
  <c r="G205" i="8"/>
  <c r="G203" i="8"/>
  <c r="G201" i="8"/>
  <c r="G199" i="8"/>
  <c r="G198" i="8"/>
  <c r="G197" i="8"/>
  <c r="G196" i="8"/>
  <c r="G195" i="8"/>
  <c r="G192" i="8"/>
  <c r="G190" i="8"/>
  <c r="G188" i="8"/>
  <c r="G187" i="8"/>
  <c r="G186" i="8"/>
  <c r="G185" i="8"/>
  <c r="G184" i="8"/>
  <c r="G181" i="8"/>
  <c r="G180" i="8"/>
  <c r="G179" i="8"/>
  <c r="G178" i="8"/>
  <c r="G176" i="8"/>
  <c r="G175" i="8"/>
  <c r="G173" i="8"/>
  <c r="G171" i="8"/>
  <c r="G169" i="8"/>
  <c r="G167" i="8"/>
  <c r="G166" i="8"/>
  <c r="G165" i="8"/>
  <c r="G164" i="8"/>
  <c r="G163" i="8"/>
  <c r="G162" i="8"/>
  <c r="G161" i="8"/>
  <c r="G157" i="8"/>
  <c r="G155" i="8"/>
  <c r="G153" i="8"/>
  <c r="G152" i="8"/>
  <c r="G151" i="8"/>
  <c r="G150" i="8"/>
  <c r="G147" i="8"/>
  <c r="G146" i="8"/>
  <c r="G145" i="8"/>
  <c r="G143" i="8"/>
  <c r="G141" i="8"/>
  <c r="G139" i="8"/>
  <c r="G138" i="8"/>
  <c r="G137" i="8"/>
  <c r="G136" i="8"/>
  <c r="G133" i="8"/>
  <c r="G132" i="8"/>
  <c r="G131" i="8"/>
  <c r="G128" i="8"/>
  <c r="G127" i="8"/>
  <c r="G126" i="8"/>
  <c r="G124" i="8"/>
  <c r="G122" i="8"/>
  <c r="G120" i="8"/>
  <c r="G118" i="8"/>
  <c r="G117" i="8"/>
  <c r="G116" i="8"/>
  <c r="G115" i="8"/>
  <c r="G112" i="8"/>
  <c r="G111" i="8"/>
  <c r="G110" i="8"/>
  <c r="G106" i="8"/>
  <c r="G105" i="8"/>
  <c r="G103" i="8"/>
  <c r="G101" i="8"/>
  <c r="G100" i="8"/>
  <c r="G99" i="8"/>
  <c r="G98" i="8"/>
  <c r="G95" i="8"/>
  <c r="G93" i="8"/>
  <c r="G91" i="8"/>
  <c r="G89" i="8"/>
  <c r="G87" i="8"/>
  <c r="G86" i="8"/>
  <c r="G85" i="8"/>
  <c r="G84" i="8"/>
  <c r="G81" i="8"/>
  <c r="G79" i="8"/>
  <c r="G77" i="8"/>
  <c r="G76" i="8"/>
  <c r="G74" i="8"/>
  <c r="G73" i="8"/>
  <c r="G71" i="8"/>
  <c r="G69" i="8"/>
  <c r="G67" i="8"/>
  <c r="G66" i="8"/>
  <c r="G65" i="8"/>
  <c r="G64" i="8"/>
  <c r="G61" i="8"/>
  <c r="G59" i="8"/>
  <c r="G57" i="8"/>
  <c r="G55" i="8"/>
  <c r="G54" i="8"/>
  <c r="G53" i="8"/>
  <c r="G52" i="8"/>
  <c r="G49" i="8"/>
  <c r="G48" i="8"/>
  <c r="G47" i="8"/>
  <c r="G45" i="8"/>
  <c r="G44" i="8"/>
  <c r="G42" i="8"/>
  <c r="G40" i="8"/>
  <c r="G39" i="8"/>
  <c r="G38" i="8"/>
  <c r="G37" i="8"/>
  <c r="G36" i="8"/>
  <c r="G33" i="8"/>
  <c r="G32" i="8"/>
  <c r="G31" i="8"/>
  <c r="G29" i="8"/>
  <c r="G27" i="8"/>
  <c r="G25" i="8"/>
  <c r="G23" i="8"/>
  <c r="G22" i="8"/>
  <c r="G21" i="8"/>
  <c r="G20" i="8"/>
  <c r="E7" i="25" l="1"/>
  <c r="D12" i="14"/>
  <c r="F12" i="14" s="1"/>
  <c r="F16" i="25"/>
  <c r="G16" i="25" s="1"/>
  <c r="P61" i="13"/>
  <c r="P60" i="13" s="1"/>
  <c r="P14" i="13" s="1"/>
  <c r="AQ14" i="13" s="1"/>
  <c r="AR14" i="13" s="1"/>
  <c r="D18" i="25"/>
  <c r="F18" i="25" s="1"/>
  <c r="G18" i="25" s="1"/>
  <c r="F11" i="25"/>
  <c r="G11" i="25" s="1"/>
  <c r="D33" i="25"/>
  <c r="E9" i="25"/>
  <c r="F9" i="25"/>
  <c r="G9" i="25" s="1"/>
  <c r="E23" i="25"/>
  <c r="F23" i="25"/>
  <c r="G23" i="25" s="1"/>
  <c r="AR29" i="13"/>
  <c r="D20" i="25"/>
  <c r="D21" i="25" s="1"/>
  <c r="D32" i="25"/>
  <c r="E8" i="25"/>
  <c r="F8" i="25"/>
  <c r="G8" i="25" s="1"/>
  <c r="D58" i="25"/>
  <c r="E48" i="25"/>
  <c r="F48" i="25"/>
  <c r="G48" i="25" s="1"/>
  <c r="F22" i="25"/>
  <c r="G22" i="25" s="1"/>
  <c r="D24" i="25"/>
  <c r="E22" i="25"/>
  <c r="E19" i="25"/>
  <c r="F19" i="25"/>
  <c r="G19" i="25" s="1"/>
  <c r="AQ146" i="13"/>
  <c r="AJ83" i="16"/>
  <c r="AK83" i="16"/>
  <c r="AL83" i="16" s="1"/>
  <c r="AI144" i="16"/>
  <c r="AJ144" i="16" s="1"/>
  <c r="AR67" i="13"/>
  <c r="AS67" i="13"/>
  <c r="AT67" i="13" s="1"/>
  <c r="AT160" i="13"/>
  <c r="AL58" i="16"/>
  <c r="AQ19" i="13"/>
  <c r="AS29" i="13"/>
  <c r="AT29" i="13" s="1"/>
  <c r="D17" i="14"/>
  <c r="F17" i="14" s="1"/>
  <c r="G17" i="14" s="1"/>
  <c r="D18" i="14"/>
  <c r="E18" i="14" s="1"/>
  <c r="D16" i="14"/>
  <c r="AS18" i="13"/>
  <c r="AT18" i="13" s="1"/>
  <c r="AS32" i="13"/>
  <c r="AT32" i="13" s="1"/>
  <c r="AT28" i="13"/>
  <c r="E30" i="14"/>
  <c r="F30" i="14"/>
  <c r="G30" i="14" s="1"/>
  <c r="E31" i="14"/>
  <c r="F31" i="14"/>
  <c r="G31" i="14" s="1"/>
  <c r="F33" i="14"/>
  <c r="G33" i="14" s="1"/>
  <c r="G263" i="11"/>
  <c r="G122" i="11" s="1"/>
  <c r="D53" i="14"/>
  <c r="G43" i="14"/>
  <c r="E43" i="14"/>
  <c r="F9" i="14"/>
  <c r="G9" i="14" s="1"/>
  <c r="E9" i="14"/>
  <c r="E21" i="14"/>
  <c r="F21" i="14"/>
  <c r="G21" i="14" s="1"/>
  <c r="D22" i="14"/>
  <c r="F20" i="14"/>
  <c r="G20" i="14" s="1"/>
  <c r="E20" i="14"/>
  <c r="F11" i="14"/>
  <c r="G11" i="14" s="1"/>
  <c r="E11" i="14"/>
  <c r="F8" i="14"/>
  <c r="G8" i="14" s="1"/>
  <c r="E8" i="14"/>
  <c r="E7" i="14"/>
  <c r="F7" i="14"/>
  <c r="G7" i="14" s="1"/>
  <c r="E10" i="14"/>
  <c r="F10" i="14"/>
  <c r="G10" i="14" s="1"/>
  <c r="E13" i="14"/>
  <c r="F13" i="14"/>
  <c r="G13" i="14" s="1"/>
  <c r="E15" i="14"/>
  <c r="F15" i="14"/>
  <c r="G15" i="14" s="1"/>
  <c r="E14" i="14"/>
  <c r="F14" i="14"/>
  <c r="G14" i="14" s="1"/>
  <c r="AS166" i="13"/>
  <c r="AT166" i="13" s="1"/>
  <c r="AR206" i="13"/>
  <c r="AQ205" i="13"/>
  <c r="AR205" i="13" s="1"/>
  <c r="AR207" i="13"/>
  <c r="AS183" i="13"/>
  <c r="AT183" i="13" s="1"/>
  <c r="AS165" i="13"/>
  <c r="AT165" i="13" s="1"/>
  <c r="AR165" i="13"/>
  <c r="AR182" i="13"/>
  <c r="AS182" i="13"/>
  <c r="AT182" i="13" s="1"/>
  <c r="AS77" i="13"/>
  <c r="AT77" i="13" s="1"/>
  <c r="AS204" i="13"/>
  <c r="AT204" i="13" s="1"/>
  <c r="AT124" i="13"/>
  <c r="AR124" i="13"/>
  <c r="AS76" i="13"/>
  <c r="AT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378" i="8"/>
  <c r="L379" i="8"/>
  <c r="L380" i="8"/>
  <c r="L381"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607" i="8"/>
  <c r="L608" i="8"/>
  <c r="L609" i="8"/>
  <c r="L610" i="8"/>
  <c r="L611" i="8"/>
  <c r="L612" i="8"/>
  <c r="L627" i="8"/>
  <c r="L628" i="8"/>
  <c r="L629" i="8"/>
  <c r="L630" i="8"/>
  <c r="L631" i="8"/>
  <c r="L632" i="8"/>
  <c r="L633" i="8"/>
  <c r="L634" i="8"/>
  <c r="L635" i="8"/>
  <c r="L636" i="8"/>
  <c r="L637" i="8"/>
  <c r="L638" i="8"/>
  <c r="L639" i="8"/>
  <c r="L640" i="8"/>
  <c r="L641" i="8"/>
  <c r="L642" i="8"/>
  <c r="L643" i="8"/>
  <c r="L644" i="8"/>
  <c r="L645" i="8"/>
  <c r="L646" i="8"/>
  <c r="L647" i="8"/>
  <c r="L648" i="8"/>
  <c r="L649" i="8"/>
  <c r="L650" i="8"/>
  <c r="L651" i="8"/>
  <c r="L652" i="8"/>
  <c r="L653" i="8"/>
  <c r="L654" i="8"/>
  <c r="L655" i="8"/>
  <c r="L656" i="8"/>
  <c r="L657" i="8"/>
  <c r="L658" i="8"/>
  <c r="L659" i="8"/>
  <c r="L660" i="8"/>
  <c r="L661" i="8"/>
  <c r="L662" i="8"/>
  <c r="L663" i="8"/>
  <c r="L664" i="8"/>
  <c r="L665" i="8"/>
  <c r="L666" i="8"/>
  <c r="L667" i="8"/>
  <c r="L668" i="8"/>
  <c r="L669" i="8"/>
  <c r="L670" i="8"/>
  <c r="L671" i="8"/>
  <c r="L672" i="8"/>
  <c r="L673" i="8"/>
  <c r="L674" i="8"/>
  <c r="L675" i="8"/>
  <c r="L676" i="8"/>
  <c r="L678" i="8"/>
  <c r="L679" i="8"/>
  <c r="L680" i="8"/>
  <c r="L681" i="8"/>
  <c r="L682" i="8"/>
  <c r="L683" i="8"/>
  <c r="L684" i="8"/>
  <c r="L685" i="8"/>
  <c r="L686" i="8"/>
  <c r="L687" i="8"/>
  <c r="L688" i="8"/>
  <c r="L689" i="8"/>
  <c r="L690" i="8"/>
  <c r="L691" i="8"/>
  <c r="L692" i="8"/>
  <c r="L693" i="8"/>
  <c r="L694" i="8"/>
  <c r="L695" i="8"/>
  <c r="L696" i="8"/>
  <c r="L697" i="8"/>
  <c r="L698" i="8"/>
  <c r="L699" i="8"/>
  <c r="L700" i="8"/>
  <c r="L701" i="8"/>
  <c r="L702" i="8"/>
  <c r="L703" i="8"/>
  <c r="L704" i="8"/>
  <c r="L705" i="8"/>
  <c r="L706" i="8"/>
  <c r="L707" i="8"/>
  <c r="L708" i="8"/>
  <c r="L709" i="8"/>
  <c r="L710" i="8"/>
  <c r="L711" i="8"/>
  <c r="L712" i="8"/>
  <c r="L713" i="8"/>
  <c r="L714" i="8"/>
  <c r="L715" i="8"/>
  <c r="L716" i="8"/>
  <c r="L717" i="8"/>
  <c r="L718" i="8"/>
  <c r="L719" i="8"/>
  <c r="L720" i="8"/>
  <c r="L721" i="8"/>
  <c r="L722" i="8"/>
  <c r="L723" i="8"/>
  <c r="L724" i="8"/>
  <c r="L725" i="8"/>
  <c r="L726" i="8"/>
  <c r="L727" i="8"/>
  <c r="L728" i="8"/>
  <c r="L729" i="8"/>
  <c r="L730" i="8"/>
  <c r="L731" i="8"/>
  <c r="L732" i="8"/>
  <c r="L733" i="8"/>
  <c r="L734" i="8"/>
  <c r="L735" i="8"/>
  <c r="L736" i="8"/>
  <c r="L737" i="8"/>
  <c r="L738" i="8"/>
  <c r="L739" i="8"/>
  <c r="L740" i="8"/>
  <c r="L741" i="8"/>
  <c r="L742" i="8"/>
  <c r="L743" i="8"/>
  <c r="L744" i="8"/>
  <c r="L745" i="8"/>
  <c r="L746" i="8"/>
  <c r="L747" i="8"/>
  <c r="L748" i="8"/>
  <c r="L749" i="8"/>
  <c r="L750" i="8"/>
  <c r="L751" i="8"/>
  <c r="L752" i="8"/>
  <c r="L753" i="8"/>
  <c r="L754" i="8"/>
  <c r="L755" i="8"/>
  <c r="L756" i="8"/>
  <c r="L757" i="8"/>
  <c r="L758" i="8"/>
  <c r="L883" i="8"/>
  <c r="L884" i="8"/>
  <c r="L885" i="8"/>
  <c r="L886" i="8"/>
  <c r="L887" i="8"/>
  <c r="L88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3" i="8"/>
  <c r="L984" i="8"/>
  <c r="L985" i="8"/>
  <c r="L986" i="8"/>
  <c r="L987" i="8"/>
  <c r="L988" i="8"/>
  <c r="L989" i="8"/>
  <c r="L990" i="8"/>
  <c r="L991" i="8"/>
  <c r="L992" i="8"/>
  <c r="L993" i="8"/>
  <c r="L994" i="8"/>
  <c r="L995" i="8"/>
  <c r="L996" i="8"/>
  <c r="L997" i="8"/>
  <c r="L998" i="8"/>
  <c r="L999" i="8"/>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L1155" i="8"/>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324" i="8"/>
  <c r="L1325" i="8"/>
  <c r="L1326" i="8"/>
  <c r="L1327" i="8"/>
  <c r="L1328" i="8"/>
  <c r="L1329" i="8"/>
  <c r="L1330" i="8"/>
  <c r="L1331" i="8"/>
  <c r="L1332"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L1750" i="8"/>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219" i="8"/>
  <c r="L2218" i="8"/>
  <c r="L2216" i="8"/>
  <c r="L2215" i="8"/>
  <c r="L2207" i="8"/>
  <c r="L2205" i="8"/>
  <c r="L2204" i="8"/>
  <c r="L2203" i="8"/>
  <c r="L2202" i="8"/>
  <c r="L2199" i="8"/>
  <c r="L2198" i="8"/>
  <c r="L2195" i="8"/>
  <c r="L2194" i="8"/>
  <c r="L2193" i="8"/>
  <c r="L2191" i="8"/>
  <c r="L2190" i="8"/>
  <c r="L2189" i="8"/>
  <c r="L2187" i="8"/>
  <c r="L2186" i="8"/>
  <c r="L2183" i="8"/>
  <c r="L2182" i="8"/>
  <c r="L2179" i="8"/>
  <c r="L2176" i="8"/>
  <c r="L2175" i="8"/>
  <c r="L2173" i="8"/>
  <c r="L2172" i="8"/>
  <c r="L2170" i="8"/>
  <c r="L2169" i="8"/>
  <c r="L2168" i="8"/>
  <c r="L2167" i="8"/>
  <c r="L2099" i="8"/>
  <c r="L2098" i="8"/>
  <c r="L2097" i="8"/>
  <c r="L2094" i="8"/>
  <c r="L2091" i="8"/>
  <c r="L2089" i="8"/>
  <c r="L2088" i="8"/>
  <c r="L2087" i="8"/>
  <c r="L2083" i="8"/>
  <c r="L2081" i="8"/>
  <c r="L2079" i="8"/>
  <c r="L2078" i="8"/>
  <c r="L2077" i="8"/>
  <c r="L2076" i="8"/>
  <c r="L2075" i="8"/>
  <c r="L2074" i="8"/>
  <c r="L2070" i="8"/>
  <c r="L2068" i="8"/>
  <c r="L2067" i="8"/>
  <c r="L2066" i="8"/>
  <c r="L2062" i="8"/>
  <c r="L2060" i="8"/>
  <c r="L2059" i="8"/>
  <c r="L2058" i="8"/>
  <c r="L2057" i="8"/>
  <c r="L2053" i="8"/>
  <c r="L2051" i="8"/>
  <c r="L2050" i="8"/>
  <c r="L2049" i="8"/>
  <c r="L2048" i="8"/>
  <c r="L2047" i="8"/>
  <c r="L1899" i="8"/>
  <c r="L1897" i="8"/>
  <c r="L1896" i="8"/>
  <c r="L1895" i="8"/>
  <c r="L1894" i="8"/>
  <c r="L1893" i="8"/>
  <c r="L1892" i="8"/>
  <c r="L1887" i="8"/>
  <c r="L1883" i="8"/>
  <c r="L1882" i="8"/>
  <c r="L1881" i="8"/>
  <c r="L1879" i="8"/>
  <c r="L1878" i="8"/>
  <c r="L1877" i="8"/>
  <c r="L1876" i="8"/>
  <c r="L1875" i="8"/>
  <c r="L1874" i="8"/>
  <c r="L1870" i="8"/>
  <c r="L1867" i="8"/>
  <c r="L1866" i="8"/>
  <c r="L1865" i="8"/>
  <c r="L1864" i="8"/>
  <c r="L1863" i="8"/>
  <c r="L1671" i="8"/>
  <c r="L1669" i="8"/>
  <c r="L1668" i="8"/>
  <c r="L1667" i="8"/>
  <c r="L1665" i="8"/>
  <c r="L1664" i="8"/>
  <c r="L1663" i="8"/>
  <c r="L1659" i="8"/>
  <c r="L1657" i="8"/>
  <c r="L1656" i="8"/>
  <c r="L1655" i="8"/>
  <c r="L1651" i="8"/>
  <c r="L1650" i="8"/>
  <c r="L1649" i="8"/>
  <c r="L1644" i="8"/>
  <c r="L1643" i="8"/>
  <c r="L1639" i="8"/>
  <c r="L1638" i="8"/>
  <c r="L1637" i="8"/>
  <c r="L1321" i="8"/>
  <c r="L1320" i="8"/>
  <c r="L1319" i="8"/>
  <c r="L1318" i="8"/>
  <c r="L1317" i="8"/>
  <c r="L1316" i="8"/>
  <c r="L1315" i="8"/>
  <c r="L1314" i="8"/>
  <c r="L1313" i="8"/>
  <c r="L1312" i="8"/>
  <c r="L1310" i="8"/>
  <c r="L1309" i="8"/>
  <c r="L1304" i="8"/>
  <c r="L1303" i="8"/>
  <c r="L1302" i="8"/>
  <c r="L1301" i="8"/>
  <c r="L1300" i="8"/>
  <c r="L1299" i="8"/>
  <c r="L1298" i="8"/>
  <c r="L1297" i="8"/>
  <c r="L1296" i="8"/>
  <c r="L1293" i="8"/>
  <c r="L1292" i="8"/>
  <c r="L1287" i="8"/>
  <c r="L1286" i="8"/>
  <c r="L1285" i="8"/>
  <c r="L1284" i="8"/>
  <c r="L1283" i="8"/>
  <c r="L1282" i="8"/>
  <c r="L1281" i="8"/>
  <c r="L1280" i="8"/>
  <c r="L1279" i="8"/>
  <c r="L1277" i="8"/>
  <c r="L1276" i="8"/>
  <c r="L1275" i="8"/>
  <c r="L1274" i="8"/>
  <c r="L1273" i="8"/>
  <c r="L1272" i="8"/>
  <c r="L1271" i="8"/>
  <c r="L1270" i="8"/>
  <c r="L1269" i="8"/>
  <c r="L1081" i="8"/>
  <c r="L1080" i="8"/>
  <c r="L1079" i="8"/>
  <c r="L1073" i="8"/>
  <c r="L1072" i="8"/>
  <c r="L1071" i="8"/>
  <c r="L1069" i="8"/>
  <c r="L1068" i="8"/>
  <c r="L1067" i="8"/>
  <c r="L1065" i="8"/>
  <c r="L1064" i="8"/>
  <c r="L1063" i="8"/>
  <c r="L1061" i="8"/>
  <c r="L1060" i="8"/>
  <c r="L1059" i="8"/>
  <c r="L1057" i="8"/>
  <c r="L1056" i="8"/>
  <c r="L1055" i="8"/>
  <c r="L1053" i="8"/>
  <c r="L1052" i="8"/>
  <c r="L1051" i="8"/>
  <c r="L1049" i="8"/>
  <c r="L1048" i="8"/>
  <c r="L1047" i="8"/>
  <c r="L876" i="8"/>
  <c r="L875" i="8"/>
  <c r="L874" i="8"/>
  <c r="L873" i="8"/>
  <c r="L872" i="8"/>
  <c r="L871" i="8"/>
  <c r="L870" i="8"/>
  <c r="L865" i="8"/>
  <c r="L864" i="8"/>
  <c r="L863" i="8"/>
  <c r="L861" i="8"/>
  <c r="L860" i="8"/>
  <c r="L858" i="8"/>
  <c r="L857" i="8"/>
  <c r="L856" i="8"/>
  <c r="L855" i="8"/>
  <c r="L854" i="8"/>
  <c r="L853" i="8"/>
  <c r="L852" i="8"/>
  <c r="L851" i="8"/>
  <c r="L850" i="8"/>
  <c r="L841" i="8"/>
  <c r="L840" i="8"/>
  <c r="L839" i="8"/>
  <c r="L838" i="8"/>
  <c r="L832" i="8"/>
  <c r="L829" i="8"/>
  <c r="L828" i="8"/>
  <c r="L827" i="8"/>
  <c r="L826" i="8"/>
  <c r="L824" i="8"/>
  <c r="L823" i="8"/>
  <c r="L822" i="8"/>
  <c r="L816" i="8"/>
  <c r="L813" i="8"/>
  <c r="L812" i="8"/>
  <c r="L811" i="8"/>
  <c r="L809" i="8"/>
  <c r="L808" i="8"/>
  <c r="L807" i="8"/>
  <c r="L806" i="8"/>
  <c r="L800" i="8"/>
  <c r="L799" i="8"/>
  <c r="L798" i="8"/>
  <c r="L797" i="8"/>
  <c r="L796" i="8"/>
  <c r="L788" i="8"/>
  <c r="L787" i="8"/>
  <c r="L786" i="8"/>
  <c r="L785" i="8"/>
  <c r="L784" i="8"/>
  <c r="L783" i="8"/>
  <c r="L780" i="8"/>
  <c r="L779" i="8"/>
  <c r="L776" i="8"/>
  <c r="L773" i="8"/>
  <c r="L772" i="8"/>
  <c r="L768" i="8"/>
  <c r="L765" i="8"/>
  <c r="L764" i="8"/>
  <c r="L763" i="8"/>
  <c r="L762" i="8"/>
  <c r="L622" i="8"/>
  <c r="L621" i="8"/>
  <c r="L617" i="8"/>
  <c r="L616" i="8"/>
  <c r="L368" i="8"/>
  <c r="L365" i="8"/>
  <c r="L364" i="8"/>
  <c r="L363" i="8"/>
  <c r="L362" i="8"/>
  <c r="L361" i="8"/>
  <c r="L356" i="8"/>
  <c r="L352" i="8"/>
  <c r="L351" i="8"/>
  <c r="L350" i="8"/>
  <c r="L349" i="8"/>
  <c r="L348" i="8"/>
  <c r="L340" i="8"/>
  <c r="L339" i="8"/>
  <c r="L338" i="8"/>
  <c r="L336" i="8"/>
  <c r="L335" i="8"/>
  <c r="L333" i="8"/>
  <c r="L332" i="8"/>
  <c r="L331" i="8"/>
  <c r="L320" i="8"/>
  <c r="L319" i="8"/>
  <c r="L317" i="8"/>
  <c r="L316" i="8"/>
  <c r="L314" i="8"/>
  <c r="L313" i="8"/>
  <c r="L312" i="8"/>
  <c r="L306" i="8"/>
  <c r="L305" i="8"/>
  <c r="L304" i="8"/>
  <c r="L303" i="8"/>
  <c r="L302" i="8"/>
  <c r="L301" i="8"/>
  <c r="L293" i="8"/>
  <c r="L292" i="8"/>
  <c r="L291" i="8"/>
  <c r="L290" i="8"/>
  <c r="L283" i="8"/>
  <c r="L282" i="8"/>
  <c r="L281" i="8"/>
  <c r="L280" i="8"/>
  <c r="C7" i="8"/>
  <c r="X2" i="8" a="1"/>
  <c r="X2" i="8" s="1"/>
  <c r="W2" i="8" a="1"/>
  <c r="W2" i="8" s="1"/>
  <c r="V2" i="8" a="1"/>
  <c r="V2" i="8" s="1"/>
  <c r="AQ61" i="13" l="1"/>
  <c r="AR61" i="13" s="1"/>
  <c r="D32" i="14"/>
  <c r="D34" i="25"/>
  <c r="E34" i="25" s="1"/>
  <c r="AQ60" i="13"/>
  <c r="AR60" i="13" s="1"/>
  <c r="E18" i="25"/>
  <c r="AK144" i="16"/>
  <c r="AL144" i="16" s="1"/>
  <c r="F32" i="25"/>
  <c r="G32" i="25" s="1"/>
  <c r="E32" i="25"/>
  <c r="D59" i="25"/>
  <c r="F58" i="25"/>
  <c r="E58" i="25"/>
  <c r="E59" i="25" s="1"/>
  <c r="E20" i="25"/>
  <c r="F20" i="25"/>
  <c r="G20" i="25" s="1"/>
  <c r="E33" i="25"/>
  <c r="F33" i="25"/>
  <c r="G33" i="25" s="1"/>
  <c r="E24" i="25"/>
  <c r="F24" i="25"/>
  <c r="G24" i="25" s="1"/>
  <c r="F21" i="25"/>
  <c r="G21" i="25" s="1"/>
  <c r="E21" i="25"/>
  <c r="AS146" i="13"/>
  <c r="AT146" i="13" s="1"/>
  <c r="AR146" i="13"/>
  <c r="AS19" i="13"/>
  <c r="AT19" i="13" s="1"/>
  <c r="AR19" i="13"/>
  <c r="AS61" i="13"/>
  <c r="AT61" i="13" s="1"/>
  <c r="E17" i="14"/>
  <c r="D29" i="14"/>
  <c r="F18" i="14"/>
  <c r="G18" i="14" s="1"/>
  <c r="D19" i="14"/>
  <c r="E19" i="14" s="1"/>
  <c r="G115" i="11"/>
  <c r="G114" i="11" s="1"/>
  <c r="G12" i="11" s="1"/>
  <c r="C7" i="11" s="1"/>
  <c r="E53" i="14"/>
  <c r="E54" i="14" s="1"/>
  <c r="D54" i="14"/>
  <c r="F53" i="14"/>
  <c r="E22" i="14"/>
  <c r="F22" i="14"/>
  <c r="G22" i="14" s="1"/>
  <c r="E12" i="14"/>
  <c r="G12" i="14"/>
  <c r="E16" i="14"/>
  <c r="F16" i="14"/>
  <c r="G16" i="14" s="1"/>
  <c r="AR123" i="13"/>
  <c r="AS205" i="13"/>
  <c r="AT205" i="13" s="1"/>
  <c r="AS17" i="13"/>
  <c r="AT17" i="13" s="1"/>
  <c r="G49" i="10"/>
  <c r="G16" i="10" s="1"/>
  <c r="G15" i="10" s="1"/>
  <c r="G14" i="10" s="1"/>
  <c r="G13" i="10" s="1"/>
  <c r="G388" i="10"/>
  <c r="G387" i="10" s="1"/>
  <c r="G386" i="10" s="1"/>
  <c r="G139" i="10"/>
  <c r="G138" i="10" s="1"/>
  <c r="G263" i="10"/>
  <c r="G122" i="10" s="1"/>
  <c r="L2211" i="8"/>
  <c r="L2100" i="8"/>
  <c r="L2208" i="8"/>
  <c r="L2180" i="8"/>
  <c r="L2084" i="8"/>
  <c r="L2063" i="8"/>
  <c r="L1884" i="8"/>
  <c r="L1672" i="8"/>
  <c r="L1336" i="8"/>
  <c r="L817" i="8"/>
  <c r="L769" i="8"/>
  <c r="L369" i="8"/>
  <c r="L2196" i="8"/>
  <c r="L2092" i="8"/>
  <c r="L2071" i="8"/>
  <c r="L801" i="8"/>
  <c r="L1871" i="8"/>
  <c r="L2080" i="8"/>
  <c r="L1888" i="8"/>
  <c r="L833" i="8"/>
  <c r="L296" i="8"/>
  <c r="L297" i="8"/>
  <c r="L323" i="8"/>
  <c r="L324" i="8"/>
  <c r="L344" i="8"/>
  <c r="L345" i="8"/>
  <c r="L372" i="8"/>
  <c r="L373" i="8"/>
  <c r="L618" i="8"/>
  <c r="L619" i="8"/>
  <c r="L625" i="8"/>
  <c r="L626" i="8"/>
  <c r="L792" i="8"/>
  <c r="L793" i="8"/>
  <c r="L818" i="8"/>
  <c r="L819" i="8"/>
  <c r="L830" i="8"/>
  <c r="L831" i="8"/>
  <c r="L844" i="8"/>
  <c r="L845" i="8"/>
  <c r="L866" i="8"/>
  <c r="L867" i="8"/>
  <c r="L877" i="8"/>
  <c r="L878" i="8"/>
  <c r="L1074" i="8"/>
  <c r="L1075" i="8"/>
  <c r="L1289" i="8"/>
  <c r="L1290" i="8"/>
  <c r="L1305" i="8"/>
  <c r="L1306" i="8"/>
  <c r="L1645" i="8"/>
  <c r="L1646" i="8"/>
  <c r="L1652" i="8"/>
  <c r="L1653" i="8"/>
  <c r="L1885" i="8"/>
  <c r="L1886" i="8"/>
  <c r="L2101" i="8"/>
  <c r="L2102" i="8"/>
  <c r="L2209" i="8"/>
  <c r="L2210" i="8"/>
  <c r="L2095" i="8"/>
  <c r="L1900" i="8"/>
  <c r="L1335" i="8"/>
  <c r="L353" i="8"/>
  <c r="L284" i="8"/>
  <c r="L285" i="8"/>
  <c r="L325" i="8"/>
  <c r="L326" i="8"/>
  <c r="L366" i="8"/>
  <c r="L367" i="8"/>
  <c r="L384" i="8"/>
  <c r="L766" i="8"/>
  <c r="L767" i="8"/>
  <c r="L774" i="8"/>
  <c r="L775" i="8"/>
  <c r="L846" i="8"/>
  <c r="L847" i="8"/>
  <c r="L879" i="8"/>
  <c r="L880" i="8"/>
  <c r="L1076" i="8"/>
  <c r="L1077" i="8"/>
  <c r="L1082" i="8"/>
  <c r="L1083" i="8"/>
  <c r="L1334" i="8"/>
  <c r="L1640" i="8"/>
  <c r="L1641" i="8"/>
  <c r="L1868" i="8"/>
  <c r="L1869" i="8"/>
  <c r="L2177" i="8"/>
  <c r="L2178" i="8"/>
  <c r="L2220" i="8"/>
  <c r="L2221" i="8"/>
  <c r="L2052" i="8"/>
  <c r="L1660" i="8"/>
  <c r="L385" i="8"/>
  <c r="L286" i="8"/>
  <c r="L287" i="8"/>
  <c r="L327" i="8"/>
  <c r="L328" i="8"/>
  <c r="L354" i="8"/>
  <c r="L355" i="8"/>
  <c r="L802" i="8"/>
  <c r="L803" i="8"/>
  <c r="L814" i="8"/>
  <c r="L815" i="8"/>
  <c r="L834" i="8"/>
  <c r="L835" i="8"/>
  <c r="L881" i="8"/>
  <c r="L882" i="8"/>
  <c r="L2206" i="8"/>
  <c r="L2090" i="8"/>
  <c r="L2082" i="8"/>
  <c r="L2054" i="8"/>
  <c r="L1898" i="8"/>
  <c r="L1670" i="8"/>
  <c r="L1658" i="8"/>
  <c r="L777" i="8"/>
  <c r="L294" i="8"/>
  <c r="L295" i="8"/>
  <c r="L307" i="8"/>
  <c r="L308" i="8"/>
  <c r="L321" i="8"/>
  <c r="L322" i="8"/>
  <c r="L342" i="8"/>
  <c r="L343" i="8"/>
  <c r="L370" i="8"/>
  <c r="L371" i="8"/>
  <c r="L623" i="8"/>
  <c r="L624" i="8"/>
  <c r="L790" i="8"/>
  <c r="L791" i="8"/>
  <c r="L842" i="8"/>
  <c r="L843" i="8"/>
  <c r="L2069" i="8"/>
  <c r="L2061" i="8"/>
  <c r="L789" i="8"/>
  <c r="L357" i="8"/>
  <c r="L341" i="8"/>
  <c r="L2174" i="8"/>
  <c r="L2181" i="8"/>
  <c r="L2217" i="8"/>
  <c r="L315" i="8"/>
  <c r="L771" i="8"/>
  <c r="L859" i="8"/>
  <c r="L318" i="8"/>
  <c r="L620" i="8"/>
  <c r="L1308" i="8"/>
  <c r="L1654" i="8"/>
  <c r="L1880" i="8"/>
  <c r="L2171" i="8"/>
  <c r="L2185" i="8"/>
  <c r="L2197" i="8"/>
  <c r="L2214" i="8"/>
  <c r="L311" i="8"/>
  <c r="L337" i="8"/>
  <c r="L1058" i="8"/>
  <c r="L795" i="8"/>
  <c r="L805" i="8"/>
  <c r="L810" i="8"/>
  <c r="L821" i="8"/>
  <c r="L862" i="8"/>
  <c r="L1054" i="8"/>
  <c r="L1062" i="8"/>
  <c r="L1070" i="8"/>
  <c r="L1278" i="8"/>
  <c r="L1648" i="8"/>
  <c r="L1662" i="8"/>
  <c r="L2166" i="8"/>
  <c r="L334" i="8"/>
  <c r="L1050" i="8"/>
  <c r="L1066" i="8"/>
  <c r="L1078" i="8"/>
  <c r="L1268" i="8"/>
  <c r="L1636" i="8"/>
  <c r="L1642" i="8"/>
  <c r="L2192" i="8"/>
  <c r="L849" i="8"/>
  <c r="L330" i="8"/>
  <c r="L1311" i="8"/>
  <c r="L2188" i="8"/>
  <c r="L825" i="8"/>
  <c r="L1666" i="8"/>
  <c r="AS60" i="13" l="1"/>
  <c r="AT60" i="13" s="1"/>
  <c r="D31" i="25"/>
  <c r="F34" i="25"/>
  <c r="G34" i="25" s="1"/>
  <c r="G58" i="25"/>
  <c r="G59" i="25" s="1"/>
  <c r="F59" i="25"/>
  <c r="F32" i="14"/>
  <c r="G32" i="14" s="1"/>
  <c r="D23" i="14"/>
  <c r="D24" i="14" s="1"/>
  <c r="E32" i="14"/>
  <c r="F19" i="14"/>
  <c r="G19" i="14" s="1"/>
  <c r="F29" i="14"/>
  <c r="D35" i="14"/>
  <c r="E35" i="14" s="1"/>
  <c r="E29" i="14"/>
  <c r="F54" i="14"/>
  <c r="G53" i="14"/>
  <c r="G54" i="14" s="1"/>
  <c r="AS15" i="13"/>
  <c r="AT15" i="13" s="1"/>
  <c r="AS16" i="13"/>
  <c r="AT16" i="13" s="1"/>
  <c r="G115" i="10"/>
  <c r="G114" i="10" s="1"/>
  <c r="G12" i="10" s="1"/>
  <c r="L1333" i="8"/>
  <c r="L1046" i="8"/>
  <c r="L300" i="8"/>
  <c r="L288" i="8"/>
  <c r="L289" i="8"/>
  <c r="L868" i="8"/>
  <c r="L869" i="8"/>
  <c r="L760" i="8"/>
  <c r="L761" i="8"/>
  <c r="L278" i="8"/>
  <c r="L279" i="8"/>
  <c r="L2055" i="8"/>
  <c r="L2056" i="8"/>
  <c r="L360" i="8"/>
  <c r="L2064" i="8"/>
  <c r="L2065" i="8"/>
  <c r="L2093" i="8"/>
  <c r="L2096" i="8"/>
  <c r="L1288" i="8"/>
  <c r="L1291" i="8"/>
  <c r="L770" i="8"/>
  <c r="L778" i="8"/>
  <c r="L1872" i="8"/>
  <c r="L1873" i="8"/>
  <c r="L781" i="8"/>
  <c r="L782" i="8"/>
  <c r="L1891" i="8"/>
  <c r="L2072" i="8"/>
  <c r="L2073" i="8"/>
  <c r="L2085" i="8"/>
  <c r="L2086" i="8"/>
  <c r="L383" i="8"/>
  <c r="L1861" i="8"/>
  <c r="L1862" i="8"/>
  <c r="L794" i="8"/>
  <c r="L615" i="8"/>
  <c r="L2200" i="8"/>
  <c r="L2201" i="8"/>
  <c r="L2045" i="8"/>
  <c r="L2046" i="8"/>
  <c r="L1294" i="8"/>
  <c r="L1295" i="8"/>
  <c r="L836" i="8"/>
  <c r="L837" i="8"/>
  <c r="L346" i="8"/>
  <c r="L347" i="8"/>
  <c r="L310" i="8"/>
  <c r="L1307" i="8"/>
  <c r="L1647" i="8"/>
  <c r="L1267" i="8"/>
  <c r="L2165" i="8"/>
  <c r="L820" i="8"/>
  <c r="L2184" i="8"/>
  <c r="L1635" i="8"/>
  <c r="L1661" i="8"/>
  <c r="L848" i="8"/>
  <c r="L804" i="8"/>
  <c r="E31" i="25" l="1"/>
  <c r="J32" i="25"/>
  <c r="J33" i="25" s="1"/>
  <c r="F31" i="25"/>
  <c r="G31" i="25" s="1"/>
  <c r="F24" i="14"/>
  <c r="G24" i="14" s="1"/>
  <c r="E24" i="14"/>
  <c r="E23" i="14"/>
  <c r="F23" i="14"/>
  <c r="G23" i="14" s="1"/>
  <c r="D37" i="14"/>
  <c r="E37" i="14" s="1"/>
  <c r="G29" i="14"/>
  <c r="F35" i="14"/>
  <c r="G35" i="14" s="1"/>
  <c r="L1323" i="8"/>
  <c r="L1322" i="8"/>
  <c r="L982" i="8"/>
  <c r="L1045" i="8"/>
  <c r="L1889" i="8"/>
  <c r="L1890" i="8"/>
  <c r="L277" i="8"/>
  <c r="L614" i="8"/>
  <c r="L2212" i="8"/>
  <c r="L2213" i="8"/>
  <c r="L309" i="8"/>
  <c r="L329" i="8"/>
  <c r="L382" i="8"/>
  <c r="L358" i="8"/>
  <c r="L359" i="8"/>
  <c r="L298" i="8"/>
  <c r="L299" i="8"/>
  <c r="F40" i="25" l="1"/>
  <c r="G40" i="25" s="1"/>
  <c r="F37" i="14"/>
  <c r="G37" i="14" s="1"/>
  <c r="AS14" i="13"/>
  <c r="AT14" i="13" s="1"/>
  <c r="L1860" i="8"/>
  <c r="L1673" i="8"/>
  <c r="L2164" i="8"/>
  <c r="L1901" i="8"/>
  <c r="L2044" i="8"/>
  <c r="L1634" i="8"/>
  <c r="L377" i="8"/>
  <c r="L613" i="8"/>
  <c r="L677" i="8"/>
  <c r="L759" i="8"/>
  <c r="L981" i="8"/>
  <c r="L1084" i="8"/>
  <c r="L376" i="8" l="1"/>
  <c r="L276" i="8"/>
  <c r="L520" i="8"/>
  <c r="L275" i="8"/>
  <c r="L1449" i="8"/>
  <c r="L2163" i="8"/>
  <c r="L274" i="8" l="1"/>
  <c r="L13" i="8"/>
  <c r="L386" i="8"/>
  <c r="L2161" i="8"/>
  <c r="L2162" i="8"/>
  <c r="L1448" i="8"/>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L375" i="8"/>
  <c r="L374" i="8"/>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 r="D12" i="25" l="1"/>
  <c r="E12" i="25" l="1"/>
  <c r="F12" i="25"/>
  <c r="G12" i="25" s="1"/>
  <c r="D14" i="25"/>
  <c r="D36" i="25"/>
  <c r="E36" i="25" l="1"/>
  <c r="F36" i="25"/>
  <c r="G36" i="25" s="1"/>
  <c r="D35" i="25"/>
  <c r="J35" i="25" s="1"/>
  <c r="F14" i="25"/>
  <c r="G14" i="25" s="1"/>
  <c r="E14" i="25"/>
  <c r="D25" i="25"/>
  <c r="J36" i="25" l="1"/>
  <c r="F35" i="25"/>
  <c r="G35" i="25" s="1"/>
  <c r="D40" i="25"/>
  <c r="E35" i="25"/>
  <c r="E25" i="25"/>
  <c r="D26" i="25"/>
  <c r="F25" i="25"/>
  <c r="G25" i="25" s="1"/>
  <c r="D42" i="25" l="1"/>
  <c r="E40" i="25"/>
  <c r="E26" i="25"/>
  <c r="F26" i="25"/>
  <c r="G26" i="25" s="1"/>
  <c r="E42" i="25" l="1"/>
  <c r="F42" i="25"/>
  <c r="G42"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V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<sst xmlns="http://schemas.openxmlformats.org/spreadsheetml/2006/main" count="31296" uniqueCount="5454">
  <si>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</si>
  <si>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</si>
  <si>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</si>
  <si>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</si>
  <si>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</si>
  <si>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</si>
  <si>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</si>
  <si>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</si>
  <si>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</si>
  <si>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</si>
  <si>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</si>
  <si>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</si>
  <si>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</si>
  <si>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</si>
  <si>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</si>
  <si>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</si>
  <si>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</si>
  <si>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</si>
  <si>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</si>
  <si>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</si>
  <si>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</si>
  <si>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</si>
  <si>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</si>
  <si>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</si>
  <si>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</si>
  <si>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</si>
  <si>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</si>
  <si>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</si>
  <si>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</si>
  <si>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</si>
  <si>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</si>
  <si>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</si>
  <si>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</si>
  <si>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</si>
  <si>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</si>
  <si>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</si>
  <si>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</si>
  <si>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</si>
  <si>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</si>
  <si>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</si>
  <si>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</si>
  <si>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</si>
  <si>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</si>
  <si>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</si>
  <si>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</si>
  <si>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</si>
  <si>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</si>
  <si>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</si>
  <si>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</si>
  <si>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</si>
  <si>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</si>
  <si>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</si>
  <si>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</si>
  <si>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</si>
  <si>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</si>
  <si>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</si>
  <si>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</si>
  <si>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</si>
  <si>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</si>
  <si>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</si>
  <si>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</si>
  <si>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</si>
  <si>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</si>
  <si>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</si>
  <si>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</si>
  <si>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</si>
  <si>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</si>
  <si>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</si>
  <si>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</si>
  <si>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</si>
  <si>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</si>
  <si>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</si>
  <si>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</si>
  <si>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</si>
  <si>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</si>
  <si>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</si>
  <si>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</si>
  <si>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</si>
  <si>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</si>
  <si>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</si>
  <si>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</si>
  <si>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</si>
  <si>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</si>
  <si>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</si>
  <si>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</si>
  <si>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</si>
  <si>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</si>
  <si>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</si>
  <si>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</si>
  <si>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</si>
  <si>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</si>
  <si>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</si>
  <si>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</si>
  <si>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</si>
  <si>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</si>
  <si>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</si>
  <si>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</si>
  <si>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</si>
  <si>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</si>
  <si>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</si>
  <si>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</si>
  <si>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</si>
  <si>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</si>
  <si>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</si>
  <si>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</si>
  <si>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</si>
  <si>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</si>
  <si>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</si>
  <si>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</si>
  <si>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</si>
  <si>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</si>
  <si>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</si>
  <si>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</si>
  <si>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</si>
  <si>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</si>
  <si>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</si>
  <si>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</si>
  <si>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</si>
  <si>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</si>
  <si>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</si>
  <si>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</si>
  <si>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</si>
  <si>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</si>
  <si>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</si>
  <si>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</si>
  <si>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</si>
  <si>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</si>
  <si>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</si>
  <si>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</si>
  <si>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</si>
  <si>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</si>
  <si>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</si>
  <si>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</si>
  <si>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</si>
  <si>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</si>
  <si>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</si>
  <si>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</si>
  <si>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</si>
  <si>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</si>
  <si>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</si>
  <si>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</si>
  <si>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</si>
  <si>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</si>
  <si>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</si>
  <si>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</si>
  <si>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</si>
  <si>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</si>
  <si>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</si>
  <si>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</si>
  <si>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</si>
  <si>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</si>
  <si>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</si>
  <si>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</si>
  <si>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</si>
  <si>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</si>
  <si>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</si>
  <si>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</si>
  <si>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</si>
  <si>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</si>
  <si>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</si>
  <si>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</si>
  <si>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</si>
  <si>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</si>
  <si>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</si>
  <si>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</si>
  <si>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</si>
  <si>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</si>
  <si>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</si>
  <si>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</si>
  <si>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</si>
  <si>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</si>
  <si>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</si>
  <si>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</si>
  <si>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</si>
  <si>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</si>
  <si>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</si>
  <si>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</si>
  <si>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</si>
  <si>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</si>
  <si>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</si>
  <si>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</si>
  <si>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</si>
  <si>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</si>
  <si>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</si>
  <si>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</si>
  <si>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</si>
  <si>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</si>
  <si>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</si>
  <si>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</si>
  <si>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</si>
  <si>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</si>
  <si>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</si>
  <si>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</si>
  <si>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</si>
  <si>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</si>
  <si>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</si>
  <si>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</si>
  <si>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</si>
  <si>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</si>
  <si>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</si>
  <si>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</si>
  <si>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</si>
  <si>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</si>
  <si>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</si>
  <si>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</si>
  <si>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</si>
  <si>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</si>
  <si>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</si>
  <si>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</si>
  <si>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</si>
  <si>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</si>
  <si>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</si>
  <si>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</si>
  <si>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</si>
  <si>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</si>
  <si>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</si>
  <si>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</si>
  <si>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</si>
  <si>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</si>
  <si>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</si>
  <si>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</si>
  <si>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</si>
  <si>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</si>
  <si>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</si>
  <si>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</si>
  <si>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</si>
  <si>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</si>
  <si>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</si>
  <si>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</si>
  <si>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</si>
  <si>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</si>
  <si>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</si>
  <si>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</si>
  <si>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</si>
  <si>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</si>
  <si>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</si>
  <si>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</si>
  <si>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</si>
  <si>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</si>
  <si>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</si>
  <si>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</si>
  <si>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</si>
  <si>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</si>
  <si>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</si>
  <si>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</si>
  <si>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</si>
  <si>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</si>
  <si>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</si>
  <si>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</si>
  <si>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</si>
  <si>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</si>
  <si>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</si>
  <si>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</si>
  <si>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</si>
  <si>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</si>
  <si>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</si>
  <si>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</si>
  <si>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</si>
  <si>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</si>
  <si>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</si>
  <si>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</si>
  <si>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</si>
  <si>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</si>
  <si>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</si>
  <si>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</si>
  <si>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</si>
  <si>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</si>
  <si>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</si>
  <si>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</si>
  <si>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</si>
  <si>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</si>
  <si>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</si>
  <si>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</si>
  <si>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</si>
  <si>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</si>
  <si>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</si>
  <si>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</si>
  <si>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</si>
  <si>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</si>
  <si>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</si>
  <si>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</si>
  <si>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</si>
  <si>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</si>
  <si>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</si>
  <si>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</si>
  <si>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</si>
  <si>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</si>
  <si>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</si>
  <si>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</si>
  <si>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</si>
  <si>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</si>
  <si>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</si>
  <si>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</si>
  <si>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</si>
  <si>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</si>
  <si>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</si>
  <si>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</si>
  <si>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</si>
  <si>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</si>
  <si>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</si>
  <si>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</si>
  <si>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</si>
  <si>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</si>
  <si>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</si>
  <si>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</si>
  <si>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</si>
  <si>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</si>
  <si>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</si>
  <si>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</si>
  <si>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</si>
  <si>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</si>
  <si>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</si>
  <si>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</si>
  <si>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</si>
  <si>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</si>
  <si>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</si>
  <si>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</si>
  <si>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</si>
  <si>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</si>
  <si>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</si>
  <si>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</si>
  <si>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</si>
  <si>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</si>
  <si>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</si>
  <si>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</si>
  <si>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</si>
  <si>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</si>
  <si>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</si>
  <si>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</si>
  <si>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</si>
  <si>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</si>
  <si>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</si>
  <si>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</si>
  <si>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</si>
  <si>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</si>
  <si>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</si>
  <si>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</si>
  <si>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</si>
  <si>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</si>
  <si>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</si>
  <si>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</si>
  <si>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</si>
  <si>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</si>
  <si>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</si>
  <si>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</si>
  <si>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</si>
  <si>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</si>
  <si>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</si>
  <si>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</si>
  <si>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</si>
  <si>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</si>
  <si>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</si>
  <si>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</si>
  <si>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</si>
  <si>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</si>
  <si>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</si>
  <si>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</si>
  <si>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</si>
  <si>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</si>
  <si>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</si>
  <si>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</si>
  <si>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</si>
  <si>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</si>
  <si>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</si>
  <si>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</si>
  <si>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</si>
  <si>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</si>
  <si>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</si>
  <si>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</si>
  <si>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</si>
  <si>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</si>
  <si>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</si>
  <si>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</si>
  <si>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</si>
  <si>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</si>
  <si>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</si>
  <si>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</si>
  <si>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</si>
  <si>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</si>
  <si>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</si>
  <si>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</si>
  <si>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</si>
  <si>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</si>
  <si>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</si>
  <si>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</si>
  <si>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</si>
  <si>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</si>
  <si>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</si>
  <si>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</si>
  <si>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</si>
  <si>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</si>
  <si>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</si>
  <si>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</si>
  <si>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</si>
  <si>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</si>
  <si>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</si>
  <si>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</si>
  <si>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</si>
  <si>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</si>
  <si>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</si>
  <si>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</si>
  <si>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</si>
  <si>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</si>
  <si>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</si>
  <si>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</si>
  <si>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</si>
  <si>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</si>
  <si>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</si>
  <si>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</si>
  <si>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</si>
  <si>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</si>
  <si>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</si>
  <si>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</si>
  <si>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</si>
  <si>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</si>
  <si>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</si>
  <si>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</si>
  <si>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</si>
  <si>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</si>
  <si>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</si>
  <si>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</si>
  <si>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</si>
  <si>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</si>
  <si>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</si>
  <si>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</si>
  <si>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</si>
  <si>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</si>
  <si>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</si>
  <si>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</si>
  <si>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</si>
  <si>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</si>
  <si>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</si>
  <si>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</si>
  <si>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</si>
  <si>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</si>
  <si>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</si>
  <si>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</si>
  <si>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</si>
  <si>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</si>
  <si>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</si>
  <si>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</si>
  <si>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</si>
  <si>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</si>
  <si>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</si>
  <si>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</si>
  <si>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</si>
  <si>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</si>
  <si>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</si>
  <si>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</si>
  <si>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</si>
  <si>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</si>
  <si>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</si>
  <si>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</si>
  <si>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</si>
  <si>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</si>
  <si>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</si>
  <si>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</si>
  <si>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</si>
  <si>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</si>
  <si>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</si>
  <si>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</si>
  <si>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</si>
  <si>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</si>
  <si>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</si>
  <si>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</si>
  <si>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</si>
  <si>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</si>
  <si>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</si>
  <si>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</si>
  <si>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</si>
  <si>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</si>
  <si>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</si>
  <si>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</si>
  <si>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</si>
  <si>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</si>
  <si>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</si>
  <si>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</si>
  <si>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</si>
  <si>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</si>
  <si>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</si>
  <si>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</si>
  <si>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</si>
  <si>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</si>
  <si>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</si>
  <si>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</si>
  <si>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</si>
  <si>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</si>
  <si>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</si>
  <si>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</si>
  <si>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</si>
  <si>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</si>
  <si>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</si>
  <si>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</si>
  <si>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</si>
  <si>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</si>
  <si>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</si>
  <si>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</si>
  <si>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</si>
  <si>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</si>
  <si>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</si>
  <si>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</si>
  <si>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</si>
  <si>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</si>
  <si>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</si>
  <si>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</si>
  <si>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</si>
  <si>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</si>
  <si>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</si>
  <si>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</si>
  <si>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</si>
  <si>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</si>
  <si>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</si>
  <si>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</si>
  <si>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</si>
  <si>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</si>
  <si>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</si>
  <si>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</si>
  <si>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</si>
  <si>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</si>
  <si>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</si>
  <si>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</si>
  <si>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</si>
  <si>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</si>
  <si>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</si>
  <si>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</si>
  <si>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</si>
  <si>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</si>
  <si>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</si>
  <si>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</si>
  <si>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</si>
  <si>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</si>
  <si>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</si>
  <si>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</si>
  <si>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</si>
  <si>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</si>
  <si>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</si>
  <si>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</si>
  <si>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</si>
  <si>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</si>
  <si>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</si>
  <si>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</si>
  <si>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</si>
  <si>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</si>
  <si>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</si>
  <si>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</si>
  <si>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</si>
  <si>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</si>
  <si>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</si>
  <si>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</si>
  <si>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</si>
  <si>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</si>
  <si>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</si>
  <si>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</si>
  <si>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</si>
  <si>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</si>
  <si>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</si>
  <si>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</si>
  <si>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</si>
  <si>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</si>
  <si>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</si>
  <si>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</si>
  <si>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</si>
  <si>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</si>
  <si>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</si>
  <si>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</si>
  <si>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</si>
  <si>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</si>
  <si>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</si>
  <si>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</si>
  <si>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</si>
  <si>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</si>
  <si>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</si>
  <si>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</si>
  <si>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</si>
  <si>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</si>
  <si>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</si>
  <si>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</si>
  <si>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</si>
  <si>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</si>
  <si>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</si>
  <si>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</si>
  <si>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</si>
  <si>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</si>
  <si>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</si>
  <si>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</si>
  <si>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</si>
  <si>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</si>
  <si>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</si>
  <si>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</si>
  <si>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</si>
  <si>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</si>
  <si>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</si>
  <si>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</si>
  <si>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</si>
  <si>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</si>
  <si>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</si>
  <si>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</si>
  <si>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</si>
  <si>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</si>
  <si>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</si>
  <si>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</si>
  <si>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</si>
  <si>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</si>
  <si>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</si>
  <si>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</si>
  <si>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</si>
  <si>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</si>
  <si>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</si>
  <si>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</si>
  <si>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</si>
  <si>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</si>
  <si>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</si>
  <si>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</si>
  <si>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</si>
  <si>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</si>
  <si>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</si>
  <si>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</si>
  <si>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</si>
  <si>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</si>
  <si>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</si>
  <si>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</si>
  <si>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</si>
  <si>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</si>
  <si>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</si>
  <si>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</si>
  <si>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</si>
  <si>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</si>
  <si>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</si>
  <si>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</si>
  <si>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</si>
  <si>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</si>
  <si>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</si>
  <si>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</si>
  <si>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</si>
  <si>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</si>
  <si>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</si>
  <si>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</si>
  <si>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</si>
  <si>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</si>
  <si>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</si>
  <si>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</si>
  <si>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</si>
  <si>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</si>
  <si>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</si>
  <si>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</si>
  <si>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</si>
  <si>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</si>
  <si>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</si>
  <si>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</si>
  <si>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</si>
  <si>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</si>
  <si>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</si>
  <si>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</si>
  <si>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</si>
  <si>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</si>
  <si>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</si>
  <si>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</si>
  <si>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</si>
  <si>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</si>
  <si>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</si>
  <si>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</si>
  <si>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</si>
  <si>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</si>
  <si>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</si>
  <si>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</si>
  <si>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</si>
  <si>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</si>
  <si>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</si>
  <si>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</si>
  <si>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</si>
  <si>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</si>
  <si>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</si>
  <si>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</si>
  <si>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</si>
  <si>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</si>
  <si>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</si>
  <si>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</si>
  <si>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</si>
  <si>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</si>
  <si>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</si>
  <si>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</si>
  <si>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</si>
  <si>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</si>
  <si>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</si>
  <si>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</si>
  <si>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</si>
  <si>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</si>
  <si>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</si>
  <si>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</si>
  <si>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</si>
  <si>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</si>
  <si>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</si>
  <si>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</si>
  <si>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</si>
  <si>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</si>
  <si>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</si>
  <si>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</si>
  <si>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</si>
  <si>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</si>
  <si>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</si>
  <si>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</si>
  <si>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</si>
  <si>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</si>
  <si>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</si>
  <si>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</si>
  <si>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</si>
  <si>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</si>
  <si>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</si>
  <si>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</si>
  <si>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</si>
  <si>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</si>
  <si>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</si>
  <si>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</si>
  <si>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</si>
  <si>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</si>
  <si>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</si>
  <si>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</si>
  <si>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</si>
  <si>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</si>
  <si>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</si>
  <si>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</si>
  <si>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</si>
  <si>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</si>
  <si>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</si>
  <si>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</si>
  <si>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</si>
  <si>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</si>
  <si>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</si>
  <si>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</si>
  <si>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</si>
  <si>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</si>
  <si>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</si>
  <si>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</si>
  <si>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</si>
  <si>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</si>
  <si>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</si>
  <si>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</si>
  <si>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</si>
  <si>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</si>
  <si>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</si>
  <si>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</si>
  <si>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</si>
  <si>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</si>
  <si>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</si>
  <si>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</si>
  <si>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</si>
  <si>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</si>
  <si>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</si>
  <si>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</si>
  <si>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</si>
  <si>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</si>
  <si>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</si>
  <si>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</si>
  <si>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</si>
  <si>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</si>
  <si>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</si>
  <si>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</si>
  <si>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</si>
  <si>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</si>
  <si>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</si>
  <si>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</si>
  <si>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</si>
  <si>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</si>
  <si>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</si>
  <si>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</si>
  <si>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</si>
  <si>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</si>
  <si>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</si>
  <si>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</si>
  <si>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</si>
  <si>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</si>
  <si>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</si>
  <si>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</si>
  <si>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</si>
  <si>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</si>
  <si>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</si>
  <si>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</si>
  <si>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</si>
  <si>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</si>
  <si>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</si>
  <si>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</si>
  <si>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</si>
  <si>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</si>
  <si>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</si>
  <si>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</si>
  <si>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</si>
  <si>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</si>
  <si>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</si>
  <si>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</si>
  <si>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</si>
  <si>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</si>
  <si>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</si>
  <si>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</si>
  <si>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</si>
  <si>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</si>
  <si>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</si>
  <si>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</si>
  <si>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</si>
  <si>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</si>
  <si>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</si>
  <si>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</si>
  <si>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</si>
  <si>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</si>
  <si>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</si>
  <si>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</si>
  <si>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</si>
  <si>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</si>
  <si>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</si>
  <si>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</si>
  <si>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</si>
  <si>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</si>
  <si>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</si>
  <si>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</si>
  <si>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</si>
  <si>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</si>
  <si>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</si>
  <si>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</si>
  <si>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</si>
  <si>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</si>
  <si>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</si>
  <si>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</si>
  <si>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</si>
  <si>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</si>
  <si>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</si>
  <si>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</si>
  <si>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</si>
  <si>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</si>
  <si>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</si>
  <si>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</si>
  <si>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</si>
  <si>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</si>
  <si>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</si>
  <si>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</si>
  <si>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</si>
  <si>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</si>
  <si>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</si>
  <si>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</si>
  <si>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</si>
  <si>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</si>
  <si>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</si>
  <si>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</si>
  <si>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</si>
  <si>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</si>
  <si>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</si>
  <si>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</si>
  <si>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</si>
  <si>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</si>
  <si>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</si>
  <si>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</si>
  <si>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</si>
  <si>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</si>
  <si>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</si>
  <si>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</si>
  <si>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</si>
  <si>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</si>
  <si>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</si>
  <si>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</si>
  <si>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</si>
  <si>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</si>
  <si>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</si>
  <si>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</si>
  <si>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</si>
  <si>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</si>
  <si>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</si>
  <si>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</si>
  <si>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</si>
  <si>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</si>
  <si>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</si>
  <si>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</si>
  <si>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</si>
  <si>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</si>
  <si>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</si>
  <si>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</si>
  <si>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</si>
  <si>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</si>
  <si>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</si>
  <si>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</si>
  <si>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</si>
  <si>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</si>
  <si>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</si>
  <si>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</si>
  <si>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</si>
  <si>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</si>
  <si>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</si>
  <si>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</si>
  <si>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</si>
  <si>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</si>
  <si>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</si>
  <si>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</si>
  <si>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</si>
  <si>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</si>
  <si>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</si>
  <si>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</si>
  <si>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</si>
  <si>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</si>
  <si>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</si>
  <si>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</si>
  <si>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</si>
  <si>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</si>
  <si>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</si>
  <si>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</si>
  <si>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</si>
  <si>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</si>
  <si>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</si>
  <si>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</si>
  <si>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</si>
  <si>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</si>
  <si>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</si>
  <si>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</si>
  <si>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</si>
  <si>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</si>
  <si>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</si>
  <si>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</si>
  <si>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</si>
  <si>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</si>
  <si>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</si>
  <si>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</si>
  <si>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</si>
  <si>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</si>
  <si>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</si>
  <si>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</si>
  <si>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</si>
  <si>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</si>
  <si>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</si>
  <si>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</si>
  <si>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</si>
  <si>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</si>
  <si>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</si>
  <si>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</si>
  <si>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</si>
  <si>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</si>
  <si>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</si>
  <si>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</si>
  <si>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</si>
  <si>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</si>
  <si>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</si>
  <si>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</si>
  <si>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</si>
  <si>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</si>
  <si>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</si>
  <si>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</si>
  <si>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</si>
  <si>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</si>
  <si>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</si>
  <si>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</si>
  <si>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</si>
  <si>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</si>
  <si>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</si>
  <si>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</si>
  <si>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</si>
  <si>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</si>
  <si>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</si>
  <si>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</si>
  <si>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</si>
  <si>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</si>
  <si>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</si>
  <si>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</si>
  <si>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</si>
  <si>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</si>
  <si>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</si>
  <si>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</si>
  <si>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</si>
  <si>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</si>
  <si>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</si>
  <si>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</si>
  <si>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</si>
  <si>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</si>
  <si>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</si>
  <si>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</si>
  <si>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</si>
  <si>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</si>
  <si>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</si>
  <si>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</si>
  <si>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</si>
  <si>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</si>
  <si>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</si>
  <si>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</si>
  <si>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</si>
  <si>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</si>
  <si>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</si>
  <si>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</si>
  <si>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</si>
  <si>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</si>
  <si>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</si>
  <si>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</si>
  <si>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</si>
  <si>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</si>
  <si>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</si>
  <si>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</si>
  <si>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</si>
  <si>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</si>
  <si>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</si>
  <si>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</si>
  <si>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</si>
  <si>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</si>
  <si>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</si>
  <si>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</si>
  <si>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</si>
  <si>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</si>
  <si>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</si>
  <si>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</si>
  <si>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</si>
  <si>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</si>
  <si>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</si>
  <si>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</si>
  <si>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</si>
  <si>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</si>
  <si>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</si>
  <si>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</si>
  <si>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</si>
  <si>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</si>
  <si>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</si>
  <si>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</si>
  <si>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</si>
  <si>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</si>
  <si>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</si>
  <si>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</si>
  <si>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</si>
  <si>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</si>
  <si>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</si>
  <si>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</si>
  <si>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</si>
  <si>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</si>
  <si>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</si>
  <si>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</si>
  <si>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</si>
  <si>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</si>
  <si>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</si>
  <si>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</si>
  <si>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</si>
  <si>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</si>
  <si>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</si>
  <si>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</si>
  <si>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</si>
  <si>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</si>
  <si>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</si>
  <si>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</si>
  <si>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</si>
  <si>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</si>
  <si>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</si>
  <si>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</si>
  <si>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</si>
  <si>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</si>
  <si>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</si>
  <si>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</si>
  <si>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</si>
  <si>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</si>
  <si>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</si>
  <si>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</si>
  <si>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</si>
  <si>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</si>
  <si>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</si>
  <si>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</si>
  <si>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</si>
  <si>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</si>
  <si>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</si>
  <si>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</si>
  <si>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</si>
  <si>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</si>
  <si>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</si>
  <si>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</si>
  <si>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</si>
  <si>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</si>
  <si>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</si>
  <si>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</si>
  <si>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</si>
  <si>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</si>
  <si>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</si>
  <si>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</si>
  <si>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</si>
  <si>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</si>
  <si>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</si>
  <si>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</si>
  <si>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</si>
  <si>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</si>
  <si>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</si>
  <si>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</si>
  <si>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</si>
  <si>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</si>
  <si>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</si>
  <si>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</si>
  <si>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</si>
  <si>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</si>
  <si>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</si>
  <si>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</si>
  <si>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</si>
  <si>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</si>
  <si>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</si>
  <si>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</si>
  <si>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</si>
  <si>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</si>
  <si>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</si>
  <si>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</si>
  <si>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</si>
  <si>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</si>
  <si>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</si>
  <si>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</si>
  <si>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</si>
  <si>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</si>
  <si>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</si>
  <si>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</si>
  <si>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</si>
  <si>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</si>
  <si>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</si>
  <si>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</si>
  <si>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</si>
  <si>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</si>
  <si>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</si>
  <si>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</si>
  <si>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</si>
  <si>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</si>
  <si>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</si>
  <si>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</si>
  <si>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</si>
  <si>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</si>
  <si>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</si>
  <si>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</si>
  <si>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</si>
  <si>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</si>
  <si>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</si>
  <si>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</si>
  <si>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</si>
  <si>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</si>
  <si>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</si>
  <si>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</si>
  <si>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</si>
  <si>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</si>
  <si>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</si>
  <si>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</si>
  <si>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</si>
  <si>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</si>
  <si>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</si>
  <si>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</si>
  <si>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</si>
  <si>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</si>
  <si>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</si>
  <si>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</si>
  <si>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</si>
  <si>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</si>
  <si>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</si>
  <si>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</si>
  <si>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</si>
  <si>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</si>
  <si>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</si>
  <si>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</si>
  <si>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</si>
  <si>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</si>
  <si>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</si>
  <si>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</si>
  <si>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</si>
  <si>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</si>
  <si>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</si>
  <si>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</si>
  <si>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</si>
  <si>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</si>
  <si>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</si>
  <si>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</si>
  <si>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</si>
  <si>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</si>
  <si>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</si>
  <si>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</si>
  <si>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</si>
  <si>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</si>
  <si>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</si>
  <si>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</si>
  <si>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</si>
  <si>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</si>
  <si>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</si>
  <si>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</si>
  <si>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</si>
  <si>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</si>
  <si>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</si>
  <si>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</si>
  <si>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</si>
  <si>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</si>
  <si>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</si>
  <si>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</si>
  <si>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</si>
  <si>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</si>
  <si>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</si>
  <si>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</si>
  <si>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</si>
  <si>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</si>
  <si>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</si>
  <si>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</si>
  <si>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</si>
  <si>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</si>
  <si>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</si>
  <si>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</si>
  <si>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</si>
  <si>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</si>
  <si>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</si>
  <si>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</si>
  <si>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</si>
  <si>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</si>
  <si>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</si>
  <si>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</si>
  <si>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</si>
  <si>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</si>
  <si>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</si>
  <si>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</si>
  <si>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</si>
  <si>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</si>
  <si>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</si>
  <si>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</si>
  <si>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</si>
  <si>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</si>
  <si>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</si>
  <si>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</si>
  <si>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</si>
  <si>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</si>
  <si>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</si>
  <si>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</si>
  <si>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</si>
  <si>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</si>
  <si>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</si>
  <si>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</si>
  <si>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</si>
  <si>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</si>
  <si>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</si>
  <si>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</si>
  <si>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</si>
  <si>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</si>
  <si>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</si>
  <si>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</si>
  <si>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</si>
  <si>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</si>
  <si>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</si>
  <si>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</si>
  <si>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</si>
  <si>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</si>
  <si>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</si>
  <si>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</si>
  <si>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</si>
  <si>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</si>
  <si>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</si>
  <si>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</si>
  <si>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</si>
  <si>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</si>
  <si>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</si>
  <si>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</si>
  <si>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</si>
  <si>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</si>
  <si>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</si>
  <si>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</si>
  <si>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</si>
  <si>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</si>
  <si>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</si>
  <si>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</si>
  <si>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</si>
  <si>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</si>
  <si>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</si>
  <si>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</si>
  <si>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</si>
  <si>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</si>
  <si>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</si>
  <si>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</si>
  <si>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</si>
  <si>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</si>
  <si>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</si>
  <si>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</si>
  <si>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</si>
  <si>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</si>
  <si>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</si>
  <si>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</si>
  <si>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</si>
  <si>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</si>
  <si>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</si>
  <si>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</si>
  <si>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</si>
  <si>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</si>
  <si>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</si>
  <si>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</si>
  <si>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</si>
  <si>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</si>
  <si>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</si>
  <si>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</si>
  <si>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</si>
  <si>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</si>
  <si>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</si>
  <si>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</si>
  <si>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</si>
  <si>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</si>
  <si>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</si>
  <si>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</si>
  <si>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</si>
  <si>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</si>
  <si>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</si>
  <si>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</si>
  <si>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</si>
  <si>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</si>
  <si>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</si>
  <si>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</si>
  <si>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</si>
  <si>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</si>
  <si>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</si>
  <si>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</si>
  <si>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</si>
  <si>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</si>
  <si>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</si>
  <si>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</si>
  <si>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</si>
  <si>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</si>
  <si>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</si>
  <si>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</si>
  <si>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</si>
  <si>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</si>
  <si>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</si>
  <si>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</si>
  <si>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</si>
  <si>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</si>
  <si>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</si>
  <si>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</si>
  <si>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</si>
  <si>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</si>
  <si>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</si>
  <si>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</si>
  <si>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</si>
  <si>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</si>
  <si>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</si>
  <si>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</si>
  <si>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</si>
  <si>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</si>
  <si>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</si>
  <si>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</si>
  <si>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</si>
  <si>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</si>
  <si>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</si>
  <si>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</si>
  <si>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</si>
  <si>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</si>
  <si>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</si>
  <si>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</si>
  <si>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</si>
  <si>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</si>
  <si>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</si>
  <si>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</si>
  <si>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</si>
  <si>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</si>
  <si>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</si>
  <si>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</si>
  <si>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</si>
  <si>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</si>
  <si>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</si>
  <si>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</si>
  <si>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</si>
  <si>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</si>
  <si>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</si>
  <si>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</si>
  <si>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</si>
  <si>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</si>
  <si>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</si>
  <si>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</si>
  <si>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</si>
  <si>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</si>
  <si>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</si>
  <si>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</si>
  <si>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</si>
  <si>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</si>
  <si>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</si>
  <si>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</si>
  <si>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</si>
  <si>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</si>
  <si>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</si>
  <si>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</si>
  <si>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</si>
  <si>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</si>
  <si>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</si>
  <si>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</si>
  <si>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</si>
  <si>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</si>
  <si>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</si>
  <si>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</si>
  <si>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</si>
  <si>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</si>
  <si>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</si>
  <si>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</si>
  <si>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</si>
  <si>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</si>
  <si>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</si>
  <si>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</si>
  <si>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</si>
  <si>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</si>
  <si>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</si>
  <si>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</si>
  <si>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</si>
  <si>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</si>
  <si>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</si>
  <si>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</si>
  <si>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</si>
  <si>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</si>
  <si>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</si>
  <si>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</si>
  <si>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</si>
  <si>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</si>
  <si>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</si>
  <si>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</si>
  <si>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</si>
  <si>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</si>
  <si>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</si>
  <si>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</si>
  <si>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</si>
  <si>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</si>
  <si>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</si>
  <si>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</si>
  <si>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</si>
  <si>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</si>
  <si>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</si>
  <si>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</si>
  <si>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</si>
  <si>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</si>
  <si>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</si>
  <si>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</si>
  <si>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</si>
  <si>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</si>
  <si>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</si>
  <si>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</si>
  <si>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</si>
  <si>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</si>
  <si>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</si>
  <si>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</si>
  <si>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</si>
  <si>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</si>
  <si>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</si>
  <si>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</si>
  <si>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</si>
  <si>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</si>
  <si>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</si>
  <si>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</si>
  <si>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</si>
  <si>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</si>
  <si>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</si>
  <si>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</si>
  <si>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</si>
  <si>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</si>
  <si>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</si>
  <si>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</si>
  <si>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</si>
  <si>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</si>
  <si>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</si>
  <si>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</si>
  <si>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</si>
  <si>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</si>
  <si>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</si>
  <si>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</si>
  <si>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</si>
  <si>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</si>
  <si>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</si>
  <si>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</si>
  <si>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</si>
  <si>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</si>
  <si>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</si>
  <si>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</si>
  <si>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</si>
  <si>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</si>
  <si>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</si>
  <si>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</si>
  <si>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</si>
  <si>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</si>
  <si>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</si>
  <si>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</si>
  <si>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</si>
  <si>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</si>
  <si>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</si>
  <si>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</si>
  <si>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</si>
  <si>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</si>
  <si>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</si>
  <si>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</si>
  <si>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</si>
  <si>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</si>
  <si>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</si>
  <si>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</si>
  <si>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</si>
  <si>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</si>
  <si>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</si>
  <si>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</si>
  <si>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</si>
  <si>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</si>
  <si>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</si>
  <si>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</si>
  <si>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</si>
  <si>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</si>
  <si>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</si>
  <si>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</si>
  <si>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</si>
  <si>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</si>
  <si>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</si>
  <si>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</si>
  <si>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</si>
  <si>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</si>
  <si>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</si>
  <si>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</si>
  <si>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</si>
  <si>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</si>
  <si>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</si>
  <si>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</si>
  <si>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</si>
  <si>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</si>
  <si>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</si>
  <si>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</si>
  <si>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</si>
  <si>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</si>
  <si>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</si>
  <si>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</si>
  <si>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</si>
  <si>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</si>
  <si>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</si>
  <si>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</si>
  <si>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</si>
  <si>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</si>
  <si>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</si>
  <si>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</si>
  <si>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</si>
  <si>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</si>
  <si>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</si>
  <si>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</si>
  <si>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</si>
  <si>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</si>
  <si>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</si>
  <si>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</si>
  <si>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</si>
  <si>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</si>
  <si>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</si>
  <si>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</si>
  <si>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</si>
  <si>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</si>
  <si>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</si>
  <si>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</si>
  <si>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</si>
  <si>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</si>
  <si>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</si>
  <si>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</si>
  <si>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</si>
  <si>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</si>
  <si>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</si>
  <si>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</si>
  <si>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</si>
  <si>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</si>
  <si>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</si>
  <si>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</si>
  <si>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</si>
  <si>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</si>
  <si>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</si>
  <si>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</si>
  <si>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</si>
  <si>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</si>
  <si>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</si>
  <si>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</si>
  <si>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</si>
  <si>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</si>
  <si>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</si>
  <si>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</si>
  <si>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</si>
  <si>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</si>
  <si>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</si>
  <si>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</si>
  <si>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</si>
  <si>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</si>
  <si>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</si>
  <si>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</si>
  <si>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</si>
  <si>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</si>
  <si>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</si>
  <si>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</si>
  <si>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</si>
  <si>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</si>
  <si>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</si>
  <si>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</si>
  <si>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</si>
  <si>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</si>
  <si>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</si>
  <si>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</si>
  <si>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</si>
  <si>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</si>
  <si>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</si>
  <si>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</si>
  <si>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</si>
  <si>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</si>
  <si>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</si>
  <si>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</si>
  <si>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</si>
  <si>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</si>
  <si>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</si>
  <si>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</si>
  <si>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</si>
  <si>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</si>
  <si>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</si>
  <si>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</si>
  <si>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</si>
  <si>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</si>
  <si>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</si>
  <si>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</si>
  <si>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</si>
  <si>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</si>
  <si>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</si>
  <si>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</si>
  <si>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</si>
  <si>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</si>
  <si>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</si>
  <si>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</si>
  <si>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</si>
  <si>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</si>
  <si>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</si>
  <si>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</si>
  <si>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</si>
  <si>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</si>
  <si>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</si>
  <si>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</si>
  <si>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</si>
  <si>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</si>
  <si>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</si>
  <si>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</si>
  <si>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</si>
  <si>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</si>
  <si>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</si>
  <si>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</si>
  <si>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</si>
  <si>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</si>
  <si>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</si>
  <si>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</si>
  <si>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</si>
  <si>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</si>
  <si>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</si>
  <si>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</si>
  <si>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</si>
  <si>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</si>
  <si>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</si>
  <si>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</si>
  <si>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</si>
  <si>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</si>
  <si>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</si>
  <si>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</si>
  <si>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</si>
  <si>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</si>
  <si>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</si>
  <si>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</si>
  <si>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</si>
  <si>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</si>
  <si>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</si>
  <si>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</si>
  <si>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</si>
  <si>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</si>
  <si>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</si>
  <si>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</si>
  <si>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</si>
  <si>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</si>
  <si>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</si>
  <si>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</si>
  <si>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</si>
  <si>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</si>
  <si>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</si>
  <si>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</si>
  <si>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</si>
  <si>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</si>
  <si>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</si>
  <si>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</si>
  <si>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</si>
  <si>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</si>
  <si>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</si>
  <si>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</si>
  <si>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</si>
  <si>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</si>
  <si>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</si>
  <si>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</si>
  <si>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</si>
  <si>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</si>
  <si>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</si>
  <si>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</si>
  <si>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</si>
  <si>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</si>
  <si>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</si>
  <si>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</si>
  <si>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</si>
  <si>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</si>
  <si>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</si>
  <si>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</si>
  <si>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</si>
  <si>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</si>
  <si>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</si>
  <si>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</si>
  <si>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</si>
  <si>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</si>
  <si>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</si>
  <si>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</si>
  <si>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</si>
  <si>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</si>
  <si>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</si>
  <si>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</si>
  <si>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</si>
  <si>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</si>
  <si>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</si>
  <si>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</si>
  <si>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</si>
  <si>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</si>
  <si>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</si>
  <si>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</si>
  <si>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</si>
  <si>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</si>
  <si>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</si>
  <si>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</si>
  <si>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</si>
  <si>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</si>
  <si>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</si>
  <si>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</si>
  <si>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</si>
  <si>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</si>
  <si>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</si>
  <si>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</si>
  <si>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</si>
  <si>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</si>
  <si>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</si>
  <si>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</si>
  <si>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</si>
  <si>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</si>
  <si>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</si>
  <si>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</si>
  <si>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</si>
  <si>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</si>
  <si>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</si>
  <si>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</si>
  <si>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</si>
  <si>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</si>
  <si>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</si>
  <si>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</si>
  <si>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</si>
  <si>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</si>
  <si>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</si>
  <si>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</si>
  <si>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</si>
  <si>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</si>
  <si>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</si>
  <si>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</si>
  <si>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</si>
  <si>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</si>
  <si>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</si>
  <si>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</si>
  <si>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</si>
  <si>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</si>
  <si>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</si>
  <si>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</si>
  <si>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</si>
  <si>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</si>
  <si>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</si>
  <si>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</si>
  <si>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</si>
  <si>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</si>
  <si>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</si>
  <si>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</si>
  <si>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</si>
  <si>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</si>
  <si>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</si>
  <si>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</si>
  <si>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</si>
  <si>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</si>
  <si>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</si>
  <si>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</si>
  <si>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</si>
  <si>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</si>
  <si>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</si>
  <si>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</si>
  <si>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</si>
  <si>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</si>
  <si>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</si>
  <si>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</si>
  <si>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</si>
  <si>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</si>
  <si>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</si>
  <si>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</si>
  <si>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</si>
  <si>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</si>
  <si>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</si>
  <si>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</si>
  <si>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</si>
  <si>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</si>
  <si>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</si>
  <si>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</si>
  <si>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</si>
  <si>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</si>
  <si>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</si>
  <si>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</si>
  <si>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</si>
  <si>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</si>
  <si>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</si>
  <si>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</si>
  <si>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</si>
  <si>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</si>
  <si>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</si>
  <si>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</si>
  <si>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</si>
  <si>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</si>
  <si>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</si>
  <si>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</si>
  <si>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</si>
  <si>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</si>
  <si>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</si>
  <si>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</si>
  <si>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</si>
  <si>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</si>
  <si>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</si>
  <si>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</si>
  <si>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</si>
  <si>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</si>
  <si>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</si>
  <si>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</si>
  <si>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</si>
  <si>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</si>
  <si>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</si>
  <si>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</si>
  <si>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</si>
  <si>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</si>
  <si>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</si>
  <si>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</si>
  <si>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</si>
  <si>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</si>
  <si>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</si>
  <si>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</si>
  <si>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</si>
  <si>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</si>
  <si>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</si>
  <si>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</si>
  <si>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</si>
  <si>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</si>
  <si>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</si>
  <si>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</si>
  <si>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</si>
  <si>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</si>
  <si>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</si>
  <si>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</si>
  <si>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</si>
  <si>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</si>
  <si>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</si>
  <si>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</si>
  <si>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</si>
  <si>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</si>
  <si>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</si>
  <si>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</si>
  <si>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</si>
  <si>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</si>
  <si>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</si>
  <si>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</si>
  <si>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</si>
  <si>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</si>
  <si>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</si>
  <si>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</si>
  <si>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</si>
  <si>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</si>
  <si>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</si>
  <si>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</si>
  <si>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</si>
  <si>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</si>
  <si>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</si>
  <si>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</si>
  <si>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</si>
  <si>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</si>
  <si>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</si>
  <si>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</si>
  <si>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</si>
  <si>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</si>
  <si>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</si>
  <si>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</si>
  <si>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</si>
  <si>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</si>
  <si>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</si>
  <si>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</si>
  <si>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</si>
  <si>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</si>
  <si>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</si>
  <si>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</si>
  <si>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</si>
  <si>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</si>
  <si>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</si>
  <si>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</si>
  <si>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</si>
  <si>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</si>
  <si>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</si>
  <si>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</si>
  <si>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</si>
  <si>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</si>
  <si>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</si>
  <si>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</si>
  <si>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</si>
  <si>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</si>
  <si>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</si>
  <si>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</si>
  <si>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</si>
  <si>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</si>
  <si>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</si>
  <si>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</si>
  <si>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</si>
  <si>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</si>
  <si>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</si>
  <si>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</si>
  <si>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</si>
  <si>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</si>
  <si>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</si>
  <si>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</si>
  <si>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</si>
  <si>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</si>
  <si>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</si>
  <si>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</si>
  <si>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</si>
  <si>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</si>
  <si>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</si>
  <si>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</si>
  <si>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</si>
  <si>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</si>
  <si>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</si>
  <si>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</si>
  <si>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</si>
  <si>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</si>
  <si>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</si>
  <si>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</si>
  <si>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</si>
  <si>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</si>
  <si>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</si>
  <si>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</si>
  <si>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</si>
  <si>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</si>
  <si>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</si>
  <si>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</si>
  <si>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</si>
  <si>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</si>
  <si>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</si>
  <si>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</si>
  <si>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</si>
  <si>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</si>
  <si>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</si>
  <si>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</si>
  <si>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</si>
  <si>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</si>
  <si>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</si>
  <si>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</si>
  <si>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</si>
  <si>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</si>
  <si>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</si>
  <si>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</si>
  <si>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</si>
  <si>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</si>
  <si>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</si>
  <si>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</si>
  <si>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</si>
  <si>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</si>
  <si>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</si>
  <si>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</si>
  <si>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</si>
  <si>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</si>
  <si>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</si>
  <si>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</si>
  <si>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</si>
  <si>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</si>
  <si>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</si>
  <si>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</si>
  <si>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</si>
  <si>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</si>
  <si>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</si>
  <si>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</si>
  <si>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</si>
  <si>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</si>
  <si>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</si>
  <si>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</si>
  <si>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</si>
  <si>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</si>
  <si>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</si>
  <si>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</si>
  <si>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</si>
  <si>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</si>
  <si>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</si>
  <si>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</si>
  <si>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</si>
  <si>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</si>
  <si>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</si>
  <si>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</si>
  <si>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</si>
  <si>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</si>
  <si>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</si>
  <si>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</si>
  <si>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</si>
  <si>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</si>
  <si>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</si>
  <si>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</si>
  <si>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</si>
  <si>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</si>
  <si>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</si>
  <si>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</si>
  <si>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</si>
  <si>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</si>
  <si>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</si>
  <si>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</si>
  <si>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</si>
  <si>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</si>
  <si>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</si>
  <si>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</si>
  <si>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</si>
  <si>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</si>
  <si>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</si>
  <si>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</si>
  <si>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</si>
  <si>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</si>
  <si>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</si>
  <si>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</si>
  <si>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</si>
  <si>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</si>
  <si>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</si>
  <si>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</si>
  <si>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</si>
  <si>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</si>
  <si>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</si>
  <si>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</si>
  <si>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</si>
  <si>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</si>
  <si>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</si>
  <si>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</si>
  <si>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</si>
  <si>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</si>
  <si>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</si>
  <si>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</si>
  <si>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</si>
  <si>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</si>
  <si>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</si>
  <si>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</si>
  <si>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</si>
  <si>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</si>
  <si>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</si>
  <si>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</si>
  <si>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</si>
  <si>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</si>
  <si>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</si>
  <si>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</si>
  <si>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</si>
  <si>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</si>
  <si>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</si>
  <si>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</si>
  <si>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</si>
  <si>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</si>
  <si>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</si>
  <si>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</si>
  <si>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</si>
  <si>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</si>
  <si>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</si>
  <si>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</si>
  <si>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</si>
  <si>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</si>
  <si>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</si>
  <si>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</si>
  <si>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</si>
  <si>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</si>
  <si>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</si>
  <si>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</si>
  <si>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</si>
  <si>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</si>
  <si>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</si>
  <si>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</si>
  <si>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</si>
  <si>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</si>
  <si>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</si>
  <si>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</si>
  <si>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</si>
  <si>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</si>
  <si>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</si>
  <si>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</si>
  <si>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</si>
  <si>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</si>
  <si>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</si>
  <si>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</si>
  <si>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</si>
  <si>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</si>
  <si>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</si>
  <si>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</si>
  <si>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</si>
  <si>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</si>
  <si>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</si>
  <si>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</si>
  <si>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</si>
  <si>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</si>
  <si>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</si>
  <si>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</si>
  <si>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</si>
  <si>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</si>
  <si>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</si>
  <si>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</si>
  <si>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</si>
  <si>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</si>
  <si>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</si>
  <si>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</si>
  <si>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</si>
  <si>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</si>
  <si>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</si>
  <si>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</si>
  <si>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</si>
  <si>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</si>
  <si>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</si>
  <si>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</si>
  <si>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</si>
  <si>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</si>
  <si>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</si>
  <si>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</si>
  <si>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</si>
  <si>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</si>
  <si>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</si>
  <si>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</si>
  <si>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</si>
  <si>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</si>
  <si>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</si>
  <si>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</si>
  <si>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</si>
  <si>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</si>
  <si>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</si>
  <si>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</si>
  <si>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</si>
  <si>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</si>
  <si>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</si>
  <si>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</si>
  <si>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</si>
  <si>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</si>
  <si>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</si>
  <si>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</si>
  <si>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</si>
  <si>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</si>
  <si>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</si>
  <si>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</si>
  <si>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</si>
  <si>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</si>
  <si>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</si>
  <si>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</si>
  <si>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</si>
  <si>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</si>
  <si>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</si>
  <si>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</si>
  <si>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</si>
  <si>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</si>
  <si>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</si>
  <si>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</si>
  <si>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</si>
  <si>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</si>
  <si>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</si>
  <si>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</si>
  <si>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</si>
  <si>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</si>
  <si>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</si>
  <si>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</si>
  <si>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</si>
  <si>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</si>
  <si>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</si>
  <si>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</si>
  <si>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</si>
  <si>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</si>
  <si>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</si>
  <si>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</si>
  <si>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</si>
  <si>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</si>
  <si>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</si>
  <si>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</si>
  <si>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</si>
  <si>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</si>
  <si>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</si>
  <si>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</si>
  <si>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</si>
  <si>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</si>
  <si>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</si>
  <si>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</si>
  <si>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</si>
  <si>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</si>
  <si>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</si>
  <si>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</si>
  <si>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</si>
  <si>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</si>
  <si>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</si>
  <si>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</si>
  <si>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</si>
  <si>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</si>
  <si>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</si>
  <si>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</si>
  <si>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</si>
  <si>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</si>
  <si>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</si>
  <si>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</si>
  <si>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</si>
  <si>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</si>
  <si>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</si>
  <si>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</si>
  <si>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</si>
  <si>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</si>
  <si>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</si>
  <si>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</si>
  <si>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</si>
  <si>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</si>
  <si>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</si>
  <si>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</si>
  <si>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</si>
  <si>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</si>
  <si>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</si>
  <si>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</si>
  <si>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</si>
  <si>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</si>
  <si>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</si>
  <si>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</si>
  <si>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</si>
  <si>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</si>
  <si>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</si>
  <si>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</si>
  <si>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</si>
  <si>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</si>
  <si>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</si>
  <si>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</si>
  <si>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</si>
  <si>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</si>
  <si>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</si>
  <si>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</si>
  <si>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</si>
  <si>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</si>
  <si>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</si>
  <si>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</si>
  <si>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</si>
  <si>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</si>
  <si>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</si>
  <si>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</si>
  <si>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</si>
  <si>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</si>
  <si>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</si>
  <si>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</si>
  <si>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</si>
  <si>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</si>
  <si>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</si>
  <si>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</si>
  <si>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</si>
  <si>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</si>
  <si>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</si>
  <si>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</si>
  <si>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</si>
  <si>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</si>
  <si>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</si>
  <si>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</si>
  <si>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</si>
  <si>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</si>
  <si>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</si>
  <si>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</si>
  <si>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</si>
  <si>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</si>
  <si>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</si>
  <si>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</si>
  <si>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</si>
  <si>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</si>
  <si>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</si>
  <si>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</si>
  <si>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</si>
  <si>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</si>
  <si>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</si>
  <si>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</si>
  <si>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</si>
  <si>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</si>
  <si>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</si>
  <si>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</si>
  <si>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</si>
  <si>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</si>
  <si>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</si>
  <si>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</si>
  <si>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</si>
  <si>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</si>
  <si>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</si>
  <si>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</si>
  <si>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</si>
  <si>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</si>
  <si>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</si>
  <si>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</si>
  <si>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</si>
  <si>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</si>
  <si>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</si>
  <si>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</si>
  <si>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</si>
  <si>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</si>
  <si>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</si>
  <si>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</si>
  <si>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</si>
  <si>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</si>
  <si>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</si>
  <si>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</si>
  <si>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</si>
  <si>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</si>
  <si>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</si>
  <si>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</si>
  <si>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</si>
  <si>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</si>
  <si>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</si>
  <si>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</si>
  <si>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</si>
  <si>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</si>
  <si>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</si>
  <si>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</si>
  <si>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</si>
  <si>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</si>
  <si>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</si>
  <si>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</si>
  <si>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</si>
  <si>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</si>
  <si>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</si>
  <si>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</si>
  <si>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</si>
  <si>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</si>
  <si>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</si>
  <si>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</si>
  <si>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</si>
  <si>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</si>
  <si>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</si>
  <si>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</si>
  <si>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</si>
  <si>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</si>
  <si>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</si>
  <si>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</si>
  <si>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</si>
  <si>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</si>
  <si>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</si>
  <si>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</si>
  <si>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</si>
  <si>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</si>
  <si>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</si>
  <si>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</si>
  <si>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</si>
  <si>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</si>
  <si>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</si>
  <si>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</si>
  <si>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</si>
  <si>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</si>
  <si>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</si>
  <si>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</si>
  <si>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</si>
  <si>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</si>
  <si>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</si>
  <si>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</si>
  <si>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</si>
  <si>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</si>
  <si>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</si>
  <si>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</si>
  <si>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</si>
  <si>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</si>
  <si>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</si>
  <si>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</si>
  <si>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</si>
  <si>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</si>
  <si>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</si>
  <si>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</si>
  <si>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</si>
  <si>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</si>
  <si>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</si>
  <si>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</si>
  <si>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</si>
  <si>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</si>
  <si>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</si>
  <si>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</si>
  <si>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</si>
  <si>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</si>
  <si>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</si>
  <si>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</si>
  <si>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</si>
  <si>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</si>
  <si>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</si>
  <si>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</si>
  <si>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</si>
  <si>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</si>
  <si>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</si>
  <si>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</si>
  <si>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</si>
  <si>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</si>
  <si>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</si>
  <si>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</si>
  <si>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</si>
  <si>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</si>
  <si>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</si>
  <si>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</si>
  <si>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</si>
  <si>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</si>
  <si>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</si>
  <si>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</si>
  <si>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</si>
  <si>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</si>
  <si>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</si>
  <si>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</si>
  <si>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</si>
  <si>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</si>
  <si>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</si>
  <si>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</si>
  <si>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</si>
  <si>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</si>
  <si>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</si>
  <si>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</si>
  <si>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</si>
  <si>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</si>
  <si>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</si>
  <si>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</si>
  <si>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</si>
  <si>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</si>
  <si>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</si>
  <si>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</si>
  <si>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</si>
  <si>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</si>
  <si>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</si>
  <si>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</si>
  <si>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</si>
  <si>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</si>
  <si>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</si>
  <si>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</si>
  <si>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</si>
  <si>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</si>
  <si>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</si>
  <si>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</si>
  <si>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</si>
  <si>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</si>
  <si>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</si>
  <si>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</si>
  <si>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</si>
  <si>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</si>
  <si>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</si>
  <si>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</si>
  <si>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</si>
  <si>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</si>
  <si>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</si>
  <si>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</si>
  <si>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</si>
  <si>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</si>
  <si>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</si>
  <si>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</si>
  <si>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</si>
  <si>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</si>
  <si>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</si>
  <si>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</si>
  <si>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</si>
  <si>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</si>
  <si>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</si>
  <si>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</si>
  <si>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</si>
  <si>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</si>
  <si>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</si>
  <si>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</si>
  <si>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</si>
  <si>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</si>
  <si>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</si>
  <si>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</si>
  <si>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</si>
  <si>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</si>
  <si>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</si>
  <si>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</si>
  <si>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</si>
  <si>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</si>
  <si>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</si>
  <si>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</si>
  <si>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</si>
  <si>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</si>
  <si>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</si>
  <si>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</si>
  <si>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</si>
  <si>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</si>
  <si>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</si>
  <si>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</si>
  <si>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</si>
  <si>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</si>
  <si>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</si>
  <si>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</si>
  <si>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</si>
  <si>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</si>
  <si>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</si>
  <si>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</si>
  <si>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</si>
  <si>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</si>
  <si>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</si>
  <si>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</si>
  <si>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</si>
  <si>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</si>
  <si>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</si>
  <si>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</si>
  <si>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</si>
  <si>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</si>
  <si>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</si>
  <si>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</si>
  <si>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</si>
  <si>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</si>
  <si>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</si>
  <si>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</si>
  <si>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</si>
  <si>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</si>
  <si>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</si>
  <si>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</si>
  <si>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</si>
  <si>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</si>
  <si>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</si>
  <si>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</si>
  <si>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</si>
  <si>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</si>
  <si>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</si>
  <si>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</si>
  <si>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</si>
  <si>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</si>
  <si>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</si>
  <si>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</si>
  <si>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</si>
  <si>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</si>
  <si>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</si>
  <si>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</si>
  <si>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</si>
  <si>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</si>
  <si>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</si>
  <si>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</si>
  <si>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</si>
  <si>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</si>
  <si>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</si>
  <si>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</si>
  <si>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</si>
  <si>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</si>
  <si>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</si>
  <si>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</si>
  <si>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</si>
  <si>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</si>
  <si>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</si>
  <si>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</si>
  <si>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</si>
  <si>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</si>
  <si>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</si>
  <si>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</si>
  <si>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</si>
  <si>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</si>
  <si>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</si>
  <si>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</si>
  <si>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</si>
  <si>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</si>
  <si>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</si>
  <si>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</si>
  <si>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</si>
  <si>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</si>
  <si>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</si>
  <si>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</si>
  <si>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</si>
  <si>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</si>
  <si>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</si>
  <si>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</si>
  <si>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</si>
  <si>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</si>
  <si>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</si>
  <si>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</si>
  <si>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</si>
  <si>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</si>
  <si>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</si>
  <si>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</si>
  <si>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</si>
  <si>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</si>
  <si>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</si>
  <si>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</si>
  <si>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</si>
  <si>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</si>
  <si>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</si>
  <si>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</si>
  <si>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</si>
  <si>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</si>
  <si>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</si>
  <si>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</si>
  <si>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</si>
  <si>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</si>
  <si>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</si>
  <si>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</si>
  <si>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</si>
  <si>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</si>
  <si>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</si>
  <si>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</si>
  <si>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</si>
  <si>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</si>
  <si>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</si>
  <si>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</si>
  <si>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</si>
  <si>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</si>
  <si>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</si>
  <si>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</si>
  <si>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</si>
  <si>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</si>
  <si>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</si>
  <si>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</si>
  <si>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</si>
  <si>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</si>
  <si>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</si>
  <si>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</si>
  <si>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</si>
  <si>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</si>
  <si>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</si>
  <si>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</si>
  <si>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</si>
  <si>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</si>
  <si>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</si>
  <si>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</si>
  <si>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</si>
  <si>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</si>
  <si>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</si>
  <si>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</si>
  <si>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</si>
  <si>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</si>
  <si>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</si>
  <si>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</si>
  <si>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</si>
  <si>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</si>
  <si>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</si>
  <si>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</si>
  <si>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</si>
  <si>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</si>
  <si>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</si>
  <si>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</si>
  <si>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</si>
  <si>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</si>
  <si>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</si>
  <si>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</si>
  <si>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</si>
  <si>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</si>
  <si>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</si>
  <si>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</si>
  <si>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</si>
  <si>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</si>
  <si>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</si>
  <si>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</si>
  <si>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</si>
  <si>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</si>
  <si>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</si>
  <si>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</si>
  <si>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</si>
  <si>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</si>
  <si>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</si>
  <si>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</si>
  <si>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</si>
  <si>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</si>
  <si>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</si>
  <si>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</si>
  <si>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</si>
  <si>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</si>
  <si>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</si>
  <si>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</si>
  <si>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</si>
  <si>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</si>
  <si>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</si>
  <si>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</si>
  <si>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</si>
  <si>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</si>
  <si>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</si>
  <si>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</si>
  <si>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</si>
  <si>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</si>
  <si>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</si>
  <si>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</si>
  <si>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</si>
  <si>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</si>
  <si>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</si>
  <si>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</si>
  <si>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</si>
  <si>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</si>
  <si>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</si>
  <si>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</si>
  <si>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</si>
  <si>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</si>
  <si>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</si>
  <si>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</si>
  <si>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</si>
  <si>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</si>
  <si>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</si>
  <si>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</si>
  <si>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</si>
  <si>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</si>
  <si>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</si>
  <si>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</si>
  <si>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</si>
  <si>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</si>
  <si>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</si>
  <si>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</si>
  <si>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</si>
  <si>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</si>
  <si>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</si>
  <si>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</si>
  <si>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</si>
  <si>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</si>
  <si>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</si>
  <si>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</si>
  <si>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</si>
  <si>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</si>
  <si>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</si>
  <si>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</si>
  <si>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</si>
  <si>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</si>
  <si>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</si>
  <si>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</si>
  <si>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</si>
  <si>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</si>
  <si>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</si>
  <si>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</si>
  <si>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</si>
  <si>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</si>
  <si>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</si>
  <si>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</si>
  <si>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</si>
  <si>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</si>
  <si>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</si>
  <si>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</si>
  <si>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</si>
  <si>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</si>
  <si>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</si>
  <si>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</si>
  <si>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</si>
  <si>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</si>
  <si>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</si>
  <si>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</si>
  <si>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</si>
  <si>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</si>
  <si>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</si>
  <si>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</si>
  <si>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</si>
  <si>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</si>
  <si>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</si>
  <si>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</si>
  <si>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</si>
  <si>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</si>
  <si>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</si>
  <si>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</si>
  <si>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</si>
  <si>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</si>
  <si>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</si>
  <si>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</si>
  <si>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</si>
  <si>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</si>
  <si>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</si>
  <si>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</si>
  <si>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</si>
  <si>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</si>
  <si>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</si>
  <si>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</si>
  <si>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</si>
  <si>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</si>
  <si>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</si>
  <si>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</si>
  <si>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</si>
  <si>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</si>
  <si>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</si>
  <si>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</si>
  <si>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</si>
  <si>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</si>
  <si>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</si>
  <si>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</si>
  <si>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</si>
  <si>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</si>
  <si>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</si>
  <si>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</si>
  <si>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</si>
  <si>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</si>
  <si>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</si>
  <si>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</si>
  <si>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</si>
  <si>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</si>
  <si>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</si>
  <si>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</si>
  <si>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</si>
  <si>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</si>
  <si>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</si>
  <si>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</si>
  <si>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</si>
  <si>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</si>
  <si>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</si>
  <si>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</si>
  <si>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</si>
  <si>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</si>
  <si>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</si>
  <si>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</si>
  <si>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</si>
  <si>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</si>
  <si>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</si>
  <si>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</si>
  <si>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</si>
  <si>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</si>
  <si>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</si>
  <si>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</si>
  <si>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</si>
  <si>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</si>
  <si>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</si>
  <si>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</si>
  <si>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</si>
  <si>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</si>
  <si>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</si>
  <si>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</si>
  <si>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</si>
  <si>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</si>
  <si>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</si>
  <si>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</si>
  <si>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</si>
  <si>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</si>
  <si>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</si>
  <si>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</si>
  <si>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</si>
  <si>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</si>
  <si>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</si>
  <si>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</si>
  <si>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</si>
  <si>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</si>
  <si>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</si>
  <si>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</si>
  <si>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</si>
  <si>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</si>
  <si>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</si>
  <si>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</si>
  <si>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</si>
  <si>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</si>
  <si>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</si>
  <si>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</si>
  <si>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</si>
  <si>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</si>
  <si>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</si>
  <si>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</si>
  <si>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</si>
  <si>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</si>
  <si>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</si>
  <si>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</si>
  <si>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</si>
  <si>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</si>
  <si>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</si>
  <si>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</si>
  <si>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</si>
  <si>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</si>
  <si>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</si>
  <si>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</si>
  <si>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</si>
  <si>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</si>
  <si>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</si>
  <si>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</si>
  <si>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</si>
  <si>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</si>
  <si>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</si>
  <si>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</si>
  <si>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</si>
  <si>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</si>
  <si>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</si>
  <si>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</si>
  <si>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</si>
  <si>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</si>
  <si>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</si>
  <si>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</si>
  <si>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</si>
  <si>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</si>
  <si>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</si>
  <si>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</si>
  <si>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</si>
  <si>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</si>
  <si>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</si>
  <si>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</si>
  <si>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</si>
  <si>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</si>
  <si>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</si>
  <si>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</si>
  <si>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</si>
  <si>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</si>
  <si>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</si>
  <si>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</si>
  <si>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</si>
  <si>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</si>
  <si>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</si>
  <si>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</si>
  <si>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</si>
  <si>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</si>
  <si>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</si>
  <si>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</si>
  <si>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</si>
  <si>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</si>
  <si>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</si>
  <si>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</si>
  <si>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</si>
  <si>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</si>
  <si>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</si>
  <si>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</si>
  <si>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</si>
  <si>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</si>
  <si>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</si>
  <si>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</si>
  <si>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</si>
  <si>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</si>
  <si>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</si>
  <si>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</si>
  <si>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</si>
  <si>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</si>
  <si>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</si>
  <si>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</si>
  <si>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</si>
  <si>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</si>
  <si>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</si>
  <si>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</si>
  <si>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</si>
  <si>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</si>
  <si>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</si>
  <si>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</si>
  <si>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</si>
  <si>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</si>
  <si>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</si>
  <si>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</si>
  <si>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</si>
  <si>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</si>
  <si>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</si>
  <si>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</si>
  <si>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</si>
  <si>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</si>
  <si>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</si>
  <si>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</si>
  <si>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</si>
  <si>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</si>
  <si>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</si>
  <si>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</si>
  <si>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</si>
  <si>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</si>
  <si>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</si>
  <si>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</si>
  <si>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</si>
  <si>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</si>
  <si>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</si>
  <si>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</si>
  <si>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</si>
  <si>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</si>
  <si>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</si>
  <si>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</si>
  <si>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</si>
  <si>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</si>
  <si>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</si>
  <si>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</si>
  <si>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</si>
  <si>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</si>
  <si>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</si>
  <si>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</si>
  <si>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</si>
  <si>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</si>
  <si>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</si>
  <si>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</si>
  <si>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</si>
  <si>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</si>
  <si>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</si>
  <si>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</si>
  <si>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</si>
  <si>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</si>
  <si>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</si>
  <si>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</si>
  <si>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</si>
  <si>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</si>
  <si>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</si>
  <si>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</si>
  <si>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</si>
  <si>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</si>
  <si>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</si>
  <si>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</si>
  <si>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</si>
  <si>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</si>
  <si>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</si>
  <si>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</si>
  <si>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</si>
  <si>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</si>
  <si>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</si>
  <si>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</si>
  <si>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</si>
  <si>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</si>
  <si>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</si>
  <si>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</si>
  <si>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</si>
  <si>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</si>
  <si>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</si>
  <si>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</si>
  <si>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</si>
  <si>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</si>
  <si>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</si>
  <si>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</si>
  <si>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</si>
  <si>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</si>
  <si>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</si>
  <si>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</si>
  <si>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</si>
  <si>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</si>
  <si>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</si>
  <si>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</si>
  <si>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</si>
  <si>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</si>
  <si>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</si>
  <si>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</si>
  <si>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</si>
  <si>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</si>
  <si>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</si>
  <si>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</si>
  <si>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</si>
  <si>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</si>
  <si>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</si>
  <si>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</si>
  <si>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</si>
  <si>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</si>
  <si>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</si>
  <si>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</si>
  <si>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</si>
  <si>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</si>
  <si>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</si>
  <si>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</si>
  <si>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</si>
  <si>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</si>
  <si>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</si>
  <si>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</si>
  <si>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</si>
  <si>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</si>
  <si>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</si>
  <si>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</si>
  <si>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</si>
  <si>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</si>
  <si>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</si>
  <si>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</si>
  <si>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</si>
  <si>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</si>
  <si>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</si>
  <si>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</si>
  <si>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</si>
  <si>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</si>
  <si>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</si>
  <si>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</si>
  <si>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</si>
  <si>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</si>
  <si>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</si>
  <si>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</si>
  <si>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</si>
  <si>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</si>
  <si>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</si>
  <si>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</si>
  <si>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</si>
  <si>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</si>
  <si>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</si>
  <si>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</si>
  <si>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</si>
  <si>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</si>
  <si>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</si>
  <si>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</si>
  <si>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</si>
  <si>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</si>
  <si>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</si>
  <si>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</si>
  <si>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</si>
  <si>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</si>
  <si>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</si>
  <si>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</si>
  <si>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</si>
  <si>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</si>
  <si>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</si>
  <si>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</si>
  <si>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</si>
  <si>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</si>
  <si>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</si>
  <si>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</si>
  <si>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</si>
  <si>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</si>
  <si>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</si>
  <si>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</si>
  <si>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</si>
  <si>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</si>
  <si>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</si>
  <si>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</si>
  <si>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</si>
  <si>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</si>
  <si>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</si>
  <si>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</si>
  <si>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</si>
  <si>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</si>
  <si>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</si>
  <si>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</si>
  <si>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</si>
  <si>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</si>
  <si>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</si>
  <si>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</si>
  <si>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</si>
  <si>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</si>
  <si>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</si>
  <si>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</si>
  <si>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</si>
  <si>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</si>
  <si>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</si>
  <si>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</si>
  <si>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</si>
  <si>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</si>
  <si>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</si>
  <si>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</si>
  <si>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</si>
  <si>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</si>
  <si>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</si>
  <si>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</si>
  <si>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</si>
  <si>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</si>
  <si>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</si>
  <si>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</si>
  <si>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</si>
  <si>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</si>
  <si>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</si>
  <si>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</si>
  <si>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</si>
  <si>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</si>
  <si>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</si>
  <si>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</si>
  <si>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</si>
  <si>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</si>
  <si>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</si>
  <si>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</si>
  <si>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</si>
  <si>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</si>
  <si>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</si>
  <si>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</si>
  <si>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</si>
  <si>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</si>
  <si>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</si>
  <si>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</si>
  <si>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</si>
  <si>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</si>
  <si>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</si>
  <si>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</si>
  <si>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</si>
  <si>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</si>
  <si>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</si>
  <si>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</si>
  <si>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</si>
  <si>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</si>
  <si>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</si>
  <si>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</si>
  <si>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</si>
  <si>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</si>
  <si>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</si>
  <si>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</si>
  <si>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</si>
  <si>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</si>
  <si>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</si>
  <si>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</si>
  <si>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</si>
  <si>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</si>
  <si>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</si>
  <si>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</si>
  <si>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</si>
  <si>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</si>
  <si>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</si>
  <si>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</si>
  <si>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</si>
  <si>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</si>
  <si>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</si>
  <si>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</si>
  <si>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</si>
  <si>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</si>
  <si>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</si>
  <si>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</si>
  <si>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</si>
  <si>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</si>
  <si>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</si>
  <si>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</si>
  <si>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</si>
  <si>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</si>
  <si>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</si>
  <si>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</si>
  <si>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</si>
  <si>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</si>
  <si>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</si>
  <si>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</si>
  <si>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</si>
  <si>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</si>
  <si>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</si>
  <si>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</si>
  <si>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</si>
  <si>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</si>
  <si>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</si>
  <si>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</si>
  <si>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</si>
  <si>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</si>
  <si>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</si>
  <si>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</si>
  <si>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</si>
  <si>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</si>
  <si>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</si>
  <si>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</si>
  <si>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</si>
  <si>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</si>
  <si>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</si>
  <si>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</si>
  <si>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</si>
  <si>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</si>
  <si>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</si>
  <si>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</si>
  <si>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</si>
  <si>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</si>
  <si>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</si>
  <si>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</si>
  <si>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</si>
  <si>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</si>
  <si>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</si>
  <si>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</si>
  <si>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</si>
  <si>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</si>
  <si>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</si>
  <si>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</si>
  <si>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</si>
  <si>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</si>
  <si>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</si>
  <si>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</si>
  <si>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</si>
  <si>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</si>
  <si>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</si>
  <si>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</si>
  <si>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</si>
  <si>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</si>
  <si>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</si>
  <si>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</si>
  <si>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</si>
  <si>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</si>
  <si>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</si>
  <si>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</si>
  <si>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</si>
  <si>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</si>
  <si>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</si>
  <si>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</si>
  <si>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</si>
  <si>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</si>
  <si>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</si>
  <si>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</si>
  <si>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</si>
  <si>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</si>
  <si>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</si>
  <si>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</si>
  <si>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</si>
  <si>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</si>
  <si>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</si>
  <si>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</si>
  <si>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</si>
  <si>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</si>
  <si>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</si>
  <si>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</si>
  <si>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</si>
  <si>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</si>
  <si>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</si>
  <si>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</si>
  <si>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</si>
  <si>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</si>
  <si>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</si>
  <si>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</si>
  <si>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</si>
  <si>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</si>
  <si>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</si>
  <si>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</si>
  <si>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</si>
  <si>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</si>
  <si>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</si>
  <si>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</si>
  <si>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</si>
  <si>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</si>
  <si>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</si>
  <si>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</si>
  <si>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</si>
  <si>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</si>
  <si>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</si>
  <si>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</si>
  <si>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</si>
  <si>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</si>
  <si>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</si>
  <si>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</si>
  <si>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</si>
  <si>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</si>
  <si>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</si>
  <si>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</si>
  <si>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</si>
  <si>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</si>
  <si>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</si>
  <si>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</si>
  <si>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</si>
  <si>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</si>
  <si>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</si>
  <si>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</si>
  <si>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</si>
  <si>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</si>
  <si>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</si>
  <si>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</si>
  <si>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</si>
  <si>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</si>
  <si>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</si>
  <si>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</si>
  <si>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</si>
  <si>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</si>
  <si>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</si>
  <si>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</si>
  <si>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</si>
  <si>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</si>
  <si>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</si>
  <si>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</si>
  <si>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</si>
  <si>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</si>
  <si>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</si>
  <si>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</si>
  <si>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</si>
  <si>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</si>
  <si>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</si>
  <si>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</si>
  <si>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</si>
  <si>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</si>
  <si>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</si>
  <si>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</si>
  <si>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</si>
  <si>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</si>
  <si>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</si>
  <si>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</si>
  <si>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</si>
  <si>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</si>
  <si>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</si>
  <si>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</si>
  <si>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</si>
  <si>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</si>
  <si>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</si>
  <si>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</si>
  <si>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</si>
  <si>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</si>
  <si>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</si>
  <si>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</si>
  <si>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</si>
  <si>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</si>
  <si>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</si>
  <si>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</si>
  <si>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</si>
  <si>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</si>
  <si>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</si>
  <si>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</si>
  <si>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</si>
  <si>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</si>
  <si>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</si>
  <si>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</si>
  <si>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</si>
  <si>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</si>
  <si>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</si>
  <si>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</si>
  <si>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</si>
  <si>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</si>
  <si>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</si>
  <si>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</si>
  <si>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</si>
  <si>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</si>
  <si>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</si>
  <si>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</si>
  <si>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</si>
  <si>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</si>
  <si>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</si>
  <si>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</si>
  <si>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</si>
  <si>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</si>
  <si>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</si>
  <si>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</si>
  <si>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</si>
  <si>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</si>
  <si>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</si>
  <si>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</si>
  <si>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</si>
  <si>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</si>
  <si>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</si>
  <si>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</si>
  <si>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</si>
  <si>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</si>
  <si>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</si>
  <si>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</si>
  <si>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</si>
  <si>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</si>
  <si>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</si>
  <si>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</si>
  <si>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</si>
  <si>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</si>
  <si>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</si>
  <si>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</si>
  <si>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</si>
  <si>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</si>
  <si>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</si>
  <si>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</si>
  <si>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</si>
  <si>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</si>
  <si>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</si>
  <si>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</si>
  <si>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</si>
  <si>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</si>
  <si>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</si>
  <si>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</si>
  <si>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</si>
  <si>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</si>
  <si>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</si>
  <si>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</si>
  <si>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</si>
  <si>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</si>
  <si>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</si>
  <si>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</si>
  <si>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</si>
  <si>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</si>
  <si>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</si>
  <si>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</si>
  <si>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</si>
  <si>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</si>
  <si>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</si>
  <si>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</si>
  <si>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</si>
  <si>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</si>
  <si>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</si>
  <si>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</si>
  <si>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</si>
  <si>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</si>
  <si>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</si>
  <si>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</si>
  <si>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</si>
  <si>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</si>
  <si>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</si>
  <si>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</si>
  <si>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</si>
  <si>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</si>
  <si>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</si>
  <si>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</si>
  <si>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</si>
  <si>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</si>
  <si>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</si>
  <si>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</si>
  <si>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</si>
  <si>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</si>
  <si>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</si>
  <si>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</si>
  <si>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</si>
  <si>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</si>
  <si>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</si>
  <si>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</si>
  <si>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</si>
  <si>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</si>
  <si>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</si>
  <si>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</si>
  <si>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</si>
  <si>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</si>
  <si>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</si>
  <si>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</si>
  <si>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</si>
  <si>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</si>
  <si>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</si>
  <si>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</si>
  <si>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</si>
  <si>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</si>
  <si>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</si>
  <si>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</si>
  <si>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</si>
  <si>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</si>
  <si>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</si>
  <si>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</si>
  <si>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</si>
  <si>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</si>
  <si>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</si>
  <si>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</si>
  <si>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</si>
  <si>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</si>
  <si>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</si>
  <si>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</si>
  <si>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</si>
  <si>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</si>
  <si>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</si>
  <si>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</si>
  <si>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</si>
  <si>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</si>
  <si>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</si>
  <si>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</si>
  <si>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</si>
  <si>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</si>
  <si>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</si>
  <si>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</si>
  <si>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</si>
  <si>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</si>
  <si>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</si>
  <si>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</si>
  <si>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</si>
  <si>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</si>
  <si>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</si>
  <si>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</si>
  <si>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</si>
  <si>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</si>
  <si>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</si>
  <si>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</si>
  <si>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</si>
  <si>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</si>
  <si>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</si>
  <si>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</si>
  <si>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</si>
  <si>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</si>
  <si>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</si>
  <si>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</si>
  <si>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</si>
  <si>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</si>
  <si>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</si>
  <si>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</si>
  <si>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</si>
  <si>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</si>
  <si>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</si>
  <si>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</si>
  <si>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</si>
  <si>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</si>
  <si>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</si>
  <si>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</si>
  <si>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</si>
  <si>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</si>
  <si>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</si>
  <si>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</si>
  <si>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</si>
  <si>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</si>
  <si>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</si>
  <si>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</si>
  <si>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</si>
  <si>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</si>
  <si>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</si>
  <si>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</si>
  <si>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</si>
  <si>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</si>
  <si>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</si>
  <si>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</si>
  <si>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</si>
  <si>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</si>
  <si>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</si>
  <si>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</si>
  <si>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</si>
  <si>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</si>
  <si>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</si>
  <si>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</si>
  <si>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</si>
  <si>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</si>
  <si>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</si>
  <si>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</si>
  <si>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</si>
  <si>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</si>
  <si>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</si>
  <si>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</si>
  <si>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</si>
  <si>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</si>
  <si>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</si>
  <si>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</si>
  <si>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</si>
  <si>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</si>
  <si>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</si>
  <si>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</si>
  <si>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</si>
  <si>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</si>
  <si>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</si>
  <si>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</si>
  <si>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</si>
  <si>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</si>
  <si>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</si>
  <si>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</si>
  <si>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</si>
  <si>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</si>
  <si>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</si>
  <si>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</si>
  <si>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</si>
  <si>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</si>
  <si>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</si>
  <si>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</si>
  <si>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</si>
  <si>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</si>
  <si>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</si>
  <si>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</si>
  <si>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</si>
  <si>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</si>
  <si>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</si>
  <si>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</si>
  <si>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</si>
  <si>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</si>
  <si>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</si>
  <si>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</si>
  <si>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</si>
  <si>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</si>
  <si>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</si>
  <si>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</si>
  <si>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</si>
  <si>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</si>
  <si>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</si>
  <si>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</si>
  <si>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</si>
  <si>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</si>
  <si>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</si>
  <si>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</si>
  <si>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</si>
  <si>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</si>
  <si>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</si>
  <si>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</si>
  <si>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</si>
  <si>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</si>
  <si>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</si>
  <si>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</si>
  <si>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</si>
  <si>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</si>
  <si>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</si>
  <si>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</si>
  <si>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</si>
  <si>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</si>
  <si>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</si>
  <si>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</si>
  <si>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</si>
  <si>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</si>
  <si>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</si>
  <si>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</si>
  <si>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</si>
  <si>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Baris ke</t>
  </si>
  <si>
    <t>Eselon 2</t>
  </si>
  <si>
    <t>Sub Koordinator</t>
  </si>
  <si>
    <t>Eselon 2/PPK</t>
  </si>
  <si>
    <t>Pembagian Pagu</t>
  </si>
  <si>
    <t>Es2</t>
  </si>
  <si>
    <t>Koord</t>
  </si>
  <si>
    <t>SubKoord</t>
  </si>
  <si>
    <t>Format Cek data</t>
  </si>
  <si>
    <t>Tidak</t>
  </si>
  <si>
    <t>NSPK</t>
  </si>
  <si>
    <t>2375.AFA.001</t>
  </si>
  <si>
    <t>00.00. 1 -Penggandaan</t>
  </si>
  <si>
    <t>00.00. 2 -Snack dan Makan Rapat (1 pkt x 20 orang x 3 kali)</t>
  </si>
  <si>
    <t>00.00. 3 -ATK</t>
  </si>
  <si>
    <t>00.00. 4 -Bahan Komputer</t>
  </si>
  <si>
    <t>00.00. 1 -Honor Narasumber (5 org x 2 jam)</t>
  </si>
  <si>
    <t>00.00. 1 - Transport Lokal</t>
  </si>
  <si>
    <t>00.00. 1 -Uang Saku Rapat Lebih dari 8 Jam</t>
  </si>
  <si>
    <t>00.00. 1 -Fullday Meeting Peserta (50 Orang x 1 Hari x 1 Kali)</t>
  </si>
  <si>
    <t>00.00. 2 -Uang Saku Peserta (50 Orang x 1 Hari x 1 Kali)</t>
  </si>
  <si>
    <t>00.00. 3 -Transport Peserta Pusat, Narasumber dan Peserta Luar (50 Orang x 1 Hari x 1 Kali)</t>
  </si>
  <si>
    <t>00.00. 2 -Makanan Rapat (1 pkt x 20 orang x 8 kali)</t>
  </si>
  <si>
    <t>00.00. 3 -Snack Rapat (1 pkt x 20 orang x 8 kali)</t>
  </si>
  <si>
    <t>00.00. 4 -ATK</t>
  </si>
  <si>
    <t>00.00. 5 -Bahan Komputer</t>
  </si>
  <si>
    <t>00.00. 1 -Honor Narasumber (10 org x 2 jam)</t>
  </si>
  <si>
    <t>00.00. 1 -Transport Lokal</t>
  </si>
  <si>
    <t>00.00. 2 -Uang Saku Rapat Lebih dari 8 Jam</t>
  </si>
  <si>
    <t>00.00. 3 -Transportasi Peserta Pusat, Narasumber dan Peserta Luar (50 Orang x 1 Kali)</t>
  </si>
  <si>
    <t>00.00. 2 -Snack dan Makan Rapat (1 pkt x 15 orang x 2 kali)</t>
  </si>
  <si>
    <t>00.00. 1 -Perjalanan Dinas Supervisi, FGD, Sosialisasi, Koordinasi Sertifikasi dan Standardisasi Kompetensi SDMKP</t>
  </si>
  <si>
    <t>00.00. 1 -Transport lokal</t>
  </si>
  <si>
    <t>00.00. 2 -Snack dan Makan Rapat (20 Org x 8 Kali)</t>
  </si>
  <si>
    <t>00.00. 1 -Biaya Komunikasi Pulsa Data atau Paket Internet (6 Org x 12 Bln x 1 kali)</t>
  </si>
  <si>
    <t>00.00. 1 -Biaya Jasa Resertifikasi ISO</t>
  </si>
  <si>
    <t>00.00. 2 -Biaya Jasa Sistem Manual Mutu ISO 9001-2015</t>
  </si>
  <si>
    <t>00.00. 1 -Biaya Perjalanan Dinas Kegiatan Verfikasi P2MKP, Koordinasi dan Kegiatan Standardisasi Lembaga</t>
  </si>
  <si>
    <t>00.00. 2 -Biaya Perjalanan Dinas Kegiatan Survailance Sistem Manajemn Mutu ISO 9001-2015</t>
  </si>
  <si>
    <t>00.00. 1 -ATK</t>
  </si>
  <si>
    <t>00.00. 2 -Bahan Komputer</t>
  </si>
  <si>
    <t>00.00. 3 -Penggandaan</t>
  </si>
  <si>
    <t>00.00. 4 -Snack dan Makan Rapat (20 org x 3 pkt)</t>
  </si>
  <si>
    <t>00.00. 1 -Honor Narasumber (3 org x 2 jam)</t>
  </si>
  <si>
    <t>00.00. 1 -Biaya Perjalanan Penjaminan Mutu Diklat Aparatur</t>
  </si>
  <si>
    <t>00.00. 1 -Snack dan Makan Rapat (20 Org x 6 Kali)</t>
  </si>
  <si>
    <t>00.00. 2 -ATK</t>
  </si>
  <si>
    <t>00.00. 3 -Bahan Komputer</t>
  </si>
  <si>
    <t>00.00. 4 -Laporan Kinerja DPKP dan Komite</t>
  </si>
  <si>
    <t>00.00. 1 -Honor Narasumber (4 org x 3 jam)</t>
  </si>
  <si>
    <t>00.00. 1 -Perjalanan Menghadiri Undangan, Identifikasi, Koordinasi dan Sosialisasi Komite Approval</t>
  </si>
  <si>
    <t>00.00. 2 -Perjalanan Menghadiri Undangan, Supervisi, Koordinasi dan Pembinaan Pelaksana Ujian Keahlian</t>
  </si>
  <si>
    <t>00.00. 3 -Snack dan Makan Rapat Penyusunan GBPP (15 Org x 4 Paket x 1 kali)</t>
  </si>
  <si>
    <t>00.00. 3 -Snack dan Makan Rapat Penyusunan Modul (15 Org x 1 paket x 4 kali)</t>
  </si>
  <si>
    <t>00.00. 4 -Pencetakan Modul</t>
  </si>
  <si>
    <t>00.00. 1 -Penyusunan Modul Diklat</t>
  </si>
  <si>
    <t>00.00. 1 -Rapid Swab Antigen</t>
  </si>
  <si>
    <t>00.00. 1 -Perjalanan Dinas Identifikasi, FGD, Sosialisasi,Koordinasi Penyusunan Modul Pelatihan KP</t>
  </si>
  <si>
    <t>00.00. 1 -Transport Kegiatan Rapat/Pertemuan di Luar Kantor (20 Org x 4 Paket)</t>
  </si>
  <si>
    <t>00.00. 2 -Uang Harian Kegiatan Rapat/Pertemuan di Luar Kantor (20 Org x 4 Paket x 2 Hari)</t>
  </si>
  <si>
    <t>00.00. 3 -Paket Rapat Fullboard (20 Org x 4 Paket x 1 Hari)</t>
  </si>
  <si>
    <t>00.00. 3 -Snack dan Makan Rapat Penyusunan Kurikulum (15 Org x 2 paket x 1 kali)</t>
  </si>
  <si>
    <t>00.00. 3 -Snack dan Makan Rapat Penyusunan Modul (15 Org x 2 paket x 1 kali)</t>
  </si>
  <si>
    <t>00.00. 1 -Transport Kegiatan Rapat/Pertemuan di Luar Kantor (20 Org x 2 kali )</t>
  </si>
  <si>
    <t>00.00. 2 -Uang Harian Kegiatan Rapat/Pertemuan di Luar Kantor (20 Org x 2 Paket x 2 hari)</t>
  </si>
  <si>
    <t>00.00. 3 -Paket Meeting Fullboard (20 Org x 2 Paket x 1 Hari )</t>
  </si>
  <si>
    <t>00.00. 3 -Snack dan Makan Rapat (15 Org x 2 paket x 1 kali)</t>
  </si>
  <si>
    <t>00.00. 4 -Pencetakan Pedoman</t>
  </si>
  <si>
    <t>00.00. 2 - Bahan Komputer</t>
  </si>
  <si>
    <t>00.00. 3 - Penggandaan NSPK</t>
  </si>
  <si>
    <t>00.00. 4 - perlengkapan Peserta (20 orang x 2 kali)</t>
  </si>
  <si>
    <t>00.00. 5 -Snack dan Makan Rapat dalam Kota (20 org x 4 kali)</t>
  </si>
  <si>
    <t>00.00. 6 -Snack dan Makan Rapat luar Kota (20 org x 1 kali)</t>
  </si>
  <si>
    <t>00.00. 7 -Snack dan Makan pertemuan Sosialisasi/uji petik (20 orang x 2 lokasi)</t>
  </si>
  <si>
    <t>00.00. 1 -Biaya Komunikasi Data atau Paket Internet ( 6 ORG x 12 bulan)</t>
  </si>
  <si>
    <t>00.00. 1 - Honorarium Narasumber, Pembahas Esl II ( 1 org x 2 jam x 2 lokasi)</t>
  </si>
  <si>
    <t>00.00. 1 -Biaya PCR, Rapid, Swab Antigen (2 orang x 10 kali)</t>
  </si>
  <si>
    <t>00.00. 1 -Perjalanan tim pusat dalam rangka supervisi koordinasi dan sosialisasi NSPK (3 orang x 2 lokasi)</t>
  </si>
  <si>
    <t>00.00. 2 - Perjalanan koordinasi dan menghadiri undangan</t>
  </si>
  <si>
    <t>00.00. 1 -uang saku peserta rapat (20 orang)</t>
  </si>
  <si>
    <t>00.00. 2 - Perjalanan, Transport peserta rapat (20 orang)</t>
  </si>
  <si>
    <t>00.00. 3 -uang saku pertemuan sosialisasi, uji petik (20 orang x 2 lokasi )</t>
  </si>
  <si>
    <t>00.00. 4 - Perjalanan/transport peserta sosialisasi, uji petik (20 orang x 2 lokasi)</t>
  </si>
  <si>
    <t>00.00. 3 - Penggandaan</t>
  </si>
  <si>
    <t>00.00. 4 - Snack Rapat internal (20 orang x 2 kali)</t>
  </si>
  <si>
    <t>00.00. 5 -Snack dan Makan pertemuan pembinaan (25 orang x 4 kali)</t>
  </si>
  <si>
    <t>00.00. 1 -Honorarium Narasumber/Pembahas setara es. II 2 orang x 4 kali)</t>
  </si>
  <si>
    <t>00.00. 1 -Perjalanan dalam rangka supervisi koordinasi dan Pembinaan ketenagaan dan kelembagaan (2 orang x 4 lokasi)</t>
  </si>
  <si>
    <t>00.00. 4 -Snack dan Makan Rapat biasa dalam kota (20 orang x 2 kali)</t>
  </si>
  <si>
    <t>00.00. 5 -Snack dan Makan pertemuan penyuluh Swadaya (30 orang x 3 lokasi)</t>
  </si>
  <si>
    <t>00.00. 1 -Honorarium Narasumber/Pembahas setara es. II kebawah (2 Org x 1 jam x 3 lokasi)</t>
  </si>
  <si>
    <t>00.00. 1 -Perjalanan dalam rangka supervisi koordinasi dan Pembinaaan Penyuluh Perikanan Swadaya (2 orang x 3 Lokasi)</t>
  </si>
  <si>
    <t>00.00. 1 -Uang Saku Rapat (0 orang x 3 lokasi )</t>
  </si>
  <si>
    <t>00.00. 2 - Perjalanan/transport peserta (30 orang x 3 lokasi)</t>
  </si>
  <si>
    <t>00.00. 3 - Penggandaan dan Pencetakan</t>
  </si>
  <si>
    <t>00.00. 4 - Perlengkapan Peserta</t>
  </si>
  <si>
    <t>00.00. 5 -Snack dan Makan Rapat dalam kota (20 orang x 2 kali)</t>
  </si>
  <si>
    <t>00.00. 1 -Honorarium Narasumber/Pembahas Esl II ( 1 org x 2 jam x 2 kali)</t>
  </si>
  <si>
    <t>00.00. 1 -Fullday meetting luar kota (30 orang x 2 hari)</t>
  </si>
  <si>
    <t>00.00. 2 - Uang saku fullday (30 orang x 2 hari)</t>
  </si>
  <si>
    <t>00.00. 3 - Transport peserta (30 orang x 2 kali)</t>
  </si>
  <si>
    <t>00.00. 4 -Snack dan Makan Rapat Biasa (20 orang x 3 kali)</t>
  </si>
  <si>
    <t>00.00. 5 -Snack Rapat Rapat uji petik (20 orang x 2 kali x 2 lokasi)</t>
  </si>
  <si>
    <t>00.00. 6 -Makan Rapat Rapat uji petik (20 orang x 1 kali x 2 lokasi)</t>
  </si>
  <si>
    <t>00.00. 1 -Biaya Komunikasi Data atau Paket Internet (8 ORG x 12 bulan)</t>
  </si>
  <si>
    <t>00.00. 1 -Biaya Tes Rapid dan Swab PCR (9 ORG x 2 KALI)</t>
  </si>
  <si>
    <t>00.00. 1 -Perjalanan koordinasi dan menghadiri undangan</t>
  </si>
  <si>
    <t>00.00. 2 -Perjalanan pusat dalam rangka supervisi, koordinasi dan pembinaan NSPK</t>
  </si>
  <si>
    <t>00.00. 1 -Uang Saku Rapat (20 orang x 2 kali )</t>
  </si>
  <si>
    <t>00.00. 2 -Perjalanan/transport peserta (20 orang x 2 kali)</t>
  </si>
  <si>
    <t>00.00. 3 -Fotokopi, Penggandaan, Penjilidan Pelaporan</t>
  </si>
  <si>
    <t>00.00. 4 -Pencetakan Programa</t>
  </si>
  <si>
    <t>00.00. 5 -Snack dan Makan Rapat Biasa (20 orang x 4kali)</t>
  </si>
  <si>
    <t>00.00. 6 -Snack Rapat diluar kantor (20 orang x 2 kali x 2 lokasi)</t>
  </si>
  <si>
    <t>00.00. 7 -Makan Rapat diluar kantor (20 orang x 1 kali x 2 lokasi)</t>
  </si>
  <si>
    <t>00.00. 1 -Perjalanan Pengambilan Bahan dan Sosialisasi Programa</t>
  </si>
  <si>
    <t>00.00. 1 -Uang Saku Rapat (20 orang x 2 kali)</t>
  </si>
  <si>
    <t>00.00. 2 -Perjalanan, transport peserta (20 orang x 2 kali)</t>
  </si>
  <si>
    <t>00.00. 4 -Snack Peserta Vicon (10 org x 30 kali)</t>
  </si>
  <si>
    <t>00.00. 5 -Makan Peserta Vicon (10 org x 30 kali)</t>
  </si>
  <si>
    <t>00.00. 1 -Narasumber Es III kebawah (1 orang x 1 Jam x 10 kali)</t>
  </si>
  <si>
    <t>00.00. 1 -Perjalanan Vicon on the spot</t>
  </si>
  <si>
    <t>00.00. 3 -Fotokopi, penggandaan dan penjilidan laporan</t>
  </si>
  <si>
    <t>00.00. 4 -Snack Rapat biasa (20 orang x 4 kali)</t>
  </si>
  <si>
    <t>00.00. 5 -Makan Rapat (20 orang x 4 kali)</t>
  </si>
  <si>
    <t>00.00. 1 -Perjalanan Pengumpulan/hunting materi penyuluhan</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</si>
  <si>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</si>
  <si>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</si>
  <si>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</si>
  <si>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</si>
  <si>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</si>
  <si>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</si>
  <si>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</si>
  <si>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</si>
  <si>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</si>
  <si>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</si>
  <si>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</si>
  <si>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</si>
  <si>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</si>
  <si>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</si>
  <si>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</si>
  <si>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</si>
  <si>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</si>
  <si>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</si>
  <si>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</si>
  <si>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</si>
  <si>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</si>
  <si>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</si>
  <si>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</si>
  <si>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</si>
  <si>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</si>
  <si>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</si>
  <si>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1 -Pengadaan alat pengolah data dan komunikasi BRSDM</t>
  </si>
  <si>
    <t>00.00. 1 -Alat pengolah data dan komunikasi</t>
  </si>
  <si>
    <t>Layanan</t>
  </si>
  <si>
    <t>2378.EBA.956</t>
  </si>
  <si>
    <t>00.00. 1 -Penggandaan Koordinasi penyelesaian permasalahan pada Satker SUPM Sorong/Politeknik KP Sidoarjo/BPPP Medan/SUPM Waeheru/Politekni</t>
  </si>
  <si>
    <t>00.00. 2 - Penggandaan Laporan BMN UAKPB Sekretariat BRSDMP (Tahunan, Semester I Triwulan III)</t>
  </si>
  <si>
    <t>00.00. 2 -Bahan komputer</t>
  </si>
  <si>
    <t>00.00. 1 -Rapid Test (3 ORG x 6 KALI)</t>
  </si>
  <si>
    <t>00.00. 1 -Penyusunan Laporan Semesteran dan Triwulan (Sekretariat dan Eselon I BRSDM) Koordinasi, Rekonsiliasi, pembinaan dan sosialisasi ke</t>
  </si>
  <si>
    <t>00.00. 1 -Narasumber pejabat eselon III 2 ORG x 2 JAM x 3 kali</t>
  </si>
  <si>
    <t>00.00. 1 -Rapid Test (2 ORG x 8 KALI)</t>
  </si>
  <si>
    <t>00.00. 1 -Pengendalian Pengelolaan BMN ke Satker BRPBAP3 Maros/BBRBLPP Gondol/BRPSDI Jatiluhur/LPTK Wakatobi/Politeknik KP Sidoarjo/ SUPM So</t>
  </si>
  <si>
    <t>00.00. 1 -Transport lokal Pengelolaan BMN Lingkup BRSDM 2 ORG x 12 KALI</t>
  </si>
  <si>
    <t>00.00. 1 -Penggantian Pulsa/paket Internet (8 ORG x 12 KALI)</t>
  </si>
  <si>
    <t>00.00. 2 -Pengadaan lisensi aplikasi untuk penyelenggaraan rapat secara online/video conference berbayar</t>
  </si>
  <si>
    <t>00.00. 1 -Narasumber Eselon III 2 ORANG x 2 JAM x 4 KALI</t>
  </si>
  <si>
    <t>00.00. 1 -Rapid Test (2 ORG x 7 KALI)</t>
  </si>
  <si>
    <t>00.00. 1 -Koordinasi penyelesaian permasalahan pada Satker SUPM Sorong/Politeknik KP Sidoarjo/BPPP Medan/SUPM Waeheru/Politeknik KP Karawang</t>
  </si>
  <si>
    <t>00.00. 2 -Pendampingan Pemeriksaan Aparat Periksaan Keuangan</t>
  </si>
  <si>
    <t>00.00. 1 -Transport lokal 3 ORG x 12 KALI</t>
  </si>
  <si>
    <t>00.00. 1 -Perjalanan dalam kota lebih dari 8 jam 3 ORG x 6 KALI</t>
  </si>
  <si>
    <t>00.00. 2 -Transport lokal</t>
  </si>
  <si>
    <t>00.00. 4 -Backdrop</t>
  </si>
  <si>
    <t>00.00. 5 -Perlengkapan Peserta</t>
  </si>
  <si>
    <t>00.00. 1 -Narasumber setingkat eselon II 2 ORG x 2 JAM x 1 KALI</t>
  </si>
  <si>
    <t>00.00. 2 -Narasumber Setingkat Eselon III 4 ORG x 2 JAM x 1 KALI</t>
  </si>
  <si>
    <t>00.00. 1 -Uang harian peserta panitia 125 ORG x 4 HARI x 1 KALI</t>
  </si>
  <si>
    <t>00.00. 2 -Penginapan/Hotel Panitia Narasumber 27 ORG x 3 HARI</t>
  </si>
  <si>
    <t>00.00. 3 -Transport Panitia Narasumber Jakarta - Bogor 27 ORG x 1 KALI</t>
  </si>
  <si>
    <t>00.00. 1 -Nara sumber setingkat eselon III 2 ORG x 2 JAM x 2 KALI</t>
  </si>
  <si>
    <t>00.00. 1 -Rapid Test (3 ORG x 5 KALI)</t>
  </si>
  <si>
    <t>00.00. 1 -Penyelesaian PSP pada Satker Politeknik KP Bitung, Politeknik KP Karawang, Politeknik KP Kupang, BRPL, Politeknik KP Jembrana, Pol</t>
  </si>
  <si>
    <t>00.00. 2 -Penyelesaian Penghapusan pada Satker SUPM Ladong, BBRBLPP Gondol, Politeknik</t>
  </si>
  <si>
    <t>00.00. 1 -Narasumber Eselon II 1 ORG x 2 JAM x 1 KALI</t>
  </si>
  <si>
    <t>00.00. 2 -Narasumber Eselon III atau setara dibawahnya 5 ORG x 2 JAM x 1 KALI</t>
  </si>
  <si>
    <t>00.00. 1 -Dalam rangka Bimtek Pengelolaan BMN 40 ORG x 1 kali</t>
  </si>
  <si>
    <t>00.00. 2 -Komputer Supplies</t>
  </si>
  <si>
    <t>00.00. 1 -Nara sumber setingkat eselon III 2 ORANG x 2 JAM x 2 KALI</t>
  </si>
  <si>
    <t>00.00. 1 -Rapid Test (2 ORG x 4 KALI)</t>
  </si>
  <si>
    <t>00.00. 1 -Identifikasi pembinaan,sosialisasi dan koordinasi (3 ORG x 4 KALI)</t>
  </si>
  <si>
    <t>00.00. 1 -Transport lokal (2 ORG x 9 KALI)</t>
  </si>
  <si>
    <t>2378.EBA.957</t>
  </si>
  <si>
    <t>00.00. 1 -Penggandaan materi legislasi</t>
  </si>
  <si>
    <t>00.00. 2 -Pencetakan Dokumen Perundang-Undangan</t>
  </si>
  <si>
    <t>00.00. 1 -Biaya Biaya komunikasi dlm bentuk pulsa telepon atau paket data internet (8 orang x 12 bulan)</t>
  </si>
  <si>
    <t>00.00. 2 -Komputer Suplies</t>
  </si>
  <si>
    <t>00.00. 1 -Narasumber (2 Orang x 2 jam x 2 Kali)</t>
  </si>
  <si>
    <t>00.00. 1 -Dalam rangka penyusunan perturan perundang-undangan, harmonisasi , pembahasan rancangan permen, rancangan kepmen</t>
  </si>
  <si>
    <t>00.00. 1 -Perjalanan dalam Kota Lebih dari 8 Jam</t>
  </si>
  <si>
    <t>00.00. 2 -Transport Lokal</t>
  </si>
  <si>
    <t>00.00. 1 -Penggandaan dan penjilidan materi advokasi hukum</t>
  </si>
  <si>
    <t>00.00. 1 -Honorarium Pemberi Keterangan Ahli/Saksi Ahli</t>
  </si>
  <si>
    <t>00.00. 2 -Honorarium Beracara</t>
  </si>
  <si>
    <t>00.00. 1 -Dalam rangka melakukan pendampingan/bantuan hukum/ advokasi hukum</t>
  </si>
  <si>
    <t>2378.EBA.958</t>
  </si>
  <si>
    <t>00.00. 1 -Pencetakan Buku AMAFRAD Press</t>
  </si>
  <si>
    <t>01.00. 1 &gt; Honor Tim Produksi Pubikasi</t>
  </si>
  <si>
    <t>01.00. 2 -Ketua 1 ORG x 12 BLN</t>
  </si>
  <si>
    <t>01.00. 3 -Sekretaris 1 ORG x 12 BLN</t>
  </si>
  <si>
    <t>01.00. 4 -Anggota 5 ORG x 12 BLN</t>
  </si>
  <si>
    <t>01.01. 5 &gt;&gt; Honor Tim AMAFRAD Press</t>
  </si>
  <si>
    <t>01.01. 6 -Redaktur 2 ORG x 20 TERB</t>
  </si>
  <si>
    <t>01.01. 7 -Penyunting/Editor 6 ORG x 20 TERB</t>
  </si>
  <si>
    <t>01.01. 8 -Desain grafis 1 ORG x 20 TER</t>
  </si>
  <si>
    <t>01.02. 9 &gt;&gt; Honor Tim Pejabat Pengelola Informasi dan Data BRSDM</t>
  </si>
  <si>
    <t>01.02. 10 -Ketua 1 ORG x 12 BLN</t>
  </si>
  <si>
    <t>01.02. 11 -Sekretaris 1 ORG x 12 BLN</t>
  </si>
  <si>
    <t>01.02. 12 -Anggota 7 ORG x 12 BLN</t>
  </si>
  <si>
    <t>00.00. 1 -Pengadaan lisensi aplikasi untuk penyelenggaraan rapat secara online/video conference berbayar</t>
  </si>
  <si>
    <t>00.00. 2 -Biaya Komunikasi dalam bentuk pulsa telepon atau paket data internet</t>
  </si>
  <si>
    <t>00.00. 1 -Narasumber promosi/publikasi (Es 1/setara)</t>
  </si>
  <si>
    <t>00.00. 2 -Narasumber Promosi/Publikasi (es2/setara)</t>
  </si>
  <si>
    <t>00.00. 3 -Narasumber Promosi/publikasi (es3/setara)</t>
  </si>
  <si>
    <t>00.00. 1 -Jasa penyelenggaraan kegiatan promosi hasil riset dan SDMKP</t>
  </si>
  <si>
    <t>00.00. 2 -Jasa desain/pencetakan/penerbitan promosi dan publikasi hasil riset dan SDM KP</t>
  </si>
  <si>
    <t>00.00. 1 -Biaya Perjalanan Dinas dalam Rangka Kegiatan Peliputan</t>
  </si>
  <si>
    <t>00.00. 2 -Biaya Perjalanan Dinas Dalam Rangka Pengelola Informasi dan Dokumentasi</t>
  </si>
  <si>
    <t>00.00. 1 -Uang saku Rapat di Dalam Kantor Golongan I dan II</t>
  </si>
  <si>
    <t>00.00. 2 -Uang Saku Rapat di Dalam Kantor Golongan III</t>
  </si>
  <si>
    <t>00.00. 3 -Uang saku Rapat di Dalam Kantor Golongan IV</t>
  </si>
  <si>
    <t>00.00. 4 -Transport Lokal Dalam Kota</t>
  </si>
  <si>
    <t>00.00. 5 -Uang Harian Perjalanan Dinas Dalam Kota</t>
  </si>
  <si>
    <t>00.00. 3 -Penggandaan dan Penjilidan</t>
  </si>
  <si>
    <t>00.00. 1 -Narasumber eselon I 3 ORG x 2 JAM x 2 KEG</t>
  </si>
  <si>
    <t>00.00. 2 -Narasumber eselon II 1 ORG x 2 JAM x 2 KEG</t>
  </si>
  <si>
    <t>00.00. 1 -Biaya Perjalanan dinas dalam rangka pelayanan publik</t>
  </si>
  <si>
    <t>00.00. 1 -Biaya Perjalanan Dinas Dalam Rangka Kegiatan Desiminasi</t>
  </si>
  <si>
    <t>00.00. 2 -Biaya Perjalanan Dinas Dalam Rangka Kegiatan Perpustakaan</t>
  </si>
  <si>
    <t>00.00. 1 -pencetakan dan penggandaan dokumen kerja sama internasional</t>
  </si>
  <si>
    <t>00.00. 1 -Pembinaan, Sosialisasi, Diseminasi, Koordinasi Kerja Sama dan Kegiatan Internasional</t>
  </si>
  <si>
    <t>00.00. 1 -Perjalanan Dinas Dalam Kota lebih dari 8 jam (5 orang x 30 kali)</t>
  </si>
  <si>
    <t>00.00. 2 - Transport Lokal (5 orang x 30 kali)</t>
  </si>
  <si>
    <t>00.00. 1 - Fasilitasi Kerjasama ke Luar Negeri</t>
  </si>
  <si>
    <t>00.00. 1 -Pencetakan dan Penggandaan Dokumen kerjasama antar lembaga</t>
  </si>
  <si>
    <t>00.00. 1 -Biaya Paket Data Komunikasi (6 orang x 12 kali)</t>
  </si>
  <si>
    <t>00.00. 1 -Narasumber Eselon I 4 ORANG x 1 JAM x 2 KALI</t>
  </si>
  <si>
    <t>00.00. 2 -Narasumber Eselon II 6 ORANG x 1 JAM x 2 KALI</t>
  </si>
  <si>
    <t>00.00. 3 -Narasumber Eselon III 8 ORANG x 1 JAM x 2 KALI</t>
  </si>
  <si>
    <t>00.00. 1 -Antigen Rapid Test 6 ORANG x 6 KALI</t>
  </si>
  <si>
    <t>00.00. 2 -PCR Rapid Test 6 ORANG x 5 KALI</t>
  </si>
  <si>
    <t>00.00. 1 - Identifikasi Pembinaan, Sosialisasi dan Koordinasi Kerja Sama Antar Lembaga</t>
  </si>
  <si>
    <t>00.00. 1 -Perjalanan Dinas Dalam Kota lebih dari 8 jam (6 orang x 25 kali)</t>
  </si>
  <si>
    <t>00.00. 1 -Dukungan Kerjasama Pendidikan KP</t>
  </si>
  <si>
    <t>00.00. 2 -Komputer suplies</t>
  </si>
  <si>
    <t>00.00. 1 -Perjalanan Kerjasama Pendidikan KP</t>
  </si>
  <si>
    <t>2378.EBA.960</t>
  </si>
  <si>
    <t>00.00. 1 -Penggandaan dan penjilidan materi penataan kelembagaan lingkup BRSDM</t>
  </si>
  <si>
    <t>00.00. 1 -Narasumber Eselon II</t>
  </si>
  <si>
    <t>00.00. 1 -Dalam rangka penataan kelembagaan lingkup BRSDM, penataan dan perubahan nomenklatur, tugas dan fungsi pada unit pelaksana teknis d</t>
  </si>
  <si>
    <t>00.00. 1 -Perjalanan Dalam Kota lebih dari 8 Jam</t>
  </si>
  <si>
    <t>00.00. 1 -Penggandaan dan penjilidan materi organisasi dan tata laksana</t>
  </si>
  <si>
    <t>00.00. 2 -Narasumber Es III atau Setara/Dibawahnya</t>
  </si>
  <si>
    <t>00.00. 1 -Dalam rangka kegiatan evaluasi organisasi dan tata laksana, penyusuna proses bisnis, monev SOP, penyusunan anjab dan abk</t>
  </si>
  <si>
    <t>00.00. 1 -Penggandaan dan penjilidan materi Pendukung reformasi birokrasi</t>
  </si>
  <si>
    <t>00.00. 1 -Dalam rangka penilaian mandiri reformasi birokrasi, Validasi bukti dukung, verifikasi bukti dukung serta evaluasi Reformasi birokr</t>
  </si>
  <si>
    <t>00.00. 1 -Penggandaan dan penjilidan pembangunan zona intregritas menuju WBK/WBBM</t>
  </si>
  <si>
    <t>00.00. 1 -Dalam rangka pendampingan UPT untuk pembangunan zona integritas, mendampingi tim pemeriksa untuk validasi dan verifikasi bukti duk</t>
  </si>
  <si>
    <t>2378.EBA.962</t>
  </si>
  <si>
    <t>00.00. 1 -Pencetakan Laporan</t>
  </si>
  <si>
    <t>00.00. 1 -Identifikasi, Pembinaan, Sosialisasi dan Koordinasi, pengelolaan ketatausahaan dan persuratan</t>
  </si>
  <si>
    <t>00.00. 2 -Penyusunan dan implementasi pelaksanaan Tata Naskah Dinas lingkup BRSDM 2 ORG x 6 KALI</t>
  </si>
  <si>
    <t>Dukungan Layanan Kegiatan Kesekretariatan dan Tata Kelola Rumahtangga dan Tata Usaha Pimpinan serta Keprotokolan lingkup BRSDM</t>
  </si>
  <si>
    <t>00.00. 1 -Biaya Pulsa/Paket Data Eselon I dan 2 (2 ORANG x 12 bulan)</t>
  </si>
  <si>
    <t>00.00. 2 -Biaya Pulsa/Paket Data (32 ORANG x 12 Bulan)</t>
  </si>
  <si>
    <t>00.00. 1 -Narasumber Eselon I 4 ORG x 3 JAM x 2 KALI</t>
  </si>
  <si>
    <t>00.00. 2 -Narasumber Eselon III atau setara dibawahnya 4 ORG x 2 JAM x 2 KALI</t>
  </si>
  <si>
    <t>00.00. 1 -antigen / PCR</t>
  </si>
  <si>
    <t>00.00. 1 -Dukungan Layanan Kegiatan Kesekretariatan dan Tata Kelola Rumahtangga dan Tata Usaha Pimpinan serta Keprotokolan lingkup BRSDM</t>
  </si>
  <si>
    <t>00.00. 2 -Pejabat Eselon I dan Pendamping</t>
  </si>
  <si>
    <t>00.00. 3 -Perjaanan Eselon II dan pimpinan lainnya</t>
  </si>
  <si>
    <t>00.00. 1 -Perjalanan dalam kota lebih dari 8 Jam</t>
  </si>
  <si>
    <t>00.00. 1 -Snack dan Makan Rapat (12 org x 3 kali)</t>
  </si>
  <si>
    <t>00.00. 2 -Penjilidan laporan</t>
  </si>
  <si>
    <t>00.00. 1 -Koordinasi bidang kepegawaian (2 org x 2 kali)</t>
  </si>
  <si>
    <t>00.00. 4 -Snack dan Makan Rapat (25 orang x 4 kali)</t>
  </si>
  <si>
    <t>00.00. 1 -Pejabat Eselon II ke bawah ( 3 Org x 2 jam x 1 kali)</t>
  </si>
  <si>
    <t>00.00. 1 -Penyelesaian Permasalahan Aset BMN (2 org x 15 lokasi)</t>
  </si>
  <si>
    <t>00.00. 1 -Snack dan Makan Rapat (16 org x 1 kali)</t>
  </si>
  <si>
    <t>00.00. 1 -Koordinasi, Pemberkasan dan Pemusnahan Arsip</t>
  </si>
  <si>
    <t>00.00. 4 -Snack dan Makan Rapat (20 org x 4 kali)</t>
  </si>
  <si>
    <t>00.00. 2 -Penggandaan dan penjilidan laporan</t>
  </si>
  <si>
    <t>00.00. 3 -Seminar Kit (10 Org)</t>
  </si>
  <si>
    <t>00.00. 4 -Snack dan Makan Rapat (20 orang x 3 kali)</t>
  </si>
  <si>
    <t>00.00. 1 -Pejabat Eselon II ( 1 Org x 2 jam )</t>
  </si>
  <si>
    <t>00.00. 2 -Pejabat Eselon III (2 orang x 2 jam)</t>
  </si>
  <si>
    <t>00.00. 3 -Honorarium Pakar Penyuluhan (3 orang x 3 jam x 1 kali)</t>
  </si>
  <si>
    <t>00.00. 1 -Perjalanan Uji Petik (3 org x 5 lokasi)</t>
  </si>
  <si>
    <t>00.00. 2 -Perjalanan Peserta (10 org)</t>
  </si>
  <si>
    <t>00.00. 1 -Perjalanan Dinas Dalam rangka Koordinasi</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</si>
  <si>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</si>
  <si>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</si>
  <si>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</si>
  <si>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</si>
  <si>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</si>
  <si>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</si>
  <si>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</si>
  <si>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</si>
  <si>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</si>
  <si>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</si>
  <si>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</si>
  <si>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</si>
  <si>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</si>
  <si>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</si>
  <si>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</si>
  <si>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</si>
  <si>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</si>
  <si>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</si>
  <si>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</si>
  <si>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</si>
  <si>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</si>
  <si>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</si>
  <si>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</si>
  <si>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</si>
  <si>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</si>
  <si>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</si>
  <si>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</si>
  <si>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</si>
  <si>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</si>
  <si>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</si>
  <si>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</si>
  <si>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</si>
  <si>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</si>
  <si>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</si>
  <si>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</si>
  <si>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</si>
  <si>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</si>
  <si>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</si>
  <si>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</si>
  <si>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</si>
  <si>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2378.EBA.963</t>
  </si>
  <si>
    <t>01.00. 1 &gt; Pencetakan Publikasi Data dan Informasi</t>
  </si>
  <si>
    <t>01.00. 2 -Buku BRSDM KP Dalam Angka Tahun 2020</t>
  </si>
  <si>
    <t>01.00. 3 -Buku Analisis Data BRSDM</t>
  </si>
  <si>
    <t>01.00. 4 -Penggandaan dan Penjilidan</t>
  </si>
  <si>
    <t>01.00. 1 &gt; TIM PENYUSUN BUKU DATA DAN INFORMASI</t>
  </si>
  <si>
    <t>01.00. 2 -Penanggung jawab 1 ORG x 2 TER</t>
  </si>
  <si>
    <t>01.00. 3 -Redaktur 8 ORG x 2 TER</t>
  </si>
  <si>
    <t>01.00. 4 -Editor 10 ORG x 2 TER</t>
  </si>
  <si>
    <t>00.00. 1 -Biaya Paket Data dan Komunikasi (8 orang x 12 kali)</t>
  </si>
  <si>
    <t>00.00. 1 -Narasumber setara eselon II (4 orang x 2 OJ)</t>
  </si>
  <si>
    <t>00.00. 2 -Narasumber setara eselon III (8 orang x 2 OJ)</t>
  </si>
  <si>
    <t>00.00. 1 -Jasa Pengolahan dan penyajian data BRSDM</t>
  </si>
  <si>
    <t>00.00. 1 -Biaya rapid antigen/PCR covid-19</t>
  </si>
  <si>
    <t>00.00. 1 -Dalam rangka koordinasi dan pembinaan penyelenggaraan data</t>
  </si>
  <si>
    <t>00.00. 2 -Uang Harian</t>
  </si>
  <si>
    <t>00.00. 1 -UH Menghadiri undangan rapat</t>
  </si>
  <si>
    <t>00.00. 2 -Tranportasi</t>
  </si>
  <si>
    <t>00.00. 1 -UH Menghadiri Undangan Rapat</t>
  </si>
  <si>
    <t>00.00. 2 -Transportasi</t>
  </si>
  <si>
    <t>01.00. 1 &gt; Forum Pengelolaan Jurnal Ilmiah KP</t>
  </si>
  <si>
    <t>01.00. 2 -ATK</t>
  </si>
  <si>
    <t>01.00. 3 -Bahan komputer</t>
  </si>
  <si>
    <t>01.00. 4 -Fotocopy/Penggandaan</t>
  </si>
  <si>
    <t>01.00. 5 -Perlengkapan Peserta</t>
  </si>
  <si>
    <t>02.00. 6 &gt; Forum Pengelolaan Data Riset dan SDM KP</t>
  </si>
  <si>
    <t>02.00. 7 -ATK</t>
  </si>
  <si>
    <t>02.00. 8 -Bahan komputer</t>
  </si>
  <si>
    <t>02.00. 9 -Fotocopy/Penggandaan</t>
  </si>
  <si>
    <t>02.00. 10 -Perlengkapan Peserta</t>
  </si>
  <si>
    <t>01.00. 2 -Narasumber eselon II 2 ORG x 2 JAM</t>
  </si>
  <si>
    <t>01.00. 3 -Narasumber eselon III 2 ORG x 2 kali</t>
  </si>
  <si>
    <t>02.00. 4 &gt; Forum Pengelolaan Data</t>
  </si>
  <si>
    <t>02.00. 5 -Narasumber eselon II 1 ORG x 2 JAM</t>
  </si>
  <si>
    <t>02.00. 6 -Narasumber eselon III 4 ORG x 2 kali</t>
  </si>
  <si>
    <t>00.00. 1 -Dalam rangka menghadirkan narasumber dari luar kota</t>
  </si>
  <si>
    <t>01.00. 2 -Paket Kegiatan Fullboard Meeting 45 ORG x 1 KALI</t>
  </si>
  <si>
    <t>01.00. 3 -Uang Harian 45 ORG x 2 hari x 1 KALI</t>
  </si>
  <si>
    <t>01.00. 4 -Transportasi 45 ORG x 1 KALI</t>
  </si>
  <si>
    <t>02.00. 5 &gt; Forum Pengelolaan Data</t>
  </si>
  <si>
    <t>02.00. 6 -Paket Kegiatan Fullboard Meeting 45 ORG x 1 KALI</t>
  </si>
  <si>
    <t>02.00. 7 -Uang Harian 45 ORG x 2 hari x 1 KALI</t>
  </si>
  <si>
    <t>02.00. 8 -Transportasi 45 ORG x 1 KALI</t>
  </si>
  <si>
    <t>Pengelolaan Sistem Informasi Riset dan SDM KP</t>
  </si>
  <si>
    <t>00.00. 1 -Penggandaan dan Penjilidan</t>
  </si>
  <si>
    <t>01.00. 1 &gt; TIM PENGELOLA WEBSITE BRSDM</t>
  </si>
  <si>
    <t>01.00. 2 -Penanggung Jawab (1 orang x 12 bulan)</t>
  </si>
  <si>
    <t>01.00. 3 -Redaktur (1 orang x 12 bulan)</t>
  </si>
  <si>
    <t>01.00. 4 -Editor (1 orang x 12 bulan)</t>
  </si>
  <si>
    <t>01.00. 5 -Web Admin (14 orang x 12 bulan)</t>
  </si>
  <si>
    <t>01.00. 1 &gt; Pengelolaan OJS BRSDM</t>
  </si>
  <si>
    <t>01.00. 2 -Pembuatan DOI (Digital Object Identifier) Per artikel</t>
  </si>
  <si>
    <t>01.00. 3 -Biaya Tahunan/annual membership fee DOI</t>
  </si>
  <si>
    <t>01.00. 4 -Biaya Tahunan/annual fee cek Plagiarisme</t>
  </si>
  <si>
    <t>01.00. 5 -Biaya cek plagiarisme per dokumen</t>
  </si>
  <si>
    <t>01.00. 6 -Biaya Tahunan Gramarly</t>
  </si>
  <si>
    <t>00.00. 1 -Dalam rangka koordinasi dan pendampingan pengelolaan website dan OJS</t>
  </si>
  <si>
    <t>00.00. 1 -Dalam rangka koordinasi dan pembinaan penerapan manajemen pengetahuan</t>
  </si>
  <si>
    <t>00.00. 1 -Transportasi lokal</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</si>
  <si>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</si>
  <si>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</si>
  <si>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</si>
  <si>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</si>
  <si>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</si>
  <si>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</si>
  <si>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</si>
  <si>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</si>
  <si>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</si>
  <si>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</si>
  <si>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</si>
  <si>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</si>
  <si>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</si>
  <si>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</si>
  <si>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</si>
  <si>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</si>
  <si>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</si>
  <si>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</si>
  <si>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</si>
  <si>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</si>
  <si>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</si>
  <si>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</si>
  <si>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</si>
  <si>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</si>
  <si>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</si>
  <si>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</si>
  <si>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</si>
  <si>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</si>
  <si>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WA.2378.EBA.994.001.AB</t>
  </si>
  <si>
    <t>Gaji dan Tunjangan Sekretariat BRSDM (AA)</t>
  </si>
  <si>
    <t>WA.2378.EBA.994.001.AB.511111</t>
  </si>
  <si>
    <t>WA.2378.EBA.994.001.AB.511111.1</t>
  </si>
  <si>
    <t>00.00. 1 -Belanja gaji pokok PNS</t>
  </si>
  <si>
    <t>WA.2378.EBA.994.001.AB.511121</t>
  </si>
  <si>
    <t>WA.2378.EBA.994.001.AB.511121.1</t>
  </si>
  <si>
    <t>WA.2378.EBA.994.001.AB.511122</t>
  </si>
  <si>
    <t>WA.2378.EBA.994.001.AB.511122.1</t>
  </si>
  <si>
    <t>00.00. 1 -Belanja tunj. anak PNS</t>
  </si>
  <si>
    <t>WA.2378.EBA.994.001.AB.512411</t>
  </si>
  <si>
    <t>WA.2378.EBA.994.001.AB.512411.1</t>
  </si>
  <si>
    <t>00.00. 1 -Belanja Gaji Pokok PNS</t>
  </si>
  <si>
    <t>00.00. 1 -Belanja Pembulatan Gaji PNS</t>
  </si>
  <si>
    <t>00.00. 1 -Belanja Tunj. Suami/Istri PNS</t>
  </si>
  <si>
    <t>00.00. 1 -Belanja Tunj. Anak PNS</t>
  </si>
  <si>
    <t>00.00. 1 -Belanja Tunj. Struktural PNS</t>
  </si>
  <si>
    <t>00.00. 1 -Belanja Tunj. Fungsional PNS</t>
  </si>
  <si>
    <t>00.00. 1 -Belanja Tunj. PPh PNS</t>
  </si>
  <si>
    <t>00.00. 1 -Belanja Tunj. Beras PNS</t>
  </si>
  <si>
    <t>00.00. 1 -Belanja Uang Makan PNS</t>
  </si>
  <si>
    <t>00.00. 1 -Belanja Tunjangan Umum PNS</t>
  </si>
  <si>
    <t>00.00. 1 -Belanja Pegawai (Tunjangan Khusus/Kegiatan/Kinerja)</t>
  </si>
  <si>
    <t>WA.2378.EBA.994.001.DB</t>
  </si>
  <si>
    <t>Gaji dan Tunjangan Pusat pelatihan dan Penyuluhan KP (AA)</t>
  </si>
  <si>
    <t>WA.2378.EBA.994.001.DB.512411</t>
  </si>
  <si>
    <t>WA.2378.EBA.994.001.DB.512411.1</t>
  </si>
  <si>
    <t>WA.2378.EBA.994.001.GB</t>
  </si>
  <si>
    <t>Gaji dan Tunjangan Pusat Pendidikan KP (AA)</t>
  </si>
  <si>
    <t>WA.2378.EBA.994.001.GB.512411</t>
  </si>
  <si>
    <t>WA.2378.EBA.994.001.GB.512411.1</t>
  </si>
  <si>
    <t>00.00. 1 -Tunjangan Kinerja (AA)</t>
  </si>
  <si>
    <t>thn</t>
  </si>
  <si>
    <t>00.00. 1 -Jamuan/Penerimaan Tamu/Rapat</t>
  </si>
  <si>
    <t>00.00. 2 -Pencetakan,Penjilidan dan laminasi lingkup Pusat BRSDM KP</t>
  </si>
  <si>
    <t>00.00. 3 -Belanja Pengaturan Estetika Kantor lingkup Pusat BRSDM KP</t>
  </si>
  <si>
    <t>00.00. 4 - - Pencetakan Blanko,amplop dan kop surat lingkup pusat BRSDMKP</t>
  </si>
  <si>
    <t>00.00. 5 -Keperluan sehari-hari pegawai</t>
  </si>
  <si>
    <t>00.00. 6 -Pencetakan bahan sosialisasi pengembangan SDM KP</t>
  </si>
  <si>
    <t>00.00. 7 -Langganan Majalah dan surat kabar</t>
  </si>
  <si>
    <t>00.00. 8 -Keperluan ATK lingkup Sekretariat BRSDM KP</t>
  </si>
  <si>
    <t>00.00. 9 -Keperluan Bahan Komputer Lingkup Sekretariat BRSDM</t>
  </si>
  <si>
    <t>00.00. 1 -Pengadaan Pakaian Dinas Pegawai BRSDM (2 STELL x 130 ORG)</t>
  </si>
  <si>
    <t>00.00. 1 -Langganan Daya dan Jasa di GMB III lantai 6 dan 7</t>
  </si>
  <si>
    <t>00.00. 1 -Pengiriman Surat dan Dokumen /Barang lainnya BRSDM</t>
  </si>
  <si>
    <t>00.00. 1 -Sewa mesin fotocopy 2 UNIT x 12 BLN</t>
  </si>
  <si>
    <t>00.00. 2 -Sewa kendaraan opersional 2 UNIT x 12 BULAN</t>
  </si>
  <si>
    <t>00.00. 1 -Pengadaan Paket APD, Hand sanitizer dan pencegahan penyebaran covid lainnya</t>
  </si>
  <si>
    <t>00.00. 2 -Pengadaan Lisensi aplikasi Video Converence dan langganannya</t>
  </si>
  <si>
    <t>00.00. 3 -Rapid antigen/swab PCR</t>
  </si>
  <si>
    <t>00.00. 1 -Pemeliharaan Gedung Arsip</t>
  </si>
  <si>
    <t>00.00. 1 -Laptop/Notebook</t>
  </si>
  <si>
    <t>00.00. 2 -Komputer PC</t>
  </si>
  <si>
    <t>00.00. 3 -Printer</t>
  </si>
  <si>
    <t>00.00. 4 -LCD</t>
  </si>
  <si>
    <t>00.00. 5 -Scanner</t>
  </si>
  <si>
    <t>00.00. 6 -Handycam</t>
  </si>
  <si>
    <t>00.00. 7 -CCTV</t>
  </si>
  <si>
    <t>00.00. 8 -Wireless</t>
  </si>
  <si>
    <t>00.00. 9 -Kamera digital</t>
  </si>
  <si>
    <t>00.00. 10 -Peralatan Meubeulair (Lemari, Kursi, cubical)</t>
  </si>
  <si>
    <t>00.00. 11 -Perawatan Barang Inventaris Kantor</t>
  </si>
  <si>
    <t>00.00. 12 -Instalasi Mekanikal Elektrikal Gedung Arsip</t>
  </si>
  <si>
    <t>00.00. 13 -Pemeliharaan Peralatan Studio dan komunikasi</t>
  </si>
  <si>
    <t>01.00. 14 &gt; Perawatan kendaraan roda 4/6</t>
  </si>
  <si>
    <t>01.00. 15 -Perawatan kendaraan pejabat eselon I</t>
  </si>
  <si>
    <t>01.00. 16 -Perawatan kendaraan pejabat eselon II</t>
  </si>
  <si>
    <t>01.00. 17 -Perawatan kendaraan roda 4</t>
  </si>
  <si>
    <t>01.00. 18 -Operasional Kendaraan Roda 4 (sewa)</t>
  </si>
  <si>
    <t>02.00. 19 &gt; Operasional Kendaraan Roda 2 (sewa)</t>
  </si>
  <si>
    <t>02.00. 20 -Perawatan kendaraan bermotor roda 2</t>
  </si>
  <si>
    <t>00.00. 1 -Pemeliharaan pengharum ruangan</t>
  </si>
  <si>
    <t>00.00. 2 -Fumigasi gedung arsip depok</t>
  </si>
  <si>
    <t>00.00. 3 -Pemeliharaan aquarium gedung kantor GMB III 2 UNIT x 12 BLN</t>
  </si>
  <si>
    <t>00.00. 1 -Pramubakti/PelaksanaPramubakti 36 ORG x 13 BLN</t>
  </si>
  <si>
    <t>00.00. 2 -Pengemudi 6 ORG x 13 BLN</t>
  </si>
  <si>
    <t>00.00. 3 -iuran bpjs ketenagakerjaan pramubakti 36 orang x 12 bulan</t>
  </si>
  <si>
    <t>00.00. 4 -iuran bpjs ketenagakerjaan pengemudi 6 orang x 12 bulan</t>
  </si>
  <si>
    <t>01.00. 1 &gt; SEKRETARIAT BRSDM KP</t>
  </si>
  <si>
    <t>01.00. 2 -BPP Kepegawaian (pagu dana di atas Rp25 miliar s.d. Rp50 miliar)</t>
  </si>
  <si>
    <t>01.00. 3 -Pembuat Daftar Gaji (pagu dana di atas Rp10 miliar s.d. Rp25 miliar)</t>
  </si>
  <si>
    <t>01.00. 4 -Honorarium Pengurus/Penyimpan Bmn Tingkat Kuasa Pengguna Barang 1 Orang x 12 Bulan</t>
  </si>
  <si>
    <t>01.00. 5 -Honorarium Pejabat Pengadaan Barang/Jasa 1 Orang x 12 Bulan</t>
  </si>
  <si>
    <t>01.00. 6 -Honorarium Panitia Pengadaan Barang (Non Konstruksi)pagu pengadaan di atas Rp250 juta s.d. Rp500 juta</t>
  </si>
  <si>
    <t>01.00. 7 -Panitia pengadaan jasa non konstruksi (pagu diatas 100 jt sd 250 jt)</t>
  </si>
  <si>
    <t>01.00. 8 -Panitia pengadaan jasa non konstruksi (pagu diatas 250 jt sd 500 jt)</t>
  </si>
  <si>
    <t>02.00. 9 &gt; HONOR UNIT AKUNTANSI PENGGUNA ANGGARAN (UAKPA)</t>
  </si>
  <si>
    <t>02.00. 10 -Honorarium pejabat penguji tagihan penandatanganan spm (pagu dana di atas Rp.100 miliar s.d. arap.250 miliar</t>
  </si>
  <si>
    <t>02.00. 11 -Honorarium pejabat kuasa pengguna anggaran (pagu dana diatas Rp100 miliar s.d Rp250 miliar</t>
  </si>
  <si>
    <t>02.00. 12 -honorarium bendahara pengeluaran (pagu dana di atas Rp100 miliar s.d Rp250 miliar)</t>
  </si>
  <si>
    <t>02.00. 13 -honorarium pejabat pembuat komitmen (pagu dana di atas Rp50 miliar s.d Rp75 miliar)</t>
  </si>
  <si>
    <t>02.00. 14 -honorarium staf pembantu KPA (pagu dana di atas Rp50 miliar s.d Rp75 miliar) 2 orang x 12 bulan</t>
  </si>
  <si>
    <t>02.00. 15 -honorarium staf pembantu PPK (pagu dana di atas Rp50 miliar s.d Rp75 miliar) 2 orang x 12 bulan</t>
  </si>
  <si>
    <t>03.00. 16 &gt; HONOR UNIT AKUNTANSI PENGGUNA BARANG (UAKPB)</t>
  </si>
  <si>
    <t>03.00. 17 -Honorarium Penanggung Jawab (UAPPA/Barang)</t>
  </si>
  <si>
    <t>03.00. 18 -Honorarium Ketua (UAPPA/Barang)</t>
  </si>
  <si>
    <t>03.00. 19 -Honorarium Koordinator (UAPPA/Barang)</t>
  </si>
  <si>
    <t>03.00. 20 -Honorarium Anggota (UAPPA/Barang) 2 Orang x 12 Bulan</t>
  </si>
  <si>
    <t>04.00. 21 &gt; HONOR PENGELOLA SISTEM AKUNTANSI PEMERINTAH TK. ESELON IBMN TK. ESELON I</t>
  </si>
  <si>
    <t>04.00. 22 -Honorarium Penanggung Jawab (UAPPA/Barang-EI)</t>
  </si>
  <si>
    <t>04.00. 23 -Honorarium Koordinator (UAPPA/Barang-EI)</t>
  </si>
  <si>
    <t>04.00. 24 -Honorarium Ketua (UAPPA/Barang-EI)</t>
  </si>
  <si>
    <t>04.00. 25 -Honorarium Anggota (UAPPA/Barang-EI) 3 Orang x 12 Bulan</t>
  </si>
  <si>
    <t>00.00. 1 -Pencetakan penggandaan cetak jilid dokumen</t>
  </si>
  <si>
    <t>00.00. 2 -Penggandaan draft laporan satker</t>
  </si>
  <si>
    <t>00.00. 2 -Perlengkapan komputer</t>
  </si>
  <si>
    <t>00.00. 1 -Iuran Sampah</t>
  </si>
  <si>
    <t>00.00. 2 -Biaya Satpam</t>
  </si>
  <si>
    <t>00.00. 3 -Biaya Clening Service</t>
  </si>
  <si>
    <t>00.00. 1 -Langganan Listrik gedung ancol 1 dan 2</t>
  </si>
  <si>
    <t>00.00. 1 - Langganan Telepon gedung ancol 1 dan 2</t>
  </si>
  <si>
    <t>00.00. 1 -Langganan air gedung ancol 1 dan 2</t>
  </si>
  <si>
    <t>00.00. 1 -Langganan Bandwitch gedung ancol 1 dan 2</t>
  </si>
  <si>
    <t>00.00. 1 -Pemeliharaan Gedung Kantor Ancol I dan II</t>
  </si>
  <si>
    <t>01.00. 1 &gt; Elektronik</t>
  </si>
  <si>
    <t>01.00. 2 -LCD</t>
  </si>
  <si>
    <t>01.00. 3 -CCTV</t>
  </si>
  <si>
    <t>01.00. 4 -Papan Visua;</t>
  </si>
  <si>
    <t>01.01. 5 &gt;&gt; Pemeliharaan Mesin</t>
  </si>
  <si>
    <t>01.01. 6 -Penggantian Kapasitor Bank, Gardu Listrik BRSDM ANcol</t>
  </si>
  <si>
    <t>01.01. 7 -Pemeliharaan pengharum ruangan</t>
  </si>
  <si>
    <t>01.01. 8 -Perawatan kendaraan roda 4</t>
  </si>
  <si>
    <t>01.01. 9 -Perawatan dan pemeliharaan rodent control/hama tikus</t>
  </si>
  <si>
    <t>01.01. 10 -Perawatan Kendaraan roda 6</t>
  </si>
  <si>
    <t>01.01. 11 -Hydran Gedung BRSDM I dan II Ancol</t>
  </si>
  <si>
    <t>01.01. 12 -Fire Alarm Gedung BRSDM I dan II Ancol</t>
  </si>
  <si>
    <t>01.01. 13 - Peralatan Olah Raga</t>
  </si>
  <si>
    <t>01.01. 14 -Pemeliharaan Infrastrukur Integrasi Sistem Gedung BRSDM Ancol</t>
  </si>
  <si>
    <t>01.01. 15 -Pemeliharaan Gedung APAR BRSDM Ancol</t>
  </si>
  <si>
    <t>01.01. 16 -Exhaouse Gedung BRSDM I dan II</t>
  </si>
  <si>
    <t>01.01. 17 -Panel Lisrik Distribusi Gedung BRSDM I dan II</t>
  </si>
  <si>
    <t>01.01. 18 -Lift Gedung BRSDM Ancol I dan II</t>
  </si>
  <si>
    <t>01.01. 19 -Perawatan Genset</t>
  </si>
  <si>
    <t>01.01. 20 -Pemeliharaan jaringan internet ancol</t>
  </si>
  <si>
    <t>01.01. 21 -Pemeliharaan AC Central Gedung BRSDM Ancol</t>
  </si>
  <si>
    <t>01.01. 22 - Perawatan AC Split Gedung BRSDM Ancol</t>
  </si>
  <si>
    <t>01.01. 23 - Instalasi mekanikal eletrik Gedung BRSDM I dan II</t>
  </si>
  <si>
    <t>01.01. 24 - Instalasi Air Gedung Ancol I dan II</t>
  </si>
  <si>
    <t>00.00. 1 -Pemeliharaan aquarium BRSDM Ancol 6 UNIT x 12 BLN</t>
  </si>
  <si>
    <t>00.00. 2 -Penyemprotan disinfektan/DBD Gedung Kantor</t>
  </si>
  <si>
    <t>00.00. 1 -Keperluan sehari hari perkantoran</t>
  </si>
  <si>
    <t>00.00. 2 -Pramubakti (15 org x 13 bulan)</t>
  </si>
  <si>
    <t>00.00. 3 -Pengemudi (1 org x 13 bulan)</t>
  </si>
  <si>
    <t>00.00. 4 -Jaminan Tenaga Kerja Pramubakti (15 org x 12 bulan)</t>
  </si>
  <si>
    <t>00.00. 5 -Jaminan Tenaga Kerja Pengemudi (1 org x 12 bulan)</t>
  </si>
  <si>
    <t>00.00. 6 -Tenaga Outsourching Contact centre</t>
  </si>
  <si>
    <t>00.00. 1 -Bahan Pencegahan Penularan Covid 19 ( 52 peg )</t>
  </si>
  <si>
    <t>00.00. 1 -Komputer</t>
  </si>
  <si>
    <t>00.00. 2 -Pencetakan</t>
  </si>
  <si>
    <t>00.00. 1 -Pengiriman Surat dinas</t>
  </si>
  <si>
    <t>00.00. 1 -Sewa Mesin Fotokopi</t>
  </si>
  <si>
    <t>00.00. 2 -Sewa Tanaman</t>
  </si>
  <si>
    <t>00.00. 3 -Sewa Gudang Arsip</t>
  </si>
  <si>
    <t>00.00. 4 -Sewa Kendaraan Roda 4 Pejabat Eselon II ( 1 unit x 12 bulan)</t>
  </si>
  <si>
    <t>00.00. 1 -Langganan Lisensi Aplikasi Video Conference kapasitas 1000 partisipan ( 1 akun x 12 bulan)</t>
  </si>
  <si>
    <t>00.00. 2 -Langganan Lisensi Aplikasi Video Conference kapasitas 100 partisipan ( 5 akun x 12 bulan)</t>
  </si>
  <si>
    <t>00.00. 3 -Langganan Lisensi Media Komunikasi dan Publikasi</t>
  </si>
  <si>
    <t>00.00. 1 -Pemeliharaan Aquarium (1 unit x 12 bulan)</t>
  </si>
  <si>
    <t>00.00. 2 -Komputer/PC</t>
  </si>
  <si>
    <t>00.00. 4 -Operasional kendaraan roda 4 Pejabat Eselon II (sewa)</t>
  </si>
  <si>
    <t>00.00. 5 -Perawatan kendaraan roda 4</t>
  </si>
  <si>
    <t>00.00. 6 -Perawatan kendaraan roda 2</t>
  </si>
  <si>
    <t>00.00. 1 -Snack Rapat, Jamuan</t>
  </si>
  <si>
    <t>00.00. 1 -Honorarium Pejabat Pembuat Komitmen (pagu dana di atas Rp10 miliar s.d. Rp25 miliar)</t>
  </si>
  <si>
    <t>00.00. 2 -Honorarium Staf Pembantu PPK pagu dana di atas Rp10 miliar s.d. Rp25 miliar (2 Orang x 12 BUlan)</t>
  </si>
  <si>
    <t>00.00. 3 -BPP (pagu dana di atas Rp10 miliar s.d. Rp25 miliar)</t>
  </si>
  <si>
    <t>00.00. 4 -Honorarium Pejabat Pengadaan Barang dan Jasa</t>
  </si>
  <si>
    <t>00.00. 1 -Pakaian dinas Pegawai</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</si>
  <si>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</si>
  <si>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</si>
  <si>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</si>
  <si>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</si>
  <si>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</si>
  <si>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</si>
  <si>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</si>
  <si>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</si>
  <si>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</si>
  <si>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</si>
  <si>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</si>
  <si>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</si>
  <si>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</si>
  <si>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</si>
  <si>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</si>
  <si>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</si>
  <si>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</si>
  <si>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</si>
  <si>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</si>
  <si>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</si>
  <si>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</si>
  <si>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</si>
  <si>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</si>
  <si>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</si>
  <si>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</si>
  <si>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</si>
  <si>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</si>
  <si>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</si>
  <si>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</si>
  <si>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</si>
  <si>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</si>
  <si>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</si>
  <si>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</si>
  <si>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</si>
  <si>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</si>
  <si>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</si>
  <si>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</si>
  <si>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</si>
  <si>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</si>
  <si>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</si>
  <si>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</si>
  <si>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</si>
  <si>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</si>
  <si>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</si>
  <si>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</si>
  <si>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</si>
  <si>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</si>
  <si>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</si>
  <si>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</si>
  <si>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</si>
  <si>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</si>
  <si>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</si>
  <si>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</si>
  <si>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</si>
  <si>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</si>
  <si>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</si>
  <si>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</si>
  <si>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</si>
  <si>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</si>
  <si>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</si>
  <si>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</si>
  <si>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</si>
  <si>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</si>
  <si>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</si>
  <si>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</si>
  <si>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</si>
  <si>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</si>
  <si>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</si>
  <si>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</si>
  <si>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</si>
  <si>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</si>
  <si>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</si>
  <si>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Kendaraan Bermotor Riset dan Sumber Daya Manusia Kelautan dan Perikanan (AA)</t>
  </si>
  <si>
    <t>00.00. 1 -Pengadaan Kendaraan Dinas Pejabat Eselon I</t>
  </si>
  <si>
    <t>00.00. 1 -Pengadaan Lemari Arsip</t>
  </si>
  <si>
    <t>00.00. 2 -Pengadaan Alat kehumasan</t>
  </si>
  <si>
    <t>00.00. 1 -Pengadaan Kendaraan Dinas Pejabat Eselon II</t>
  </si>
  <si>
    <t>2378.EBB.971</t>
  </si>
  <si>
    <t>01.00. 1 &gt; Gedung dan Bangunan Riset dan SDM KP</t>
  </si>
  <si>
    <t>01.00. 2 -Pengadaan meubeler kantor pusat</t>
  </si>
  <si>
    <t>01.00. 3 -Pembuatan/Penataan ruang kerja kantor Pusat BRSDM</t>
  </si>
  <si>
    <t>01.00. 4 -Pengadaan Workstation untuk kantor Pusat BRSDM</t>
  </si>
  <si>
    <t>2378.EBC.954</t>
  </si>
  <si>
    <t>00.00. 1 -Pencetakan dan penggandaan peraturan kepegawaian</t>
  </si>
  <si>
    <t>00.00. 2 -Fotocopy/Penggandaan</t>
  </si>
  <si>
    <t>00.00. 1 -Tim Penguji Seleksi Calon Penerima Satyalancana</t>
  </si>
  <si>
    <t>00.00. 2 -Tim penguji Makalah Ujian Penyesuaian Ijazah</t>
  </si>
  <si>
    <t>00.00. 1 -Bahan Komputer</t>
  </si>
  <si>
    <t>00.00. 1 -Narasumber Es II 12 ORG x 2 JAM</t>
  </si>
  <si>
    <t>00.00. 2 -Narasumber Es III 10 ORG x 2 JAM</t>
  </si>
  <si>
    <t>00.00. 1 -Diklat Pegawai Pelaksana Sekretariat dan Pusat</t>
  </si>
  <si>
    <t>00.00. 2 -Diklat Pejabat Fungsional Sekretariat dan Pusat</t>
  </si>
  <si>
    <t>00.00. 1 -Perdin Diklat Fungsional</t>
  </si>
  <si>
    <t>00.00. 2 -Perdin Bimtek magang peingkatan kapasitas</t>
  </si>
  <si>
    <t>00.00. 3 -Pendampingan ujian dinas dan ujian penyesuaian ijazah</t>
  </si>
  <si>
    <t>00.00. 4 -Paparan calon penerima penghargaan satyalancana</t>
  </si>
  <si>
    <t>00.00. 5 -Pengawasan Selesksi Kompetensi PPPK</t>
  </si>
  <si>
    <t>00.00. 6 -Monitoring dan Evaluasi Tugas Belajar</t>
  </si>
  <si>
    <t>00.00. 7 -Survey Lapangan calon penerima penghargaan satyalancana</t>
  </si>
  <si>
    <t>00.00. 8 -Penerima Penghargaan penghargaan satyalancana</t>
  </si>
  <si>
    <t>00.00. 9 -Penyelesaian Masalah Kepegawaian</t>
  </si>
  <si>
    <t>00.00. 10 -Pembinaan Kepegawaian</t>
  </si>
  <si>
    <t>00.00. 1 -Perjalanan dalam kota lebih dari 8 Jam 6 ORANG x 5 KALI</t>
  </si>
  <si>
    <t>00.00. 1 - Fotocopy/Penggandaan</t>
  </si>
  <si>
    <t>00.00. 2 - Pencetakan Peraturan/Juknis</t>
  </si>
  <si>
    <t>00.00. 3 -Pencetakan Laporan Penilaian Angka Kredit</t>
  </si>
  <si>
    <t>00.00. 1 -Pengadaan lisensi aplikasi untuk penyelenggaraan rapat secara online/ video conference berbayar</t>
  </si>
  <si>
    <t>00.00. 2 -Biaya Biaya komunikasi dlm bentuk pulsa telepon atau paket data internet ( 6 orang x 12 bulan)</t>
  </si>
  <si>
    <t>00.00. 2 - Komputer Supply</t>
  </si>
  <si>
    <t>01.00. 1 &gt; Penilaian Angka Kredit</t>
  </si>
  <si>
    <t>01.00. 2 - Narasumber Eselon III (2 Orang x 1 OJ x 10 Kali)</t>
  </si>
  <si>
    <t>00.00. 1 -Pembayaran Pelaksanaan Rapid Test COVID-19/ PCR</t>
  </si>
  <si>
    <t>01.00. 1 &gt; Terpadu Sekretariat, Pusdik , Puslatluh</t>
  </si>
  <si>
    <t>01.00. 2 -Identifikasi, Pembinaan, Sosialisasi dan Koordinasi</t>
  </si>
  <si>
    <t>01.01. 3 &gt;&gt; Penilaian Angka Kredit</t>
  </si>
  <si>
    <t>01.01. 4 - Penilaian Angka Kredit Jabatan Fungsional (16 Orang X 14 Kali)</t>
  </si>
  <si>
    <t>01.00. 2 - Perjalanan Dalam Kota Lebih dari 8 Jam</t>
  </si>
  <si>
    <t>01.00. 3 - Transport Lokal</t>
  </si>
  <si>
    <t>00.00. 1 -Fotocopy/Penggandaan</t>
  </si>
  <si>
    <t>00.00. 2 - Pencetakan Laporan</t>
  </si>
  <si>
    <t>00.00. 1 -Singkronisasi Data Epegawai dan Pengelolaan Presensi</t>
  </si>
  <si>
    <t>00.00. 1 -Fotocopy/penggandaan</t>
  </si>
  <si>
    <t>00.00. 1 -Honorarium Rohaniawan (3 Orang 25 Kali)</t>
  </si>
  <si>
    <t>00.00. 1 -Pengepakan dan Pengiriman Barang Pejabat yang Mutasi</t>
  </si>
  <si>
    <t>00.00. 1 -Mutasi Pejabat dan keluarganya</t>
  </si>
  <si>
    <t>00.00. 2 -Monitoring dan Evaluasi Capaian IKU Indeks Profesionalitas ASN</t>
  </si>
  <si>
    <t>00.00. 3 -Pelantikan Pejabat Struktural/Fungsional</t>
  </si>
  <si>
    <t>00.00. 1 -Perjalanan dalam kota lebih dari 8 Jam (6 Orang x 5 Kali)</t>
  </si>
  <si>
    <t>00.00. 1 -Biaya Biaya komunikasi dlm bentuk pulsa telepon atau paket data internet (7 orang x 12 bulan)</t>
  </si>
  <si>
    <t>00.00. 1 -Pembayaran Pelaksanaan Rapid Test/PCR COVID-19</t>
  </si>
  <si>
    <t>00.00. 1 -Monitoring dan Evaluasi Kepatuhan Pengisian LHKASN</t>
  </si>
  <si>
    <t>00.00. 2 - transport lokal</t>
  </si>
  <si>
    <t>00.00. 3 -Transport Lokal Dalam Rangka Internalisasi Nilai-Nilai Kebangsaan</t>
  </si>
  <si>
    <t>Dokumen</t>
  </si>
  <si>
    <t>2378.EBD.952</t>
  </si>
  <si>
    <t>01.00. 1 &gt; Rakorcan/Ratekcan</t>
  </si>
  <si>
    <t>01.00. 2 -Penggandaan materi renja</t>
  </si>
  <si>
    <t>01.00. 3 -Penggandaan Laporan</t>
  </si>
  <si>
    <t>01.00. 4 -Penggandaan dan Pencetakaan Renja</t>
  </si>
  <si>
    <t>00.00. 1 -Narasumber setingkat eselon I 1 ORG x 1 KALI x 2 JAM</t>
  </si>
  <si>
    <t>00.00. 2 -Narasumber setingkat eselon II 2 ORG x 1 KALI x 2 JAM</t>
  </si>
  <si>
    <t>00.00. 3 -Narasumber setingkat eselon III 3 ORG x 2 KALI x 2 JAM</t>
  </si>
  <si>
    <t>00.00. 1 -Dalam rangka penyusunan Renja BRSDM, koordinasi/ konsolidasi penyusunan program wilayah timur dan Wilayah Tengan, Pembinaan Peren</t>
  </si>
  <si>
    <t>00.00. 1 -Tranportasi Lokal</t>
  </si>
  <si>
    <t>00.00. 1 -UH Menghadiri undangan dari unit kerja/instansi lain 2 ORG x 8 KALI</t>
  </si>
  <si>
    <t>00.00. 2 - transport Menghadiri undangan dari unit kerja/instansi lain 2 ORG x 8 KALI</t>
  </si>
  <si>
    <t>00.00. 1 -UH Menghadiri undangan dari unit kerja/instansi lain 2 ORG x 5 KALI</t>
  </si>
  <si>
    <t>00.00. 2 - transport Menghadiri undangan dari unit kerja/instansi lain 2 ORG x 5 KALI</t>
  </si>
  <si>
    <t>00.00. 1 -Penggandaan Penjilidan</t>
  </si>
  <si>
    <t>00.00. 2 -Pencetakan Dokumen RKAKL</t>
  </si>
  <si>
    <t>00.00. 3 - Seminar kit 155 ORG x 2 KALI</t>
  </si>
  <si>
    <t>00.00. 1 - Narasumber setingkat eselon II 2 ORG x 3 KALI x 2 JAM</t>
  </si>
  <si>
    <t>00.00. 2 -Narasumber setingkat eselon III 3 ORG x 3 KALI x 2 JAM</t>
  </si>
  <si>
    <t>00.00. 1 -Dalam rangka identifikasi perencanaan anggaran dan koordinasi,konsolidasi</t>
  </si>
  <si>
    <t>00.00. 2 -Dalam rangka integrasi, pembinaan perencanaan anggaran serta fasilitasi revisi anggaran</t>
  </si>
  <si>
    <t>00.00. 3 -Peserta Rakor perencanaan anggaran Menghadiri undangan dari unit kerja/instansi lain 100 ORG x 3 KALI</t>
  </si>
  <si>
    <t>00.00. 1 - Transport lokal dalam rangka rapat dan koodinasi 15 ORG x 5 KALI</t>
  </si>
  <si>
    <t>00.00. 2 -Uang saku rapat 8 jam 15 ORG x 5 KALI x 1 HARI</t>
  </si>
  <si>
    <t>00.00. 1 -UH Menghadiri undangan dari unit kerja/instansi lain 3 ORG x 10 KALI</t>
  </si>
  <si>
    <t>00.00. 2 -transport Menghadiri undangan dari unit kerja/instansi lain 3 ORG x 10 KALI</t>
  </si>
  <si>
    <t>00.00. 1 -UH Menghadiri undangan dari unit kerja/instansi lain 2 ORG x 20 KALI</t>
  </si>
  <si>
    <t>00.00. 2 - transport Menghadiri undangan dari unit kerja/instansi lain 2 ORG x 20 KALI</t>
  </si>
  <si>
    <t>00.00. 1 -Penggandaan materi dan laporan</t>
  </si>
  <si>
    <t>00.00. 2 -Pengandaan penjilidan dokumen perencanaan kinerja</t>
  </si>
  <si>
    <t>00.00. 1 -Narasumber setingkat eselon III 2 ORG x 1 KALI x 2 JAM</t>
  </si>
  <si>
    <t>00.00. 1 -Dalam rangka identifikasi dan penyusunan perencanaan kinerja</t>
  </si>
  <si>
    <t>00.00. 2 -Dalam rangka koordinasi,konsolidasi,integrasi dan pembinaan Perencanaan kinerja</t>
  </si>
  <si>
    <t>00.00. 1 - Transport lokal dalam rangka rapat dan koordinasi 2 ORG x 10 KALI</t>
  </si>
  <si>
    <t>00.00. 1 -UH Menghadiri undangan dari unit kerja/instansi lain 2 ORG x 10 KALI</t>
  </si>
  <si>
    <t>00.00. 2 -transport Menghadiri undangan dari unit kerja/instansi lain 2 ORG x 10 KALI</t>
  </si>
  <si>
    <t>00.00. 1 -UH Menghadiri undangan dari unit kerja/instansi lain 1 ORG x 10 KALI</t>
  </si>
  <si>
    <t>00.00. 2 -transport Menghadiri undangan dari unit kerja/instansi lain 1 ORG x 10 KALI</t>
  </si>
  <si>
    <t>01.00. 1 &gt; Pencetakan RDP dan Rapim</t>
  </si>
  <si>
    <t>01.00. 2 -Backdrop</t>
  </si>
  <si>
    <t>01.00. 3 -Spanduk</t>
  </si>
  <si>
    <t>01.00. 4 -Perlengkapan peserta, panitia dan narasumber</t>
  </si>
  <si>
    <t>01.00. 5 -ATK</t>
  </si>
  <si>
    <t>01.00. 6 -Bahan Komputer</t>
  </si>
  <si>
    <t>01.00. 7 -Penggandaan dan Penjilidan</t>
  </si>
  <si>
    <t>01.00. 8 -Pencetakan</t>
  </si>
  <si>
    <t>02.00. 9 &gt; Pencetakan Renstra</t>
  </si>
  <si>
    <t>02.00. 10 -Bahan Komputer</t>
  </si>
  <si>
    <t>02.00. 11 -Penggandaan dan Penjilidan Bahan</t>
  </si>
  <si>
    <t>02.00. 12 -Pencetakan prosiding</t>
  </si>
  <si>
    <t>02.00. 13 -ATK</t>
  </si>
  <si>
    <t>03.00. 14 &gt; Pencetakan Rakernis</t>
  </si>
  <si>
    <t>03.00. 15 -ATK</t>
  </si>
  <si>
    <t>03.00. 16 -Bahan Komputer</t>
  </si>
  <si>
    <t>03.00. 17 -Penggandaan Bahan</t>
  </si>
  <si>
    <t>03.00. 18 -Backdrop</t>
  </si>
  <si>
    <t>03.00. 19 -Spanduk</t>
  </si>
  <si>
    <t>03.00. 20 -Perlengkapan peserta, panitia dan narasumber</t>
  </si>
  <si>
    <t>03.00. 21 -Pencetakan prosiding</t>
  </si>
  <si>
    <t>00.00. 1 -Paket Data dan Komunikasi Pejabat Eselon 3/yang setara ke bawah</t>
  </si>
  <si>
    <t>00.00. 3 -Pengadaan lisensi aplikasi penyelenggaraan rapat</t>
  </si>
  <si>
    <t>00.00. 1 -Narasumber setingkat I 2 ORG x 1 KALI x 2 JAM</t>
  </si>
  <si>
    <t>00.00. 2 -Narasumber setingkat eselon II 4 ORG x 1 KALI x 2 JAM</t>
  </si>
  <si>
    <t>00.00. 3 - Narasumber setingkat eselon III 6 ORG x 1 KALI x 2 JAM</t>
  </si>
  <si>
    <t>00.00. 1 -Rapid test/ PCR Covid 19</t>
  </si>
  <si>
    <t>00.00. 1 -Dalam rangka Program Nasional K/L dan Rapim</t>
  </si>
  <si>
    <t>00.00. 1 -UH Menghadiri undangan dari unit kerja/instansi lain 2 ORG x 15 KALI</t>
  </si>
  <si>
    <t>00.00. 2 -transport Menghadiri undangan dari unit kerja/instansi lain 2 ORG x 15 KALI</t>
  </si>
  <si>
    <t>01.00. 1 &gt; Rakernis</t>
  </si>
  <si>
    <t>01.00. 2 -Pelaksanaan rakernis 160 ORG x 1 KALI x 3 HARI</t>
  </si>
  <si>
    <t>01.00. 3 -Perjalanan narasumber 24 ORG x 1 KALI x 1 HARI</t>
  </si>
  <si>
    <t>01.00. 4 -Uang saku Fullboard Meeting Rakernis 10 ORANG x 3 HARI</t>
  </si>
  <si>
    <t>01.00. 5 -Perjalanan sebelum dan pelaksanaan kegiatan 10 ORG x 1 KALI x 1 HARI</t>
  </si>
  <si>
    <t>01.01. 6 &gt;&gt; Undangan</t>
  </si>
  <si>
    <t>01.01. 7 -UH Menghadiri undangan dari unit kerja/instansi lain 2 ORG x 15 KALI</t>
  </si>
  <si>
    <t>01.01. 8 - transport Menghadiri undangan dari unit kerja/instansi lain 2 ORG x 15 KALI</t>
  </si>
  <si>
    <t>00.00. 4 -Snack Rapat</t>
  </si>
  <si>
    <t>00.00. 5 -Pencetakan Dokumen</t>
  </si>
  <si>
    <t>00.00. 1 -Perjalanan Menghadiri Undangan, Sosialisasi dan Koordinasi</t>
  </si>
  <si>
    <t>00.00. 1 -Transport dalam kota (15 Orang x 2 Kali)</t>
  </si>
  <si>
    <t>00.00. 5 -Seminar Kit</t>
  </si>
  <si>
    <t>00.00. 6 -Pencetakan Laporan</t>
  </si>
  <si>
    <t>00.00. 7 -Snack Rapat</t>
  </si>
  <si>
    <t>00.00. 1 -Narasumber Eselon I (2 Orang x 2 jam x 2 Kali)</t>
  </si>
  <si>
    <t>00.00. 2 -Narasumber Eselon II (2 Orang x 2 jam x 2 Kali)</t>
  </si>
  <si>
    <t>00.00. 3 -Narasumber Es III (2 Orang x 2 jam x 2 Kali)</t>
  </si>
  <si>
    <t>00.00. 1 - Biaya Test Rapid dan Swab PCR (80 org x 2 kali)</t>
  </si>
  <si>
    <t>00.00. 1 -Perjalanan Menghadiri Undangan, Identifikasi, Koordinasi dan Sosialisasi</t>
  </si>
  <si>
    <t>00.00. 1 -Paket meeting fullboard (70 Orang x 2 hari x 2 kali)</t>
  </si>
  <si>
    <t>00.00. 2 -Uang Saku meeting fullboard (70 Orang x 3 hari x 2 kali)</t>
  </si>
  <si>
    <t>00.00. 3 -Perjalanan menghadiri Rakontek (70 orang x 2 kali)</t>
  </si>
  <si>
    <t>00.00. 4 -Perjalanan menghadiri Rakernis (17 orang x 2 kali)</t>
  </si>
  <si>
    <t>00.00. 4 -Pencetakan Laporan</t>
  </si>
  <si>
    <t>00.00. 5 -Snack dan Makan Rapat (20 org x 10 kali)</t>
  </si>
  <si>
    <t>00.00. 1 -Biaya Paket data dan Komunikasi (5 org x 12 bulan)</t>
  </si>
  <si>
    <t>00.00. 1 -Narasumber pakar (1 Orang x 1 Kali x 3 Jam)</t>
  </si>
  <si>
    <t>00.00. 2 -Narasumber eselon I (2 Orang x 2 Kali x 2 Jam)</t>
  </si>
  <si>
    <t>00.00. 3 -Narasumber eselon II (2 Orang x 2 Kali x 2 Jam)</t>
  </si>
  <si>
    <t>00.00. 4 -Narasumber Eselon III (2 Orang x 2 Kali x 2 Jam)</t>
  </si>
  <si>
    <t>00.00. 1 - Pembuatan Buku Penyelenggaraan Pelatihan dan Penyuluhan KP</t>
  </si>
  <si>
    <t>00.00. 2 -Pembuatan Materi Penyuluhan Online Bidang KP</t>
  </si>
  <si>
    <t>00.00. 3 - Pembuatan Audio Visual Turtorial Pelatihan</t>
  </si>
  <si>
    <t>00.00. 1 -Perjalanan Menghadiri Undangan, Identifikasi, Koordinasi dan Sosialisasi Perencanaan dan Evaluasi</t>
  </si>
  <si>
    <t>00.00. 1 -Perjalanan dalam kota (4 Orang x 8 Kali)</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</si>
  <si>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</si>
  <si>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</si>
  <si>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</si>
  <si>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</si>
  <si>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</si>
  <si>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</si>
  <si>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2 -Pencetakan dokumen</t>
  </si>
  <si>
    <t>00.00. 3 -spanduk dan backdrop</t>
  </si>
  <si>
    <t>00.00. 4 -Pencetakan buku panduan</t>
  </si>
  <si>
    <t>00.00. 1 -Paket Data Internet Monitoring dan Evaluasi Kinerja (7 org x 12 bulan)</t>
  </si>
  <si>
    <t>00.00. 1 -Narasumber eselon II 1 ORG x 10 KEG x 2 JAM</t>
  </si>
  <si>
    <t>00.00. 2 -Narasumber eselon III 3 ORG x 10 KEG x 2 JAM</t>
  </si>
  <si>
    <t>00.00. 3 -Praktisi 1 ORG x 1 KEG x 2 JAM</t>
  </si>
  <si>
    <t>00.00. 1 -Rapid Test/ PCR Covid-19 (7 orang x 24 kali)</t>
  </si>
  <si>
    <t>00.00. 1 -Identifikasi pembinaan sosialisasi dan koordinasi monitoring kinerja manajerial</t>
  </si>
  <si>
    <t>00.00. 2 -Identifikasi pembinaan sosialisasi pendampingan dan validasi data aplikasi monev</t>
  </si>
  <si>
    <t>00.00. 3 -Identifikasi pembinaan sosialisasi koordinasi dan validasi pengukuran mandiri SAKIP</t>
  </si>
  <si>
    <t>00.00. 4 -Identifikasi pendampingan dan koordinasi tindak lanjut temuan SAKIP</t>
  </si>
  <si>
    <t>00.00. 5 -Identifikasi pendampingan dan koordinasi monitoring kinerja tematik</t>
  </si>
  <si>
    <t>00.00. 1 -Perjalanan dalam kota lebih dari 8 jam (3 Org x 4 kali x 12 Bulan)</t>
  </si>
  <si>
    <t>00.00. 2 -Transport lokal (3 Org x 4 kali x 12 Bulan)</t>
  </si>
  <si>
    <t>00.00. 2 -spanduk dan backdrop</t>
  </si>
  <si>
    <t>00.00. 3 -Pencetakan buku panduan</t>
  </si>
  <si>
    <t>00.00. 4 -Perlengkapan Peserta</t>
  </si>
  <si>
    <t>00.00. 5 -Pencetakan Laporan</t>
  </si>
  <si>
    <t>00.00. 1 - Narasumber eselon II 1 ORG x 6 KEG x 2 JAM</t>
  </si>
  <si>
    <t>00.00. 2 -Narasumber eselon III 3 ORG x 6 KEG x 2 JAM</t>
  </si>
  <si>
    <t>00.00. 1 -Identifikasi pembinaan dan koordinasi Monitoring Program dan Kegiatan Prioritas Riset dan SDM</t>
  </si>
  <si>
    <t>00.00. 2 - Identifikasi pengukuran dan evaluasi Kinerja Outcome</t>
  </si>
  <si>
    <t>00.00. 3 -Identifikasi pembinaan dan evaluasi Rencana Aksi Kinerja</t>
  </si>
  <si>
    <t>00.00. 2 -Pencetakan buku panduan</t>
  </si>
  <si>
    <t>00.00. 3 -Spanduk dan backdrop</t>
  </si>
  <si>
    <t>00.00. 4 -Perlengkapan Peserta (50 x 3 kali)</t>
  </si>
  <si>
    <t>00.00. 5 -Pencetakan laporan</t>
  </si>
  <si>
    <t>00.00. 2 -Belanja Bahan</t>
  </si>
  <si>
    <t>00.00. 1 -Narasumber eselon II 2 ORG x 3 KEG x 2 JAM</t>
  </si>
  <si>
    <t>00.00. 2 -Narasumber eselon III 3 ORG x 3 KEG x 2 JAM</t>
  </si>
  <si>
    <t>00.00. 1 -Identifikasi pembinaan sosialisasi dan koordinasi (Monitoring Terpadu) 25 ORG x 2 KALI</t>
  </si>
  <si>
    <t>00.00. 2 -Pencetakan laporan</t>
  </si>
  <si>
    <t>00.00. 1 -Honorarium Narasumber /Pakar / Praktisi/ Profesional</t>
  </si>
  <si>
    <t>00.00. 1 -Rapid Test Covid-19</t>
  </si>
  <si>
    <t>00.00. 1 -Reviu/Pengukuran Kinerja Lingkup BRSDM</t>
  </si>
  <si>
    <t>00.00. 2 -Pencetakan bahan rapim dan bahan pimpinan</t>
  </si>
  <si>
    <t>00.00. 1 -Perjalanan pendampingan pimpinan/partisipasi kegiatan/penyiapan bahan pimpinan</t>
  </si>
  <si>
    <t>00.00. 1 -perjalanan dalam kota lebih dari 8 jam</t>
  </si>
  <si>
    <t>00.00. 1 -Pencetakan buku LKj BRSDM interim 2022</t>
  </si>
  <si>
    <t>00.00. 2 -Pencetakan buku LKj Sekretariat BRSDM interim tahun 2022</t>
  </si>
  <si>
    <t>00.00. 3 -Pencetakan buku LKj Sekretariat BRSDM tahun 2021</t>
  </si>
  <si>
    <t>00.00. 4 -Pencetakan buku LKj BRSDM 2021</t>
  </si>
  <si>
    <t>00.00. 5 -Penggandaan</t>
  </si>
  <si>
    <t>00.00. 1 -Desain Grafis dan lay out Buku Laporan LKj BRSDM interim 2022</t>
  </si>
  <si>
    <t>00.00. 2 -Desain Grafis dan lay out Buku Laporan LKj Sekretariat BRSDM interim Tahun 2022</t>
  </si>
  <si>
    <t>00.00. 3 -Desain Grafis dan lay out Buku Laporan LKj Sekretariat BRSDM Tahun 2021</t>
  </si>
  <si>
    <t>00.00. 4 -Desain Grafis dan lay out Buku Laporan LKj BRSDM Tahun 2021</t>
  </si>
  <si>
    <t>00.00. 1 -Koordinasi/pembinaan dan penyusunan LKj</t>
  </si>
  <si>
    <t>00.00. 1 -Uang Harian Kegiatan Rapat/Pertemuan di Luar Kantor</t>
  </si>
  <si>
    <t>00.00. 1 -Pencetakan buku laporan bulanan</t>
  </si>
  <si>
    <t>00.00. 2 -Pencetakan buku Laporan Tahunan 2021</t>
  </si>
  <si>
    <t>00.00. 4 -Pencetakan buku Refleksi Outlook</t>
  </si>
  <si>
    <t>00.00. 1 -Biaya Komunikasi dalam bentuk Pulsa dan Paket</t>
  </si>
  <si>
    <t>00.00. 2 -Pengadaan Lisensi Aplikasi untuk penyelenggaraan Rapat secara online/video conference berbayar 1 Paket x 12 Bulan</t>
  </si>
  <si>
    <t>00.00. 1 -Desain Grafis dan lay out Buku Laporan tahunan BRSDM 2020</t>
  </si>
  <si>
    <t>00.00. 2 -Desain Grafis dan lay out Buku refleksi outlook</t>
  </si>
  <si>
    <t>00.00. 3 -Desain Grafis dan lay out Buku laporan bulanan</t>
  </si>
  <si>
    <t>00.00. 1 -Perjalanan penyusunan laporan kegiatan/kinerja</t>
  </si>
  <si>
    <t>00.00. 1 -Snack dan Makan Rapat (25 orang x 6 KALI)</t>
  </si>
  <si>
    <t>00.00. 4 - Fotocopy dan Pencetakan Penyusunan Laporan Monev Penyelenggaraan Pelatihan dan penyuluhan KP</t>
  </si>
  <si>
    <t>00.00. 1 - Biaya Test Rapid dan Swab PCR (30 org x 2 kali)</t>
  </si>
  <si>
    <t>00.00. 1 - Perjalanan Monitoring Penyelenggaraan Pelatihan dan Penyuluhan KP</t>
  </si>
  <si>
    <t>00.00. 1 - Penggandaan dan Penjilidan serta Laporan</t>
  </si>
  <si>
    <t>00.00. 2 -Snack dan Makan Rapat (20 orang x 8 KALI)</t>
  </si>
  <si>
    <t>00.00. 3 - ATK</t>
  </si>
  <si>
    <t>00.00. 4 - Bahan Komputer</t>
  </si>
  <si>
    <t>00.00. 1 - Sosialisasi dan Uji Petik penyusunan Juklak Juknis ke UPT (3 ORANG x 10 Lokasi )</t>
  </si>
  <si>
    <t>00.00. 1 - Fotocopy Penggandaan dan Penjilidan</t>
  </si>
  <si>
    <t>00.00. 2 -Snack Rapat (25 orang x 4 KALI)</t>
  </si>
  <si>
    <t>00.00. 1 - Uji Petik penyusunan Laporan Kinerja ke UPT (3 ORANG x 5 Lokasi x 1 kali)</t>
  </si>
  <si>
    <t>00.00. 1 - Penggandaan dan Penjilidan serta Percetakan</t>
  </si>
  <si>
    <t>00.00. 2 -Snack Rapat di dalam Kantor (20 orang x 4 KALI)</t>
  </si>
  <si>
    <t>00.00. 1 - Perjalanan dan Uji Petik penyusunan Laporan Weekly report lap bul laptah</t>
  </si>
  <si>
    <t>00.00. 1 - ATK</t>
  </si>
  <si>
    <t>00.00. 2 -Snack Rapat (20 orang x 4 KALI)</t>
  </si>
  <si>
    <t>00.00. 3 - Fotocopy dan Pencetakan Penyusunan Laporan Rencana aksi dan Evaluasi Rencana Aksi</t>
  </si>
  <si>
    <t>00.00. 1 - Perjalanan dan Uji Petik penyusunan Dokumen Rencana Aksi dan Evaluasi Rencana Aksi</t>
  </si>
  <si>
    <t>00.00. 1 - Penggandaan dan Penjilidan Laporan SIMLATLUH</t>
  </si>
  <si>
    <t>00.00. 2 -Snack Rapat di dalam Kantor (20 ORANG x 6 Kali)</t>
  </si>
  <si>
    <t>00.00. 1 - Biaya Komunikasi Pulsa Data atau Paket Internet (5 orang x 12 bln)</t>
  </si>
  <si>
    <t>00.00. 1 - Perjalanan Koordinasi dan Evaluasi Simlatluh KP</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</si>
  <si>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</si>
  <si>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</si>
  <si>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</si>
  <si>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</si>
  <si>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</si>
  <si>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</si>
  <si>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</si>
  <si>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</si>
  <si>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</si>
  <si>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1 -Penggandaan Materi dan Laporan kegiatan</t>
  </si>
  <si>
    <t>00.00. 2 -Pencetakan laporan keuangan triwulanan</t>
  </si>
  <si>
    <t>00.00. 3 -Perlengkapan Peserta 100 orang x 3 kali</t>
  </si>
  <si>
    <t>00.00. 4 -Pencetakan dan penggandaan data dukung Dokumen LK</t>
  </si>
  <si>
    <t>00.00. 5 -ATK</t>
  </si>
  <si>
    <t>00.00. 6 -Bahan Komputer</t>
  </si>
  <si>
    <t>00.00. 1 -Narasumber Es III atau setara/dibawahnya 4 ORANG x 2 JAM x 3 KALI</t>
  </si>
  <si>
    <t>00.00. 1 -Pembinaan teknis penyusunan LK 4 orang x 2 kali x 3 daerah</t>
  </si>
  <si>
    <t>00.00. 2 -koordinasi Penyusunan Laporan Keuangan tingkat kementerian 10 orang x 5 periode</t>
  </si>
  <si>
    <t>00.00. 3 -pra Penyusunan Laporan Keuangan tingkat kementerian 4 orang x 5 periode</t>
  </si>
  <si>
    <t>00.00. 4 -koordinasi Penyusunan Laporan Keuangan tingkat Eselon I 10 orang x 5 kali</t>
  </si>
  <si>
    <t>00.00. 1 -Transport lokal dalam rangka koodinasi 1 ORG x 5 KALI</t>
  </si>
  <si>
    <t>00.00. 2 -Uang harian 1 ORG x 5 KALI</t>
  </si>
  <si>
    <t>00.00. 1 -dalam rangka menghadiri undangan 4 orang x 3 kali</t>
  </si>
  <si>
    <t>00.00. 1 -Pencetakan Pedoman Sistem Pengendalian Intern Pelaksanaan PNBP lingkup BRSDM</t>
  </si>
  <si>
    <t>00.00. 2 -Penggandaan materi dan Laporan Kegiatan</t>
  </si>
  <si>
    <t>00.00. 3 -Pencetakan laporan PNBP</t>
  </si>
  <si>
    <t>00.00. 4 -Pencetakan proposal target PNBP 2024</t>
  </si>
  <si>
    <t>00.00. 1 -Narasumber Es III atau setara/dibawahnya 2 ORANG x 2 JAM x 1 KALI</t>
  </si>
  <si>
    <t>00.00. 1 -Penyusunan Pedoman Sistem Pengendalian Intern Pelaksanaan PNBP lingkup BRSDM 30 orang x 2 hari x 1 kali</t>
  </si>
  <si>
    <t>00.00. 2 -Pembinaan pelaksanaan PNBP 4 orang x 2 kali x 3 Daerah</t>
  </si>
  <si>
    <t>00.00. 1 - Transport lokal dalam rangka koodinasi 1 ORG x 2 KALI</t>
  </si>
  <si>
    <t>00.00. 2 -Uang harian 1 ORG x 2 KALI</t>
  </si>
  <si>
    <t>00.00. 1 -menghadiri undangan 2 orang x 2 kali</t>
  </si>
  <si>
    <t>00.00. 3 - Penggandaan Materi dan Laporan kegiatan</t>
  </si>
  <si>
    <t>00.00. 4 -Pencetakan petunjuk pelaksanaan anggaran dan kegiatan BRSDM TA 2022</t>
  </si>
  <si>
    <t>00.00. 1 -Koordinasi pembahasan draft Juklak 20 orang x 1 kali</t>
  </si>
  <si>
    <t>00.00. 1 -Pencetakan dan Penjilidan LPJ bendahara</t>
  </si>
  <si>
    <t>00.00. 2 - Pencetakan dan Penjilidan laporan IKPA BRSDM</t>
  </si>
  <si>
    <t>00.00. 1 - Pulsa pegawai 14 orang x 12 bulan</t>
  </si>
  <si>
    <t>00.00. 1 -Narasumber eselon III 2 ORG x 2 JAM x 5 KALI</t>
  </si>
  <si>
    <t>00.00. 1 -Rapid Test antigen Covid - 19/ PCR (3 orang x 10 Kali)</t>
  </si>
  <si>
    <t>00.00. 1 -dalam rangka rekonsiliasi perbendaharaan 16 orang x 5 kali</t>
  </si>
  <si>
    <t>00.00. 2 -dalam rangka pembinaan administrasi perbendaharaan 3 orang x 2 kali x 5 satker</t>
  </si>
  <si>
    <t>00.00. 1 -Transport lokal dalam rangka koodinasi 1 ORG x 2 KALI</t>
  </si>
  <si>
    <t>00.00. 1 -Pencetakan dan Penjilidan Laporan SPIP (laporan rutin bulanan berkala bulanan SPIP triwulanan)</t>
  </si>
  <si>
    <t>00.00. 2 -Pencetakan dan Penjilidan bahan Maturitas</t>
  </si>
  <si>
    <t>00.00. 3 -Backdroup</t>
  </si>
  <si>
    <t>00.00. 4 -Penggandaan Materi dan Laporan PIPK</t>
  </si>
  <si>
    <t>00.00. 1 -dalam rangka identifikasi penetapan akun signifikan dan penyusunan laporan PIPK 50 orang x 2 kali</t>
  </si>
  <si>
    <t>00.00. 2 -dalam rangka identifikasi dan pemenuhan data dukung penilaian maturitas SPIP 25 orang x 1 kali</t>
  </si>
  <si>
    <t>00.00. 3 -dalam rangka identifikasi dan penyusunan laporan SPIP 30 orang x 4 kali</t>
  </si>
  <si>
    <t>00.00. 4 -Pembinaan dan asistensi pelaksanaan SPIP dan PIPK 5 orang x 1 kali x 3 daerah</t>
  </si>
  <si>
    <t>00.00. 1 -Uang harian 1 ORG x 2 KALI</t>
  </si>
  <si>
    <t>00.00. 2 - Transport lokal dalam rangka koodinasi 1 ORG x 2 KALI</t>
  </si>
  <si>
    <t>00.00. 1 -menghadiri undangan 4 orang x 2 kali</t>
  </si>
  <si>
    <t>00.00. 4 -Penggandaan bahan kegiatan</t>
  </si>
  <si>
    <t>00.00. 1 -Pendampingan Pemeriksaan dan Penyelesaian Tindak Lanjut Temuan Itjen KKP dan BPK RI</t>
  </si>
  <si>
    <t>00.00. 2 -Koordinasi tindak lanjut pemeriksaan APIP dan BPK RI 30 orang x 2 kali</t>
  </si>
  <si>
    <t>00.00. 1 -Transport lokal dalam rangka koordinasi dengan Satker Pusat 1 orang x 5 kali</t>
  </si>
  <si>
    <t>00.00. 2 - Uang harian 1 ORG x 5 KALI</t>
  </si>
  <si>
    <t>00.00. 1 -Menghadiri undangan pemutakhiran data tindak lanjut 6 orang x 2 kali</t>
  </si>
  <si>
    <t>00.00. 3 -Snack dan Makan Rapat (14 orang x 1 kali)</t>
  </si>
  <si>
    <t>00.00. 4 -Seminar Kit (40 org x 1 pkt)</t>
  </si>
  <si>
    <t>00.00. 1 -Pejabat Eselon II ( 3 Org x 2 jam x 1 kali)</t>
  </si>
  <si>
    <t>00.00. 1 -Paket meeting fullboard (40 org x 2 hari x 1 kali)</t>
  </si>
  <si>
    <t>00.00. 2 -Transport (21 org x 1 kali)</t>
  </si>
  <si>
    <t>00.00. 3 -Perjalanan Peserta</t>
  </si>
  <si>
    <t>00.00. 4 -Uang saku (40 org x 3 hari x 1 kali)</t>
  </si>
  <si>
    <t>00.00. 3 -Penggandaan dan Penjilidan Laporan</t>
  </si>
  <si>
    <t>00.00. 4 -Snack Rapat Biasa</t>
  </si>
  <si>
    <t>00.00. 1 -Perjalanan Dinas Undangan FGD,Sosialisasi, Koordinasi Puslatluh KP (3 ORG x 3 kali)</t>
  </si>
  <si>
    <t>00.00. 2 -Perjalanan Koordinasi SPIP ke Satminkal (4 org x 9 lokasi)</t>
  </si>
  <si>
    <t>00.00. 3 -Snack Rapat Biasa (10 org x 4 kali)</t>
  </si>
  <si>
    <t>00.00. 1 -Perjalanan Penyelesaian TL (2 org x 5 lokasi)</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</si>
  <si>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</si>
  <si>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</si>
  <si>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</si>
  <si>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</si>
  <si>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</si>
  <si>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</si>
  <si>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</si>
  <si>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</si>
  <si>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</si>
  <si>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</si>
  <si>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2378.EBD.974</t>
  </si>
  <si>
    <t>Pelaksanaan Pengawasan Internal Kearsipan Lingkup BRSDM</t>
  </si>
  <si>
    <t>00.00. 1 -pelasanaan audit internal kearsipan 2 ORG x 15 KALI</t>
  </si>
  <si>
    <t>00.00. 1 -Penggadaan Bahan</t>
  </si>
  <si>
    <t>00.00. 1 -Narasumber Eselon III atau setara dibawahnya 4 ORG x 3 JAM x 2 KALI</t>
  </si>
  <si>
    <t>00.00. 1 - Identifikasi permasalahan dalam pengelolaan kearsipan satker</t>
  </si>
  <si>
    <t>00.00. 2 -Pembinaan pengelolaan kearsipan</t>
  </si>
  <si>
    <t>00.00. 3 - Sosialisasi peraturan dan kebijakan terkait pngelolaan kearsipan</t>
  </si>
  <si>
    <t>00.00. 1 -Perjalanan dalam kota lebih dari 8 jam</t>
  </si>
  <si>
    <t>00.00. 2 -Trasport lokal</t>
  </si>
  <si>
    <t>00.00. 1 -pelaksanaan penilaian arsip inaktif 2 ORG x 10 KALI</t>
  </si>
  <si>
    <t>00.00. 1 -Pendampingan transpormasi digitalisasi arsip 2 ORG x 10 KALI</t>
  </si>
  <si>
    <t>00.00. 3 -Penggandaan Bahan</t>
  </si>
  <si>
    <t>00.00. 1 -Jasa Penataan Arsip (SDM 15 org, 75 HK)</t>
  </si>
  <si>
    <t>00.00. 1 - Transport lokal (15 org, 75 hari) (15 orang x 75 hari)</t>
  </si>
  <si>
    <t>00.00. 2 -Transport lokal pendampingan (2 org, 75 hari)</t>
  </si>
  <si>
    <t>Sistem Informasi</t>
  </si>
  <si>
    <t>2378.FAB.001</t>
  </si>
  <si>
    <t>00.00. 1 -jasa pengelolaan aplikasi sistem informasi BRSDM</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</si>
  <si>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</si>
  <si>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</si>
  <si>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</si>
  <si>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</si>
  <si>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</si>
  <si>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</si>
  <si>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</si>
  <si>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</si>
  <si>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</si>
  <si>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</si>
  <si>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</si>
  <si>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</si>
  <si>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</si>
  <si>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</si>
  <si>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</si>
  <si>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</si>
  <si>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SEKRETARIAT BADAN RISET DAN SDM KP</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</si>
  <si>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</si>
  <si>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</si>
  <si>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</si>
  <si>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</si>
  <si>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</si>
  <si>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</si>
  <si>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</si>
  <si>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</si>
  <si>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</si>
  <si>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</si>
  <si>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</si>
  <si>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</si>
  <si>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</si>
  <si>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</si>
  <si>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</si>
  <si>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</si>
  <si>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</si>
  <si>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</si>
  <si>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</si>
  <si>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</si>
  <si>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</si>
  <si>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</si>
  <si>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</si>
  <si>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</si>
  <si>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</si>
  <si>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Total Koordinator Tata Usaha</t>
  </si>
  <si>
    <t>002. Operasional dan Pemeliharaan Kantor</t>
  </si>
  <si>
    <t>Jumlah</t>
  </si>
  <si>
    <t>Total Realisasi</t>
  </si>
  <si>
    <t>Total Koordinator Perencanaan dan Evaluasi</t>
  </si>
  <si>
    <t>Total Koordinator Penyelenggaraan Pendidikan</t>
  </si>
  <si>
    <t>Total Koordinator Kelembagaan dan Ketenagaan</t>
  </si>
  <si>
    <t>002. Operasional dan Pemeliharaan Kantor (AA / Blokir)</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</si>
  <si>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</si>
  <si>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</si>
  <si>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</si>
  <si>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</si>
  <si>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</si>
  <si>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</si>
  <si>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</si>
  <si>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</si>
  <si>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</si>
  <si>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</si>
  <si>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</si>
  <si>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</si>
  <si>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</si>
  <si>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</si>
  <si>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</si>
  <si>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</si>
  <si>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</si>
  <si>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</si>
  <si>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</si>
  <si>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</si>
  <si>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</si>
  <si>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</si>
  <si>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</si>
  <si>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</si>
  <si>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</si>
  <si>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</si>
  <si>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</si>
  <si>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</si>
  <si>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</si>
  <si>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</si>
  <si>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</si>
  <si>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</si>
  <si>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</si>
  <si>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</si>
  <si>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</si>
  <si>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</si>
  <si>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</si>
  <si>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</si>
  <si>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</si>
  <si>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</si>
  <si>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</si>
  <si>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</si>
  <si>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</si>
  <si>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</si>
  <si>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</si>
  <si>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</si>
  <si>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</si>
  <si>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</si>
  <si>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</si>
  <si>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</si>
  <si>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</si>
  <si>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</si>
  <si>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</si>
  <si>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</si>
  <si>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</si>
  <si>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</si>
  <si>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</si>
  <si>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</si>
  <si>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</si>
  <si>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</si>
  <si>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</si>
  <si>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</si>
  <si>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EAC</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</si>
  <si>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</si>
  <si>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</si>
  <si>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</si>
  <si>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</si>
  <si>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</si>
  <si>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</si>
  <si>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Non COVID</t>
  </si>
  <si>
    <t>BELANJA BAHAN</t>
  </si>
  <si>
    <t>Belanja Barang Non Operasional</t>
  </si>
  <si>
    <t>NON OPS LAINNYA</t>
  </si>
  <si>
    <t>COVID</t>
  </si>
  <si>
    <t>BELANJA JASA</t>
  </si>
  <si>
    <t>PERJALANAN DINAS</t>
  </si>
  <si>
    <t>PERSEDIAAN</t>
  </si>
  <si>
    <t>TRANSPORT LOKAL</t>
  </si>
  <si>
    <t>Belanja Barang Operasional</t>
  </si>
  <si>
    <t>BELANJA SEWA</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</si>
  <si>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</si>
  <si>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</si>
  <si>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</si>
  <si>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</si>
  <si>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</si>
  <si>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</si>
  <si>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</si>
  <si>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</si>
  <si>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</si>
  <si>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</si>
  <si>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</si>
  <si>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</si>
  <si>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</si>
  <si>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</si>
  <si>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</si>
  <si>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</si>
  <si>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</si>
  <si>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</si>
  <si>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</si>
  <si>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</si>
  <si>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</si>
  <si>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</si>
  <si>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</si>
  <si>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</si>
  <si>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</si>
  <si>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</si>
  <si>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</si>
  <si>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</si>
  <si>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</si>
  <si>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</si>
  <si>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</si>
  <si>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</si>
  <si>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</si>
  <si>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</si>
  <si>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</si>
  <si>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</si>
  <si>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</si>
  <si>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</si>
  <si>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</si>
  <si>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</si>
  <si>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</si>
  <si>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</si>
  <si>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</si>
  <si>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</si>
  <si>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</si>
  <si>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</si>
  <si>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</si>
  <si>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</si>
  <si>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</si>
  <si>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</si>
  <si>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</si>
  <si>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</si>
  <si>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</si>
  <si>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</si>
  <si>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</si>
  <si>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</si>
  <si>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</si>
  <si>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</si>
  <si>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</si>
  <si>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</si>
  <si>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</si>
  <si>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</si>
  <si>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</si>
  <si>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</si>
  <si>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</si>
  <si>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</si>
  <si>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</si>
  <si>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</si>
  <si>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PAGU ANGGARAN</t>
  </si>
  <si>
    <t>SISA</t>
  </si>
  <si>
    <t>KEUANGAN</t>
  </si>
  <si>
    <t>BELANJA BARANG</t>
  </si>
  <si>
    <t>a. Barang Operasional</t>
  </si>
  <si>
    <t>BELANJA MODAL</t>
  </si>
  <si>
    <t>SSBP/SSPB</t>
  </si>
  <si>
    <t>TOTAL</t>
  </si>
  <si>
    <t>REALISASI KOORDINATOR DAN SUBKOORDINATOR</t>
  </si>
  <si>
    <t>b. Barang Operasional (AA / Blokir)</t>
  </si>
  <si>
    <t>c. Barang Non Operasional</t>
  </si>
  <si>
    <t>302. Aparatur KKP yang Diberikan Izin Belajar</t>
  </si>
  <si>
    <t>A. Aparatur KKP yang Diberikan Izin Belajar</t>
  </si>
  <si>
    <t>DL.2376.AFA.001.054.B.522192</t>
  </si>
  <si>
    <t>DL.2376.AFA.001.054.B.521211</t>
  </si>
  <si>
    <t>DL.2376.AFA.001.054.B.521219</t>
  </si>
  <si>
    <t>DL.2376.AFA.001.054.B.524111</t>
  </si>
  <si>
    <t>BELANJA PERSEDIAAN</t>
  </si>
  <si>
    <t>BELANJA PENGIRIMAN</t>
  </si>
  <si>
    <t>BELANJA PEMELIHARAAN</t>
  </si>
  <si>
    <t>BELANJA HONOR</t>
  </si>
  <si>
    <t>WA.2378.EBA.994.002.GD.521811</t>
  </si>
  <si>
    <t>WA.2378.EBA.994.002.GD.523121</t>
  </si>
  <si>
    <t>BELANJA PERKANTORAN</t>
  </si>
  <si>
    <t>WA.2378.EBD.953.302.B.521211</t>
  </si>
  <si>
    <t>WA.2378.EBD.953.302.B.521219</t>
  </si>
  <si>
    <t>WA.2378.EBD.953.302.B.524111</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</si>
  <si>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</si>
  <si>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</si>
  <si>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</si>
  <si>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</si>
  <si>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</si>
  <si>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</si>
  <si>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</si>
  <si>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</si>
  <si>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</si>
  <si>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</si>
  <si>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</si>
  <si>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</si>
  <si>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</si>
  <si>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</si>
  <si>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</si>
  <si>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</si>
  <si>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</si>
  <si>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</si>
  <si>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</si>
  <si>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</si>
  <si>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</si>
  <si>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</si>
  <si>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</si>
  <si>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</si>
  <si>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Berdasarkan DIPA Revisi 1 POK 2 TA. 2022 (Tanggal 22 Maret 2022)</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</si>
  <si>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</si>
  <si>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</si>
  <si>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</si>
  <si>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</si>
  <si>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</si>
  <si>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</si>
  <si>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</si>
  <si>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</si>
  <si>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</si>
  <si>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</si>
  <si>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</si>
  <si>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</si>
  <si>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</si>
  <si>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</si>
  <si>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</si>
  <si>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</si>
  <si>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</si>
  <si>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</si>
  <si>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</si>
  <si>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</si>
  <si>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</si>
  <si>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</si>
  <si>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</si>
  <si>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</si>
  <si>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</si>
  <si>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</si>
  <si>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</si>
  <si>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</si>
  <si>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</si>
  <si>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</si>
  <si>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</si>
  <si>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</si>
  <si>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</si>
  <si>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</si>
  <si>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</si>
  <si>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</si>
  <si>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</si>
  <si>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</si>
  <si>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</si>
  <si>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</si>
  <si>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</si>
  <si>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</si>
  <si>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</si>
  <si>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</si>
  <si>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</si>
  <si>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</si>
  <si>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</si>
  <si>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</si>
  <si>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</si>
  <si>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</si>
  <si>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</si>
  <si>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</si>
  <si>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</si>
  <si>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</si>
  <si>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</si>
  <si>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</si>
  <si>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</si>
  <si>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</si>
  <si>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</si>
  <si>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</si>
  <si>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</si>
  <si>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</si>
  <si>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</si>
  <si>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</si>
  <si>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</si>
  <si>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</si>
  <si>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</si>
  <si>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</si>
  <si>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</si>
  <si>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</si>
  <si>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</si>
  <si>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</si>
  <si>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</si>
  <si>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</si>
  <si>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</si>
  <si>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</si>
  <si>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</si>
  <si>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</si>
  <si>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</si>
  <si>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</si>
  <si>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</si>
  <si>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</si>
  <si>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</si>
  <si>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</si>
  <si>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</si>
  <si>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</si>
  <si>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</si>
  <si>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</si>
  <si>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</si>
  <si>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</si>
  <si>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</si>
  <si>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</si>
  <si>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</si>
  <si>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</si>
  <si>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</si>
  <si>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</si>
  <si>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</si>
  <si>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</si>
  <si>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</si>
  <si>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</si>
  <si>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</si>
  <si>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</si>
  <si>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</si>
  <si>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</si>
  <si>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</si>
  <si>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</si>
  <si>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</si>
  <si>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</si>
  <si>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</si>
  <si>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</si>
  <si>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</si>
  <si>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</si>
  <si>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</si>
  <si>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</si>
  <si>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</si>
  <si>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</si>
  <si>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</si>
  <si>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</si>
  <si>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</si>
  <si>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</si>
  <si>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</si>
  <si>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</si>
  <si>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</si>
  <si>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</si>
  <si>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</si>
  <si>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</si>
  <si>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</si>
  <si>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</si>
  <si>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</si>
  <si>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</si>
  <si>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</si>
  <si>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</si>
  <si>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</si>
  <si>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</si>
  <si>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</si>
  <si>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</si>
  <si>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</si>
  <si>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</si>
  <si>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</si>
  <si>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</si>
  <si>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</si>
  <si>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</si>
  <si>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</si>
  <si>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</si>
  <si>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</si>
  <si>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</si>
  <si>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</si>
  <si>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</si>
  <si>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</si>
  <si>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</si>
  <si>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</si>
  <si>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</si>
  <si>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</si>
  <si>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</si>
  <si>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</si>
  <si>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</si>
  <si>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</si>
  <si>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</si>
  <si>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</si>
  <si>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</si>
  <si>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</si>
  <si>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</si>
  <si>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</si>
  <si>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</si>
  <si>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</si>
  <si>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</si>
  <si>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001. Gaji dan Tunjangan Pusat Pendidikan KP (AA / Blokir)</t>
  </si>
  <si>
    <t>BELANJA PEGAWAI</t>
  </si>
  <si>
    <t>a. Gaji dan Tunjangan Pusat Pendidikan KP</t>
  </si>
  <si>
    <t>b. Gaji dan Tunjangan Pusat Pendidikan KP (AA / Blokir)</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</si>
  <si>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</si>
  <si>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</si>
  <si>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</si>
  <si>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</si>
  <si>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</si>
  <si>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</si>
  <si>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</si>
  <si>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</si>
  <si>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</si>
  <si>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</si>
  <si>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</si>
  <si>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</si>
  <si>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</si>
  <si>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</si>
  <si>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</si>
  <si>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</si>
  <si>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</si>
  <si>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</si>
  <si>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</si>
  <si>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</si>
  <si>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</si>
  <si>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</si>
  <si>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</si>
  <si>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</si>
  <si>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</si>
  <si>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</si>
  <si>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</si>
  <si>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</si>
  <si>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</si>
  <si>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</si>
  <si>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</si>
  <si>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</si>
  <si>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</si>
  <si>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</si>
  <si>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</si>
  <si>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</si>
  <si>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</si>
  <si>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</si>
  <si>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</si>
  <si>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</si>
  <si>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</si>
  <si>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</si>
  <si>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</si>
  <si>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</si>
  <si>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</si>
  <si>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</si>
  <si>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</si>
  <si>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</si>
  <si>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</si>
  <si>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</si>
  <si>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</si>
  <si>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</si>
  <si>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</si>
  <si>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</si>
  <si>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</si>
  <si>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</si>
  <si>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</si>
  <si>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</si>
  <si>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</si>
  <si>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</si>
  <si>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</si>
  <si>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</si>
  <si>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</si>
  <si>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</si>
  <si>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</si>
  <si>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</si>
  <si>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</si>
  <si>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</si>
  <si>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</si>
  <si>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</si>
  <si>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</si>
  <si>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</si>
  <si>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</si>
  <si>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</si>
  <si>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</si>
  <si>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</si>
  <si>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</si>
  <si>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</si>
  <si>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</si>
  <si>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</si>
  <si>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</si>
  <si>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</si>
  <si>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</si>
  <si>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</si>
  <si>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</si>
  <si>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</si>
  <si>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</si>
  <si>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</si>
  <si>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</si>
  <si>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</si>
  <si>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</si>
  <si>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</si>
  <si>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</si>
  <si>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</si>
  <si>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</si>
  <si>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</si>
  <si>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</si>
  <si>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</si>
  <si>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</si>
  <si>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</si>
  <si>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</si>
  <si>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</si>
  <si>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</si>
  <si>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</si>
  <si>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</si>
  <si>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</si>
  <si>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</si>
  <si>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</si>
  <si>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</si>
  <si>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</si>
  <si>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</si>
  <si>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</si>
  <si>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</si>
  <si>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</si>
  <si>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</si>
  <si>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</si>
  <si>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</si>
  <si>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</si>
  <si>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</si>
  <si>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</si>
  <si>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</si>
  <si>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</si>
  <si>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</si>
  <si>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</si>
  <si>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</si>
  <si>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</si>
  <si>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</si>
  <si>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</si>
  <si>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</si>
  <si>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</si>
  <si>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</si>
  <si>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</si>
  <si>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</si>
  <si>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</si>
  <si>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</si>
  <si>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</si>
  <si>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</si>
  <si>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</si>
  <si>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</si>
  <si>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</si>
  <si>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</si>
  <si>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</si>
  <si>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</si>
  <si>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</si>
  <si>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</si>
  <si>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REALISASI JENIS BELANJA OPERASIONAL, NON OPERASIONAL, BELANJA PEGAWAI DAN BELANJA MODAL</t>
  </si>
  <si>
    <t>REALISASI DENGAN GAJI</t>
  </si>
  <si>
    <t>REALISASI TANPA GAJI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</si>
  <si>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</si>
  <si>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</si>
  <si>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</si>
  <si>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</si>
  <si>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</si>
  <si>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</si>
  <si>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</si>
  <si>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</si>
  <si>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</si>
  <si>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</si>
  <si>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</si>
  <si>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</si>
  <si>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</si>
  <si>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</si>
  <si>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</si>
  <si>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</si>
  <si>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</si>
  <si>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</si>
  <si>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</si>
  <si>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</si>
  <si>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</si>
  <si>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</si>
  <si>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</si>
  <si>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</si>
  <si>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</si>
  <si>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</si>
  <si>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</si>
  <si>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</si>
  <si>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</si>
  <si>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</si>
  <si>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</si>
  <si>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</si>
  <si>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</si>
  <si>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</si>
  <si>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</si>
  <si>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</si>
  <si>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</si>
  <si>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</si>
  <si>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</si>
  <si>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</si>
  <si>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</si>
  <si>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</si>
  <si>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</si>
  <si>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</si>
  <si>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</si>
  <si>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</si>
  <si>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</si>
  <si>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</si>
  <si>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</si>
  <si>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</si>
  <si>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</si>
  <si>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</si>
  <si>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</si>
  <si>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</si>
  <si>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</si>
  <si>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</si>
  <si>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</si>
  <si>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</si>
  <si>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</si>
  <si>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</si>
  <si>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</si>
  <si>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</si>
  <si>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</si>
  <si>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</si>
  <si>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</si>
  <si>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</si>
  <si>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</si>
  <si>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</si>
  <si>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</si>
  <si>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</si>
  <si>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</si>
  <si>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</si>
  <si>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</si>
  <si>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</si>
  <si>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</si>
  <si>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</si>
  <si>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</si>
  <si>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</si>
  <si>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</si>
  <si>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</si>
  <si>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</si>
  <si>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DL.2376.AFA.001.054.B.522151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</si>
  <si>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</si>
  <si>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</si>
  <si>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</si>
  <si>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</si>
  <si>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</si>
  <si>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</si>
  <si>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</si>
  <si>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</si>
  <si>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</si>
  <si>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</si>
  <si>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</si>
  <si>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</si>
  <si>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</si>
  <si>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</si>
  <si>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</si>
  <si>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</si>
  <si>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</si>
  <si>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</si>
  <si>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</si>
  <si>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</si>
  <si>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</si>
  <si>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</si>
  <si>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</si>
  <si>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</si>
  <si>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</si>
  <si>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</si>
  <si>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</si>
  <si>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</si>
  <si>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</si>
  <si>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</si>
  <si>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</si>
  <si>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</si>
  <si>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</si>
  <si>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</si>
  <si>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</si>
  <si>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</si>
  <si>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</si>
  <si>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</si>
  <si>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</si>
  <si>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</si>
  <si>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</si>
  <si>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</si>
  <si>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</si>
  <si>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</si>
  <si>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</si>
  <si>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</si>
  <si>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</si>
  <si>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</si>
  <si>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</si>
  <si>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</si>
  <si>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</si>
  <si>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</si>
  <si>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</si>
  <si>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</si>
  <si>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</si>
  <si>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</si>
  <si>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</si>
  <si>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</si>
  <si>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</si>
  <si>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</si>
  <si>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</si>
  <si>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</si>
  <si>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</si>
  <si>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</si>
  <si>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</si>
  <si>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</si>
  <si>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</si>
  <si>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</si>
  <si>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</si>
  <si>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</si>
  <si>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</si>
  <si>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</si>
  <si>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</si>
  <si>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</si>
  <si>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</si>
  <si>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</si>
  <si>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</si>
  <si>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</si>
  <si>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</si>
  <si>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</si>
  <si>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</si>
  <si>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</si>
  <si>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</si>
  <si>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</si>
  <si>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</si>
  <si>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</si>
  <si>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</si>
  <si>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</si>
  <si>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</si>
  <si>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</si>
  <si>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</si>
  <si>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</si>
  <si>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</si>
  <si>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</si>
  <si>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</si>
  <si>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</si>
  <si>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</si>
  <si>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</si>
  <si>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</si>
  <si>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</si>
  <si>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</si>
  <si>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</si>
  <si>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</si>
  <si>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</si>
  <si>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</si>
  <si>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</si>
  <si>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</si>
  <si>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</si>
  <si>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</si>
  <si>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</si>
  <si>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</si>
  <si>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</si>
  <si>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</si>
  <si>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</si>
  <si>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</si>
  <si>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</si>
  <si>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</si>
  <si>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</si>
  <si>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</si>
  <si>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</si>
  <si>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</si>
  <si>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</si>
  <si>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</si>
  <si>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</si>
  <si>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</si>
  <si>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</si>
  <si>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</si>
  <si>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</si>
  <si>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</si>
  <si>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</si>
  <si>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</si>
  <si>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</si>
  <si>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</si>
  <si>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</si>
  <si>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</si>
  <si>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</si>
  <si>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</si>
  <si>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</si>
  <si>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</si>
  <si>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</si>
  <si>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</si>
  <si>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</si>
  <si>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</si>
  <si>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</si>
  <si>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</si>
  <si>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</si>
  <si>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</si>
  <si>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</si>
  <si>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</si>
  <si>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</si>
  <si>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</si>
  <si>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</si>
  <si>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</si>
  <si>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</si>
  <si>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</si>
  <si>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</si>
  <si>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</si>
  <si>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</si>
  <si>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</si>
  <si>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</si>
  <si>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</si>
  <si>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</si>
  <si>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</si>
  <si>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</si>
  <si>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</si>
  <si>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</si>
  <si>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</si>
  <si>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</si>
  <si>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</si>
  <si>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</si>
  <si>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</si>
  <si>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</si>
  <si>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</si>
  <si>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</si>
  <si>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</si>
  <si>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</si>
  <si>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</si>
  <si>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</si>
  <si>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</si>
  <si>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</si>
  <si>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</si>
  <si>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</si>
  <si>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</si>
  <si>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</si>
  <si>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</si>
  <si>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</si>
  <si>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</si>
  <si>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</si>
  <si>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</si>
  <si>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</si>
  <si>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</si>
  <si>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</si>
  <si>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SAMPAI DENGAN 15 JUNI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</si>
</sst>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s>
  <fonts count="51"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theme="0"/>
      <name val="Calibri"/>
      <family val="2"/>
      <scheme val="minor"/>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color theme="1"/>
      <name val="Calibri"/>
      <family val="2"/>
      <scheme val="minor"/>
    </font>
    <font>
      <sz val="10"/>
      <color theme="1"/>
      <name val="Calibri"/>
      <family val="2"/>
      <scheme val="minor"/>
    </font>
    <font>
      <b/>
      <sz val="11"/>
      <color theme="0"/>
      <name val="Arial"/>
      <family val="2"/>
    </font>
    <font>
      <b/>
      <sz val="10"/>
      <color theme="0"/>
      <name val="Arial"/>
      <family val="2"/>
    </font>
    <font>
      <sz val="10"/>
      <color rgb="FF000000"/>
      <name val="Arial"/>
      <family val="2"/>
    </font>
    <font>
      <b/>
      <sz val="10"/>
      <name val="Arial"/>
      <family val="2"/>
    </font>
    <font>
      <sz val="10"/>
      <name val="Arial"/>
      <family val="2"/>
    </font>
    <font>
      <sz val="10"/>
      <color rgb="FFFFFFFF"/>
      <name val="Arial"/>
      <family val="2"/>
    </font>
    <font>
      <b/>
      <i/>
      <sz val="8"/>
      <name val="Arial"/>
      <family val="2"/>
    </font>
    <font>
      <b/>
      <sz val="11"/>
      <color theme="1"/>
      <name val="Calibri"/>
      <family val="2"/>
      <scheme val="minor"/>
    </font>
    <font>
      <b/>
      <sz val="11"/>
      <color rgb="FF0070C0"/>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1"/>
      <color theme="8" tint="-0.249977111117893"/>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s>
  <fills count="39">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5"/>
        <bgColor theme="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002060"/>
        <bgColor indexed="64"/>
      </patternFill>
    </fill>
    <fill>
      <patternFill patternType="solid">
        <fgColor rgb="FF002060"/>
        <bgColor rgb="FFB4C6E7"/>
      </patternFill>
    </fill>
    <fill>
      <patternFill patternType="solid">
        <fgColor theme="4" tint="0.39997558519241921"/>
        <bgColor indexed="64"/>
      </patternFill>
    </fill>
    <fill>
      <patternFill patternType="solid">
        <fgColor rgb="FF8EA9DB"/>
        <bgColor indexed="64"/>
      </patternFill>
    </fill>
    <fill>
      <patternFill patternType="solid">
        <fgColor theme="5"/>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theme="7"/>
        <bgColor indexed="64"/>
      </patternFill>
    </fill>
    <fill>
      <patternFill patternType="solid">
        <fgColor rgb="FFFF0000"/>
        <bgColor indexed="64"/>
      </patternFill>
    </fill>
    <fill>
      <patternFill patternType="solid">
        <fgColor rgb="FFFFFF9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s>
  <cellStyleXfs count="10">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cellStyleXfs>
  <cellXfs count="46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6" fillId="15" borderId="1" xfId="0" applyFont="1" applyFill="1" applyBorder="1" applyProtection="1">
      <protection locked="0"/>
    </xf>
    <xf numFmtId="0" fontId="20" fillId="0" borderId="1" xfId="0" applyFont="1" applyBorder="1" applyProtection="1">
      <protection locked="0"/>
    </xf>
    <xf numFmtId="0" fontId="24" fillId="14" borderId="1" xfId="0" applyFont="1" applyFill="1" applyBorder="1" applyProtection="1">
      <protection locked="0"/>
    </xf>
    <xf numFmtId="0" fontId="25"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3" fillId="13" borderId="1" xfId="0" applyFont="1" applyFill="1" applyBorder="1" applyAlignment="1">
      <alignment vertical="top"/>
    </xf>
    <xf numFmtId="0" fontId="23" fillId="13" borderId="1" xfId="0" applyFont="1" applyFill="1" applyBorder="1" applyAlignment="1">
      <alignment vertical="top" wrapText="1"/>
    </xf>
    <xf numFmtId="0" fontId="23" fillId="13" borderId="1" xfId="0" applyFont="1" applyFill="1" applyBorder="1" applyAlignment="1">
      <alignment horizontal="center" vertical="top"/>
    </xf>
    <xf numFmtId="41" fontId="23"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22" fillId="18" borderId="9" xfId="0" applyFont="1" applyFill="1" applyBorder="1"/>
    <xf numFmtId="0" fontId="22" fillId="18" borderId="10" xfId="0" applyFont="1" applyFill="1" applyBorder="1"/>
    <xf numFmtId="0" fontId="22" fillId="18" borderId="11" xfId="0" applyFont="1" applyFill="1" applyBorder="1"/>
    <xf numFmtId="0" fontId="0" fillId="19" borderId="6" xfId="0" applyFont="1" applyFill="1" applyBorder="1" applyAlignment="1">
      <alignment horizontal="center"/>
    </xf>
    <xf numFmtId="0" fontId="0" fillId="19" borderId="7" xfId="0" applyFont="1" applyFill="1" applyBorder="1" applyAlignment="1">
      <alignment horizontal="center"/>
    </xf>
    <xf numFmtId="0" fontId="0" fillId="19" borderId="8" xfId="0" applyFont="1" applyFill="1" applyBorder="1" applyAlignment="1">
      <alignment horizontal="center"/>
    </xf>
    <xf numFmtId="49" fontId="28" fillId="20" borderId="1" xfId="0" applyNumberFormat="1" applyFont="1" applyFill="1" applyBorder="1" applyAlignment="1">
      <alignment horizontal="center"/>
    </xf>
    <xf numFmtId="0" fontId="28" fillId="20" borderId="1" xfId="0" applyFont="1" applyFill="1" applyBorder="1" applyAlignment="1">
      <alignment horizontal="left"/>
    </xf>
    <xf numFmtId="0" fontId="8" fillId="0" borderId="0" xfId="0" applyFont="1"/>
    <xf numFmtId="0" fontId="8" fillId="0" borderId="0" xfId="0" applyFont="1" applyAlignment="1">
      <alignment horizontal="left"/>
    </xf>
    <xf numFmtId="0" fontId="29" fillId="0" borderId="0" xfId="0" applyFont="1" applyProtection="1">
      <protection locked="0"/>
    </xf>
    <xf numFmtId="0" fontId="29" fillId="0" borderId="0" xfId="0" applyFont="1" applyAlignment="1" applyProtection="1">
      <alignment horizontal="left"/>
      <protection locked="0"/>
    </xf>
    <xf numFmtId="0" fontId="29" fillId="20" borderId="1" xfId="0" applyFont="1" applyFill="1" applyBorder="1" applyAlignment="1">
      <alignment horizontal="left"/>
    </xf>
    <xf numFmtId="0" fontId="29" fillId="20" borderId="1" xfId="0" applyNumberFormat="1" applyFont="1" applyFill="1" applyBorder="1" applyAlignment="1">
      <alignment horizontal="left"/>
    </xf>
    <xf numFmtId="0" fontId="8" fillId="0" borderId="0" xfId="0" applyFont="1" applyAlignment="1">
      <alignment horizontal="center"/>
    </xf>
    <xf numFmtId="0" fontId="11" fillId="0" borderId="0" xfId="0" applyFont="1" applyAlignment="1" applyProtection="1">
      <alignment horizontal="center"/>
      <protection locked="0"/>
    </xf>
    <xf numFmtId="0" fontId="10" fillId="0" borderId="0" xfId="0" applyFont="1" applyAlignment="1">
      <alignment horizontal="center" vertical="top"/>
    </xf>
    <xf numFmtId="1" fontId="21" fillId="0" borderId="1" xfId="0" applyNumberFormat="1" applyFont="1" applyFill="1" applyBorder="1" applyAlignment="1">
      <alignment horizontal="center"/>
    </xf>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165" fontId="31" fillId="22" borderId="5" xfId="0" applyNumberFormat="1" applyFont="1" applyFill="1" applyBorder="1" applyAlignment="1">
      <alignment horizontal="center" vertical="top"/>
    </xf>
    <xf numFmtId="0" fontId="18" fillId="23" borderId="1" xfId="0" applyFont="1" applyFill="1" applyBorder="1" applyAlignment="1">
      <alignment horizontal="center" vertical="center"/>
    </xf>
    <xf numFmtId="0" fontId="9" fillId="21" borderId="1" xfId="0" applyFont="1" applyFill="1" applyBorder="1" applyAlignment="1">
      <alignment vertical="top" wrapText="1"/>
    </xf>
    <xf numFmtId="1" fontId="9" fillId="21" borderId="1" xfId="0" applyNumberFormat="1" applyFont="1" applyFill="1" applyBorder="1" applyAlignment="1">
      <alignment horizontal="center" vertical="top"/>
    </xf>
    <xf numFmtId="0" fontId="9" fillId="21" borderId="1" xfId="0" applyFont="1" applyFill="1" applyBorder="1" applyAlignment="1">
      <alignment horizontal="center" vertical="top"/>
    </xf>
    <xf numFmtId="41" fontId="9" fillId="21" borderId="1" xfId="1" applyFont="1" applyFill="1" applyBorder="1" applyAlignment="1">
      <alignment vertical="top"/>
    </xf>
    <xf numFmtId="0" fontId="15" fillId="24" borderId="1" xfId="0" applyFont="1" applyFill="1" applyBorder="1" applyAlignment="1">
      <alignment vertical="top" wrapText="1"/>
    </xf>
    <xf numFmtId="0" fontId="15" fillId="24" borderId="1" xfId="0" applyFont="1" applyFill="1" applyBorder="1" applyAlignment="1">
      <alignment horizontal="center" vertical="top"/>
    </xf>
    <xf numFmtId="41" fontId="15" fillId="24" borderId="1" xfId="1" applyFont="1" applyFill="1" applyBorder="1" applyAlignment="1">
      <alignment vertical="top"/>
    </xf>
    <xf numFmtId="1" fontId="15" fillId="24" borderId="1" xfId="0" applyNumberFormat="1" applyFont="1" applyFill="1" applyBorder="1" applyAlignment="1">
      <alignment horizontal="center" vertical="top"/>
    </xf>
    <xf numFmtId="41" fontId="11" fillId="0" borderId="0" xfId="1" applyFont="1" applyAlignment="1" applyProtection="1">
      <alignment horizontal="center"/>
      <protection locked="0"/>
    </xf>
    <xf numFmtId="41" fontId="10" fillId="0" borderId="0" xfId="1" applyFont="1" applyAlignment="1" applyProtection="1">
      <alignment horizontal="left"/>
      <protection locked="0"/>
    </xf>
    <xf numFmtId="41" fontId="16" fillId="0" borderId="0" xfId="1" applyFont="1" applyAlignment="1" applyProtection="1">
      <alignment horizontal="left" vertical="top"/>
      <protection locked="0"/>
    </xf>
    <xf numFmtId="41" fontId="10" fillId="0" borderId="0" xfId="1" applyFont="1" applyFill="1" applyAlignment="1">
      <alignment horizontal="center" vertical="top"/>
    </xf>
    <xf numFmtId="41" fontId="21" fillId="0" borderId="1" xfId="1" applyFont="1" applyFill="1" applyBorder="1" applyAlignment="1">
      <alignment horizontal="center"/>
    </xf>
    <xf numFmtId="0" fontId="10" fillId="0" borderId="0" xfId="0" applyFont="1" applyAlignment="1">
      <alignment horizontal="center"/>
    </xf>
    <xf numFmtId="0" fontId="30" fillId="25" borderId="1" xfId="0" applyFont="1" applyFill="1" applyBorder="1" applyAlignment="1">
      <alignment horizontal="center" vertical="center"/>
    </xf>
    <xf numFmtId="49" fontId="30" fillId="25" borderId="1" xfId="0" applyNumberFormat="1" applyFont="1" applyFill="1" applyBorder="1" applyAlignment="1">
      <alignment horizontal="center" vertical="center"/>
    </xf>
    <xf numFmtId="0" fontId="10" fillId="0" borderId="1" xfId="0" applyFont="1" applyBorder="1" applyAlignment="1">
      <alignment horizontal="center" vertical="top"/>
    </xf>
    <xf numFmtId="49" fontId="10" fillId="0" borderId="1" xfId="0" applyNumberFormat="1" applyFont="1" applyBorder="1" applyAlignment="1">
      <alignment horizontal="center" vertical="top"/>
    </xf>
    <xf numFmtId="0" fontId="34" fillId="0" borderId="1" xfId="0" applyFont="1" applyFill="1" applyBorder="1" applyAlignment="1">
      <alignment vertical="top" wrapText="1"/>
    </xf>
    <xf numFmtId="0" fontId="34" fillId="0" borderId="1" xfId="0" applyFont="1" applyFill="1" applyBorder="1" applyAlignment="1">
      <alignment horizontal="center" vertical="top"/>
    </xf>
    <xf numFmtId="41" fontId="34" fillId="0" borderId="1" xfId="1" applyFont="1" applyFill="1" applyBorder="1" applyAlignment="1">
      <alignment vertical="top"/>
    </xf>
    <xf numFmtId="0" fontId="32" fillId="0" borderId="1" xfId="0" applyFont="1" applyFill="1" applyBorder="1" applyAlignment="1">
      <alignment vertical="top" wrapText="1"/>
    </xf>
    <xf numFmtId="0" fontId="32" fillId="0" borderId="1" xfId="0" applyFont="1" applyFill="1" applyBorder="1" applyAlignment="1">
      <alignment horizontal="center" vertical="top"/>
    </xf>
    <xf numFmtId="41" fontId="32" fillId="0" borderId="1" xfId="1" applyFont="1" applyFill="1" applyBorder="1" applyAlignment="1">
      <alignment vertical="top"/>
    </xf>
    <xf numFmtId="0" fontId="35" fillId="0" borderId="1" xfId="0" applyFont="1" applyFill="1" applyBorder="1" applyAlignment="1">
      <alignment vertical="top" wrapText="1"/>
    </xf>
    <xf numFmtId="0" fontId="35" fillId="0" borderId="1" xfId="0" applyFont="1" applyFill="1" applyBorder="1" applyAlignment="1">
      <alignment horizontal="center" vertical="top"/>
    </xf>
    <xf numFmtId="41" fontId="35" fillId="0" borderId="1" xfId="1" applyFont="1" applyFill="1" applyBorder="1" applyAlignment="1">
      <alignment vertical="top"/>
    </xf>
    <xf numFmtId="1" fontId="32" fillId="0" borderId="1" xfId="0" applyNumberFormat="1" applyFont="1" applyFill="1" applyBorder="1" applyAlignment="1">
      <alignment horizontal="center" vertical="top"/>
    </xf>
    <xf numFmtId="0" fontId="8" fillId="0" borderId="1" xfId="0" applyFont="1" applyFill="1" applyBorder="1" applyProtection="1">
      <protection locked="0"/>
    </xf>
    <xf numFmtId="41" fontId="11" fillId="0" borderId="0" xfId="1" applyFont="1" applyAlignment="1">
      <alignment horizontal="center"/>
    </xf>
    <xf numFmtId="41" fontId="10" fillId="0" borderId="0" xfId="1" applyFont="1"/>
    <xf numFmtId="41" fontId="11" fillId="0" borderId="0" xfId="0" applyNumberFormat="1" applyFont="1" applyAlignment="1">
      <alignment horizontal="center"/>
    </xf>
    <xf numFmtId="41" fontId="10" fillId="0" borderId="0" xfId="1" applyFont="1" applyFill="1" applyBorder="1"/>
    <xf numFmtId="41" fontId="11" fillId="0" borderId="0" xfId="1" applyFont="1" applyFill="1" applyBorder="1" applyAlignment="1">
      <alignment horizontal="center"/>
    </xf>
    <xf numFmtId="41" fontId="0" fillId="0" borderId="0" xfId="1" applyFont="1" applyFill="1" applyBorder="1" applyProtection="1">
      <protection locked="0"/>
    </xf>
    <xf numFmtId="41" fontId="10" fillId="0" borderId="0" xfId="1" applyFont="1" applyFill="1" applyBorder="1" applyAlignment="1">
      <alignment vertical="top"/>
    </xf>
    <xf numFmtId="41" fontId="30" fillId="0" borderId="3" xfId="1" applyFont="1" applyFill="1" applyBorder="1" applyAlignment="1">
      <alignment horizontal="center" vertical="top"/>
    </xf>
    <xf numFmtId="41" fontId="11" fillId="0" borderId="0" xfId="1" applyFont="1" applyFill="1" applyBorder="1" applyAlignment="1">
      <alignment horizontal="center" vertical="top"/>
    </xf>
    <xf numFmtId="41" fontId="10" fillId="0" borderId="0" xfId="0" applyNumberFormat="1" applyFont="1" applyAlignment="1">
      <alignment horizontal="center" vertical="top"/>
    </xf>
    <xf numFmtId="41" fontId="10" fillId="0" borderId="0" xfId="0" applyNumberFormat="1" applyFont="1"/>
    <xf numFmtId="0" fontId="8" fillId="0" borderId="0" xfId="0" applyFont="1" applyFill="1" applyAlignment="1">
      <alignment vertical="top"/>
    </xf>
    <xf numFmtId="0" fontId="8" fillId="0" borderId="0" xfId="0" applyFont="1" applyFill="1" applyAlignment="1">
      <alignment horizontal="center" vertical="top"/>
    </xf>
    <xf numFmtId="41" fontId="33" fillId="0" borderId="1" xfId="1" applyFont="1" applyFill="1" applyBorder="1"/>
    <xf numFmtId="1" fontId="36" fillId="0" borderId="1" xfId="0" applyNumberFormat="1" applyFont="1" applyFill="1" applyBorder="1" applyAlignment="1">
      <alignment horizontal="center"/>
    </xf>
    <xf numFmtId="1" fontId="36"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1" fontId="15" fillId="0" borderId="1" xfId="0" applyNumberFormat="1" applyFont="1" applyFill="1" applyBorder="1" applyAlignment="1">
      <alignment horizontal="center" vertical="top"/>
    </xf>
    <xf numFmtId="0" fontId="8" fillId="0" borderId="1" xfId="0" applyFont="1" applyFill="1" applyBorder="1" applyAlignment="1" applyProtection="1">
      <alignment horizontal="center"/>
      <protection locked="0"/>
    </xf>
    <xf numFmtId="0" fontId="15" fillId="15" borderId="1" xfId="0" applyFont="1" applyFill="1" applyBorder="1" applyProtection="1">
      <protection locked="0"/>
    </xf>
    <xf numFmtId="0" fontId="15" fillId="15" borderId="1" xfId="0" applyFont="1" applyFill="1" applyBorder="1" applyAlignment="1" applyProtection="1">
      <alignment horizontal="center"/>
      <protection locked="0"/>
    </xf>
    <xf numFmtId="0" fontId="15" fillId="0" borderId="1" xfId="0" applyFont="1" applyFill="1" applyBorder="1" applyProtection="1">
      <protection locked="0"/>
    </xf>
    <xf numFmtId="0" fontId="15" fillId="0" borderId="1" xfId="0" applyFont="1" applyFill="1" applyBorder="1" applyAlignment="1" applyProtection="1">
      <alignment horizontal="center"/>
      <protection locked="0"/>
    </xf>
    <xf numFmtId="0" fontId="15" fillId="14" borderId="1" xfId="0" applyFont="1" applyFill="1" applyBorder="1" applyProtection="1">
      <protection locked="0"/>
    </xf>
    <xf numFmtId="0" fontId="15" fillId="14" borderId="1" xfId="0" applyFont="1" applyFill="1" applyBorder="1" applyAlignment="1" applyProtection="1">
      <alignment horizontal="center"/>
      <protection locked="0"/>
    </xf>
    <xf numFmtId="41" fontId="15" fillId="15" borderId="1" xfId="1" applyFont="1" applyFill="1" applyBorder="1" applyProtection="1">
      <protection locked="0"/>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36" fillId="0" borderId="0" xfId="1" applyNumberFormat="1" applyFont="1" applyFill="1" applyBorder="1" applyAlignment="1">
      <alignment horizontal="center"/>
    </xf>
    <xf numFmtId="41" fontId="33" fillId="0" borderId="0" xfId="1" applyFont="1" applyFill="1" applyBorder="1"/>
    <xf numFmtId="0" fontId="17" fillId="0" borderId="0" xfId="0" applyFont="1" applyAlignment="1">
      <alignment vertical="top"/>
    </xf>
    <xf numFmtId="0" fontId="34" fillId="0" borderId="0" xfId="0" applyFont="1"/>
    <xf numFmtId="1" fontId="34"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15"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7" fillId="26" borderId="1" xfId="0" applyFont="1" applyFill="1" applyBorder="1"/>
    <xf numFmtId="41" fontId="37" fillId="26" borderId="1" xfId="1" applyFont="1" applyFill="1" applyBorder="1"/>
    <xf numFmtId="2" fontId="0" fillId="0" borderId="1" xfId="0" applyNumberFormat="1" applyBorder="1"/>
    <xf numFmtId="41" fontId="0" fillId="0" borderId="1" xfId="0" applyNumberFormat="1" applyBorder="1"/>
    <xf numFmtId="0" fontId="37" fillId="7" borderId="1" xfId="0" applyFont="1" applyFill="1" applyBorder="1" applyAlignment="1">
      <alignment horizontal="left"/>
    </xf>
    <xf numFmtId="0" fontId="37" fillId="7" borderId="1" xfId="0" applyFont="1" applyFill="1" applyBorder="1"/>
    <xf numFmtId="41" fontId="37" fillId="7" borderId="1" xfId="1" applyFont="1" applyFill="1" applyBorder="1"/>
    <xf numFmtId="2" fontId="37" fillId="7" borderId="1" xfId="0" applyNumberFormat="1" applyFont="1" applyFill="1" applyBorder="1"/>
    <xf numFmtId="41" fontId="37" fillId="7" borderId="1" xfId="0" applyNumberFormat="1" applyFont="1" applyFill="1" applyBorder="1"/>
    <xf numFmtId="2" fontId="37" fillId="26" borderId="1" xfId="0" applyNumberFormat="1" applyFont="1" applyFill="1" applyBorder="1"/>
    <xf numFmtId="41" fontId="37" fillId="26"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7" fillId="27" borderId="1" xfId="1" applyFont="1" applyFill="1" applyBorder="1"/>
    <xf numFmtId="0" fontId="37" fillId="27" borderId="1" xfId="0" applyFont="1" applyFill="1" applyBorder="1" applyAlignment="1">
      <alignment horizontal="left"/>
    </xf>
    <xf numFmtId="0" fontId="37" fillId="27" borderId="1" xfId="0" applyFont="1" applyFill="1" applyBorder="1"/>
    <xf numFmtId="2" fontId="37" fillId="27" borderId="1" xfId="0" applyNumberFormat="1" applyFont="1" applyFill="1" applyBorder="1"/>
    <xf numFmtId="41" fontId="37" fillId="27" borderId="1" xfId="0" applyNumberFormat="1" applyFont="1" applyFill="1" applyBorder="1"/>
    <xf numFmtId="0" fontId="37" fillId="28" borderId="1" xfId="0" applyFont="1" applyFill="1" applyBorder="1" applyAlignment="1">
      <alignment horizontal="left"/>
    </xf>
    <xf numFmtId="0" fontId="37" fillId="28" borderId="1" xfId="0" applyFont="1" applyFill="1" applyBorder="1"/>
    <xf numFmtId="41" fontId="37" fillId="28" borderId="1" xfId="1" applyFont="1" applyFill="1" applyBorder="1"/>
    <xf numFmtId="2" fontId="37" fillId="28" borderId="1" xfId="0" applyNumberFormat="1" applyFont="1" applyFill="1" applyBorder="1"/>
    <xf numFmtId="41" fontId="37" fillId="28" borderId="1" xfId="0" applyNumberFormat="1" applyFont="1" applyFill="1" applyBorder="1"/>
    <xf numFmtId="0" fontId="37" fillId="0" borderId="0" xfId="0" applyFont="1"/>
    <xf numFmtId="0" fontId="37" fillId="2" borderId="1" xfId="0" applyFont="1" applyFill="1" applyBorder="1" applyAlignment="1">
      <alignment horizontal="left"/>
    </xf>
    <xf numFmtId="0" fontId="37" fillId="2" borderId="1" xfId="0" applyFont="1" applyFill="1" applyBorder="1"/>
    <xf numFmtId="41" fontId="37" fillId="2" borderId="1" xfId="1" applyFont="1" applyFill="1" applyBorder="1"/>
    <xf numFmtId="2" fontId="37" fillId="2" borderId="1" xfId="0" applyNumberFormat="1" applyFont="1" applyFill="1" applyBorder="1"/>
    <xf numFmtId="41" fontId="37" fillId="2" borderId="1" xfId="0" applyNumberFormat="1" applyFont="1" applyFill="1" applyBorder="1"/>
    <xf numFmtId="0" fontId="0" fillId="0" borderId="1" xfId="0" applyBorder="1" applyAlignment="1">
      <alignment horizontal="left" indent="3"/>
    </xf>
    <xf numFmtId="0" fontId="37" fillId="30" borderId="1" xfId="0" applyFont="1" applyFill="1" applyBorder="1" applyAlignment="1">
      <alignment horizontal="center" vertical="center"/>
    </xf>
    <xf numFmtId="41" fontId="0" fillId="0" borderId="1" xfId="0" quotePrefix="1" applyNumberFormat="1" applyBorder="1"/>
    <xf numFmtId="0" fontId="37" fillId="31" borderId="1" xfId="0" applyFont="1" applyFill="1" applyBorder="1" applyAlignment="1">
      <alignment horizontal="left"/>
    </xf>
    <xf numFmtId="0" fontId="37" fillId="31" borderId="1" xfId="0" applyFont="1" applyFill="1" applyBorder="1"/>
    <xf numFmtId="41" fontId="37" fillId="31" borderId="1" xfId="1" applyFont="1" applyFill="1" applyBorder="1"/>
    <xf numFmtId="2" fontId="37" fillId="31" borderId="1" xfId="0" applyNumberFormat="1" applyFont="1" applyFill="1" applyBorder="1"/>
    <xf numFmtId="41" fontId="37" fillId="31" borderId="1" xfId="0" applyNumberFormat="1" applyFont="1" applyFill="1" applyBorder="1"/>
    <xf numFmtId="0" fontId="37" fillId="0" borderId="0" xfId="0" applyFont="1" applyAlignment="1">
      <alignment horizontal="center"/>
    </xf>
    <xf numFmtId="0" fontId="38" fillId="0" borderId="0" xfId="0" applyFont="1"/>
    <xf numFmtId="0" fontId="40" fillId="0" borderId="1" xfId="2" quotePrefix="1" applyFont="1" applyBorder="1" applyAlignment="1">
      <alignment horizontal="center"/>
    </xf>
    <xf numFmtId="0" fontId="40" fillId="0" borderId="1" xfId="2" applyFont="1" applyBorder="1"/>
    <xf numFmtId="164" fontId="40" fillId="0" borderId="1" xfId="7" applyFont="1" applyFill="1" applyBorder="1"/>
    <xf numFmtId="2" fontId="40" fillId="0" borderId="1" xfId="2" applyNumberFormat="1" applyFont="1" applyBorder="1" applyAlignment="1">
      <alignment horizontal="center"/>
    </xf>
    <xf numFmtId="164" fontId="40" fillId="0" borderId="1" xfId="2" applyNumberFormat="1" applyFont="1" applyBorder="1"/>
    <xf numFmtId="0" fontId="41" fillId="0" borderId="1" xfId="2" applyFont="1" applyBorder="1" applyAlignment="1">
      <alignment horizontal="left" indent="2"/>
    </xf>
    <xf numFmtId="164" fontId="41" fillId="0" borderId="1" xfId="7" applyFont="1" applyFill="1" applyBorder="1"/>
    <xf numFmtId="2" fontId="41" fillId="0" borderId="1" xfId="2" applyNumberFormat="1" applyFont="1" applyBorder="1" applyAlignment="1">
      <alignment horizontal="center"/>
    </xf>
    <xf numFmtId="164" fontId="41" fillId="0" borderId="1" xfId="2" applyNumberFormat="1" applyFont="1" applyBorder="1"/>
    <xf numFmtId="0" fontId="41" fillId="0" borderId="1" xfId="2" quotePrefix="1" applyFont="1" applyBorder="1" applyAlignment="1">
      <alignment horizontal="center"/>
    </xf>
    <xf numFmtId="0" fontId="39" fillId="30" borderId="1" xfId="2" applyFont="1" applyFill="1" applyBorder="1" applyAlignment="1">
      <alignment horizontal="center"/>
    </xf>
    <xf numFmtId="164" fontId="39" fillId="26" borderId="1" xfId="7" applyFont="1" applyFill="1" applyBorder="1" applyAlignment="1">
      <alignment vertical="center"/>
    </xf>
    <xf numFmtId="2" fontId="39" fillId="26"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15" xfId="1" applyFont="1" applyFill="1" applyBorder="1"/>
    <xf numFmtId="0" fontId="43" fillId="0" borderId="0" xfId="0" applyFont="1" applyFill="1"/>
    <xf numFmtId="0" fontId="39" fillId="30" borderId="1" xfId="2" applyFont="1" applyFill="1" applyBorder="1" applyAlignment="1">
      <alignment horizontal="center" vertical="center"/>
    </xf>
    <xf numFmtId="0" fontId="37" fillId="0" borderId="1" xfId="0" applyFont="1" applyBorder="1"/>
    <xf numFmtId="166" fontId="0" fillId="0" borderId="1" xfId="0" applyNumberFormat="1" applyBorder="1"/>
    <xf numFmtId="166" fontId="37" fillId="2" borderId="1" xfId="0" applyNumberFormat="1" applyFont="1" applyFill="1" applyBorder="1"/>
    <xf numFmtId="166" fontId="0" fillId="2" borderId="1" xfId="0" applyNumberFormat="1" applyFill="1" applyBorder="1"/>
    <xf numFmtId="166" fontId="37" fillId="26"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7" fillId="26"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7" fillId="7" borderId="0" xfId="1" applyFont="1" applyFill="1"/>
    <xf numFmtId="2" fontId="37" fillId="7" borderId="0" xfId="0" applyNumberFormat="1" applyFont="1" applyFill="1" applyAlignment="1">
      <alignment horizontal="right"/>
    </xf>
    <xf numFmtId="41" fontId="0" fillId="7" borderId="1" xfId="0" applyNumberFormat="1" applyFill="1" applyBorder="1"/>
    <xf numFmtId="2" fontId="0" fillId="7" borderId="1" xfId="0" applyNumberFormat="1" applyFill="1" applyBorder="1"/>
    <xf numFmtId="0" fontId="0" fillId="0" borderId="0" xfId="0" applyAlignment="1">
      <alignment wrapText="1"/>
    </xf>
    <xf numFmtId="41" fontId="0" fillId="0" borderId="1" xfId="1" applyFont="1" applyFill="1" applyBorder="1"/>
    <xf numFmtId="41" fontId="37" fillId="30" borderId="1" xfId="1" applyFont="1" applyFill="1" applyBorder="1" applyAlignment="1">
      <alignment horizontal="center"/>
    </xf>
    <xf numFmtId="0" fontId="37" fillId="30" borderId="1" xfId="0" applyFont="1" applyFill="1" applyBorder="1" applyAlignment="1">
      <alignment horizontal="center"/>
    </xf>
    <xf numFmtId="0" fontId="37" fillId="30" borderId="1" xfId="0" applyFont="1" applyFill="1" applyBorder="1" applyAlignment="1"/>
    <xf numFmtId="0" fontId="0" fillId="29" borderId="1" xfId="0" applyFill="1" applyBorder="1" applyAlignment="1">
      <alignment horizontal="center"/>
    </xf>
    <xf numFmtId="0" fontId="37" fillId="29" borderId="1" xfId="0" applyFont="1" applyFill="1" applyBorder="1" applyAlignment="1">
      <alignment horizontal="center" vertical="center"/>
    </xf>
    <xf numFmtId="0" fontId="37" fillId="29" borderId="1" xfId="0" applyFont="1" applyFill="1" applyBorder="1" applyAlignment="1">
      <alignment horizontal="center"/>
    </xf>
    <xf numFmtId="0" fontId="0" fillId="0" borderId="1" xfId="1" applyNumberFormat="1" applyFont="1" applyBorder="1"/>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7" fillId="2" borderId="1" xfId="0" applyNumberFormat="1" applyFont="1" applyFill="1" applyBorder="1" applyAlignment="1">
      <alignment horizontal="center"/>
    </xf>
    <xf numFmtId="2" fontId="37" fillId="26"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4" fillId="0" borderId="0" xfId="1" applyFont="1" applyFill="1" applyBorder="1" applyAlignment="1">
      <alignment vertical="top"/>
    </xf>
    <xf numFmtId="41" fontId="34" fillId="0" borderId="12" xfId="1" applyFont="1" applyFill="1" applyBorder="1" applyAlignment="1">
      <alignment vertical="top"/>
    </xf>
    <xf numFmtId="166" fontId="33" fillId="0" borderId="1" xfId="1" applyNumberFormat="1" applyFont="1" applyFill="1" applyBorder="1"/>
    <xf numFmtId="41" fontId="15" fillId="0" borderId="0" xfId="1" applyFont="1" applyFill="1" applyBorder="1" applyAlignment="1">
      <alignment vertical="top"/>
    </xf>
    <xf numFmtId="41" fontId="15" fillId="0" borderId="12" xfId="1" applyFont="1" applyFill="1" applyBorder="1" applyAlignment="1">
      <alignment vertical="top"/>
    </xf>
    <xf numFmtId="41" fontId="9" fillId="0" borderId="12" xfId="1" applyFont="1" applyFill="1" applyBorder="1" applyAlignment="1">
      <alignment vertical="top"/>
    </xf>
    <xf numFmtId="0" fontId="0" fillId="0" borderId="0" xfId="0" applyAlignment="1">
      <alignment horizontal="center"/>
    </xf>
    <xf numFmtId="0" fontId="39" fillId="30" borderId="1" xfId="2" applyFont="1" applyFill="1" applyBorder="1" applyAlignment="1">
      <alignment horizontal="center" vertical="center"/>
    </xf>
    <xf numFmtId="41" fontId="8" fillId="0" borderId="0" xfId="1" applyFont="1"/>
    <xf numFmtId="41" fontId="8" fillId="0" borderId="0" xfId="0" applyNumberFormat="1" applyFont="1"/>
    <xf numFmtId="0" fontId="0" fillId="0" borderId="1" xfId="0" applyFont="1" applyBorder="1" applyAlignment="1">
      <alignment horizontal="left" indent="3"/>
    </xf>
    <xf numFmtId="0" fontId="40" fillId="0" borderId="1" xfId="2" applyFont="1" applyBorder="1" applyAlignment="1">
      <alignment horizontal="left"/>
    </xf>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30" borderId="1" xfId="0" applyFill="1" applyBorder="1" applyAlignment="1">
      <alignment horizontal="center"/>
    </xf>
    <xf numFmtId="0" fontId="37" fillId="2" borderId="1" xfId="0" applyFont="1" applyFill="1" applyBorder="1" applyAlignment="1"/>
    <xf numFmtId="0" fontId="37" fillId="2" borderId="1" xfId="0" applyFont="1" applyFill="1" applyBorder="1" applyAlignment="1">
      <alignment horizontal="center"/>
    </xf>
    <xf numFmtId="0" fontId="37" fillId="2" borderId="1" xfId="0" quotePrefix="1" applyFont="1" applyFill="1" applyBorder="1" applyAlignment="1">
      <alignment horizontal="center"/>
    </xf>
    <xf numFmtId="15" fontId="3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32"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33" borderId="1" xfId="8" applyFont="1" applyFill="1" applyBorder="1" applyAlignment="1">
      <alignment horizontal="center" vertical="center" wrapText="1"/>
    </xf>
    <xf numFmtId="0" fontId="16" fillId="34"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35" borderId="1" xfId="0" applyFont="1" applyFill="1" applyBorder="1" applyAlignment="1">
      <alignment horizontal="center" vertical="center" wrapText="1"/>
    </xf>
    <xf numFmtId="0" fontId="0" fillId="0" borderId="0" xfId="0" applyAlignment="1"/>
    <xf numFmtId="0" fontId="45" fillId="0" borderId="1" xfId="0" applyFont="1" applyFill="1" applyBorder="1" applyAlignment="1">
      <alignment horizontal="center" vertical="center" wrapText="1"/>
    </xf>
    <xf numFmtId="0" fontId="45" fillId="0" borderId="1" xfId="0" applyFont="1" applyFill="1" applyBorder="1" applyAlignment="1">
      <alignment horizontal="center" vertical="center"/>
    </xf>
    <xf numFmtId="41" fontId="0" fillId="0" borderId="1" xfId="0" applyNumberFormat="1" applyFill="1" applyBorder="1"/>
    <xf numFmtId="2" fontId="0" fillId="0" borderId="1" xfId="0" applyNumberFormat="1" applyFill="1" applyBorder="1"/>
    <xf numFmtId="0" fontId="0" fillId="0" borderId="1" xfId="0" applyFill="1" applyBorder="1" applyAlignment="1">
      <alignment horizontal="left" wrapText="1"/>
    </xf>
    <xf numFmtId="0" fontId="0" fillId="23" borderId="1" xfId="0" applyFill="1" applyBorder="1" applyAlignment="1">
      <alignment horizontal="left"/>
    </xf>
    <xf numFmtId="41" fontId="0" fillId="23" borderId="1" xfId="0" applyNumberFormat="1" applyFill="1" applyBorder="1"/>
    <xf numFmtId="2" fontId="0" fillId="23" borderId="1" xfId="0" applyNumberFormat="1" applyFill="1" applyBorder="1"/>
    <xf numFmtId="41" fontId="0" fillId="33" borderId="1" xfId="0" applyNumberFormat="1" applyFill="1" applyBorder="1"/>
    <xf numFmtId="2" fontId="0" fillId="33" borderId="1" xfId="0" applyNumberFormat="1" applyFill="1" applyBorder="1"/>
    <xf numFmtId="0" fontId="0" fillId="33" borderId="1" xfId="0" applyFill="1" applyBorder="1" applyAlignment="1">
      <alignment horizontal="left" wrapText="1" indent="4"/>
    </xf>
    <xf numFmtId="0" fontId="46" fillId="0" borderId="0" xfId="8" applyFont="1" applyAlignment="1">
      <alignment horizontal="center" vertical="center" wrapText="1"/>
    </xf>
    <xf numFmtId="0" fontId="16" fillId="0" borderId="1" xfId="8" applyFont="1" applyFill="1" applyBorder="1" applyAlignment="1">
      <alignment vertical="center" wrapText="1"/>
    </xf>
    <xf numFmtId="41" fontId="0" fillId="26" borderId="1" xfId="0" applyNumberFormat="1" applyFill="1" applyBorder="1"/>
    <xf numFmtId="0" fontId="0" fillId="0" borderId="1" xfId="0" applyFill="1" applyBorder="1" applyAlignment="1">
      <alignment horizontal="left" indent="8"/>
    </xf>
    <xf numFmtId="0" fontId="0" fillId="26" borderId="1" xfId="0" applyFill="1" applyBorder="1" applyAlignment="1">
      <alignment horizontal="left"/>
    </xf>
    <xf numFmtId="0" fontId="16" fillId="0" borderId="1" xfId="0" applyFont="1" applyFill="1" applyBorder="1" applyAlignment="1">
      <alignment horizontal="center" vertical="center" wrapText="1"/>
    </xf>
    <xf numFmtId="0" fontId="0" fillId="33" borderId="1" xfId="0" applyFill="1" applyBorder="1" applyAlignment="1">
      <alignment horizontal="left" indent="4"/>
    </xf>
    <xf numFmtId="0" fontId="0" fillId="0" borderId="1" xfId="0" applyFill="1" applyBorder="1"/>
    <xf numFmtId="41" fontId="0" fillId="36" borderId="1" xfId="0" applyNumberFormat="1" applyFill="1" applyBorder="1"/>
    <xf numFmtId="2" fontId="0" fillId="36" borderId="1" xfId="0" applyNumberFormat="1" applyFill="1" applyBorder="1"/>
    <xf numFmtId="0" fontId="16" fillId="26"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164" fontId="0" fillId="0" borderId="0" xfId="0" applyNumberFormat="1"/>
    <xf numFmtId="0" fontId="16" fillId="0" borderId="1" xfId="8" applyFont="1" applyBorder="1" applyAlignment="1">
      <alignment vertical="center" wrapText="1"/>
    </xf>
    <xf numFmtId="0" fontId="16" fillId="37" borderId="1" xfId="8" applyFont="1" applyFill="1" applyBorder="1" applyAlignment="1">
      <alignment vertical="center" wrapText="1"/>
    </xf>
    <xf numFmtId="0" fontId="16" fillId="26" borderId="1" xfId="0" applyFont="1" applyFill="1" applyBorder="1" applyAlignment="1">
      <alignment horizontal="center" vertical="center"/>
    </xf>
    <xf numFmtId="0" fontId="16" fillId="3" borderId="1" xfId="0" applyFont="1" applyFill="1" applyBorder="1" applyAlignment="1">
      <alignment horizontal="center" vertical="center"/>
    </xf>
    <xf numFmtId="0" fontId="37" fillId="26" borderId="1" xfId="0" applyFont="1" applyFill="1" applyBorder="1" applyAlignment="1">
      <alignment horizontal="left" wrapText="1" indent="2"/>
    </xf>
    <xf numFmtId="0" fontId="37" fillId="26" borderId="1" xfId="0" applyFont="1" applyFill="1" applyBorder="1" applyAlignment="1">
      <alignment horizontal="left" indent="2"/>
    </xf>
    <xf numFmtId="0" fontId="47" fillId="2" borderId="16" xfId="0" applyFont="1" applyFill="1" applyBorder="1" applyAlignment="1">
      <alignment horizontal="center" vertical="center" wrapText="1"/>
    </xf>
    <xf numFmtId="0" fontId="47"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8" borderId="1" xfId="8" applyFont="1" applyFill="1" applyBorder="1" applyAlignment="1">
      <alignment horizontal="center" vertical="center" wrapText="1"/>
    </xf>
    <xf numFmtId="0" fontId="50"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164" fontId="0" fillId="0" borderId="1" xfId="0" applyNumberFormat="1" applyBorder="1"/>
    <xf numFmtId="41" fontId="0" fillId="3" borderId="1" xfId="0" applyNumberFormat="1" applyFill="1" applyBorder="1"/>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0" fillId="25" borderId="12" xfId="0" applyFont="1" applyFill="1" applyBorder="1" applyAlignment="1">
      <alignment horizontal="center" vertical="center"/>
    </xf>
    <xf numFmtId="0" fontId="30" fillId="25" borderId="13" xfId="0" applyFont="1" applyFill="1" applyBorder="1" applyAlignment="1">
      <alignment horizontal="center" vertical="center"/>
    </xf>
    <xf numFmtId="0" fontId="30" fillId="25" borderId="14" xfId="0" applyFont="1" applyFill="1" applyBorder="1" applyAlignment="1">
      <alignment horizontal="center" vertical="center"/>
    </xf>
    <xf numFmtId="41" fontId="11" fillId="0" borderId="0" xfId="1" applyFont="1" applyAlignment="1" applyProtection="1">
      <alignment horizontal="center"/>
      <protection locked="0"/>
    </xf>
    <xf numFmtId="41" fontId="7" fillId="16" borderId="1" xfId="1" applyFont="1" applyFill="1" applyBorder="1" applyAlignment="1">
      <alignment horizontal="center" vertical="center"/>
    </xf>
    <xf numFmtId="0" fontId="44" fillId="0" borderId="0" xfId="0" applyFont="1" applyAlignment="1">
      <alignment horizontal="center"/>
    </xf>
    <xf numFmtId="0" fontId="37" fillId="29" borderId="1" xfId="0" applyFont="1" applyFill="1" applyBorder="1" applyAlignment="1">
      <alignment horizontal="center"/>
    </xf>
    <xf numFmtId="0" fontId="0" fillId="29" borderId="1" xfId="0" applyFill="1" applyBorder="1" applyAlignment="1">
      <alignment horizontal="center" vertical="center"/>
    </xf>
    <xf numFmtId="0" fontId="37" fillId="29" borderId="1" xfId="0" applyFont="1" applyFill="1" applyBorder="1" applyAlignment="1">
      <alignment horizontal="center" vertical="center"/>
    </xf>
    <xf numFmtId="9" fontId="0" fillId="29" borderId="1" xfId="4" applyFont="1" applyFill="1" applyBorder="1" applyAlignment="1">
      <alignment horizontal="center" vertical="center"/>
    </xf>
    <xf numFmtId="0" fontId="37" fillId="26" borderId="1" xfId="0" applyFont="1" applyFill="1" applyBorder="1" applyAlignment="1">
      <alignment horizontal="center"/>
    </xf>
    <xf numFmtId="0" fontId="37" fillId="0" borderId="1" xfId="0" applyFont="1" applyBorder="1" applyAlignment="1">
      <alignment horizontal="center" vertical="center" wrapText="1"/>
    </xf>
    <xf numFmtId="0" fontId="42" fillId="0" borderId="0" xfId="0" applyFont="1" applyAlignment="1">
      <alignment horizontal="center"/>
    </xf>
    <xf numFmtId="0" fontId="37" fillId="0" borderId="2" xfId="0" applyFont="1" applyBorder="1" applyAlignment="1">
      <alignment horizontal="center" vertical="center" wrapText="1"/>
    </xf>
    <xf numFmtId="0" fontId="37" fillId="0" borderId="3" xfId="0" applyFont="1" applyBorder="1" applyAlignment="1">
      <alignment horizontal="center" vertical="center" wrapText="1"/>
    </xf>
    <xf numFmtId="0" fontId="37" fillId="0" borderId="4" xfId="0" applyFont="1" applyBorder="1" applyAlignment="1">
      <alignment horizontal="center" vertical="center" wrapText="1"/>
    </xf>
    <xf numFmtId="0" fontId="39" fillId="30" borderId="1" xfId="2" applyFont="1" applyFill="1" applyBorder="1" applyAlignment="1">
      <alignment horizontal="center" vertical="center" wrapText="1"/>
    </xf>
    <xf numFmtId="0" fontId="20" fillId="30" borderId="1" xfId="2" applyFont="1" applyFill="1" applyBorder="1" applyAlignment="1">
      <alignment horizontal="center" vertical="center" wrapText="1"/>
    </xf>
    <xf numFmtId="0" fontId="39" fillId="26" borderId="12" xfId="2" applyFont="1" applyFill="1" applyBorder="1" applyAlignment="1">
      <alignment horizontal="center" vertical="center"/>
    </xf>
    <xf numFmtId="0" fontId="39" fillId="26" borderId="14" xfId="2" applyFont="1" applyFill="1" applyBorder="1" applyAlignment="1">
      <alignment horizontal="center" vertical="center"/>
    </xf>
    <xf numFmtId="0" fontId="39" fillId="30" borderId="1" xfId="2" applyFont="1" applyFill="1" applyBorder="1" applyAlignment="1">
      <alignment horizontal="center" vertical="center"/>
    </xf>
    <xf numFmtId="0" fontId="37" fillId="0" borderId="0" xfId="0" applyFont="1" applyAlignment="1">
      <alignment horizontal="center"/>
    </xf>
  </cellXfs>
  <cellStyles count="10">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Normal" xfId="0" builtinId="0"/>
    <cellStyle name="Normal 2" xfId="2" xr:uid="{C610A14A-F97F-48D0-BD88-0DFD6DA48947}"/>
    <cellStyle name="Normal 3" xfId="5" xr:uid="{EEA6B10C-8250-4879-BF21-439B00E716AC}"/>
    <cellStyle name="Normal 4" xfId="8" xr:uid="{4605B257-5931-4773-98F8-78304C69CFB6}"/>
    <cellStyle name="Percent" xfId="4" builtinId="5"/>
  </cellStyles>
  <dxfs count="596">
    <dxf>
      <fill>
        <patternFill patternType="none">
          <bgColor auto="1"/>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color rgb="FFFF0000"/>
      </font>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tyles" Target="style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ctrlProps/ctrlProp8.xml><?xml version="1.0" encoding="utf-8"?>
<formControlPr xmlns="http://schemas.microsoft.com/office/spreadsheetml/2009/9/main" objectType="CheckBox" fmlaLink="$N$15" lockText="1" noThreeD="1"/>
</file>

<file path=xl/ctrlProps/ctrlProp9.xml><?xml version="1.0" encoding="utf-8"?>
<formControlPr xmlns="http://schemas.microsoft.com/office/spreadsheetml/2009/9/main" objectType="CheckBox" fmlaLink="$N$17" lockText="1" noThreeD="1"/>
</file>

<file path=xl/ctrlProps/ctrlProp10.xml><?xml version="1.0" encoding="utf-8"?>
<formControlPr xmlns="http://schemas.microsoft.com/office/spreadsheetml/2009/9/main" objectType="CheckBox" fmlaLink="$N$18" lockText="1" noThreeD="1"/>
</file>

<file path=xl/ctrlProps/ctrlProp11.xml><?xml version="1.0" encoding="utf-8"?>
<formControlPr xmlns="http://schemas.microsoft.com/office/spreadsheetml/2009/9/main" objectType="CheckBox" fmlaLink="$N$19" lockText="1" noThreeD="1"/>
</file>

<file path=xl/ctrlProps/ctrlProp12.xml><?xml version="1.0" encoding="utf-8"?>
<formControlPr xmlns="http://schemas.microsoft.com/office/spreadsheetml/2009/9/main" objectType="CheckBox" fmlaLink="$N$20" lockText="1" noThreeD="1"/>
</file>

<file path=xl/ctrlProps/ctrlProp13.xml><?xml version="1.0" encoding="utf-8"?>
<formControlPr xmlns="http://schemas.microsoft.com/office/spreadsheetml/2009/9/main" objectType="CheckBox" fmlaLink="$N$21" lockText="1" noThreeD="1"/>
</file>

<file path=xl/ctrlProps/ctrlProp14.xml><?xml version="1.0" encoding="utf-8"?>
<formControlPr xmlns="http://schemas.microsoft.com/office/spreadsheetml/2009/9/main" objectType="CheckBox" fmlaLink="$N$16" lockText="1" noThreeD="1"/>
</file>

<file path=xl/drawings/_rels/drawing4.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5" Type="http://schemas.openxmlformats.org/officeDocument/2006/relationships/image" Target="../media/image7.png"/><Relationship Id="rId4" Type="http://schemas.openxmlformats.org/officeDocument/2006/relationships/image" Target="../media/image8.jpg"/></Relationships>
</file>

<file path=xl/drawings/_rels/drawing6.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588</xdr:row>
          <xdr:rowOff>160020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60960</xdr:colOff>
          <xdr:row>23</xdr:row>
          <xdr:rowOff>68580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76200</xdr:colOff>
      <xdr:row>2</xdr:row>
      <xdr:rowOff>38100</xdr:rowOff>
    </xdr:from>
    <xdr:to>
      <xdr:col>9</xdr:col>
      <xdr:colOff>281940</xdr:colOff>
      <xdr:row>6</xdr:row>
      <xdr:rowOff>144780</xdr:rowOff>
    </xdr:to>
    <xdr:sp macro="" textlink="">
      <xdr:nvSpPr>
        <xdr:cNvPr id="2" name="Rectangle: Rounded Corners 1">
          <a:extLst>
            <a:ext uri="{FF2B5EF4-FFF2-40B4-BE49-F238E27FC236}">
              <a16:creationId xmlns:a16="http://schemas.microsoft.com/office/drawing/2014/main" id="{BC182121-AF59-64BD-2541-C1EED84D2E47}"/>
            </a:ext>
          </a:extLst>
        </xdr:cNvPr>
        <xdr:cNvSpPr/>
      </xdr:nvSpPr>
      <xdr:spPr>
        <a:xfrm>
          <a:off x="11910060" y="434340"/>
          <a:ext cx="1363980" cy="876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cruttt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327660</xdr:colOff>
          <xdr:row>1</xdr:row>
          <xdr:rowOff>22860</xdr:rowOff>
        </xdr:from>
        <xdr:to>
          <xdr:col>12</xdr:col>
          <xdr:colOff>1402080</xdr:colOff>
          <xdr:row>3</xdr:row>
          <xdr:rowOff>0</xdr:rowOff>
        </xdr:to>
        <xdr:sp macro="" textlink="">
          <xdr:nvSpPr>
            <xdr:cNvPr id="12289" name="cmdGetAkun"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13</xdr:row>
          <xdr:rowOff>137160</xdr:rowOff>
        </xdr:from>
        <xdr:to>
          <xdr:col>13</xdr:col>
          <xdr:colOff>502920</xdr:colOff>
          <xdr:row>15</xdr:row>
          <xdr:rowOff>7620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15</xdr:row>
          <xdr:rowOff>304800</xdr:rowOff>
        </xdr:from>
        <xdr:to>
          <xdr:col>13</xdr:col>
          <xdr:colOff>457200</xdr:colOff>
          <xdr:row>17</xdr:row>
          <xdr:rowOff>60960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17</xdr:row>
          <xdr:rowOff>99060</xdr:rowOff>
        </xdr:from>
        <xdr:to>
          <xdr:col>13</xdr:col>
          <xdr:colOff>449580</xdr:colOff>
          <xdr:row>17</xdr:row>
          <xdr:rowOff>304800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17</xdr:row>
          <xdr:rowOff>327660</xdr:rowOff>
        </xdr:from>
        <xdr:to>
          <xdr:col>13</xdr:col>
          <xdr:colOff>449580</xdr:colOff>
          <xdr:row>19</xdr:row>
          <xdr:rowOff>38100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18</xdr:row>
          <xdr:rowOff>160020</xdr:rowOff>
        </xdr:from>
        <xdr:to>
          <xdr:col>13</xdr:col>
          <xdr:colOff>449580</xdr:colOff>
          <xdr:row>20</xdr:row>
          <xdr:rowOff>38100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19</xdr:row>
          <xdr:rowOff>175260</xdr:rowOff>
        </xdr:from>
        <xdr:to>
          <xdr:col>13</xdr:col>
          <xdr:colOff>449580</xdr:colOff>
          <xdr:row>21</xdr:row>
          <xdr:rowOff>60960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175260</xdr:colOff>
          <xdr:row>15</xdr:row>
          <xdr:rowOff>60960</xdr:rowOff>
        </xdr:from>
        <xdr:to>
          <xdr:col>13</xdr:col>
          <xdr:colOff>487680</xdr:colOff>
          <xdr:row>15</xdr:row>
          <xdr:rowOff>274320</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327660</xdr:colOff>
          <xdr:row>21</xdr:row>
          <xdr:rowOff>137160</xdr:rowOff>
        </xdr:from>
        <xdr:to>
          <xdr:col>12</xdr:col>
          <xdr:colOff>1668780</xdr:colOff>
          <xdr:row>23</xdr:row>
          <xdr:rowOff>22860</xdr:rowOff>
        </xdr:to>
        <xdr:sp macro="" textlink="">
          <xdr:nvSpPr>
            <xdr:cNvPr id="12297" name="cmdWarna"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382439</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128546</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123265</xdr:colOff>
          <xdr:row>19</xdr:row>
          <xdr:rowOff>168084</xdr:rowOff>
        </xdr:from>
        <xdr:to>
          <xdr:col>15</xdr:col>
          <xdr:colOff>459441</xdr:colOff>
          <xdr:row>41</xdr:row>
          <xdr:rowOff>177609</xdr:rowOff>
        </xdr:to>
        <xdr:pic>
          <xdr:nvPicPr>
            <xdr:cNvPr id="4" name="Picture 3">
              <a:extLst>
                <a:ext uri="{FF2B5EF4-FFF2-40B4-BE49-F238E27FC236}">
                  <a16:creationId xmlns:a16="http://schemas.microsoft.com/office/drawing/2014/main" id="{00000000-0008-0000-0D00-000004000000}"/>
                </a:ext>
              </a:extLst>
            </xdr:cNvPr>
            <xdr:cNvPicPr>
              <a:picLocks noChangeAspect="1" noChangeArrowheads="1"/>
              <a:extLst>
                <a:ext uri="{84589F7E-364E-4C9E-8A38-B11213B215E9}">
                  <a14:cameraTool cellRange="PERSUBBID!$A$5:$G$24" spid="_x0000_s51940"/>
                </a:ext>
              </a:extLst>
            </xdr:cNvPicPr>
          </xdr:nvPicPr>
          <xdr:blipFill>
            <a:blip xmlns:r="http://schemas.openxmlformats.org/officeDocument/2006/relationships" r:embed="rId1"/>
            <a:srcRect/>
            <a:stretch>
              <a:fillRect/>
            </a:stretch>
          </xdr:blipFill>
          <xdr:spPr bwMode="auto">
            <a:xfrm>
              <a:off x="728383" y="3809996"/>
              <a:ext cx="8807823" cy="42005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123265</xdr:colOff>
          <xdr:row>43</xdr:row>
          <xdr:rowOff>67235</xdr:rowOff>
        </xdr:from>
        <xdr:to>
          <xdr:col>15</xdr:col>
          <xdr:colOff>481854</xdr:colOff>
          <xdr:row>60</xdr:row>
          <xdr:rowOff>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a:extLst>
                <a:ext uri="{84589F7E-364E-4C9E-8A38-B11213B215E9}">
                  <a14:cameraTool cellRange="PERSUBBID!$A$39:$G$54" spid="_x0000_s51941"/>
                </a:ext>
              </a:extLst>
            </xdr:cNvPicPr>
          </xdr:nvPicPr>
          <xdr:blipFill>
            <a:blip xmlns:r="http://schemas.openxmlformats.org/officeDocument/2006/relationships" r:embed="rId2"/>
            <a:srcRect/>
            <a:stretch>
              <a:fillRect/>
            </a:stretch>
          </xdr:blipFill>
          <xdr:spPr bwMode="auto">
            <a:xfrm>
              <a:off x="728383" y="8281147"/>
              <a:ext cx="8830236" cy="31712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112057</xdr:colOff>
          <xdr:row>4</xdr:row>
          <xdr:rowOff>179295</xdr:rowOff>
        </xdr:from>
        <xdr:to>
          <xdr:col>15</xdr:col>
          <xdr:colOff>480171</xdr:colOff>
          <xdr:row>18</xdr:row>
          <xdr:rowOff>67235</xdr:rowOff>
        </xdr:to>
        <xdr:pic>
          <xdr:nvPicPr>
            <xdr:cNvPr id="6" name="Picture 5">
              <a:extLst>
                <a:ext uri="{FF2B5EF4-FFF2-40B4-BE49-F238E27FC236}">
                  <a16:creationId xmlns:a16="http://schemas.microsoft.com/office/drawing/2014/main" id="{00000000-0008-0000-0D00-000006000000}"/>
                </a:ext>
              </a:extLst>
            </xdr:cNvPr>
            <xdr:cNvPicPr>
              <a:picLocks noChangeAspect="1" noChangeArrowheads="1"/>
              <a:extLst>
                <a:ext uri="{84589F7E-364E-4C9E-8A38-B11213B215E9}">
                  <a14:cameraTool cellRange="PERSUBBID!$A$26:$G$37" spid="_x0000_s51942"/>
                </a:ext>
              </a:extLst>
            </xdr:cNvPicPr>
          </xdr:nvPicPr>
          <xdr:blipFill>
            <a:blip xmlns:r="http://schemas.openxmlformats.org/officeDocument/2006/relationships" r:embed="rId3"/>
            <a:srcRect/>
            <a:stretch>
              <a:fillRect/>
            </a:stretch>
          </xdr:blipFill>
          <xdr:spPr bwMode="auto">
            <a:xfrm>
              <a:off x="717175" y="963707"/>
              <a:ext cx="8839761" cy="25549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16</xdr:col>
      <xdr:colOff>280147</xdr:colOff>
      <xdr:row>0</xdr:row>
      <xdr:rowOff>112059</xdr:rowOff>
    </xdr:from>
    <xdr:to>
      <xdr:col>17</xdr:col>
      <xdr:colOff>168088</xdr:colOff>
      <xdr:row>3</xdr:row>
      <xdr:rowOff>11206</xdr:rowOff>
    </xdr:to>
    <xdr:pic macro="[0]!Module5.Cetak">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62029" y="112059"/>
          <a:ext cx="493059" cy="493059"/>
        </a:xfrm>
        <a:prstGeom prst="rect">
          <a:avLst/>
        </a:prstGeom>
      </xdr:spPr>
    </xdr:pic>
    <xdr:clientData/>
  </xdr:twoCellAnchor>
  <xdr:twoCellAnchor editAs="oneCell">
    <xdr:from>
      <xdr:col>17</xdr:col>
      <xdr:colOff>235325</xdr:colOff>
      <xdr:row>0</xdr:row>
      <xdr:rowOff>112059</xdr:rowOff>
    </xdr:from>
    <xdr:to>
      <xdr:col>18</xdr:col>
      <xdr:colOff>89647</xdr:colOff>
      <xdr:row>3</xdr:row>
      <xdr:rowOff>11207</xdr:rowOff>
    </xdr:to>
    <xdr:pic macro="[0]!Module4.Pdf">
      <xdr:nvPicPr>
        <xdr:cNvPr id="10" name="Picture 9">
          <a:extLst>
            <a:ext uri="{FF2B5EF4-FFF2-40B4-BE49-F238E27FC236}">
              <a16:creationId xmlns:a16="http://schemas.microsoft.com/office/drawing/2014/main" id="{00000000-0008-0000-0D00-00000A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13594" r="13725"/>
        <a:stretch/>
      </xdr:blipFill>
      <xdr:spPr>
        <a:xfrm>
          <a:off x="10522325" y="112059"/>
          <a:ext cx="459440" cy="4930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57151</xdr:colOff>
          <xdr:row>0</xdr:row>
          <xdr:rowOff>104775</xdr:rowOff>
        </xdr:from>
        <xdr:to>
          <xdr:col>15</xdr:col>
          <xdr:colOff>304801</xdr:colOff>
          <xdr:row>63</xdr:row>
          <xdr:rowOff>104775</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a:extLst>
                <a:ext uri="{84589F7E-364E-4C9E-8A38-B11213B215E9}">
                  <a14:cameraTool cellRange="'PERSUBBID GAJI'!$A$1:$G$59" spid="_x0000_s39341"/>
                </a:ext>
              </a:extLst>
            </xdr:cNvPicPr>
          </xdr:nvPicPr>
          <xdr:blipFill>
            <a:blip xmlns:r="http://schemas.openxmlformats.org/officeDocument/2006/relationships" r:embed="rId1"/>
            <a:srcRect/>
            <a:stretch>
              <a:fillRect/>
            </a:stretch>
          </xdr:blipFill>
          <xdr:spPr bwMode="auto">
            <a:xfrm>
              <a:off x="666751" y="104775"/>
              <a:ext cx="8782050" cy="12001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022/RKAKL%20DIPA%20REVISI%201%20POK%202/MONITORING%20REALISASI%20DIPA%201%20POK%202,%20GAJI.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2/REALISASI%20PUSDIK/MONITORING%20REALISASI%20DIPA%201%20POK%202%20GAJ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non 51"/>
      <sheetName val="Cetak_Pusdik (2)"/>
      <sheetName val="626402"/>
      <sheetName val="Cetak_Pusdik"/>
      <sheetName val="Eselon2"/>
      <sheetName val="SP2D ON"/>
      <sheetName val="PERAKUN"/>
      <sheetName val="GUP TUP"/>
      <sheetName val="SP2D"/>
      <sheetName val="PER BULAN"/>
      <sheetName val="PERSUBBID"/>
      <sheetName val="PERSUBIDANG"/>
      <sheetName val="PER BULAN gaji"/>
      <sheetName val=""/>
      <sheetName val="cuk"/>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34">
          <cell r="AQ234">
            <v>844671100</v>
          </cell>
        </row>
        <row r="235">
          <cell r="AQ235">
            <v>13332</v>
          </cell>
        </row>
        <row r="236">
          <cell r="AQ236">
            <v>54902410</v>
          </cell>
        </row>
        <row r="237">
          <cell r="AQ237">
            <v>16238512</v>
          </cell>
        </row>
        <row r="238">
          <cell r="AQ238">
            <v>48661304</v>
          </cell>
        </row>
        <row r="239">
          <cell r="AQ239">
            <v>23708000</v>
          </cell>
        </row>
        <row r="240">
          <cell r="AQ240">
            <v>3811510</v>
          </cell>
        </row>
        <row r="241">
          <cell r="AQ241">
            <v>35413380</v>
          </cell>
        </row>
        <row r="242">
          <cell r="AQ242">
            <v>83602000</v>
          </cell>
        </row>
        <row r="243">
          <cell r="AQ243">
            <v>27710000</v>
          </cell>
        </row>
        <row r="244">
          <cell r="AQ244">
            <v>839367902</v>
          </cell>
        </row>
      </sheetData>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non 51"/>
      <sheetName val="Cetak_Pusdik (2)"/>
      <sheetName val="626402"/>
      <sheetName val="Cetak_Pusdik"/>
      <sheetName val="Eselon2"/>
      <sheetName val="SP2D ON"/>
      <sheetName val="PERAKUN"/>
      <sheetName val="GUP TUP"/>
      <sheetName val="PERSUBBID"/>
      <sheetName val="PERSUBIDANG"/>
      <sheetName val="SP2D gaji"/>
      <sheetName val="cuk"/>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33">
          <cell r="F233">
            <v>6155047000</v>
          </cell>
          <cell r="AQ233">
            <v>2939763957</v>
          </cell>
        </row>
        <row r="245">
          <cell r="F245">
            <v>323949000</v>
          </cell>
          <cell r="AQ245">
            <v>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AX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7.383334375001" createdVersion="7" refreshedVersion="8" minRefreshableVersion="3" recordCount="140" xr:uid="{F6A9A8BE-9DF4-47CC-B2DE-53AB58A65CAC}">
  <cacheSource type="worksheet">
    <worksheetSource ref="A3:AP143" sheet="SP2D"/>
  </cacheSource>
  <cacheFields count="44">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30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0">
      <sharedItems containsSemiMixedTypes="0" containsString="0" containsNumber="1" containsInteger="1" minValue="500000" maxValue="6308695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0">
      <sharedItems containsSemiMixedTypes="0" containsString="0" containsNumber="1" containsInteger="1" minValue="0" maxValue="3393066206"/>
    </cacheField>
    <cacheField name="Real %" numFmtId="43">
      <sharedItems containsSemiMixedTypes="0" containsString="0" containsNumber="1" minValue="0" maxValue="427.41701111111115"/>
    </cacheField>
    <cacheField name="Sisa" numFmtId="0">
      <sharedItems containsSemiMixedTypes="0" containsString="0" containsNumber="1" containsInteger="1" minValue="-29467531" maxValue="2915628794"/>
    </cacheField>
    <cacheField name="Real %2" numFmtId="43">
      <sharedItems containsSemiMixedTypes="0" containsString="0" containsNumber="1" minValue="-327.41701111111115"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n v="1987500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n v="2000000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n v="4326000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n v="1950000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n v="400000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n v="2125000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n v="3325000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n v="6490000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n v="600000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n v="2520000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n v="150000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900000"/>
    <n v="0"/>
    <n v="0"/>
    <n v="7990750"/>
    <n v="0"/>
    <n v="1500000"/>
    <n v="0"/>
    <n v="0"/>
    <n v="0"/>
    <n v="0"/>
    <n v="0"/>
    <n v="0"/>
    <n v="0"/>
    <x v="0"/>
    <x v="1"/>
    <x v="3"/>
    <s v="52"/>
    <s v="SEKRETARIAT BADAN RISET DAN SUMBERDAYA MANUSIA KELAUTAN DAN PERIKANAN"/>
    <n v="9490750"/>
    <n v="68.27877697841727"/>
    <n v="4409250"/>
    <n v="31.721223021582734"/>
    <s v="DL.2376.AFA.001.054.B.521211"/>
    <s v="Non COVID"/>
    <s v="BELANJA BAHAN"/>
    <s v="Belanja Barang Non Operasional"/>
  </r>
  <r>
    <s v="032"/>
    <s v="12"/>
    <s v="DL"/>
    <x v="0"/>
    <s v="2376"/>
    <x v="0"/>
    <s v="AFA"/>
    <s v="2376.AFA. Norma, Standard, Prosedur dan Kriteria"/>
    <s v="001"/>
    <x v="0"/>
    <s v="054"/>
    <x v="3"/>
    <s v="A"/>
    <x v="6"/>
    <n v="521219"/>
    <x v="3"/>
    <n v="8784000"/>
    <n v="0"/>
    <n v="0"/>
    <n v="0"/>
    <n v="0"/>
    <n v="0"/>
    <n v="0"/>
    <n v="0"/>
    <n v="0"/>
    <n v="0"/>
    <n v="0"/>
    <n v="0"/>
    <n v="0"/>
    <x v="0"/>
    <x v="1"/>
    <x v="3"/>
    <s v="52"/>
    <s v="SEKRETARIAT BADAN RISET DAN SUMBERDAYA MANUSIA KELAUTAN DAN PERIKANAN"/>
    <n v="0"/>
    <n v="0"/>
    <n v="8784000"/>
    <n v="100"/>
    <s v="DL.2376.AFA.001.054.B.521219"/>
    <s v="Non COVID"/>
    <s v="PERJALANAN DINAS"/>
    <s v="Belanja Barang Non Operasional"/>
  </r>
  <r>
    <s v="032"/>
    <s v="12"/>
    <s v="DL"/>
    <x v="0"/>
    <s v="2376"/>
    <x v="0"/>
    <s v="AFA"/>
    <s v="2376.AFA. Norma, Standard, Prosedur dan Kriteria"/>
    <s v="001"/>
    <x v="0"/>
    <s v="054"/>
    <x v="3"/>
    <s v="A"/>
    <x v="6"/>
    <n v="522151"/>
    <x v="1"/>
    <n v="10000000"/>
    <n v="0"/>
    <n v="0"/>
    <n v="0"/>
    <n v="7200000"/>
    <n v="0"/>
    <n v="0"/>
    <n v="0"/>
    <n v="0"/>
    <n v="0"/>
    <n v="0"/>
    <n v="0"/>
    <n v="0"/>
    <x v="0"/>
    <x v="1"/>
    <x v="3"/>
    <s v="52"/>
    <s v="SEKRETARIAT BADAN RISET DAN SUMBERDAYA MANUSIA KELAUTAN DAN PERIKANAN"/>
    <n v="7200000"/>
    <n v="72"/>
    <n v="2800000"/>
    <n v="28.000000000000004"/>
    <s v="DL.2376.AFA.001.054.B.522151"/>
    <s v="Non COVID"/>
    <s v="BELANJA BAHAN"/>
    <s v="Belanja Barang Non Operasional"/>
  </r>
  <r>
    <s v="032"/>
    <s v="12"/>
    <s v="DL"/>
    <x v="0"/>
    <s v="2376"/>
    <x v="0"/>
    <s v="AFA"/>
    <s v="2376.AFA. Norma, Standard, Prosedur dan Kriteria"/>
    <s v="001"/>
    <x v="0"/>
    <s v="054"/>
    <x v="3"/>
    <s v="A"/>
    <x v="6"/>
    <s v="522192"/>
    <x v="5"/>
    <n v="5000000"/>
    <n v="0"/>
    <n v="0"/>
    <n v="0"/>
    <n v="0"/>
    <n v="0"/>
    <n v="0"/>
    <n v="0"/>
    <n v="0"/>
    <n v="0"/>
    <n v="0"/>
    <n v="0"/>
    <n v="0"/>
    <x v="0"/>
    <x v="1"/>
    <x v="3"/>
    <s v="52"/>
    <s v="SEKRETARIAT BADAN RISET DAN SUMBERDAYA MANUSIA KELAUTAN DAN PERIKANAN"/>
    <n v="0"/>
    <n v="0"/>
    <n v="5000000"/>
    <n v="100"/>
    <s v="DL.2376.AFA.001.054.B.522192"/>
    <s v="COVID"/>
    <s v="BELANJA JASA"/>
    <s v="Belanja Barang Non Operasional"/>
  </r>
  <r>
    <s v="032"/>
    <s v="12"/>
    <s v="DL"/>
    <x v="0"/>
    <s v="2376"/>
    <x v="0"/>
    <s v="AFA"/>
    <s v="2376.AFA. Norma, Standard, Prosedur dan Kriteria"/>
    <s v="001"/>
    <x v="0"/>
    <s v="054"/>
    <x v="3"/>
    <s v="A"/>
    <x v="6"/>
    <s v="524111"/>
    <x v="2"/>
    <n v="97416000"/>
    <n v="0"/>
    <n v="0"/>
    <n v="28850000"/>
    <n v="6320000"/>
    <n v="0"/>
    <n v="22748610"/>
    <n v="0"/>
    <n v="0"/>
    <n v="0"/>
    <n v="0"/>
    <n v="0"/>
    <n v="0"/>
    <x v="0"/>
    <x v="1"/>
    <x v="3"/>
    <s v="52"/>
    <s v="SEKRETARIAT BADAN RISET DAN SUMBERDAYA MANUSIA KELAUTAN DAN PERIKANAN"/>
    <n v="57918610"/>
    <n v="59.454925268949651"/>
    <n v="39497390"/>
    <n v="40.545074731050342"/>
    <s v="DL.2376.AFA.001.054.B.524111"/>
    <s v="Non COVID"/>
    <s v="PERJALANAN DINAS"/>
    <s v="Belanja Barang Non Operasional"/>
  </r>
  <r>
    <s v="032"/>
    <s v="12"/>
    <s v="WA"/>
    <x v="1"/>
    <s v="2378"/>
    <x v="1"/>
    <s v="CAN"/>
    <s v="2378.CAN. Sarana Bidang Teknologi Informasi dan Komunikasi"/>
    <s v="001"/>
    <x v="1"/>
    <n v="301"/>
    <x v="4"/>
    <s v="A"/>
    <x v="7"/>
    <n v="532111"/>
    <x v="7"/>
    <n v="115000000"/>
    <n v="0"/>
    <n v="0"/>
    <n v="0"/>
    <n v="0"/>
    <n v="114200000"/>
    <n v="0"/>
    <n v="0"/>
    <n v="0"/>
    <n v="0"/>
    <n v="0"/>
    <n v="0"/>
    <n v="0"/>
    <x v="0"/>
    <x v="2"/>
    <x v="4"/>
    <n v="53"/>
    <s v="SEKRETARIAT BADAN RISET DAN SUMBERDAYA MANUSIA KELAUTAN DAN PERIKANAN"/>
    <n v="114200000"/>
    <n v="99.304347826086953"/>
    <n v="800000"/>
    <n v="0.69565217391304346"/>
    <s v="WA.2378.CAN.001.301.A.532111"/>
    <s v="Non COVID"/>
    <s v="BELANJA MODAL"/>
    <s v="Belanja Barang Non Operasional"/>
  </r>
  <r>
    <s v="032"/>
    <s v="12"/>
    <s v="WA"/>
    <x v="1"/>
    <s v="2378"/>
    <x v="1"/>
    <s v="EBA"/>
    <s v="2378.EBA. Layanan Dukungan Manajemen Internal"/>
    <n v="958"/>
    <x v="2"/>
    <n v="311"/>
    <x v="5"/>
    <s v="A"/>
    <x v="8"/>
    <n v="521211"/>
    <x v="0"/>
    <n v="14400000"/>
    <n v="0"/>
    <n v="0"/>
    <n v="2876000"/>
    <n v="0"/>
    <n v="3071500"/>
    <n v="0"/>
    <n v="0"/>
    <n v="0"/>
    <n v="0"/>
    <n v="0"/>
    <n v="0"/>
    <n v="0"/>
    <x v="0"/>
    <x v="3"/>
    <x v="5"/>
    <s v="52"/>
    <s v="SEKRETARIAT BADAN RISET DAN SUMBERDAYA MANUSIA KELAUTAN DAN PERIKANAN"/>
    <n v="5947500"/>
    <n v="41.302083333333336"/>
    <n v="8452500"/>
    <n v="58.697916666666671"/>
    <s v="WA.2378.EBA.958.311.A.521211"/>
    <s v="Non COVID"/>
    <s v="BELANJA BAHAN"/>
    <s v="Belanja Barang Non Operasional"/>
  </r>
  <r>
    <s v="032"/>
    <s v="12"/>
    <s v="WA"/>
    <x v="1"/>
    <s v="2378"/>
    <x v="1"/>
    <s v="EBA"/>
    <s v="2378.EBA. Layanan Dukungan Manajemen Internal"/>
    <n v="958"/>
    <x v="2"/>
    <n v="311"/>
    <x v="5"/>
    <s v="A"/>
    <x v="8"/>
    <n v="521219"/>
    <x v="3"/>
    <n v="8000000"/>
    <n v="0"/>
    <n v="0"/>
    <n v="0"/>
    <n v="0"/>
    <n v="0"/>
    <n v="0"/>
    <n v="0"/>
    <n v="0"/>
    <n v="0"/>
    <n v="0"/>
    <n v="0"/>
    <n v="0"/>
    <x v="0"/>
    <x v="3"/>
    <x v="5"/>
    <s v="52"/>
    <s v="SEKRETARIAT BADAN RISET DAN SUMBERDAYA MANUSIA KELAUTAN DAN PERIKANAN"/>
    <n v="0"/>
    <n v="0"/>
    <n v="8000000"/>
    <n v="100"/>
    <s v="WA.2378.EBA.958.311.A.521219"/>
    <s v="Non COVID"/>
    <s v="NON OPS LAINNYA"/>
    <s v="Belanja Barang Non Operasional"/>
  </r>
  <r>
    <s v="032"/>
    <s v="12"/>
    <s v="WA"/>
    <x v="1"/>
    <s v="2378"/>
    <x v="1"/>
    <s v="EBA"/>
    <s v="2378.EBA. Layanan Dukungan Manajemen Internal"/>
    <n v="958"/>
    <x v="2"/>
    <n v="311"/>
    <x v="5"/>
    <s v="A"/>
    <x v="8"/>
    <n v="521811"/>
    <x v="4"/>
    <n v="12000000"/>
    <n v="0"/>
    <n v="0"/>
    <n v="2450750"/>
    <n v="0"/>
    <n v="1929000"/>
    <n v="0"/>
    <n v="0"/>
    <n v="0"/>
    <n v="0"/>
    <n v="0"/>
    <n v="0"/>
    <n v="0"/>
    <x v="0"/>
    <x v="3"/>
    <x v="5"/>
    <s v="52"/>
    <s v="SEKRETARIAT BADAN RISET DAN SUMBERDAYA MANUSIA KELAUTAN DAN PERIKANAN"/>
    <n v="4379750"/>
    <n v="36.497916666666669"/>
    <n v="7620250"/>
    <n v="63.502083333333339"/>
    <s v="WA.2378.EBA.958.311.A.521811"/>
    <s v="Non COVID"/>
    <s v="PERSEDIAAN"/>
    <s v="Belanja Barang Non Operasional"/>
  </r>
  <r>
    <s v="032"/>
    <s v="12"/>
    <s v="WA"/>
    <x v="1"/>
    <s v="2378"/>
    <x v="1"/>
    <s v="EBA"/>
    <s v="2378.EBA. Layanan Dukungan Manajemen Internal"/>
    <n v="958"/>
    <x v="2"/>
    <n v="311"/>
    <x v="5"/>
    <s v="A"/>
    <x v="8"/>
    <n v="522151"/>
    <x v="1"/>
    <n v="4000000"/>
    <n v="0"/>
    <n v="0"/>
    <n v="0"/>
    <n v="0"/>
    <n v="0"/>
    <n v="0"/>
    <n v="0"/>
    <n v="0"/>
    <n v="0"/>
    <n v="0"/>
    <n v="0"/>
    <n v="0"/>
    <x v="0"/>
    <x v="3"/>
    <x v="5"/>
    <s v="52"/>
    <s v="SEKRETARIAT BADAN RISET DAN SUMBERDAYA MANUSIA KELAUTAN DAN PERIKANAN"/>
    <n v="0"/>
    <n v="0"/>
    <n v="4000000"/>
    <n v="100"/>
    <s v="WA.2378.EBA.958.311.A.522151"/>
    <s v="Non COVID"/>
    <s v="BELANJA JASA"/>
    <s v="Belanja Barang Non Operasional"/>
  </r>
  <r>
    <s v="032"/>
    <s v="12"/>
    <s v="WA"/>
    <x v="1"/>
    <s v="2378"/>
    <x v="1"/>
    <s v="EBA"/>
    <s v="2378.EBA. Layanan Dukungan Manajemen Internal"/>
    <n v="958"/>
    <x v="2"/>
    <n v="311"/>
    <x v="5"/>
    <s v="A"/>
    <x v="8"/>
    <s v="524111"/>
    <x v="2"/>
    <n v="115380000"/>
    <n v="0"/>
    <n v="0"/>
    <n v="0"/>
    <n v="3570000"/>
    <n v="10960600"/>
    <n v="3840000"/>
    <n v="0"/>
    <n v="0"/>
    <n v="0"/>
    <n v="0"/>
    <n v="0"/>
    <n v="0"/>
    <x v="0"/>
    <x v="3"/>
    <x v="5"/>
    <s v="52"/>
    <s v="SEKRETARIAT BADAN RISET DAN SUMBERDAYA MANUSIA KELAUTAN DAN PERIKANAN"/>
    <n v="18370600"/>
    <n v="15.921823539608251"/>
    <n v="97009400"/>
    <n v="84.078176460391745"/>
    <s v="WA.2378.EBA.958.311.A.524111"/>
    <s v="Non COVID"/>
    <s v="PERJALANAN DINAS"/>
    <s v="Belanja Barang Non Operasional"/>
  </r>
  <r>
    <s v="032"/>
    <s v="12"/>
    <s v="WA"/>
    <x v="1"/>
    <s v="2378"/>
    <x v="1"/>
    <s v="EBA"/>
    <s v="2378.EBA. Layanan Dukungan Manajemen Internal"/>
    <n v="301"/>
    <x v="3"/>
    <n v="301"/>
    <x v="6"/>
    <s v="A"/>
    <x v="9"/>
    <n v="521211"/>
    <x v="0"/>
    <n v="22000000"/>
    <n v="0"/>
    <n v="0"/>
    <n v="3998800"/>
    <n v="0"/>
    <n v="0"/>
    <n v="0"/>
    <n v="0"/>
    <n v="0"/>
    <n v="0"/>
    <n v="0"/>
    <n v="0"/>
    <n v="0"/>
    <x v="0"/>
    <x v="2"/>
    <x v="4"/>
    <s v="52"/>
    <s v="SEKRETARIAT BADAN RISET DAN SUMBERDAYA MANUSIA KELAUTAN DAN PERIKANAN"/>
    <n v="3998800"/>
    <n v="18.176363636363639"/>
    <n v="18001200"/>
    <n v="81.823636363636368"/>
    <s v="WA.2378.EBA.962.301.A.521211"/>
    <s v="Non COVID"/>
    <s v="BELANJA BAHAN"/>
    <s v="Belanja Barang Non Operasional"/>
  </r>
  <r>
    <s v="032"/>
    <s v="12"/>
    <s v="WA"/>
    <x v="1"/>
    <s v="2378"/>
    <x v="1"/>
    <s v="EBA"/>
    <s v="2378.EBA. Layanan Dukungan Manajemen Internal"/>
    <n v="301"/>
    <x v="3"/>
    <n v="301"/>
    <x v="6"/>
    <s v="A"/>
    <x v="9"/>
    <s v="524111"/>
    <x v="2"/>
    <n v="27000000"/>
    <n v="0"/>
    <n v="0"/>
    <n v="4335000"/>
    <n v="3960000"/>
    <n v="3043500"/>
    <n v="0"/>
    <n v="0"/>
    <n v="0"/>
    <n v="0"/>
    <n v="0"/>
    <n v="0"/>
    <n v="0"/>
    <x v="0"/>
    <x v="2"/>
    <x v="4"/>
    <s v="52"/>
    <s v="SEKRETARIAT BADAN RISET DAN SUMBERDAYA MANUSIA KELAUTAN DAN PERIKANAN"/>
    <n v="11338500"/>
    <n v="41.994444444444447"/>
    <n v="15661500"/>
    <n v="58.005555555555553"/>
    <s v="WA.2378.EBA.962.301.A.524111"/>
    <s v="Non COVID"/>
    <s v="PERJALANAN DINAS"/>
    <s v="Belanja Barang Non Operasional"/>
  </r>
  <r>
    <s v="032"/>
    <s v="12"/>
    <s v="WA"/>
    <x v="1"/>
    <s v="2378"/>
    <x v="1"/>
    <s v="EBA"/>
    <s v="2378.EBA. Layanan Dukungan Manajemen Internal"/>
    <n v="301"/>
    <x v="3"/>
    <n v="301"/>
    <x v="6"/>
    <s v="A"/>
    <x v="9"/>
    <s v="524113"/>
    <x v="6"/>
    <n v="2100000"/>
    <n v="0"/>
    <n v="0"/>
    <n v="750000"/>
    <n v="0"/>
    <n v="0"/>
    <n v="0"/>
    <n v="0"/>
    <n v="0"/>
    <n v="0"/>
    <n v="0"/>
    <n v="0"/>
    <n v="0"/>
    <x v="0"/>
    <x v="2"/>
    <x v="4"/>
    <s v="52"/>
    <s v="SEKRETARIAT BADAN RISET DAN SUMBERDAYA MANUSIA KELAUTAN DAN PERIKANAN"/>
    <n v="750000"/>
    <n v="35.714285714285715"/>
    <n v="1350000"/>
    <n v="64.285714285714292"/>
    <s v="WA.2378.EBA.962.301.A.524113"/>
    <s v="Non COVID"/>
    <s v="TRANSPORT LOKAL"/>
    <s v="Belanja Barang Non Operasional"/>
  </r>
  <r>
    <s v="032"/>
    <s v="12"/>
    <s v="WA"/>
    <x v="1"/>
    <s v="2378"/>
    <x v="1"/>
    <s v="EBA"/>
    <s v="2378.EBA. Layanan Dukungan Manajemen Internal"/>
    <n v="301"/>
    <x v="3"/>
    <n v="301"/>
    <x v="6"/>
    <s v="B"/>
    <x v="10"/>
    <n v="521211"/>
    <x v="0"/>
    <n v="1000000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301"/>
    <x v="3"/>
    <n v="301"/>
    <x v="6"/>
    <s v="B"/>
    <x v="10"/>
    <s v="522192"/>
    <x v="5"/>
    <n v="23680000"/>
    <n v="0"/>
    <n v="0"/>
    <n v="2031000"/>
    <n v="0"/>
    <n v="0"/>
    <n v="0"/>
    <n v="0"/>
    <n v="0"/>
    <n v="0"/>
    <n v="0"/>
    <n v="0"/>
    <n v="0"/>
    <x v="0"/>
    <x v="2"/>
    <x v="4"/>
    <s v="52"/>
    <s v="SEKRETARIAT BADAN RISET DAN SUMBERDAYA MANUSIA KELAUTAN DAN PERIKANAN"/>
    <n v="2031000"/>
    <n v="8.5768581081081088"/>
    <n v="21649000"/>
    <n v="91.423141891891888"/>
    <s v="WA.2378.EBA.962.301.B.522192"/>
    <s v="COVID"/>
    <s v="BELANJA JASA"/>
    <s v="Belanja Barang Non Operasional"/>
  </r>
  <r>
    <s v="032"/>
    <s v="12"/>
    <s v="WA"/>
    <x v="1"/>
    <s v="2378"/>
    <x v="1"/>
    <s v="EBA"/>
    <s v="2378.EBA. Layanan Dukungan Manajemen Internal"/>
    <n v="301"/>
    <x v="3"/>
    <n v="301"/>
    <x v="6"/>
    <s v="B"/>
    <x v="10"/>
    <s v="524111"/>
    <x v="2"/>
    <n v="514500000"/>
    <n v="0"/>
    <n v="0"/>
    <n v="68815500"/>
    <n v="66565460"/>
    <n v="25199501"/>
    <n v="0"/>
    <n v="0"/>
    <n v="0"/>
    <n v="0"/>
    <n v="0"/>
    <n v="0"/>
    <n v="0"/>
    <x v="0"/>
    <x v="2"/>
    <x v="4"/>
    <s v="52"/>
    <s v="SEKRETARIAT BADAN RISET DAN SUMBERDAYA MANUSIA KELAUTAN DAN PERIKANAN"/>
    <n v="160580461"/>
    <n v="31.210973955296407"/>
    <n v="353919539"/>
    <n v="68.78902604470359"/>
    <s v="WA.2378.EBA.962.301.B.524111"/>
    <s v="Non COVID"/>
    <s v="PERJALANAN DINAS"/>
    <s v="Belanja Barang Non Operasional"/>
  </r>
  <r>
    <s v="032"/>
    <s v="12"/>
    <s v="WA"/>
    <x v="1"/>
    <s v="2378"/>
    <x v="1"/>
    <s v="EBA"/>
    <s v="2378.EBA. Layanan Dukungan Manajemen Internal"/>
    <n v="301"/>
    <x v="3"/>
    <n v="301"/>
    <x v="6"/>
    <s v="C"/>
    <x v="11"/>
    <n v="521211"/>
    <x v="0"/>
    <n v="46000000"/>
    <n v="0"/>
    <n v="0"/>
    <n v="3987000"/>
    <n v="0"/>
    <n v="29384740"/>
    <n v="0"/>
    <n v="0"/>
    <n v="0"/>
    <n v="0"/>
    <n v="0"/>
    <n v="0"/>
    <n v="0"/>
    <x v="0"/>
    <x v="2"/>
    <x v="4"/>
    <s v="52"/>
    <s v="SEKRETARIAT BADAN RISET DAN SUMBERDAYA MANUSIA KELAUTAN DAN PERIKANAN"/>
    <n v="33371740"/>
    <n v="72.547260869565221"/>
    <n v="12628260"/>
    <n v="27.452739130434782"/>
    <s v="WA.2378.EBA.962.301.C.521211"/>
    <s v="Non COVID"/>
    <s v="BELANJA BAHAN"/>
    <s v="Belanja Barang Non Operasional"/>
  </r>
  <r>
    <s v="032"/>
    <s v="12"/>
    <s v="WA"/>
    <x v="1"/>
    <s v="2378"/>
    <x v="1"/>
    <s v="EBA"/>
    <s v="2378.EBA. Layanan Dukungan Manajemen Internal"/>
    <n v="301"/>
    <x v="3"/>
    <n v="301"/>
    <x v="6"/>
    <s v="C"/>
    <x v="11"/>
    <n v="522141"/>
    <x v="8"/>
    <n v="6000000"/>
    <n v="0"/>
    <n v="0"/>
    <n v="0"/>
    <n v="0"/>
    <n v="0"/>
    <n v="0"/>
    <n v="0"/>
    <n v="0"/>
    <n v="0"/>
    <n v="0"/>
    <n v="0"/>
    <n v="0"/>
    <x v="0"/>
    <x v="2"/>
    <x v="4"/>
    <s v="52"/>
    <s v="SEKRETARIAT BADAN RISET DAN SUMBERDAYA MANUSIA KELAUTAN DAN PERIKANAN"/>
    <n v="0"/>
    <n v="0"/>
    <n v="6000000"/>
    <n v="100"/>
    <s v="WA.2378.EBA.962.301.C.522141"/>
    <s v="Non COVID"/>
    <s v="BELANJA SEWA"/>
    <s v="Belanja Barang Non Operasional"/>
  </r>
  <r>
    <s v="032"/>
    <s v="12"/>
    <s v="WA"/>
    <x v="1"/>
    <s v="2378"/>
    <x v="1"/>
    <s v="EBA"/>
    <s v="2378.EBA. Layanan Dukungan Manajemen Internal"/>
    <n v="301"/>
    <x v="3"/>
    <n v="301"/>
    <x v="6"/>
    <s v="C"/>
    <x v="11"/>
    <s v="524111"/>
    <x v="2"/>
    <n v="1800000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301"/>
    <x v="3"/>
    <n v="301"/>
    <x v="6"/>
    <s v="C"/>
    <x v="11"/>
    <s v="524113"/>
    <x v="6"/>
    <n v="4500000"/>
    <n v="0"/>
    <n v="0"/>
    <n v="600000"/>
    <n v="0"/>
    <n v="0"/>
    <n v="0"/>
    <n v="0"/>
    <n v="0"/>
    <n v="0"/>
    <n v="0"/>
    <n v="0"/>
    <n v="0"/>
    <x v="0"/>
    <x v="2"/>
    <x v="4"/>
    <s v="52"/>
    <s v="SEKRETARIAT BADAN RISET DAN SUMBERDAYA MANUSIA KELAUTAN DAN PERIKANAN"/>
    <n v="600000"/>
    <n v="13.333333333333334"/>
    <n v="3900000"/>
    <n v="86.666666666666671"/>
    <s v="WA.2378.EBA.962.301.C.524113"/>
    <s v="Non COVID"/>
    <s v="TRANSPORT LOKAL"/>
    <s v="Belanja Barang Non Operasional"/>
  </r>
  <r>
    <s v="032"/>
    <s v="12"/>
    <s v="WA"/>
    <x v="1"/>
    <s v="2378"/>
    <x v="1"/>
    <s v="EBA"/>
    <s v="2378.EBA. Layanan Dukungan Manajemen Internal"/>
    <n v="301"/>
    <x v="3"/>
    <n v="301"/>
    <x v="6"/>
    <s v="D"/>
    <x v="12"/>
    <n v="521211"/>
    <x v="0"/>
    <n v="28000000"/>
    <n v="0"/>
    <n v="0"/>
    <n v="5459000"/>
    <n v="0"/>
    <n v="0"/>
    <n v="0"/>
    <n v="0"/>
    <n v="0"/>
    <n v="0"/>
    <n v="0"/>
    <n v="0"/>
    <n v="0"/>
    <x v="0"/>
    <x v="2"/>
    <x v="4"/>
    <s v="52"/>
    <s v="SEKRETARIAT BADAN RISET DAN SUMBERDAYA MANUSIA KELAUTAN DAN PERIKANAN"/>
    <n v="5459000"/>
    <n v="19.49642857142857"/>
    <n v="22541000"/>
    <n v="80.503571428571433"/>
    <s v="WA.2378.EBA.962.301.D.521211"/>
    <s v="Non COVID"/>
    <s v="BELANJA BAHAN"/>
    <s v="Belanja Barang Non Operasional"/>
  </r>
  <r>
    <s v="032"/>
    <s v="12"/>
    <s v="WA"/>
    <x v="1"/>
    <s v="2378"/>
    <x v="1"/>
    <s v="EBA"/>
    <s v="2378.EBA. Layanan Dukungan Manajemen Internal"/>
    <n v="301"/>
    <x v="3"/>
    <n v="301"/>
    <x v="6"/>
    <s v="D"/>
    <x v="12"/>
    <s v="524111"/>
    <x v="2"/>
    <n v="71250000"/>
    <n v="0"/>
    <n v="0"/>
    <n v="8227400"/>
    <n v="15762838"/>
    <n v="3691500"/>
    <n v="0"/>
    <n v="0"/>
    <n v="0"/>
    <n v="0"/>
    <n v="0"/>
    <n v="0"/>
    <n v="0"/>
    <x v="0"/>
    <x v="2"/>
    <x v="4"/>
    <s v="52"/>
    <s v="SEKRETARIAT BADAN RISET DAN SUMBERDAYA MANUSIA KELAUTAN DAN PERIKANAN"/>
    <n v="27681738"/>
    <n v="38.851562105263163"/>
    <n v="43568262"/>
    <n v="61.148437894736837"/>
    <s v="WA.2378.EBA.962.301.D.524111"/>
    <s v="Non COVID"/>
    <s v="PERJALANAN DINAS"/>
    <s v="Belanja Barang Non Operasional"/>
  </r>
  <r>
    <s v="032"/>
    <s v="12"/>
    <s v="WA"/>
    <x v="1"/>
    <s v="2378"/>
    <x v="1"/>
    <s v="EBA"/>
    <s v="2378.EBA. Layanan Dukungan Manajemen Internal"/>
    <n v="301"/>
    <x v="3"/>
    <n v="301"/>
    <x v="6"/>
    <s v="D"/>
    <x v="12"/>
    <s v="524113"/>
    <x v="6"/>
    <n v="1800000"/>
    <n v="0"/>
    <n v="0"/>
    <n v="0"/>
    <n v="0"/>
    <n v="0"/>
    <n v="0"/>
    <n v="0"/>
    <n v="0"/>
    <n v="0"/>
    <n v="0"/>
    <n v="0"/>
    <n v="0"/>
    <x v="0"/>
    <x v="2"/>
    <x v="4"/>
    <s v="52"/>
    <s v="SEKRETARIAT BADAN RISET DAN SUMBERDAYA MANUSIA KELAUTAN DAN PERIKANAN"/>
    <n v="0"/>
    <n v="0"/>
    <n v="1800000"/>
    <n v="100"/>
    <s v="WA.2378.EBA.962.301.C.524113"/>
    <s v="Non COVID"/>
    <s v="TRANSPORT LOKAL"/>
    <s v="Belanja Barang Non Operasional"/>
  </r>
  <r>
    <s v="032"/>
    <s v="12"/>
    <s v="WA"/>
    <x v="1"/>
    <s v="2378"/>
    <x v="1"/>
    <s v="EBA"/>
    <s v="2378.EBA. Layanan Dukungan Manajemen Internal"/>
    <n v="301"/>
    <x v="3"/>
    <n v="301"/>
    <x v="6"/>
    <s v="E"/>
    <x v="13"/>
    <n v="521211"/>
    <x v="0"/>
    <n v="57600000"/>
    <n v="0"/>
    <n v="0"/>
    <n v="31495000"/>
    <n v="0"/>
    <n v="6600000"/>
    <n v="0"/>
    <n v="0"/>
    <n v="0"/>
    <n v="0"/>
    <n v="0"/>
    <n v="0"/>
    <n v="0"/>
    <x v="0"/>
    <x v="2"/>
    <x v="4"/>
    <s v="52"/>
    <s v="SEKRETARIAT BADAN RISET DAN SUMBERDAYA MANUSIA KELAUTAN DAN PERIKANAN"/>
    <n v="38095000"/>
    <n v="66.137152777777771"/>
    <n v="19505000"/>
    <n v="33.862847222222221"/>
    <s v="WA.2378.EBA.962.301.E.524113"/>
    <s v="Non COVID"/>
    <s v="BELANJA BAHAN"/>
    <s v="Belanja Barang Non Operasional"/>
  </r>
  <r>
    <s v="032"/>
    <s v="12"/>
    <s v="WA"/>
    <x v="1"/>
    <s v="2378"/>
    <x v="1"/>
    <s v="EBA"/>
    <s v="2378.EBA. Layanan Dukungan Manajemen Internal"/>
    <n v="301"/>
    <x v="3"/>
    <n v="301"/>
    <x v="6"/>
    <s v="E"/>
    <x v="13"/>
    <n v="521241"/>
    <x v="9"/>
    <n v="226200000"/>
    <n v="0"/>
    <n v="0"/>
    <n v="47132450"/>
    <n v="0"/>
    <n v="20031830"/>
    <n v="0"/>
    <n v="0"/>
    <n v="0"/>
    <n v="0"/>
    <n v="0"/>
    <n v="0"/>
    <n v="0"/>
    <x v="0"/>
    <x v="2"/>
    <x v="4"/>
    <s v="52"/>
    <s v="SEKRETARIAT BADAN RISET DAN SUMBERDAYA MANUSIA KELAUTAN DAN PERIKANAN"/>
    <n v="67164280"/>
    <n v="29.692431476569407"/>
    <n v="159035720"/>
    <n v="70.307568523430604"/>
    <s v="WA.2378.EBA.962.301.E.521241"/>
    <s v="COVID"/>
    <s v="BELANJA JASA"/>
    <s v="Belanja Barang Non Operasional"/>
  </r>
  <r>
    <s v="032"/>
    <s v="12"/>
    <s v="WA"/>
    <x v="1"/>
    <s v="2378"/>
    <x v="1"/>
    <s v="EBA"/>
    <s v="2378.EBA. Layanan Dukungan Manajemen Internal"/>
    <n v="301"/>
    <x v="3"/>
    <n v="301"/>
    <x v="6"/>
    <s v="E"/>
    <x v="13"/>
    <n v="522191"/>
    <x v="10"/>
    <n v="35000000"/>
    <n v="0"/>
    <n v="0"/>
    <n v="0"/>
    <n v="0"/>
    <n v="0"/>
    <n v="0"/>
    <n v="0"/>
    <n v="0"/>
    <n v="0"/>
    <n v="0"/>
    <n v="0"/>
    <n v="0"/>
    <x v="0"/>
    <x v="2"/>
    <x v="4"/>
    <n v="52"/>
    <s v="SEKRETARIAT BADAN RISET DAN SUMBERDAYA MANUSIA KELAUTAN DAN PERIKANAN"/>
    <n v="0"/>
    <n v="0"/>
    <n v="35000000"/>
    <n v="100"/>
    <s v="WA.2378.EBA.962.301.E.522191"/>
    <s v="Non COVID"/>
    <s v="BELANJA JASA"/>
    <s v="Belanja Barang Non Operasional"/>
  </r>
  <r>
    <s v="032"/>
    <s v="12"/>
    <s v="WA"/>
    <x v="1"/>
    <s v="2378"/>
    <x v="1"/>
    <s v="EBA"/>
    <s v="2378.EBA. Layanan Dukungan Manajemen Internal"/>
    <n v="301"/>
    <x v="3"/>
    <n v="301"/>
    <x v="6"/>
    <s v="E"/>
    <x v="13"/>
    <s v="522192"/>
    <x v="5"/>
    <n v="48000000"/>
    <n v="0"/>
    <n v="0"/>
    <n v="802000"/>
    <n v="3229000"/>
    <n v="215000"/>
    <n v="0"/>
    <n v="0"/>
    <n v="0"/>
    <n v="0"/>
    <n v="0"/>
    <n v="0"/>
    <n v="0"/>
    <x v="0"/>
    <x v="2"/>
    <x v="4"/>
    <s v="52"/>
    <s v="SEKRETARIAT BADAN RISET DAN SUMBERDAYA MANUSIA KELAUTAN DAN PERIKANAN"/>
    <n v="4246000"/>
    <n v="8.8458333333333332"/>
    <n v="43754000"/>
    <n v="91.154166666666669"/>
    <s v="WA.2378.EBA.962.301.E.522192"/>
    <s v="COVID"/>
    <s v="BELANJA JASA"/>
    <s v="Belanja Barang Non Operasional"/>
  </r>
  <r>
    <s v="032"/>
    <s v="12"/>
    <s v="WA"/>
    <x v="1"/>
    <s v="2378"/>
    <x v="1"/>
    <s v="EBA"/>
    <s v="2378.EBA. Layanan Dukungan Manajemen Internal"/>
    <n v="301"/>
    <x v="3"/>
    <n v="301"/>
    <x v="6"/>
    <s v="E"/>
    <x v="13"/>
    <s v="524111"/>
    <x v="2"/>
    <n v="42772000"/>
    <n v="0"/>
    <n v="0"/>
    <n v="8250000"/>
    <n v="3712700"/>
    <n v="9888000"/>
    <n v="0"/>
    <n v="0"/>
    <n v="0"/>
    <n v="0"/>
    <n v="0"/>
    <n v="0"/>
    <n v="0"/>
    <x v="0"/>
    <x v="2"/>
    <x v="4"/>
    <s v="52"/>
    <s v="SEKRETARIAT BADAN RISET DAN SUMBERDAYA MANUSIA KELAUTAN DAN PERIKANAN"/>
    <n v="21850700"/>
    <n v="51.08645843074909"/>
    <n v="20921300"/>
    <n v="48.91354156925091"/>
    <s v="WA.2378.EBA.962.301.E.524111"/>
    <s v="Non COVID"/>
    <s v="PERJALANAN DINAS"/>
    <s v="Belanja Barang Non Operasional"/>
  </r>
  <r>
    <s v="032"/>
    <s v="12"/>
    <s v="WA"/>
    <x v="1"/>
    <s v="2378"/>
    <x v="1"/>
    <s v="EBA"/>
    <s v="2378.EBA. Layanan Dukungan Manajemen Internal"/>
    <n v="301"/>
    <x v="3"/>
    <n v="301"/>
    <x v="6"/>
    <s v="E"/>
    <x v="13"/>
    <s v="524113"/>
    <x v="6"/>
    <n v="2100000"/>
    <n v="0"/>
    <n v="0"/>
    <n v="0"/>
    <n v="0"/>
    <n v="0"/>
    <n v="0"/>
    <n v="0"/>
    <n v="0"/>
    <n v="0"/>
    <n v="0"/>
    <n v="0"/>
    <n v="0"/>
    <x v="0"/>
    <x v="2"/>
    <x v="4"/>
    <s v="52"/>
    <s v="SEKRETARIAT BADAN RISET DAN SUMBERDAYA MANUSIA KELAUTAN DAN PERIKANAN"/>
    <n v="0"/>
    <n v="0"/>
    <n v="2100000"/>
    <n v="100"/>
    <s v="WA.2378.EBA.962.301.E.524113"/>
    <s v="Non COVID"/>
    <s v="TRANSPORT LOKAL"/>
    <s v="Belanja Barang Non Operasional"/>
  </r>
  <r>
    <s v="032"/>
    <s v="12"/>
    <s v="WA"/>
    <x v="1"/>
    <s v="2378"/>
    <x v="1"/>
    <s v="EBA"/>
    <s v="2378.EBA. Layanan Dukungan Manajemen Internal"/>
    <n v="301"/>
    <x v="3"/>
    <n v="301"/>
    <x v="6"/>
    <s v="F"/>
    <x v="14"/>
    <n v="521211"/>
    <x v="0"/>
    <n v="32000000"/>
    <n v="0"/>
    <n v="0"/>
    <n v="3999200"/>
    <n v="0"/>
    <n v="0"/>
    <n v="0"/>
    <n v="0"/>
    <n v="0"/>
    <n v="0"/>
    <n v="0"/>
    <n v="0"/>
    <n v="0"/>
    <x v="0"/>
    <x v="1"/>
    <x v="3"/>
    <s v="52"/>
    <s v="SEKRETARIAT BADAN RISET DAN SUMBERDAYA MANUSIA KELAUTAN DAN PERIKANAN"/>
    <n v="3999200"/>
    <n v="12.4975"/>
    <n v="28000800"/>
    <n v="87.502500000000012"/>
    <s v="WA.2378.EBA.962.301.F.521211"/>
    <s v="Non COVID"/>
    <s v="BELANJA BAHAN"/>
    <s v="Belanja Barang Non Operasional"/>
  </r>
  <r>
    <s v="032"/>
    <s v="12"/>
    <s v="WA"/>
    <x v="1"/>
    <s v="2378"/>
    <x v="1"/>
    <s v="EBA"/>
    <s v="2378.EBA. Layanan Dukungan Manajemen Internal"/>
    <n v="301"/>
    <x v="3"/>
    <n v="301"/>
    <x v="6"/>
    <s v="F"/>
    <x v="14"/>
    <n v="521219"/>
    <x v="3"/>
    <n v="298141000"/>
    <n v="0"/>
    <n v="0"/>
    <n v="694240"/>
    <n v="0"/>
    <n v="3603218"/>
    <n v="0"/>
    <n v="0"/>
    <n v="0"/>
    <n v="0"/>
    <n v="0"/>
    <n v="0"/>
    <n v="0"/>
    <x v="0"/>
    <x v="1"/>
    <x v="3"/>
    <s v="52"/>
    <s v="SEKRETARIAT BADAN RISET DAN SUMBERDAYA MANUSIA KELAUTAN DAN PERIKANAN"/>
    <n v="4297458"/>
    <n v="1.4414179867914845"/>
    <n v="293843542"/>
    <n v="98.558582013208522"/>
    <s v="WA.2378.EBA.962.301.F.521219"/>
    <s v="Non COVID"/>
    <s v="NON OPS LAINNYA"/>
    <s v="Belanja Barang Non Operasional"/>
  </r>
  <r>
    <s v="032"/>
    <s v="12"/>
    <s v="WA"/>
    <x v="1"/>
    <s v="2378"/>
    <x v="1"/>
    <s v="EBA"/>
    <s v="2378.EBA. Layanan Dukungan Manajemen Internal"/>
    <n v="301"/>
    <x v="3"/>
    <n v="301"/>
    <x v="6"/>
    <s v="F"/>
    <x v="14"/>
    <n v="522151"/>
    <x v="1"/>
    <n v="30000000"/>
    <n v="0"/>
    <n v="0"/>
    <n v="0"/>
    <n v="0"/>
    <n v="0"/>
    <n v="0"/>
    <n v="0"/>
    <n v="0"/>
    <n v="0"/>
    <n v="0"/>
    <n v="0"/>
    <n v="0"/>
    <x v="0"/>
    <x v="1"/>
    <x v="3"/>
    <s v="52"/>
    <s v="SEKRETARIAT BADAN RISET DAN SUMBERDAYA MANUSIA KELAUTAN DAN PERIKANAN"/>
    <n v="0"/>
    <n v="0"/>
    <n v="30000000"/>
    <n v="100"/>
    <s v="WA.2378.EBA.962.301.F.522151"/>
    <s v="Non COVID"/>
    <s v="BELANJA JASA"/>
    <s v="Belanja Barang Non Operasional"/>
  </r>
  <r>
    <s v="032"/>
    <s v="12"/>
    <s v="WA"/>
    <x v="1"/>
    <s v="2378"/>
    <x v="1"/>
    <s v="EBA"/>
    <s v="2378.EBA. Layanan Dukungan Manajemen Internal"/>
    <n v="301"/>
    <x v="3"/>
    <n v="301"/>
    <x v="6"/>
    <s v="F"/>
    <x v="14"/>
    <s v="522192"/>
    <x v="5"/>
    <n v="8000000"/>
    <n v="0"/>
    <n v="0"/>
    <n v="0"/>
    <n v="0"/>
    <n v="0"/>
    <n v="0"/>
    <n v="0"/>
    <n v="0"/>
    <n v="0"/>
    <n v="0"/>
    <n v="0"/>
    <n v="0"/>
    <x v="0"/>
    <x v="1"/>
    <x v="3"/>
    <s v="52"/>
    <s v="SEKRETARIAT BADAN RISET DAN SUMBERDAYA MANUSIA KELAUTAN DAN PERIKANAN"/>
    <n v="0"/>
    <n v="0"/>
    <n v="8000000"/>
    <n v="100"/>
    <s v="WA.2378.EBA.962.301.F.522192"/>
    <s v="COVID"/>
    <s v="BELANJA JASA"/>
    <s v="Belanja Barang Non Operasional"/>
  </r>
  <r>
    <s v="032"/>
    <s v="12"/>
    <s v="WA"/>
    <x v="1"/>
    <s v="2378"/>
    <x v="1"/>
    <s v="EBA"/>
    <s v="2378.EBA. Layanan Dukungan Manajemen Internal"/>
    <n v="301"/>
    <x v="3"/>
    <n v="301"/>
    <x v="6"/>
    <s v="F"/>
    <x v="14"/>
    <s v="524111"/>
    <x v="2"/>
    <n v="81859000"/>
    <n v="0"/>
    <n v="0"/>
    <n v="0"/>
    <n v="0"/>
    <n v="0"/>
    <n v="5350700"/>
    <n v="0"/>
    <n v="0"/>
    <n v="0"/>
    <n v="0"/>
    <n v="0"/>
    <n v="0"/>
    <x v="0"/>
    <x v="1"/>
    <x v="3"/>
    <s v="52"/>
    <s v="SEKRETARIAT BADAN RISET DAN SUMBERDAYA MANUSIA KELAUTAN DAN PERIKANAN"/>
    <n v="5350700"/>
    <n v="6.5364834654711146"/>
    <n v="76508300"/>
    <n v="93.463516534528893"/>
    <s v="WA.2378.EBA.962.301.F.524111"/>
    <s v="Non COVID"/>
    <s v="PERJALANAN DINAS"/>
    <s v="Belanja Barang Non Operasional"/>
  </r>
  <r>
    <s v="032"/>
    <s v="12"/>
    <s v="WA"/>
    <x v="1"/>
    <s v="2378"/>
    <x v="1"/>
    <s v="EBA"/>
    <s v="2378.EBA. Layanan Dukungan Manajemen Internal"/>
    <n v="301"/>
    <x v="3"/>
    <n v="301"/>
    <x v="6"/>
    <s v="G"/>
    <x v="15"/>
    <n v="521211"/>
    <x v="0"/>
    <n v="31000000"/>
    <n v="0"/>
    <n v="0"/>
    <n v="1200000"/>
    <n v="0"/>
    <n v="10342500"/>
    <n v="0"/>
    <n v="0"/>
    <n v="0"/>
    <n v="0"/>
    <n v="0"/>
    <n v="0"/>
    <n v="0"/>
    <x v="0"/>
    <x v="0"/>
    <x v="0"/>
    <s v="52"/>
    <s v="SEKRETARIAT BADAN RISET DAN SUMBERDAYA MANUSIA KELAUTAN DAN PERIKANAN"/>
    <n v="11542500"/>
    <n v="37.233870967741936"/>
    <n v="19457500"/>
    <n v="62.766129032258064"/>
    <s v="WA.2378.EBA.962.301.G.521211"/>
    <s v="Non COVID"/>
    <s v="BELANJA BAHAN"/>
    <s v="Belanja Barang Non Operasional"/>
  </r>
  <r>
    <s v="032"/>
    <s v="12"/>
    <s v="WA"/>
    <x v="1"/>
    <s v="2378"/>
    <x v="1"/>
    <s v="EBA"/>
    <s v="2378.EBA. Layanan Dukungan Manajemen Internal"/>
    <n v="301"/>
    <x v="3"/>
    <n v="301"/>
    <x v="6"/>
    <s v="G"/>
    <x v="15"/>
    <n v="521219"/>
    <x v="3"/>
    <n v="3000000"/>
    <n v="0"/>
    <n v="0"/>
    <n v="710207"/>
    <n v="0"/>
    <n v="481211"/>
    <n v="0"/>
    <n v="0"/>
    <n v="0"/>
    <n v="0"/>
    <n v="0"/>
    <n v="0"/>
    <n v="0"/>
    <x v="0"/>
    <x v="0"/>
    <x v="0"/>
    <s v="52"/>
    <s v="SEKRETARIAT BADAN RISET DAN SUMBERDAYA MANUSIA KELAUTAN DAN PERIKANAN"/>
    <n v="1191418"/>
    <n v="39.713933333333337"/>
    <n v="1808582"/>
    <n v="60.28606666666667"/>
    <s v="WA.2378.EBA.962.301.G.521219"/>
    <s v="Non COVID"/>
    <s v="NON OPS LAINNYA"/>
    <s v="Belanja Barang Non Operasional"/>
  </r>
  <r>
    <s v="032"/>
    <s v="12"/>
    <s v="WA"/>
    <x v="1"/>
    <s v="2378"/>
    <x v="1"/>
    <s v="EBA"/>
    <s v="2378.EBA. Layanan Dukungan Manajemen Internal"/>
    <n v="301"/>
    <x v="3"/>
    <n v="301"/>
    <x v="6"/>
    <s v="G"/>
    <x v="15"/>
    <n v="522151"/>
    <x v="1"/>
    <n v="70000000"/>
    <n v="0"/>
    <n v="0"/>
    <n v="1800000"/>
    <n v="1000000"/>
    <n v="2000000"/>
    <n v="0"/>
    <n v="0"/>
    <n v="0"/>
    <n v="0"/>
    <n v="0"/>
    <n v="0"/>
    <n v="0"/>
    <x v="0"/>
    <x v="0"/>
    <x v="0"/>
    <s v="52"/>
    <s v="SEKRETARIAT BADAN RISET DAN SUMBERDAYA MANUSIA KELAUTAN DAN PERIKANAN"/>
    <n v="4800000"/>
    <n v="6.8571428571428577"/>
    <n v="65200000"/>
    <n v="93.142857142857139"/>
    <s v="WA.2378.EBA.962.301.G.522151"/>
    <s v="Non COVID"/>
    <s v="BELANJA JASA"/>
    <s v="Belanja Barang Non Operasional"/>
  </r>
  <r>
    <s v="032"/>
    <s v="12"/>
    <s v="WA"/>
    <x v="1"/>
    <s v="2378"/>
    <x v="1"/>
    <s v="EBA"/>
    <s v="2378.EBA. Layanan Dukungan Manajemen Internal"/>
    <n v="301"/>
    <x v="3"/>
    <n v="301"/>
    <x v="6"/>
    <s v="G"/>
    <x v="15"/>
    <s v="524111"/>
    <x v="2"/>
    <n v="246000000"/>
    <n v="0"/>
    <n v="0"/>
    <n v="2700000"/>
    <n v="0"/>
    <n v="27528345"/>
    <n v="30535327"/>
    <n v="0"/>
    <n v="0"/>
    <n v="0"/>
    <n v="0"/>
    <n v="0"/>
    <n v="0"/>
    <x v="0"/>
    <x v="0"/>
    <x v="0"/>
    <s v="52"/>
    <s v="SEKRETARIAT BADAN RISET DAN SUMBERDAYA MANUSIA KELAUTAN DAN PERIKANAN"/>
    <n v="60763672"/>
    <n v="24.700679674796746"/>
    <n v="185236328"/>
    <n v="75.299320325203254"/>
    <s v="WA.2378.EBA.962.301.G.524111"/>
    <s v="Non COVID"/>
    <s v="PERJALANAN DINAS"/>
    <s v="Belanja Barang Non Operasional"/>
  </r>
  <r>
    <s v="032"/>
    <s v="12"/>
    <s v="WA"/>
    <x v="1"/>
    <s v="2378"/>
    <x v="1"/>
    <s v="EBA"/>
    <s v="2378.EBA. Layanan Dukungan Manajemen Internal"/>
    <n v="301"/>
    <x v="3"/>
    <n v="301"/>
    <x v="6"/>
    <s v="H"/>
    <x v="16"/>
    <n v="521211"/>
    <x v="0"/>
    <n v="118575000"/>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301"/>
    <x v="3"/>
    <n v="301"/>
    <x v="6"/>
    <s v="H"/>
    <x v="16"/>
    <n v="521219"/>
    <x v="3"/>
    <n v="393200000"/>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301"/>
    <x v="3"/>
    <n v="301"/>
    <x v="6"/>
    <s v="H"/>
    <x v="16"/>
    <n v="522141"/>
    <x v="8"/>
    <n v="120000000"/>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301"/>
    <x v="3"/>
    <n v="301"/>
    <x v="6"/>
    <s v="H"/>
    <x v="16"/>
    <s v="524111"/>
    <x v="2"/>
    <n v="7962000"/>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301"/>
    <x v="3"/>
    <n v="301"/>
    <x v="6"/>
    <s v="I"/>
    <x v="17"/>
    <n v="521211"/>
    <x v="0"/>
    <n v="1755000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301"/>
    <x v="3"/>
    <n v="301"/>
    <x v="6"/>
    <s v="I"/>
    <x v="17"/>
    <n v="521219"/>
    <x v="3"/>
    <n v="2765100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301"/>
    <x v="3"/>
    <n v="301"/>
    <x v="6"/>
    <s v="I"/>
    <x v="17"/>
    <n v="522151"/>
    <x v="1"/>
    <n v="4000000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301"/>
    <x v="3"/>
    <n v="301"/>
    <x v="6"/>
    <s v="I"/>
    <x v="17"/>
    <s v="524111"/>
    <x v="2"/>
    <n v="2506200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s v="002"/>
    <x v="4"/>
    <s v="001"/>
    <x v="7"/>
    <s v="GA"/>
    <x v="18"/>
    <n v="521111"/>
    <x v="11"/>
    <n v="107622000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BELANJA BAHAN"/>
    <s v="Belanja Barang Operasional"/>
  </r>
  <r>
    <s v="032"/>
    <s v="12"/>
    <s v="WA"/>
    <x v="1"/>
    <s v="2378"/>
    <x v="1"/>
    <s v="EBA"/>
    <s v="2378.EBA. Layanan Dukungan Manajemen Internal"/>
    <s v="002"/>
    <x v="4"/>
    <s v="001"/>
    <x v="7"/>
    <s v="GA"/>
    <x v="18"/>
    <n v="521811"/>
    <x v="4"/>
    <n v="17816000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BELANJA PERSEDIAAN"/>
    <s v="Belanja Barang Operasional"/>
  </r>
  <r>
    <s v="032"/>
    <s v="12"/>
    <s v="WA"/>
    <x v="1"/>
    <s v="2378"/>
    <x v="1"/>
    <s v="EAC"/>
    <s v="2378.EBA. Layanan Dukungan Manajemen Internal"/>
    <s v="002"/>
    <x v="4"/>
    <s v="001"/>
    <x v="7"/>
    <s v="GB"/>
    <x v="19"/>
    <n v="521114"/>
    <x v="12"/>
    <n v="30000000"/>
    <n v="0"/>
    <n v="0"/>
    <n v="354050"/>
    <n v="603000"/>
    <n v="1329000"/>
    <n v="0"/>
    <n v="0"/>
    <n v="0"/>
    <n v="0"/>
    <n v="0"/>
    <n v="0"/>
    <n v="0"/>
    <x v="0"/>
    <x v="2"/>
    <x v="4"/>
    <s v="52"/>
    <s v="SEKRETARIAT BADAN RISET DAN SUMBERDAYA MANUSIA KELAUTAN DAN PERIKANAN"/>
    <n v="2286050"/>
    <n v="7.620166666666667"/>
    <n v="27713950"/>
    <n v="92.379833333333337"/>
    <s v="WA.2378.EBA.994.002.GB.521114"/>
    <s v="Non COVID"/>
    <s v="BELANJA PENGIRIMAN"/>
    <s v="Belanja Barang Operasional"/>
  </r>
  <r>
    <s v="032"/>
    <s v="12"/>
    <s v="WA"/>
    <x v="1"/>
    <s v="2378"/>
    <x v="1"/>
    <s v="EAC"/>
    <s v="2378.EBA. Layanan Dukungan Manajemen Internal"/>
    <s v="002"/>
    <x v="4"/>
    <s v="001"/>
    <x v="7"/>
    <s v="GB"/>
    <x v="19"/>
    <n v="522141"/>
    <x v="8"/>
    <n v="11885200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AC"/>
    <s v="2378.EBA. Layanan Dukungan Manajemen Internal"/>
    <s v="002"/>
    <x v="4"/>
    <s v="001"/>
    <x v="7"/>
    <s v="GC"/>
    <x v="20"/>
    <n v="523121"/>
    <x v="13"/>
    <n v="49705000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AC"/>
    <s v="2378.EBA. Layanan Dukungan Manajemen Internal"/>
    <s v="002"/>
    <x v="4"/>
    <s v="001"/>
    <x v="7"/>
    <s v="GC"/>
    <x v="20"/>
    <n v="523199"/>
    <x v="14"/>
    <n v="3600000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AC"/>
    <s v="2378.EBA. Layanan Dukungan Manajemen Internal"/>
    <s v="002"/>
    <x v="4"/>
    <s v="001"/>
    <x v="7"/>
    <s v="GD"/>
    <x v="21"/>
    <n v="521111"/>
    <x v="11"/>
    <n v="101040000"/>
    <n v="0"/>
    <n v="0"/>
    <n v="0"/>
    <n v="0"/>
    <n v="44410000"/>
    <n v="0"/>
    <n v="0"/>
    <n v="0"/>
    <n v="0"/>
    <n v="0"/>
    <n v="0"/>
    <n v="0"/>
    <x v="0"/>
    <x v="2"/>
    <x v="4"/>
    <s v="52"/>
    <s v="SEKRETARIAT BADAN RISET DAN SUMBERDAYA MANUSIA KELAUTAN DAN PERIKANAN"/>
    <n v="44410000"/>
    <n v="43.952889944576405"/>
    <n v="56630000"/>
    <n v="56.047110055423602"/>
    <s v="WA.2378.EBA.994.002.GD.521111"/>
    <s v="Non COVID"/>
    <s v="PERJALANAN DINAS"/>
    <s v="Belanja Barang Operasional"/>
  </r>
  <r>
    <s v="032"/>
    <s v="12"/>
    <s v="WA"/>
    <x v="1"/>
    <s v="2378"/>
    <x v="1"/>
    <s v="EAC"/>
    <s v="2378.EBA. Layanan Dukungan Manajemen Internal"/>
    <s v="002"/>
    <x v="4"/>
    <s v="001"/>
    <x v="7"/>
    <s v="GD"/>
    <x v="21"/>
    <n v="521115"/>
    <x v="15"/>
    <n v="58336000"/>
    <n v="0"/>
    <n v="0"/>
    <n v="9456000"/>
    <n v="0"/>
    <n v="4728000"/>
    <n v="0"/>
    <n v="0"/>
    <n v="0"/>
    <n v="0"/>
    <n v="0"/>
    <n v="0"/>
    <n v="0"/>
    <x v="0"/>
    <x v="2"/>
    <x v="4"/>
    <s v="52"/>
    <s v="SEKRETARIAT BADAN RISET DAN SUMBERDAYA MANUSIA KELAUTAN DAN PERIKANAN"/>
    <n v="14184000"/>
    <n v="24.314317059791552"/>
    <n v="44152000"/>
    <n v="75.685682940208437"/>
    <s v="WA.2378.EBA.994.002.GD.521115"/>
    <s v="Non COVID"/>
    <s v="BELANJA HONOR"/>
    <s v="Belanja Barang Operasional"/>
  </r>
  <r>
    <s v="032"/>
    <s v="12"/>
    <s v="WA"/>
    <x v="1"/>
    <s v="2378"/>
    <x v="1"/>
    <s v="EAC"/>
    <s v="2378.EBA. Layanan Dukungan Manajemen Internal"/>
    <s v="002"/>
    <x v="4"/>
    <s v="001"/>
    <x v="7"/>
    <s v="GE"/>
    <x v="22"/>
    <n v="521111"/>
    <x v="11"/>
    <n v="45000000"/>
    <n v="0"/>
    <n v="0"/>
    <n v="0"/>
    <n v="0"/>
    <n v="0"/>
    <n v="0"/>
    <n v="0"/>
    <n v="0"/>
    <n v="0"/>
    <n v="0"/>
    <n v="0"/>
    <n v="0"/>
    <x v="0"/>
    <x v="2"/>
    <x v="4"/>
    <s v="52"/>
    <s v="SEKRETARIAT BADAN RISET DAN SUMBERDAYA MANUSIA KELAUTAN DAN PERIKANAN"/>
    <n v="0"/>
    <n v="0"/>
    <n v="45000000"/>
    <n v="100"/>
    <s v="WA.2378.EBA.994.002.GD.521111"/>
    <s v="Non COVID"/>
    <s v="BELANJA PERKANTORAN"/>
    <s v="Belanja Barang Operasional"/>
  </r>
  <r>
    <s v="032"/>
    <s v="12"/>
    <s v="WA"/>
    <x v="1"/>
    <s v="2378"/>
    <x v="1"/>
    <s v="EAC"/>
    <s v="2378.EBA. Layanan Dukungan Manajemen Internal"/>
    <s v="002"/>
    <x v="4"/>
    <s v="001"/>
    <x v="7"/>
    <s v="GE"/>
    <x v="22"/>
    <n v="521811"/>
    <x v="4"/>
    <n v="26000000"/>
    <n v="0"/>
    <n v="0"/>
    <n v="0"/>
    <n v="0"/>
    <n v="0"/>
    <n v="0"/>
    <n v="0"/>
    <n v="0"/>
    <n v="0"/>
    <n v="0"/>
    <n v="0"/>
    <n v="0"/>
    <x v="0"/>
    <x v="2"/>
    <x v="4"/>
    <s v="52"/>
    <s v="SEKRETARIAT BADAN RISET DAN SUMBERDAYA MANUSIA KELAUTAN DAN PERIKANAN"/>
    <n v="0"/>
    <n v="0"/>
    <n v="26000000"/>
    <n v="100"/>
    <s v="WA.2378.EBA.994.002.GD.521811"/>
    <s v="Non COVID"/>
    <s v="BELANJA PERSEDIAAN"/>
    <s v="Belanja Barang Operasional"/>
  </r>
  <r>
    <s v="032"/>
    <s v="12"/>
    <s v="WA"/>
    <x v="1"/>
    <s v="2378"/>
    <x v="1"/>
    <s v="EAC"/>
    <s v="2378.EBA. Layanan Dukungan Manajemen Internal"/>
    <s v="002"/>
    <x v="4"/>
    <s v="001"/>
    <x v="7"/>
    <s v="GE"/>
    <x v="22"/>
    <n v="523121"/>
    <x v="13"/>
    <n v="29000000"/>
    <n v="0"/>
    <n v="0"/>
    <n v="0"/>
    <n v="0"/>
    <n v="0"/>
    <n v="0"/>
    <n v="0"/>
    <n v="0"/>
    <n v="0"/>
    <n v="0"/>
    <n v="0"/>
    <n v="0"/>
    <x v="0"/>
    <x v="2"/>
    <x v="4"/>
    <s v="52"/>
    <s v="SEKRETARIAT BADAN RISET DAN SUMBERDAYA MANUSIA KELAUTAN DAN PERIKANAN"/>
    <n v="0"/>
    <n v="0"/>
    <n v="29000000"/>
    <n v="100"/>
    <s v="WA.2378.EBA.994.002.GD.523121"/>
    <s v="Non COVID"/>
    <s v="BELANJA PEMELIHARAAN"/>
    <s v="Belanja Barang Operasional"/>
  </r>
  <r>
    <s v="032"/>
    <s v="12"/>
    <s v="WA"/>
    <x v="1"/>
    <s v="2378"/>
    <x v="1"/>
    <s v="EBB"/>
    <s v="2378.EBB. Layanan Sarana dan Prasarana Internal"/>
    <n v="951"/>
    <x v="5"/>
    <n v="301"/>
    <x v="8"/>
    <s v="A"/>
    <x v="23"/>
    <n v="532111"/>
    <x v="7"/>
    <n v="540934000"/>
    <n v="0"/>
    <n v="0"/>
    <n v="0"/>
    <n v="0"/>
    <n v="540000000"/>
    <n v="0"/>
    <n v="0"/>
    <n v="0"/>
    <n v="0"/>
    <n v="0"/>
    <n v="0"/>
    <n v="0"/>
    <x v="0"/>
    <x v="2"/>
    <x v="4"/>
    <n v="53"/>
    <s v="SEKRETARIAT BADAN RISET DAN SUMBERDAYA MANUSIA KELAUTAN DAN PERIKANAN"/>
    <n v="540000000"/>
    <n v="99.827335682356804"/>
    <n v="934000"/>
    <n v="0.17266431764318754"/>
    <s v="WA.2378.EBB.951.301.A.532111"/>
    <s v="Non COVID"/>
    <s v="BELANJA MODAL"/>
    <s v="Belanja Barang Non Operasional"/>
  </r>
  <r>
    <s v="032"/>
    <s v="12"/>
    <s v="WA"/>
    <x v="1"/>
    <s v="2378"/>
    <x v="1"/>
    <s v="EBD"/>
    <s v="2378.EBD. Layanan Manajemen Kinerja Internal"/>
    <n v="952"/>
    <x v="6"/>
    <n v="301"/>
    <x v="9"/>
    <s v="A"/>
    <x v="24"/>
    <n v="521211"/>
    <x v="0"/>
    <n v="22650000"/>
    <n v="0"/>
    <n v="0"/>
    <n v="1498000"/>
    <n v="0"/>
    <n v="1493000"/>
    <n v="0"/>
    <n v="0"/>
    <n v="0"/>
    <n v="0"/>
    <n v="0"/>
    <n v="0"/>
    <n v="0"/>
    <x v="0"/>
    <x v="3"/>
    <x v="5"/>
    <s v="52"/>
    <s v="SEKRETARIAT BADAN RISET DAN SUMBERDAYA MANUSIA KELAUTAN DAN PERIKANAN"/>
    <n v="2991000"/>
    <n v="13.205298013245034"/>
    <n v="19659000"/>
    <n v="86.794701986754959"/>
    <s v="WA.2378.EBD.952.301.A.521211"/>
    <s v="Non COVID"/>
    <s v="BELANJA BAHAN"/>
    <s v="Belanja Barang Non Operasional"/>
  </r>
  <r>
    <s v="032"/>
    <s v="12"/>
    <s v="WA"/>
    <x v="1"/>
    <s v="2378"/>
    <x v="1"/>
    <s v="EBD"/>
    <s v="2378.EBD. Layanan Manajemen Kinerja Internal"/>
    <n v="952"/>
    <x v="6"/>
    <n v="301"/>
    <x v="9"/>
    <s v="A"/>
    <x v="24"/>
    <n v="521219"/>
    <x v="3"/>
    <n v="100000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5000000"/>
    <n v="0"/>
    <n v="0"/>
    <n v="2459000"/>
    <n v="0"/>
    <n v="2390000"/>
    <n v="0"/>
    <n v="0"/>
    <n v="0"/>
    <n v="0"/>
    <n v="0"/>
    <n v="0"/>
    <n v="0"/>
    <x v="0"/>
    <x v="3"/>
    <x v="5"/>
    <s v="52"/>
    <s v="SEKRETARIAT BADAN RISET DAN SUMBERDAYA MANUSIA KELAUTAN DAN PERIKANAN"/>
    <n v="4849000"/>
    <n v="32.326666666666668"/>
    <n v="10151000"/>
    <n v="67.673333333333332"/>
    <s v="WA.2378.EBD.952.301.A.521811"/>
    <s v="Non COVID"/>
    <s v="BELANJA PERSEDIAAN"/>
    <s v="Belanja Barang Non Operasional"/>
  </r>
  <r>
    <s v="032"/>
    <s v="12"/>
    <s v="WA"/>
    <x v="1"/>
    <s v="2378"/>
    <x v="1"/>
    <s v="EBD"/>
    <s v="2378.EBD. Layanan Manajemen Kinerja Internal"/>
    <n v="952"/>
    <x v="6"/>
    <n v="301"/>
    <x v="9"/>
    <s v="A"/>
    <x v="24"/>
    <n v="524111"/>
    <x v="2"/>
    <n v="62400000"/>
    <n v="0"/>
    <n v="1010000"/>
    <n v="2805000"/>
    <n v="0"/>
    <n v="1348500"/>
    <n v="0"/>
    <n v="0"/>
    <n v="0"/>
    <n v="0"/>
    <n v="0"/>
    <n v="0"/>
    <n v="0"/>
    <x v="0"/>
    <x v="3"/>
    <x v="5"/>
    <s v="52"/>
    <s v="SEKRETARIAT BADAN RISET DAN SUMBERDAYA MANUSIA KELAUTAN DAN PERIKANAN"/>
    <n v="5163500"/>
    <n v="8.2748397435897427"/>
    <n v="57236500"/>
    <n v="91.725160256410248"/>
    <s v="WA.2378.EBD.952.301.A.524111"/>
    <s v="Non COVID"/>
    <s v="PERJALANAN DINAS"/>
    <s v="Belanja Barang Non Operasional"/>
  </r>
  <r>
    <s v="032"/>
    <s v="12"/>
    <s v="WA"/>
    <x v="1"/>
    <s v="2378"/>
    <x v="1"/>
    <s v="EBD"/>
    <s v="2378.EBD. Layanan Manajemen Kinerja Internal"/>
    <n v="952"/>
    <x v="6"/>
    <n v="301"/>
    <x v="9"/>
    <s v="B"/>
    <x v="25"/>
    <n v="521211"/>
    <x v="0"/>
    <n v="49300000"/>
    <n v="0"/>
    <n v="0"/>
    <n v="2964000"/>
    <n v="0"/>
    <n v="2975000"/>
    <n v="0"/>
    <n v="0"/>
    <n v="0"/>
    <n v="0"/>
    <n v="0"/>
    <n v="0"/>
    <n v="0"/>
    <x v="0"/>
    <x v="3"/>
    <x v="5"/>
    <s v="52"/>
    <s v="SEKRETARIAT BADAN RISET DAN SUMBERDAYA MANUSIA KELAUTAN DAN PERIKANAN"/>
    <n v="5939000"/>
    <n v="12.046653144016227"/>
    <n v="43361000"/>
    <n v="87.953346855983767"/>
    <s v="WA.2378.EBD.952.301.B.521211"/>
    <s v="Non COVID"/>
    <s v="BELANJA BAHAN"/>
    <s v="Belanja Barang Non Operasional"/>
  </r>
  <r>
    <s v="032"/>
    <s v="12"/>
    <s v="WA"/>
    <x v="1"/>
    <s v="2378"/>
    <x v="1"/>
    <s v="EBD"/>
    <s v="2378.EBD. Layanan Manajemen Kinerja Internal"/>
    <n v="952"/>
    <x v="6"/>
    <n v="301"/>
    <x v="9"/>
    <s v="B"/>
    <x v="25"/>
    <n v="521219"/>
    <x v="3"/>
    <n v="100000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n v="25000000"/>
    <n v="0"/>
    <n v="0"/>
    <n v="4910000"/>
    <n v="0"/>
    <n v="4873000"/>
    <n v="0"/>
    <n v="0"/>
    <n v="0"/>
    <n v="0"/>
    <n v="0"/>
    <n v="0"/>
    <n v="0"/>
    <x v="0"/>
    <x v="3"/>
    <x v="5"/>
    <s v="52"/>
    <s v="SEKRETARIAT BADAN RISET DAN SUMBERDAYA MANUSIA KELAUTAN DAN PERIKANAN"/>
    <n v="9783000"/>
    <n v="39.131999999999998"/>
    <n v="15217000"/>
    <n v="60.868000000000002"/>
    <s v="WA.2378.EBD.952.301.B.521811"/>
    <s v="Non COVID"/>
    <s v="BELANJA PERSEDIAAN"/>
    <s v="Belanja Barang Non Operasional"/>
  </r>
  <r>
    <s v="032"/>
    <s v="12"/>
    <s v="WA"/>
    <x v="1"/>
    <s v="2378"/>
    <x v="1"/>
    <s v="EBD"/>
    <s v="2378.EBD. Layanan Manajemen Kinerja Internal"/>
    <n v="952"/>
    <x v="6"/>
    <n v="301"/>
    <x v="9"/>
    <s v="B"/>
    <x v="25"/>
    <n v="522151"/>
    <x v="1"/>
    <n v="12000000"/>
    <n v="0"/>
    <n v="0"/>
    <n v="0"/>
    <n v="0"/>
    <n v="0"/>
    <n v="0"/>
    <n v="0"/>
    <n v="0"/>
    <n v="0"/>
    <n v="0"/>
    <n v="0"/>
    <n v="0"/>
    <x v="0"/>
    <x v="3"/>
    <x v="5"/>
    <s v="52"/>
    <s v="SEKRETARIAT BADAN RISET DAN SUMBERDAYA MANUSIA KELAUTAN DAN PERIKANAN"/>
    <n v="0"/>
    <n v="0"/>
    <n v="12000000"/>
    <n v="100"/>
    <s v="WA.2378.EBD.952.301.B.522151"/>
    <s v="Non COVID"/>
    <s v="BELANJA JASA"/>
    <s v="Belanja Barang Non Operasional"/>
  </r>
  <r>
    <s v="032"/>
    <s v="12"/>
    <s v="WA"/>
    <x v="1"/>
    <s v="2378"/>
    <x v="1"/>
    <s v="EBD"/>
    <s v="2378.EBD. Layanan Manajemen Kinerja Internal"/>
    <n v="952"/>
    <x v="6"/>
    <n v="301"/>
    <x v="9"/>
    <s v="B"/>
    <x v="25"/>
    <n v="524111"/>
    <x v="2"/>
    <n v="258688000"/>
    <n v="0"/>
    <n v="0"/>
    <n v="0"/>
    <n v="205000"/>
    <n v="4224000"/>
    <n v="0"/>
    <n v="0"/>
    <n v="0"/>
    <n v="0"/>
    <n v="0"/>
    <n v="0"/>
    <n v="0"/>
    <x v="0"/>
    <x v="3"/>
    <x v="5"/>
    <s v="52"/>
    <s v="SEKRETARIAT BADAN RISET DAN SUMBERDAYA MANUSIA KELAUTAN DAN PERIKANAN"/>
    <n v="4429000"/>
    <n v="1.7121010638297871"/>
    <n v="254259000"/>
    <n v="98.287898936170208"/>
    <s v="WA.2378.EBD.952.301.B.524111"/>
    <s v="Non COVID"/>
    <s v="PERJALANAN DINAS"/>
    <s v="Belanja Barang Non Operasional"/>
  </r>
  <r>
    <s v="032"/>
    <s v="12"/>
    <s v="WA"/>
    <x v="1"/>
    <s v="2378"/>
    <x v="1"/>
    <s v="EBD"/>
    <s v="2378.EBD. Layanan Manajemen Kinerja Internal"/>
    <n v="952"/>
    <x v="6"/>
    <n v="301"/>
    <x v="9"/>
    <s v="C"/>
    <x v="26"/>
    <n v="521211"/>
    <x v="0"/>
    <n v="39500000"/>
    <n v="0"/>
    <n v="0"/>
    <n v="2955000"/>
    <n v="0"/>
    <n v="2933500"/>
    <n v="10500000"/>
    <n v="0"/>
    <n v="0"/>
    <n v="0"/>
    <n v="0"/>
    <n v="0"/>
    <n v="0"/>
    <x v="0"/>
    <x v="3"/>
    <x v="5"/>
    <s v="52"/>
    <s v="SEKRETARIAT BADAN RISET DAN SUMBERDAYA MANUSIA KELAUTAN DAN PERIKANAN"/>
    <n v="16388500"/>
    <n v="41.489873417721519"/>
    <n v="23111500"/>
    <n v="58.510126582278474"/>
    <s v="WA.2378.EBD.952.301.C.521211"/>
    <s v="Non COVID"/>
    <s v="BELANJA BAHAN"/>
    <s v="Belanja Barang Non Operasional"/>
  </r>
  <r>
    <s v="032"/>
    <s v="12"/>
    <s v="WA"/>
    <x v="1"/>
    <s v="2378"/>
    <x v="1"/>
    <s v="EBD"/>
    <s v="2378.EBD. Layanan Manajemen Kinerja Internal"/>
    <n v="952"/>
    <x v="6"/>
    <n v="301"/>
    <x v="9"/>
    <s v="C"/>
    <x v="26"/>
    <n v="521811"/>
    <x v="4"/>
    <n v="25000000"/>
    <n v="0"/>
    <n v="0"/>
    <n v="4947750"/>
    <n v="0"/>
    <n v="4878000"/>
    <n v="0"/>
    <n v="0"/>
    <n v="0"/>
    <n v="0"/>
    <n v="0"/>
    <n v="0"/>
    <n v="0"/>
    <x v="0"/>
    <x v="3"/>
    <x v="5"/>
    <s v="52"/>
    <s v="SEKRETARIAT BADAN RISET DAN SUMBERDAYA MANUSIA KELAUTAN DAN PERIKANAN"/>
    <n v="9825750"/>
    <n v="39.302999999999997"/>
    <n v="15174250"/>
    <n v="60.697000000000003"/>
    <s v="WA.2378.EBD.952.301.C.521811"/>
    <s v="Non COVID"/>
    <s v="BELANJA PERSEDIAAN"/>
    <s v="Belanja Barang Non Operasional"/>
  </r>
  <r>
    <s v="032"/>
    <s v="12"/>
    <s v="WA"/>
    <x v="1"/>
    <s v="2378"/>
    <x v="1"/>
    <s v="EBD"/>
    <s v="2378.EBD. Layanan Manajemen Kinerja Internal"/>
    <n v="952"/>
    <x v="6"/>
    <n v="301"/>
    <x v="9"/>
    <s v="C"/>
    <x v="26"/>
    <n v="522151"/>
    <x v="1"/>
    <n v="10000000"/>
    <n v="0"/>
    <n v="0"/>
    <n v="0"/>
    <n v="0"/>
    <n v="0"/>
    <n v="0"/>
    <n v="0"/>
    <n v="0"/>
    <n v="0"/>
    <n v="0"/>
    <n v="0"/>
    <n v="0"/>
    <x v="0"/>
    <x v="3"/>
    <x v="5"/>
    <s v="52"/>
    <s v="SEKRETARIAT BADAN RISET DAN SUMBERDAYA MANUSIA KELAUTAN DAN PERIKANAN"/>
    <n v="0"/>
    <n v="0"/>
    <n v="10000000"/>
    <n v="100"/>
    <s v="WA.2378.EBD.952.301.C.522151"/>
    <s v="Non COVID"/>
    <s v="BELANJA JASA"/>
    <s v="Belanja Barang Non Operasional"/>
  </r>
  <r>
    <s v="032"/>
    <s v="12"/>
    <s v="WA"/>
    <x v="1"/>
    <s v="2378"/>
    <x v="1"/>
    <s v="EBD"/>
    <s v="2378.EBD. Layanan Manajemen Kinerja Internal"/>
    <n v="952"/>
    <x v="6"/>
    <n v="301"/>
    <x v="9"/>
    <s v="C"/>
    <x v="26"/>
    <n v="524111"/>
    <x v="2"/>
    <n v="93600000"/>
    <n v="0"/>
    <n v="9587800"/>
    <n v="22390000"/>
    <n v="6330000"/>
    <n v="3600000"/>
    <n v="0"/>
    <n v="0"/>
    <n v="0"/>
    <n v="0"/>
    <n v="0"/>
    <n v="0"/>
    <n v="0"/>
    <x v="0"/>
    <x v="3"/>
    <x v="5"/>
    <s v="52"/>
    <s v="SEKRETARIAT BADAN RISET DAN SUMBERDAYA MANUSIA KELAUTAN DAN PERIKANAN"/>
    <n v="41907800"/>
    <n v="44.7732905982906"/>
    <n v="51692200"/>
    <n v="55.226709401709407"/>
    <s v="WA.2378.EBD.952.301.C.524111"/>
    <s v="Non COVID"/>
    <s v="PERJALANAN DINAS"/>
    <s v="Belanja Barang Non Operasional"/>
  </r>
  <r>
    <s v="032"/>
    <s v="12"/>
    <s v="WA"/>
    <x v="1"/>
    <s v="2378"/>
    <x v="1"/>
    <s v="EBD"/>
    <s v="2378.EBD. Layanan Manajemen Kinerja Internal"/>
    <n v="953"/>
    <x v="7"/>
    <n v="301"/>
    <x v="10"/>
    <s v="A"/>
    <x v="27"/>
    <n v="521211"/>
    <x v="0"/>
    <n v="46000000"/>
    <n v="0"/>
    <n v="0"/>
    <n v="0"/>
    <n v="0"/>
    <n v="6278500"/>
    <n v="0"/>
    <n v="0"/>
    <n v="0"/>
    <n v="0"/>
    <n v="0"/>
    <n v="0"/>
    <n v="0"/>
    <x v="0"/>
    <x v="3"/>
    <x v="6"/>
    <s v="52"/>
    <s v="SEKRETARIAT BADAN RISET DAN SUMBERDAYA MANUSIA KELAUTAN DAN PERIKANAN"/>
    <n v="6278500"/>
    <n v="13.648913043478261"/>
    <n v="39721500"/>
    <n v="86.35108695652174"/>
    <s v="WA.2378.EBD.953.301.A.521211"/>
    <s v="Non COVID"/>
    <s v="BELANJA BAHAN"/>
    <s v="Belanja Barang Non Operasional"/>
  </r>
  <r>
    <s v="032"/>
    <s v="12"/>
    <s v="WA"/>
    <x v="1"/>
    <s v="2378"/>
    <x v="1"/>
    <s v="EBD"/>
    <s v="2378.EBD. Layanan Manajemen Kinerja Internal"/>
    <n v="953"/>
    <x v="7"/>
    <n v="301"/>
    <x v="10"/>
    <s v="A"/>
    <x v="27"/>
    <n v="521219"/>
    <x v="3"/>
    <n v="200000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247200000"/>
    <n v="0"/>
    <n v="0"/>
    <n v="0"/>
    <n v="0"/>
    <n v="0"/>
    <n v="0"/>
    <n v="0"/>
    <n v="0"/>
    <n v="0"/>
    <n v="0"/>
    <n v="0"/>
    <n v="0"/>
    <x v="0"/>
    <x v="3"/>
    <x v="6"/>
    <s v="52"/>
    <s v="SEKRETARIAT BADAN RISET DAN SUMBERDAYA MANUSIA KELAUTAN DAN PERIKANAN"/>
    <n v="0"/>
    <n v="0"/>
    <n v="247200000"/>
    <n v="100"/>
    <s v="WA.2378.EBD.953.301.A.524111"/>
    <s v="Non COVID"/>
    <s v="PERJALANAN DINAS"/>
    <s v="Belanja Barang Non Operasional"/>
  </r>
  <r>
    <s v="032"/>
    <s v="12"/>
    <s v="WA"/>
    <x v="1"/>
    <s v="2378"/>
    <x v="1"/>
    <s v="EBD"/>
    <s v="2378.EBD. Layanan Manajemen Kinerja Internal"/>
    <n v="953"/>
    <x v="7"/>
    <n v="301"/>
    <x v="10"/>
    <s v="B"/>
    <x v="28"/>
    <n v="521211"/>
    <x v="0"/>
    <n v="41000000"/>
    <n v="0"/>
    <n v="0"/>
    <n v="3379000"/>
    <n v="0"/>
    <n v="3500000"/>
    <n v="2640000"/>
    <n v="0"/>
    <n v="0"/>
    <n v="0"/>
    <n v="0"/>
    <n v="0"/>
    <n v="0"/>
    <x v="0"/>
    <x v="3"/>
    <x v="6"/>
    <s v="52"/>
    <s v="SEKRETARIAT BADAN RISET DAN SUMBERDAYA MANUSIA KELAUTAN DAN PERIKANAN"/>
    <n v="9519000"/>
    <n v="23.217073170731709"/>
    <n v="31481000"/>
    <n v="76.782926829268291"/>
    <s v="WA.2378.EBD.953.301.B.521211"/>
    <s v="Non COVID"/>
    <s v="BELANJA BAHAN"/>
    <s v="Belanja Barang Non Operasional"/>
  </r>
  <r>
    <s v="032"/>
    <s v="12"/>
    <s v="WA"/>
    <x v="1"/>
    <s v="2378"/>
    <x v="1"/>
    <s v="EBD"/>
    <s v="2378.EBD. Layanan Manajemen Kinerja Internal"/>
    <n v="953"/>
    <x v="7"/>
    <n v="301"/>
    <x v="10"/>
    <s v="B"/>
    <x v="28"/>
    <n v="521219"/>
    <x v="3"/>
    <n v="32000000"/>
    <n v="0"/>
    <n v="0"/>
    <n v="0"/>
    <n v="0"/>
    <n v="603014"/>
    <n v="0"/>
    <n v="0"/>
    <n v="0"/>
    <n v="0"/>
    <n v="0"/>
    <n v="0"/>
    <n v="0"/>
    <x v="0"/>
    <x v="3"/>
    <x v="6"/>
    <s v="52"/>
    <s v="SEKRETARIAT BADAN RISET DAN SUMBERDAYA MANUSIA KELAUTAN DAN PERIKANAN"/>
    <n v="603014"/>
    <n v="1.8844187500000003"/>
    <n v="31396986"/>
    <n v="98.115581249999991"/>
    <s v="WA.2378.EBD.953.301.B.521219"/>
    <s v="Non COVID"/>
    <s v="NON OPS LAINNYA"/>
    <s v="Belanja Barang Non Operasional"/>
  </r>
  <r>
    <s v="032"/>
    <s v="12"/>
    <s v="WA"/>
    <x v="1"/>
    <s v="2378"/>
    <x v="1"/>
    <s v="EBD"/>
    <s v="2378.EBD. Layanan Manajemen Kinerja Internal"/>
    <n v="953"/>
    <x v="7"/>
    <n v="301"/>
    <x v="10"/>
    <s v="B"/>
    <x v="28"/>
    <n v="522151"/>
    <x v="1"/>
    <n v="10000000"/>
    <n v="0"/>
    <n v="0"/>
    <n v="0"/>
    <n v="0"/>
    <n v="0"/>
    <n v="0"/>
    <n v="0"/>
    <n v="0"/>
    <n v="0"/>
    <n v="0"/>
    <n v="0"/>
    <n v="0"/>
    <x v="0"/>
    <x v="3"/>
    <x v="6"/>
    <s v="52"/>
    <s v="SEKRETARIAT BADAN RISET DAN SUMBERDAYA MANUSIA KELAUTAN DAN PERIKANAN"/>
    <n v="0"/>
    <n v="0"/>
    <n v="10000000"/>
    <n v="100"/>
    <s v="WA.2378.EBD.953.301.B.522151"/>
    <s v="Non COVID"/>
    <s v="BELANJA JASA"/>
    <s v="Belanja Barang Non Operasional"/>
  </r>
  <r>
    <s v="032"/>
    <s v="12"/>
    <s v="WA"/>
    <x v="1"/>
    <s v="2378"/>
    <x v="1"/>
    <s v="EBD"/>
    <s v="2378.EBD. Layanan Manajemen Kinerja Internal"/>
    <n v="953"/>
    <x v="7"/>
    <n v="301"/>
    <x v="10"/>
    <s v="B"/>
    <x v="28"/>
    <n v="524111"/>
    <x v="2"/>
    <n v="120000000"/>
    <n v="0"/>
    <n v="0"/>
    <n v="0"/>
    <n v="524500"/>
    <n v="21422224"/>
    <n v="0"/>
    <n v="0"/>
    <n v="0"/>
    <n v="0"/>
    <n v="0"/>
    <n v="0"/>
    <n v="0"/>
    <x v="0"/>
    <x v="3"/>
    <x v="6"/>
    <s v="52"/>
    <s v="SEKRETARIAT BADAN RISET DAN SUMBERDAYA MANUSIA KELAUTAN DAN PERIKANAN"/>
    <n v="21946724"/>
    <n v="18.288936666666665"/>
    <n v="98053276"/>
    <n v="81.711063333333328"/>
    <s v="WA.2378.EBD.953.301.B.524111"/>
    <s v="Non COVID"/>
    <s v="PERJALANAN DINAS"/>
    <s v="Belanja Barang Non Operasional"/>
  </r>
  <r>
    <s v="032"/>
    <s v="12"/>
    <s v="WA"/>
    <x v="1"/>
    <s v="2378"/>
    <x v="1"/>
    <s v="EBD"/>
    <s v="2378.EBD. Layanan Manajemen Kinerja Internal"/>
    <n v="953"/>
    <x v="7"/>
    <n v="301"/>
    <x v="10"/>
    <s v="B"/>
    <x v="28"/>
    <n v="524113"/>
    <x v="6"/>
    <n v="9000000"/>
    <n v="0"/>
    <n v="0"/>
    <n v="0"/>
    <n v="0"/>
    <n v="0"/>
    <n v="38467531"/>
    <n v="0"/>
    <n v="0"/>
    <n v="0"/>
    <n v="0"/>
    <n v="0"/>
    <n v="0"/>
    <x v="0"/>
    <x v="3"/>
    <x v="6"/>
    <s v="52"/>
    <s v="SEKRETARIAT BADAN RISET DAN SUMBERDAYA MANUSIA KELAUTAN DAN PERIKANAN"/>
    <n v="38467531"/>
    <n v="427.41701111111115"/>
    <n v="-29467531"/>
    <n v="-327.41701111111115"/>
    <s v="WA.2378.EBD.953.301.B.524113"/>
    <s v="Non COVID"/>
    <s v="TRANSPORT LOKAL"/>
    <s v="Belanja Barang Non Operasional"/>
  </r>
  <r>
    <s v="032"/>
    <s v="12"/>
    <s v="WA"/>
    <x v="1"/>
    <s v="2378"/>
    <x v="1"/>
    <s v="EBD"/>
    <s v="2378.EBD. Layanan Manajemen Kinerja Internal"/>
    <n v="953"/>
    <x v="7"/>
    <n v="302"/>
    <x v="11"/>
    <s v="A"/>
    <x v="29"/>
    <n v="521211"/>
    <x v="0"/>
    <n v="35500000"/>
    <n v="0"/>
    <n v="0"/>
    <n v="3358000"/>
    <n v="0"/>
    <n v="4986000"/>
    <n v="0"/>
    <n v="0"/>
    <n v="0"/>
    <n v="0"/>
    <n v="0"/>
    <n v="0"/>
    <n v="0"/>
    <x v="0"/>
    <x v="3"/>
    <x v="6"/>
    <s v="52"/>
    <s v="SEKRETARIAT BADAN RISET DAN SUMBERDAYA MANUSIA KELAUTAN DAN PERIKANAN"/>
    <n v="8344000"/>
    <n v="23.504225352112677"/>
    <n v="27156000"/>
    <n v="76.49577464788733"/>
    <s v="WA.2378.EBD.953.302.B.521211"/>
    <s v="Non COVID"/>
    <s v="BELANJA BAHAN"/>
    <s v="Belanja Barang Non Operasional"/>
  </r>
  <r>
    <s v="032"/>
    <s v="12"/>
    <s v="WA"/>
    <x v="1"/>
    <s v="2378"/>
    <x v="1"/>
    <s v="EBD"/>
    <s v="2378.EBD. Layanan Manajemen Kinerja Internal"/>
    <n v="953"/>
    <x v="7"/>
    <n v="302"/>
    <x v="11"/>
    <s v="A"/>
    <x v="29"/>
    <n v="521219"/>
    <x v="3"/>
    <n v="2000000"/>
    <n v="0"/>
    <n v="0"/>
    <n v="0"/>
    <n v="0"/>
    <n v="0"/>
    <n v="0"/>
    <n v="0"/>
    <n v="0"/>
    <n v="0"/>
    <n v="0"/>
    <n v="0"/>
    <n v="0"/>
    <x v="0"/>
    <x v="3"/>
    <x v="6"/>
    <s v="52"/>
    <s v="SEKRETARIAT BADAN RISET DAN SUMBERDAYA MANUSIA KELAUTAN DAN PERIKANAN"/>
    <n v="0"/>
    <n v="0"/>
    <n v="2000000"/>
    <n v="100"/>
    <s v="WA.2378.EBD.953.302.B.521219"/>
    <s v="Non COVID"/>
    <s v="NON OPS LAINNYA"/>
    <s v="Belanja Barang Non Operasional"/>
  </r>
  <r>
    <s v="032"/>
    <s v="12"/>
    <s v="WA"/>
    <x v="1"/>
    <s v="2378"/>
    <x v="1"/>
    <s v="EBD"/>
    <s v="2378.EBD. Layanan Manajemen Kinerja Internal"/>
    <n v="953"/>
    <x v="7"/>
    <n v="302"/>
    <x v="11"/>
    <s v="A"/>
    <x v="29"/>
    <n v="524111"/>
    <x v="2"/>
    <n v="89032000"/>
    <n v="0"/>
    <n v="0"/>
    <n v="2490000"/>
    <n v="15530000"/>
    <n v="0"/>
    <n v="2118000"/>
    <n v="0"/>
    <n v="0"/>
    <n v="0"/>
    <n v="0"/>
    <n v="0"/>
    <n v="0"/>
    <x v="0"/>
    <x v="3"/>
    <x v="6"/>
    <s v="52"/>
    <s v="SEKRETARIAT BADAN RISET DAN SUMBERDAYA MANUSIA KELAUTAN DAN PERIKANAN"/>
    <n v="20138000"/>
    <n v="22.618833677778778"/>
    <n v="68894000"/>
    <n v="77.381166322221233"/>
    <s v="WA.2378.EBD.953.302.B.524111"/>
    <s v="Non COVID"/>
    <s v="PERJALANAN DINAS"/>
    <s v="Belanja Barang Non Operasional"/>
  </r>
  <r>
    <s v="032"/>
    <s v="12"/>
    <s v="WA"/>
    <x v="1"/>
    <s v="2378"/>
    <x v="1"/>
    <s v="EBD"/>
    <s v="2378.EBD. Layanan Manajemen Kinerja Internal"/>
    <n v="955"/>
    <x v="8"/>
    <n v="301"/>
    <x v="12"/>
    <s v="A"/>
    <x v="30"/>
    <n v="521211"/>
    <x v="0"/>
    <n v="23900000"/>
    <n v="0"/>
    <n v="0"/>
    <n v="5725000"/>
    <n v="2446000"/>
    <n v="5660000"/>
    <n v="0"/>
    <n v="0"/>
    <n v="0"/>
    <n v="0"/>
    <n v="0"/>
    <n v="0"/>
    <n v="0"/>
    <x v="0"/>
    <x v="2"/>
    <x v="7"/>
    <s v="52"/>
    <s v="SEKRETARIAT BADAN RISET DAN SUMBERDAYA MANUSIA KELAUTAN DAN PERIKANAN"/>
    <n v="13831000"/>
    <n v="57.870292887029287"/>
    <n v="10069000"/>
    <n v="42.129707112970713"/>
    <s v="WA.2378.EBD.955.301.A.521211"/>
    <s v="Non COVID"/>
    <s v="BELANJA BAHAN"/>
    <s v="Belanja Barang Non Operasional"/>
  </r>
  <r>
    <s v="032"/>
    <s v="12"/>
    <s v="WA"/>
    <x v="1"/>
    <s v="2378"/>
    <x v="1"/>
    <s v="EBD"/>
    <s v="2378.EBD. Layanan Manajemen Kinerja Internal"/>
    <n v="955"/>
    <x v="8"/>
    <n v="301"/>
    <x v="12"/>
    <s v="A"/>
    <x v="30"/>
    <n v="524111"/>
    <x v="2"/>
    <n v="15000000"/>
    <n v="0"/>
    <n v="0"/>
    <n v="0"/>
    <n v="0"/>
    <n v="8701552"/>
    <n v="0"/>
    <n v="0"/>
    <n v="0"/>
    <n v="0"/>
    <n v="0"/>
    <n v="0"/>
    <n v="0"/>
    <x v="0"/>
    <x v="2"/>
    <x v="7"/>
    <s v="52"/>
    <s v="SEKRETARIAT BADAN RISET DAN SUMBERDAYA MANUSIA KELAUTAN DAN PERIKANAN"/>
    <n v="8701552"/>
    <n v="58.010346666666671"/>
    <n v="6298448"/>
    <n v="41.989653333333329"/>
    <s v="WA.2378.EBD.955.301.A.524111"/>
    <s v="Non COVID"/>
    <s v="PERJALANAN DINAS"/>
    <s v="Belanja Barang Non Operasional"/>
  </r>
  <r>
    <s v="032"/>
    <s v="12"/>
    <s v="WA"/>
    <x v="1"/>
    <s v="2378"/>
    <x v="1"/>
    <s v="EBD"/>
    <s v="2378.EBD. Layanan Manajemen Kinerja Internal"/>
    <n v="955"/>
    <x v="8"/>
    <n v="301"/>
    <x v="12"/>
    <s v="B"/>
    <x v="31"/>
    <n v="521211"/>
    <x v="0"/>
    <n v="11400000"/>
    <n v="0"/>
    <n v="0"/>
    <n v="2500000"/>
    <n v="0"/>
    <n v="2444000"/>
    <n v="0"/>
    <n v="0"/>
    <n v="0"/>
    <n v="0"/>
    <n v="0"/>
    <n v="0"/>
    <n v="0"/>
    <x v="0"/>
    <x v="2"/>
    <x v="7"/>
    <s v="52"/>
    <s v="SEKRETARIAT BADAN RISET DAN SUMBERDAYA MANUSIA KELAUTAN DAN PERIKANAN"/>
    <n v="4944000"/>
    <n v="43.368421052631575"/>
    <n v="6456000"/>
    <n v="56.631578947368425"/>
    <s v="WA.2378.EBD.955.301.B.521211"/>
    <s v="Non COVID"/>
    <s v="BELANJA BAHAN"/>
    <s v="Belanja Barang Non Operasional"/>
  </r>
  <r>
    <s v="032"/>
    <s v="12"/>
    <s v="WA"/>
    <x v="1"/>
    <s v="2378"/>
    <x v="1"/>
    <s v="EBD"/>
    <s v="2378.EBD. Layanan Manajemen Kinerja Internal"/>
    <n v="955"/>
    <x v="8"/>
    <n v="301"/>
    <x v="12"/>
    <s v="B"/>
    <x v="31"/>
    <n v="524111"/>
    <x v="2"/>
    <n v="18000000"/>
    <n v="0"/>
    <n v="0"/>
    <n v="2850000"/>
    <n v="0"/>
    <n v="0"/>
    <n v="0"/>
    <n v="0"/>
    <n v="0"/>
    <n v="0"/>
    <n v="0"/>
    <n v="0"/>
    <n v="0"/>
    <x v="0"/>
    <x v="2"/>
    <x v="7"/>
    <s v="52"/>
    <s v="SEKRETARIAT BADAN RISET DAN SUMBERDAYA MANUSIA KELAUTAN DAN PERIKANAN"/>
    <n v="2850000"/>
    <n v="15.833333333333332"/>
    <n v="15150000"/>
    <n v="84.166666666666671"/>
    <s v="WA.2378.EBD.955.301.B.524111"/>
    <s v="Non COVID"/>
    <s v="PERJALANAN DINAS"/>
    <s v="Belanja Barang Non Operasional"/>
  </r>
  <r>
    <s v="032"/>
    <s v="12"/>
    <s v="WA"/>
    <x v="1"/>
    <s v="2378"/>
    <x v="1"/>
    <s v="EBD"/>
    <s v="2378.EBD. Layanan Manajemen Kinerja Internal"/>
    <n v="955"/>
    <x v="8"/>
    <n v="301"/>
    <x v="12"/>
    <s v="C"/>
    <x v="32"/>
    <n v="521211"/>
    <x v="0"/>
    <n v="10000000"/>
    <n v="0"/>
    <n v="0"/>
    <n v="2469500"/>
    <n v="0"/>
    <n v="2499000"/>
    <n v="0"/>
    <n v="0"/>
    <n v="0"/>
    <n v="0"/>
    <n v="0"/>
    <n v="0"/>
    <n v="0"/>
    <x v="0"/>
    <x v="2"/>
    <x v="7"/>
    <s v="52"/>
    <s v="SEKRETARIAT BADAN RISET DAN SUMBERDAYA MANUSIA KELAUTAN DAN PERIKANAN"/>
    <n v="4968500"/>
    <n v="49.685000000000002"/>
    <n v="5031500"/>
    <n v="50.314999999999998"/>
    <s v="WA.2378.EBD.955.301.C.521211"/>
    <s v="Non COVID"/>
    <s v="BELANJA BAHAN"/>
    <s v="Belanja Barang Non Operasional"/>
  </r>
  <r>
    <s v="032"/>
    <s v="12"/>
    <s v="WA"/>
    <x v="1"/>
    <s v="2378"/>
    <x v="1"/>
    <s v="EBD"/>
    <s v="2378.EBD. Layanan Manajemen Kinerja Internal"/>
    <n v="955"/>
    <x v="8"/>
    <n v="301"/>
    <x v="12"/>
    <s v="C"/>
    <x v="32"/>
    <n v="524111"/>
    <x v="2"/>
    <n v="15000000"/>
    <n v="0"/>
    <n v="0"/>
    <n v="0"/>
    <n v="0"/>
    <n v="0"/>
    <n v="0"/>
    <n v="0"/>
    <n v="0"/>
    <n v="0"/>
    <n v="0"/>
    <n v="0"/>
    <n v="0"/>
    <x v="0"/>
    <x v="2"/>
    <x v="7"/>
    <s v="52"/>
    <s v="SEKRETARIAT BADAN RISET DAN SUMBERDAYA MANUSIA KELAUTAN DAN PERIKANAN"/>
    <n v="0"/>
    <n v="0"/>
    <n v="15000000"/>
    <n v="100"/>
    <s v="WA.2378.EBD.955.301.C.524111"/>
    <s v="Non COVID"/>
    <s v="PERJALANAN DINAS"/>
    <s v="Belanja Barang Non Operasional"/>
  </r>
  <r>
    <s v="032"/>
    <s v="12"/>
    <s v="WA"/>
    <x v="1"/>
    <s v="2378"/>
    <x v="1"/>
    <s v="EBD"/>
    <s v="2378.EBD. Layanan Manajemen Kinerja Internal"/>
    <n v="955"/>
    <x v="8"/>
    <n v="301"/>
    <x v="12"/>
    <s v="D"/>
    <x v="33"/>
    <n v="521211"/>
    <x v="0"/>
    <n v="35340000"/>
    <n v="0"/>
    <n v="0"/>
    <n v="2500000"/>
    <n v="3400000"/>
    <n v="5085000"/>
    <n v="0"/>
    <n v="0"/>
    <n v="0"/>
    <n v="0"/>
    <n v="0"/>
    <n v="0"/>
    <n v="0"/>
    <x v="0"/>
    <x v="2"/>
    <x v="7"/>
    <s v="52"/>
    <s v="SEKRETARIAT BADAN RISET DAN SUMBERDAYA MANUSIA KELAUTAN DAN PERIKANAN"/>
    <n v="10985000"/>
    <n v="31.083757781550652"/>
    <n v="24355000"/>
    <n v="68.916242218449355"/>
    <s v="WA.2378.EBD.955.301.D.521211"/>
    <s v="Non COVID"/>
    <s v="BELANJA BAHAN"/>
    <s v="Belanja Barang Non Operasional"/>
  </r>
  <r>
    <s v="032"/>
    <s v="12"/>
    <s v="WA"/>
    <x v="1"/>
    <s v="2378"/>
    <x v="1"/>
    <s v="EBD"/>
    <s v="2378.EBD. Layanan Manajemen Kinerja Internal"/>
    <n v="955"/>
    <x v="8"/>
    <n v="301"/>
    <x v="12"/>
    <s v="D"/>
    <x v="33"/>
    <n v="522151"/>
    <x v="1"/>
    <n v="3600000"/>
    <n v="0"/>
    <n v="0"/>
    <n v="0"/>
    <n v="0"/>
    <n v="0"/>
    <n v="0"/>
    <n v="0"/>
    <n v="0"/>
    <n v="0"/>
    <n v="0"/>
    <n v="0"/>
    <n v="0"/>
    <x v="0"/>
    <x v="2"/>
    <x v="7"/>
    <s v="52"/>
    <s v="SEKRETARIAT BADAN RISET DAN SUMBERDAYA MANUSIA KELAUTAN DAN PERIKANAN"/>
    <n v="0"/>
    <n v="0"/>
    <n v="3600000"/>
    <n v="100"/>
    <s v="WA.2378.EBD.955.301.D.522151"/>
    <s v="Non COVID"/>
    <s v="BELANJA JASA"/>
    <s v="Belanja Barang Non Operasional"/>
  </r>
  <r>
    <s v="032"/>
    <s v="12"/>
    <s v="WA"/>
    <x v="1"/>
    <s v="2378"/>
    <x v="1"/>
    <s v="EBD"/>
    <s v="2378.EBD. Layanan Manajemen Kinerja Internal"/>
    <n v="955"/>
    <x v="8"/>
    <n v="301"/>
    <x v="12"/>
    <s v="D"/>
    <x v="33"/>
    <n v="524111"/>
    <x v="2"/>
    <n v="42000000"/>
    <n v="0"/>
    <n v="0"/>
    <n v="0"/>
    <n v="11593200"/>
    <n v="9041268"/>
    <n v="0"/>
    <n v="0"/>
    <n v="0"/>
    <n v="0"/>
    <n v="0"/>
    <n v="0"/>
    <n v="0"/>
    <x v="0"/>
    <x v="2"/>
    <x v="7"/>
    <s v="52"/>
    <s v="SEKRETARIAT BADAN RISET DAN SUMBERDAYA MANUSIA KELAUTAN DAN PERIKANAN"/>
    <n v="20634468"/>
    <n v="49.129685714285714"/>
    <n v="21365532"/>
    <n v="50.870314285714294"/>
    <s v="WA.2378.EBD.955.301.D.524111"/>
    <s v="Non COVID"/>
    <s v="PERJALANAN DINAS"/>
    <s v="Belanja Barang Non Operasional"/>
  </r>
  <r>
    <s v="032"/>
    <s v="12"/>
    <s v="WA"/>
    <x v="1"/>
    <s v="2378"/>
    <x v="1"/>
    <s v="EBD"/>
    <s v="2378.EBD. Layanan Manajemen Kinerja Internal"/>
    <n v="955"/>
    <x v="8"/>
    <n v="301"/>
    <x v="12"/>
    <s v="E"/>
    <x v="34"/>
    <n v="521211"/>
    <x v="0"/>
    <n v="15000000"/>
    <n v="0"/>
    <n v="0"/>
    <n v="2499500"/>
    <n v="0"/>
    <n v="2444500"/>
    <n v="0"/>
    <n v="0"/>
    <n v="0"/>
    <n v="0"/>
    <n v="0"/>
    <n v="0"/>
    <n v="0"/>
    <x v="0"/>
    <x v="2"/>
    <x v="7"/>
    <s v="52"/>
    <s v="SEKRETARIAT BADAN RISET DAN SUMBERDAYA MANUSIA KELAUTAN DAN PERIKANAN"/>
    <n v="4944000"/>
    <n v="32.96"/>
    <n v="10056000"/>
    <n v="67.040000000000006"/>
    <s v="WA.2378.EBD.955.301.E.521211"/>
    <s v="Non COVID"/>
    <s v="BELANJA BAHAN"/>
    <s v="Belanja Barang Non Operasional"/>
  </r>
  <r>
    <s v="032"/>
    <s v="12"/>
    <s v="WA"/>
    <x v="1"/>
    <s v="2378"/>
    <x v="1"/>
    <s v="EBD"/>
    <s v="2378.EBD. Layanan Manajemen Kinerja Internal"/>
    <n v="955"/>
    <x v="8"/>
    <n v="301"/>
    <x v="12"/>
    <s v="E"/>
    <x v="34"/>
    <n v="524111"/>
    <x v="2"/>
    <n v="12000000"/>
    <n v="0"/>
    <n v="0"/>
    <n v="0"/>
    <n v="0"/>
    <n v="0"/>
    <n v="0"/>
    <n v="0"/>
    <n v="0"/>
    <n v="0"/>
    <n v="0"/>
    <n v="0"/>
    <n v="0"/>
    <x v="0"/>
    <x v="2"/>
    <x v="7"/>
    <s v="52"/>
    <s v="SEKRETARIAT BADAN RISET DAN SUMBERDAYA MANUSIA KELAUTAN DAN PERIKANAN"/>
    <n v="0"/>
    <n v="0"/>
    <n v="12000000"/>
    <n v="100"/>
    <s v="WA.2378.EBD.955.301.E.524111"/>
    <s v="Non COVID"/>
    <s v="PERJALANAN DINAS"/>
    <s v="Belanja Barang Non Operasional"/>
  </r>
  <r>
    <s v="032"/>
    <s v="12"/>
    <s v="WA"/>
    <x v="1"/>
    <s v="2378"/>
    <x v="1"/>
    <s v="EBD"/>
    <s v="2378.EBD. Layanan Manajemen Kinerja Internal"/>
    <n v="955"/>
    <x v="8"/>
    <n v="301"/>
    <x v="12"/>
    <s v="F"/>
    <x v="35"/>
    <n v="521211"/>
    <x v="0"/>
    <n v="480000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n v="2750000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BELANJA PERSEDIAAN"/>
    <s v="Belanja Barang Non Operasional"/>
  </r>
  <r>
    <s v="032"/>
    <s v="12"/>
    <s v="WA"/>
    <x v="1"/>
    <s v="2378"/>
    <x v="1"/>
    <s v="EBD"/>
    <s v="2378.EBD. Layanan Manajemen Kinerja Internal"/>
    <n v="955"/>
    <x v="8"/>
    <n v="301"/>
    <x v="12"/>
    <s v="F"/>
    <x v="35"/>
    <n v="524111"/>
    <x v="2"/>
    <n v="56380000"/>
    <n v="0"/>
    <n v="0"/>
    <n v="45420000"/>
    <n v="0"/>
    <n v="7280000"/>
    <n v="2030000"/>
    <n v="0"/>
    <n v="0"/>
    <n v="0"/>
    <n v="0"/>
    <n v="0"/>
    <n v="0"/>
    <x v="0"/>
    <x v="2"/>
    <x v="7"/>
    <s v="52"/>
    <s v="SEKRETARIAT BADAN RISET DAN SUMBERDAYA MANUSIA KELAUTAN DAN PERIKANAN"/>
    <n v="54730000"/>
    <n v="97.073430294430651"/>
    <n v="1650000"/>
    <n v="2.9265697055693507"/>
    <s v="WA.2378.EBD.955.301.F.524111"/>
    <s v="Non COVID"/>
    <s v="PERJALANAN DINAS"/>
    <s v="Belanja Barang Non Operasional"/>
  </r>
  <r>
    <s v="032"/>
    <s v="12"/>
    <s v="WA"/>
    <x v="1"/>
    <s v="4345"/>
    <x v="2"/>
    <s v="EBC"/>
    <s v="4345.EAM. Layanan Manajemen SDM Internal"/>
    <n v="996"/>
    <x v="9"/>
    <n v="301"/>
    <x v="13"/>
    <s v="A"/>
    <x v="36"/>
    <n v="521211"/>
    <x v="0"/>
    <n v="9910000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0"/>
    <n v="0"/>
    <n v="0"/>
    <n v="0"/>
    <n v="4855000"/>
    <n v="0"/>
    <n v="0"/>
    <n v="0"/>
    <n v="0"/>
    <n v="0"/>
    <n v="0"/>
    <n v="0"/>
    <x v="0"/>
    <x v="3"/>
    <x v="5"/>
    <s v="52"/>
    <s v="SEKRETARIAT BADAN RISET DAN SUMBERDAYA MANUSIA KELAUTAN DAN PERIKANAN"/>
    <n v="4855000"/>
    <n v="19.420000000000002"/>
    <n v="20145000"/>
    <n v="80.58"/>
    <s v="WA.4345.EBC.996.301.A.521811"/>
    <s v="Non COVID"/>
    <s v="BELANJA PERSEDIAAN"/>
    <s v="Belanja Barang Non Operasional"/>
  </r>
  <r>
    <s v="032"/>
    <s v="12"/>
    <s v="WA"/>
    <x v="1"/>
    <s v="4345"/>
    <x v="2"/>
    <s v="EBC"/>
    <s v="4345.EAM. Layanan Manajemen SDM Internal"/>
    <n v="996"/>
    <x v="9"/>
    <n v="301"/>
    <x v="13"/>
    <s v="A"/>
    <x v="36"/>
    <n v="522151"/>
    <x v="1"/>
    <n v="1500000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n v="6308695000"/>
    <n v="0"/>
    <n v="0"/>
    <n v="0"/>
    <n v="1549795356"/>
    <n v="0"/>
    <n v="1843270850"/>
    <n v="0"/>
    <n v="0"/>
    <n v="0"/>
    <n v="0"/>
    <n v="0"/>
    <n v="0"/>
    <x v="0"/>
    <x v="3"/>
    <x v="5"/>
    <s v="52"/>
    <s v="SEKRETARIAT BADAN RISET DAN SUMBERDAYA MANUSIA KELAUTAN DAN PERIKANAN"/>
    <n v="3393066206"/>
    <n v="53.78396333948622"/>
    <n v="2915628794"/>
    <n v="46.21603666051378"/>
    <s v="WA.4345.EBC.996.301.B.521219"/>
    <s v="Non COVID"/>
    <s v="NON OPS LAINNYA"/>
    <s v="Belanja Barang Non Operasional"/>
  </r>
  <r>
    <s v="032"/>
    <s v="12"/>
    <s v="WA"/>
    <x v="1"/>
    <s v="4345"/>
    <x v="2"/>
    <s v="EBC"/>
    <s v="4345.EAM. Layanan Manajemen SDM Internal"/>
    <n v="996"/>
    <x v="9"/>
    <n v="301"/>
    <x v="13"/>
    <s v="B"/>
    <x v="37"/>
    <n v="521811"/>
    <x v="4"/>
    <n v="30000000"/>
    <n v="0"/>
    <n v="0"/>
    <n v="0"/>
    <n v="0"/>
    <n v="3364000"/>
    <n v="1447000"/>
    <n v="0"/>
    <n v="0"/>
    <n v="0"/>
    <n v="0"/>
    <n v="0"/>
    <n v="0"/>
    <x v="0"/>
    <x v="3"/>
    <x v="5"/>
    <s v="52"/>
    <s v="SEKRETARIAT BADAN RISET DAN SUMBERDAYA MANUSIA KELAUTAN DAN PERIKANAN"/>
    <n v="4811000"/>
    <n v="16.036666666666665"/>
    <n v="25189000"/>
    <n v="83.963333333333338"/>
    <s v="WA.4345.EBC.996.301.B.521811"/>
    <s v="Non COVID"/>
    <s v="BELANJA PERSEDIAAN"/>
    <s v="Belanja Barang Non Operasional"/>
  </r>
  <r>
    <s v="032"/>
    <s v="12"/>
    <s v="WA"/>
    <x v="1"/>
    <s v="4345"/>
    <x v="2"/>
    <s v="EBC"/>
    <s v="4345.EAM. Layanan Manajemen SDM Internal"/>
    <n v="996"/>
    <x v="9"/>
    <n v="301"/>
    <x v="13"/>
    <s v="B"/>
    <x v="37"/>
    <n v="522151"/>
    <x v="1"/>
    <n v="600000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186000000"/>
    <n v="0"/>
    <n v="0"/>
    <n v="0"/>
    <n v="0"/>
    <n v="20392633"/>
    <n v="22330573"/>
    <n v="0"/>
    <n v="0"/>
    <n v="0"/>
    <n v="0"/>
    <n v="0"/>
    <n v="0"/>
    <x v="0"/>
    <x v="3"/>
    <x v="5"/>
    <s v="52"/>
    <s v="SEKRETARIAT BADAN RISET DAN SUMBERDAYA MANUSIA KELAUTAN DAN PERIKANAN"/>
    <n v="42723206"/>
    <n v="22.969465591397849"/>
    <n v="143276794"/>
    <n v="77.030534408602151"/>
    <s v="WA.4345.EBC.996.301.B.524111"/>
    <s v="Non COVID"/>
    <s v="PERJALANAN DINAS"/>
    <s v="Belanja Barang Non Operasional"/>
  </r>
  <r>
    <s v="032"/>
    <s v="12"/>
    <s v="WA"/>
    <x v="1"/>
    <s v="4345"/>
    <x v="2"/>
    <s v="EBC"/>
    <s v="4345.EAM. Layanan Manajemen SDM Internal"/>
    <n v="996"/>
    <x v="9"/>
    <n v="301"/>
    <x v="13"/>
    <s v="C"/>
    <x v="38"/>
    <n v="521211"/>
    <x v="0"/>
    <n v="1200000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30000000"/>
    <n v="0"/>
    <n v="0"/>
    <n v="0"/>
    <n v="0"/>
    <n v="0"/>
    <n v="0"/>
    <n v="0"/>
    <n v="0"/>
    <n v="0"/>
    <n v="0"/>
    <n v="0"/>
    <n v="0"/>
    <x v="0"/>
    <x v="3"/>
    <x v="5"/>
    <s v="52"/>
    <s v="SEKRETARIAT BADAN RISET DAN SUMBERDAYA MANUSIA KELAUTAN DAN PERIKANAN"/>
    <n v="0"/>
    <n v="0"/>
    <n v="30000000"/>
    <n v="100"/>
    <s v="WA.4345.EBC.996.301.D.522192"/>
    <s v="COVID"/>
    <s v="BELANJA JASA"/>
    <s v="Belanja Barang Non Operasional"/>
  </r>
  <r>
    <s v="032"/>
    <s v="12"/>
    <s v="WA"/>
    <x v="1"/>
    <s v="4345"/>
    <x v="2"/>
    <s v="EBC"/>
    <s v="4345.EAM. Layanan Manajemen SDM Internal"/>
    <n v="996"/>
    <x v="9"/>
    <n v="302"/>
    <x v="14"/>
    <s v="A"/>
    <x v="40"/>
    <n v="521211"/>
    <x v="0"/>
    <n v="25000000"/>
    <n v="0"/>
    <n v="0"/>
    <n v="0"/>
    <n v="0"/>
    <n v="2961000"/>
    <n v="0"/>
    <n v="0"/>
    <n v="0"/>
    <n v="0"/>
    <n v="0"/>
    <n v="0"/>
    <n v="0"/>
    <x v="0"/>
    <x v="3"/>
    <x v="5"/>
    <s v="52"/>
    <s v="SEKRETARIAT BADAN RISET DAN SUMBERDAYA MANUSIA KELAUTAN DAN PERIKANAN"/>
    <n v="2961000"/>
    <n v="11.844000000000001"/>
    <n v="22039000"/>
    <n v="88.156000000000006"/>
    <s v="WA.4345.EBC.996.301.A.521211"/>
    <s v="Non COVID"/>
    <s v="BELANJA BAHAN"/>
    <s v="Belanja Barang Non Operasional"/>
  </r>
  <r>
    <s v="032"/>
    <s v="12"/>
    <s v="WA"/>
    <x v="1"/>
    <s v="4345"/>
    <x v="2"/>
    <s v="EBC"/>
    <s v="4345.EAM. Layanan Manajemen SDM Internal"/>
    <n v="996"/>
    <x v="9"/>
    <n v="302"/>
    <x v="14"/>
    <s v="A"/>
    <x v="40"/>
    <n v="521811"/>
    <x v="4"/>
    <n v="30000000"/>
    <n v="0"/>
    <n v="0"/>
    <n v="0"/>
    <n v="0"/>
    <n v="4845000"/>
    <n v="0"/>
    <n v="0"/>
    <n v="0"/>
    <n v="0"/>
    <n v="0"/>
    <n v="0"/>
    <n v="0"/>
    <x v="0"/>
    <x v="3"/>
    <x v="5"/>
    <s v="52"/>
    <s v="SEKRETARIAT BADAN RISET DAN SUMBERDAYA MANUSIA KELAUTAN DAN PERIKANAN"/>
    <n v="4845000"/>
    <n v="16.150000000000002"/>
    <n v="25155000"/>
    <n v="83.850000000000009"/>
    <s v="WA.4345.EBC.996.301.A.521811"/>
    <s v="Non COVID"/>
    <s v="BELANJA PERSEDIAAN"/>
    <s v="Belanja Barang Non Operasional"/>
  </r>
  <r>
    <s v="032"/>
    <s v="12"/>
    <s v="WA"/>
    <x v="1"/>
    <s v="4345"/>
    <x v="2"/>
    <s v="EBC"/>
    <s v="4345.EAM. Layanan Manajemen SDM Internal"/>
    <n v="996"/>
    <x v="9"/>
    <n v="302"/>
    <x v="14"/>
    <s v="A"/>
    <x v="40"/>
    <n v="524111"/>
    <x v="2"/>
    <n v="54200000"/>
    <n v="0"/>
    <n v="0"/>
    <n v="0"/>
    <n v="0"/>
    <n v="0"/>
    <n v="0"/>
    <n v="0"/>
    <n v="0"/>
    <n v="0"/>
    <n v="0"/>
    <n v="0"/>
    <n v="0"/>
    <x v="0"/>
    <x v="3"/>
    <x v="5"/>
    <s v="52"/>
    <s v="SEKRETARIAT BADAN RISET DAN SUMBERDAYA MANUSIA KELAUTAN DAN PERIKANAN"/>
    <n v="0"/>
    <n v="0"/>
    <n v="54200000"/>
    <n v="100"/>
    <s v="WA.4345.EBC.996.301.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8"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46" firstHeaderRow="0" firstDataRow="1" firstDataCol="1"/>
  <pivotFields count="44">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1">
        <item x="0"/>
        <item x="1"/>
        <item x="2"/>
        <item x="3"/>
        <item x="4"/>
        <item x="5"/>
        <item x="6"/>
        <item x="7"/>
        <item x="8"/>
        <item x="9"/>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29"/>
    <field x="3"/>
    <field x="5"/>
    <field x="30"/>
    <field x="31"/>
    <field x="9"/>
    <field x="11"/>
    <field x="13"/>
    <field x="15"/>
  </rowFields>
  <rowItems count="241">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8"/>
    </i>
    <i r="8">
      <x v="10"/>
    </i>
    <i r="8">
      <x v="13"/>
    </i>
    <i r="3">
      <x v="1"/>
    </i>
    <i r="4">
      <x v="4"/>
    </i>
    <i r="5">
      <x v="3"/>
    </i>
    <i r="6">
      <x v="10"/>
    </i>
    <i r="7">
      <x v="33"/>
    </i>
    <i r="8">
      <x v="3"/>
    </i>
    <i r="8">
      <x v="4"/>
    </i>
    <i r="8">
      <x v="8"/>
    </i>
    <i r="8">
      <x v="13"/>
    </i>
    <i r="4">
      <x v="6"/>
    </i>
    <i r="5">
      <x v="3"/>
    </i>
    <i r="6">
      <x v="10"/>
    </i>
    <i r="7">
      <x v="39"/>
    </i>
    <i r="8">
      <x v="3"/>
    </i>
    <i r="8">
      <x v="4"/>
    </i>
    <i r="8">
      <x v="7"/>
    </i>
    <i r="8">
      <x v="13"/>
    </i>
    <i r="7">
      <x v="40"/>
    </i>
    <i r="8">
      <x v="3"/>
    </i>
    <i r="8">
      <x v="4"/>
    </i>
    <i r="8">
      <x v="8"/>
    </i>
    <i r="8">
      <x v="13"/>
    </i>
    <i r="3">
      <x v="2"/>
    </i>
    <i r="4">
      <x/>
    </i>
    <i r="5">
      <x v="7"/>
    </i>
    <i r="6">
      <x v="8"/>
    </i>
    <i r="7">
      <x v="7"/>
    </i>
    <i r="8">
      <x v="3"/>
    </i>
    <i r="8">
      <x v="4"/>
    </i>
    <i r="8">
      <x v="13"/>
    </i>
    <i r="7">
      <x v="14"/>
    </i>
    <i r="8">
      <x v="3"/>
    </i>
    <i r="8">
      <x v="4"/>
    </i>
    <i r="8">
      <x v="8"/>
    </i>
    <i r="8">
      <x v="13"/>
    </i>
    <i r="8">
      <x v="14"/>
    </i>
    <i r="6">
      <x v="13"/>
    </i>
    <i r="7">
      <x v="10"/>
    </i>
    <i r="8">
      <x v="3"/>
    </i>
    <i r="8">
      <x v="4"/>
    </i>
    <i r="8">
      <x v="13"/>
    </i>
    <i r="4">
      <x v="5"/>
    </i>
    <i r="5">
      <x v="2"/>
    </i>
    <i r="6">
      <x v="14"/>
    </i>
    <i r="7">
      <x v="6"/>
    </i>
    <i r="8">
      <x v="3"/>
    </i>
    <i r="8">
      <x v="4"/>
    </i>
    <i r="8">
      <x v="6"/>
    </i>
    <i r="8">
      <x v="8"/>
    </i>
    <i r="8">
      <x v="13"/>
    </i>
    <i r="5">
      <x v="6"/>
    </i>
    <i r="6">
      <x v="9"/>
    </i>
    <i r="7">
      <x v="11"/>
    </i>
    <i r="8">
      <x v="3"/>
    </i>
    <i r="8">
      <x v="4"/>
    </i>
    <i r="8">
      <x v="6"/>
    </i>
    <i r="8">
      <x v="13"/>
    </i>
    <i r="7">
      <x v="20"/>
    </i>
    <i r="8">
      <x v="3"/>
    </i>
    <i r="8">
      <x v="4"/>
    </i>
    <i r="8">
      <x v="6"/>
    </i>
    <i r="8">
      <x v="8"/>
    </i>
    <i r="8">
      <x v="13"/>
    </i>
    <i r="7">
      <x v="21"/>
    </i>
    <i r="8">
      <x v="3"/>
    </i>
    <i r="8">
      <x v="6"/>
    </i>
    <i r="8">
      <x v="8"/>
    </i>
    <i r="8">
      <x v="13"/>
    </i>
    <i r="3">
      <x v="3"/>
    </i>
    <i r="4">
      <x v="3"/>
    </i>
    <i r="5">
      <x v="8"/>
    </i>
    <i r="6">
      <x v="7"/>
    </i>
    <i r="7">
      <x v="12"/>
    </i>
    <i r="8">
      <x v="3"/>
    </i>
    <i r="8">
      <x v="13"/>
    </i>
    <i r="7">
      <x v="19"/>
    </i>
    <i r="8">
      <x v="3"/>
    </i>
    <i r="8">
      <x v="13"/>
    </i>
    <i r="7">
      <x v="24"/>
    </i>
    <i r="8">
      <x v="3"/>
    </i>
    <i r="8">
      <x v="13"/>
    </i>
    <i r="7">
      <x v="27"/>
    </i>
    <i r="8">
      <x v="3"/>
    </i>
    <i r="8">
      <x v="8"/>
    </i>
    <i r="8">
      <x v="13"/>
    </i>
    <i r="7">
      <x v="30"/>
    </i>
    <i r="8">
      <x v="3"/>
    </i>
    <i r="8">
      <x v="1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8">
      <x v="14"/>
    </i>
    <i r="7">
      <x v="29"/>
    </i>
    <i r="8">
      <x v="3"/>
    </i>
    <i r="8">
      <x v="5"/>
    </i>
    <i r="8">
      <x v="9"/>
    </i>
    <i r="8">
      <x v="10"/>
    </i>
    <i r="8">
      <x v="13"/>
    </i>
    <i r="8">
      <x v="14"/>
    </i>
    <i r="5">
      <x v="4"/>
    </i>
    <i r="6">
      <x v="15"/>
    </i>
    <i r="7">
      <x v="34"/>
    </i>
    <i r="8">
      <x/>
    </i>
    <i r="8">
      <x v="6"/>
    </i>
    <i r="7">
      <x v="35"/>
    </i>
    <i r="8">
      <x v="1"/>
    </i>
    <i r="8">
      <x v="7"/>
    </i>
    <i r="7">
      <x v="36"/>
    </i>
    <i r="8">
      <x v="11"/>
    </i>
    <i r="8">
      <x v="12"/>
    </i>
    <i r="7">
      <x v="37"/>
    </i>
    <i r="8">
      <x/>
    </i>
    <i r="8">
      <x v="2"/>
    </i>
    <i r="7">
      <x v="38"/>
    </i>
    <i r="8">
      <x/>
    </i>
    <i r="8">
      <x v="6"/>
    </i>
    <i r="8">
      <x v="11"/>
    </i>
    <i r="5">
      <x v="5"/>
    </i>
    <i r="6">
      <x v="6"/>
    </i>
    <i r="7">
      <x v="5"/>
    </i>
    <i r="8">
      <x v="16"/>
    </i>
    <i r="2">
      <x v="2"/>
    </i>
    <i r="3">
      <x v="2"/>
    </i>
    <i r="4">
      <x v="5"/>
    </i>
    <i r="5">
      <x v="9"/>
    </i>
    <i r="6">
      <x v="5"/>
    </i>
    <i r="7">
      <x v="13"/>
    </i>
    <i r="8">
      <x v="3"/>
    </i>
    <i r="8">
      <x v="4"/>
    </i>
    <i r="8">
      <x v="6"/>
    </i>
    <i r="8">
      <x v="8"/>
    </i>
    <i r="8">
      <x v="9"/>
    </i>
    <i r="8">
      <x v="13"/>
    </i>
    <i r="7">
      <x v="15"/>
    </i>
    <i r="8">
      <x v="3"/>
    </i>
    <i r="8">
      <x v="4"/>
    </i>
    <i r="8">
      <x v="6"/>
    </i>
    <i r="8">
      <x v="8"/>
    </i>
    <i r="8">
      <x v="13"/>
    </i>
    <i r="7">
      <x v="25"/>
    </i>
    <i r="8">
      <x v="3"/>
    </i>
    <i r="8">
      <x v="4"/>
    </i>
    <i r="8">
      <x v="15"/>
    </i>
    <i r="7">
      <x v="26"/>
    </i>
    <i r="8">
      <x v="10"/>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4" baseField="0" baseItem="0" numFmtId="41"/>
    <dataField name="Real % " fld="43" baseField="0" baseItem="0" numFmtId="2"/>
    <dataField name="Sisa " fld="36" baseField="0" baseItem="0" numFmtId="41"/>
    <dataField name="Sisa % " fld="42" baseField="0" baseItem="0" numFmtId="2"/>
  </dataFields>
  <formats count="487">
    <format dxfId="502">
      <pivotArea outline="0" collapsedLevelsAreSubtotals="1" fieldPosition="0">
        <references count="1">
          <reference field="4294967294" count="1" selected="0">
            <x v="2"/>
          </reference>
        </references>
      </pivotArea>
    </format>
    <format dxfId="501">
      <pivotArea outline="0" collapsedLevelsAreSubtotals="1" fieldPosition="0">
        <references count="1">
          <reference field="4294967294" count="1" selected="0">
            <x v="4"/>
          </reference>
        </references>
      </pivotArea>
    </format>
    <format dxfId="500">
      <pivotArea outline="0" collapsedLevelsAreSubtotals="1" fieldPosition="0">
        <references count="1">
          <reference field="4294967294" count="1" selected="0">
            <x v="3"/>
          </reference>
        </references>
      </pivotArea>
    </format>
    <format dxfId="499">
      <pivotArea outline="0" collapsedLevelsAreSubtotals="1" fieldPosition="0">
        <references count="1">
          <reference field="4294967294" count="1" selected="0">
            <x v="1"/>
          </reference>
        </references>
      </pivotArea>
    </format>
    <format dxfId="498">
      <pivotArea outline="0" collapsedLevelsAreSubtotals="1" fieldPosition="0">
        <references count="1">
          <reference field="4294967294" count="1" selected="0">
            <x v="0"/>
          </reference>
        </references>
      </pivotArea>
    </format>
    <format dxfId="497">
      <pivotArea dataOnly="0" labelOnly="1" fieldPosition="0">
        <references count="1">
          <reference field="3" count="0"/>
        </references>
      </pivotArea>
    </format>
    <format dxfId="496">
      <pivotArea dataOnly="0" labelOnly="1" fieldPosition="0">
        <references count="1">
          <reference field="5" count="0"/>
        </references>
      </pivotArea>
    </format>
    <format dxfId="495">
      <pivotArea dataOnly="0" labelOnly="1" fieldPosition="0">
        <references count="1">
          <reference field="9" count="0"/>
        </references>
      </pivotArea>
    </format>
    <format dxfId="494">
      <pivotArea dataOnly="0" labelOnly="1" fieldPosition="0">
        <references count="1">
          <reference field="11" count="0"/>
        </references>
      </pivotArea>
    </format>
    <format dxfId="493">
      <pivotArea dataOnly="0" labelOnly="1" fieldPosition="0">
        <references count="1">
          <reference field="13" count="0"/>
        </references>
      </pivotArea>
    </format>
    <format dxfId="492">
      <pivotArea dataOnly="0" labelOnly="1" outline="0" fieldPosition="0">
        <references count="1">
          <reference field="4294967294" count="5">
            <x v="0"/>
            <x v="1"/>
            <x v="2"/>
            <x v="3"/>
            <x v="4"/>
          </reference>
        </references>
      </pivotArea>
    </format>
    <format dxfId="491">
      <pivotArea type="all" dataOnly="0" outline="0" fieldPosition="0"/>
    </format>
    <format dxfId="490">
      <pivotArea outline="0" collapsedLevelsAreSubtotals="1" fieldPosition="0"/>
    </format>
    <format dxfId="489">
      <pivotArea field="3" type="button" dataOnly="0" labelOnly="1" outline="0" axis="axisRow" fieldPosition="1"/>
    </format>
    <format dxfId="488">
      <pivotArea dataOnly="0" labelOnly="1" fieldPosition="0">
        <references count="1">
          <reference field="3" count="0"/>
        </references>
      </pivotArea>
    </format>
    <format dxfId="487">
      <pivotArea dataOnly="0" labelOnly="1" grandRow="1" outline="0" fieldPosition="0"/>
    </format>
    <format dxfId="486">
      <pivotArea dataOnly="0" labelOnly="1" fieldPosition="0">
        <references count="2">
          <reference field="3" count="1" selected="0">
            <x v="0"/>
          </reference>
          <reference field="5" count="1">
            <x v="0"/>
          </reference>
        </references>
      </pivotArea>
    </format>
    <format dxfId="485">
      <pivotArea dataOnly="0" labelOnly="1" fieldPosition="0">
        <references count="2">
          <reference field="3" count="1" selected="0">
            <x v="1"/>
          </reference>
          <reference field="5" count="2">
            <x v="1"/>
            <x v="2"/>
          </reference>
        </references>
      </pivotArea>
    </format>
    <format dxfId="484">
      <pivotArea dataOnly="0" labelOnly="1" fieldPosition="0">
        <references count="3">
          <reference field="3" count="1" selected="0">
            <x v="0"/>
          </reference>
          <reference field="5" count="1" selected="0">
            <x v="0"/>
          </reference>
          <reference field="9" count="1">
            <x v="0"/>
          </reference>
        </references>
      </pivotArea>
    </format>
    <format dxfId="483">
      <pivotArea dataOnly="0" labelOnly="1" fieldPosition="0">
        <references count="3">
          <reference field="3" count="1" selected="0">
            <x v="1"/>
          </reference>
          <reference field="5" count="1" selected="0">
            <x v="1"/>
          </reference>
          <reference field="9" count="8">
            <x v="1"/>
            <x v="2"/>
            <x v="3"/>
            <x v="4"/>
            <x v="5"/>
            <x v="6"/>
            <x v="7"/>
            <x v="8"/>
          </reference>
        </references>
      </pivotArea>
    </format>
    <format dxfId="482">
      <pivotArea dataOnly="0" labelOnly="1" fieldPosition="0">
        <references count="3">
          <reference field="3" count="1" selected="0">
            <x v="1"/>
          </reference>
          <reference field="5" count="1" selected="0">
            <x v="2"/>
          </reference>
          <reference field="9" count="1">
            <x v="9"/>
          </reference>
        </references>
      </pivotArea>
    </format>
    <format dxfId="48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480">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47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478">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477">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47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475">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47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473">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472">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47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470">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46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468">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467">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6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65">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46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463">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62">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6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60">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5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58">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57">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56">
      <pivotArea dataOnly="0" labelOnly="1" outline="0" fieldPosition="0">
        <references count="1">
          <reference field="4294967294" count="5">
            <x v="0"/>
            <x v="1"/>
            <x v="2"/>
            <x v="3"/>
            <x v="4"/>
          </reference>
        </references>
      </pivotArea>
    </format>
    <format dxfId="455">
      <pivotArea type="all" dataOnly="0" outline="0" fieldPosition="0"/>
    </format>
    <format dxfId="454">
      <pivotArea outline="0" collapsedLevelsAreSubtotals="1" fieldPosition="0"/>
    </format>
    <format dxfId="453">
      <pivotArea field="3" type="button" dataOnly="0" labelOnly="1" outline="0" axis="axisRow" fieldPosition="1"/>
    </format>
    <format dxfId="452">
      <pivotArea dataOnly="0" labelOnly="1" fieldPosition="0">
        <references count="1">
          <reference field="3" count="0"/>
        </references>
      </pivotArea>
    </format>
    <format dxfId="451">
      <pivotArea dataOnly="0" labelOnly="1" grandRow="1" outline="0" fieldPosition="0"/>
    </format>
    <format dxfId="450">
      <pivotArea dataOnly="0" labelOnly="1" fieldPosition="0">
        <references count="2">
          <reference field="3" count="1" selected="0">
            <x v="0"/>
          </reference>
          <reference field="5" count="1">
            <x v="0"/>
          </reference>
        </references>
      </pivotArea>
    </format>
    <format dxfId="449">
      <pivotArea dataOnly="0" labelOnly="1" fieldPosition="0">
        <references count="2">
          <reference field="3" count="1" selected="0">
            <x v="1"/>
          </reference>
          <reference field="5" count="2">
            <x v="1"/>
            <x v="2"/>
          </reference>
        </references>
      </pivotArea>
    </format>
    <format dxfId="448">
      <pivotArea dataOnly="0" labelOnly="1" fieldPosition="0">
        <references count="3">
          <reference field="3" count="1" selected="0">
            <x v="0"/>
          </reference>
          <reference field="5" count="1" selected="0">
            <x v="0"/>
          </reference>
          <reference field="9" count="1">
            <x v="0"/>
          </reference>
        </references>
      </pivotArea>
    </format>
    <format dxfId="447">
      <pivotArea dataOnly="0" labelOnly="1" fieldPosition="0">
        <references count="3">
          <reference field="3" count="1" selected="0">
            <x v="1"/>
          </reference>
          <reference field="5" count="1" selected="0">
            <x v="1"/>
          </reference>
          <reference field="9" count="8">
            <x v="1"/>
            <x v="2"/>
            <x v="3"/>
            <x v="4"/>
            <x v="5"/>
            <x v="6"/>
            <x v="7"/>
            <x v="8"/>
          </reference>
        </references>
      </pivotArea>
    </format>
    <format dxfId="446">
      <pivotArea dataOnly="0" labelOnly="1" fieldPosition="0">
        <references count="3">
          <reference field="3" count="1" selected="0">
            <x v="1"/>
          </reference>
          <reference field="5" count="1" selected="0">
            <x v="2"/>
          </reference>
          <reference field="9" count="1">
            <x v="9"/>
          </reference>
        </references>
      </pivotArea>
    </format>
    <format dxfId="44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44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44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442">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44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44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43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43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437">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43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43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43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43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432">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43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3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2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42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427">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2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2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2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2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22">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2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20">
      <pivotArea dataOnly="0" labelOnly="1" outline="0" fieldPosition="0">
        <references count="1">
          <reference field="4294967294" count="5">
            <x v="0"/>
            <x v="1"/>
            <x v="2"/>
            <x v="3"/>
            <x v="4"/>
          </reference>
        </references>
      </pivotArea>
    </format>
    <format dxfId="419">
      <pivotArea collapsedLevelsAreSubtotals="1" fieldPosition="0">
        <references count="1">
          <reference field="3" count="1">
            <x v="0"/>
          </reference>
        </references>
      </pivotArea>
    </format>
    <format dxfId="418">
      <pivotArea collapsedLevelsAreSubtotals="1" fieldPosition="0">
        <references count="1">
          <reference field="3" count="1">
            <x v="1"/>
          </reference>
        </references>
      </pivotArea>
    </format>
    <format dxfId="417">
      <pivotArea collapsedLevelsAreSubtotals="1" fieldPosition="0">
        <references count="3">
          <reference field="3" count="1" selected="0">
            <x v="0"/>
          </reference>
          <reference field="5" count="1" selected="0">
            <x v="0"/>
          </reference>
          <reference field="9" count="1">
            <x v="0"/>
          </reference>
        </references>
      </pivotArea>
    </format>
    <format dxfId="416">
      <pivotArea collapsedLevelsAreSubtotals="1" fieldPosition="0">
        <references count="3">
          <reference field="3" count="1" selected="0">
            <x v="1"/>
          </reference>
          <reference field="5" count="1" selected="0">
            <x v="1"/>
          </reference>
          <reference field="9" count="1">
            <x v="1"/>
          </reference>
        </references>
      </pivotArea>
    </format>
    <format dxfId="415">
      <pivotArea collapsedLevelsAreSubtotals="1" fieldPosition="0">
        <references count="3">
          <reference field="3" count="1" selected="0">
            <x v="1"/>
          </reference>
          <reference field="5" count="1" selected="0">
            <x v="1"/>
          </reference>
          <reference field="9" count="1">
            <x v="2"/>
          </reference>
        </references>
      </pivotArea>
    </format>
    <format dxfId="414">
      <pivotArea collapsedLevelsAreSubtotals="1" fieldPosition="0">
        <references count="3">
          <reference field="3" count="1" selected="0">
            <x v="1"/>
          </reference>
          <reference field="5" count="1" selected="0">
            <x v="1"/>
          </reference>
          <reference field="9" count="1">
            <x v="3"/>
          </reference>
        </references>
      </pivotArea>
    </format>
    <format dxfId="413">
      <pivotArea collapsedLevelsAreSubtotals="1" fieldPosition="0">
        <references count="3">
          <reference field="3" count="1" selected="0">
            <x v="1"/>
          </reference>
          <reference field="5" count="1" selected="0">
            <x v="1"/>
          </reference>
          <reference field="9" count="1">
            <x v="4"/>
          </reference>
        </references>
      </pivotArea>
    </format>
    <format dxfId="412">
      <pivotArea collapsedLevelsAreSubtotals="1" fieldPosition="0">
        <references count="3">
          <reference field="3" count="1" selected="0">
            <x v="1"/>
          </reference>
          <reference field="5" count="1" selected="0">
            <x v="1"/>
          </reference>
          <reference field="9" count="1">
            <x v="5"/>
          </reference>
        </references>
      </pivotArea>
    </format>
    <format dxfId="411">
      <pivotArea collapsedLevelsAreSubtotals="1" fieldPosition="0">
        <references count="3">
          <reference field="3" count="1" selected="0">
            <x v="1"/>
          </reference>
          <reference field="5" count="1" selected="0">
            <x v="1"/>
          </reference>
          <reference field="9" count="1">
            <x v="6"/>
          </reference>
        </references>
      </pivotArea>
    </format>
    <format dxfId="410">
      <pivotArea collapsedLevelsAreSubtotals="1" fieldPosition="0">
        <references count="3">
          <reference field="3" count="1" selected="0">
            <x v="1"/>
          </reference>
          <reference field="5" count="1" selected="0">
            <x v="1"/>
          </reference>
          <reference field="9" count="1">
            <x v="7"/>
          </reference>
        </references>
      </pivotArea>
    </format>
    <format dxfId="409">
      <pivotArea collapsedLevelsAreSubtotals="1" fieldPosition="0">
        <references count="3">
          <reference field="3" count="1" selected="0">
            <x v="1"/>
          </reference>
          <reference field="5" count="1" selected="0">
            <x v="1"/>
          </reference>
          <reference field="9" count="1">
            <x v="8"/>
          </reference>
        </references>
      </pivotArea>
    </format>
    <format dxfId="408">
      <pivotArea collapsedLevelsAreSubtotals="1" fieldPosition="0">
        <references count="3">
          <reference field="3" count="1" selected="0">
            <x v="1"/>
          </reference>
          <reference field="5" count="1" selected="0">
            <x v="2"/>
          </reference>
          <reference field="9" count="1">
            <x v="9"/>
          </reference>
        </references>
      </pivotArea>
    </format>
    <format dxfId="407">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406">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405">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404">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403">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402">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401">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400">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399">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398">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397">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396">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395">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394">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393">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392">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391">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390">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8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38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38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386">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85">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84">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8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38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38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38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37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37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37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37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37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37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37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37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37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37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369">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6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36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36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365">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364">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363">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6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36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36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35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35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35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35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35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35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35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352">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51">
      <pivotArea collapsedLevelsAreSubtotals="1" fieldPosition="0">
        <references count="2">
          <reference field="3" count="1" selected="0">
            <x v="1"/>
          </reference>
          <reference field="5" count="1">
            <x v="1"/>
          </reference>
        </references>
      </pivotArea>
    </format>
    <format dxfId="350">
      <pivotArea field="3" type="button" dataOnly="0" labelOnly="1" outline="0" axis="axisRow" fieldPosition="1"/>
    </format>
    <format dxfId="349">
      <pivotArea collapsedLevelsAreSubtotals="1" fieldPosition="0">
        <references count="2">
          <reference field="3" count="1" selected="0">
            <x v="1"/>
          </reference>
          <reference field="5" count="1">
            <x v="2"/>
          </reference>
        </references>
      </pivotArea>
    </format>
    <format dxfId="348">
      <pivotArea collapsedLevelsAreSubtotals="1" fieldPosition="0">
        <references count="2">
          <reference field="3" count="1" selected="0">
            <x v="0"/>
          </reference>
          <reference field="5" count="1">
            <x v="0"/>
          </reference>
        </references>
      </pivotArea>
    </format>
    <format dxfId="347">
      <pivotArea field="3" type="button" dataOnly="0" labelOnly="1" outline="0" axis="axisRow" fieldPosition="1"/>
    </format>
    <format dxfId="346">
      <pivotArea dataOnly="0" labelOnly="1" outline="0" fieldPosition="0">
        <references count="1">
          <reference field="4294967294" count="5">
            <x v="0"/>
            <x v="1"/>
            <x v="2"/>
            <x v="3"/>
            <x v="4"/>
          </reference>
        </references>
      </pivotArea>
    </format>
    <format dxfId="345">
      <pivotArea field="3" type="button" dataOnly="0" labelOnly="1" outline="0" axis="axisRow" fieldPosition="1"/>
    </format>
    <format dxfId="344">
      <pivotArea dataOnly="0" labelOnly="1" outline="0" fieldPosition="0">
        <references count="1">
          <reference field="4294967294" count="5">
            <x v="0"/>
            <x v="1"/>
            <x v="2"/>
            <x v="3"/>
            <x v="4"/>
          </reference>
        </references>
      </pivotArea>
    </format>
    <format dxfId="343">
      <pivotArea field="3" type="button" dataOnly="0" labelOnly="1" outline="0" axis="axisRow" fieldPosition="1"/>
    </format>
    <format dxfId="342">
      <pivotArea dataOnly="0" labelOnly="1" fieldPosition="0">
        <references count="1">
          <reference field="3" count="0"/>
        </references>
      </pivotArea>
    </format>
    <format dxfId="341">
      <pivotArea dataOnly="0" labelOnly="1" grandRow="1" outline="0" fieldPosition="0"/>
    </format>
    <format dxfId="340">
      <pivotArea dataOnly="0" labelOnly="1" fieldPosition="0">
        <references count="2">
          <reference field="3" count="1" selected="0">
            <x v="0"/>
          </reference>
          <reference field="5" count="1">
            <x v="0"/>
          </reference>
        </references>
      </pivotArea>
    </format>
    <format dxfId="339">
      <pivotArea dataOnly="0" labelOnly="1" fieldPosition="0">
        <references count="2">
          <reference field="3" count="1" selected="0">
            <x v="1"/>
          </reference>
          <reference field="5" count="2">
            <x v="1"/>
            <x v="2"/>
          </reference>
        </references>
      </pivotArea>
    </format>
    <format dxfId="338">
      <pivotArea dataOnly="0" labelOnly="1" fieldPosition="0">
        <references count="3">
          <reference field="3" count="1" selected="0">
            <x v="0"/>
          </reference>
          <reference field="5" count="1" selected="0">
            <x v="0"/>
          </reference>
          <reference field="9" count="1">
            <x v="0"/>
          </reference>
        </references>
      </pivotArea>
    </format>
    <format dxfId="337">
      <pivotArea dataOnly="0" labelOnly="1" fieldPosition="0">
        <references count="3">
          <reference field="3" count="1" selected="0">
            <x v="1"/>
          </reference>
          <reference field="5" count="1" selected="0">
            <x v="1"/>
          </reference>
          <reference field="9" count="8">
            <x v="1"/>
            <x v="2"/>
            <x v="3"/>
            <x v="4"/>
            <x v="5"/>
            <x v="6"/>
            <x v="7"/>
            <x v="8"/>
          </reference>
        </references>
      </pivotArea>
    </format>
    <format dxfId="336">
      <pivotArea dataOnly="0" labelOnly="1" fieldPosition="0">
        <references count="3">
          <reference field="3" count="1" selected="0">
            <x v="1"/>
          </reference>
          <reference field="5" count="1" selected="0">
            <x v="2"/>
          </reference>
          <reference field="9" count="1">
            <x v="9"/>
          </reference>
        </references>
      </pivotArea>
    </format>
    <format dxfId="33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3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3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32">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3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3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2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2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327">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2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2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2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2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22">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2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2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1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1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17">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1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31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31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1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312">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31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10">
      <pivotArea dataOnly="0" labelOnly="1" fieldPosition="0">
        <references count="1">
          <reference field="13" count="0"/>
        </references>
      </pivotArea>
    </format>
    <format dxfId="309">
      <pivotArea dataOnly="0" labelOnly="1" fieldPosition="0">
        <references count="1">
          <reference field="13" count="0"/>
        </references>
      </pivotArea>
    </format>
    <format dxfId="308">
      <pivotArea type="all" dataOnly="0" outline="0" fieldPosition="0"/>
    </format>
    <format dxfId="307">
      <pivotArea outline="0" collapsedLevelsAreSubtotals="1" fieldPosition="0"/>
    </format>
    <format dxfId="306">
      <pivotArea field="29" type="button" dataOnly="0" labelOnly="1" outline="0" axis="axisRow" fieldPosition="0"/>
    </format>
    <format dxfId="305">
      <pivotArea dataOnly="0" labelOnly="1" grandRow="1" outline="0" fieldPosition="0"/>
    </format>
    <format dxfId="304">
      <pivotArea dataOnly="0" labelOnly="1" fieldPosition="0">
        <references count="2">
          <reference field="3" count="0"/>
          <reference field="29" count="0" selected="0"/>
        </references>
      </pivotArea>
    </format>
    <format dxfId="303">
      <pivotArea dataOnly="0" labelOnly="1" fieldPosition="0">
        <references count="3">
          <reference field="3" count="1" selected="0">
            <x v="0"/>
          </reference>
          <reference field="5" count="1">
            <x v="0"/>
          </reference>
          <reference field="29" count="0" selected="0"/>
        </references>
      </pivotArea>
    </format>
    <format dxfId="302">
      <pivotArea dataOnly="0" labelOnly="1" fieldPosition="0">
        <references count="3">
          <reference field="3" count="1" selected="0">
            <x v="1"/>
          </reference>
          <reference field="5" count="2">
            <x v="1"/>
            <x v="2"/>
          </reference>
          <reference field="29" count="0" selected="0"/>
        </references>
      </pivotArea>
    </format>
    <format dxfId="301">
      <pivotArea dataOnly="0" labelOnly="1" fieldPosition="0">
        <references count="6">
          <reference field="3" count="1" selected="0">
            <x v="0"/>
          </reference>
          <reference field="5" count="1" selected="0">
            <x v="0"/>
          </reference>
          <reference field="9" count="1">
            <x v="0"/>
          </reference>
          <reference field="29" count="0" selected="0"/>
          <reference field="30" count="1" selected="0">
            <x v="0"/>
          </reference>
          <reference field="31" count="1" selected="0">
            <x v="1"/>
          </reference>
        </references>
      </pivotArea>
    </format>
    <format dxfId="300">
      <pivotArea dataOnly="0" labelOnly="1" fieldPosition="0">
        <references count="6">
          <reference field="3" count="1" selected="0">
            <x v="0"/>
          </reference>
          <reference field="5" count="1" selected="0">
            <x v="0"/>
          </reference>
          <reference field="9" count="1">
            <x v="0"/>
          </reference>
          <reference field="29" count="0" selected="0"/>
          <reference field="30" count="1" selected="0">
            <x v="0"/>
          </reference>
          <reference field="31" count="1" selected="0">
            <x v="2"/>
          </reference>
        </references>
      </pivotArea>
    </format>
    <format dxfId="299">
      <pivotArea dataOnly="0" labelOnly="1" fieldPosition="0">
        <references count="6">
          <reference field="3" count="1" selected="0">
            <x v="0"/>
          </reference>
          <reference field="5" count="1" selected="0">
            <x v="0"/>
          </reference>
          <reference field="9" count="1">
            <x v="0"/>
          </reference>
          <reference field="29" count="0" selected="0"/>
          <reference field="30" count="1" selected="0">
            <x v="1"/>
          </reference>
          <reference field="31" count="1" selected="0">
            <x v="4"/>
          </reference>
        </references>
      </pivotArea>
    </format>
    <format dxfId="298">
      <pivotArea dataOnly="0" labelOnly="1" fieldPosition="0">
        <references count="6">
          <reference field="3" count="1" selected="0">
            <x v="0"/>
          </reference>
          <reference field="5" count="1" selected="0">
            <x v="0"/>
          </reference>
          <reference field="9" count="1">
            <x v="0"/>
          </reference>
          <reference field="29" count="0" selected="0"/>
          <reference field="30" count="1" selected="0">
            <x v="1"/>
          </reference>
          <reference field="31" count="1" selected="0">
            <x v="6"/>
          </reference>
        </references>
      </pivotArea>
    </format>
    <format dxfId="297">
      <pivotArea dataOnly="0" labelOnly="1" fieldPosition="0">
        <references count="6">
          <reference field="3" count="1" selected="0">
            <x v="1"/>
          </reference>
          <reference field="5" count="1" selected="0">
            <x v="1"/>
          </reference>
          <reference field="9" count="1">
            <x v="3"/>
          </reference>
          <reference field="29" count="0" selected="0"/>
          <reference field="30" count="1" selected="0">
            <x v="0"/>
          </reference>
          <reference field="31" count="1" selected="0">
            <x v="2"/>
          </reference>
        </references>
      </pivotArea>
    </format>
    <format dxfId="296">
      <pivotArea dataOnly="0" labelOnly="1" fieldPosition="0">
        <references count="6">
          <reference field="3" count="1" selected="0">
            <x v="1"/>
          </reference>
          <reference field="5" count="1" selected="0">
            <x v="1"/>
          </reference>
          <reference field="9" count="1">
            <x v="3"/>
          </reference>
          <reference field="29" count="0" selected="0"/>
          <reference field="30" count="1" selected="0">
            <x v="1"/>
          </reference>
          <reference field="31" count="1" selected="0">
            <x v="4"/>
          </reference>
        </references>
      </pivotArea>
    </format>
    <format dxfId="295">
      <pivotArea dataOnly="0" labelOnly="1" fieldPosition="0">
        <references count="6">
          <reference field="3" count="1" selected="0">
            <x v="1"/>
          </reference>
          <reference field="5" count="1" selected="0">
            <x v="1"/>
          </reference>
          <reference field="9" count="1">
            <x v="3"/>
          </reference>
          <reference field="29" count="0" selected="0"/>
          <reference field="30" count="1" selected="0">
            <x v="1"/>
          </reference>
          <reference field="31" count="1" selected="0">
            <x v="6"/>
          </reference>
        </references>
      </pivotArea>
    </format>
    <format dxfId="294">
      <pivotArea dataOnly="0" labelOnly="1" fieldPosition="0">
        <references count="6">
          <reference field="3" count="1" selected="0">
            <x v="1"/>
          </reference>
          <reference field="5" count="1" selected="0">
            <x v="1"/>
          </reference>
          <reference field="9" count="1">
            <x v="7"/>
          </reference>
          <reference field="29" count="0" selected="0"/>
          <reference field="30" count="1" selected="0">
            <x v="2"/>
          </reference>
          <reference field="31" count="1" selected="0">
            <x v="0"/>
          </reference>
        </references>
      </pivotArea>
    </format>
    <format dxfId="293">
      <pivotArea dataOnly="0" labelOnly="1" fieldPosition="0">
        <references count="6">
          <reference field="3" count="1" selected="0">
            <x v="1"/>
          </reference>
          <reference field="5" count="1" selected="0">
            <x v="1"/>
          </reference>
          <reference field="9" count="2">
            <x v="2"/>
            <x v="6"/>
          </reference>
          <reference field="29" count="0" selected="0"/>
          <reference field="30" count="1" selected="0">
            <x v="2"/>
          </reference>
          <reference field="31" count="1" selected="0">
            <x v="5"/>
          </reference>
        </references>
      </pivotArea>
    </format>
    <format dxfId="292">
      <pivotArea dataOnly="0" labelOnly="1" fieldPosition="0">
        <references count="6">
          <reference field="3" count="1" selected="0">
            <x v="1"/>
          </reference>
          <reference field="5" count="1" selected="0">
            <x v="1"/>
          </reference>
          <reference field="9" count="1">
            <x v="8"/>
          </reference>
          <reference field="29" count="0" selected="0"/>
          <reference field="30" count="1" selected="0">
            <x v="3"/>
          </reference>
          <reference field="31" count="1" selected="0">
            <x v="3"/>
          </reference>
        </references>
      </pivotArea>
    </format>
    <format dxfId="291">
      <pivotArea dataOnly="0" labelOnly="1" fieldPosition="0">
        <references count="6">
          <reference field="3" count="1" selected="0">
            <x v="1"/>
          </reference>
          <reference field="5" count="1" selected="0">
            <x v="1"/>
          </reference>
          <reference field="9" count="4">
            <x v="1"/>
            <x v="3"/>
            <x v="4"/>
            <x v="5"/>
          </reference>
          <reference field="29" count="0" selected="0"/>
          <reference field="30" count="1" selected="0">
            <x v="3"/>
          </reference>
          <reference field="31" count="1" selected="0">
            <x v="7"/>
          </reference>
        </references>
      </pivotArea>
    </format>
    <format dxfId="290">
      <pivotArea dataOnly="0" labelOnly="1" fieldPosition="0">
        <references count="6">
          <reference field="3" count="1" selected="0">
            <x v="1"/>
          </reference>
          <reference field="5" count="1" selected="0">
            <x v="2"/>
          </reference>
          <reference field="9" count="1">
            <x v="9"/>
          </reference>
          <reference field="29" count="0" selected="0"/>
          <reference field="30" count="1" selected="0">
            <x v="2"/>
          </reference>
          <reference field="31" count="1" selected="0">
            <x v="5"/>
          </reference>
        </references>
      </pivotArea>
    </format>
    <format dxfId="289">
      <pivotArea dataOnly="0" labelOnly="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288">
      <pivotArea dataOnly="0" labelOnly="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287">
      <pivotArea dataOnly="0" labelOnly="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286">
      <pivotArea dataOnly="0" labelOnly="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285">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284">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283">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282">
      <pivotArea dataOnly="0" labelOnly="1" fieldPosition="0">
        <references count="7">
          <reference field="3" count="1" selected="0">
            <x v="1"/>
          </reference>
          <reference field="5" count="1" selected="0">
            <x v="1"/>
          </reference>
          <reference field="9" count="1" selected="0">
            <x v="7"/>
          </reference>
          <reference field="11" count="2">
            <x v="8"/>
            <x v="13"/>
          </reference>
          <reference field="29" count="0" selected="0"/>
          <reference field="30" count="1" selected="0">
            <x v="2"/>
          </reference>
          <reference field="31" count="1" selected="0">
            <x v="0"/>
          </reference>
        </references>
      </pivotArea>
    </format>
    <format dxfId="281">
      <pivotArea dataOnly="0" labelOnly="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280">
      <pivotArea dataOnly="0" labelOnly="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279">
      <pivotArea dataOnly="0" labelOnly="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278">
      <pivotArea dataOnly="0" labelOnly="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277">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276">
      <pivotArea dataOnly="0" labelOnly="1" fieldPosition="0">
        <references count="7">
          <reference field="3" count="1" selected="0">
            <x v="1"/>
          </reference>
          <reference field="5" count="1" selected="0">
            <x v="1"/>
          </reference>
          <reference field="9" count="1" selected="0">
            <x v="4"/>
          </reference>
          <reference field="11" count="1">
            <x v="0"/>
          </reference>
          <reference field="29" count="0" selected="0"/>
          <reference field="30" count="1" selected="0">
            <x v="3"/>
          </reference>
          <reference field="31" count="1" selected="0">
            <x v="7"/>
          </reference>
        </references>
      </pivotArea>
    </format>
    <format dxfId="275">
      <pivotArea dataOnly="0" labelOnly="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274">
      <pivotArea dataOnly="0" labelOnly="1" fieldPosition="0">
        <references count="7">
          <reference field="3" count="1" selected="0">
            <x v="1"/>
          </reference>
          <reference field="5" count="1" selected="0">
            <x v="2"/>
          </reference>
          <reference field="9" count="1" selected="0">
            <x v="9"/>
          </reference>
          <reference field="11" count="2">
            <x v="5"/>
            <x v="12"/>
          </reference>
          <reference field="29" count="0" selected="0"/>
          <reference field="30" count="1" selected="0">
            <x v="2"/>
          </reference>
          <reference field="31" count="1" selected="0">
            <x v="5"/>
          </reference>
        </references>
      </pivotArea>
    </format>
    <format dxfId="273">
      <pivotArea dataOnly="0" labelOnly="1" outline="0" fieldPosition="0">
        <references count="1">
          <reference field="4294967294" count="5">
            <x v="0"/>
            <x v="1"/>
            <x v="2"/>
            <x v="3"/>
            <x v="4"/>
          </reference>
        </references>
      </pivotArea>
    </format>
    <format dxfId="272">
      <pivotArea dataOnly="0" labelOnly="1" fieldPosition="0">
        <references count="1">
          <reference field="30" count="0"/>
        </references>
      </pivotArea>
    </format>
    <format dxfId="271">
      <pivotArea dataOnly="0" labelOnly="1" fieldPosition="0">
        <references count="1">
          <reference field="31" count="0"/>
        </references>
      </pivotArea>
    </format>
    <format dxfId="270">
      <pivotArea dataOnly="0" labelOnly="1" fieldPosition="0">
        <references count="1">
          <reference field="31" count="0"/>
        </references>
      </pivotArea>
    </format>
    <format dxfId="269">
      <pivotArea dataOnly="0" labelOnly="1" fieldPosition="0">
        <references count="1">
          <reference field="31" count="0"/>
        </references>
      </pivotArea>
    </format>
    <format dxfId="268">
      <pivotArea dataOnly="0" labelOnly="1" fieldPosition="0">
        <references count="1">
          <reference field="31" count="0"/>
        </references>
      </pivotArea>
    </format>
    <format dxfId="267">
      <pivotArea dataOnly="0" labelOnly="1" fieldPosition="0">
        <references count="1">
          <reference field="30" count="0"/>
        </references>
      </pivotArea>
    </format>
    <format dxfId="266">
      <pivotArea dataOnly="0" labelOnly="1" fieldPosition="0">
        <references count="1">
          <reference field="30" count="0"/>
        </references>
      </pivotArea>
    </format>
    <format dxfId="265">
      <pivotArea dataOnly="0" labelOnly="1" fieldPosition="0">
        <references count="1">
          <reference field="30" count="0"/>
        </references>
      </pivotArea>
    </format>
    <format dxfId="264">
      <pivotArea collapsedLevelsAreSubtotals="1" fieldPosition="0">
        <references count="4">
          <reference field="3" count="1" selected="0">
            <x v="0"/>
          </reference>
          <reference field="5" count="1" selected="0">
            <x v="0"/>
          </reference>
          <reference field="29" count="0" selected="0"/>
          <reference field="30" count="1">
            <x v="0"/>
          </reference>
        </references>
      </pivotArea>
    </format>
    <format dxfId="263">
      <pivotArea dataOnly="0" labelOnly="1" fieldPosition="0">
        <references count="4">
          <reference field="3" count="1" selected="0">
            <x v="0"/>
          </reference>
          <reference field="5" count="1" selected="0">
            <x v="0"/>
          </reference>
          <reference field="29" count="0" selected="0"/>
          <reference field="30" count="1">
            <x v="0"/>
          </reference>
        </references>
      </pivotArea>
    </format>
    <format dxfId="262">
      <pivotArea collapsedLevelsAreSubtotals="1" fieldPosition="0">
        <references count="4">
          <reference field="3" count="1" selected="0">
            <x v="0"/>
          </reference>
          <reference field="5" count="1" selected="0">
            <x v="0"/>
          </reference>
          <reference field="29" count="0" selected="0"/>
          <reference field="30" count="1">
            <x v="1"/>
          </reference>
        </references>
      </pivotArea>
    </format>
    <format dxfId="261">
      <pivotArea dataOnly="0" labelOnly="1" fieldPosition="0">
        <references count="4">
          <reference field="3" count="1" selected="0">
            <x v="0"/>
          </reference>
          <reference field="5" count="1" selected="0">
            <x v="0"/>
          </reference>
          <reference field="29" count="0" selected="0"/>
          <reference field="30" count="1">
            <x v="1"/>
          </reference>
        </references>
      </pivotArea>
    </format>
    <format dxfId="260">
      <pivotArea collapsedLevelsAreSubtotals="1" fieldPosition="0">
        <references count="4">
          <reference field="3" count="1" selected="0">
            <x v="1"/>
          </reference>
          <reference field="5" count="1" selected="0">
            <x v="1"/>
          </reference>
          <reference field="29" count="0" selected="0"/>
          <reference field="30" count="1">
            <x v="0"/>
          </reference>
        </references>
      </pivotArea>
    </format>
    <format dxfId="259">
      <pivotArea dataOnly="0" labelOnly="1" fieldPosition="0">
        <references count="4">
          <reference field="3" count="1" selected="0">
            <x v="1"/>
          </reference>
          <reference field="5" count="1" selected="0">
            <x v="1"/>
          </reference>
          <reference field="29" count="0" selected="0"/>
          <reference field="30" count="1">
            <x v="0"/>
          </reference>
        </references>
      </pivotArea>
    </format>
    <format dxfId="258">
      <pivotArea collapsedLevelsAreSubtotals="1" fieldPosition="0">
        <references count="4">
          <reference field="3" count="1" selected="0">
            <x v="1"/>
          </reference>
          <reference field="5" count="1" selected="0">
            <x v="1"/>
          </reference>
          <reference field="29" count="0" selected="0"/>
          <reference field="30" count="1">
            <x v="1"/>
          </reference>
        </references>
      </pivotArea>
    </format>
    <format dxfId="257">
      <pivotArea dataOnly="0" labelOnly="1" fieldPosition="0">
        <references count="4">
          <reference field="3" count="1" selected="0">
            <x v="1"/>
          </reference>
          <reference field="5" count="1" selected="0">
            <x v="1"/>
          </reference>
          <reference field="29" count="0" selected="0"/>
          <reference field="30" count="1">
            <x v="1"/>
          </reference>
        </references>
      </pivotArea>
    </format>
    <format dxfId="256">
      <pivotArea collapsedLevelsAreSubtotals="1" fieldPosition="0">
        <references count="4">
          <reference field="3" count="1" selected="0">
            <x v="1"/>
          </reference>
          <reference field="5" count="1" selected="0">
            <x v="1"/>
          </reference>
          <reference field="29" count="0" selected="0"/>
          <reference field="30" count="1">
            <x v="2"/>
          </reference>
        </references>
      </pivotArea>
    </format>
    <format dxfId="255">
      <pivotArea dataOnly="0" labelOnly="1" fieldPosition="0">
        <references count="4">
          <reference field="3" count="1" selected="0">
            <x v="1"/>
          </reference>
          <reference field="5" count="1" selected="0">
            <x v="1"/>
          </reference>
          <reference field="29" count="0" selected="0"/>
          <reference field="30" count="1">
            <x v="2"/>
          </reference>
        </references>
      </pivotArea>
    </format>
    <format dxfId="254">
      <pivotArea collapsedLevelsAreSubtotals="1" fieldPosition="0">
        <references count="4">
          <reference field="3" count="1" selected="0">
            <x v="1"/>
          </reference>
          <reference field="5" count="1" selected="0">
            <x v="1"/>
          </reference>
          <reference field="29" count="0" selected="0"/>
          <reference field="30" count="1">
            <x v="3"/>
          </reference>
        </references>
      </pivotArea>
    </format>
    <format dxfId="253">
      <pivotArea dataOnly="0" labelOnly="1" fieldPosition="0">
        <references count="4">
          <reference field="3" count="1" selected="0">
            <x v="1"/>
          </reference>
          <reference field="5" count="1" selected="0">
            <x v="1"/>
          </reference>
          <reference field="29" count="0" selected="0"/>
          <reference field="30" count="1">
            <x v="3"/>
          </reference>
        </references>
      </pivotArea>
    </format>
    <format dxfId="252">
      <pivotArea collapsedLevelsAreSubtotals="1" fieldPosition="0">
        <references count="4">
          <reference field="3" count="1" selected="0">
            <x v="1"/>
          </reference>
          <reference field="5" count="1" selected="0">
            <x v="2"/>
          </reference>
          <reference field="29" count="0" selected="0"/>
          <reference field="30" count="1">
            <x v="2"/>
          </reference>
        </references>
      </pivotArea>
    </format>
    <format dxfId="251">
      <pivotArea dataOnly="0" labelOnly="1" fieldPosition="0">
        <references count="4">
          <reference field="3" count="1" selected="0">
            <x v="1"/>
          </reference>
          <reference field="5" count="1" selected="0">
            <x v="2"/>
          </reference>
          <reference field="29" count="0" selected="0"/>
          <reference field="30" count="1">
            <x v="2"/>
          </reference>
        </references>
      </pivotArea>
    </format>
    <format dxfId="250">
      <pivotArea collapsedLevelsAreSubtotals="1" fieldPosition="0">
        <references count="5">
          <reference field="3" count="1" selected="0">
            <x v="0"/>
          </reference>
          <reference field="5" count="1" selected="0">
            <x v="0"/>
          </reference>
          <reference field="29" count="0" selected="0"/>
          <reference field="30" count="1" selected="0">
            <x v="0"/>
          </reference>
          <reference field="31" count="1">
            <x v="1"/>
          </reference>
        </references>
      </pivotArea>
    </format>
    <format dxfId="249">
      <pivotArea dataOnly="0" labelOnly="1" fieldPosition="0">
        <references count="5">
          <reference field="3" count="1" selected="0">
            <x v="0"/>
          </reference>
          <reference field="5" count="1" selected="0">
            <x v="0"/>
          </reference>
          <reference field="29" count="0" selected="0"/>
          <reference field="30" count="1" selected="0">
            <x v="0"/>
          </reference>
          <reference field="31" count="1">
            <x v="1"/>
          </reference>
        </references>
      </pivotArea>
    </format>
    <format dxfId="248">
      <pivotArea collapsedLevelsAreSubtotals="1" fieldPosition="0">
        <references count="5">
          <reference field="3" count="1" selected="0">
            <x v="0"/>
          </reference>
          <reference field="5" count="1" selected="0">
            <x v="0"/>
          </reference>
          <reference field="29" count="0" selected="0"/>
          <reference field="30" count="1" selected="0">
            <x v="0"/>
          </reference>
          <reference field="31" count="1">
            <x v="2"/>
          </reference>
        </references>
      </pivotArea>
    </format>
    <format dxfId="247">
      <pivotArea dataOnly="0" labelOnly="1" fieldPosition="0">
        <references count="5">
          <reference field="3" count="1" selected="0">
            <x v="0"/>
          </reference>
          <reference field="5" count="1" selected="0">
            <x v="0"/>
          </reference>
          <reference field="29" count="0" selected="0"/>
          <reference field="30" count="1" selected="0">
            <x v="0"/>
          </reference>
          <reference field="31" count="1">
            <x v="2"/>
          </reference>
        </references>
      </pivotArea>
    </format>
    <format dxfId="246">
      <pivotArea collapsedLevelsAreSubtotals="1" fieldPosition="0">
        <references count="5">
          <reference field="3" count="1" selected="0">
            <x v="0"/>
          </reference>
          <reference field="5" count="1" selected="0">
            <x v="0"/>
          </reference>
          <reference field="29" count="0" selected="0"/>
          <reference field="30" count="1" selected="0">
            <x v="1"/>
          </reference>
          <reference field="31" count="1">
            <x v="4"/>
          </reference>
        </references>
      </pivotArea>
    </format>
    <format dxfId="245">
      <pivotArea dataOnly="0" labelOnly="1" fieldPosition="0">
        <references count="5">
          <reference field="3" count="1" selected="0">
            <x v="0"/>
          </reference>
          <reference field="5" count="1" selected="0">
            <x v="0"/>
          </reference>
          <reference field="29" count="0" selected="0"/>
          <reference field="30" count="1" selected="0">
            <x v="1"/>
          </reference>
          <reference field="31" count="1">
            <x v="4"/>
          </reference>
        </references>
      </pivotArea>
    </format>
    <format dxfId="244">
      <pivotArea collapsedLevelsAreSubtotals="1" fieldPosition="0">
        <references count="5">
          <reference field="3" count="1" selected="0">
            <x v="0"/>
          </reference>
          <reference field="5" count="1" selected="0">
            <x v="0"/>
          </reference>
          <reference field="29" count="0" selected="0"/>
          <reference field="30" count="1" selected="0">
            <x v="1"/>
          </reference>
          <reference field="31" count="1">
            <x v="6"/>
          </reference>
        </references>
      </pivotArea>
    </format>
    <format dxfId="243">
      <pivotArea dataOnly="0" labelOnly="1" fieldPosition="0">
        <references count="5">
          <reference field="3" count="1" selected="0">
            <x v="0"/>
          </reference>
          <reference field="5" count="1" selected="0">
            <x v="0"/>
          </reference>
          <reference field="29" count="0" selected="0"/>
          <reference field="30" count="1" selected="0">
            <x v="1"/>
          </reference>
          <reference field="31" count="1">
            <x v="6"/>
          </reference>
        </references>
      </pivotArea>
    </format>
    <format dxfId="242">
      <pivotArea collapsedLevelsAreSubtotals="1" fieldPosition="0">
        <references count="5">
          <reference field="3" count="1" selected="0">
            <x v="1"/>
          </reference>
          <reference field="5" count="1" selected="0">
            <x v="1"/>
          </reference>
          <reference field="29" count="0" selected="0"/>
          <reference field="30" count="1" selected="0">
            <x v="0"/>
          </reference>
          <reference field="31" count="1">
            <x v="2"/>
          </reference>
        </references>
      </pivotArea>
    </format>
    <format dxfId="241">
      <pivotArea dataOnly="0" labelOnly="1" fieldPosition="0">
        <references count="5">
          <reference field="3" count="1" selected="0">
            <x v="1"/>
          </reference>
          <reference field="5" count="1" selected="0">
            <x v="1"/>
          </reference>
          <reference field="29" count="0" selected="0"/>
          <reference field="30" count="1" selected="0">
            <x v="0"/>
          </reference>
          <reference field="31" count="1">
            <x v="2"/>
          </reference>
        </references>
      </pivotArea>
    </format>
    <format dxfId="240">
      <pivotArea collapsedLevelsAreSubtotals="1" fieldPosition="0">
        <references count="5">
          <reference field="3" count="1" selected="0">
            <x v="1"/>
          </reference>
          <reference field="5" count="1" selected="0">
            <x v="1"/>
          </reference>
          <reference field="29" count="0" selected="0"/>
          <reference field="30" count="1" selected="0">
            <x v="1"/>
          </reference>
          <reference field="31" count="1">
            <x v="4"/>
          </reference>
        </references>
      </pivotArea>
    </format>
    <format dxfId="239">
      <pivotArea dataOnly="0" labelOnly="1" fieldPosition="0">
        <references count="5">
          <reference field="3" count="1" selected="0">
            <x v="1"/>
          </reference>
          <reference field="5" count="1" selected="0">
            <x v="1"/>
          </reference>
          <reference field="29" count="0" selected="0"/>
          <reference field="30" count="1" selected="0">
            <x v="1"/>
          </reference>
          <reference field="31" count="1">
            <x v="4"/>
          </reference>
        </references>
      </pivotArea>
    </format>
    <format dxfId="238">
      <pivotArea collapsedLevelsAreSubtotals="1" fieldPosition="0">
        <references count="5">
          <reference field="3" count="1" selected="0">
            <x v="1"/>
          </reference>
          <reference field="5" count="1" selected="0">
            <x v="1"/>
          </reference>
          <reference field="29" count="0" selected="0"/>
          <reference field="30" count="1" selected="0">
            <x v="1"/>
          </reference>
          <reference field="31" count="1">
            <x v="6"/>
          </reference>
        </references>
      </pivotArea>
    </format>
    <format dxfId="237">
      <pivotArea dataOnly="0" labelOnly="1" fieldPosition="0">
        <references count="5">
          <reference field="3" count="1" selected="0">
            <x v="1"/>
          </reference>
          <reference field="5" count="1" selected="0">
            <x v="1"/>
          </reference>
          <reference field="29" count="0" selected="0"/>
          <reference field="30" count="1" selected="0">
            <x v="1"/>
          </reference>
          <reference field="31" count="1">
            <x v="6"/>
          </reference>
        </references>
      </pivotArea>
    </format>
    <format dxfId="236">
      <pivotArea collapsedLevelsAreSubtotals="1" fieldPosition="0">
        <references count="5">
          <reference field="3" count="1" selected="0">
            <x v="1"/>
          </reference>
          <reference field="5" count="1" selected="0">
            <x v="1"/>
          </reference>
          <reference field="29" count="0" selected="0"/>
          <reference field="30" count="1" selected="0">
            <x v="2"/>
          </reference>
          <reference field="31" count="1">
            <x v="0"/>
          </reference>
        </references>
      </pivotArea>
    </format>
    <format dxfId="235">
      <pivotArea dataOnly="0" labelOnly="1" fieldPosition="0">
        <references count="5">
          <reference field="3" count="1" selected="0">
            <x v="1"/>
          </reference>
          <reference field="5" count="1" selected="0">
            <x v="1"/>
          </reference>
          <reference field="29" count="0" selected="0"/>
          <reference field="30" count="1" selected="0">
            <x v="2"/>
          </reference>
          <reference field="31" count="1">
            <x v="0"/>
          </reference>
        </references>
      </pivotArea>
    </format>
    <format dxfId="234">
      <pivotArea collapsedLevelsAreSubtotals="1" fieldPosition="0">
        <references count="5">
          <reference field="3" count="1" selected="0">
            <x v="1"/>
          </reference>
          <reference field="5" count="1" selected="0">
            <x v="1"/>
          </reference>
          <reference field="29" count="0" selected="0"/>
          <reference field="30" count="1" selected="0">
            <x v="2"/>
          </reference>
          <reference field="31" count="1">
            <x v="5"/>
          </reference>
        </references>
      </pivotArea>
    </format>
    <format dxfId="233">
      <pivotArea dataOnly="0" labelOnly="1" fieldPosition="0">
        <references count="5">
          <reference field="3" count="1" selected="0">
            <x v="1"/>
          </reference>
          <reference field="5" count="1" selected="0">
            <x v="1"/>
          </reference>
          <reference field="29" count="0" selected="0"/>
          <reference field="30" count="1" selected="0">
            <x v="2"/>
          </reference>
          <reference field="31" count="1">
            <x v="5"/>
          </reference>
        </references>
      </pivotArea>
    </format>
    <format dxfId="232">
      <pivotArea collapsedLevelsAreSubtotals="1" fieldPosition="0">
        <references count="5">
          <reference field="3" count="1" selected="0">
            <x v="1"/>
          </reference>
          <reference field="5" count="1" selected="0">
            <x v="1"/>
          </reference>
          <reference field="29" count="0" selected="0"/>
          <reference field="30" count="1" selected="0">
            <x v="3"/>
          </reference>
          <reference field="31" count="1">
            <x v="3"/>
          </reference>
        </references>
      </pivotArea>
    </format>
    <format dxfId="231">
      <pivotArea dataOnly="0" labelOnly="1" fieldPosition="0">
        <references count="5">
          <reference field="3" count="1" selected="0">
            <x v="1"/>
          </reference>
          <reference field="5" count="1" selected="0">
            <x v="1"/>
          </reference>
          <reference field="29" count="0" selected="0"/>
          <reference field="30" count="1" selected="0">
            <x v="3"/>
          </reference>
          <reference field="31" count="1">
            <x v="3"/>
          </reference>
        </references>
      </pivotArea>
    </format>
    <format dxfId="230">
      <pivotArea collapsedLevelsAreSubtotals="1" fieldPosition="0">
        <references count="5">
          <reference field="3" count="1" selected="0">
            <x v="1"/>
          </reference>
          <reference field="5" count="1" selected="0">
            <x v="1"/>
          </reference>
          <reference field="29" count="0" selected="0"/>
          <reference field="30" count="1" selected="0">
            <x v="3"/>
          </reference>
          <reference field="31" count="1">
            <x v="7"/>
          </reference>
        </references>
      </pivotArea>
    </format>
    <format dxfId="229">
      <pivotArea dataOnly="0" labelOnly="1" fieldPosition="0">
        <references count="5">
          <reference field="3" count="1" selected="0">
            <x v="1"/>
          </reference>
          <reference field="5" count="1" selected="0">
            <x v="1"/>
          </reference>
          <reference field="29" count="0" selected="0"/>
          <reference field="30" count="1" selected="0">
            <x v="3"/>
          </reference>
          <reference field="31" count="1">
            <x v="7"/>
          </reference>
        </references>
      </pivotArea>
    </format>
    <format dxfId="228">
      <pivotArea collapsedLevelsAreSubtotals="1" fieldPosition="0">
        <references count="5">
          <reference field="3" count="1" selected="0">
            <x v="1"/>
          </reference>
          <reference field="5" count="1" selected="0">
            <x v="2"/>
          </reference>
          <reference field="29" count="0" selected="0"/>
          <reference field="30" count="1" selected="0">
            <x v="2"/>
          </reference>
          <reference field="31" count="1">
            <x v="5"/>
          </reference>
        </references>
      </pivotArea>
    </format>
    <format dxfId="227">
      <pivotArea dataOnly="0" labelOnly="1" fieldPosition="0">
        <references count="5">
          <reference field="3" count="1" selected="0">
            <x v="1"/>
          </reference>
          <reference field="5" count="1" selected="0">
            <x v="2"/>
          </reference>
          <reference field="29" count="0" selected="0"/>
          <reference field="30" count="1" selected="0">
            <x v="2"/>
          </reference>
          <reference field="31" count="1">
            <x v="5"/>
          </reference>
        </references>
      </pivotArea>
    </format>
    <format dxfId="226">
      <pivotArea dataOnly="0" labelOnly="1" fieldPosition="0">
        <references count="1">
          <reference field="29" count="0"/>
        </references>
      </pivotArea>
    </format>
    <format dxfId="225">
      <pivotArea collapsedLevelsAreSubtotals="1" fieldPosition="0">
        <references count="1">
          <reference field="29" count="0"/>
        </references>
      </pivotArea>
    </format>
    <format dxfId="224">
      <pivotArea dataOnly="0" labelOnly="1" fieldPosition="0">
        <references count="1">
          <reference field="29" count="0"/>
        </references>
      </pivotArea>
    </format>
    <format dxfId="223">
      <pivotArea dataOnly="0" labelOnly="1" fieldPosition="0">
        <references count="1">
          <reference field="13" count="0"/>
        </references>
      </pivotArea>
    </format>
    <format dxfId="22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29" count="0" selected="0"/>
          <reference field="30" count="1" selected="0">
            <x v="0"/>
          </reference>
          <reference field="31" count="1" selected="0">
            <x v="1"/>
          </reference>
        </references>
      </pivotArea>
    </format>
    <format dxfId="22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29" count="0" selected="0"/>
          <reference field="30" count="1" selected="0">
            <x v="0"/>
          </reference>
          <reference field="31" count="1" selected="0">
            <x v="1"/>
          </reference>
        </references>
      </pivotArea>
    </format>
    <format dxfId="22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29" count="0" selected="0"/>
          <reference field="30" count="1" selected="0">
            <x v="0"/>
          </reference>
          <reference field="31" count="1" selected="0">
            <x v="1"/>
          </reference>
        </references>
      </pivotArea>
    </format>
    <format dxfId="21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29" count="0" selected="0"/>
          <reference field="30" count="1" selected="0">
            <x v="0"/>
          </reference>
          <reference field="31" count="1" selected="0">
            <x v="1"/>
          </reference>
        </references>
      </pivotArea>
    </format>
    <format dxfId="21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29" count="0" selected="0"/>
          <reference field="30" count="1" selected="0">
            <x v="0"/>
          </reference>
          <reference field="31" count="1" selected="0">
            <x v="1"/>
          </reference>
        </references>
      </pivotArea>
    </format>
    <format dxfId="21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29" count="0" selected="0"/>
          <reference field="30" count="1" selected="0">
            <x v="0"/>
          </reference>
          <reference field="31" count="1" selected="0">
            <x v="1"/>
          </reference>
        </references>
      </pivotArea>
    </format>
    <format dxfId="216">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29" count="0" selected="0"/>
          <reference field="30" count="1" selected="0">
            <x v="0"/>
          </reference>
          <reference field="31" count="1" selected="0">
            <x v="2"/>
          </reference>
        </references>
      </pivotArea>
    </format>
    <format dxfId="21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29" count="0" selected="0"/>
          <reference field="30" count="1" selected="0">
            <x v="0"/>
          </reference>
          <reference field="31" count="1" selected="0">
            <x v="2"/>
          </reference>
        </references>
      </pivotArea>
    </format>
    <format dxfId="21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29" count="0" selected="0"/>
          <reference field="30" count="1" selected="0">
            <x v="1"/>
          </reference>
          <reference field="31" count="1" selected="0">
            <x v="4"/>
          </reference>
        </references>
      </pivotArea>
    </format>
    <format dxfId="21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29" count="0" selected="0"/>
          <reference field="30" count="1" selected="0">
            <x v="1"/>
          </reference>
          <reference field="31" count="1" selected="0">
            <x v="4"/>
          </reference>
        </references>
      </pivotArea>
    </format>
    <format dxfId="212">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29" count="0" selected="0"/>
          <reference field="30" count="1" selected="0">
            <x v="1"/>
          </reference>
          <reference field="31" count="1" selected="0">
            <x v="4"/>
          </reference>
        </references>
      </pivotArea>
    </format>
    <format dxfId="21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29" count="0" selected="0"/>
          <reference field="30" count="1" selected="0">
            <x v="1"/>
          </reference>
          <reference field="31" count="1" selected="0">
            <x v="4"/>
          </reference>
        </references>
      </pivotArea>
    </format>
    <format dxfId="210">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29" count="0" selected="0"/>
          <reference field="30" count="1" selected="0">
            <x v="1"/>
          </reference>
          <reference field="31" count="1" selected="0">
            <x v="6"/>
          </reference>
        </references>
      </pivotArea>
    </format>
    <format dxfId="20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29" count="0" selected="0"/>
          <reference field="30" count="1" selected="0">
            <x v="1"/>
          </reference>
          <reference field="31" count="1" selected="0">
            <x v="6"/>
          </reference>
        </references>
      </pivotArea>
    </format>
    <format dxfId="20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29" count="0" selected="0"/>
          <reference field="30" count="1" selected="0">
            <x v="0"/>
          </reference>
          <reference field="31" count="1" selected="0">
            <x v="2"/>
          </reference>
        </references>
      </pivotArea>
    </format>
    <format dxfId="2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29" count="0" selected="0"/>
          <reference field="30" count="1" selected="0">
            <x v="0"/>
          </reference>
          <reference field="31" count="1" selected="0">
            <x v="2"/>
          </reference>
        </references>
      </pivotArea>
    </format>
    <format dxfId="20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29" count="0" selected="0"/>
          <reference field="30" count="1" selected="0">
            <x v="1"/>
          </reference>
          <reference field="31" count="1" selected="0">
            <x v="4"/>
          </reference>
        </references>
      </pivotArea>
    </format>
    <format dxfId="2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29" count="0" selected="0"/>
          <reference field="30" count="1" selected="0">
            <x v="1"/>
          </reference>
          <reference field="31" count="1" selected="0">
            <x v="4"/>
          </reference>
        </references>
      </pivotArea>
    </format>
    <format dxfId="20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29" count="0" selected="0"/>
          <reference field="30" count="1" selected="0">
            <x v="1"/>
          </reference>
          <reference field="31" count="1" selected="0">
            <x v="6"/>
          </reference>
        </references>
      </pivotArea>
    </format>
    <format dxfId="2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29" count="0" selected="0"/>
          <reference field="30" count="1" selected="0">
            <x v="1"/>
          </reference>
          <reference field="31" count="1" selected="0">
            <x v="6"/>
          </reference>
        </references>
      </pivotArea>
    </format>
    <format dxfId="20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29" count="0" selected="0"/>
          <reference field="30" count="1" selected="0">
            <x v="1"/>
          </reference>
          <reference field="31" count="1" selected="0">
            <x v="6"/>
          </reference>
        </references>
      </pivotArea>
    </format>
    <format dxfId="2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29" count="0" selected="0"/>
          <reference field="30" count="1" selected="0">
            <x v="1"/>
          </reference>
          <reference field="31" count="1" selected="0">
            <x v="6"/>
          </reference>
        </references>
      </pivotArea>
    </format>
    <format dxfId="20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29" count="0" selected="0"/>
          <reference field="30" count="1" selected="0">
            <x v="2"/>
          </reference>
          <reference field="31" count="1" selected="0">
            <x v="0"/>
          </reference>
        </references>
      </pivotArea>
    </format>
    <format dxfId="19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29" count="0" selected="0"/>
          <reference field="30" count="1" selected="0">
            <x v="2"/>
          </reference>
          <reference field="31" count="1" selected="0">
            <x v="0"/>
          </reference>
        </references>
      </pivotArea>
    </format>
    <format dxfId="198">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29" count="0" selected="0"/>
          <reference field="30" count="1" selected="0">
            <x v="2"/>
          </reference>
          <reference field="31" count="1" selected="0">
            <x v="0"/>
          </reference>
        </references>
      </pivotArea>
    </format>
    <format dxfId="19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29" count="0" selected="0"/>
          <reference field="30" count="1" selected="0">
            <x v="2"/>
          </reference>
          <reference field="31" count="1" selected="0">
            <x v="0"/>
          </reference>
        </references>
      </pivotArea>
    </format>
    <format dxfId="196">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29" count="0" selected="0"/>
          <reference field="30" count="1" selected="0">
            <x v="2"/>
          </reference>
          <reference field="31" count="1" selected="0">
            <x v="0"/>
          </reference>
        </references>
      </pivotArea>
    </format>
    <format dxfId="19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29" count="0" selected="0"/>
          <reference field="30" count="1" selected="0">
            <x v="2"/>
          </reference>
          <reference field="31" count="1" selected="0">
            <x v="0"/>
          </reference>
        </references>
      </pivotArea>
    </format>
    <format dxfId="194">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29" count="0" selected="0"/>
          <reference field="30" count="1" selected="0">
            <x v="2"/>
          </reference>
          <reference field="31" count="1" selected="0">
            <x v="5"/>
          </reference>
        </references>
      </pivotArea>
    </format>
    <format dxfId="19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29" count="0" selected="0"/>
          <reference field="30" count="1" selected="0">
            <x v="2"/>
          </reference>
          <reference field="31" count="1" selected="0">
            <x v="5"/>
          </reference>
        </references>
      </pivotArea>
    </format>
    <format dxfId="19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29" count="0" selected="0"/>
          <reference field="30" count="1" selected="0">
            <x v="2"/>
          </reference>
          <reference field="31" count="1" selected="0">
            <x v="5"/>
          </reference>
        </references>
      </pivotArea>
    </format>
    <format dxfId="19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29" count="0" selected="0"/>
          <reference field="30" count="1" selected="0">
            <x v="2"/>
          </reference>
          <reference field="31" count="1" selected="0">
            <x v="5"/>
          </reference>
        </references>
      </pivotArea>
    </format>
    <format dxfId="19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29" count="0" selected="0"/>
          <reference field="30" count="1" selected="0">
            <x v="2"/>
          </reference>
          <reference field="31" count="1" selected="0">
            <x v="5"/>
          </reference>
        </references>
      </pivotArea>
    </format>
    <format dxfId="18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29" count="0" selected="0"/>
          <reference field="30" count="1" selected="0">
            <x v="2"/>
          </reference>
          <reference field="31" count="1" selected="0">
            <x v="5"/>
          </reference>
        </references>
      </pivotArea>
    </format>
    <format dxfId="18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29" count="0" selected="0"/>
          <reference field="30" count="1" selected="0">
            <x v="2"/>
          </reference>
          <reference field="31" count="1" selected="0">
            <x v="5"/>
          </reference>
        </references>
      </pivotArea>
    </format>
    <format dxfId="18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29" count="0" selected="0"/>
          <reference field="30" count="1" selected="0">
            <x v="2"/>
          </reference>
          <reference field="31" count="1" selected="0">
            <x v="5"/>
          </reference>
        </references>
      </pivotArea>
    </format>
    <format dxfId="18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29" count="0" selected="0"/>
          <reference field="30" count="1" selected="0">
            <x v="3"/>
          </reference>
          <reference field="31" count="1" selected="0">
            <x v="3"/>
          </reference>
        </references>
      </pivotArea>
    </format>
    <format dxfId="18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29" count="0" selected="0"/>
          <reference field="30" count="1" selected="0">
            <x v="3"/>
          </reference>
          <reference field="31" count="1" selected="0">
            <x v="3"/>
          </reference>
        </references>
      </pivotArea>
    </format>
    <format dxfId="18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29" count="0" selected="0"/>
          <reference field="30" count="1" selected="0">
            <x v="3"/>
          </reference>
          <reference field="31" count="1" selected="0">
            <x v="3"/>
          </reference>
        </references>
      </pivotArea>
    </format>
    <format dxfId="18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29" count="0" selected="0"/>
          <reference field="30" count="1" selected="0">
            <x v="3"/>
          </reference>
          <reference field="31" count="1" selected="0">
            <x v="3"/>
          </reference>
        </references>
      </pivotArea>
    </format>
    <format dxfId="18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29" count="0" selected="0"/>
          <reference field="30" count="1" selected="0">
            <x v="3"/>
          </reference>
          <reference field="31" count="1" selected="0">
            <x v="3"/>
          </reference>
        </references>
      </pivotArea>
    </format>
    <format dxfId="18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29" count="0" selected="0"/>
          <reference field="30" count="1" selected="0">
            <x v="3"/>
          </reference>
          <reference field="31" count="1" selected="0">
            <x v="3"/>
          </reference>
        </references>
      </pivotArea>
    </format>
    <format dxfId="18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29" count="0" selected="0"/>
          <reference field="30" count="1" selected="0">
            <x v="3"/>
          </reference>
          <reference field="31" count="1" selected="0">
            <x v="3"/>
          </reference>
        </references>
      </pivotArea>
    </format>
    <format dxfId="17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29" count="0" selected="0"/>
          <reference field="30" count="1" selected="0">
            <x v="3"/>
          </reference>
          <reference field="31" count="1" selected="0">
            <x v="3"/>
          </reference>
        </references>
      </pivotArea>
    </format>
    <format dxfId="17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29" count="0" selected="0"/>
          <reference field="30" count="1" selected="0">
            <x v="3"/>
          </reference>
          <reference field="31" count="1" selected="0">
            <x v="3"/>
          </reference>
        </references>
      </pivotArea>
    </format>
    <format dxfId="17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29" count="0" selected="0"/>
          <reference field="30" count="1" selected="0">
            <x v="3"/>
          </reference>
          <reference field="31" count="1" selected="0">
            <x v="3"/>
          </reference>
        </references>
      </pivotArea>
    </format>
    <format dxfId="17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29" count="0" selected="0"/>
          <reference field="30" count="1" selected="0">
            <x v="3"/>
          </reference>
          <reference field="31" count="1" selected="0">
            <x v="3"/>
          </reference>
        </references>
      </pivotArea>
    </format>
    <format dxfId="17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29" count="0" selected="0"/>
          <reference field="30" count="1" selected="0">
            <x v="3"/>
          </reference>
          <reference field="31" count="1" selected="0">
            <x v="3"/>
          </reference>
        </references>
      </pivotArea>
    </format>
    <format dxfId="174">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29" count="0" selected="0"/>
          <reference field="30" count="1" selected="0">
            <x v="3"/>
          </reference>
          <reference field="31" count="1" selected="0">
            <x v="7"/>
          </reference>
        </references>
      </pivotArea>
    </format>
    <format dxfId="17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29" count="0" selected="0"/>
          <reference field="30" count="1" selected="0">
            <x v="3"/>
          </reference>
          <reference field="31" count="1" selected="0">
            <x v="7"/>
          </reference>
        </references>
      </pivotArea>
    </format>
    <format dxfId="17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29" count="0" selected="0"/>
          <reference field="30" count="1" selected="0">
            <x v="3"/>
          </reference>
          <reference field="31" count="1" selected="0">
            <x v="7"/>
          </reference>
        </references>
      </pivotArea>
    </format>
    <format dxfId="17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29" count="0" selected="0"/>
          <reference field="30" count="1" selected="0">
            <x v="3"/>
          </reference>
          <reference field="31" count="1" selected="0">
            <x v="7"/>
          </reference>
        </references>
      </pivotArea>
    </format>
    <format dxfId="17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29" count="0" selected="0"/>
          <reference field="30" count="1" selected="0">
            <x v="3"/>
          </reference>
          <reference field="31" count="1" selected="0">
            <x v="7"/>
          </reference>
        </references>
      </pivotArea>
    </format>
    <format dxfId="16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29" count="0" selected="0"/>
          <reference field="30" count="1" selected="0">
            <x v="3"/>
          </reference>
          <reference field="31" count="1" selected="0">
            <x v="7"/>
          </reference>
        </references>
      </pivotArea>
    </format>
    <format dxfId="16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29" count="0" selected="0"/>
          <reference field="30" count="1" selected="0">
            <x v="3"/>
          </reference>
          <reference field="31" count="1" selected="0">
            <x v="7"/>
          </reference>
        </references>
      </pivotArea>
    </format>
    <format dxfId="16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29" count="0" selected="0"/>
          <reference field="30" count="1" selected="0">
            <x v="3"/>
          </reference>
          <reference field="31" count="1" selected="0">
            <x v="7"/>
          </reference>
        </references>
      </pivotArea>
    </format>
    <format dxfId="16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29" count="0" selected="0"/>
          <reference field="30" count="1" selected="0">
            <x v="3"/>
          </reference>
          <reference field="31" count="1" selected="0">
            <x v="7"/>
          </reference>
        </references>
      </pivotArea>
    </format>
    <format dxfId="16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29" count="0" selected="0"/>
          <reference field="30" count="1" selected="0">
            <x v="3"/>
          </reference>
          <reference field="31" count="1" selected="0">
            <x v="7"/>
          </reference>
        </references>
      </pivotArea>
    </format>
    <format dxfId="16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29" count="0" selected="0"/>
          <reference field="30" count="1" selected="0">
            <x v="3"/>
          </reference>
          <reference field="31" count="1" selected="0">
            <x v="7"/>
          </reference>
        </references>
      </pivotArea>
    </format>
    <format dxfId="16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29" count="0" selected="0"/>
          <reference field="30" count="1" selected="0">
            <x v="3"/>
          </reference>
          <reference field="31" count="1" selected="0">
            <x v="7"/>
          </reference>
        </references>
      </pivotArea>
    </format>
    <format dxfId="16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29" count="0" selected="0"/>
          <reference field="30" count="1" selected="0">
            <x v="3"/>
          </reference>
          <reference field="31" count="1" selected="0">
            <x v="7"/>
          </reference>
        </references>
      </pivotArea>
    </format>
    <format dxfId="16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29" count="0" selected="0"/>
          <reference field="30" count="1" selected="0">
            <x v="3"/>
          </reference>
          <reference field="31" count="1" selected="0">
            <x v="7"/>
          </reference>
        </references>
      </pivotArea>
    </format>
    <format dxfId="16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29" count="0" selected="0"/>
          <reference field="30" count="1" selected="0">
            <x v="3"/>
          </reference>
          <reference field="31" count="1" selected="0">
            <x v="7"/>
          </reference>
        </references>
      </pivotArea>
    </format>
    <format dxfId="15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29" count="0" selected="0"/>
          <reference field="30" count="1" selected="0">
            <x v="3"/>
          </reference>
          <reference field="31" count="1" selected="0">
            <x v="7"/>
          </reference>
        </references>
      </pivotArea>
    </format>
    <format dxfId="15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29" count="0" selected="0"/>
          <reference field="30" count="1" selected="0">
            <x v="3"/>
          </reference>
          <reference field="31" count="1" selected="0">
            <x v="7"/>
          </reference>
        </references>
      </pivotArea>
    </format>
    <format dxfId="15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29" count="0" selected="0"/>
          <reference field="30" count="1" selected="0">
            <x v="3"/>
          </reference>
          <reference field="31" count="1" selected="0">
            <x v="7"/>
          </reference>
        </references>
      </pivotArea>
    </format>
    <format dxfId="15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29" count="0" selected="0"/>
          <reference field="30" count="1" selected="0">
            <x v="3"/>
          </reference>
          <reference field="31" count="1" selected="0">
            <x v="7"/>
          </reference>
        </references>
      </pivotArea>
    </format>
    <format dxfId="15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29" count="0" selected="0"/>
          <reference field="30" count="1" selected="0">
            <x v="3"/>
          </reference>
          <reference field="31" count="1" selected="0">
            <x v="7"/>
          </reference>
        </references>
      </pivotArea>
    </format>
    <format dxfId="15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29" count="0" selected="0"/>
          <reference field="30" count="1" selected="0">
            <x v="3"/>
          </reference>
          <reference field="31" count="1" selected="0">
            <x v="7"/>
          </reference>
        </references>
      </pivotArea>
    </format>
    <format dxfId="15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29" count="0" selected="0"/>
          <reference field="30" count="1" selected="0">
            <x v="3"/>
          </reference>
          <reference field="31" count="1" selected="0">
            <x v="7"/>
          </reference>
        </references>
      </pivotArea>
    </format>
    <format dxfId="152">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29" count="0" selected="0"/>
          <reference field="30" count="1" selected="0">
            <x v="3"/>
          </reference>
          <reference field="31" count="1" selected="0">
            <x v="7"/>
          </reference>
        </references>
      </pivotArea>
    </format>
    <format dxfId="15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29" count="0" selected="0"/>
          <reference field="30" count="1" selected="0">
            <x v="3"/>
          </reference>
          <reference field="31" count="1" selected="0">
            <x v="7"/>
          </reference>
        </references>
      </pivotArea>
    </format>
    <format dxfId="15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29" count="0" selected="0"/>
          <reference field="30" count="1" selected="0">
            <x v="2"/>
          </reference>
          <reference field="31" count="1" selected="0">
            <x v="5"/>
          </reference>
        </references>
      </pivotArea>
    </format>
    <format dxfId="14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29" count="0" selected="0"/>
          <reference field="30" count="1" selected="0">
            <x v="2"/>
          </reference>
          <reference field="31" count="1" selected="0">
            <x v="5"/>
          </reference>
        </references>
      </pivotArea>
    </format>
    <format dxfId="14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29" count="0" selected="0"/>
          <reference field="30" count="1" selected="0">
            <x v="2"/>
          </reference>
          <reference field="31" count="1" selected="0">
            <x v="5"/>
          </reference>
        </references>
      </pivotArea>
    </format>
    <format dxfId="14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29" count="0" selected="0"/>
          <reference field="30" count="1" selected="0">
            <x v="2"/>
          </reference>
          <reference field="31" count="1" selected="0">
            <x v="5"/>
          </reference>
        </references>
      </pivotArea>
    </format>
    <format dxfId="14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29" count="0" selected="0"/>
          <reference field="30" count="1" selected="0">
            <x v="2"/>
          </reference>
          <reference field="31" count="1" selected="0">
            <x v="5"/>
          </reference>
        </references>
      </pivotArea>
    </format>
    <format dxfId="14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29" count="0" selected="0"/>
          <reference field="30" count="1" selected="0">
            <x v="2"/>
          </reference>
          <reference field="31" count="1" selected="0">
            <x v="5"/>
          </reference>
        </references>
      </pivotArea>
    </format>
    <format dxfId="14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29" count="0" selected="0"/>
          <reference field="30" count="1" selected="0">
            <x v="2"/>
          </reference>
          <reference field="31" count="1" selected="0">
            <x v="5"/>
          </reference>
        </references>
      </pivotArea>
    </format>
    <format dxfId="14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29" count="0" selected="0"/>
          <reference field="30" count="1" selected="0">
            <x v="2"/>
          </reference>
          <reference field="31" count="1" selected="0">
            <x v="5"/>
          </reference>
        </references>
      </pivotArea>
    </format>
    <format dxfId="142">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29" count="0" selected="0"/>
          <reference field="30" count="1" selected="0">
            <x v="2"/>
          </reference>
          <reference field="31" count="1" selected="0">
            <x v="5"/>
          </reference>
        </references>
      </pivotArea>
    </format>
    <format dxfId="14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29" count="0" selected="0"/>
          <reference field="30" count="1" selected="0">
            <x v="2"/>
          </reference>
          <reference field="31" count="1" selected="0">
            <x v="5"/>
          </reference>
        </references>
      </pivotArea>
    </format>
    <format dxfId="140">
      <pivotArea dataOnly="0" labelOnly="1" fieldPosition="0">
        <references count="1">
          <reference field="11" count="0"/>
        </references>
      </pivotArea>
    </format>
    <format dxfId="139">
      <pivotArea dataOnly="0" labelOnly="1" fieldPosition="0">
        <references count="1">
          <reference field="11" count="0"/>
        </references>
      </pivotArea>
    </format>
    <format dxfId="138">
      <pivotArea dataOnly="0" labelOnly="1" fieldPosition="0">
        <references count="1">
          <reference field="13" count="0"/>
        </references>
      </pivotArea>
    </format>
    <format dxfId="137">
      <pivotArea dataOnly="0" labelOnly="1" fieldPosition="0">
        <references count="1">
          <reference field="13" count="0"/>
        </references>
      </pivotArea>
    </format>
    <format dxfId="136">
      <pivotArea dataOnly="0" labelOnly="1" fieldPosition="0">
        <references count="1">
          <reference field="31" count="0"/>
        </references>
      </pivotArea>
    </format>
    <format dxfId="135">
      <pivotArea dataOnly="0" labelOnly="1" fieldPosition="0">
        <references count="1">
          <reference field="31" count="0"/>
        </references>
      </pivotArea>
    </format>
    <format dxfId="1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99">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8">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7">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6">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5">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4">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1" selected="0">
            <x v="7"/>
          </reference>
        </references>
      </pivotArea>
    </format>
    <format dxfId="9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1" selected="0">
            <x v="7"/>
          </reference>
        </references>
      </pivotArea>
    </format>
    <format dxfId="9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1" selected="0">
            <x v="7"/>
          </reference>
        </references>
      </pivotArea>
    </format>
    <format dxfId="9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1" selected="0">
            <x v="7"/>
          </reference>
        </references>
      </pivotArea>
    </format>
    <format dxfId="8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1" selected="0">
            <x v="7"/>
          </reference>
        </references>
      </pivotArea>
    </format>
    <format dxfId="88">
      <pivotArea dataOnly="0" labelOnly="1" fieldPosition="0">
        <references count="1">
          <reference field="11" count="0"/>
        </references>
      </pivotArea>
    </format>
    <format dxfId="87">
      <pivotArea collapsedLevelsAreSubtotals="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86">
      <pivotArea dataOnly="0" labelOnly="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85">
      <pivotArea collapsedLevelsAreSubtotals="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84">
      <pivotArea dataOnly="0" labelOnly="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83">
      <pivotArea collapsedLevelsAreSubtotals="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82">
      <pivotArea dataOnly="0" labelOnly="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81">
      <pivotArea collapsedLevelsAreSubtotals="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80">
      <pivotArea dataOnly="0" labelOnly="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79">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78">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77">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76">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75">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74">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73">
      <pivotArea collapsedLevelsAreSubtotals="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72">
      <pivotArea dataOnly="0" labelOnly="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71">
      <pivotArea collapsedLevelsAreSubtotals="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70">
      <pivotArea dataOnly="0" labelOnly="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69">
      <pivotArea collapsedLevelsAreSubtotals="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68">
      <pivotArea dataOnly="0" labelOnly="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67">
      <pivotArea collapsedLevelsAreSubtotals="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66">
      <pivotArea dataOnly="0" labelOnly="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65">
      <pivotArea collapsedLevelsAreSubtotals="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64">
      <pivotArea dataOnly="0" labelOnly="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63">
      <pivotArea collapsedLevelsAreSubtotals="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62">
      <pivotArea dataOnly="0" labelOnly="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61">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60">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59">
      <pivotArea collapsedLevelsAreSubtotals="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58">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57">
      <pivotArea collapsedLevelsAreSubtotals="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56">
      <pivotArea dataOnly="0" labelOnly="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55">
      <pivotArea collapsedLevelsAreSubtotals="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54">
      <pivotArea dataOnly="0" labelOnly="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53">
      <pivotArea collapsedLevelsAreSubtotals="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 dxfId="52">
      <pivotArea dataOnly="0" labelOnly="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 dxfId="51">
      <pivotArea collapsedLevelsAreSubtotals="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50">
      <pivotArea dataOnly="0" labelOnly="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49">
      <pivotArea collapsedLevelsAreSubtotals="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48">
      <pivotArea dataOnly="0" labelOnly="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47">
      <pivotArea collapsedLevelsAreSubtotals="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46">
      <pivotArea dataOnly="0" labelOnly="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45">
      <pivotArea collapsedLevelsAreSubtotals="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44">
      <pivotArea dataOnly="0" labelOnly="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43">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42">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41">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40">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39">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38">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37">
      <pivotArea collapsedLevelsAreSubtotals="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36">
      <pivotArea dataOnly="0" labelOnly="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35">
      <pivotArea collapsedLevelsAreSubtotals="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34">
      <pivotArea dataOnly="0" labelOnly="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33">
      <pivotArea collapsedLevelsAreSubtotals="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32">
      <pivotArea dataOnly="0" labelOnly="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31">
      <pivotArea collapsedLevelsAreSubtotals="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30">
      <pivotArea dataOnly="0" labelOnly="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29">
      <pivotArea collapsedLevelsAreSubtotals="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28">
      <pivotArea dataOnly="0" labelOnly="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27">
      <pivotArea collapsedLevelsAreSubtotals="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26">
      <pivotArea dataOnly="0" labelOnly="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25">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24">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23">
      <pivotArea collapsedLevelsAreSubtotals="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22">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21">
      <pivotArea collapsedLevelsAreSubtotals="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20">
      <pivotArea dataOnly="0" labelOnly="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19">
      <pivotArea collapsedLevelsAreSubtotals="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18">
      <pivotArea dataOnly="0" labelOnly="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17">
      <pivotArea collapsedLevelsAreSubtotals="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 dxfId="16">
      <pivotArea dataOnly="0" labelOnly="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1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15">
      <pivotArea outline="0" collapsedLevelsAreSubtotals="1" fieldPosition="0"/>
    </format>
    <format dxfId="14">
      <pivotArea type="all" dataOnly="0" outline="0" fieldPosition="0"/>
    </format>
    <format dxfId="13">
      <pivotArea outline="0" collapsedLevelsAreSubtotals="1" fieldPosition="0"/>
    </format>
    <format dxfId="12">
      <pivotArea field="30" type="button" dataOnly="0" labelOnly="1" outline="0" axis="axisRow" fieldPosition="0"/>
    </format>
    <format dxfId="11">
      <pivotArea dataOnly="0" labelOnly="1" grandRow="1" outline="0" fieldPosition="0"/>
    </format>
    <format dxfId="10">
      <pivotArea dataOnly="0" labelOnly="1" outline="0" fieldPosition="0">
        <references count="1">
          <reference field="4294967294" count="4">
            <x v="0"/>
            <x v="1"/>
            <x v="2"/>
            <x v="3"/>
          </reference>
        </references>
      </pivotArea>
    </format>
    <format dxfId="9">
      <pivotArea dataOnly="0" labelOnly="1" fieldPosition="0">
        <references count="1">
          <reference field="30" count="0"/>
        </references>
      </pivotArea>
    </format>
    <format dxfId="8">
      <pivotArea collapsedLevelsAreSubtotals="1" fieldPosition="0">
        <references count="1">
          <reference field="30" count="1">
            <x v="0"/>
          </reference>
        </references>
      </pivotArea>
    </format>
    <format dxfId="7">
      <pivotArea dataOnly="0" labelOnly="1" fieldPosition="0">
        <references count="1">
          <reference field="30" count="1">
            <x v="0"/>
          </reference>
        </references>
      </pivotArea>
    </format>
    <format dxfId="6">
      <pivotArea collapsedLevelsAreSubtotals="1" fieldPosition="0">
        <references count="1">
          <reference field="30" count="1">
            <x v="1"/>
          </reference>
        </references>
      </pivotArea>
    </format>
    <format dxfId="5">
      <pivotArea dataOnly="0" labelOnly="1" fieldPosition="0">
        <references count="1">
          <reference field="30" count="1">
            <x v="1"/>
          </reference>
        </references>
      </pivotArea>
    </format>
    <format dxfId="4">
      <pivotArea collapsedLevelsAreSubtotals="1" fieldPosition="0">
        <references count="1">
          <reference field="30" count="1">
            <x v="2"/>
          </reference>
        </references>
      </pivotArea>
    </format>
    <format dxfId="3">
      <pivotArea dataOnly="0" labelOnly="1" fieldPosition="0">
        <references count="1">
          <reference field="30" count="1">
            <x v="2"/>
          </reference>
        </references>
      </pivotArea>
    </format>
    <format dxfId="2">
      <pivotArea collapsedLevelsAreSubtotals="1" fieldPosition="0">
        <references count="1">
          <reference field="30" count="1">
            <x v="3"/>
          </reference>
        </references>
      </pivotArea>
    </format>
    <format dxfId="1">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539">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538">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537">
      <calculatedColumnFormula>_xlfn.TEXTJOIN(" - ",TRUE,Subkoord[[#This Row],[id]],Subkoord[[#This Row],[skrdklpk]])</calculatedColumnFormula>
    </tableColumn>
    <tableColumn id="7" xr3:uid="{BB0E08D1-7433-45E1-9A8E-F09478BEE345}" name="Koordinator" dataDxfId="536">
      <calculatedColumnFormula array="1">INDEX(Koord[Koordinator],MATCH(1,(Subkoord[[#This Row],[id2]]=Koord[id2])*(Subkoord[[#This Row],[id3]]=Koord[id]),0))</calculatedColumnFormula>
    </tableColumn>
    <tableColumn id="8" xr3:uid="{CE9A8D26-5115-4AB0-A0D6-173532BAC073}" name="Eselon2" dataDxfId="535">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0" totalsRowShown="0" headerRowDxfId="531" dataDxfId="530" tableBorderDxfId="529">
  <autoFilter ref="B10:O170" xr:uid="{5439E600-4AE6-4A9C-BF96-1F8B4649EF5E}"/>
  <sortState xmlns:xlrd2="http://schemas.microsoft.com/office/spreadsheetml/2017/richdata2" ref="B11:O155">
    <sortCondition ref="C10:C155"/>
  </sortState>
  <tableColumns count="14">
    <tableColumn id="1" xr3:uid="{EA3EA993-E9B8-4175-AE78-56C2DE826084}" name="No" dataDxfId="528" totalsRowDxfId="527" dataCellStyle="Normal 4" totalsRowCellStyle="Normal 4"/>
    <tableColumn id="14" xr3:uid="{39BE1E11-4C0D-43C9-A7CF-CFD7B6D88EC1}" name="Urut" dataDxfId="526" totalsRowDxfId="525" dataCellStyle="Normal 4" totalsRowCellStyle="Normal 4"/>
    <tableColumn id="2" xr3:uid="{55765DF9-9B2D-49B2-8C10-51C6F4795A2B}" name="Nomor SP2D" dataDxfId="524" totalsRowDxfId="523" totalsRowCellStyle="Normal 4"/>
    <tableColumn id="3" xr3:uid="{95F2A4A6-178D-4D09-BEC2-A35DA9DD284C}" name="Tanggal SP2D" dataDxfId="522" totalsRowDxfId="521" totalsRowCellStyle="Normal 4"/>
    <tableColumn id="4" xr3:uid="{1BFC6E15-B107-44FC-880F-0FA398A70437}" name="Nilai SP2D" dataDxfId="520" totalsRowDxfId="519" dataCellStyle="Comma [0]" totalsRowCellStyle="Comma [0]"/>
    <tableColumn id="5" xr3:uid="{BA79B4B6-6D4D-4C40-A794-FBA956D546A8}" name="Jenis SPM" dataDxfId="518" totalsRowDxfId="517" totalsRowCellStyle="Normal 4"/>
    <tableColumn id="6" xr3:uid="{0728F6B3-877B-4801-849D-78A7FD394756}" name="Nomor Invoice" dataDxfId="516" totalsRowDxfId="515" totalsRowCellStyle="Normal 4"/>
    <tableColumn id="7" xr3:uid="{BC8C9A9E-906E-4F73-AA7C-36C21228DCD0}" name="Tanggal Invoice" dataDxfId="514" totalsRowDxfId="513" totalsRowCellStyle="Normal 4"/>
    <tableColumn id="8" xr3:uid="{4F370E97-CC92-41D4-B70A-C2C397F13E5F}" name="Jenis SP2D" dataDxfId="512" totalsRowDxfId="511" totalsRowCellStyle="Normal 4"/>
    <tableColumn id="9" xr3:uid="{5AB0F2BB-729E-4A36-99C2-531506F2E0D4}" name="Deskripsi" dataDxfId="510" totalsRowDxfId="509" totalsRowCellStyle="Normal 4"/>
    <tableColumn id="10" xr3:uid="{E9855FB4-726E-4E0F-A40E-89C5AF4CAAE7}" name="Bagian / Bidang" dataDxfId="508" totalsRowDxfId="507" dataCellStyle="Normal 4" totalsRowCellStyle="Normal 4"/>
    <tableColumn id="11" xr3:uid="{07CEE088-AC9A-406D-AECA-D9F23626D4D5}" name="Subbagian / Subbidang" dataDxfId="506" totalsRowDxfId="505" dataCellStyle="Normal 4" totalsRowCellStyle="Normal 4"/>
    <tableColumn id="13" xr3:uid="{7D701C80-B1AD-4D78-B3C3-525A71261916}" name="Status Realisasi" dataDxfId="504" dataCellStyle="Normal 4"/>
    <tableColumn id="12" xr3:uid="{BE916C21-2F59-4DE9-9BDF-707A1C1956B2}" name="all" dataDxfId="503" dataCellStyle="Normal 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6.xml"/><Relationship Id="rId11" Type="http://schemas.openxmlformats.org/officeDocument/2006/relationships/ctrlProp" Target="../ctrlProps/ctrlProp11.xml"/><Relationship Id="rId5" Type="http://schemas.openxmlformats.org/officeDocument/2006/relationships/image" Target="../media/image5.emf"/><Relationship Id="rId10" Type="http://schemas.openxmlformats.org/officeDocument/2006/relationships/ctrlProp" Target="../ctrlProps/ctrlProp10.xml"/><Relationship Id="rId4" Type="http://schemas.openxmlformats.org/officeDocument/2006/relationships/control" Target="../activeX/activeX5.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4" Type="http://schemas.microsoft.com/office/2007/relationships/slicer" Target="../slicers/slicer1.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x14ac:dyDescent="0.25"/>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x14ac:dyDescent="0.25">
      <c r="B1" s="424" t="s">
        <v>598</v>
      </c>
      <c r="C1" s="424"/>
      <c r="D1" s="424"/>
      <c r="E1" s="424"/>
      <c r="F1" s="424"/>
      <c r="G1" s="424"/>
      <c r="I1" s="9"/>
    </row>
    <row r="2" spans="1:10" x14ac:dyDescent="0.25">
      <c r="B2" s="425" t="s">
        <v>614</v>
      </c>
      <c r="C2" s="425"/>
      <c r="D2" s="425"/>
      <c r="E2" s="425"/>
      <c r="F2" s="425"/>
      <c r="G2" s="425"/>
      <c r="I2" s="10"/>
    </row>
    <row r="3" spans="1:10" x14ac:dyDescent="0.25">
      <c r="B3" s="65"/>
      <c r="C3" s="65"/>
      <c r="D3" s="65"/>
      <c r="E3" s="65"/>
      <c r="F3" s="65"/>
      <c r="G3" s="65"/>
      <c r="I3" s="10"/>
    </row>
    <row r="4" spans="1:10" x14ac:dyDescent="0.25">
      <c r="B4" s="49" t="s">
        <v>599</v>
      </c>
      <c r="C4" s="49" t="s">
        <v>600</v>
      </c>
      <c r="D4" s="49"/>
      <c r="E4" s="52"/>
      <c r="F4" s="49"/>
      <c r="G4" s="49"/>
      <c r="I4" s="10"/>
    </row>
    <row r="5" spans="1:10" ht="15" x14ac:dyDescent="0.25">
      <c r="B5" s="49" t="s">
        <v>601</v>
      </c>
      <c r="C5" s="49" t="s">
        <v>602</v>
      </c>
      <c r="D5" s="50"/>
      <c r="E5" s="53"/>
      <c r="F5" s="50"/>
      <c r="G5" s="50"/>
      <c r="I5" s="10"/>
    </row>
    <row r="6" spans="1:10" ht="15" x14ac:dyDescent="0.25">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5">
      <c r="B8" s="48"/>
      <c r="C8" s="48"/>
      <c r="D8" s="48"/>
      <c r="F8" s="48"/>
      <c r="G8" s="48"/>
      <c r="I8" s="10"/>
    </row>
    <row r="9" spans="1:10" x14ac:dyDescent="0.25">
      <c r="B9" s="426" t="s">
        <v>606</v>
      </c>
      <c r="C9" s="428" t="s">
        <v>607</v>
      </c>
      <c r="D9" s="429" t="s">
        <v>608</v>
      </c>
      <c r="E9" s="426" t="s">
        <v>609</v>
      </c>
      <c r="F9" s="429" t="s">
        <v>610</v>
      </c>
      <c r="G9" s="429" t="s">
        <v>611</v>
      </c>
      <c r="I9" s="14"/>
    </row>
    <row r="10" spans="1:10" s="16" customFormat="1" x14ac:dyDescent="0.25">
      <c r="A10" s="15" t="s">
        <v>499</v>
      </c>
      <c r="B10" s="427"/>
      <c r="C10" s="427"/>
      <c r="D10" s="427"/>
      <c r="E10" s="430"/>
      <c r="F10" s="427"/>
      <c r="G10" s="427"/>
      <c r="I10" s="17"/>
    </row>
    <row r="11" spans="1:10" s="16" customFormat="1" x14ac:dyDescent="0.25">
      <c r="A11" s="15"/>
      <c r="B11" s="72">
        <v>1</v>
      </c>
      <c r="C11" s="72">
        <v>2</v>
      </c>
      <c r="D11" s="72">
        <v>3</v>
      </c>
      <c r="E11" s="72">
        <v>4</v>
      </c>
      <c r="F11" s="72">
        <v>5</v>
      </c>
      <c r="G11" s="72">
        <v>6</v>
      </c>
      <c r="I11" s="17"/>
    </row>
    <row r="12" spans="1:10" s="16" customFormat="1" x14ac:dyDescent="0.25">
      <c r="A12" s="15"/>
      <c r="B12" s="73" t="s">
        <v>612</v>
      </c>
      <c r="C12" s="74" t="s">
        <v>613</v>
      </c>
      <c r="D12" s="75"/>
      <c r="E12" s="76"/>
      <c r="F12" s="75"/>
      <c r="G12" s="77"/>
      <c r="I12" s="17"/>
    </row>
    <row r="13" spans="1:10" x14ac:dyDescent="0.25">
      <c r="A13" s="7" t="s">
        <v>0</v>
      </c>
      <c r="B13" s="22" t="s">
        <v>0</v>
      </c>
      <c r="C13" s="23" t="s">
        <v>1</v>
      </c>
      <c r="D13" s="22"/>
      <c r="E13" s="54"/>
      <c r="F13" s="24"/>
      <c r="G13" s="24">
        <v>2500000000</v>
      </c>
      <c r="I13" s="421" t="s">
        <v>596</v>
      </c>
      <c r="J13" s="422" t="s">
        <v>597</v>
      </c>
    </row>
    <row r="14" spans="1:10" x14ac:dyDescent="0.25">
      <c r="A14" s="7" t="s">
        <v>199</v>
      </c>
      <c r="B14" s="25" t="s">
        <v>194</v>
      </c>
      <c r="C14" s="26" t="s">
        <v>2</v>
      </c>
      <c r="D14" s="25"/>
      <c r="E14" s="55"/>
      <c r="F14" s="27"/>
      <c r="G14" s="27">
        <v>1500000000</v>
      </c>
      <c r="I14" s="421"/>
      <c r="J14" s="422"/>
    </row>
    <row r="15" spans="1:10" x14ac:dyDescent="0.25">
      <c r="A15" s="7" t="s">
        <v>200</v>
      </c>
      <c r="B15" s="28" t="s">
        <v>3</v>
      </c>
      <c r="C15" s="29" t="s">
        <v>615</v>
      </c>
      <c r="D15" s="46"/>
      <c r="E15" s="56"/>
      <c r="F15" s="30"/>
      <c r="G15" s="30">
        <v>1500000000</v>
      </c>
      <c r="I15" s="1" t="s">
        <v>496</v>
      </c>
      <c r="J15" s="18" t="b">
        <v>0</v>
      </c>
    </row>
    <row r="16" spans="1:10" ht="26.4" x14ac:dyDescent="0.25">
      <c r="A16" s="7" t="s">
        <v>201</v>
      </c>
      <c r="B16" s="31" t="s">
        <v>616</v>
      </c>
      <c r="C16" s="32" t="s">
        <v>4</v>
      </c>
      <c r="D16" s="31"/>
      <c r="E16" s="57"/>
      <c r="F16" s="33"/>
      <c r="G16" s="33">
        <v>1500000000</v>
      </c>
      <c r="I16" s="2" t="s">
        <v>497</v>
      </c>
      <c r="J16" s="18" t="b">
        <v>0</v>
      </c>
    </row>
    <row r="17" spans="1:10" x14ac:dyDescent="0.25">
      <c r="A17" s="7" t="s">
        <v>202</v>
      </c>
      <c r="B17" s="34" t="s">
        <v>502</v>
      </c>
      <c r="C17" s="35" t="s">
        <v>5</v>
      </c>
      <c r="D17" s="34"/>
      <c r="E17" s="58"/>
      <c r="F17" s="36"/>
      <c r="G17" s="36">
        <v>600000000</v>
      </c>
      <c r="I17" s="3" t="s">
        <v>593</v>
      </c>
      <c r="J17" s="18" t="b">
        <v>0</v>
      </c>
    </row>
    <row r="18" spans="1:10" ht="26.4" x14ac:dyDescent="0.25">
      <c r="A18" s="7" t="s">
        <v>203</v>
      </c>
      <c r="B18" s="37" t="s">
        <v>8</v>
      </c>
      <c r="C18" s="38" t="s">
        <v>6</v>
      </c>
      <c r="D18" s="37"/>
      <c r="E18" s="59"/>
      <c r="F18" s="39"/>
      <c r="G18" s="39">
        <v>72820000</v>
      </c>
      <c r="I18" s="66" t="s">
        <v>594</v>
      </c>
      <c r="J18" s="18" t="b">
        <v>0</v>
      </c>
    </row>
    <row r="19" spans="1:10" x14ac:dyDescent="0.25">
      <c r="A19" s="7" t="s">
        <v>204</v>
      </c>
      <c r="B19" s="40" t="s">
        <v>503</v>
      </c>
      <c r="C19" s="41" t="s">
        <v>7</v>
      </c>
      <c r="D19" s="40"/>
      <c r="E19" s="60"/>
      <c r="F19" s="42"/>
      <c r="G19" s="42">
        <v>6890000</v>
      </c>
      <c r="I19" s="4" t="s">
        <v>498</v>
      </c>
      <c r="J19" s="18" t="b">
        <v>0</v>
      </c>
    </row>
    <row r="20" spans="1:10" x14ac:dyDescent="0.25">
      <c r="A20" s="7" t="s">
        <v>205</v>
      </c>
      <c r="B20" s="43" t="s">
        <v>195</v>
      </c>
      <c r="C20" s="44" t="s">
        <v>617</v>
      </c>
      <c r="D20" s="47">
        <v>1</v>
      </c>
      <c r="E20" s="61" t="s">
        <v>9</v>
      </c>
      <c r="F20" s="45">
        <v>750000</v>
      </c>
      <c r="G20" s="45">
        <v>750000</v>
      </c>
      <c r="I20" s="5" t="s">
        <v>595</v>
      </c>
      <c r="J20" s="18" t="b">
        <v>0</v>
      </c>
    </row>
    <row r="21" spans="1:10" x14ac:dyDescent="0.25">
      <c r="A21" s="7" t="s">
        <v>206</v>
      </c>
      <c r="B21" s="43" t="s">
        <v>195</v>
      </c>
      <c r="C21" s="44" t="s">
        <v>618</v>
      </c>
      <c r="D21" s="47">
        <v>60</v>
      </c>
      <c r="E21" s="61" t="s">
        <v>25</v>
      </c>
      <c r="F21" s="45">
        <v>69000</v>
      </c>
      <c r="G21" s="45">
        <v>4140000</v>
      </c>
      <c r="I21" s="6" t="s">
        <v>499</v>
      </c>
      <c r="J21" s="18" t="b">
        <v>1</v>
      </c>
    </row>
    <row r="22" spans="1:10" x14ac:dyDescent="0.25">
      <c r="A22" s="7" t="s">
        <v>207</v>
      </c>
      <c r="B22" s="43" t="s">
        <v>195</v>
      </c>
      <c r="C22" s="44" t="s">
        <v>619</v>
      </c>
      <c r="D22" s="47">
        <v>1</v>
      </c>
      <c r="E22" s="61" t="s">
        <v>9</v>
      </c>
      <c r="F22" s="45">
        <v>1000000</v>
      </c>
      <c r="G22" s="45">
        <v>1000000</v>
      </c>
      <c r="I22" s="423"/>
      <c r="J22" s="423"/>
    </row>
    <row r="23" spans="1:10" x14ac:dyDescent="0.25">
      <c r="A23" s="7" t="s">
        <v>208</v>
      </c>
      <c r="B23" s="43" t="s">
        <v>195</v>
      </c>
      <c r="C23" s="44" t="s">
        <v>620</v>
      </c>
      <c r="D23" s="47">
        <v>1</v>
      </c>
      <c r="E23" s="61" t="s">
        <v>9</v>
      </c>
      <c r="F23" s="45">
        <v>1000000</v>
      </c>
      <c r="G23" s="45">
        <v>1000000</v>
      </c>
      <c r="I23" s="423"/>
      <c r="J23" s="423"/>
    </row>
    <row r="24" spans="1:10" x14ac:dyDescent="0.25">
      <c r="A24" s="7" t="s">
        <v>209</v>
      </c>
      <c r="B24" s="40" t="s">
        <v>516</v>
      </c>
      <c r="C24" s="41" t="s">
        <v>11</v>
      </c>
      <c r="D24" s="40"/>
      <c r="E24" s="60"/>
      <c r="F24" s="42"/>
      <c r="G24" s="42">
        <v>9000000</v>
      </c>
      <c r="I24" s="423"/>
      <c r="J24" s="423"/>
    </row>
    <row r="25" spans="1:10" x14ac:dyDescent="0.25">
      <c r="A25" s="7" t="s">
        <v>210</v>
      </c>
      <c r="B25" s="43" t="s">
        <v>195</v>
      </c>
      <c r="C25" s="44" t="s">
        <v>621</v>
      </c>
      <c r="D25" s="47">
        <v>10</v>
      </c>
      <c r="E25" s="61" t="s">
        <v>54</v>
      </c>
      <c r="F25" s="45">
        <v>900000</v>
      </c>
      <c r="G25" s="45">
        <v>9000000</v>
      </c>
      <c r="I25" s="19"/>
      <c r="J25" s="19"/>
    </row>
    <row r="26" spans="1:10" x14ac:dyDescent="0.25">
      <c r="A26" s="7" t="s">
        <v>211</v>
      </c>
      <c r="B26" s="40" t="s">
        <v>507</v>
      </c>
      <c r="C26" s="41" t="s">
        <v>13</v>
      </c>
      <c r="D26" s="40"/>
      <c r="E26" s="60"/>
      <c r="F26" s="42"/>
      <c r="G26" s="42">
        <v>900000</v>
      </c>
    </row>
    <row r="27" spans="1:10" x14ac:dyDescent="0.25">
      <c r="A27" s="7" t="s">
        <v>212</v>
      </c>
      <c r="B27" s="43" t="s">
        <v>195</v>
      </c>
      <c r="C27" s="44" t="s">
        <v>622</v>
      </c>
      <c r="D27" s="47">
        <v>6</v>
      </c>
      <c r="E27" s="61" t="s">
        <v>25</v>
      </c>
      <c r="F27" s="45">
        <v>150000</v>
      </c>
      <c r="G27" s="45">
        <v>900000</v>
      </c>
    </row>
    <row r="28" spans="1:10" x14ac:dyDescent="0.25">
      <c r="A28" s="7" t="s">
        <v>213</v>
      </c>
      <c r="B28" s="40" t="s">
        <v>509</v>
      </c>
      <c r="C28" s="41" t="s">
        <v>14</v>
      </c>
      <c r="D28" s="40"/>
      <c r="E28" s="60"/>
      <c r="F28" s="42"/>
      <c r="G28" s="42">
        <v>780000</v>
      </c>
    </row>
    <row r="29" spans="1:10" x14ac:dyDescent="0.25">
      <c r="A29" s="7" t="s">
        <v>214</v>
      </c>
      <c r="B29" s="43" t="s">
        <v>195</v>
      </c>
      <c r="C29" s="44" t="s">
        <v>623</v>
      </c>
      <c r="D29" s="47">
        <v>6</v>
      </c>
      <c r="E29" s="61" t="s">
        <v>25</v>
      </c>
      <c r="F29" s="45">
        <v>130000</v>
      </c>
      <c r="G29" s="45">
        <v>780000</v>
      </c>
    </row>
    <row r="30" spans="1:10" x14ac:dyDescent="0.25">
      <c r="A30" s="7" t="s">
        <v>215</v>
      </c>
      <c r="B30" s="40" t="s">
        <v>510</v>
      </c>
      <c r="C30" s="41" t="s">
        <v>15</v>
      </c>
      <c r="D30" s="40"/>
      <c r="E30" s="60"/>
      <c r="F30" s="42"/>
      <c r="G30" s="42">
        <v>55250000</v>
      </c>
      <c r="I30" s="20"/>
    </row>
    <row r="31" spans="1:10" x14ac:dyDescent="0.25">
      <c r="A31" s="7" t="s">
        <v>216</v>
      </c>
      <c r="B31" s="40" t="s">
        <v>195</v>
      </c>
      <c r="C31" s="41" t="s">
        <v>624</v>
      </c>
      <c r="D31" s="40">
        <v>50</v>
      </c>
      <c r="E31" s="60" t="s">
        <v>25</v>
      </c>
      <c r="F31" s="42">
        <v>450000</v>
      </c>
      <c r="G31" s="42">
        <v>22500000</v>
      </c>
    </row>
    <row r="32" spans="1:10" x14ac:dyDescent="0.25">
      <c r="A32" s="7" t="s">
        <v>217</v>
      </c>
      <c r="B32" s="43" t="s">
        <v>195</v>
      </c>
      <c r="C32" s="44" t="s">
        <v>625</v>
      </c>
      <c r="D32" s="47">
        <v>50</v>
      </c>
      <c r="E32" s="61" t="s">
        <v>25</v>
      </c>
      <c r="F32" s="45">
        <v>105000</v>
      </c>
      <c r="G32" s="45">
        <v>5250000</v>
      </c>
    </row>
    <row r="33" spans="1:7" ht="26.4" x14ac:dyDescent="0.25">
      <c r="A33" s="7" t="s">
        <v>218</v>
      </c>
      <c r="B33" s="43" t="s">
        <v>195</v>
      </c>
      <c r="C33" s="44" t="s">
        <v>626</v>
      </c>
      <c r="D33" s="47">
        <v>50</v>
      </c>
      <c r="E33" s="61" t="s">
        <v>25</v>
      </c>
      <c r="F33" s="45">
        <v>550000</v>
      </c>
      <c r="G33" s="45">
        <v>27500000</v>
      </c>
    </row>
    <row r="34" spans="1:7" ht="26.4" x14ac:dyDescent="0.25">
      <c r="A34" s="7" t="s">
        <v>219</v>
      </c>
      <c r="B34" s="37" t="s">
        <v>511</v>
      </c>
      <c r="C34" s="38" t="s">
        <v>17</v>
      </c>
      <c r="D34" s="70"/>
      <c r="E34" s="59"/>
      <c r="F34" s="39"/>
      <c r="G34" s="39">
        <v>100790000</v>
      </c>
    </row>
    <row r="35" spans="1:7" x14ac:dyDescent="0.25">
      <c r="A35" s="7" t="s">
        <v>220</v>
      </c>
      <c r="B35" s="40" t="s">
        <v>503</v>
      </c>
      <c r="C35" s="41" t="s">
        <v>7</v>
      </c>
      <c r="D35" s="71"/>
      <c r="E35" s="60"/>
      <c r="F35" s="42"/>
      <c r="G35" s="42">
        <v>13540000</v>
      </c>
    </row>
    <row r="36" spans="1:7" x14ac:dyDescent="0.25">
      <c r="A36" s="7" t="s">
        <v>221</v>
      </c>
      <c r="B36" s="40" t="s">
        <v>195</v>
      </c>
      <c r="C36" s="41" t="s">
        <v>617</v>
      </c>
      <c r="D36" s="40">
        <v>1</v>
      </c>
      <c r="E36" s="60" t="s">
        <v>9</v>
      </c>
      <c r="F36" s="42">
        <v>500000</v>
      </c>
      <c r="G36" s="42">
        <v>500000</v>
      </c>
    </row>
    <row r="37" spans="1:7" x14ac:dyDescent="0.25">
      <c r="A37" s="7" t="s">
        <v>222</v>
      </c>
      <c r="B37" s="43" t="s">
        <v>195</v>
      </c>
      <c r="C37" s="44" t="s">
        <v>627</v>
      </c>
      <c r="D37" s="47">
        <v>160</v>
      </c>
      <c r="E37" s="61" t="s">
        <v>25</v>
      </c>
      <c r="F37" s="45">
        <v>47000</v>
      </c>
      <c r="G37" s="45">
        <v>7520000</v>
      </c>
    </row>
    <row r="38" spans="1:7" x14ac:dyDescent="0.25">
      <c r="A38" s="7" t="s">
        <v>223</v>
      </c>
      <c r="B38" s="40" t="s">
        <v>195</v>
      </c>
      <c r="C38" s="41" t="s">
        <v>628</v>
      </c>
      <c r="D38" s="40">
        <v>160</v>
      </c>
      <c r="E38" s="60" t="s">
        <v>25</v>
      </c>
      <c r="F38" s="42">
        <v>22000</v>
      </c>
      <c r="G38" s="42">
        <v>3520000</v>
      </c>
    </row>
    <row r="39" spans="1:7" x14ac:dyDescent="0.25">
      <c r="A39" s="7" t="s">
        <v>224</v>
      </c>
      <c r="B39" s="43" t="s">
        <v>195</v>
      </c>
      <c r="C39" s="44" t="s">
        <v>619</v>
      </c>
      <c r="D39" s="47">
        <v>1</v>
      </c>
      <c r="E39" s="61" t="s">
        <v>9</v>
      </c>
      <c r="F39" s="45">
        <v>1000000</v>
      </c>
      <c r="G39" s="45">
        <v>1000000</v>
      </c>
    </row>
    <row r="40" spans="1:7" x14ac:dyDescent="0.25">
      <c r="A40" s="7" t="s">
        <v>225</v>
      </c>
      <c r="B40" s="37" t="s">
        <v>195</v>
      </c>
      <c r="C40" s="38" t="s">
        <v>620</v>
      </c>
      <c r="D40" s="37">
        <v>1</v>
      </c>
      <c r="E40" s="59" t="s">
        <v>9</v>
      </c>
      <c r="F40" s="39">
        <v>1000000</v>
      </c>
      <c r="G40" s="39">
        <v>1000000</v>
      </c>
    </row>
    <row r="41" spans="1:7" x14ac:dyDescent="0.25">
      <c r="A41" s="7" t="s">
        <v>226</v>
      </c>
      <c r="B41" s="40" t="s">
        <v>516</v>
      </c>
      <c r="C41" s="41" t="s">
        <v>11</v>
      </c>
      <c r="D41" s="40"/>
      <c r="E41" s="60"/>
      <c r="F41" s="42"/>
      <c r="G41" s="42">
        <v>18000000</v>
      </c>
    </row>
    <row r="42" spans="1:7" x14ac:dyDescent="0.25">
      <c r="A42" s="7" t="s">
        <v>227</v>
      </c>
      <c r="B42" s="43" t="s">
        <v>195</v>
      </c>
      <c r="C42" s="44" t="s">
        <v>629</v>
      </c>
      <c r="D42" s="47">
        <v>20</v>
      </c>
      <c r="E42" s="61" t="s">
        <v>54</v>
      </c>
      <c r="F42" s="45">
        <v>900000</v>
      </c>
      <c r="G42" s="45">
        <v>18000000</v>
      </c>
    </row>
    <row r="43" spans="1:7" x14ac:dyDescent="0.25">
      <c r="A43" s="7" t="s">
        <v>228</v>
      </c>
      <c r="B43" s="40" t="s">
        <v>507</v>
      </c>
      <c r="C43" s="41" t="s">
        <v>13</v>
      </c>
      <c r="D43" s="71"/>
      <c r="E43" s="60"/>
      <c r="F43" s="42"/>
      <c r="G43" s="42">
        <v>14000000</v>
      </c>
    </row>
    <row r="44" spans="1:7" x14ac:dyDescent="0.25">
      <c r="A44" s="7" t="s">
        <v>229</v>
      </c>
      <c r="B44" s="43" t="s">
        <v>195</v>
      </c>
      <c r="C44" s="44" t="s">
        <v>630</v>
      </c>
      <c r="D44" s="47">
        <v>50</v>
      </c>
      <c r="E44" s="61" t="s">
        <v>25</v>
      </c>
      <c r="F44" s="45">
        <v>150000</v>
      </c>
      <c r="G44" s="45">
        <v>7500000</v>
      </c>
    </row>
    <row r="45" spans="1:7" x14ac:dyDescent="0.25">
      <c r="A45" s="7" t="s">
        <v>631</v>
      </c>
      <c r="B45" s="43" t="s">
        <v>195</v>
      </c>
      <c r="C45" s="44" t="s">
        <v>623</v>
      </c>
      <c r="D45" s="47">
        <v>50</v>
      </c>
      <c r="E45" s="61" t="s">
        <v>25</v>
      </c>
      <c r="F45" s="45">
        <v>130000</v>
      </c>
      <c r="G45" s="45">
        <v>6500000</v>
      </c>
    </row>
    <row r="46" spans="1:7" x14ac:dyDescent="0.25">
      <c r="A46" s="7" t="s">
        <v>230</v>
      </c>
      <c r="B46" s="40" t="s">
        <v>510</v>
      </c>
      <c r="C46" s="41" t="s">
        <v>15</v>
      </c>
      <c r="D46" s="40"/>
      <c r="E46" s="60"/>
      <c r="F46" s="42"/>
      <c r="G46" s="42">
        <v>55250000</v>
      </c>
    </row>
    <row r="47" spans="1:7" x14ac:dyDescent="0.25">
      <c r="A47" s="7" t="s">
        <v>231</v>
      </c>
      <c r="B47" s="43" t="s">
        <v>195</v>
      </c>
      <c r="C47" s="44" t="s">
        <v>624</v>
      </c>
      <c r="D47" s="47">
        <v>50</v>
      </c>
      <c r="E47" s="61" t="s">
        <v>25</v>
      </c>
      <c r="F47" s="45">
        <v>450000</v>
      </c>
      <c r="G47" s="45">
        <v>22500000</v>
      </c>
    </row>
    <row r="48" spans="1:7" x14ac:dyDescent="0.25">
      <c r="A48" s="7" t="s">
        <v>232</v>
      </c>
      <c r="B48" s="40" t="s">
        <v>195</v>
      </c>
      <c r="C48" s="41" t="s">
        <v>632</v>
      </c>
      <c r="D48" s="40">
        <v>50</v>
      </c>
      <c r="E48" s="60" t="s">
        <v>25</v>
      </c>
      <c r="F48" s="42">
        <v>105000</v>
      </c>
      <c r="G48" s="42">
        <v>5250000</v>
      </c>
    </row>
    <row r="49" spans="1:7" ht="26.4" x14ac:dyDescent="0.25">
      <c r="A49" s="7" t="s">
        <v>233</v>
      </c>
      <c r="B49" s="43" t="s">
        <v>195</v>
      </c>
      <c r="C49" s="44" t="s">
        <v>633</v>
      </c>
      <c r="D49" s="47">
        <v>50</v>
      </c>
      <c r="E49" s="61" t="s">
        <v>25</v>
      </c>
      <c r="F49" s="45">
        <v>550000</v>
      </c>
      <c r="G49" s="45">
        <v>27500000</v>
      </c>
    </row>
    <row r="50" spans="1:7" x14ac:dyDescent="0.25">
      <c r="A50" s="7" t="s">
        <v>234</v>
      </c>
      <c r="B50" s="37" t="s">
        <v>512</v>
      </c>
      <c r="C50" s="38" t="s">
        <v>18</v>
      </c>
      <c r="D50" s="37"/>
      <c r="E50" s="59"/>
      <c r="F50" s="39"/>
      <c r="G50" s="39">
        <v>47060000</v>
      </c>
    </row>
    <row r="51" spans="1:7" x14ac:dyDescent="0.25">
      <c r="A51" s="7" t="s">
        <v>235</v>
      </c>
      <c r="B51" s="40" t="s">
        <v>503</v>
      </c>
      <c r="C51" s="41" t="s">
        <v>7</v>
      </c>
      <c r="D51" s="71"/>
      <c r="E51" s="60"/>
      <c r="F51" s="42"/>
      <c r="G51" s="42">
        <v>4820000</v>
      </c>
    </row>
    <row r="52" spans="1:7" x14ac:dyDescent="0.25">
      <c r="A52" s="7" t="s">
        <v>236</v>
      </c>
      <c r="B52" s="34" t="s">
        <v>195</v>
      </c>
      <c r="C52" s="35" t="s">
        <v>617</v>
      </c>
      <c r="D52" s="34">
        <v>1</v>
      </c>
      <c r="E52" s="58" t="s">
        <v>9</v>
      </c>
      <c r="F52" s="36">
        <v>750000</v>
      </c>
      <c r="G52" s="36">
        <v>750000</v>
      </c>
    </row>
    <row r="53" spans="1:7" x14ac:dyDescent="0.25">
      <c r="A53" s="7" t="s">
        <v>237</v>
      </c>
      <c r="B53" s="37" t="s">
        <v>195</v>
      </c>
      <c r="C53" s="38" t="s">
        <v>634</v>
      </c>
      <c r="D53" s="37">
        <v>30</v>
      </c>
      <c r="E53" s="59" t="s">
        <v>25</v>
      </c>
      <c r="F53" s="39">
        <v>69000</v>
      </c>
      <c r="G53" s="39">
        <v>2070000</v>
      </c>
    </row>
    <row r="54" spans="1:7" x14ac:dyDescent="0.25">
      <c r="A54" s="7" t="s">
        <v>238</v>
      </c>
      <c r="B54" s="40" t="s">
        <v>195</v>
      </c>
      <c r="C54" s="41" t="s">
        <v>619</v>
      </c>
      <c r="D54" s="40">
        <v>1</v>
      </c>
      <c r="E54" s="60" t="s">
        <v>9</v>
      </c>
      <c r="F54" s="42">
        <v>1000000</v>
      </c>
      <c r="G54" s="42">
        <v>1000000</v>
      </c>
    </row>
    <row r="55" spans="1:7" x14ac:dyDescent="0.25">
      <c r="A55" s="7" t="s">
        <v>239</v>
      </c>
      <c r="B55" s="43" t="s">
        <v>195</v>
      </c>
      <c r="C55" s="44" t="s">
        <v>620</v>
      </c>
      <c r="D55" s="47">
        <v>1</v>
      </c>
      <c r="E55" s="61" t="s">
        <v>9</v>
      </c>
      <c r="F55" s="45">
        <v>1000000</v>
      </c>
      <c r="G55" s="45">
        <v>1000000</v>
      </c>
    </row>
    <row r="56" spans="1:7" x14ac:dyDescent="0.25">
      <c r="A56" s="7" t="s">
        <v>240</v>
      </c>
      <c r="B56" s="40" t="s">
        <v>513</v>
      </c>
      <c r="C56" s="41" t="s">
        <v>19</v>
      </c>
      <c r="D56" s="71"/>
      <c r="E56" s="60"/>
      <c r="F56" s="42"/>
      <c r="G56" s="42">
        <v>40000000</v>
      </c>
    </row>
    <row r="57" spans="1:7" ht="26.4" x14ac:dyDescent="0.25">
      <c r="A57" s="7" t="s">
        <v>241</v>
      </c>
      <c r="B57" s="43" t="s">
        <v>195</v>
      </c>
      <c r="C57" s="44" t="s">
        <v>635</v>
      </c>
      <c r="D57" s="47">
        <v>8</v>
      </c>
      <c r="E57" s="61" t="s">
        <v>25</v>
      </c>
      <c r="F57" s="45">
        <v>5000000</v>
      </c>
      <c r="G57" s="45">
        <v>40000000</v>
      </c>
    </row>
    <row r="58" spans="1:7" x14ac:dyDescent="0.25">
      <c r="A58" s="7" t="s">
        <v>636</v>
      </c>
      <c r="B58" s="40" t="s">
        <v>507</v>
      </c>
      <c r="C58" s="41" t="s">
        <v>13</v>
      </c>
      <c r="D58" s="71"/>
      <c r="E58" s="60"/>
      <c r="F58" s="42"/>
      <c r="G58" s="42">
        <v>1200000</v>
      </c>
    </row>
    <row r="59" spans="1:7" x14ac:dyDescent="0.25">
      <c r="A59" s="7" t="s">
        <v>637</v>
      </c>
      <c r="B59" s="43" t="s">
        <v>195</v>
      </c>
      <c r="C59" s="44" t="s">
        <v>638</v>
      </c>
      <c r="D59" s="47">
        <v>8</v>
      </c>
      <c r="E59" s="61" t="s">
        <v>25</v>
      </c>
      <c r="F59" s="45">
        <v>150000</v>
      </c>
      <c r="G59" s="45">
        <v>1200000</v>
      </c>
    </row>
    <row r="60" spans="1:7" x14ac:dyDescent="0.25">
      <c r="A60" s="7" t="s">
        <v>639</v>
      </c>
      <c r="B60" s="40" t="s">
        <v>509</v>
      </c>
      <c r="C60" s="41" t="s">
        <v>14</v>
      </c>
      <c r="D60" s="71"/>
      <c r="E60" s="60"/>
      <c r="F60" s="42"/>
      <c r="G60" s="42">
        <v>1040000</v>
      </c>
    </row>
    <row r="61" spans="1:7" x14ac:dyDescent="0.25">
      <c r="A61" s="7" t="s">
        <v>640</v>
      </c>
      <c r="B61" s="43" t="s">
        <v>195</v>
      </c>
      <c r="C61" s="44" t="s">
        <v>623</v>
      </c>
      <c r="D61" s="47">
        <v>8</v>
      </c>
      <c r="E61" s="61" t="s">
        <v>25</v>
      </c>
      <c r="F61" s="45">
        <v>130000</v>
      </c>
      <c r="G61" s="45">
        <v>1040000</v>
      </c>
    </row>
    <row r="62" spans="1:7" x14ac:dyDescent="0.25">
      <c r="A62" s="7" t="s">
        <v>242</v>
      </c>
      <c r="B62" s="37" t="s">
        <v>514</v>
      </c>
      <c r="C62" s="38" t="s">
        <v>20</v>
      </c>
      <c r="D62" s="37"/>
      <c r="E62" s="59"/>
      <c r="F62" s="39"/>
      <c r="G62" s="39">
        <v>202740000</v>
      </c>
    </row>
    <row r="63" spans="1:7" x14ac:dyDescent="0.25">
      <c r="A63" s="7" t="s">
        <v>243</v>
      </c>
      <c r="B63" s="40" t="s">
        <v>503</v>
      </c>
      <c r="C63" s="41" t="s">
        <v>7</v>
      </c>
      <c r="D63" s="71"/>
      <c r="E63" s="60"/>
      <c r="F63" s="42"/>
      <c r="G63" s="42">
        <v>27540000</v>
      </c>
    </row>
    <row r="64" spans="1:7" x14ac:dyDescent="0.25">
      <c r="A64" s="7" t="s">
        <v>244</v>
      </c>
      <c r="B64" s="40" t="s">
        <v>195</v>
      </c>
      <c r="C64" s="41" t="s">
        <v>617</v>
      </c>
      <c r="D64" s="40">
        <v>6</v>
      </c>
      <c r="E64" s="60" t="s">
        <v>9</v>
      </c>
      <c r="F64" s="42">
        <v>750000</v>
      </c>
      <c r="G64" s="42">
        <v>4500000</v>
      </c>
    </row>
    <row r="65" spans="1:7" x14ac:dyDescent="0.25">
      <c r="A65" s="7" t="s">
        <v>245</v>
      </c>
      <c r="B65" s="43" t="s">
        <v>195</v>
      </c>
      <c r="C65" s="44" t="s">
        <v>641</v>
      </c>
      <c r="D65" s="47">
        <v>160</v>
      </c>
      <c r="E65" s="61" t="s">
        <v>25</v>
      </c>
      <c r="F65" s="45">
        <v>69000</v>
      </c>
      <c r="G65" s="45">
        <v>11040000</v>
      </c>
    </row>
    <row r="66" spans="1:7" x14ac:dyDescent="0.25">
      <c r="A66" s="7" t="s">
        <v>246</v>
      </c>
      <c r="B66" s="40" t="s">
        <v>195</v>
      </c>
      <c r="C66" s="41" t="s">
        <v>619</v>
      </c>
      <c r="D66" s="40">
        <v>6</v>
      </c>
      <c r="E66" s="60" t="s">
        <v>9</v>
      </c>
      <c r="F66" s="42">
        <v>1000000</v>
      </c>
      <c r="G66" s="42">
        <v>6000000</v>
      </c>
    </row>
    <row r="67" spans="1:7" x14ac:dyDescent="0.25">
      <c r="A67" s="7" t="s">
        <v>247</v>
      </c>
      <c r="B67" s="43" t="s">
        <v>195</v>
      </c>
      <c r="C67" s="44" t="s">
        <v>620</v>
      </c>
      <c r="D67" s="47">
        <v>6</v>
      </c>
      <c r="E67" s="61" t="s">
        <v>9</v>
      </c>
      <c r="F67" s="45">
        <v>1000000</v>
      </c>
      <c r="G67" s="45">
        <v>6000000</v>
      </c>
    </row>
    <row r="68" spans="1:7" ht="26.4" x14ac:dyDescent="0.25">
      <c r="A68" s="7" t="s">
        <v>248</v>
      </c>
      <c r="B68" s="40" t="s">
        <v>515</v>
      </c>
      <c r="C68" s="41" t="s">
        <v>642</v>
      </c>
      <c r="D68" s="40"/>
      <c r="E68" s="60"/>
      <c r="F68" s="42"/>
      <c r="G68" s="42">
        <v>14400000</v>
      </c>
    </row>
    <row r="69" spans="1:7" ht="26.4" x14ac:dyDescent="0.25">
      <c r="A69" s="7" t="s">
        <v>249</v>
      </c>
      <c r="B69" s="40" t="s">
        <v>195</v>
      </c>
      <c r="C69" s="41" t="s">
        <v>643</v>
      </c>
      <c r="D69" s="40">
        <v>72</v>
      </c>
      <c r="E69" s="60" t="s">
        <v>32</v>
      </c>
      <c r="F69" s="42">
        <v>200000</v>
      </c>
      <c r="G69" s="42">
        <v>14400000</v>
      </c>
    </row>
    <row r="70" spans="1:7" x14ac:dyDescent="0.25">
      <c r="A70" s="7" t="s">
        <v>250</v>
      </c>
      <c r="B70" s="40" t="s">
        <v>516</v>
      </c>
      <c r="C70" s="41" t="s">
        <v>11</v>
      </c>
      <c r="D70" s="71"/>
      <c r="E70" s="60"/>
      <c r="F70" s="42"/>
      <c r="G70" s="42">
        <v>9000000</v>
      </c>
    </row>
    <row r="71" spans="1:7" x14ac:dyDescent="0.25">
      <c r="A71" s="7" t="s">
        <v>251</v>
      </c>
      <c r="B71" s="43" t="s">
        <v>195</v>
      </c>
      <c r="C71" s="44" t="s">
        <v>621</v>
      </c>
      <c r="D71" s="47">
        <v>10</v>
      </c>
      <c r="E71" s="61" t="s">
        <v>54</v>
      </c>
      <c r="F71" s="45">
        <v>900000</v>
      </c>
      <c r="G71" s="45">
        <v>9000000</v>
      </c>
    </row>
    <row r="72" spans="1:7" x14ac:dyDescent="0.25">
      <c r="A72" s="7" t="s">
        <v>252</v>
      </c>
      <c r="B72" s="40" t="s">
        <v>517</v>
      </c>
      <c r="C72" s="41" t="s">
        <v>22</v>
      </c>
      <c r="D72" s="71"/>
      <c r="E72" s="60"/>
      <c r="F72" s="42"/>
      <c r="G72" s="42">
        <v>96000000</v>
      </c>
    </row>
    <row r="73" spans="1:7" x14ac:dyDescent="0.25">
      <c r="A73" s="7" t="s">
        <v>253</v>
      </c>
      <c r="B73" s="43" t="s">
        <v>195</v>
      </c>
      <c r="C73" s="44" t="s">
        <v>644</v>
      </c>
      <c r="D73" s="47">
        <v>1</v>
      </c>
      <c r="E73" s="61" t="s">
        <v>9</v>
      </c>
      <c r="F73" s="45">
        <v>80000000</v>
      </c>
      <c r="G73" s="45">
        <v>80000000</v>
      </c>
    </row>
    <row r="74" spans="1:7" x14ac:dyDescent="0.25">
      <c r="A74" s="7" t="s">
        <v>254</v>
      </c>
      <c r="B74" s="43" t="s">
        <v>195</v>
      </c>
      <c r="C74" s="44" t="s">
        <v>645</v>
      </c>
      <c r="D74" s="47">
        <v>1</v>
      </c>
      <c r="E74" s="61" t="s">
        <v>9</v>
      </c>
      <c r="F74" s="45">
        <v>16000000</v>
      </c>
      <c r="G74" s="45">
        <v>16000000</v>
      </c>
    </row>
    <row r="75" spans="1:7" x14ac:dyDescent="0.25">
      <c r="A75" s="7" t="s">
        <v>255</v>
      </c>
      <c r="B75" s="40" t="s">
        <v>513</v>
      </c>
      <c r="C75" s="41" t="s">
        <v>19</v>
      </c>
      <c r="D75" s="40"/>
      <c r="E75" s="60"/>
      <c r="F75" s="42"/>
      <c r="G75" s="42">
        <v>53000000</v>
      </c>
    </row>
    <row r="76" spans="1:7" ht="26.4" x14ac:dyDescent="0.25">
      <c r="A76" s="7" t="s">
        <v>256</v>
      </c>
      <c r="B76" s="43" t="s">
        <v>195</v>
      </c>
      <c r="C76" s="44" t="s">
        <v>646</v>
      </c>
      <c r="D76" s="47">
        <v>10</v>
      </c>
      <c r="E76" s="61" t="s">
        <v>25</v>
      </c>
      <c r="F76" s="45">
        <v>2500000</v>
      </c>
      <c r="G76" s="45">
        <v>25000000</v>
      </c>
    </row>
    <row r="77" spans="1:7" ht="26.4" x14ac:dyDescent="0.25">
      <c r="A77" s="7" t="s">
        <v>647</v>
      </c>
      <c r="B77" s="40" t="s">
        <v>195</v>
      </c>
      <c r="C77" s="41" t="s">
        <v>648</v>
      </c>
      <c r="D77" s="40">
        <v>7</v>
      </c>
      <c r="E77" s="60" t="s">
        <v>25</v>
      </c>
      <c r="F77" s="42">
        <v>4000000</v>
      </c>
      <c r="G77" s="42">
        <v>28000000</v>
      </c>
    </row>
    <row r="78" spans="1:7" x14ac:dyDescent="0.25">
      <c r="A78" s="7" t="s">
        <v>649</v>
      </c>
      <c r="B78" s="40" t="s">
        <v>507</v>
      </c>
      <c r="C78" s="41" t="s">
        <v>13</v>
      </c>
      <c r="D78" s="71"/>
      <c r="E78" s="60"/>
      <c r="F78" s="42"/>
      <c r="G78" s="42">
        <v>1500000</v>
      </c>
    </row>
    <row r="79" spans="1:7" x14ac:dyDescent="0.25">
      <c r="A79" s="7" t="s">
        <v>650</v>
      </c>
      <c r="B79" s="37" t="s">
        <v>195</v>
      </c>
      <c r="C79" s="38" t="s">
        <v>630</v>
      </c>
      <c r="D79" s="37">
        <v>10</v>
      </c>
      <c r="E79" s="59" t="s">
        <v>10</v>
      </c>
      <c r="F79" s="39">
        <v>150000</v>
      </c>
      <c r="G79" s="39">
        <v>1500000</v>
      </c>
    </row>
    <row r="80" spans="1:7" x14ac:dyDescent="0.25">
      <c r="A80" s="7" t="s">
        <v>651</v>
      </c>
      <c r="B80" s="40" t="s">
        <v>509</v>
      </c>
      <c r="C80" s="41" t="s">
        <v>14</v>
      </c>
      <c r="D80" s="40"/>
      <c r="E80" s="60"/>
      <c r="F80" s="42"/>
      <c r="G80" s="42">
        <v>1300000</v>
      </c>
    </row>
    <row r="81" spans="1:7" x14ac:dyDescent="0.25">
      <c r="A81" s="7" t="s">
        <v>652</v>
      </c>
      <c r="B81" s="43" t="s">
        <v>195</v>
      </c>
      <c r="C81" s="44" t="s">
        <v>623</v>
      </c>
      <c r="D81" s="47">
        <v>10</v>
      </c>
      <c r="E81" s="61" t="s">
        <v>25</v>
      </c>
      <c r="F81" s="45">
        <v>130000</v>
      </c>
      <c r="G81" s="45">
        <v>1300000</v>
      </c>
    </row>
    <row r="82" spans="1:7" x14ac:dyDescent="0.25">
      <c r="A82" s="7" t="s">
        <v>257</v>
      </c>
      <c r="B82" s="37" t="s">
        <v>519</v>
      </c>
      <c r="C82" s="38" t="s">
        <v>26</v>
      </c>
      <c r="D82" s="70"/>
      <c r="E82" s="59"/>
      <c r="F82" s="39"/>
      <c r="G82" s="39">
        <v>26780000</v>
      </c>
    </row>
    <row r="83" spans="1:7" x14ac:dyDescent="0.25">
      <c r="A83" s="7" t="s">
        <v>258</v>
      </c>
      <c r="B83" s="40" t="s">
        <v>503</v>
      </c>
      <c r="C83" s="41" t="s">
        <v>7</v>
      </c>
      <c r="D83" s="71"/>
      <c r="E83" s="60"/>
      <c r="F83" s="42"/>
      <c r="G83" s="42">
        <v>9140000</v>
      </c>
    </row>
    <row r="84" spans="1:7" x14ac:dyDescent="0.25">
      <c r="A84" s="7" t="s">
        <v>259</v>
      </c>
      <c r="B84" s="40" t="s">
        <v>195</v>
      </c>
      <c r="C84" s="41" t="s">
        <v>619</v>
      </c>
      <c r="D84" s="40">
        <v>2</v>
      </c>
      <c r="E84" s="60" t="s">
        <v>9</v>
      </c>
      <c r="F84" s="42">
        <v>1000000</v>
      </c>
      <c r="G84" s="42">
        <v>2000000</v>
      </c>
    </row>
    <row r="85" spans="1:7" x14ac:dyDescent="0.25">
      <c r="A85" s="7" t="s">
        <v>260</v>
      </c>
      <c r="B85" s="43" t="s">
        <v>195</v>
      </c>
      <c r="C85" s="44" t="s">
        <v>620</v>
      </c>
      <c r="D85" s="47">
        <v>2</v>
      </c>
      <c r="E85" s="61" t="s">
        <v>9</v>
      </c>
      <c r="F85" s="45">
        <v>1000000</v>
      </c>
      <c r="G85" s="45">
        <v>2000000</v>
      </c>
    </row>
    <row r="86" spans="1:7" x14ac:dyDescent="0.25">
      <c r="A86" s="7" t="s">
        <v>261</v>
      </c>
      <c r="B86" s="34" t="s">
        <v>195</v>
      </c>
      <c r="C86" s="35" t="s">
        <v>617</v>
      </c>
      <c r="D86" s="34">
        <v>2</v>
      </c>
      <c r="E86" s="58" t="s">
        <v>9</v>
      </c>
      <c r="F86" s="36">
        <v>500000</v>
      </c>
      <c r="G86" s="36">
        <v>1000000</v>
      </c>
    </row>
    <row r="87" spans="1:7" x14ac:dyDescent="0.25">
      <c r="A87" s="7" t="s">
        <v>262</v>
      </c>
      <c r="B87" s="37" t="s">
        <v>195</v>
      </c>
      <c r="C87" s="38" t="s">
        <v>653</v>
      </c>
      <c r="D87" s="37">
        <v>60</v>
      </c>
      <c r="E87" s="59" t="s">
        <v>9</v>
      </c>
      <c r="F87" s="39">
        <v>69000</v>
      </c>
      <c r="G87" s="39">
        <v>4140000</v>
      </c>
    </row>
    <row r="88" spans="1:7" x14ac:dyDescent="0.25">
      <c r="A88" s="7" t="s">
        <v>263</v>
      </c>
      <c r="B88" s="40" t="s">
        <v>516</v>
      </c>
      <c r="C88" s="41" t="s">
        <v>11</v>
      </c>
      <c r="D88" s="40"/>
      <c r="E88" s="60"/>
      <c r="F88" s="42"/>
      <c r="G88" s="42">
        <v>5400000</v>
      </c>
    </row>
    <row r="89" spans="1:7" x14ac:dyDescent="0.25">
      <c r="A89" s="7" t="s">
        <v>264</v>
      </c>
      <c r="B89" s="43" t="s">
        <v>195</v>
      </c>
      <c r="C89" s="44" t="s">
        <v>654</v>
      </c>
      <c r="D89" s="47">
        <v>6</v>
      </c>
      <c r="E89" s="61" t="s">
        <v>54</v>
      </c>
      <c r="F89" s="45">
        <v>900000</v>
      </c>
      <c r="G89" s="45">
        <v>5400000</v>
      </c>
    </row>
    <row r="90" spans="1:7" x14ac:dyDescent="0.25">
      <c r="A90" s="7" t="s">
        <v>265</v>
      </c>
      <c r="B90" s="40" t="s">
        <v>513</v>
      </c>
      <c r="C90" s="41" t="s">
        <v>19</v>
      </c>
      <c r="D90" s="71"/>
      <c r="E90" s="60"/>
      <c r="F90" s="42"/>
      <c r="G90" s="42">
        <v>10000000</v>
      </c>
    </row>
    <row r="91" spans="1:7" x14ac:dyDescent="0.25">
      <c r="A91" s="7" t="s">
        <v>266</v>
      </c>
      <c r="B91" s="40" t="s">
        <v>195</v>
      </c>
      <c r="C91" s="41" t="s">
        <v>655</v>
      </c>
      <c r="D91" s="40">
        <v>4</v>
      </c>
      <c r="E91" s="60" t="s">
        <v>25</v>
      </c>
      <c r="F91" s="42">
        <v>2500000</v>
      </c>
      <c r="G91" s="42">
        <v>10000000</v>
      </c>
    </row>
    <row r="92" spans="1:7" x14ac:dyDescent="0.25">
      <c r="A92" s="7" t="s">
        <v>656</v>
      </c>
      <c r="B92" s="40" t="s">
        <v>507</v>
      </c>
      <c r="C92" s="41" t="s">
        <v>13</v>
      </c>
      <c r="D92" s="71"/>
      <c r="E92" s="60"/>
      <c r="F92" s="42"/>
      <c r="G92" s="42">
        <v>1200000</v>
      </c>
    </row>
    <row r="93" spans="1:7" x14ac:dyDescent="0.25">
      <c r="A93" s="7" t="s">
        <v>657</v>
      </c>
      <c r="B93" s="43" t="s">
        <v>195</v>
      </c>
      <c r="C93" s="44" t="s">
        <v>630</v>
      </c>
      <c r="D93" s="47">
        <v>8</v>
      </c>
      <c r="E93" s="61" t="s">
        <v>25</v>
      </c>
      <c r="F93" s="45">
        <v>150000</v>
      </c>
      <c r="G93" s="45">
        <v>1200000</v>
      </c>
    </row>
    <row r="94" spans="1:7" x14ac:dyDescent="0.25">
      <c r="A94" s="7" t="s">
        <v>658</v>
      </c>
      <c r="B94" s="40" t="s">
        <v>509</v>
      </c>
      <c r="C94" s="41" t="s">
        <v>14</v>
      </c>
      <c r="D94" s="40"/>
      <c r="E94" s="60"/>
      <c r="F94" s="42"/>
      <c r="G94" s="42">
        <v>1040000</v>
      </c>
    </row>
    <row r="95" spans="1:7" x14ac:dyDescent="0.25">
      <c r="A95" s="7" t="s">
        <v>659</v>
      </c>
      <c r="B95" s="43" t="s">
        <v>195</v>
      </c>
      <c r="C95" s="44" t="s">
        <v>623</v>
      </c>
      <c r="D95" s="47">
        <v>8</v>
      </c>
      <c r="E95" s="61" t="s">
        <v>25</v>
      </c>
      <c r="F95" s="45">
        <v>130000</v>
      </c>
      <c r="G95" s="45">
        <v>1040000</v>
      </c>
    </row>
    <row r="96" spans="1:7" x14ac:dyDescent="0.25">
      <c r="A96" s="7" t="s">
        <v>660</v>
      </c>
      <c r="B96" s="37" t="s">
        <v>578</v>
      </c>
      <c r="C96" s="38" t="s">
        <v>661</v>
      </c>
      <c r="D96" s="70"/>
      <c r="E96" s="59"/>
      <c r="F96" s="39"/>
      <c r="G96" s="39">
        <v>149810000</v>
      </c>
    </row>
    <row r="97" spans="1:7" x14ac:dyDescent="0.25">
      <c r="A97" s="7" t="s">
        <v>662</v>
      </c>
      <c r="B97" s="40" t="s">
        <v>503</v>
      </c>
      <c r="C97" s="41" t="s">
        <v>7</v>
      </c>
      <c r="D97" s="40"/>
      <c r="E97" s="60"/>
      <c r="F97" s="42"/>
      <c r="G97" s="42">
        <v>17280000</v>
      </c>
    </row>
    <row r="98" spans="1:7" x14ac:dyDescent="0.25">
      <c r="A98" s="7" t="s">
        <v>663</v>
      </c>
      <c r="B98" s="43" t="s">
        <v>195</v>
      </c>
      <c r="C98" s="44" t="s">
        <v>664</v>
      </c>
      <c r="D98" s="47">
        <v>120</v>
      </c>
      <c r="E98" s="61" t="s">
        <v>25</v>
      </c>
      <c r="F98" s="45">
        <v>69000</v>
      </c>
      <c r="G98" s="45">
        <v>8280000</v>
      </c>
    </row>
    <row r="99" spans="1:7" x14ac:dyDescent="0.25">
      <c r="A99" s="7" t="s">
        <v>665</v>
      </c>
      <c r="B99" s="40" t="s">
        <v>195</v>
      </c>
      <c r="C99" s="41" t="s">
        <v>619</v>
      </c>
      <c r="D99" s="40">
        <v>2</v>
      </c>
      <c r="E99" s="60" t="s">
        <v>9</v>
      </c>
      <c r="F99" s="42">
        <v>1000000</v>
      </c>
      <c r="G99" s="42">
        <v>2000000</v>
      </c>
    </row>
    <row r="100" spans="1:7" x14ac:dyDescent="0.25">
      <c r="A100" s="7" t="s">
        <v>666</v>
      </c>
      <c r="B100" s="43" t="s">
        <v>195</v>
      </c>
      <c r="C100" s="44" t="s">
        <v>620</v>
      </c>
      <c r="D100" s="47">
        <v>2</v>
      </c>
      <c r="E100" s="61" t="s">
        <v>9</v>
      </c>
      <c r="F100" s="45">
        <v>1000000</v>
      </c>
      <c r="G100" s="45">
        <v>2000000</v>
      </c>
    </row>
    <row r="101" spans="1:7" x14ac:dyDescent="0.25">
      <c r="A101" s="7" t="s">
        <v>667</v>
      </c>
      <c r="B101" s="40" t="s">
        <v>195</v>
      </c>
      <c r="C101" s="41" t="s">
        <v>668</v>
      </c>
      <c r="D101" s="40">
        <v>2</v>
      </c>
      <c r="E101" s="60" t="s">
        <v>9</v>
      </c>
      <c r="F101" s="42">
        <v>2500000</v>
      </c>
      <c r="G101" s="42">
        <v>5000000</v>
      </c>
    </row>
    <row r="102" spans="1:7" x14ac:dyDescent="0.25">
      <c r="A102" s="7" t="s">
        <v>669</v>
      </c>
      <c r="B102" s="40" t="s">
        <v>516</v>
      </c>
      <c r="C102" s="41" t="s">
        <v>11</v>
      </c>
      <c r="D102" s="71"/>
      <c r="E102" s="60"/>
      <c r="F102" s="42"/>
      <c r="G102" s="42">
        <v>10800000</v>
      </c>
    </row>
    <row r="103" spans="1:7" x14ac:dyDescent="0.25">
      <c r="A103" s="7" t="s">
        <v>670</v>
      </c>
      <c r="B103" s="40" t="s">
        <v>195</v>
      </c>
      <c r="C103" s="41" t="s">
        <v>671</v>
      </c>
      <c r="D103" s="40">
        <v>12</v>
      </c>
      <c r="E103" s="60" t="s">
        <v>54</v>
      </c>
      <c r="F103" s="42">
        <v>900000</v>
      </c>
      <c r="G103" s="42">
        <v>10800000</v>
      </c>
    </row>
    <row r="104" spans="1:7" x14ac:dyDescent="0.25">
      <c r="A104" s="7" t="s">
        <v>672</v>
      </c>
      <c r="B104" s="40" t="s">
        <v>513</v>
      </c>
      <c r="C104" s="41" t="s">
        <v>19</v>
      </c>
      <c r="D104" s="71"/>
      <c r="E104" s="60"/>
      <c r="F104" s="42"/>
      <c r="G104" s="42">
        <v>121730000</v>
      </c>
    </row>
    <row r="105" spans="1:7" ht="26.4" x14ac:dyDescent="0.25">
      <c r="A105" s="7" t="s">
        <v>673</v>
      </c>
      <c r="B105" s="37" t="s">
        <v>195</v>
      </c>
      <c r="C105" s="38" t="s">
        <v>674</v>
      </c>
      <c r="D105" s="37">
        <v>20</v>
      </c>
      <c r="E105" s="59" t="s">
        <v>25</v>
      </c>
      <c r="F105" s="39">
        <v>3043000</v>
      </c>
      <c r="G105" s="39">
        <v>60865000</v>
      </c>
    </row>
    <row r="106" spans="1:7" ht="26.4" x14ac:dyDescent="0.25">
      <c r="A106" s="7" t="s">
        <v>675</v>
      </c>
      <c r="B106" s="40" t="s">
        <v>195</v>
      </c>
      <c r="C106" s="41" t="s">
        <v>676</v>
      </c>
      <c r="D106" s="40">
        <v>20</v>
      </c>
      <c r="E106" s="60" t="s">
        <v>10</v>
      </c>
      <c r="F106" s="42">
        <v>3043000</v>
      </c>
      <c r="G106" s="42">
        <v>60865000</v>
      </c>
    </row>
    <row r="107" spans="1:7" x14ac:dyDescent="0.25">
      <c r="A107" s="7" t="s">
        <v>267</v>
      </c>
      <c r="B107" s="34" t="s">
        <v>520</v>
      </c>
      <c r="C107" s="35" t="s">
        <v>27</v>
      </c>
      <c r="D107" s="69"/>
      <c r="E107" s="58"/>
      <c r="F107" s="36"/>
      <c r="G107" s="36">
        <v>300000000</v>
      </c>
    </row>
    <row r="108" spans="1:7" ht="26.4" x14ac:dyDescent="0.25">
      <c r="A108" s="7" t="s">
        <v>268</v>
      </c>
      <c r="B108" s="37" t="s">
        <v>8</v>
      </c>
      <c r="C108" s="38" t="s">
        <v>28</v>
      </c>
      <c r="D108" s="70"/>
      <c r="E108" s="59"/>
      <c r="F108" s="39"/>
      <c r="G108" s="39">
        <v>5600000</v>
      </c>
    </row>
    <row r="109" spans="1:7" x14ac:dyDescent="0.25">
      <c r="A109" s="7" t="s">
        <v>269</v>
      </c>
      <c r="B109" s="40" t="s">
        <v>503</v>
      </c>
      <c r="C109" s="41" t="s">
        <v>7</v>
      </c>
      <c r="D109" s="40"/>
      <c r="E109" s="60"/>
      <c r="F109" s="42"/>
      <c r="G109" s="42">
        <v>5600000</v>
      </c>
    </row>
    <row r="110" spans="1:7" x14ac:dyDescent="0.25">
      <c r="A110" s="7" t="s">
        <v>270</v>
      </c>
      <c r="B110" s="43" t="s">
        <v>195</v>
      </c>
      <c r="C110" s="44" t="s">
        <v>619</v>
      </c>
      <c r="D110" s="47">
        <v>1</v>
      </c>
      <c r="E110" s="61" t="s">
        <v>9</v>
      </c>
      <c r="F110" s="45">
        <v>1000000</v>
      </c>
      <c r="G110" s="45">
        <v>1000000</v>
      </c>
    </row>
    <row r="111" spans="1:7" x14ac:dyDescent="0.25">
      <c r="A111" s="7" t="s">
        <v>271</v>
      </c>
      <c r="B111" s="40" t="s">
        <v>195</v>
      </c>
      <c r="C111" s="41" t="s">
        <v>620</v>
      </c>
      <c r="D111" s="40">
        <v>1</v>
      </c>
      <c r="E111" s="60" t="s">
        <v>9</v>
      </c>
      <c r="F111" s="42">
        <v>1000000</v>
      </c>
      <c r="G111" s="42">
        <v>1000000</v>
      </c>
    </row>
    <row r="112" spans="1:7" ht="26.4" x14ac:dyDescent="0.25">
      <c r="A112" s="7" t="s">
        <v>272</v>
      </c>
      <c r="B112" s="43" t="s">
        <v>195</v>
      </c>
      <c r="C112" s="44" t="s">
        <v>677</v>
      </c>
      <c r="D112" s="47">
        <v>60</v>
      </c>
      <c r="E112" s="61" t="s">
        <v>10</v>
      </c>
      <c r="F112" s="45">
        <v>60000</v>
      </c>
      <c r="G112" s="45">
        <v>3600000</v>
      </c>
    </row>
    <row r="113" spans="1:7" ht="26.4" x14ac:dyDescent="0.25">
      <c r="A113" s="7" t="s">
        <v>273</v>
      </c>
      <c r="B113" s="37" t="s">
        <v>511</v>
      </c>
      <c r="C113" s="38" t="s">
        <v>29</v>
      </c>
      <c r="D113" s="70"/>
      <c r="E113" s="59"/>
      <c r="F113" s="39"/>
      <c r="G113" s="39">
        <v>190540000</v>
      </c>
    </row>
    <row r="114" spans="1:7" x14ac:dyDescent="0.25">
      <c r="A114" s="7" t="s">
        <v>274</v>
      </c>
      <c r="B114" s="40" t="s">
        <v>503</v>
      </c>
      <c r="C114" s="41" t="s">
        <v>7</v>
      </c>
      <c r="D114" s="40"/>
      <c r="E114" s="60"/>
      <c r="F114" s="42"/>
      <c r="G114" s="42">
        <v>9600000</v>
      </c>
    </row>
    <row r="115" spans="1:7" x14ac:dyDescent="0.25">
      <c r="A115" s="7" t="s">
        <v>275</v>
      </c>
      <c r="B115" s="43" t="s">
        <v>195</v>
      </c>
      <c r="C115" s="44" t="s">
        <v>619</v>
      </c>
      <c r="D115" s="47">
        <v>1</v>
      </c>
      <c r="E115" s="61" t="s">
        <v>9</v>
      </c>
      <c r="F115" s="45">
        <v>1000000</v>
      </c>
      <c r="G115" s="45">
        <v>1000000</v>
      </c>
    </row>
    <row r="116" spans="1:7" x14ac:dyDescent="0.25">
      <c r="A116" s="7" t="s">
        <v>276</v>
      </c>
      <c r="B116" s="40" t="s">
        <v>195</v>
      </c>
      <c r="C116" s="41" t="s">
        <v>620</v>
      </c>
      <c r="D116" s="40">
        <v>1</v>
      </c>
      <c r="E116" s="60" t="s">
        <v>9</v>
      </c>
      <c r="F116" s="42">
        <v>1000000</v>
      </c>
      <c r="G116" s="42">
        <v>1000000</v>
      </c>
    </row>
    <row r="117" spans="1:7" ht="26.4" x14ac:dyDescent="0.25">
      <c r="A117" s="7" t="s">
        <v>277</v>
      </c>
      <c r="B117" s="43" t="s">
        <v>195</v>
      </c>
      <c r="C117" s="44" t="s">
        <v>678</v>
      </c>
      <c r="D117" s="47">
        <v>60</v>
      </c>
      <c r="E117" s="61" t="s">
        <v>10</v>
      </c>
      <c r="F117" s="45">
        <v>60000</v>
      </c>
      <c r="G117" s="45">
        <v>3600000</v>
      </c>
    </row>
    <row r="118" spans="1:7" x14ac:dyDescent="0.25">
      <c r="A118" s="7" t="s">
        <v>278</v>
      </c>
      <c r="B118" s="40" t="s">
        <v>195</v>
      </c>
      <c r="C118" s="41" t="s">
        <v>679</v>
      </c>
      <c r="D118" s="40">
        <v>80</v>
      </c>
      <c r="E118" s="60" t="s">
        <v>117</v>
      </c>
      <c r="F118" s="42">
        <v>50000</v>
      </c>
      <c r="G118" s="42">
        <v>4000000</v>
      </c>
    </row>
    <row r="119" spans="1:7" x14ac:dyDescent="0.25">
      <c r="A119" s="7" t="s">
        <v>279</v>
      </c>
      <c r="B119" s="40" t="s">
        <v>522</v>
      </c>
      <c r="C119" s="41" t="s">
        <v>30</v>
      </c>
      <c r="D119" s="71"/>
      <c r="E119" s="60"/>
      <c r="F119" s="42"/>
      <c r="G119" s="42">
        <v>60000000</v>
      </c>
    </row>
    <row r="120" spans="1:7" x14ac:dyDescent="0.25">
      <c r="A120" s="7" t="s">
        <v>280</v>
      </c>
      <c r="B120" s="34" t="s">
        <v>195</v>
      </c>
      <c r="C120" s="35" t="s">
        <v>680</v>
      </c>
      <c r="D120" s="34">
        <v>12</v>
      </c>
      <c r="E120" s="58" t="s">
        <v>31</v>
      </c>
      <c r="F120" s="36">
        <v>5000000</v>
      </c>
      <c r="G120" s="36">
        <v>60000000</v>
      </c>
    </row>
    <row r="121" spans="1:7" x14ac:dyDescent="0.25">
      <c r="A121" s="7" t="s">
        <v>281</v>
      </c>
      <c r="B121" s="40" t="s">
        <v>518</v>
      </c>
      <c r="C121" s="41" t="s">
        <v>24</v>
      </c>
      <c r="D121" s="40"/>
      <c r="E121" s="60"/>
      <c r="F121" s="42"/>
      <c r="G121" s="42">
        <v>12000000</v>
      </c>
    </row>
    <row r="122" spans="1:7" x14ac:dyDescent="0.25">
      <c r="A122" s="7" t="s">
        <v>282</v>
      </c>
      <c r="B122" s="40" t="s">
        <v>195</v>
      </c>
      <c r="C122" s="41" t="s">
        <v>681</v>
      </c>
      <c r="D122" s="40">
        <v>80</v>
      </c>
      <c r="E122" s="60" t="s">
        <v>10</v>
      </c>
      <c r="F122" s="42">
        <v>150000</v>
      </c>
      <c r="G122" s="42">
        <v>12000000</v>
      </c>
    </row>
    <row r="123" spans="1:7" x14ac:dyDescent="0.25">
      <c r="A123" s="7" t="s">
        <v>283</v>
      </c>
      <c r="B123" s="40" t="s">
        <v>513</v>
      </c>
      <c r="C123" s="41" t="s">
        <v>19</v>
      </c>
      <c r="D123" s="71"/>
      <c r="E123" s="60"/>
      <c r="F123" s="42"/>
      <c r="G123" s="42">
        <v>4940000</v>
      </c>
    </row>
    <row r="124" spans="1:7" ht="26.4" x14ac:dyDescent="0.25">
      <c r="A124" s="7" t="s">
        <v>284</v>
      </c>
      <c r="B124" s="43" t="s">
        <v>195</v>
      </c>
      <c r="C124" s="44" t="s">
        <v>682</v>
      </c>
      <c r="D124" s="47">
        <v>2</v>
      </c>
      <c r="E124" s="61" t="s">
        <v>10</v>
      </c>
      <c r="F124" s="45">
        <v>2470000</v>
      </c>
      <c r="G124" s="45">
        <v>4940000</v>
      </c>
    </row>
    <row r="125" spans="1:7" x14ac:dyDescent="0.25">
      <c r="A125" s="7" t="s">
        <v>285</v>
      </c>
      <c r="B125" s="40" t="s">
        <v>510</v>
      </c>
      <c r="C125" s="41" t="s">
        <v>15</v>
      </c>
      <c r="D125" s="71"/>
      <c r="E125" s="60"/>
      <c r="F125" s="42"/>
      <c r="G125" s="42">
        <v>104000000</v>
      </c>
    </row>
    <row r="126" spans="1:7" ht="26.4" x14ac:dyDescent="0.25">
      <c r="A126" s="7" t="s">
        <v>286</v>
      </c>
      <c r="B126" s="40" t="s">
        <v>195</v>
      </c>
      <c r="C126" s="41" t="s">
        <v>683</v>
      </c>
      <c r="D126" s="40">
        <v>80</v>
      </c>
      <c r="E126" s="60" t="s">
        <v>10</v>
      </c>
      <c r="F126" s="42">
        <v>350000</v>
      </c>
      <c r="G126" s="42">
        <v>28000000</v>
      </c>
    </row>
    <row r="127" spans="1:7" ht="26.4" x14ac:dyDescent="0.25">
      <c r="A127" s="7" t="s">
        <v>287</v>
      </c>
      <c r="B127" s="43" t="s">
        <v>195</v>
      </c>
      <c r="C127" s="44" t="s">
        <v>684</v>
      </c>
      <c r="D127" s="47">
        <v>160</v>
      </c>
      <c r="E127" s="61" t="s">
        <v>10</v>
      </c>
      <c r="F127" s="45">
        <v>150000</v>
      </c>
      <c r="G127" s="45">
        <v>24000000</v>
      </c>
    </row>
    <row r="128" spans="1:7" x14ac:dyDescent="0.25">
      <c r="A128" s="7" t="s">
        <v>288</v>
      </c>
      <c r="B128" s="43" t="s">
        <v>195</v>
      </c>
      <c r="C128" s="44" t="s">
        <v>685</v>
      </c>
      <c r="D128" s="47">
        <v>80</v>
      </c>
      <c r="E128" s="61" t="s">
        <v>16</v>
      </c>
      <c r="F128" s="45">
        <v>650000</v>
      </c>
      <c r="G128" s="45">
        <v>52000000</v>
      </c>
    </row>
    <row r="129" spans="1:8" ht="26.4" x14ac:dyDescent="0.25">
      <c r="A129" s="7" t="s">
        <v>289</v>
      </c>
      <c r="B129" s="37" t="s">
        <v>512</v>
      </c>
      <c r="C129" s="38" t="s">
        <v>33</v>
      </c>
      <c r="D129" s="37"/>
      <c r="E129" s="59"/>
      <c r="F129" s="39"/>
      <c r="G129" s="39">
        <v>3800000</v>
      </c>
    </row>
    <row r="130" spans="1:8" x14ac:dyDescent="0.25">
      <c r="A130" s="7" t="s">
        <v>290</v>
      </c>
      <c r="B130" s="40" t="s">
        <v>503</v>
      </c>
      <c r="C130" s="41" t="s">
        <v>7</v>
      </c>
      <c r="D130" s="71"/>
      <c r="E130" s="60"/>
      <c r="F130" s="42"/>
      <c r="G130" s="42">
        <v>3800000</v>
      </c>
    </row>
    <row r="131" spans="1:8" x14ac:dyDescent="0.25">
      <c r="A131" s="7" t="s">
        <v>291</v>
      </c>
      <c r="B131" s="40" t="s">
        <v>195</v>
      </c>
      <c r="C131" s="41" t="s">
        <v>619</v>
      </c>
      <c r="D131" s="40">
        <v>1</v>
      </c>
      <c r="E131" s="60" t="s">
        <v>9</v>
      </c>
      <c r="F131" s="42">
        <v>1000000</v>
      </c>
      <c r="G131" s="42">
        <v>1000000</v>
      </c>
    </row>
    <row r="132" spans="1:8" x14ac:dyDescent="0.25">
      <c r="A132" s="7" t="s">
        <v>292</v>
      </c>
      <c r="B132" s="43" t="s">
        <v>195</v>
      </c>
      <c r="C132" s="44" t="s">
        <v>620</v>
      </c>
      <c r="D132" s="47">
        <v>1</v>
      </c>
      <c r="E132" s="61" t="s">
        <v>9</v>
      </c>
      <c r="F132" s="45">
        <v>1000000</v>
      </c>
      <c r="G132" s="45">
        <v>1000000</v>
      </c>
    </row>
    <row r="133" spans="1:8" ht="26.4" x14ac:dyDescent="0.25">
      <c r="A133" s="7" t="s">
        <v>293</v>
      </c>
      <c r="B133" s="22" t="s">
        <v>195</v>
      </c>
      <c r="C133" s="23" t="s">
        <v>686</v>
      </c>
      <c r="D133" s="22">
        <v>30</v>
      </c>
      <c r="E133" s="54" t="s">
        <v>10</v>
      </c>
      <c r="F133" s="24">
        <v>60000</v>
      </c>
      <c r="G133" s="24">
        <v>1800000</v>
      </c>
      <c r="H133" s="8">
        <f>LEN(A133)</f>
        <v>30</v>
      </c>
    </row>
    <row r="134" spans="1:8" ht="26.4" x14ac:dyDescent="0.25">
      <c r="A134" s="7" t="s">
        <v>294</v>
      </c>
      <c r="B134" s="37" t="s">
        <v>514</v>
      </c>
      <c r="C134" s="38" t="s">
        <v>34</v>
      </c>
      <c r="D134" s="37"/>
      <c r="E134" s="59"/>
      <c r="F134" s="39"/>
      <c r="G134" s="39">
        <v>93300000</v>
      </c>
    </row>
    <row r="135" spans="1:8" x14ac:dyDescent="0.25">
      <c r="A135" s="7" t="s">
        <v>295</v>
      </c>
      <c r="B135" s="40" t="s">
        <v>503</v>
      </c>
      <c r="C135" s="41" t="s">
        <v>7</v>
      </c>
      <c r="D135" s="71"/>
      <c r="E135" s="60"/>
      <c r="F135" s="42"/>
      <c r="G135" s="42">
        <v>5300000</v>
      </c>
    </row>
    <row r="136" spans="1:8" x14ac:dyDescent="0.25">
      <c r="A136" s="7" t="s">
        <v>296</v>
      </c>
      <c r="B136" s="31" t="s">
        <v>195</v>
      </c>
      <c r="C136" s="32" t="s">
        <v>619</v>
      </c>
      <c r="D136" s="31">
        <v>1</v>
      </c>
      <c r="E136" s="57" t="s">
        <v>9</v>
      </c>
      <c r="F136" s="33">
        <v>1000000</v>
      </c>
      <c r="G136" s="33">
        <v>1000000</v>
      </c>
    </row>
    <row r="137" spans="1:8" x14ac:dyDescent="0.25">
      <c r="A137" s="21" t="s">
        <v>297</v>
      </c>
      <c r="B137" s="34" t="s">
        <v>195</v>
      </c>
      <c r="C137" s="35" t="s">
        <v>620</v>
      </c>
      <c r="D137" s="34">
        <v>1</v>
      </c>
      <c r="E137" s="58" t="s">
        <v>9</v>
      </c>
      <c r="F137" s="36">
        <v>1000000</v>
      </c>
      <c r="G137" s="36">
        <v>1000000</v>
      </c>
    </row>
    <row r="138" spans="1:8" ht="26.4" x14ac:dyDescent="0.25">
      <c r="A138" s="21" t="s">
        <v>298</v>
      </c>
      <c r="B138" s="37" t="s">
        <v>195</v>
      </c>
      <c r="C138" s="38" t="s">
        <v>687</v>
      </c>
      <c r="D138" s="37">
        <v>30</v>
      </c>
      <c r="E138" s="59" t="s">
        <v>10</v>
      </c>
      <c r="F138" s="39">
        <v>60000</v>
      </c>
      <c r="G138" s="39">
        <v>1800000</v>
      </c>
    </row>
    <row r="139" spans="1:8" x14ac:dyDescent="0.25">
      <c r="A139" s="21" t="s">
        <v>299</v>
      </c>
      <c r="B139" s="40" t="s">
        <v>195</v>
      </c>
      <c r="C139" s="41" t="s">
        <v>679</v>
      </c>
      <c r="D139" s="40">
        <v>30</v>
      </c>
      <c r="E139" s="60" t="s">
        <v>117</v>
      </c>
      <c r="F139" s="42">
        <v>50000</v>
      </c>
      <c r="G139" s="42">
        <v>1500000</v>
      </c>
    </row>
    <row r="140" spans="1:8" x14ac:dyDescent="0.25">
      <c r="A140" s="21" t="s">
        <v>300</v>
      </c>
      <c r="B140" s="40" t="s">
        <v>522</v>
      </c>
      <c r="C140" s="41" t="s">
        <v>30</v>
      </c>
      <c r="D140" s="71"/>
      <c r="E140" s="60"/>
      <c r="F140" s="42"/>
      <c r="G140" s="42">
        <v>30000000</v>
      </c>
    </row>
    <row r="141" spans="1:8" x14ac:dyDescent="0.25">
      <c r="A141" s="21" t="s">
        <v>301</v>
      </c>
      <c r="B141" s="43" t="s">
        <v>195</v>
      </c>
      <c r="C141" s="44" t="s">
        <v>680</v>
      </c>
      <c r="D141" s="47">
        <v>6</v>
      </c>
      <c r="E141" s="61" t="s">
        <v>31</v>
      </c>
      <c r="F141" s="45">
        <v>5000000</v>
      </c>
      <c r="G141" s="45">
        <v>30000000</v>
      </c>
    </row>
    <row r="142" spans="1:8" x14ac:dyDescent="0.25">
      <c r="A142" s="21" t="s">
        <v>302</v>
      </c>
      <c r="B142" s="40" t="s">
        <v>518</v>
      </c>
      <c r="C142" s="41" t="s">
        <v>24</v>
      </c>
      <c r="D142" s="40"/>
      <c r="E142" s="60"/>
      <c r="F142" s="42"/>
      <c r="G142" s="42">
        <v>6000000</v>
      </c>
    </row>
    <row r="143" spans="1:8" x14ac:dyDescent="0.25">
      <c r="A143" s="21" t="s">
        <v>303</v>
      </c>
      <c r="B143" s="43" t="s">
        <v>195</v>
      </c>
      <c r="C143" s="44" t="s">
        <v>681</v>
      </c>
      <c r="D143" s="47">
        <v>40</v>
      </c>
      <c r="E143" s="61" t="s">
        <v>10</v>
      </c>
      <c r="F143" s="45">
        <v>150000</v>
      </c>
      <c r="G143" s="45">
        <v>6000000</v>
      </c>
    </row>
    <row r="144" spans="1:8" x14ac:dyDescent="0.25">
      <c r="A144" s="21" t="s">
        <v>304</v>
      </c>
      <c r="B144" s="40" t="s">
        <v>510</v>
      </c>
      <c r="C144" s="41" t="s">
        <v>15</v>
      </c>
      <c r="D144" s="40"/>
      <c r="E144" s="60"/>
      <c r="F144" s="42"/>
      <c r="G144" s="42">
        <v>52000000</v>
      </c>
    </row>
    <row r="145" spans="1:7" ht="26.4" x14ac:dyDescent="0.25">
      <c r="A145" s="21" t="s">
        <v>305</v>
      </c>
      <c r="B145" s="43" t="s">
        <v>195</v>
      </c>
      <c r="C145" s="44" t="s">
        <v>688</v>
      </c>
      <c r="D145" s="47">
        <v>40</v>
      </c>
      <c r="E145" s="61" t="s">
        <v>10</v>
      </c>
      <c r="F145" s="45">
        <v>350000</v>
      </c>
      <c r="G145" s="45">
        <v>14000000</v>
      </c>
    </row>
    <row r="146" spans="1:7" ht="26.4" x14ac:dyDescent="0.25">
      <c r="A146" s="21" t="s">
        <v>306</v>
      </c>
      <c r="B146" s="43" t="s">
        <v>195</v>
      </c>
      <c r="C146" s="44" t="s">
        <v>689</v>
      </c>
      <c r="D146" s="47">
        <v>80</v>
      </c>
      <c r="E146" s="61" t="s">
        <v>10</v>
      </c>
      <c r="F146" s="45">
        <v>150000</v>
      </c>
      <c r="G146" s="45">
        <v>12000000</v>
      </c>
    </row>
    <row r="147" spans="1:7" x14ac:dyDescent="0.25">
      <c r="A147" s="21" t="s">
        <v>307</v>
      </c>
      <c r="B147" s="40" t="s">
        <v>195</v>
      </c>
      <c r="C147" s="41" t="s">
        <v>690</v>
      </c>
      <c r="D147" s="40">
        <v>40</v>
      </c>
      <c r="E147" s="60" t="s">
        <v>16</v>
      </c>
      <c r="F147" s="42">
        <v>650000</v>
      </c>
      <c r="G147" s="42">
        <v>26000000</v>
      </c>
    </row>
    <row r="148" spans="1:7" ht="26.4" x14ac:dyDescent="0.25">
      <c r="A148" s="21" t="s">
        <v>308</v>
      </c>
      <c r="B148" s="37" t="s">
        <v>519</v>
      </c>
      <c r="C148" s="38" t="s">
        <v>35</v>
      </c>
      <c r="D148" s="70"/>
      <c r="E148" s="59"/>
      <c r="F148" s="39"/>
      <c r="G148" s="39">
        <v>6760000</v>
      </c>
    </row>
    <row r="149" spans="1:7" x14ac:dyDescent="0.25">
      <c r="A149" s="21" t="s">
        <v>309</v>
      </c>
      <c r="B149" s="40" t="s">
        <v>503</v>
      </c>
      <c r="C149" s="41" t="s">
        <v>7</v>
      </c>
      <c r="D149" s="40"/>
      <c r="E149" s="60"/>
      <c r="F149" s="42"/>
      <c r="G149" s="42">
        <v>4800000</v>
      </c>
    </row>
    <row r="150" spans="1:7" x14ac:dyDescent="0.25">
      <c r="A150" s="21" t="s">
        <v>310</v>
      </c>
      <c r="B150" s="43" t="s">
        <v>195</v>
      </c>
      <c r="C150" s="44" t="s">
        <v>619</v>
      </c>
      <c r="D150" s="47">
        <v>1</v>
      </c>
      <c r="E150" s="61" t="s">
        <v>9</v>
      </c>
      <c r="F150" s="45">
        <v>1000000</v>
      </c>
      <c r="G150" s="45">
        <v>1000000</v>
      </c>
    </row>
    <row r="151" spans="1:7" x14ac:dyDescent="0.25">
      <c r="A151" s="7" t="s">
        <v>311</v>
      </c>
      <c r="B151" s="28" t="s">
        <v>195</v>
      </c>
      <c r="C151" s="29" t="s">
        <v>620</v>
      </c>
      <c r="D151" s="46">
        <v>1</v>
      </c>
      <c r="E151" s="56" t="s">
        <v>9</v>
      </c>
      <c r="F151" s="30">
        <v>1000000</v>
      </c>
      <c r="G151" s="30">
        <v>1000000</v>
      </c>
    </row>
    <row r="152" spans="1:7" x14ac:dyDescent="0.25">
      <c r="A152" s="7" t="s">
        <v>312</v>
      </c>
      <c r="B152" s="31" t="s">
        <v>195</v>
      </c>
      <c r="C152" s="32" t="s">
        <v>691</v>
      </c>
      <c r="D152" s="31">
        <v>30</v>
      </c>
      <c r="E152" s="57" t="s">
        <v>10</v>
      </c>
      <c r="F152" s="33">
        <v>60000</v>
      </c>
      <c r="G152" s="33">
        <v>1800000</v>
      </c>
    </row>
    <row r="153" spans="1:7" x14ac:dyDescent="0.25">
      <c r="A153" s="21" t="s">
        <v>313</v>
      </c>
      <c r="B153" s="34" t="s">
        <v>195</v>
      </c>
      <c r="C153" s="35" t="s">
        <v>692</v>
      </c>
      <c r="D153" s="34">
        <v>20</v>
      </c>
      <c r="E153" s="58" t="s">
        <v>117</v>
      </c>
      <c r="F153" s="36">
        <v>50000</v>
      </c>
      <c r="G153" s="36">
        <v>1000000</v>
      </c>
    </row>
    <row r="154" spans="1:7" x14ac:dyDescent="0.25">
      <c r="A154" s="21" t="s">
        <v>314</v>
      </c>
      <c r="B154" s="40" t="s">
        <v>507</v>
      </c>
      <c r="C154" s="41" t="s">
        <v>13</v>
      </c>
      <c r="D154" s="40"/>
      <c r="E154" s="60"/>
      <c r="F154" s="42"/>
      <c r="G154" s="42">
        <v>1050000</v>
      </c>
    </row>
    <row r="155" spans="1:7" x14ac:dyDescent="0.25">
      <c r="A155" s="21" t="s">
        <v>315</v>
      </c>
      <c r="B155" s="40" t="s">
        <v>195</v>
      </c>
      <c r="C155" s="41" t="s">
        <v>630</v>
      </c>
      <c r="D155" s="40">
        <v>7</v>
      </c>
      <c r="E155" s="60" t="s">
        <v>10</v>
      </c>
      <c r="F155" s="42">
        <v>150000</v>
      </c>
      <c r="G155" s="42">
        <v>1050000</v>
      </c>
    </row>
    <row r="156" spans="1:7" x14ac:dyDescent="0.25">
      <c r="A156" s="21" t="s">
        <v>316</v>
      </c>
      <c r="B156" s="40" t="s">
        <v>509</v>
      </c>
      <c r="C156" s="41" t="s">
        <v>14</v>
      </c>
      <c r="D156" s="71"/>
      <c r="E156" s="60"/>
      <c r="F156" s="42"/>
      <c r="G156" s="42">
        <v>910000</v>
      </c>
    </row>
    <row r="157" spans="1:7" x14ac:dyDescent="0.25">
      <c r="A157" s="21" t="s">
        <v>317</v>
      </c>
      <c r="B157" s="43" t="s">
        <v>195</v>
      </c>
      <c r="C157" s="44" t="s">
        <v>623</v>
      </c>
      <c r="D157" s="47">
        <v>7</v>
      </c>
      <c r="E157" s="61" t="s">
        <v>10</v>
      </c>
      <c r="F157" s="45">
        <v>130000</v>
      </c>
      <c r="G157" s="45">
        <v>910000</v>
      </c>
    </row>
    <row r="158" spans="1:7" ht="26.4" x14ac:dyDescent="0.25">
      <c r="A158" s="21" t="s">
        <v>318</v>
      </c>
      <c r="B158" s="34" t="s">
        <v>523</v>
      </c>
      <c r="C158" s="35" t="s">
        <v>36</v>
      </c>
      <c r="D158" s="69"/>
      <c r="E158" s="58"/>
      <c r="F158" s="36"/>
      <c r="G158" s="36">
        <v>300000000</v>
      </c>
    </row>
    <row r="159" spans="1:7" ht="26.4" x14ac:dyDescent="0.25">
      <c r="A159" s="21" t="s">
        <v>319</v>
      </c>
      <c r="B159" s="37" t="s">
        <v>8</v>
      </c>
      <c r="C159" s="38" t="s">
        <v>37</v>
      </c>
      <c r="D159" s="37"/>
      <c r="E159" s="59"/>
      <c r="F159" s="39"/>
      <c r="G159" s="39">
        <v>108420000</v>
      </c>
    </row>
    <row r="160" spans="1:7" x14ac:dyDescent="0.25">
      <c r="A160" s="21" t="s">
        <v>320</v>
      </c>
      <c r="B160" s="40" t="s">
        <v>503</v>
      </c>
      <c r="C160" s="41" t="s">
        <v>7</v>
      </c>
      <c r="D160" s="71"/>
      <c r="E160" s="60"/>
      <c r="F160" s="42"/>
      <c r="G160" s="42">
        <v>23420000</v>
      </c>
    </row>
    <row r="161" spans="1:7" x14ac:dyDescent="0.25">
      <c r="A161" s="21" t="s">
        <v>321</v>
      </c>
      <c r="B161" s="43" t="s">
        <v>195</v>
      </c>
      <c r="C161" s="44" t="s">
        <v>619</v>
      </c>
      <c r="D161" s="47">
        <v>1</v>
      </c>
      <c r="E161" s="61" t="s">
        <v>9</v>
      </c>
      <c r="F161" s="45">
        <v>1000000</v>
      </c>
      <c r="G161" s="45">
        <v>1000000</v>
      </c>
    </row>
    <row r="162" spans="1:7" x14ac:dyDescent="0.25">
      <c r="A162" s="21" t="s">
        <v>322</v>
      </c>
      <c r="B162" s="43" t="s">
        <v>195</v>
      </c>
      <c r="C162" s="44" t="s">
        <v>693</v>
      </c>
      <c r="D162" s="47">
        <v>1</v>
      </c>
      <c r="E162" s="61" t="s">
        <v>9</v>
      </c>
      <c r="F162" s="45">
        <v>1000000</v>
      </c>
      <c r="G162" s="45">
        <v>1000000</v>
      </c>
    </row>
    <row r="163" spans="1:7" x14ac:dyDescent="0.25">
      <c r="A163" s="21" t="s">
        <v>323</v>
      </c>
      <c r="B163" s="40" t="s">
        <v>195</v>
      </c>
      <c r="C163" s="41" t="s">
        <v>694</v>
      </c>
      <c r="D163" s="40">
        <v>1</v>
      </c>
      <c r="E163" s="60" t="s">
        <v>9</v>
      </c>
      <c r="F163" s="42">
        <v>6000000</v>
      </c>
      <c r="G163" s="42">
        <v>6000000</v>
      </c>
    </row>
    <row r="164" spans="1:7" x14ac:dyDescent="0.25">
      <c r="A164" s="21" t="s">
        <v>324</v>
      </c>
      <c r="B164" s="43" t="s">
        <v>195</v>
      </c>
      <c r="C164" s="44" t="s">
        <v>695</v>
      </c>
      <c r="D164" s="47">
        <v>40</v>
      </c>
      <c r="E164" s="61" t="s">
        <v>10</v>
      </c>
      <c r="F164" s="45">
        <v>150000</v>
      </c>
      <c r="G164" s="45">
        <v>6000000</v>
      </c>
    </row>
    <row r="165" spans="1:7" x14ac:dyDescent="0.25">
      <c r="A165" s="21" t="s">
        <v>325</v>
      </c>
      <c r="B165" s="43" t="s">
        <v>195</v>
      </c>
      <c r="C165" s="44" t="s">
        <v>696</v>
      </c>
      <c r="D165" s="47">
        <v>80</v>
      </c>
      <c r="E165" s="61" t="s">
        <v>10</v>
      </c>
      <c r="F165" s="45">
        <v>69000</v>
      </c>
      <c r="G165" s="45">
        <v>5520000</v>
      </c>
    </row>
    <row r="166" spans="1:7" x14ac:dyDescent="0.25">
      <c r="A166" s="21" t="s">
        <v>326</v>
      </c>
      <c r="B166" s="43" t="s">
        <v>195</v>
      </c>
      <c r="C166" s="44" t="s">
        <v>697</v>
      </c>
      <c r="D166" s="47">
        <v>20</v>
      </c>
      <c r="E166" s="61" t="s">
        <v>10</v>
      </c>
      <c r="F166" s="45">
        <v>65000</v>
      </c>
      <c r="G166" s="45">
        <v>1300000</v>
      </c>
    </row>
    <row r="167" spans="1:7" ht="26.4" x14ac:dyDescent="0.25">
      <c r="A167" s="21" t="s">
        <v>698</v>
      </c>
      <c r="B167" s="40" t="s">
        <v>195</v>
      </c>
      <c r="C167" s="41" t="s">
        <v>699</v>
      </c>
      <c r="D167" s="40">
        <v>40</v>
      </c>
      <c r="E167" s="60" t="s">
        <v>10</v>
      </c>
      <c r="F167" s="42">
        <v>65000</v>
      </c>
      <c r="G167" s="42">
        <v>2600000</v>
      </c>
    </row>
    <row r="168" spans="1:7" ht="26.4" x14ac:dyDescent="0.25">
      <c r="A168" s="21" t="s">
        <v>327</v>
      </c>
      <c r="B168" s="40" t="s">
        <v>515</v>
      </c>
      <c r="C168" s="41" t="s">
        <v>642</v>
      </c>
      <c r="D168" s="71"/>
      <c r="E168" s="60"/>
      <c r="F168" s="42"/>
      <c r="G168" s="42">
        <v>14400000</v>
      </c>
    </row>
    <row r="169" spans="1:7" ht="26.4" x14ac:dyDescent="0.25">
      <c r="A169" s="21" t="s">
        <v>328</v>
      </c>
      <c r="B169" s="43" t="s">
        <v>195</v>
      </c>
      <c r="C169" s="44" t="s">
        <v>700</v>
      </c>
      <c r="D169" s="47">
        <v>72</v>
      </c>
      <c r="E169" s="61" t="s">
        <v>21</v>
      </c>
      <c r="F169" s="45">
        <v>200000</v>
      </c>
      <c r="G169" s="45">
        <v>14400000</v>
      </c>
    </row>
    <row r="170" spans="1:7" x14ac:dyDescent="0.25">
      <c r="A170" s="21" t="s">
        <v>329</v>
      </c>
      <c r="B170" s="40" t="s">
        <v>516</v>
      </c>
      <c r="C170" s="41" t="s">
        <v>11</v>
      </c>
      <c r="D170" s="71"/>
      <c r="E170" s="60"/>
      <c r="F170" s="42"/>
      <c r="G170" s="42">
        <v>4000000</v>
      </c>
    </row>
    <row r="171" spans="1:7" ht="26.4" x14ac:dyDescent="0.25">
      <c r="A171" s="21" t="s">
        <v>330</v>
      </c>
      <c r="B171" s="40" t="s">
        <v>195</v>
      </c>
      <c r="C171" s="41" t="s">
        <v>701</v>
      </c>
      <c r="D171" s="40">
        <v>4</v>
      </c>
      <c r="E171" s="60" t="s">
        <v>12</v>
      </c>
      <c r="F171" s="42">
        <v>1000000</v>
      </c>
      <c r="G171" s="42">
        <v>4000000</v>
      </c>
    </row>
    <row r="172" spans="1:7" x14ac:dyDescent="0.25">
      <c r="A172" s="21" t="s">
        <v>331</v>
      </c>
      <c r="B172" s="40" t="s">
        <v>518</v>
      </c>
      <c r="C172" s="41" t="s">
        <v>24</v>
      </c>
      <c r="D172" s="71"/>
      <c r="E172" s="60"/>
      <c r="F172" s="42"/>
      <c r="G172" s="42">
        <v>5000000</v>
      </c>
    </row>
    <row r="173" spans="1:7" x14ac:dyDescent="0.25">
      <c r="A173" s="21" t="s">
        <v>332</v>
      </c>
      <c r="B173" s="43" t="s">
        <v>195</v>
      </c>
      <c r="C173" s="44" t="s">
        <v>702</v>
      </c>
      <c r="D173" s="47">
        <v>20</v>
      </c>
      <c r="E173" s="61" t="s">
        <v>10</v>
      </c>
      <c r="F173" s="45">
        <v>250000</v>
      </c>
      <c r="G173" s="45">
        <v>5000000</v>
      </c>
    </row>
    <row r="174" spans="1:7" x14ac:dyDescent="0.25">
      <c r="A174" s="21" t="s">
        <v>333</v>
      </c>
      <c r="B174" s="40" t="s">
        <v>513</v>
      </c>
      <c r="C174" s="41" t="s">
        <v>19</v>
      </c>
      <c r="D174" s="71"/>
      <c r="E174" s="60"/>
      <c r="F174" s="42"/>
      <c r="G174" s="42">
        <v>37500000</v>
      </c>
    </row>
    <row r="175" spans="1:7" ht="26.4" x14ac:dyDescent="0.25">
      <c r="A175" s="21" t="s">
        <v>334</v>
      </c>
      <c r="B175" s="40" t="s">
        <v>195</v>
      </c>
      <c r="C175" s="41" t="s">
        <v>703</v>
      </c>
      <c r="D175" s="40">
        <v>6</v>
      </c>
      <c r="E175" s="60" t="s">
        <v>10</v>
      </c>
      <c r="F175" s="42">
        <v>4500000</v>
      </c>
      <c r="G175" s="42">
        <v>27000000</v>
      </c>
    </row>
    <row r="176" spans="1:7" x14ac:dyDescent="0.25">
      <c r="A176" s="21" t="s">
        <v>335</v>
      </c>
      <c r="B176" s="43" t="s">
        <v>195</v>
      </c>
      <c r="C176" s="44" t="s">
        <v>704</v>
      </c>
      <c r="D176" s="47">
        <v>6</v>
      </c>
      <c r="E176" s="61" t="s">
        <v>10</v>
      </c>
      <c r="F176" s="45">
        <v>4500000</v>
      </c>
      <c r="G176" s="45">
        <v>27000000</v>
      </c>
    </row>
    <row r="177" spans="1:7" x14ac:dyDescent="0.25">
      <c r="A177" s="21" t="s">
        <v>705</v>
      </c>
      <c r="B177" s="43" t="s">
        <v>195</v>
      </c>
      <c r="C177" s="44" t="s">
        <v>706</v>
      </c>
      <c r="D177" s="47">
        <v>6</v>
      </c>
      <c r="E177" s="61" t="s">
        <v>10</v>
      </c>
      <c r="F177" s="45">
        <v>1750000</v>
      </c>
      <c r="G177" s="45">
        <v>10500000</v>
      </c>
    </row>
    <row r="178" spans="1:7" x14ac:dyDescent="0.25">
      <c r="A178" s="21" t="s">
        <v>336</v>
      </c>
      <c r="B178" s="40" t="s">
        <v>510</v>
      </c>
      <c r="C178" s="41" t="s">
        <v>15</v>
      </c>
      <c r="D178" s="71"/>
      <c r="E178" s="60"/>
      <c r="F178" s="42"/>
      <c r="G178" s="42">
        <v>24100000</v>
      </c>
    </row>
    <row r="179" spans="1:7" x14ac:dyDescent="0.25">
      <c r="A179" s="21" t="s">
        <v>337</v>
      </c>
      <c r="B179" s="40" t="s">
        <v>195</v>
      </c>
      <c r="C179" s="41" t="s">
        <v>707</v>
      </c>
      <c r="D179" s="40">
        <v>20</v>
      </c>
      <c r="E179" s="60" t="s">
        <v>10</v>
      </c>
      <c r="F179" s="42">
        <v>105000</v>
      </c>
      <c r="G179" s="42">
        <v>2100000</v>
      </c>
    </row>
    <row r="180" spans="1:7" x14ac:dyDescent="0.25">
      <c r="A180" s="21" t="s">
        <v>338</v>
      </c>
      <c r="B180" s="43" t="s">
        <v>195</v>
      </c>
      <c r="C180" s="44" t="s">
        <v>708</v>
      </c>
      <c r="D180" s="47">
        <v>20</v>
      </c>
      <c r="E180" s="61" t="s">
        <v>10</v>
      </c>
      <c r="F180" s="45">
        <v>400000</v>
      </c>
      <c r="G180" s="45">
        <v>8000000</v>
      </c>
    </row>
    <row r="181" spans="1:7" ht="26.4" x14ac:dyDescent="0.25">
      <c r="A181" s="21" t="s">
        <v>709</v>
      </c>
      <c r="B181" s="43" t="s">
        <v>195</v>
      </c>
      <c r="C181" s="44" t="s">
        <v>710</v>
      </c>
      <c r="D181" s="47">
        <v>40</v>
      </c>
      <c r="E181" s="61" t="s">
        <v>10</v>
      </c>
      <c r="F181" s="45">
        <v>100000</v>
      </c>
      <c r="G181" s="45">
        <v>4000000</v>
      </c>
    </row>
    <row r="182" spans="1:7" ht="26.4" x14ac:dyDescent="0.25">
      <c r="A182" s="21" t="s">
        <v>711</v>
      </c>
      <c r="B182" s="43" t="s">
        <v>195</v>
      </c>
      <c r="C182" s="44" t="s">
        <v>712</v>
      </c>
      <c r="D182" s="47">
        <v>40</v>
      </c>
      <c r="E182" s="61" t="s">
        <v>10</v>
      </c>
      <c r="F182" s="45">
        <v>250000</v>
      </c>
      <c r="G182" s="45">
        <v>10000000</v>
      </c>
    </row>
    <row r="183" spans="1:7" ht="26.4" x14ac:dyDescent="0.25">
      <c r="A183" s="21" t="s">
        <v>339</v>
      </c>
      <c r="B183" s="37" t="s">
        <v>511</v>
      </c>
      <c r="C183" s="38" t="s">
        <v>713</v>
      </c>
      <c r="D183" s="37"/>
      <c r="E183" s="59"/>
      <c r="F183" s="39"/>
      <c r="G183" s="39">
        <v>58010000</v>
      </c>
    </row>
    <row r="184" spans="1:7" x14ac:dyDescent="0.25">
      <c r="A184" s="21" t="s">
        <v>340</v>
      </c>
      <c r="B184" s="40" t="s">
        <v>503</v>
      </c>
      <c r="C184" s="41" t="s">
        <v>7</v>
      </c>
      <c r="D184" s="71"/>
      <c r="E184" s="60"/>
      <c r="F184" s="42"/>
      <c r="G184" s="42">
        <v>13610000</v>
      </c>
    </row>
    <row r="185" spans="1:7" x14ac:dyDescent="0.25">
      <c r="A185" s="21" t="s">
        <v>341</v>
      </c>
      <c r="B185" s="40" t="s">
        <v>195</v>
      </c>
      <c r="C185" s="41" t="s">
        <v>619</v>
      </c>
      <c r="D185" s="40">
        <v>2</v>
      </c>
      <c r="E185" s="60" t="s">
        <v>9</v>
      </c>
      <c r="F185" s="42">
        <v>1000000</v>
      </c>
      <c r="G185" s="42">
        <v>2000000</v>
      </c>
    </row>
    <row r="186" spans="1:7" x14ac:dyDescent="0.25">
      <c r="A186" s="21" t="s">
        <v>342</v>
      </c>
      <c r="B186" s="43" t="s">
        <v>195</v>
      </c>
      <c r="C186" s="44" t="s">
        <v>693</v>
      </c>
      <c r="D186" s="47">
        <v>2</v>
      </c>
      <c r="E186" s="61" t="s">
        <v>9</v>
      </c>
      <c r="F186" s="45">
        <v>1000000</v>
      </c>
      <c r="G186" s="45">
        <v>2000000</v>
      </c>
    </row>
    <row r="187" spans="1:7" x14ac:dyDescent="0.25">
      <c r="A187" s="21" t="s">
        <v>343</v>
      </c>
      <c r="B187" s="40" t="s">
        <v>195</v>
      </c>
      <c r="C187" s="41" t="s">
        <v>714</v>
      </c>
      <c r="D187" s="40">
        <v>2</v>
      </c>
      <c r="E187" s="60" t="s">
        <v>9</v>
      </c>
      <c r="F187" s="42">
        <v>915000</v>
      </c>
      <c r="G187" s="42">
        <v>1830000</v>
      </c>
    </row>
    <row r="188" spans="1:7" x14ac:dyDescent="0.25">
      <c r="A188" s="21" t="s">
        <v>344</v>
      </c>
      <c r="B188" s="43" t="s">
        <v>195</v>
      </c>
      <c r="C188" s="44" t="s">
        <v>715</v>
      </c>
      <c r="D188" s="47">
        <v>40</v>
      </c>
      <c r="E188" s="61" t="s">
        <v>25</v>
      </c>
      <c r="F188" s="45">
        <v>22000</v>
      </c>
      <c r="G188" s="45">
        <v>880000</v>
      </c>
    </row>
    <row r="189" spans="1:7" x14ac:dyDescent="0.25">
      <c r="A189" s="21" t="s">
        <v>716</v>
      </c>
      <c r="B189" s="43" t="s">
        <v>195</v>
      </c>
      <c r="C189" s="44" t="s">
        <v>717</v>
      </c>
      <c r="D189" s="47">
        <v>100</v>
      </c>
      <c r="E189" s="61" t="s">
        <v>25</v>
      </c>
      <c r="F189" s="45">
        <v>69000</v>
      </c>
      <c r="G189" s="45">
        <v>6900000</v>
      </c>
    </row>
    <row r="190" spans="1:7" x14ac:dyDescent="0.25">
      <c r="A190" s="21" t="s">
        <v>345</v>
      </c>
      <c r="B190" s="40" t="s">
        <v>516</v>
      </c>
      <c r="C190" s="41" t="s">
        <v>11</v>
      </c>
      <c r="D190" s="71"/>
      <c r="E190" s="60"/>
      <c r="F190" s="42"/>
      <c r="G190" s="42">
        <v>8000000</v>
      </c>
    </row>
    <row r="191" spans="1:7" ht="26.4" x14ac:dyDescent="0.25">
      <c r="A191" s="21" t="s">
        <v>346</v>
      </c>
      <c r="B191" s="37" t="s">
        <v>195</v>
      </c>
      <c r="C191" s="38" t="s">
        <v>718</v>
      </c>
      <c r="D191" s="37">
        <v>8</v>
      </c>
      <c r="E191" s="59" t="s">
        <v>54</v>
      </c>
      <c r="F191" s="39">
        <v>1000000</v>
      </c>
      <c r="G191" s="39">
        <v>8000000</v>
      </c>
    </row>
    <row r="192" spans="1:7" x14ac:dyDescent="0.25">
      <c r="A192" s="21" t="s">
        <v>719</v>
      </c>
      <c r="B192" s="40" t="s">
        <v>513</v>
      </c>
      <c r="C192" s="41" t="s">
        <v>19</v>
      </c>
      <c r="D192" s="40"/>
      <c r="E192" s="60"/>
      <c r="F192" s="42"/>
      <c r="G192" s="42">
        <v>36400000</v>
      </c>
    </row>
    <row r="193" spans="1:7" ht="26.4" x14ac:dyDescent="0.25">
      <c r="A193" s="21" t="s">
        <v>720</v>
      </c>
      <c r="B193" s="43" t="s">
        <v>195</v>
      </c>
      <c r="C193" s="44" t="s">
        <v>721</v>
      </c>
      <c r="D193" s="47">
        <v>8</v>
      </c>
      <c r="E193" s="61" t="s">
        <v>54</v>
      </c>
      <c r="F193" s="45">
        <v>4550000</v>
      </c>
      <c r="G193" s="45">
        <v>36400000</v>
      </c>
    </row>
    <row r="194" spans="1:7" x14ac:dyDescent="0.25">
      <c r="A194" s="21" t="s">
        <v>347</v>
      </c>
      <c r="B194" s="37" t="s">
        <v>512</v>
      </c>
      <c r="C194" s="38" t="s">
        <v>722</v>
      </c>
      <c r="D194" s="37"/>
      <c r="E194" s="59"/>
      <c r="F194" s="39"/>
      <c r="G194" s="39">
        <v>63510000</v>
      </c>
    </row>
    <row r="195" spans="1:7" x14ac:dyDescent="0.25">
      <c r="A195" s="21" t="s">
        <v>348</v>
      </c>
      <c r="B195" s="40" t="s">
        <v>503</v>
      </c>
      <c r="C195" s="41" t="s">
        <v>7</v>
      </c>
      <c r="D195" s="40"/>
      <c r="E195" s="60"/>
      <c r="F195" s="42"/>
      <c r="G195" s="42">
        <v>11610000</v>
      </c>
    </row>
    <row r="196" spans="1:7" x14ac:dyDescent="0.25">
      <c r="A196" s="21" t="s">
        <v>349</v>
      </c>
      <c r="B196" s="40" t="s">
        <v>195</v>
      </c>
      <c r="C196" s="41" t="s">
        <v>619</v>
      </c>
      <c r="D196" s="40">
        <v>1</v>
      </c>
      <c r="E196" s="60" t="s">
        <v>9</v>
      </c>
      <c r="F196" s="42">
        <v>1000000</v>
      </c>
      <c r="G196" s="42">
        <v>1000000</v>
      </c>
    </row>
    <row r="197" spans="1:7" x14ac:dyDescent="0.25">
      <c r="A197" s="21" t="s">
        <v>350</v>
      </c>
      <c r="B197" s="43" t="s">
        <v>195</v>
      </c>
      <c r="C197" s="44" t="s">
        <v>693</v>
      </c>
      <c r="D197" s="47">
        <v>1</v>
      </c>
      <c r="E197" s="61" t="s">
        <v>9</v>
      </c>
      <c r="F197" s="45">
        <v>1000000</v>
      </c>
      <c r="G197" s="45">
        <v>1000000</v>
      </c>
    </row>
    <row r="198" spans="1:7" x14ac:dyDescent="0.25">
      <c r="A198" s="21" t="s">
        <v>351</v>
      </c>
      <c r="B198" s="43" t="s">
        <v>195</v>
      </c>
      <c r="C198" s="44" t="s">
        <v>714</v>
      </c>
      <c r="D198" s="47">
        <v>1</v>
      </c>
      <c r="E198" s="61" t="s">
        <v>9</v>
      </c>
      <c r="F198" s="45">
        <v>1000000</v>
      </c>
      <c r="G198" s="45">
        <v>1000000</v>
      </c>
    </row>
    <row r="199" spans="1:7" x14ac:dyDescent="0.25">
      <c r="A199" s="21" t="s">
        <v>352</v>
      </c>
      <c r="B199" s="43" t="s">
        <v>195</v>
      </c>
      <c r="C199" s="44" t="s">
        <v>723</v>
      </c>
      <c r="D199" s="47">
        <v>40</v>
      </c>
      <c r="E199" s="61" t="s">
        <v>10</v>
      </c>
      <c r="F199" s="45">
        <v>69000</v>
      </c>
      <c r="G199" s="45">
        <v>2760000</v>
      </c>
    </row>
    <row r="200" spans="1:7" ht="26.4" x14ac:dyDescent="0.25">
      <c r="A200" s="21" t="s">
        <v>353</v>
      </c>
      <c r="B200" s="43" t="s">
        <v>195</v>
      </c>
      <c r="C200" s="44" t="s">
        <v>724</v>
      </c>
      <c r="D200" s="47">
        <v>90</v>
      </c>
      <c r="E200" s="61" t="s">
        <v>10</v>
      </c>
      <c r="F200" s="45">
        <v>65000</v>
      </c>
      <c r="G200" s="45">
        <v>5850000</v>
      </c>
    </row>
    <row r="201" spans="1:7" x14ac:dyDescent="0.25">
      <c r="A201" s="21" t="s">
        <v>354</v>
      </c>
      <c r="B201" s="40" t="s">
        <v>516</v>
      </c>
      <c r="C201" s="41" t="s">
        <v>11</v>
      </c>
      <c r="D201" s="71"/>
      <c r="E201" s="60"/>
      <c r="F201" s="42"/>
      <c r="G201" s="42">
        <v>5400000</v>
      </c>
    </row>
    <row r="202" spans="1:7" ht="26.4" x14ac:dyDescent="0.25">
      <c r="A202" s="21" t="s">
        <v>355</v>
      </c>
      <c r="B202" s="43" t="s">
        <v>195</v>
      </c>
      <c r="C202" s="44" t="s">
        <v>725</v>
      </c>
      <c r="D202" s="47">
        <v>6</v>
      </c>
      <c r="E202" s="61" t="s">
        <v>12</v>
      </c>
      <c r="F202" s="45">
        <v>900000</v>
      </c>
      <c r="G202" s="45">
        <v>5400000</v>
      </c>
    </row>
    <row r="203" spans="1:7" x14ac:dyDescent="0.25">
      <c r="A203" s="21" t="s">
        <v>356</v>
      </c>
      <c r="B203" s="40" t="s">
        <v>513</v>
      </c>
      <c r="C203" s="41" t="s">
        <v>19</v>
      </c>
      <c r="D203" s="71"/>
      <c r="E203" s="60"/>
      <c r="F203" s="42"/>
      <c r="G203" s="42">
        <v>24000000</v>
      </c>
    </row>
    <row r="204" spans="1:7" ht="39.6" x14ac:dyDescent="0.25">
      <c r="A204" s="21" t="s">
        <v>357</v>
      </c>
      <c r="B204" s="43" t="s">
        <v>195</v>
      </c>
      <c r="C204" s="44" t="s">
        <v>726</v>
      </c>
      <c r="D204" s="47">
        <v>6</v>
      </c>
      <c r="E204" s="61" t="s">
        <v>10</v>
      </c>
      <c r="F204" s="45">
        <v>4000000</v>
      </c>
      <c r="G204" s="45">
        <v>24000000</v>
      </c>
    </row>
    <row r="205" spans="1:7" x14ac:dyDescent="0.25">
      <c r="A205" s="21" t="s">
        <v>358</v>
      </c>
      <c r="B205" s="40" t="s">
        <v>510</v>
      </c>
      <c r="C205" s="41" t="s">
        <v>15</v>
      </c>
      <c r="D205" s="71"/>
      <c r="E205" s="60"/>
      <c r="F205" s="42"/>
      <c r="G205" s="42">
        <v>22500000</v>
      </c>
    </row>
    <row r="206" spans="1:7" x14ac:dyDescent="0.25">
      <c r="A206" s="21" t="s">
        <v>359</v>
      </c>
      <c r="B206" s="40" t="s">
        <v>195</v>
      </c>
      <c r="C206" s="41" t="s">
        <v>727</v>
      </c>
      <c r="D206" s="40">
        <v>90</v>
      </c>
      <c r="E206" s="60" t="s">
        <v>10</v>
      </c>
      <c r="F206" s="42">
        <v>100000</v>
      </c>
      <c r="G206" s="42">
        <v>9000000</v>
      </c>
    </row>
    <row r="207" spans="1:7" x14ac:dyDescent="0.25">
      <c r="A207" s="21" t="s">
        <v>360</v>
      </c>
      <c r="B207" s="43" t="s">
        <v>195</v>
      </c>
      <c r="C207" s="44" t="s">
        <v>728</v>
      </c>
      <c r="D207" s="47">
        <v>90</v>
      </c>
      <c r="E207" s="61" t="s">
        <v>10</v>
      </c>
      <c r="F207" s="45">
        <v>150000</v>
      </c>
      <c r="G207" s="45">
        <v>13500000</v>
      </c>
    </row>
    <row r="208" spans="1:7" ht="26.4" x14ac:dyDescent="0.25">
      <c r="A208" s="21" t="s">
        <v>361</v>
      </c>
      <c r="B208" s="37" t="s">
        <v>514</v>
      </c>
      <c r="C208" s="38" t="s">
        <v>729</v>
      </c>
      <c r="D208" s="37"/>
      <c r="E208" s="59"/>
      <c r="F208" s="39"/>
      <c r="G208" s="39">
        <v>70060000</v>
      </c>
    </row>
    <row r="209" spans="1:7" x14ac:dyDescent="0.25">
      <c r="A209" s="21" t="s">
        <v>362</v>
      </c>
      <c r="B209" s="40" t="s">
        <v>503</v>
      </c>
      <c r="C209" s="41" t="s">
        <v>7</v>
      </c>
      <c r="D209" s="71"/>
      <c r="E209" s="60"/>
      <c r="F209" s="42"/>
      <c r="G209" s="42">
        <v>14760000</v>
      </c>
    </row>
    <row r="210" spans="1:7" x14ac:dyDescent="0.25">
      <c r="A210" s="21" t="s">
        <v>363</v>
      </c>
      <c r="B210" s="43" t="s">
        <v>195</v>
      </c>
      <c r="C210" s="44" t="s">
        <v>619</v>
      </c>
      <c r="D210" s="47">
        <v>1</v>
      </c>
      <c r="E210" s="61" t="s">
        <v>9</v>
      </c>
      <c r="F210" s="45">
        <v>1000000</v>
      </c>
      <c r="G210" s="45">
        <v>1000000</v>
      </c>
    </row>
    <row r="211" spans="1:7" x14ac:dyDescent="0.25">
      <c r="A211" s="21" t="s">
        <v>364</v>
      </c>
      <c r="B211" s="43" t="s">
        <v>195</v>
      </c>
      <c r="C211" s="44" t="s">
        <v>693</v>
      </c>
      <c r="D211" s="47">
        <v>1</v>
      </c>
      <c r="E211" s="61" t="s">
        <v>9</v>
      </c>
      <c r="F211" s="45">
        <v>1000000</v>
      </c>
      <c r="G211" s="45">
        <v>1000000</v>
      </c>
    </row>
    <row r="212" spans="1:7" x14ac:dyDescent="0.25">
      <c r="A212" s="21" t="s">
        <v>365</v>
      </c>
      <c r="B212" s="43" t="s">
        <v>195</v>
      </c>
      <c r="C212" s="44" t="s">
        <v>730</v>
      </c>
      <c r="D212" s="47">
        <v>1</v>
      </c>
      <c r="E212" s="61" t="s">
        <v>9</v>
      </c>
      <c r="F212" s="45">
        <v>1000000</v>
      </c>
      <c r="G212" s="45">
        <v>1000000</v>
      </c>
    </row>
    <row r="213" spans="1:7" x14ac:dyDescent="0.25">
      <c r="A213" s="21" t="s">
        <v>366</v>
      </c>
      <c r="B213" s="43" t="s">
        <v>195</v>
      </c>
      <c r="C213" s="44" t="s">
        <v>731</v>
      </c>
      <c r="D213" s="47">
        <v>60</v>
      </c>
      <c r="E213" s="61" t="s">
        <v>10</v>
      </c>
      <c r="F213" s="45">
        <v>150000</v>
      </c>
      <c r="G213" s="45">
        <v>9000000</v>
      </c>
    </row>
    <row r="214" spans="1:7" x14ac:dyDescent="0.25">
      <c r="A214" s="21" t="s">
        <v>367</v>
      </c>
      <c r="B214" s="43" t="s">
        <v>195</v>
      </c>
      <c r="C214" s="44" t="s">
        <v>732</v>
      </c>
      <c r="D214" s="47">
        <v>40</v>
      </c>
      <c r="E214" s="61" t="s">
        <v>10</v>
      </c>
      <c r="F214" s="45">
        <v>69000</v>
      </c>
      <c r="G214" s="45">
        <v>2760000</v>
      </c>
    </row>
    <row r="215" spans="1:7" x14ac:dyDescent="0.25">
      <c r="A215" s="21" t="s">
        <v>368</v>
      </c>
      <c r="B215" s="40" t="s">
        <v>516</v>
      </c>
      <c r="C215" s="41" t="s">
        <v>11</v>
      </c>
      <c r="D215" s="71"/>
      <c r="E215" s="60"/>
      <c r="F215" s="42"/>
      <c r="G215" s="42">
        <v>4000000</v>
      </c>
    </row>
    <row r="216" spans="1:7" ht="26.4" x14ac:dyDescent="0.25">
      <c r="A216" s="21" t="s">
        <v>369</v>
      </c>
      <c r="B216" s="43" t="s">
        <v>195</v>
      </c>
      <c r="C216" s="44" t="s">
        <v>733</v>
      </c>
      <c r="D216" s="47">
        <v>4</v>
      </c>
      <c r="E216" s="61" t="s">
        <v>12</v>
      </c>
      <c r="F216" s="45">
        <v>1000000</v>
      </c>
      <c r="G216" s="45">
        <v>4000000</v>
      </c>
    </row>
    <row r="217" spans="1:7" x14ac:dyDescent="0.25">
      <c r="A217" s="21" t="s">
        <v>734</v>
      </c>
      <c r="B217" s="40" t="s">
        <v>510</v>
      </c>
      <c r="C217" s="41" t="s">
        <v>15</v>
      </c>
      <c r="D217" s="71"/>
      <c r="E217" s="60"/>
      <c r="F217" s="42"/>
      <c r="G217" s="42">
        <v>51300000</v>
      </c>
    </row>
    <row r="218" spans="1:7" x14ac:dyDescent="0.25">
      <c r="A218" s="21" t="s">
        <v>735</v>
      </c>
      <c r="B218" s="40" t="s">
        <v>195</v>
      </c>
      <c r="C218" s="41" t="s">
        <v>736</v>
      </c>
      <c r="D218" s="40">
        <v>60</v>
      </c>
      <c r="E218" s="60" t="s">
        <v>16</v>
      </c>
      <c r="F218" s="42">
        <v>350000</v>
      </c>
      <c r="G218" s="42">
        <v>21000000</v>
      </c>
    </row>
    <row r="219" spans="1:7" x14ac:dyDescent="0.25">
      <c r="A219" s="21" t="s">
        <v>737</v>
      </c>
      <c r="B219" s="43" t="s">
        <v>195</v>
      </c>
      <c r="C219" s="44" t="s">
        <v>738</v>
      </c>
      <c r="D219" s="47">
        <v>60</v>
      </c>
      <c r="E219" s="61" t="s">
        <v>10</v>
      </c>
      <c r="F219" s="45">
        <v>105000</v>
      </c>
      <c r="G219" s="45">
        <v>6300000</v>
      </c>
    </row>
    <row r="220" spans="1:7" x14ac:dyDescent="0.25">
      <c r="A220" s="21" t="s">
        <v>739</v>
      </c>
      <c r="B220" s="37" t="s">
        <v>195</v>
      </c>
      <c r="C220" s="38" t="s">
        <v>740</v>
      </c>
      <c r="D220" s="37">
        <v>60</v>
      </c>
      <c r="E220" s="59" t="s">
        <v>10</v>
      </c>
      <c r="F220" s="39">
        <v>400000</v>
      </c>
      <c r="G220" s="39">
        <v>24000000</v>
      </c>
    </row>
    <row r="221" spans="1:7" x14ac:dyDescent="0.25">
      <c r="A221" s="21" t="s">
        <v>370</v>
      </c>
      <c r="B221" s="34" t="s">
        <v>526</v>
      </c>
      <c r="C221" s="35" t="s">
        <v>38</v>
      </c>
      <c r="D221" s="34"/>
      <c r="E221" s="58"/>
      <c r="F221" s="36"/>
      <c r="G221" s="36">
        <v>300000000</v>
      </c>
    </row>
    <row r="222" spans="1:7" ht="26.4" x14ac:dyDescent="0.25">
      <c r="A222" s="21" t="s">
        <v>371</v>
      </c>
      <c r="B222" s="37" t="s">
        <v>8</v>
      </c>
      <c r="C222" s="38" t="s">
        <v>39</v>
      </c>
      <c r="D222" s="70"/>
      <c r="E222" s="59"/>
      <c r="F222" s="39"/>
      <c r="G222" s="39">
        <v>93840000</v>
      </c>
    </row>
    <row r="223" spans="1:7" x14ac:dyDescent="0.25">
      <c r="A223" s="21" t="s">
        <v>372</v>
      </c>
      <c r="B223" s="40" t="s">
        <v>503</v>
      </c>
      <c r="C223" s="41" t="s">
        <v>7</v>
      </c>
      <c r="D223" s="40"/>
      <c r="E223" s="60"/>
      <c r="F223" s="42"/>
      <c r="G223" s="42">
        <v>20140000</v>
      </c>
    </row>
    <row r="224" spans="1:7" x14ac:dyDescent="0.25">
      <c r="A224" s="21" t="s">
        <v>373</v>
      </c>
      <c r="B224" s="43" t="s">
        <v>195</v>
      </c>
      <c r="C224" s="44" t="s">
        <v>619</v>
      </c>
      <c r="D224" s="47">
        <v>1</v>
      </c>
      <c r="E224" s="61" t="s">
        <v>9</v>
      </c>
      <c r="F224" s="45">
        <v>1000000</v>
      </c>
      <c r="G224" s="45">
        <v>1000000</v>
      </c>
    </row>
    <row r="225" spans="1:7" x14ac:dyDescent="0.25">
      <c r="A225" s="21" t="s">
        <v>374</v>
      </c>
      <c r="B225" s="43" t="s">
        <v>195</v>
      </c>
      <c r="C225" s="44" t="s">
        <v>620</v>
      </c>
      <c r="D225" s="47">
        <v>1</v>
      </c>
      <c r="E225" s="61" t="s">
        <v>9</v>
      </c>
      <c r="F225" s="45">
        <v>1000000</v>
      </c>
      <c r="G225" s="45">
        <v>1000000</v>
      </c>
    </row>
    <row r="226" spans="1:7" x14ac:dyDescent="0.25">
      <c r="A226" s="21" t="s">
        <v>375</v>
      </c>
      <c r="B226" s="37" t="s">
        <v>195</v>
      </c>
      <c r="C226" s="38" t="s">
        <v>617</v>
      </c>
      <c r="D226" s="37">
        <v>1</v>
      </c>
      <c r="E226" s="59" t="s">
        <v>9</v>
      </c>
      <c r="F226" s="39">
        <v>10600000</v>
      </c>
      <c r="G226" s="39">
        <v>10600000</v>
      </c>
    </row>
    <row r="227" spans="1:7" x14ac:dyDescent="0.25">
      <c r="A227" s="21" t="s">
        <v>376</v>
      </c>
      <c r="B227" s="40" t="s">
        <v>195</v>
      </c>
      <c r="C227" s="41" t="s">
        <v>741</v>
      </c>
      <c r="D227" s="40">
        <v>60</v>
      </c>
      <c r="E227" s="60" t="s">
        <v>10</v>
      </c>
      <c r="F227" s="42">
        <v>69000</v>
      </c>
      <c r="G227" s="42">
        <v>4140000</v>
      </c>
    </row>
    <row r="228" spans="1:7" x14ac:dyDescent="0.25">
      <c r="A228" s="21" t="s">
        <v>377</v>
      </c>
      <c r="B228" s="43" t="s">
        <v>195</v>
      </c>
      <c r="C228" s="44" t="s">
        <v>742</v>
      </c>
      <c r="D228" s="47">
        <v>80</v>
      </c>
      <c r="E228" s="61" t="s">
        <v>10</v>
      </c>
      <c r="F228" s="45">
        <v>20000</v>
      </c>
      <c r="G228" s="45">
        <v>1600000</v>
      </c>
    </row>
    <row r="229" spans="1:7" x14ac:dyDescent="0.25">
      <c r="A229" s="21" t="s">
        <v>378</v>
      </c>
      <c r="B229" s="43" t="s">
        <v>195</v>
      </c>
      <c r="C229" s="44" t="s">
        <v>743</v>
      </c>
      <c r="D229" s="47">
        <v>40</v>
      </c>
      <c r="E229" s="61" t="s">
        <v>10</v>
      </c>
      <c r="F229" s="45">
        <v>45000</v>
      </c>
      <c r="G229" s="45">
        <v>1800000</v>
      </c>
    </row>
    <row r="230" spans="1:7" ht="26.4" x14ac:dyDescent="0.25">
      <c r="A230" s="21" t="s">
        <v>379</v>
      </c>
      <c r="B230" s="40" t="s">
        <v>515</v>
      </c>
      <c r="C230" s="41" t="s">
        <v>642</v>
      </c>
      <c r="D230" s="71"/>
      <c r="E230" s="60"/>
      <c r="F230" s="42"/>
      <c r="G230" s="42">
        <v>19200000</v>
      </c>
    </row>
    <row r="231" spans="1:7" ht="26.4" x14ac:dyDescent="0.25">
      <c r="A231" s="21" t="s">
        <v>380</v>
      </c>
      <c r="B231" s="43" t="s">
        <v>195</v>
      </c>
      <c r="C231" s="44" t="s">
        <v>744</v>
      </c>
      <c r="D231" s="47">
        <v>96</v>
      </c>
      <c r="E231" s="61" t="s">
        <v>21</v>
      </c>
      <c r="F231" s="45">
        <v>200000</v>
      </c>
      <c r="G231" s="45">
        <v>19200000</v>
      </c>
    </row>
    <row r="232" spans="1:7" x14ac:dyDescent="0.25">
      <c r="A232" s="21" t="s">
        <v>381</v>
      </c>
      <c r="B232" s="40" t="s">
        <v>518</v>
      </c>
      <c r="C232" s="41" t="s">
        <v>24</v>
      </c>
      <c r="D232" s="71"/>
      <c r="E232" s="60"/>
      <c r="F232" s="42"/>
      <c r="G232" s="42">
        <v>4500000</v>
      </c>
    </row>
    <row r="233" spans="1:7" x14ac:dyDescent="0.25">
      <c r="A233" s="21" t="s">
        <v>382</v>
      </c>
      <c r="B233" s="43" t="s">
        <v>195</v>
      </c>
      <c r="C233" s="44" t="s">
        <v>745</v>
      </c>
      <c r="D233" s="47">
        <v>18</v>
      </c>
      <c r="E233" s="61" t="s">
        <v>10</v>
      </c>
      <c r="F233" s="45">
        <v>250000</v>
      </c>
      <c r="G233" s="45">
        <v>4500000</v>
      </c>
    </row>
    <row r="234" spans="1:7" x14ac:dyDescent="0.25">
      <c r="A234" s="21" t="s">
        <v>383</v>
      </c>
      <c r="B234" s="40" t="s">
        <v>513</v>
      </c>
      <c r="C234" s="41" t="s">
        <v>19</v>
      </c>
      <c r="D234" s="71"/>
      <c r="E234" s="60"/>
      <c r="F234" s="42"/>
      <c r="G234" s="42">
        <v>36000000</v>
      </c>
    </row>
    <row r="235" spans="1:7" x14ac:dyDescent="0.25">
      <c r="A235" s="21" t="s">
        <v>384</v>
      </c>
      <c r="B235" s="43" t="s">
        <v>195</v>
      </c>
      <c r="C235" s="44" t="s">
        <v>746</v>
      </c>
      <c r="D235" s="47">
        <v>8</v>
      </c>
      <c r="E235" s="61" t="s">
        <v>10</v>
      </c>
      <c r="F235" s="45">
        <v>1500000</v>
      </c>
      <c r="G235" s="45">
        <v>12000000</v>
      </c>
    </row>
    <row r="236" spans="1:7" ht="26.4" x14ac:dyDescent="0.25">
      <c r="A236" s="21" t="s">
        <v>747</v>
      </c>
      <c r="B236" s="43" t="s">
        <v>195</v>
      </c>
      <c r="C236" s="44" t="s">
        <v>748</v>
      </c>
      <c r="D236" s="47">
        <v>8</v>
      </c>
      <c r="E236" s="61" t="s">
        <v>10</v>
      </c>
      <c r="F236" s="45">
        <v>3000000</v>
      </c>
      <c r="G236" s="45">
        <v>24000000</v>
      </c>
    </row>
    <row r="237" spans="1:7" x14ac:dyDescent="0.25">
      <c r="A237" s="21" t="s">
        <v>385</v>
      </c>
      <c r="B237" s="40" t="s">
        <v>510</v>
      </c>
      <c r="C237" s="41" t="s">
        <v>15</v>
      </c>
      <c r="D237" s="40"/>
      <c r="E237" s="60"/>
      <c r="F237" s="42"/>
      <c r="G237" s="42">
        <v>14000000</v>
      </c>
    </row>
    <row r="238" spans="1:7" x14ac:dyDescent="0.25">
      <c r="A238" s="21" t="s">
        <v>386</v>
      </c>
      <c r="B238" s="43" t="s">
        <v>195</v>
      </c>
      <c r="C238" s="44" t="s">
        <v>749</v>
      </c>
      <c r="D238" s="47">
        <v>40</v>
      </c>
      <c r="E238" s="61" t="s">
        <v>10</v>
      </c>
      <c r="F238" s="45">
        <v>100000</v>
      </c>
      <c r="G238" s="45">
        <v>4000000</v>
      </c>
    </row>
    <row r="239" spans="1:7" x14ac:dyDescent="0.25">
      <c r="A239" s="21" t="s">
        <v>387</v>
      </c>
      <c r="B239" s="37" t="s">
        <v>195</v>
      </c>
      <c r="C239" s="38" t="s">
        <v>750</v>
      </c>
      <c r="D239" s="37">
        <v>40</v>
      </c>
      <c r="E239" s="59" t="s">
        <v>10</v>
      </c>
      <c r="F239" s="39">
        <v>250000</v>
      </c>
      <c r="G239" s="39">
        <v>10000000</v>
      </c>
    </row>
    <row r="240" spans="1:7" x14ac:dyDescent="0.25">
      <c r="A240" s="21" t="s">
        <v>388</v>
      </c>
      <c r="B240" s="37" t="s">
        <v>511</v>
      </c>
      <c r="C240" s="38" t="s">
        <v>40</v>
      </c>
      <c r="D240" s="37"/>
      <c r="E240" s="59"/>
      <c r="F240" s="39"/>
      <c r="G240" s="39">
        <v>103940000</v>
      </c>
    </row>
    <row r="241" spans="1:7" x14ac:dyDescent="0.25">
      <c r="A241" s="21" t="s">
        <v>389</v>
      </c>
      <c r="B241" s="40" t="s">
        <v>503</v>
      </c>
      <c r="C241" s="41" t="s">
        <v>7</v>
      </c>
      <c r="D241" s="71"/>
      <c r="E241" s="60"/>
      <c r="F241" s="42"/>
      <c r="G241" s="42">
        <v>49940000</v>
      </c>
    </row>
    <row r="242" spans="1:7" x14ac:dyDescent="0.25">
      <c r="A242" s="21" t="s">
        <v>390</v>
      </c>
      <c r="B242" s="43" t="s">
        <v>195</v>
      </c>
      <c r="C242" s="44" t="s">
        <v>619</v>
      </c>
      <c r="D242" s="47">
        <v>1</v>
      </c>
      <c r="E242" s="61" t="s">
        <v>9</v>
      </c>
      <c r="F242" s="45">
        <v>1000000</v>
      </c>
      <c r="G242" s="45">
        <v>1000000</v>
      </c>
    </row>
    <row r="243" spans="1:7" x14ac:dyDescent="0.25">
      <c r="A243" s="21" t="s">
        <v>391</v>
      </c>
      <c r="B243" s="40" t="s">
        <v>195</v>
      </c>
      <c r="C243" s="41" t="s">
        <v>620</v>
      </c>
      <c r="D243" s="40">
        <v>1</v>
      </c>
      <c r="E243" s="60" t="s">
        <v>9</v>
      </c>
      <c r="F243" s="42">
        <v>1000000</v>
      </c>
      <c r="G243" s="42">
        <v>1000000</v>
      </c>
    </row>
    <row r="244" spans="1:7" x14ac:dyDescent="0.25">
      <c r="A244" s="21" t="s">
        <v>392</v>
      </c>
      <c r="B244" s="43" t="s">
        <v>195</v>
      </c>
      <c r="C244" s="44" t="s">
        <v>751</v>
      </c>
      <c r="D244" s="47">
        <v>1</v>
      </c>
      <c r="E244" s="61" t="s">
        <v>9</v>
      </c>
      <c r="F244" s="45">
        <v>1000000</v>
      </c>
      <c r="G244" s="45">
        <v>1000000</v>
      </c>
    </row>
    <row r="245" spans="1:7" x14ac:dyDescent="0.25">
      <c r="A245" s="21" t="s">
        <v>393</v>
      </c>
      <c r="B245" s="43" t="s">
        <v>195</v>
      </c>
      <c r="C245" s="44" t="s">
        <v>752</v>
      </c>
      <c r="D245" s="47">
        <v>500</v>
      </c>
      <c r="E245" s="61" t="s">
        <v>117</v>
      </c>
      <c r="F245" s="45">
        <v>75000</v>
      </c>
      <c r="G245" s="45">
        <v>37500000</v>
      </c>
    </row>
    <row r="246" spans="1:7" x14ac:dyDescent="0.25">
      <c r="A246" s="21" t="s">
        <v>394</v>
      </c>
      <c r="B246" s="43" t="s">
        <v>195</v>
      </c>
      <c r="C246" s="44" t="s">
        <v>753</v>
      </c>
      <c r="D246" s="47">
        <v>80</v>
      </c>
      <c r="E246" s="61" t="s">
        <v>10</v>
      </c>
      <c r="F246" s="45">
        <v>75000</v>
      </c>
      <c r="G246" s="45">
        <v>6000000</v>
      </c>
    </row>
    <row r="247" spans="1:7" x14ac:dyDescent="0.25">
      <c r="A247" s="21" t="s">
        <v>395</v>
      </c>
      <c r="B247" s="43" t="s">
        <v>195</v>
      </c>
      <c r="C247" s="44" t="s">
        <v>754</v>
      </c>
      <c r="D247" s="47">
        <v>80</v>
      </c>
      <c r="E247" s="61" t="s">
        <v>10</v>
      </c>
      <c r="F247" s="45">
        <v>20000</v>
      </c>
      <c r="G247" s="45">
        <v>1600000</v>
      </c>
    </row>
    <row r="248" spans="1:7" x14ac:dyDescent="0.25">
      <c r="A248" s="21" t="s">
        <v>396</v>
      </c>
      <c r="B248" s="43" t="s">
        <v>195</v>
      </c>
      <c r="C248" s="44" t="s">
        <v>755</v>
      </c>
      <c r="D248" s="47">
        <v>40</v>
      </c>
      <c r="E248" s="61" t="s">
        <v>10</v>
      </c>
      <c r="F248" s="45">
        <v>46000</v>
      </c>
      <c r="G248" s="45">
        <v>1840000</v>
      </c>
    </row>
    <row r="249" spans="1:7" x14ac:dyDescent="0.25">
      <c r="A249" s="21" t="s">
        <v>397</v>
      </c>
      <c r="B249" s="40" t="s">
        <v>513</v>
      </c>
      <c r="C249" s="41" t="s">
        <v>19</v>
      </c>
      <c r="D249" s="71"/>
      <c r="E249" s="60"/>
      <c r="F249" s="42"/>
      <c r="G249" s="42">
        <v>40000000</v>
      </c>
    </row>
    <row r="250" spans="1:7" x14ac:dyDescent="0.25">
      <c r="A250" s="21" t="s">
        <v>398</v>
      </c>
      <c r="B250" s="43" t="s">
        <v>195</v>
      </c>
      <c r="C250" s="44" t="s">
        <v>756</v>
      </c>
      <c r="D250" s="47">
        <v>10</v>
      </c>
      <c r="E250" s="61" t="s">
        <v>10</v>
      </c>
      <c r="F250" s="45">
        <v>4000000</v>
      </c>
      <c r="G250" s="45">
        <v>40000000</v>
      </c>
    </row>
    <row r="251" spans="1:7" x14ac:dyDescent="0.25">
      <c r="A251" s="21" t="s">
        <v>399</v>
      </c>
      <c r="B251" s="40" t="s">
        <v>510</v>
      </c>
      <c r="C251" s="41" t="s">
        <v>15</v>
      </c>
      <c r="D251" s="71"/>
      <c r="E251" s="60"/>
      <c r="F251" s="42"/>
      <c r="G251" s="42">
        <v>14000000</v>
      </c>
    </row>
    <row r="252" spans="1:7" x14ac:dyDescent="0.25">
      <c r="A252" s="21" t="s">
        <v>400</v>
      </c>
      <c r="B252" s="43" t="s">
        <v>195</v>
      </c>
      <c r="C252" s="44" t="s">
        <v>757</v>
      </c>
      <c r="D252" s="47">
        <v>40</v>
      </c>
      <c r="E252" s="61" t="s">
        <v>10</v>
      </c>
      <c r="F252" s="45">
        <v>100000</v>
      </c>
      <c r="G252" s="45">
        <v>4000000</v>
      </c>
    </row>
    <row r="253" spans="1:7" x14ac:dyDescent="0.25">
      <c r="A253" s="21" t="s">
        <v>401</v>
      </c>
      <c r="B253" s="43" t="s">
        <v>195</v>
      </c>
      <c r="C253" s="44" t="s">
        <v>758</v>
      </c>
      <c r="D253" s="47">
        <v>40</v>
      </c>
      <c r="E253" s="61" t="s">
        <v>10</v>
      </c>
      <c r="F253" s="45">
        <v>250000</v>
      </c>
      <c r="G253" s="45">
        <v>10000000</v>
      </c>
    </row>
    <row r="254" spans="1:7" ht="26.4" x14ac:dyDescent="0.25">
      <c r="A254" s="21" t="s">
        <v>402</v>
      </c>
      <c r="B254" s="37" t="s">
        <v>512</v>
      </c>
      <c r="C254" s="38" t="s">
        <v>41</v>
      </c>
      <c r="D254" s="70"/>
      <c r="E254" s="59"/>
      <c r="F254" s="39"/>
      <c r="G254" s="39">
        <v>52700000</v>
      </c>
    </row>
    <row r="255" spans="1:7" x14ac:dyDescent="0.25">
      <c r="A255" s="21" t="s">
        <v>403</v>
      </c>
      <c r="B255" s="40" t="s">
        <v>503</v>
      </c>
      <c r="C255" s="41" t="s">
        <v>7</v>
      </c>
      <c r="D255" s="71"/>
      <c r="E255" s="60"/>
      <c r="F255" s="42"/>
      <c r="G255" s="42">
        <v>32700000</v>
      </c>
    </row>
    <row r="256" spans="1:7" x14ac:dyDescent="0.25">
      <c r="A256" s="21" t="s">
        <v>404</v>
      </c>
      <c r="B256" s="43" t="s">
        <v>195</v>
      </c>
      <c r="C256" s="44" t="s">
        <v>619</v>
      </c>
      <c r="D256" s="47">
        <v>4</v>
      </c>
      <c r="E256" s="61" t="s">
        <v>9</v>
      </c>
      <c r="F256" s="45">
        <v>1000000</v>
      </c>
      <c r="G256" s="45">
        <v>4000000</v>
      </c>
    </row>
    <row r="257" spans="1:7" x14ac:dyDescent="0.25">
      <c r="A257" s="21" t="s">
        <v>405</v>
      </c>
      <c r="B257" s="40" t="s">
        <v>195</v>
      </c>
      <c r="C257" s="41" t="s">
        <v>620</v>
      </c>
      <c r="D257" s="40">
        <v>4</v>
      </c>
      <c r="E257" s="60" t="s">
        <v>9</v>
      </c>
      <c r="F257" s="42">
        <v>1000000</v>
      </c>
      <c r="G257" s="42">
        <v>4000000</v>
      </c>
    </row>
    <row r="258" spans="1:7" x14ac:dyDescent="0.25">
      <c r="A258" s="21" t="s">
        <v>406</v>
      </c>
      <c r="B258" s="43" t="s">
        <v>195</v>
      </c>
      <c r="C258" s="44" t="s">
        <v>617</v>
      </c>
      <c r="D258" s="47">
        <v>4</v>
      </c>
      <c r="E258" s="61" t="s">
        <v>9</v>
      </c>
      <c r="F258" s="45">
        <v>1000000</v>
      </c>
      <c r="G258" s="45">
        <v>4000000</v>
      </c>
    </row>
    <row r="259" spans="1:7" x14ac:dyDescent="0.25">
      <c r="A259" s="7" t="s">
        <v>407</v>
      </c>
      <c r="B259" s="28" t="s">
        <v>195</v>
      </c>
      <c r="C259" s="29" t="s">
        <v>759</v>
      </c>
      <c r="D259" s="46">
        <v>300</v>
      </c>
      <c r="E259" s="56" t="s">
        <v>10</v>
      </c>
      <c r="F259" s="30">
        <v>22000</v>
      </c>
      <c r="G259" s="30">
        <v>6600000</v>
      </c>
    </row>
    <row r="260" spans="1:7" x14ac:dyDescent="0.25">
      <c r="A260" s="7" t="s">
        <v>408</v>
      </c>
      <c r="B260" s="31" t="s">
        <v>195</v>
      </c>
      <c r="C260" s="32" t="s">
        <v>760</v>
      </c>
      <c r="D260" s="31">
        <v>300</v>
      </c>
      <c r="E260" s="57" t="s">
        <v>10</v>
      </c>
      <c r="F260" s="33">
        <v>47000</v>
      </c>
      <c r="G260" s="33">
        <v>14100000</v>
      </c>
    </row>
    <row r="261" spans="1:7" x14ac:dyDescent="0.25">
      <c r="A261" s="21" t="s">
        <v>409</v>
      </c>
      <c r="B261" s="40" t="s">
        <v>516</v>
      </c>
      <c r="C261" s="41" t="s">
        <v>11</v>
      </c>
      <c r="D261" s="40"/>
      <c r="E261" s="60"/>
      <c r="F261" s="42"/>
      <c r="G261" s="42">
        <v>5000000</v>
      </c>
    </row>
    <row r="262" spans="1:7" x14ac:dyDescent="0.25">
      <c r="A262" s="21" t="s">
        <v>410</v>
      </c>
      <c r="B262" s="37" t="s">
        <v>195</v>
      </c>
      <c r="C262" s="38" t="s">
        <v>761</v>
      </c>
      <c r="D262" s="37">
        <v>10</v>
      </c>
      <c r="E262" s="59" t="s">
        <v>12</v>
      </c>
      <c r="F262" s="39">
        <v>500000</v>
      </c>
      <c r="G262" s="39">
        <v>5000000</v>
      </c>
    </row>
    <row r="263" spans="1:7" x14ac:dyDescent="0.25">
      <c r="A263" s="21" t="s">
        <v>762</v>
      </c>
      <c r="B263" s="40" t="s">
        <v>513</v>
      </c>
      <c r="C263" s="41" t="s">
        <v>19</v>
      </c>
      <c r="D263" s="40"/>
      <c r="E263" s="60"/>
      <c r="F263" s="42"/>
      <c r="G263" s="42">
        <v>15000000</v>
      </c>
    </row>
    <row r="264" spans="1:7" x14ac:dyDescent="0.25">
      <c r="A264" s="21" t="s">
        <v>763</v>
      </c>
      <c r="B264" s="43" t="s">
        <v>195</v>
      </c>
      <c r="C264" s="44" t="s">
        <v>764</v>
      </c>
      <c r="D264" s="47">
        <v>5</v>
      </c>
      <c r="E264" s="61" t="s">
        <v>10</v>
      </c>
      <c r="F264" s="45">
        <v>3000000</v>
      </c>
      <c r="G264" s="45">
        <v>15000000</v>
      </c>
    </row>
    <row r="265" spans="1:7" x14ac:dyDescent="0.25">
      <c r="A265" s="21" t="s">
        <v>411</v>
      </c>
      <c r="B265" s="37" t="s">
        <v>514</v>
      </c>
      <c r="C265" s="38" t="s">
        <v>765</v>
      </c>
      <c r="D265" s="70"/>
      <c r="E265" s="59"/>
      <c r="F265" s="39"/>
      <c r="G265" s="39">
        <v>49520000</v>
      </c>
    </row>
    <row r="266" spans="1:7" x14ac:dyDescent="0.25">
      <c r="A266" s="21" t="s">
        <v>412</v>
      </c>
      <c r="B266" s="40" t="s">
        <v>503</v>
      </c>
      <c r="C266" s="41" t="s">
        <v>7</v>
      </c>
      <c r="D266" s="40"/>
      <c r="E266" s="60"/>
      <c r="F266" s="42"/>
      <c r="G266" s="42">
        <v>17520000</v>
      </c>
    </row>
    <row r="267" spans="1:7" x14ac:dyDescent="0.25">
      <c r="A267" s="21" t="s">
        <v>413</v>
      </c>
      <c r="B267" s="43" t="s">
        <v>195</v>
      </c>
      <c r="C267" s="44" t="s">
        <v>619</v>
      </c>
      <c r="D267" s="47">
        <v>4</v>
      </c>
      <c r="E267" s="61" t="s">
        <v>9</v>
      </c>
      <c r="F267" s="45">
        <v>1000000</v>
      </c>
      <c r="G267" s="45">
        <v>4000000</v>
      </c>
    </row>
    <row r="268" spans="1:7" x14ac:dyDescent="0.25">
      <c r="A268" s="21" t="s">
        <v>414</v>
      </c>
      <c r="B268" s="43" t="s">
        <v>195</v>
      </c>
      <c r="C268" s="44" t="s">
        <v>620</v>
      </c>
      <c r="D268" s="47">
        <v>4</v>
      </c>
      <c r="E268" s="61" t="s">
        <v>9</v>
      </c>
      <c r="F268" s="45">
        <v>1000000</v>
      </c>
      <c r="G268" s="45">
        <v>4000000</v>
      </c>
    </row>
    <row r="269" spans="1:7" x14ac:dyDescent="0.25">
      <c r="A269" s="21" t="s">
        <v>415</v>
      </c>
      <c r="B269" s="40" t="s">
        <v>195</v>
      </c>
      <c r="C269" s="41" t="s">
        <v>766</v>
      </c>
      <c r="D269" s="40">
        <v>4</v>
      </c>
      <c r="E269" s="60" t="s">
        <v>9</v>
      </c>
      <c r="F269" s="42">
        <v>1000000</v>
      </c>
      <c r="G269" s="42">
        <v>4000000</v>
      </c>
    </row>
    <row r="270" spans="1:7" x14ac:dyDescent="0.25">
      <c r="A270" s="21" t="s">
        <v>416</v>
      </c>
      <c r="B270" s="43" t="s">
        <v>195</v>
      </c>
      <c r="C270" s="44" t="s">
        <v>767</v>
      </c>
      <c r="D270" s="47">
        <v>80</v>
      </c>
      <c r="E270" s="61" t="s">
        <v>10</v>
      </c>
      <c r="F270" s="45">
        <v>22000</v>
      </c>
      <c r="G270" s="45">
        <v>1760000</v>
      </c>
    </row>
    <row r="271" spans="1:7" x14ac:dyDescent="0.25">
      <c r="A271" s="21" t="s">
        <v>768</v>
      </c>
      <c r="B271" s="37" t="s">
        <v>195</v>
      </c>
      <c r="C271" s="38" t="s">
        <v>769</v>
      </c>
      <c r="D271" s="37">
        <v>80</v>
      </c>
      <c r="E271" s="59" t="s">
        <v>10</v>
      </c>
      <c r="F271" s="39">
        <v>47000</v>
      </c>
      <c r="G271" s="39">
        <v>3760000</v>
      </c>
    </row>
    <row r="272" spans="1:7" x14ac:dyDescent="0.25">
      <c r="A272" s="21" t="s">
        <v>417</v>
      </c>
      <c r="B272" s="40" t="s">
        <v>513</v>
      </c>
      <c r="C272" s="41" t="s">
        <v>19</v>
      </c>
      <c r="D272" s="40"/>
      <c r="E272" s="60"/>
      <c r="F272" s="42"/>
      <c r="G272" s="42">
        <v>32000000</v>
      </c>
    </row>
    <row r="273" spans="1:7" x14ac:dyDescent="0.25">
      <c r="A273" s="21" t="s">
        <v>418</v>
      </c>
      <c r="B273" s="43" t="s">
        <v>195</v>
      </c>
      <c r="C273" s="44" t="s">
        <v>770</v>
      </c>
      <c r="D273" s="47">
        <v>8</v>
      </c>
      <c r="E273" s="61" t="s">
        <v>10</v>
      </c>
      <c r="F273" s="45">
        <v>4000000</v>
      </c>
      <c r="G273" s="45">
        <v>32000000</v>
      </c>
    </row>
    <row r="274" spans="1:7" x14ac:dyDescent="0.25">
      <c r="A274" s="21" t="s">
        <v>419</v>
      </c>
      <c r="B274" s="25" t="s">
        <v>196</v>
      </c>
      <c r="C274" s="26" t="s">
        <v>47</v>
      </c>
      <c r="D274" s="68"/>
      <c r="E274" s="55"/>
      <c r="F274" s="27"/>
      <c r="G274" s="27">
        <v>1000000000</v>
      </c>
    </row>
    <row r="275" spans="1:7" x14ac:dyDescent="0.25">
      <c r="A275" s="21" t="s">
        <v>420</v>
      </c>
      <c r="B275" s="28" t="s">
        <v>48</v>
      </c>
      <c r="C275" s="29" t="s">
        <v>615</v>
      </c>
      <c r="D275" s="28"/>
      <c r="E275" s="56"/>
      <c r="F275" s="30"/>
      <c r="G275" s="30">
        <v>1000000000</v>
      </c>
    </row>
    <row r="276" spans="1:7" ht="26.4" x14ac:dyDescent="0.25">
      <c r="A276" s="21" t="s">
        <v>421</v>
      </c>
      <c r="B276" s="43" t="s">
        <v>616</v>
      </c>
      <c r="C276" s="44" t="s">
        <v>49</v>
      </c>
      <c r="D276" s="47"/>
      <c r="E276" s="61"/>
      <c r="F276" s="45"/>
      <c r="G276" s="45">
        <v>1000000000</v>
      </c>
    </row>
    <row r="277" spans="1:7" x14ac:dyDescent="0.25">
      <c r="A277" s="21" t="s">
        <v>422</v>
      </c>
      <c r="B277" s="34" t="s">
        <v>502</v>
      </c>
      <c r="C277" s="35" t="s">
        <v>50</v>
      </c>
      <c r="D277" s="34"/>
      <c r="E277" s="58"/>
      <c r="F277" s="36"/>
      <c r="G277" s="36">
        <v>124100000</v>
      </c>
    </row>
    <row r="278" spans="1:7" x14ac:dyDescent="0.25">
      <c r="A278" s="21" t="s">
        <v>423</v>
      </c>
      <c r="B278" s="37" t="s">
        <v>8</v>
      </c>
      <c r="C278" s="38" t="s">
        <v>51</v>
      </c>
      <c r="D278" s="70"/>
      <c r="E278" s="59"/>
      <c r="F278" s="39"/>
      <c r="G278" s="39">
        <v>83135000</v>
      </c>
    </row>
    <row r="279" spans="1:7" x14ac:dyDescent="0.25">
      <c r="A279" s="21" t="s">
        <v>424</v>
      </c>
      <c r="B279" s="40" t="s">
        <v>503</v>
      </c>
      <c r="C279" s="41" t="s">
        <v>7</v>
      </c>
      <c r="D279" s="71"/>
      <c r="E279" s="60"/>
      <c r="F279" s="42"/>
      <c r="G279" s="42">
        <v>8375000</v>
      </c>
    </row>
    <row r="280" spans="1:7" x14ac:dyDescent="0.25">
      <c r="A280" s="21" t="s">
        <v>425</v>
      </c>
      <c r="B280" s="40" t="s">
        <v>195</v>
      </c>
      <c r="C280" s="41" t="s">
        <v>771</v>
      </c>
      <c r="D280" s="40">
        <v>65</v>
      </c>
      <c r="E280" s="60" t="s">
        <v>10</v>
      </c>
      <c r="F280" s="42">
        <v>75000</v>
      </c>
      <c r="G280" s="42">
        <v>4875000</v>
      </c>
    </row>
    <row r="281" spans="1:7" x14ac:dyDescent="0.25">
      <c r="A281" s="21" t="s">
        <v>426</v>
      </c>
      <c r="B281" s="43" t="s">
        <v>195</v>
      </c>
      <c r="C281" s="44" t="s">
        <v>617</v>
      </c>
      <c r="D281" s="47">
        <v>1</v>
      </c>
      <c r="E281" s="61" t="s">
        <v>106</v>
      </c>
      <c r="F281" s="45">
        <v>1000000</v>
      </c>
      <c r="G281" s="45">
        <v>1000000</v>
      </c>
    </row>
    <row r="282" spans="1:7" x14ac:dyDescent="0.25">
      <c r="A282" s="21" t="s">
        <v>427</v>
      </c>
      <c r="B282" s="40" t="s">
        <v>195</v>
      </c>
      <c r="C282" s="41" t="s">
        <v>619</v>
      </c>
      <c r="D282" s="40">
        <v>1</v>
      </c>
      <c r="E282" s="60" t="s">
        <v>106</v>
      </c>
      <c r="F282" s="42">
        <v>1000000</v>
      </c>
      <c r="G282" s="42">
        <v>1000000</v>
      </c>
    </row>
    <row r="283" spans="1:7" x14ac:dyDescent="0.25">
      <c r="A283" s="21" t="s">
        <v>428</v>
      </c>
      <c r="B283" s="43" t="s">
        <v>195</v>
      </c>
      <c r="C283" s="44" t="s">
        <v>620</v>
      </c>
      <c r="D283" s="47">
        <v>1</v>
      </c>
      <c r="E283" s="61" t="s">
        <v>106</v>
      </c>
      <c r="F283" s="45">
        <v>1500000</v>
      </c>
      <c r="G283" s="45">
        <v>1500000</v>
      </c>
    </row>
    <row r="284" spans="1:7" x14ac:dyDescent="0.25">
      <c r="A284" s="21" t="s">
        <v>772</v>
      </c>
      <c r="B284" s="40" t="s">
        <v>516</v>
      </c>
      <c r="C284" s="41" t="s">
        <v>11</v>
      </c>
      <c r="D284" s="40"/>
      <c r="E284" s="60"/>
      <c r="F284" s="42"/>
      <c r="G284" s="42">
        <v>1000000</v>
      </c>
    </row>
    <row r="285" spans="1:7" x14ac:dyDescent="0.25">
      <c r="A285" s="21" t="s">
        <v>773</v>
      </c>
      <c r="B285" s="40" t="s">
        <v>195</v>
      </c>
      <c r="C285" s="41" t="s">
        <v>774</v>
      </c>
      <c r="D285" s="40">
        <v>1</v>
      </c>
      <c r="E285" s="60" t="s">
        <v>54</v>
      </c>
      <c r="F285" s="42">
        <v>1000000</v>
      </c>
      <c r="G285" s="42">
        <v>1000000</v>
      </c>
    </row>
    <row r="286" spans="1:7" x14ac:dyDescent="0.25">
      <c r="A286" s="21" t="s">
        <v>429</v>
      </c>
      <c r="B286" s="40" t="s">
        <v>513</v>
      </c>
      <c r="C286" s="41" t="s">
        <v>19</v>
      </c>
      <c r="D286" s="71"/>
      <c r="E286" s="60"/>
      <c r="F286" s="42"/>
      <c r="G286" s="42">
        <v>73760000</v>
      </c>
    </row>
    <row r="287" spans="1:7" x14ac:dyDescent="0.25">
      <c r="A287" s="21" t="s">
        <v>430</v>
      </c>
      <c r="B287" s="43" t="s">
        <v>195</v>
      </c>
      <c r="C287" s="44" t="s">
        <v>775</v>
      </c>
      <c r="D287" s="47">
        <v>12</v>
      </c>
      <c r="E287" s="61" t="s">
        <v>776</v>
      </c>
      <c r="F287" s="45">
        <v>6147000</v>
      </c>
      <c r="G287" s="45">
        <v>73760000</v>
      </c>
    </row>
    <row r="288" spans="1:7" x14ac:dyDescent="0.25">
      <c r="A288" s="21" t="s">
        <v>431</v>
      </c>
      <c r="B288" s="37" t="s">
        <v>511</v>
      </c>
      <c r="C288" s="38" t="s">
        <v>55</v>
      </c>
      <c r="D288" s="70"/>
      <c r="E288" s="59"/>
      <c r="F288" s="39"/>
      <c r="G288" s="39">
        <v>40965000</v>
      </c>
    </row>
    <row r="289" spans="1:7" x14ac:dyDescent="0.25">
      <c r="A289" s="21" t="s">
        <v>432</v>
      </c>
      <c r="B289" s="40" t="s">
        <v>503</v>
      </c>
      <c r="C289" s="41" t="s">
        <v>7</v>
      </c>
      <c r="D289" s="40"/>
      <c r="E289" s="60"/>
      <c r="F289" s="42"/>
      <c r="G289" s="42">
        <v>6725000</v>
      </c>
    </row>
    <row r="290" spans="1:7" x14ac:dyDescent="0.25">
      <c r="A290" s="21" t="s">
        <v>433</v>
      </c>
      <c r="B290" s="43" t="s">
        <v>195</v>
      </c>
      <c r="C290" s="44" t="s">
        <v>771</v>
      </c>
      <c r="D290" s="47">
        <v>43</v>
      </c>
      <c r="E290" s="61" t="s">
        <v>10</v>
      </c>
      <c r="F290" s="45">
        <v>75000</v>
      </c>
      <c r="G290" s="45">
        <v>3225000</v>
      </c>
    </row>
    <row r="291" spans="1:7" x14ac:dyDescent="0.25">
      <c r="A291" s="21" t="s">
        <v>434</v>
      </c>
      <c r="B291" s="40" t="s">
        <v>195</v>
      </c>
      <c r="C291" s="41" t="s">
        <v>617</v>
      </c>
      <c r="D291" s="40">
        <v>1</v>
      </c>
      <c r="E291" s="60" t="s">
        <v>106</v>
      </c>
      <c r="F291" s="42">
        <v>1000000</v>
      </c>
      <c r="G291" s="42">
        <v>1000000</v>
      </c>
    </row>
    <row r="292" spans="1:7" x14ac:dyDescent="0.25">
      <c r="A292" s="21" t="s">
        <v>435</v>
      </c>
      <c r="B292" s="43" t="s">
        <v>195</v>
      </c>
      <c r="C292" s="44" t="s">
        <v>619</v>
      </c>
      <c r="D292" s="47">
        <v>1</v>
      </c>
      <c r="E292" s="61" t="s">
        <v>106</v>
      </c>
      <c r="F292" s="45">
        <v>1000000</v>
      </c>
      <c r="G292" s="45">
        <v>1000000</v>
      </c>
    </row>
    <row r="293" spans="1:7" x14ac:dyDescent="0.25">
      <c r="A293" s="21" t="s">
        <v>436</v>
      </c>
      <c r="B293" s="43" t="s">
        <v>195</v>
      </c>
      <c r="C293" s="44" t="s">
        <v>620</v>
      </c>
      <c r="D293" s="47">
        <v>1</v>
      </c>
      <c r="E293" s="61" t="s">
        <v>106</v>
      </c>
      <c r="F293" s="45">
        <v>1500000</v>
      </c>
      <c r="G293" s="45">
        <v>1500000</v>
      </c>
    </row>
    <row r="294" spans="1:7" x14ac:dyDescent="0.25">
      <c r="A294" s="21" t="s">
        <v>777</v>
      </c>
      <c r="B294" s="40" t="s">
        <v>516</v>
      </c>
      <c r="C294" s="41" t="s">
        <v>11</v>
      </c>
      <c r="D294" s="40"/>
      <c r="E294" s="60"/>
      <c r="F294" s="42"/>
      <c r="G294" s="42">
        <v>1000000</v>
      </c>
    </row>
    <row r="295" spans="1:7" x14ac:dyDescent="0.25">
      <c r="A295" s="21" t="s">
        <v>778</v>
      </c>
      <c r="B295" s="43" t="s">
        <v>195</v>
      </c>
      <c r="C295" s="44" t="s">
        <v>774</v>
      </c>
      <c r="D295" s="47">
        <v>1</v>
      </c>
      <c r="E295" s="61" t="s">
        <v>54</v>
      </c>
      <c r="F295" s="45">
        <v>1000000</v>
      </c>
      <c r="G295" s="45">
        <v>1000000</v>
      </c>
    </row>
    <row r="296" spans="1:7" x14ac:dyDescent="0.25">
      <c r="A296" s="21" t="s">
        <v>437</v>
      </c>
      <c r="B296" s="40" t="s">
        <v>513</v>
      </c>
      <c r="C296" s="41" t="s">
        <v>19</v>
      </c>
      <c r="D296" s="40"/>
      <c r="E296" s="60"/>
      <c r="F296" s="42"/>
      <c r="G296" s="42">
        <v>33240000</v>
      </c>
    </row>
    <row r="297" spans="1:7" x14ac:dyDescent="0.25">
      <c r="A297" s="21" t="s">
        <v>438</v>
      </c>
      <c r="B297" s="43" t="s">
        <v>195</v>
      </c>
      <c r="C297" s="44" t="s">
        <v>775</v>
      </c>
      <c r="D297" s="47">
        <v>12</v>
      </c>
      <c r="E297" s="61" t="s">
        <v>776</v>
      </c>
      <c r="F297" s="45">
        <v>2770000</v>
      </c>
      <c r="G297" s="45">
        <v>33240000</v>
      </c>
    </row>
    <row r="298" spans="1:7" x14ac:dyDescent="0.25">
      <c r="A298" s="21" t="s">
        <v>439</v>
      </c>
      <c r="B298" s="34" t="s">
        <v>520</v>
      </c>
      <c r="C298" s="35" t="s">
        <v>57</v>
      </c>
      <c r="D298" s="34"/>
      <c r="E298" s="58"/>
      <c r="F298" s="36"/>
      <c r="G298" s="36">
        <v>54500000</v>
      </c>
    </row>
    <row r="299" spans="1:7" ht="26.4" x14ac:dyDescent="0.25">
      <c r="A299" s="21" t="s">
        <v>440</v>
      </c>
      <c r="B299" s="37" t="s">
        <v>8</v>
      </c>
      <c r="C299" s="38" t="s">
        <v>59</v>
      </c>
      <c r="D299" s="37"/>
      <c r="E299" s="59"/>
      <c r="F299" s="39"/>
      <c r="G299" s="39">
        <v>54500000</v>
      </c>
    </row>
    <row r="300" spans="1:7" x14ac:dyDescent="0.25">
      <c r="A300" s="21" t="s">
        <v>441</v>
      </c>
      <c r="B300" s="40" t="s">
        <v>503</v>
      </c>
      <c r="C300" s="41" t="s">
        <v>7</v>
      </c>
      <c r="D300" s="71"/>
      <c r="E300" s="60"/>
      <c r="F300" s="42"/>
      <c r="G300" s="42">
        <v>19225000</v>
      </c>
    </row>
    <row r="301" spans="1:7" x14ac:dyDescent="0.25">
      <c r="A301" s="7" t="s">
        <v>442</v>
      </c>
      <c r="B301" s="28" t="s">
        <v>195</v>
      </c>
      <c r="C301" s="29" t="s">
        <v>771</v>
      </c>
      <c r="D301" s="46">
        <v>23</v>
      </c>
      <c r="E301" s="56" t="s">
        <v>10</v>
      </c>
      <c r="F301" s="30">
        <v>75000</v>
      </c>
      <c r="G301" s="30">
        <v>1725000</v>
      </c>
    </row>
    <row r="302" spans="1:7" x14ac:dyDescent="0.25">
      <c r="A302" s="7" t="s">
        <v>443</v>
      </c>
      <c r="B302" s="31" t="s">
        <v>195</v>
      </c>
      <c r="C302" s="32" t="s">
        <v>617</v>
      </c>
      <c r="D302" s="31">
        <v>1</v>
      </c>
      <c r="E302" s="57" t="s">
        <v>106</v>
      </c>
      <c r="F302" s="33">
        <v>1000000</v>
      </c>
      <c r="G302" s="33">
        <v>1000000</v>
      </c>
    </row>
    <row r="303" spans="1:7" x14ac:dyDescent="0.25">
      <c r="A303" s="21" t="s">
        <v>444</v>
      </c>
      <c r="B303" s="34" t="s">
        <v>195</v>
      </c>
      <c r="C303" s="35" t="s">
        <v>619</v>
      </c>
      <c r="D303" s="34">
        <v>2</v>
      </c>
      <c r="E303" s="58" t="s">
        <v>106</v>
      </c>
      <c r="F303" s="36">
        <v>1000000</v>
      </c>
      <c r="G303" s="36">
        <v>2000000</v>
      </c>
    </row>
    <row r="304" spans="1:7" x14ac:dyDescent="0.25">
      <c r="A304" s="21" t="s">
        <v>445</v>
      </c>
      <c r="B304" s="37" t="s">
        <v>195</v>
      </c>
      <c r="C304" s="38" t="s">
        <v>620</v>
      </c>
      <c r="D304" s="37">
        <v>2</v>
      </c>
      <c r="E304" s="59" t="s">
        <v>106</v>
      </c>
      <c r="F304" s="39">
        <v>1500000</v>
      </c>
      <c r="G304" s="39">
        <v>3000000</v>
      </c>
    </row>
    <row r="305" spans="1:7" x14ac:dyDescent="0.25">
      <c r="A305" s="21" t="s">
        <v>446</v>
      </c>
      <c r="B305" s="40" t="s">
        <v>195</v>
      </c>
      <c r="C305" s="41" t="s">
        <v>779</v>
      </c>
      <c r="D305" s="40">
        <v>23</v>
      </c>
      <c r="E305" s="60" t="s">
        <v>176</v>
      </c>
      <c r="F305" s="42">
        <v>250000</v>
      </c>
      <c r="G305" s="42">
        <v>5750000</v>
      </c>
    </row>
    <row r="306" spans="1:7" x14ac:dyDescent="0.25">
      <c r="A306" s="21" t="s">
        <v>447</v>
      </c>
      <c r="B306" s="43" t="s">
        <v>195</v>
      </c>
      <c r="C306" s="44" t="s">
        <v>780</v>
      </c>
      <c r="D306" s="47">
        <v>23</v>
      </c>
      <c r="E306" s="61" t="s">
        <v>58</v>
      </c>
      <c r="F306" s="45">
        <v>250000</v>
      </c>
      <c r="G306" s="45">
        <v>5750000</v>
      </c>
    </row>
    <row r="307" spans="1:7" x14ac:dyDescent="0.25">
      <c r="A307" s="21" t="s">
        <v>448</v>
      </c>
      <c r="B307" s="40" t="s">
        <v>513</v>
      </c>
      <c r="C307" s="41" t="s">
        <v>19</v>
      </c>
      <c r="D307" s="71"/>
      <c r="E307" s="60"/>
      <c r="F307" s="42"/>
      <c r="G307" s="42">
        <v>35275000</v>
      </c>
    </row>
    <row r="308" spans="1:7" ht="26.4" x14ac:dyDescent="0.25">
      <c r="A308" s="21" t="s">
        <v>449</v>
      </c>
      <c r="B308" s="43" t="s">
        <v>195</v>
      </c>
      <c r="C308" s="44" t="s">
        <v>781</v>
      </c>
      <c r="D308" s="47">
        <v>10</v>
      </c>
      <c r="E308" s="61" t="s">
        <v>776</v>
      </c>
      <c r="F308" s="45">
        <v>3528000</v>
      </c>
      <c r="G308" s="45">
        <v>35275000</v>
      </c>
    </row>
    <row r="309" spans="1:7" x14ac:dyDescent="0.25">
      <c r="A309" s="21" t="s">
        <v>450</v>
      </c>
      <c r="B309" s="34" t="s">
        <v>523</v>
      </c>
      <c r="C309" s="35" t="s">
        <v>61</v>
      </c>
      <c r="D309" s="34"/>
      <c r="E309" s="58"/>
      <c r="F309" s="36"/>
      <c r="G309" s="36">
        <v>686300000</v>
      </c>
    </row>
    <row r="310" spans="1:7" x14ac:dyDescent="0.25">
      <c r="A310" s="21" t="s">
        <v>451</v>
      </c>
      <c r="B310" s="37" t="s">
        <v>8</v>
      </c>
      <c r="C310" s="38" t="s">
        <v>62</v>
      </c>
      <c r="D310" s="70"/>
      <c r="E310" s="59"/>
      <c r="F310" s="39"/>
      <c r="G310" s="39">
        <v>386924000</v>
      </c>
    </row>
    <row r="311" spans="1:7" x14ac:dyDescent="0.25">
      <c r="A311" s="21" t="s">
        <v>452</v>
      </c>
      <c r="B311" s="40" t="s">
        <v>503</v>
      </c>
      <c r="C311" s="41" t="s">
        <v>7</v>
      </c>
      <c r="D311" s="71"/>
      <c r="E311" s="60"/>
      <c r="F311" s="42"/>
      <c r="G311" s="42">
        <v>64900000</v>
      </c>
    </row>
    <row r="312" spans="1:7" x14ac:dyDescent="0.25">
      <c r="A312" s="21" t="s">
        <v>453</v>
      </c>
      <c r="B312" s="40" t="s">
        <v>195</v>
      </c>
      <c r="C312" s="41" t="s">
        <v>617</v>
      </c>
      <c r="D312" s="40">
        <v>12</v>
      </c>
      <c r="E312" s="60" t="s">
        <v>106</v>
      </c>
      <c r="F312" s="42">
        <v>1500000</v>
      </c>
      <c r="G312" s="42">
        <v>18000000</v>
      </c>
    </row>
    <row r="313" spans="1:7" x14ac:dyDescent="0.25">
      <c r="A313" s="21" t="s">
        <v>454</v>
      </c>
      <c r="B313" s="43" t="s">
        <v>195</v>
      </c>
      <c r="C313" s="44" t="s">
        <v>782</v>
      </c>
      <c r="D313" s="47">
        <v>100</v>
      </c>
      <c r="E313" s="61" t="s">
        <v>25</v>
      </c>
      <c r="F313" s="45">
        <v>69000</v>
      </c>
      <c r="G313" s="45">
        <v>6900000</v>
      </c>
    </row>
    <row r="314" spans="1:7" x14ac:dyDescent="0.25">
      <c r="A314" s="21" t="s">
        <v>783</v>
      </c>
      <c r="B314" s="37" t="s">
        <v>195</v>
      </c>
      <c r="C314" s="38" t="s">
        <v>784</v>
      </c>
      <c r="D314" s="37">
        <v>80</v>
      </c>
      <c r="E314" s="59" t="s">
        <v>58</v>
      </c>
      <c r="F314" s="39">
        <v>500000</v>
      </c>
      <c r="G314" s="39">
        <v>40000000</v>
      </c>
    </row>
    <row r="315" spans="1:7" x14ac:dyDescent="0.25">
      <c r="A315" s="21" t="s">
        <v>455</v>
      </c>
      <c r="B315" s="40" t="s">
        <v>533</v>
      </c>
      <c r="C315" s="41" t="s">
        <v>53</v>
      </c>
      <c r="D315" s="40"/>
      <c r="E315" s="60"/>
      <c r="F315" s="42"/>
      <c r="G315" s="42">
        <v>6000000</v>
      </c>
    </row>
    <row r="316" spans="1:7" x14ac:dyDescent="0.25">
      <c r="A316" s="21" t="s">
        <v>456</v>
      </c>
      <c r="B316" s="43" t="s">
        <v>195</v>
      </c>
      <c r="C316" s="44" t="s">
        <v>785</v>
      </c>
      <c r="D316" s="47">
        <v>4</v>
      </c>
      <c r="E316" s="61" t="s">
        <v>106</v>
      </c>
      <c r="F316" s="45">
        <v>250000</v>
      </c>
      <c r="G316" s="45">
        <v>1000000</v>
      </c>
    </row>
    <row r="317" spans="1:7" x14ac:dyDescent="0.25">
      <c r="A317" s="21" t="s">
        <v>457</v>
      </c>
      <c r="B317" s="43" t="s">
        <v>195</v>
      </c>
      <c r="C317" s="44" t="s">
        <v>786</v>
      </c>
      <c r="D317" s="47">
        <v>10</v>
      </c>
      <c r="E317" s="61" t="s">
        <v>106</v>
      </c>
      <c r="F317" s="45">
        <v>500000</v>
      </c>
      <c r="G317" s="45">
        <v>5000000</v>
      </c>
    </row>
    <row r="318" spans="1:7" x14ac:dyDescent="0.25">
      <c r="A318" s="21" t="s">
        <v>458</v>
      </c>
      <c r="B318" s="40" t="s">
        <v>537</v>
      </c>
      <c r="C318" s="41" t="s">
        <v>64</v>
      </c>
      <c r="D318" s="71"/>
      <c r="E318" s="60"/>
      <c r="F318" s="42"/>
      <c r="G318" s="42">
        <v>30000000</v>
      </c>
    </row>
    <row r="319" spans="1:7" x14ac:dyDescent="0.25">
      <c r="A319" s="21" t="s">
        <v>459</v>
      </c>
      <c r="B319" s="43" t="s">
        <v>195</v>
      </c>
      <c r="C319" s="44" t="s">
        <v>619</v>
      </c>
      <c r="D319" s="47">
        <v>12</v>
      </c>
      <c r="E319" s="61" t="s">
        <v>106</v>
      </c>
      <c r="F319" s="45">
        <v>1000000</v>
      </c>
      <c r="G319" s="45">
        <v>12000000</v>
      </c>
    </row>
    <row r="320" spans="1:7" x14ac:dyDescent="0.25">
      <c r="A320" s="21" t="s">
        <v>460</v>
      </c>
      <c r="B320" s="40" t="s">
        <v>195</v>
      </c>
      <c r="C320" s="41" t="s">
        <v>620</v>
      </c>
      <c r="D320" s="40">
        <v>12</v>
      </c>
      <c r="E320" s="60" t="s">
        <v>106</v>
      </c>
      <c r="F320" s="42">
        <v>1500000</v>
      </c>
      <c r="G320" s="42">
        <v>18000000</v>
      </c>
    </row>
    <row r="321" spans="1:7" x14ac:dyDescent="0.25">
      <c r="A321" s="21" t="s">
        <v>461</v>
      </c>
      <c r="B321" s="40" t="s">
        <v>516</v>
      </c>
      <c r="C321" s="41" t="s">
        <v>11</v>
      </c>
      <c r="D321" s="71"/>
      <c r="E321" s="60"/>
      <c r="F321" s="42"/>
      <c r="G321" s="42">
        <v>25200000</v>
      </c>
    </row>
    <row r="322" spans="1:7" x14ac:dyDescent="0.25">
      <c r="A322" s="21" t="s">
        <v>462</v>
      </c>
      <c r="B322" s="37" t="s">
        <v>195</v>
      </c>
      <c r="C322" s="38" t="s">
        <v>774</v>
      </c>
      <c r="D322" s="37">
        <v>28</v>
      </c>
      <c r="E322" s="59" t="s">
        <v>54</v>
      </c>
      <c r="F322" s="39">
        <v>900000</v>
      </c>
      <c r="G322" s="39">
        <v>25200000</v>
      </c>
    </row>
    <row r="323" spans="1:7" x14ac:dyDescent="0.25">
      <c r="A323" s="21" t="s">
        <v>463</v>
      </c>
      <c r="B323" s="40" t="s">
        <v>518</v>
      </c>
      <c r="C323" s="41" t="s">
        <v>24</v>
      </c>
      <c r="D323" s="40"/>
      <c r="E323" s="60"/>
      <c r="F323" s="42"/>
      <c r="G323" s="42">
        <v>6000000</v>
      </c>
    </row>
    <row r="324" spans="1:7" x14ac:dyDescent="0.25">
      <c r="A324" s="21" t="s">
        <v>464</v>
      </c>
      <c r="B324" s="43" t="s">
        <v>195</v>
      </c>
      <c r="C324" s="44" t="s">
        <v>787</v>
      </c>
      <c r="D324" s="47">
        <v>1</v>
      </c>
      <c r="E324" s="61" t="s">
        <v>60</v>
      </c>
      <c r="F324" s="45">
        <v>6000000</v>
      </c>
      <c r="G324" s="45">
        <v>6000000</v>
      </c>
    </row>
    <row r="325" spans="1:7" x14ac:dyDescent="0.25">
      <c r="A325" s="21" t="s">
        <v>465</v>
      </c>
      <c r="B325" s="40" t="s">
        <v>513</v>
      </c>
      <c r="C325" s="41" t="s">
        <v>19</v>
      </c>
      <c r="D325" s="71"/>
      <c r="E325" s="60"/>
      <c r="F325" s="42"/>
      <c r="G325" s="42">
        <v>253324000</v>
      </c>
    </row>
    <row r="326" spans="1:7" x14ac:dyDescent="0.25">
      <c r="A326" s="21" t="s">
        <v>466</v>
      </c>
      <c r="B326" s="40" t="s">
        <v>195</v>
      </c>
      <c r="C326" s="41" t="s">
        <v>788</v>
      </c>
      <c r="D326" s="40">
        <v>44</v>
      </c>
      <c r="E326" s="60" t="s">
        <v>776</v>
      </c>
      <c r="F326" s="42">
        <v>5757000</v>
      </c>
      <c r="G326" s="42">
        <v>253324000</v>
      </c>
    </row>
    <row r="327" spans="1:7" x14ac:dyDescent="0.25">
      <c r="A327" s="21" t="s">
        <v>467</v>
      </c>
      <c r="B327" s="40" t="s">
        <v>507</v>
      </c>
      <c r="C327" s="41" t="s">
        <v>13</v>
      </c>
      <c r="D327" s="71"/>
      <c r="E327" s="60"/>
      <c r="F327" s="42"/>
      <c r="G327" s="42">
        <v>1500000</v>
      </c>
    </row>
    <row r="328" spans="1:7" x14ac:dyDescent="0.25">
      <c r="A328" s="21" t="s">
        <v>468</v>
      </c>
      <c r="B328" s="43" t="s">
        <v>195</v>
      </c>
      <c r="C328" s="44" t="s">
        <v>638</v>
      </c>
      <c r="D328" s="47">
        <v>10</v>
      </c>
      <c r="E328" s="61" t="s">
        <v>10</v>
      </c>
      <c r="F328" s="45">
        <v>150000</v>
      </c>
      <c r="G328" s="45">
        <v>1500000</v>
      </c>
    </row>
    <row r="329" spans="1:7" x14ac:dyDescent="0.25">
      <c r="A329" s="21" t="s">
        <v>469</v>
      </c>
      <c r="B329" s="37" t="s">
        <v>511</v>
      </c>
      <c r="C329" s="38" t="s">
        <v>65</v>
      </c>
      <c r="D329" s="37"/>
      <c r="E329" s="59"/>
      <c r="F329" s="39"/>
      <c r="G329" s="39">
        <v>247816000</v>
      </c>
    </row>
    <row r="330" spans="1:7" x14ac:dyDescent="0.25">
      <c r="A330" s="21" t="s">
        <v>470</v>
      </c>
      <c r="B330" s="40" t="s">
        <v>503</v>
      </c>
      <c r="C330" s="41" t="s">
        <v>7</v>
      </c>
      <c r="D330" s="71"/>
      <c r="E330" s="60"/>
      <c r="F330" s="42"/>
      <c r="G330" s="42">
        <v>71456000</v>
      </c>
    </row>
    <row r="331" spans="1:7" x14ac:dyDescent="0.25">
      <c r="A331" s="21" t="s">
        <v>471</v>
      </c>
      <c r="B331" s="37" t="s">
        <v>195</v>
      </c>
      <c r="C331" s="38" t="s">
        <v>782</v>
      </c>
      <c r="D331" s="37">
        <v>224</v>
      </c>
      <c r="E331" s="59" t="s">
        <v>25</v>
      </c>
      <c r="F331" s="39">
        <v>69000</v>
      </c>
      <c r="G331" s="39">
        <v>15456000</v>
      </c>
    </row>
    <row r="332" spans="1:7" x14ac:dyDescent="0.25">
      <c r="A332" s="21" t="s">
        <v>472</v>
      </c>
      <c r="B332" s="40" t="s">
        <v>195</v>
      </c>
      <c r="C332" s="41" t="s">
        <v>617</v>
      </c>
      <c r="D332" s="40">
        <v>4</v>
      </c>
      <c r="E332" s="60" t="s">
        <v>106</v>
      </c>
      <c r="F332" s="42">
        <v>1500000</v>
      </c>
      <c r="G332" s="42">
        <v>6000000</v>
      </c>
    </row>
    <row r="333" spans="1:7" x14ac:dyDescent="0.25">
      <c r="A333" s="21" t="s">
        <v>789</v>
      </c>
      <c r="B333" s="43" t="s">
        <v>195</v>
      </c>
      <c r="C333" s="44" t="s">
        <v>790</v>
      </c>
      <c r="D333" s="47">
        <v>100</v>
      </c>
      <c r="E333" s="61" t="s">
        <v>791</v>
      </c>
      <c r="F333" s="45">
        <v>500000</v>
      </c>
      <c r="G333" s="45">
        <v>50000000</v>
      </c>
    </row>
    <row r="334" spans="1:7" x14ac:dyDescent="0.25">
      <c r="A334" s="21" t="s">
        <v>473</v>
      </c>
      <c r="B334" s="40" t="s">
        <v>533</v>
      </c>
      <c r="C334" s="41" t="s">
        <v>53</v>
      </c>
      <c r="D334" s="71"/>
      <c r="E334" s="60"/>
      <c r="F334" s="42"/>
      <c r="G334" s="42">
        <v>5000000</v>
      </c>
    </row>
    <row r="335" spans="1:7" x14ac:dyDescent="0.25">
      <c r="A335" s="21" t="s">
        <v>474</v>
      </c>
      <c r="B335" s="40" t="s">
        <v>195</v>
      </c>
      <c r="C335" s="41" t="s">
        <v>785</v>
      </c>
      <c r="D335" s="40">
        <v>4</v>
      </c>
      <c r="E335" s="60" t="s">
        <v>106</v>
      </c>
      <c r="F335" s="42">
        <v>250000</v>
      </c>
      <c r="G335" s="42">
        <v>1000000</v>
      </c>
    </row>
    <row r="336" spans="1:7" x14ac:dyDescent="0.25">
      <c r="A336" s="21" t="s">
        <v>792</v>
      </c>
      <c r="B336" s="43" t="s">
        <v>195</v>
      </c>
      <c r="C336" s="44" t="s">
        <v>786</v>
      </c>
      <c r="D336" s="47">
        <v>8</v>
      </c>
      <c r="E336" s="61" t="s">
        <v>106</v>
      </c>
      <c r="F336" s="45">
        <v>500000</v>
      </c>
      <c r="G336" s="45">
        <v>4000000</v>
      </c>
    </row>
    <row r="337" spans="1:7" x14ac:dyDescent="0.25">
      <c r="A337" s="21" t="s">
        <v>475</v>
      </c>
      <c r="B337" s="40" t="s">
        <v>537</v>
      </c>
      <c r="C337" s="41" t="s">
        <v>64</v>
      </c>
      <c r="D337" s="71"/>
      <c r="E337" s="60"/>
      <c r="F337" s="42"/>
      <c r="G337" s="42">
        <v>15000000</v>
      </c>
    </row>
    <row r="338" spans="1:7" x14ac:dyDescent="0.25">
      <c r="A338" s="21" t="s">
        <v>476</v>
      </c>
      <c r="B338" s="40" t="s">
        <v>195</v>
      </c>
      <c r="C338" s="41" t="s">
        <v>619</v>
      </c>
      <c r="D338" s="40">
        <v>6</v>
      </c>
      <c r="E338" s="60" t="s">
        <v>106</v>
      </c>
      <c r="F338" s="42">
        <v>1000000</v>
      </c>
      <c r="G338" s="42">
        <v>6000000</v>
      </c>
    </row>
    <row r="339" spans="1:7" x14ac:dyDescent="0.25">
      <c r="A339" s="21" t="s">
        <v>477</v>
      </c>
      <c r="B339" s="43" t="s">
        <v>195</v>
      </c>
      <c r="C339" s="44" t="s">
        <v>620</v>
      </c>
      <c r="D339" s="47">
        <v>6</v>
      </c>
      <c r="E339" s="61" t="s">
        <v>106</v>
      </c>
      <c r="F339" s="45">
        <v>1500000</v>
      </c>
      <c r="G339" s="45">
        <v>9000000</v>
      </c>
    </row>
    <row r="340" spans="1:7" x14ac:dyDescent="0.25">
      <c r="A340" s="21" t="s">
        <v>478</v>
      </c>
      <c r="B340" s="40" t="s">
        <v>516</v>
      </c>
      <c r="C340" s="41" t="s">
        <v>11</v>
      </c>
      <c r="D340" s="40"/>
      <c r="E340" s="60"/>
      <c r="F340" s="42"/>
      <c r="G340" s="42">
        <v>16200000</v>
      </c>
    </row>
    <row r="341" spans="1:7" x14ac:dyDescent="0.25">
      <c r="A341" s="21" t="s">
        <v>479</v>
      </c>
      <c r="B341" s="40" t="s">
        <v>195</v>
      </c>
      <c r="C341" s="41" t="s">
        <v>774</v>
      </c>
      <c r="D341" s="40">
        <v>18</v>
      </c>
      <c r="E341" s="60" t="s">
        <v>54</v>
      </c>
      <c r="F341" s="42">
        <v>900000</v>
      </c>
      <c r="G341" s="42">
        <v>16200000</v>
      </c>
    </row>
    <row r="342" spans="1:7" x14ac:dyDescent="0.25">
      <c r="A342" s="21" t="s">
        <v>480</v>
      </c>
      <c r="B342" s="40" t="s">
        <v>518</v>
      </c>
      <c r="C342" s="41" t="s">
        <v>24</v>
      </c>
      <c r="D342" s="71"/>
      <c r="E342" s="60"/>
      <c r="F342" s="42"/>
      <c r="G342" s="42">
        <v>2000000</v>
      </c>
    </row>
    <row r="343" spans="1:7" x14ac:dyDescent="0.25">
      <c r="A343" s="21" t="s">
        <v>481</v>
      </c>
      <c r="B343" s="43" t="s">
        <v>195</v>
      </c>
      <c r="C343" s="44" t="s">
        <v>787</v>
      </c>
      <c r="D343" s="47">
        <v>1</v>
      </c>
      <c r="E343" s="61" t="s">
        <v>60</v>
      </c>
      <c r="F343" s="45">
        <v>2000000</v>
      </c>
      <c r="G343" s="45">
        <v>2000000</v>
      </c>
    </row>
    <row r="344" spans="1:7" x14ac:dyDescent="0.25">
      <c r="A344" s="21" t="s">
        <v>482</v>
      </c>
      <c r="B344" s="40" t="s">
        <v>513</v>
      </c>
      <c r="C344" s="41" t="s">
        <v>19</v>
      </c>
      <c r="D344" s="40"/>
      <c r="E344" s="60"/>
      <c r="F344" s="42"/>
      <c r="G344" s="42">
        <v>138160000</v>
      </c>
    </row>
    <row r="345" spans="1:7" x14ac:dyDescent="0.25">
      <c r="A345" s="21" t="s">
        <v>483</v>
      </c>
      <c r="B345" s="43" t="s">
        <v>195</v>
      </c>
      <c r="C345" s="44" t="s">
        <v>793</v>
      </c>
      <c r="D345" s="47">
        <v>22</v>
      </c>
      <c r="E345" s="61" t="s">
        <v>776</v>
      </c>
      <c r="F345" s="45">
        <v>6280000</v>
      </c>
      <c r="G345" s="45">
        <v>138160000</v>
      </c>
    </row>
    <row r="346" spans="1:7" x14ac:dyDescent="0.25">
      <c r="A346" s="21" t="s">
        <v>794</v>
      </c>
      <c r="B346" s="37" t="s">
        <v>512</v>
      </c>
      <c r="C346" s="38" t="s">
        <v>795</v>
      </c>
      <c r="D346" s="70"/>
      <c r="E346" s="59"/>
      <c r="F346" s="39"/>
      <c r="G346" s="39">
        <v>51560000</v>
      </c>
    </row>
    <row r="347" spans="1:7" x14ac:dyDescent="0.25">
      <c r="A347" s="21" t="s">
        <v>796</v>
      </c>
      <c r="B347" s="40" t="s">
        <v>503</v>
      </c>
      <c r="C347" s="41" t="s">
        <v>7</v>
      </c>
      <c r="D347" s="40"/>
      <c r="E347" s="60"/>
      <c r="F347" s="42"/>
      <c r="G347" s="42">
        <v>20830000</v>
      </c>
    </row>
    <row r="348" spans="1:7" x14ac:dyDescent="0.25">
      <c r="A348" s="21" t="s">
        <v>797</v>
      </c>
      <c r="B348" s="43" t="s">
        <v>195</v>
      </c>
      <c r="C348" s="44" t="s">
        <v>619</v>
      </c>
      <c r="D348" s="47">
        <v>4</v>
      </c>
      <c r="E348" s="61" t="s">
        <v>106</v>
      </c>
      <c r="F348" s="45">
        <v>1000000</v>
      </c>
      <c r="G348" s="45">
        <v>4000000</v>
      </c>
    </row>
    <row r="349" spans="1:7" x14ac:dyDescent="0.25">
      <c r="A349" s="21" t="s">
        <v>798</v>
      </c>
      <c r="B349" s="37" t="s">
        <v>195</v>
      </c>
      <c r="C349" s="38" t="s">
        <v>620</v>
      </c>
      <c r="D349" s="37">
        <v>4</v>
      </c>
      <c r="E349" s="59" t="s">
        <v>106</v>
      </c>
      <c r="F349" s="39">
        <v>1500000</v>
      </c>
      <c r="G349" s="39">
        <v>6000000</v>
      </c>
    </row>
    <row r="350" spans="1:7" x14ac:dyDescent="0.25">
      <c r="A350" s="21" t="s">
        <v>799</v>
      </c>
      <c r="B350" s="40" t="s">
        <v>195</v>
      </c>
      <c r="C350" s="41" t="s">
        <v>782</v>
      </c>
      <c r="D350" s="40">
        <v>70</v>
      </c>
      <c r="E350" s="60" t="s">
        <v>25</v>
      </c>
      <c r="F350" s="42">
        <v>69000</v>
      </c>
      <c r="G350" s="42">
        <v>4830000</v>
      </c>
    </row>
    <row r="351" spans="1:7" x14ac:dyDescent="0.25">
      <c r="A351" s="21" t="s">
        <v>800</v>
      </c>
      <c r="B351" s="43" t="s">
        <v>195</v>
      </c>
      <c r="C351" s="44" t="s">
        <v>617</v>
      </c>
      <c r="D351" s="47">
        <v>4</v>
      </c>
      <c r="E351" s="61" t="s">
        <v>106</v>
      </c>
      <c r="F351" s="45">
        <v>1500000</v>
      </c>
      <c r="G351" s="45">
        <v>6000000</v>
      </c>
    </row>
    <row r="352" spans="1:7" x14ac:dyDescent="0.25">
      <c r="A352" s="21" t="s">
        <v>801</v>
      </c>
      <c r="B352" s="40" t="s">
        <v>533</v>
      </c>
      <c r="C352" s="41" t="s">
        <v>53</v>
      </c>
      <c r="D352" s="71"/>
      <c r="E352" s="60"/>
      <c r="F352" s="42"/>
      <c r="G352" s="42">
        <v>500000</v>
      </c>
    </row>
    <row r="353" spans="1:7" x14ac:dyDescent="0.25">
      <c r="A353" s="21" t="s">
        <v>802</v>
      </c>
      <c r="B353" s="40" t="s">
        <v>195</v>
      </c>
      <c r="C353" s="41" t="s">
        <v>785</v>
      </c>
      <c r="D353" s="40">
        <v>2</v>
      </c>
      <c r="E353" s="60" t="s">
        <v>106</v>
      </c>
      <c r="F353" s="42">
        <v>250000</v>
      </c>
      <c r="G353" s="42">
        <v>500000</v>
      </c>
    </row>
    <row r="354" spans="1:7" x14ac:dyDescent="0.25">
      <c r="A354" s="21" t="s">
        <v>803</v>
      </c>
      <c r="B354" s="40" t="s">
        <v>516</v>
      </c>
      <c r="C354" s="41" t="s">
        <v>11</v>
      </c>
      <c r="D354" s="71"/>
      <c r="E354" s="60"/>
      <c r="F354" s="42"/>
      <c r="G354" s="42">
        <v>7200000</v>
      </c>
    </row>
    <row r="355" spans="1:7" x14ac:dyDescent="0.25">
      <c r="A355" s="21" t="s">
        <v>804</v>
      </c>
      <c r="B355" s="43" t="s">
        <v>195</v>
      </c>
      <c r="C355" s="44" t="s">
        <v>774</v>
      </c>
      <c r="D355" s="47">
        <v>8</v>
      </c>
      <c r="E355" s="61" t="s">
        <v>54</v>
      </c>
      <c r="F355" s="45">
        <v>900000</v>
      </c>
      <c r="G355" s="45">
        <v>7200000</v>
      </c>
    </row>
    <row r="356" spans="1:7" x14ac:dyDescent="0.25">
      <c r="A356" s="21" t="s">
        <v>805</v>
      </c>
      <c r="B356" s="40" t="s">
        <v>513</v>
      </c>
      <c r="C356" s="41" t="s">
        <v>19</v>
      </c>
      <c r="D356" s="40"/>
      <c r="E356" s="60"/>
      <c r="F356" s="42"/>
      <c r="G356" s="42">
        <v>23030000</v>
      </c>
    </row>
    <row r="357" spans="1:7" x14ac:dyDescent="0.25">
      <c r="A357" s="21" t="s">
        <v>806</v>
      </c>
      <c r="B357" s="43" t="s">
        <v>195</v>
      </c>
      <c r="C357" s="44" t="s">
        <v>807</v>
      </c>
      <c r="D357" s="47">
        <v>6</v>
      </c>
      <c r="E357" s="61" t="s">
        <v>776</v>
      </c>
      <c r="F357" s="45">
        <v>3838000</v>
      </c>
      <c r="G357" s="45">
        <v>23030000</v>
      </c>
    </row>
    <row r="358" spans="1:7" x14ac:dyDescent="0.25">
      <c r="A358" s="21" t="s">
        <v>484</v>
      </c>
      <c r="B358" s="34" t="s">
        <v>526</v>
      </c>
      <c r="C358" s="35" t="s">
        <v>67</v>
      </c>
      <c r="D358" s="34"/>
      <c r="E358" s="58"/>
      <c r="F358" s="36"/>
      <c r="G358" s="36">
        <v>135100000</v>
      </c>
    </row>
    <row r="359" spans="1:7" x14ac:dyDescent="0.25">
      <c r="A359" s="21" t="s">
        <v>485</v>
      </c>
      <c r="B359" s="37" t="s">
        <v>8</v>
      </c>
      <c r="C359" s="38" t="s">
        <v>68</v>
      </c>
      <c r="D359" s="70"/>
      <c r="E359" s="59"/>
      <c r="F359" s="39"/>
      <c r="G359" s="39">
        <v>135100000</v>
      </c>
    </row>
    <row r="360" spans="1:7" x14ac:dyDescent="0.25">
      <c r="A360" s="21" t="s">
        <v>486</v>
      </c>
      <c r="B360" s="40" t="s">
        <v>503</v>
      </c>
      <c r="C360" s="41" t="s">
        <v>7</v>
      </c>
      <c r="D360" s="40"/>
      <c r="E360" s="60"/>
      <c r="F360" s="42"/>
      <c r="G360" s="42">
        <v>21100000</v>
      </c>
    </row>
    <row r="361" spans="1:7" x14ac:dyDescent="0.25">
      <c r="A361" s="21" t="s">
        <v>487</v>
      </c>
      <c r="B361" s="37" t="s">
        <v>195</v>
      </c>
      <c r="C361" s="38" t="s">
        <v>617</v>
      </c>
      <c r="D361" s="37">
        <v>2</v>
      </c>
      <c r="E361" s="59" t="s">
        <v>106</v>
      </c>
      <c r="F361" s="39">
        <v>1500000</v>
      </c>
      <c r="G361" s="39">
        <v>3000000</v>
      </c>
    </row>
    <row r="362" spans="1:7" x14ac:dyDescent="0.25">
      <c r="A362" s="21" t="s">
        <v>488</v>
      </c>
      <c r="B362" s="40" t="s">
        <v>195</v>
      </c>
      <c r="C362" s="41" t="s">
        <v>808</v>
      </c>
      <c r="D362" s="40">
        <v>90</v>
      </c>
      <c r="E362" s="60" t="s">
        <v>25</v>
      </c>
      <c r="F362" s="42">
        <v>66000</v>
      </c>
      <c r="G362" s="42">
        <v>5900000</v>
      </c>
    </row>
    <row r="363" spans="1:7" x14ac:dyDescent="0.25">
      <c r="A363" s="21" t="s">
        <v>489</v>
      </c>
      <c r="B363" s="43" t="s">
        <v>195</v>
      </c>
      <c r="C363" s="44" t="s">
        <v>619</v>
      </c>
      <c r="D363" s="47">
        <v>2</v>
      </c>
      <c r="E363" s="61" t="s">
        <v>106</v>
      </c>
      <c r="F363" s="45">
        <v>1000000</v>
      </c>
      <c r="G363" s="45">
        <v>2000000</v>
      </c>
    </row>
    <row r="364" spans="1:7" x14ac:dyDescent="0.25">
      <c r="A364" s="21" t="s">
        <v>809</v>
      </c>
      <c r="B364" s="43" t="s">
        <v>195</v>
      </c>
      <c r="C364" s="44" t="s">
        <v>620</v>
      </c>
      <c r="D364" s="47">
        <v>2</v>
      </c>
      <c r="E364" s="61" t="s">
        <v>106</v>
      </c>
      <c r="F364" s="45">
        <v>1500000</v>
      </c>
      <c r="G364" s="45">
        <v>3000000</v>
      </c>
    </row>
    <row r="365" spans="1:7" x14ac:dyDescent="0.25">
      <c r="A365" s="21" t="s">
        <v>810</v>
      </c>
      <c r="B365" s="43" t="s">
        <v>195</v>
      </c>
      <c r="C365" s="44" t="s">
        <v>811</v>
      </c>
      <c r="D365" s="47">
        <v>36</v>
      </c>
      <c r="E365" s="61" t="s">
        <v>25</v>
      </c>
      <c r="F365" s="45">
        <v>200000</v>
      </c>
      <c r="G365" s="45">
        <v>7200000</v>
      </c>
    </row>
    <row r="366" spans="1:7" x14ac:dyDescent="0.25">
      <c r="A366" s="21" t="s">
        <v>490</v>
      </c>
      <c r="B366" s="40" t="s">
        <v>533</v>
      </c>
      <c r="C366" s="41" t="s">
        <v>53</v>
      </c>
      <c r="D366" s="71"/>
      <c r="E366" s="60"/>
      <c r="F366" s="42"/>
      <c r="G366" s="42">
        <v>1584000</v>
      </c>
    </row>
    <row r="367" spans="1:7" ht="26.4" x14ac:dyDescent="0.25">
      <c r="A367" s="21" t="s">
        <v>491</v>
      </c>
      <c r="B367" s="40" t="s">
        <v>195</v>
      </c>
      <c r="C367" s="41" t="s">
        <v>812</v>
      </c>
      <c r="D367" s="40">
        <v>36</v>
      </c>
      <c r="E367" s="60" t="s">
        <v>25</v>
      </c>
      <c r="F367" s="42">
        <v>44000</v>
      </c>
      <c r="G367" s="42">
        <v>1584000</v>
      </c>
    </row>
    <row r="368" spans="1:7" x14ac:dyDescent="0.25">
      <c r="A368" s="21" t="s">
        <v>492</v>
      </c>
      <c r="B368" s="40" t="s">
        <v>516</v>
      </c>
      <c r="C368" s="41" t="s">
        <v>11</v>
      </c>
      <c r="D368" s="71"/>
      <c r="E368" s="60"/>
      <c r="F368" s="42"/>
      <c r="G368" s="42">
        <v>10000000</v>
      </c>
    </row>
    <row r="369" spans="1:7" x14ac:dyDescent="0.25">
      <c r="A369" s="21" t="s">
        <v>493</v>
      </c>
      <c r="B369" s="40" t="s">
        <v>195</v>
      </c>
      <c r="C369" s="41" t="s">
        <v>774</v>
      </c>
      <c r="D369" s="40">
        <v>10</v>
      </c>
      <c r="E369" s="60" t="s">
        <v>54</v>
      </c>
      <c r="F369" s="42">
        <v>1000000</v>
      </c>
      <c r="G369" s="42">
        <v>10000000</v>
      </c>
    </row>
    <row r="370" spans="1:7" x14ac:dyDescent="0.25">
      <c r="A370" s="21" t="s">
        <v>813</v>
      </c>
      <c r="B370" s="40" t="s">
        <v>518</v>
      </c>
      <c r="C370" s="41" t="s">
        <v>24</v>
      </c>
      <c r="D370" s="71"/>
      <c r="E370" s="60"/>
      <c r="F370" s="42"/>
      <c r="G370" s="42">
        <v>5000000</v>
      </c>
    </row>
    <row r="371" spans="1:7" x14ac:dyDescent="0.25">
      <c r="A371" s="21" t="s">
        <v>814</v>
      </c>
      <c r="B371" s="34" t="s">
        <v>195</v>
      </c>
      <c r="C371" s="35" t="s">
        <v>815</v>
      </c>
      <c r="D371" s="34">
        <v>1</v>
      </c>
      <c r="E371" s="58" t="s">
        <v>153</v>
      </c>
      <c r="F371" s="36">
        <v>5000000</v>
      </c>
      <c r="G371" s="36">
        <v>5000000</v>
      </c>
    </row>
    <row r="372" spans="1:7" x14ac:dyDescent="0.25">
      <c r="A372" s="21" t="s">
        <v>816</v>
      </c>
      <c r="B372" s="40" t="s">
        <v>513</v>
      </c>
      <c r="C372" s="41" t="s">
        <v>19</v>
      </c>
      <c r="D372" s="40"/>
      <c r="E372" s="60"/>
      <c r="F372" s="42"/>
      <c r="G372" s="42">
        <v>97416000</v>
      </c>
    </row>
    <row r="373" spans="1:7" x14ac:dyDescent="0.25">
      <c r="A373" s="21" t="s">
        <v>817</v>
      </c>
      <c r="B373" s="40" t="s">
        <v>195</v>
      </c>
      <c r="C373" s="41" t="s">
        <v>818</v>
      </c>
      <c r="D373" s="40">
        <v>36</v>
      </c>
      <c r="E373" s="60" t="s">
        <v>776</v>
      </c>
      <c r="F373" s="42">
        <v>2706000</v>
      </c>
      <c r="G373" s="42">
        <v>97416000</v>
      </c>
    </row>
    <row r="374" spans="1:7" x14ac:dyDescent="0.25">
      <c r="A374" s="21" t="s">
        <v>69</v>
      </c>
      <c r="B374" s="22" t="s">
        <v>69</v>
      </c>
      <c r="C374" s="23" t="s">
        <v>70</v>
      </c>
      <c r="D374" s="67"/>
      <c r="E374" s="54"/>
      <c r="F374" s="24"/>
      <c r="G374" s="24">
        <v>90623782000</v>
      </c>
    </row>
    <row r="375" spans="1:7" ht="26.4" x14ac:dyDescent="0.25">
      <c r="A375" s="21" t="s">
        <v>494</v>
      </c>
      <c r="B375" s="25" t="s">
        <v>197</v>
      </c>
      <c r="C375" s="26" t="s">
        <v>71</v>
      </c>
      <c r="D375" s="68"/>
      <c r="E375" s="55"/>
      <c r="F375" s="27"/>
      <c r="G375" s="27">
        <v>82041282000</v>
      </c>
    </row>
    <row r="376" spans="1:7" x14ac:dyDescent="0.25">
      <c r="A376" s="21" t="s">
        <v>819</v>
      </c>
      <c r="B376" s="28" t="s">
        <v>820</v>
      </c>
      <c r="C376" s="29" t="s">
        <v>821</v>
      </c>
      <c r="D376" s="46"/>
      <c r="E376" s="56"/>
      <c r="F376" s="30"/>
      <c r="G376" s="30">
        <v>584676000</v>
      </c>
    </row>
    <row r="377" spans="1:7" ht="26.4" x14ac:dyDescent="0.25">
      <c r="A377" s="21" t="s">
        <v>822</v>
      </c>
      <c r="B377" s="43" t="s">
        <v>823</v>
      </c>
      <c r="C377" s="44" t="s">
        <v>824</v>
      </c>
      <c r="D377" s="47"/>
      <c r="E377" s="61"/>
      <c r="F377" s="45"/>
      <c r="G377" s="45">
        <v>584676000</v>
      </c>
    </row>
    <row r="378" spans="1:7" ht="26.4" x14ac:dyDescent="0.25">
      <c r="A378" s="21" t="s">
        <v>825</v>
      </c>
      <c r="B378" s="34" t="s">
        <v>826</v>
      </c>
      <c r="C378" s="35" t="s">
        <v>824</v>
      </c>
      <c r="D378" s="69"/>
      <c r="E378" s="58"/>
      <c r="F378" s="36"/>
      <c r="G378" s="36">
        <v>469676000</v>
      </c>
    </row>
    <row r="379" spans="1:7" x14ac:dyDescent="0.25">
      <c r="A379" s="21" t="s">
        <v>827</v>
      </c>
      <c r="B379" s="37" t="s">
        <v>8</v>
      </c>
      <c r="C379" s="38" t="s">
        <v>828</v>
      </c>
      <c r="D379" s="37"/>
      <c r="E379" s="59"/>
      <c r="F379" s="39"/>
      <c r="G379" s="39">
        <v>469676000</v>
      </c>
    </row>
    <row r="380" spans="1:7" x14ac:dyDescent="0.25">
      <c r="A380" s="21" t="s">
        <v>829</v>
      </c>
      <c r="B380" s="40" t="s">
        <v>528</v>
      </c>
      <c r="C380" s="41" t="s">
        <v>43</v>
      </c>
      <c r="D380" s="71"/>
      <c r="E380" s="60"/>
      <c r="F380" s="42"/>
      <c r="G380" s="42">
        <v>469676000</v>
      </c>
    </row>
    <row r="381" spans="1:7" x14ac:dyDescent="0.25">
      <c r="A381" s="21" t="s">
        <v>830</v>
      </c>
      <c r="B381" s="40" t="s">
        <v>195</v>
      </c>
      <c r="C381" s="41" t="s">
        <v>831</v>
      </c>
      <c r="D381" s="40">
        <v>1</v>
      </c>
      <c r="E381" s="60" t="s">
        <v>106</v>
      </c>
      <c r="F381" s="42">
        <v>469676000</v>
      </c>
      <c r="G381" s="42">
        <v>469676000</v>
      </c>
    </row>
    <row r="382" spans="1:7" ht="26.4" x14ac:dyDescent="0.25">
      <c r="A382" s="21" t="s">
        <v>832</v>
      </c>
      <c r="B382" s="34" t="s">
        <v>833</v>
      </c>
      <c r="C382" s="35" t="s">
        <v>834</v>
      </c>
      <c r="D382" s="69"/>
      <c r="E382" s="58"/>
      <c r="F382" s="36"/>
      <c r="G382" s="36">
        <v>115000000</v>
      </c>
    </row>
    <row r="383" spans="1:7" x14ac:dyDescent="0.25">
      <c r="A383" s="21" t="s">
        <v>835</v>
      </c>
      <c r="B383" s="37" t="s">
        <v>8</v>
      </c>
      <c r="C383" s="38" t="s">
        <v>836</v>
      </c>
      <c r="D383" s="37"/>
      <c r="E383" s="59"/>
      <c r="F383" s="39"/>
      <c r="G383" s="39">
        <v>115000000</v>
      </c>
    </row>
    <row r="384" spans="1:7" x14ac:dyDescent="0.25">
      <c r="A384" s="21" t="s">
        <v>837</v>
      </c>
      <c r="B384" s="40" t="s">
        <v>528</v>
      </c>
      <c r="C384" s="41" t="s">
        <v>43</v>
      </c>
      <c r="D384" s="71"/>
      <c r="E384" s="60"/>
      <c r="F384" s="42"/>
      <c r="G384" s="42">
        <v>115000000</v>
      </c>
    </row>
    <row r="385" spans="1:7" x14ac:dyDescent="0.25">
      <c r="A385" s="21" t="s">
        <v>838</v>
      </c>
      <c r="B385" s="37" t="s">
        <v>195</v>
      </c>
      <c r="C385" s="38" t="s">
        <v>839</v>
      </c>
      <c r="D385" s="37">
        <v>1</v>
      </c>
      <c r="E385" s="59" t="s">
        <v>23</v>
      </c>
      <c r="F385" s="39">
        <v>115000000</v>
      </c>
      <c r="G385" s="39">
        <v>115000000</v>
      </c>
    </row>
    <row r="386" spans="1:7" x14ac:dyDescent="0.25">
      <c r="A386" s="21" t="s">
        <v>840</v>
      </c>
      <c r="B386" s="28" t="s">
        <v>841</v>
      </c>
      <c r="C386" s="29" t="s">
        <v>842</v>
      </c>
      <c r="D386" s="28"/>
      <c r="E386" s="56"/>
      <c r="F386" s="30"/>
      <c r="G386" s="30">
        <v>63693463000</v>
      </c>
    </row>
    <row r="387" spans="1:7" x14ac:dyDescent="0.25">
      <c r="A387" s="21" t="s">
        <v>843</v>
      </c>
      <c r="B387" s="43" t="s">
        <v>844</v>
      </c>
      <c r="C387" s="44" t="s">
        <v>845</v>
      </c>
      <c r="D387" s="47"/>
      <c r="E387" s="61"/>
      <c r="F387" s="45"/>
      <c r="G387" s="45">
        <v>1800000000</v>
      </c>
    </row>
    <row r="388" spans="1:7" ht="26.4" x14ac:dyDescent="0.25">
      <c r="A388" s="21" t="s">
        <v>846</v>
      </c>
      <c r="B388" s="34" t="s">
        <v>826</v>
      </c>
      <c r="C388" s="35" t="s">
        <v>847</v>
      </c>
      <c r="D388" s="34"/>
      <c r="E388" s="58"/>
      <c r="F388" s="36"/>
      <c r="G388" s="36">
        <v>1800000000</v>
      </c>
    </row>
    <row r="389" spans="1:7" ht="26.4" x14ac:dyDescent="0.25">
      <c r="A389" s="21" t="s">
        <v>848</v>
      </c>
      <c r="B389" s="37" t="s">
        <v>8</v>
      </c>
      <c r="C389" s="38" t="s">
        <v>849</v>
      </c>
      <c r="D389" s="70"/>
      <c r="E389" s="59"/>
      <c r="F389" s="39"/>
      <c r="G389" s="39">
        <v>227100000</v>
      </c>
    </row>
    <row r="390" spans="1:7" x14ac:dyDescent="0.25">
      <c r="A390" s="21" t="s">
        <v>850</v>
      </c>
      <c r="B390" s="40" t="s">
        <v>503</v>
      </c>
      <c r="C390" s="41" t="s">
        <v>7</v>
      </c>
      <c r="D390" s="71"/>
      <c r="E390" s="60"/>
      <c r="F390" s="42"/>
      <c r="G390" s="42">
        <v>4500000</v>
      </c>
    </row>
    <row r="391" spans="1:7" ht="39.6" x14ac:dyDescent="0.25">
      <c r="A391" s="21" t="s">
        <v>851</v>
      </c>
      <c r="B391" s="37" t="s">
        <v>195</v>
      </c>
      <c r="C391" s="38" t="s">
        <v>852</v>
      </c>
      <c r="D391" s="37">
        <v>9</v>
      </c>
      <c r="E391" s="59" t="s">
        <v>853</v>
      </c>
      <c r="F391" s="39">
        <v>250000</v>
      </c>
      <c r="G391" s="39">
        <v>2250000</v>
      </c>
    </row>
    <row r="392" spans="1:7" ht="26.4" x14ac:dyDescent="0.25">
      <c r="A392" s="21" t="s">
        <v>854</v>
      </c>
      <c r="B392" s="40" t="s">
        <v>195</v>
      </c>
      <c r="C392" s="41" t="s">
        <v>855</v>
      </c>
      <c r="D392" s="40">
        <v>9</v>
      </c>
      <c r="E392" s="60" t="s">
        <v>853</v>
      </c>
      <c r="F392" s="42">
        <v>250000</v>
      </c>
      <c r="G392" s="42">
        <v>2250000</v>
      </c>
    </row>
    <row r="393" spans="1:7" x14ac:dyDescent="0.25">
      <c r="A393" s="21" t="s">
        <v>856</v>
      </c>
      <c r="B393" s="40" t="s">
        <v>537</v>
      </c>
      <c r="C393" s="41" t="s">
        <v>64</v>
      </c>
      <c r="D393" s="71"/>
      <c r="E393" s="60"/>
      <c r="F393" s="42"/>
      <c r="G393" s="42">
        <v>24000000</v>
      </c>
    </row>
    <row r="394" spans="1:7" x14ac:dyDescent="0.25">
      <c r="A394" s="21" t="s">
        <v>857</v>
      </c>
      <c r="B394" s="43" t="s">
        <v>195</v>
      </c>
      <c r="C394" s="44" t="s">
        <v>619</v>
      </c>
      <c r="D394" s="47">
        <v>12</v>
      </c>
      <c r="E394" s="61" t="s">
        <v>52</v>
      </c>
      <c r="F394" s="45">
        <v>1000000</v>
      </c>
      <c r="G394" s="45">
        <v>12000000</v>
      </c>
    </row>
    <row r="395" spans="1:7" x14ac:dyDescent="0.25">
      <c r="A395" s="21" t="s">
        <v>858</v>
      </c>
      <c r="B395" s="43" t="s">
        <v>195</v>
      </c>
      <c r="C395" s="44" t="s">
        <v>859</v>
      </c>
      <c r="D395" s="47">
        <v>12</v>
      </c>
      <c r="E395" s="61" t="s">
        <v>52</v>
      </c>
      <c r="F395" s="45">
        <v>1000000</v>
      </c>
      <c r="G395" s="45">
        <v>12000000</v>
      </c>
    </row>
    <row r="396" spans="1:7" x14ac:dyDescent="0.25">
      <c r="A396" s="21" t="s">
        <v>860</v>
      </c>
      <c r="B396" s="40" t="s">
        <v>518</v>
      </c>
      <c r="C396" s="41" t="s">
        <v>24</v>
      </c>
      <c r="D396" s="71"/>
      <c r="E396" s="60"/>
      <c r="F396" s="42"/>
      <c r="G396" s="42">
        <v>5400000</v>
      </c>
    </row>
    <row r="397" spans="1:7" x14ac:dyDescent="0.25">
      <c r="A397" s="21" t="s">
        <v>861</v>
      </c>
      <c r="B397" s="43" t="s">
        <v>195</v>
      </c>
      <c r="C397" s="44" t="s">
        <v>862</v>
      </c>
      <c r="D397" s="47">
        <v>18</v>
      </c>
      <c r="E397" s="61" t="s">
        <v>25</v>
      </c>
      <c r="F397" s="45">
        <v>300000</v>
      </c>
      <c r="G397" s="45">
        <v>5400000</v>
      </c>
    </row>
    <row r="398" spans="1:7" x14ac:dyDescent="0.25">
      <c r="A398" s="21" t="s">
        <v>863</v>
      </c>
      <c r="B398" s="40" t="s">
        <v>513</v>
      </c>
      <c r="C398" s="41" t="s">
        <v>19</v>
      </c>
      <c r="D398" s="71"/>
      <c r="E398" s="60"/>
      <c r="F398" s="42"/>
      <c r="G398" s="42">
        <v>193200000</v>
      </c>
    </row>
    <row r="399" spans="1:7" ht="39.6" x14ac:dyDescent="0.25">
      <c r="A399" s="21" t="s">
        <v>864</v>
      </c>
      <c r="B399" s="43" t="s">
        <v>195</v>
      </c>
      <c r="C399" s="44" t="s">
        <v>865</v>
      </c>
      <c r="D399" s="47">
        <v>24</v>
      </c>
      <c r="E399" s="61" t="s">
        <v>25</v>
      </c>
      <c r="F399" s="45">
        <v>8050000</v>
      </c>
      <c r="G399" s="45">
        <v>193200000</v>
      </c>
    </row>
    <row r="400" spans="1:7" ht="26.4" x14ac:dyDescent="0.25">
      <c r="A400" s="21" t="s">
        <v>866</v>
      </c>
      <c r="B400" s="37" t="s">
        <v>511</v>
      </c>
      <c r="C400" s="38" t="s">
        <v>184</v>
      </c>
      <c r="D400" s="37"/>
      <c r="E400" s="59"/>
      <c r="F400" s="39"/>
      <c r="G400" s="39">
        <v>172320000</v>
      </c>
    </row>
    <row r="401" spans="1:7" x14ac:dyDescent="0.25">
      <c r="A401" s="21" t="s">
        <v>867</v>
      </c>
      <c r="B401" s="40" t="s">
        <v>503</v>
      </c>
      <c r="C401" s="41" t="s">
        <v>7</v>
      </c>
      <c r="D401" s="71"/>
      <c r="E401" s="60"/>
      <c r="F401" s="42"/>
      <c r="G401" s="42">
        <v>3120000</v>
      </c>
    </row>
    <row r="402" spans="1:7" x14ac:dyDescent="0.25">
      <c r="A402" s="21" t="s">
        <v>868</v>
      </c>
      <c r="B402" s="40" t="s">
        <v>195</v>
      </c>
      <c r="C402" s="41" t="s">
        <v>617</v>
      </c>
      <c r="D402" s="40">
        <v>10</v>
      </c>
      <c r="E402" s="60" t="s">
        <v>853</v>
      </c>
      <c r="F402" s="42">
        <v>312000</v>
      </c>
      <c r="G402" s="42">
        <v>3120000</v>
      </c>
    </row>
    <row r="403" spans="1:7" x14ac:dyDescent="0.25">
      <c r="A403" s="21" t="s">
        <v>869</v>
      </c>
      <c r="B403" s="40" t="s">
        <v>537</v>
      </c>
      <c r="C403" s="41" t="s">
        <v>64</v>
      </c>
      <c r="D403" s="71"/>
      <c r="E403" s="60"/>
      <c r="F403" s="42"/>
      <c r="G403" s="42">
        <v>24000000</v>
      </c>
    </row>
    <row r="404" spans="1:7" x14ac:dyDescent="0.25">
      <c r="A404" s="21" t="s">
        <v>870</v>
      </c>
      <c r="B404" s="37" t="s">
        <v>195</v>
      </c>
      <c r="C404" s="38" t="s">
        <v>619</v>
      </c>
      <c r="D404" s="37">
        <v>12</v>
      </c>
      <c r="E404" s="59" t="s">
        <v>52</v>
      </c>
      <c r="F404" s="39">
        <v>1000000</v>
      </c>
      <c r="G404" s="39">
        <v>12000000</v>
      </c>
    </row>
    <row r="405" spans="1:7" x14ac:dyDescent="0.25">
      <c r="A405" s="21" t="s">
        <v>871</v>
      </c>
      <c r="B405" s="40" t="s">
        <v>195</v>
      </c>
      <c r="C405" s="41" t="s">
        <v>859</v>
      </c>
      <c r="D405" s="40">
        <v>12</v>
      </c>
      <c r="E405" s="60" t="s">
        <v>52</v>
      </c>
      <c r="F405" s="42">
        <v>1000000</v>
      </c>
      <c r="G405" s="42">
        <v>12000000</v>
      </c>
    </row>
    <row r="406" spans="1:7" x14ac:dyDescent="0.25">
      <c r="A406" s="21" t="s">
        <v>872</v>
      </c>
      <c r="B406" s="40" t="s">
        <v>516</v>
      </c>
      <c r="C406" s="41" t="s">
        <v>11</v>
      </c>
      <c r="D406" s="71"/>
      <c r="E406" s="60"/>
      <c r="F406" s="42"/>
      <c r="G406" s="42">
        <v>10800000</v>
      </c>
    </row>
    <row r="407" spans="1:7" x14ac:dyDescent="0.25">
      <c r="A407" s="21" t="s">
        <v>873</v>
      </c>
      <c r="B407" s="43" t="s">
        <v>195</v>
      </c>
      <c r="C407" s="44" t="s">
        <v>874</v>
      </c>
      <c r="D407" s="47">
        <v>12</v>
      </c>
      <c r="E407" s="61" t="s">
        <v>54</v>
      </c>
      <c r="F407" s="45">
        <v>900000</v>
      </c>
      <c r="G407" s="45">
        <v>10800000</v>
      </c>
    </row>
    <row r="408" spans="1:7" x14ac:dyDescent="0.25">
      <c r="A408" s="21" t="s">
        <v>875</v>
      </c>
      <c r="B408" s="40" t="s">
        <v>518</v>
      </c>
      <c r="C408" s="41" t="s">
        <v>24</v>
      </c>
      <c r="D408" s="71"/>
      <c r="E408" s="60"/>
      <c r="F408" s="42"/>
      <c r="G408" s="42">
        <v>4800000</v>
      </c>
    </row>
    <row r="409" spans="1:7" x14ac:dyDescent="0.25">
      <c r="A409" s="21" t="s">
        <v>876</v>
      </c>
      <c r="B409" s="43" t="s">
        <v>195</v>
      </c>
      <c r="C409" s="44" t="s">
        <v>877</v>
      </c>
      <c r="D409" s="47">
        <v>16</v>
      </c>
      <c r="E409" s="61" t="s">
        <v>25</v>
      </c>
      <c r="F409" s="45">
        <v>300000</v>
      </c>
      <c r="G409" s="45">
        <v>4800000</v>
      </c>
    </row>
    <row r="410" spans="1:7" x14ac:dyDescent="0.25">
      <c r="A410" s="21" t="s">
        <v>878</v>
      </c>
      <c r="B410" s="40" t="s">
        <v>513</v>
      </c>
      <c r="C410" s="41" t="s">
        <v>19</v>
      </c>
      <c r="D410" s="40"/>
      <c r="E410" s="60"/>
      <c r="F410" s="42"/>
      <c r="G410" s="42">
        <v>126000000</v>
      </c>
    </row>
    <row r="411" spans="1:7" ht="39.6" x14ac:dyDescent="0.25">
      <c r="A411" s="21" t="s">
        <v>879</v>
      </c>
      <c r="B411" s="43" t="s">
        <v>195</v>
      </c>
      <c r="C411" s="44" t="s">
        <v>880</v>
      </c>
      <c r="D411" s="47">
        <v>18</v>
      </c>
      <c r="E411" s="61" t="s">
        <v>25</v>
      </c>
      <c r="F411" s="45">
        <v>7000000</v>
      </c>
      <c r="G411" s="45">
        <v>126000000</v>
      </c>
    </row>
    <row r="412" spans="1:7" x14ac:dyDescent="0.25">
      <c r="A412" s="21" t="s">
        <v>881</v>
      </c>
      <c r="B412" s="40" t="s">
        <v>507</v>
      </c>
      <c r="C412" s="41" t="s">
        <v>13</v>
      </c>
      <c r="D412" s="40"/>
      <c r="E412" s="60"/>
      <c r="F412" s="42"/>
      <c r="G412" s="42">
        <v>3600000</v>
      </c>
    </row>
    <row r="413" spans="1:7" ht="26.4" x14ac:dyDescent="0.25">
      <c r="A413" s="21" t="s">
        <v>882</v>
      </c>
      <c r="B413" s="43" t="s">
        <v>195</v>
      </c>
      <c r="C413" s="44" t="s">
        <v>883</v>
      </c>
      <c r="D413" s="47">
        <v>24</v>
      </c>
      <c r="E413" s="61" t="s">
        <v>73</v>
      </c>
      <c r="F413" s="45">
        <v>150000</v>
      </c>
      <c r="G413" s="45">
        <v>3600000</v>
      </c>
    </row>
    <row r="414" spans="1:7" ht="26.4" x14ac:dyDescent="0.25">
      <c r="A414" s="21" t="s">
        <v>884</v>
      </c>
      <c r="B414" s="37" t="s">
        <v>512</v>
      </c>
      <c r="C414" s="38" t="s">
        <v>185</v>
      </c>
      <c r="D414" s="37"/>
      <c r="E414" s="59"/>
      <c r="F414" s="39"/>
      <c r="G414" s="39">
        <v>447280000</v>
      </c>
    </row>
    <row r="415" spans="1:7" x14ac:dyDescent="0.25">
      <c r="A415" s="21" t="s">
        <v>885</v>
      </c>
      <c r="B415" s="40" t="s">
        <v>503</v>
      </c>
      <c r="C415" s="41" t="s">
        <v>7</v>
      </c>
      <c r="D415" s="40"/>
      <c r="E415" s="60"/>
      <c r="F415" s="42"/>
      <c r="G415" s="42">
        <v>10000000</v>
      </c>
    </row>
    <row r="416" spans="1:7" x14ac:dyDescent="0.25">
      <c r="A416" s="21" t="s">
        <v>886</v>
      </c>
      <c r="B416" s="43" t="s">
        <v>195</v>
      </c>
      <c r="C416" s="44" t="s">
        <v>617</v>
      </c>
      <c r="D416" s="47">
        <v>50</v>
      </c>
      <c r="E416" s="61" t="s">
        <v>853</v>
      </c>
      <c r="F416" s="45">
        <v>200000</v>
      </c>
      <c r="G416" s="45">
        <v>10000000</v>
      </c>
    </row>
    <row r="417" spans="1:7" ht="26.4" x14ac:dyDescent="0.25">
      <c r="A417" s="21" t="s">
        <v>887</v>
      </c>
      <c r="B417" s="40" t="s">
        <v>515</v>
      </c>
      <c r="C417" s="41" t="s">
        <v>642</v>
      </c>
      <c r="D417" s="71"/>
      <c r="E417" s="60"/>
      <c r="F417" s="42"/>
      <c r="G417" s="42">
        <v>22800000</v>
      </c>
    </row>
    <row r="418" spans="1:7" x14ac:dyDescent="0.25">
      <c r="A418" s="21" t="s">
        <v>888</v>
      </c>
      <c r="B418" s="43" t="s">
        <v>195</v>
      </c>
      <c r="C418" s="44" t="s">
        <v>889</v>
      </c>
      <c r="D418" s="47">
        <v>96</v>
      </c>
      <c r="E418" s="61" t="s">
        <v>25</v>
      </c>
      <c r="F418" s="45">
        <v>200000</v>
      </c>
      <c r="G418" s="45">
        <v>19200000</v>
      </c>
    </row>
    <row r="419" spans="1:7" ht="26.4" x14ac:dyDescent="0.25">
      <c r="A419" s="21" t="s">
        <v>890</v>
      </c>
      <c r="B419" s="43" t="s">
        <v>195</v>
      </c>
      <c r="C419" s="44" t="s">
        <v>891</v>
      </c>
      <c r="D419" s="47">
        <v>12</v>
      </c>
      <c r="E419" s="61" t="s">
        <v>106</v>
      </c>
      <c r="F419" s="45">
        <v>300000</v>
      </c>
      <c r="G419" s="45">
        <v>3600000</v>
      </c>
    </row>
    <row r="420" spans="1:7" x14ac:dyDescent="0.25">
      <c r="A420" s="21" t="s">
        <v>892</v>
      </c>
      <c r="B420" s="40" t="s">
        <v>537</v>
      </c>
      <c r="C420" s="41" t="s">
        <v>64</v>
      </c>
      <c r="D420" s="40"/>
      <c r="E420" s="60"/>
      <c r="F420" s="42"/>
      <c r="G420" s="42">
        <v>24000000</v>
      </c>
    </row>
    <row r="421" spans="1:7" x14ac:dyDescent="0.25">
      <c r="A421" s="21" t="s">
        <v>893</v>
      </c>
      <c r="B421" s="43" t="s">
        <v>195</v>
      </c>
      <c r="C421" s="44" t="s">
        <v>619</v>
      </c>
      <c r="D421" s="47">
        <v>12</v>
      </c>
      <c r="E421" s="61" t="s">
        <v>52</v>
      </c>
      <c r="F421" s="45">
        <v>1000000</v>
      </c>
      <c r="G421" s="45">
        <v>12000000</v>
      </c>
    </row>
    <row r="422" spans="1:7" x14ac:dyDescent="0.25">
      <c r="A422" s="21" t="s">
        <v>894</v>
      </c>
      <c r="B422" s="43" t="s">
        <v>195</v>
      </c>
      <c r="C422" s="44" t="s">
        <v>859</v>
      </c>
      <c r="D422" s="47">
        <v>12</v>
      </c>
      <c r="E422" s="61" t="s">
        <v>52</v>
      </c>
      <c r="F422" s="45">
        <v>1000000</v>
      </c>
      <c r="G422" s="45">
        <v>12000000</v>
      </c>
    </row>
    <row r="423" spans="1:7" x14ac:dyDescent="0.25">
      <c r="A423" s="21" t="s">
        <v>895</v>
      </c>
      <c r="B423" s="40" t="s">
        <v>516</v>
      </c>
      <c r="C423" s="41" t="s">
        <v>11</v>
      </c>
      <c r="D423" s="40"/>
      <c r="E423" s="60"/>
      <c r="F423" s="42"/>
      <c r="G423" s="42">
        <v>14400000</v>
      </c>
    </row>
    <row r="424" spans="1:7" x14ac:dyDescent="0.25">
      <c r="A424" s="21" t="s">
        <v>896</v>
      </c>
      <c r="B424" s="43" t="s">
        <v>195</v>
      </c>
      <c r="C424" s="44" t="s">
        <v>897</v>
      </c>
      <c r="D424" s="47">
        <v>16</v>
      </c>
      <c r="E424" s="61" t="s">
        <v>54</v>
      </c>
      <c r="F424" s="45">
        <v>900000</v>
      </c>
      <c r="G424" s="45">
        <v>14400000</v>
      </c>
    </row>
    <row r="425" spans="1:7" x14ac:dyDescent="0.25">
      <c r="A425" s="21" t="s">
        <v>898</v>
      </c>
      <c r="B425" s="40" t="s">
        <v>518</v>
      </c>
      <c r="C425" s="41" t="s">
        <v>24</v>
      </c>
      <c r="D425" s="40"/>
      <c r="E425" s="60"/>
      <c r="F425" s="42"/>
      <c r="G425" s="42">
        <v>4200000</v>
      </c>
    </row>
    <row r="426" spans="1:7" x14ac:dyDescent="0.25">
      <c r="A426" s="21" t="s">
        <v>899</v>
      </c>
      <c r="B426" s="43" t="s">
        <v>195</v>
      </c>
      <c r="C426" s="44" t="s">
        <v>900</v>
      </c>
      <c r="D426" s="47">
        <v>14</v>
      </c>
      <c r="E426" s="61" t="s">
        <v>25</v>
      </c>
      <c r="F426" s="45">
        <v>300000</v>
      </c>
      <c r="G426" s="45">
        <v>4200000</v>
      </c>
    </row>
    <row r="427" spans="1:7" x14ac:dyDescent="0.25">
      <c r="A427" s="21" t="s">
        <v>901</v>
      </c>
      <c r="B427" s="40" t="s">
        <v>513</v>
      </c>
      <c r="C427" s="41" t="s">
        <v>19</v>
      </c>
      <c r="D427" s="71"/>
      <c r="E427" s="60"/>
      <c r="F427" s="42"/>
      <c r="G427" s="42">
        <v>360000000</v>
      </c>
    </row>
    <row r="428" spans="1:7" ht="39.6" x14ac:dyDescent="0.25">
      <c r="A428" s="21" t="s">
        <v>902</v>
      </c>
      <c r="B428" s="40" t="s">
        <v>195</v>
      </c>
      <c r="C428" s="41" t="s">
        <v>903</v>
      </c>
      <c r="D428" s="40">
        <v>32</v>
      </c>
      <c r="E428" s="60" t="s">
        <v>25</v>
      </c>
      <c r="F428" s="42">
        <v>6000000</v>
      </c>
      <c r="G428" s="42">
        <v>192000000</v>
      </c>
    </row>
    <row r="429" spans="1:7" x14ac:dyDescent="0.25">
      <c r="A429" s="21" t="s">
        <v>904</v>
      </c>
      <c r="B429" s="43" t="s">
        <v>195</v>
      </c>
      <c r="C429" s="44" t="s">
        <v>905</v>
      </c>
      <c r="D429" s="47">
        <v>28</v>
      </c>
      <c r="E429" s="61" t="s">
        <v>25</v>
      </c>
      <c r="F429" s="45">
        <v>6000000</v>
      </c>
      <c r="G429" s="45">
        <v>168000000</v>
      </c>
    </row>
    <row r="430" spans="1:7" x14ac:dyDescent="0.25">
      <c r="A430" s="21" t="s">
        <v>906</v>
      </c>
      <c r="B430" s="40" t="s">
        <v>507</v>
      </c>
      <c r="C430" s="41" t="s">
        <v>13</v>
      </c>
      <c r="D430" s="40"/>
      <c r="E430" s="60"/>
      <c r="F430" s="42"/>
      <c r="G430" s="42">
        <v>5400000</v>
      </c>
    </row>
    <row r="431" spans="1:7" x14ac:dyDescent="0.25">
      <c r="A431" s="21" t="s">
        <v>907</v>
      </c>
      <c r="B431" s="40" t="s">
        <v>195</v>
      </c>
      <c r="C431" s="41" t="s">
        <v>908</v>
      </c>
      <c r="D431" s="40">
        <v>36</v>
      </c>
      <c r="E431" s="60" t="s">
        <v>73</v>
      </c>
      <c r="F431" s="42">
        <v>150000</v>
      </c>
      <c r="G431" s="42">
        <v>5400000</v>
      </c>
    </row>
    <row r="432" spans="1:7" x14ac:dyDescent="0.25">
      <c r="A432" s="21" t="s">
        <v>909</v>
      </c>
      <c r="B432" s="40" t="s">
        <v>509</v>
      </c>
      <c r="C432" s="41" t="s">
        <v>14</v>
      </c>
      <c r="D432" s="71"/>
      <c r="E432" s="60"/>
      <c r="F432" s="42"/>
      <c r="G432" s="42">
        <v>6480000</v>
      </c>
    </row>
    <row r="433" spans="1:7" x14ac:dyDescent="0.25">
      <c r="A433" s="21" t="s">
        <v>910</v>
      </c>
      <c r="B433" s="40" t="s">
        <v>195</v>
      </c>
      <c r="C433" s="41" t="s">
        <v>911</v>
      </c>
      <c r="D433" s="40">
        <v>18</v>
      </c>
      <c r="E433" s="60" t="s">
        <v>73</v>
      </c>
      <c r="F433" s="42">
        <v>210000</v>
      </c>
      <c r="G433" s="42">
        <v>3780000</v>
      </c>
    </row>
    <row r="434" spans="1:7" x14ac:dyDescent="0.25">
      <c r="A434" s="21" t="s">
        <v>912</v>
      </c>
      <c r="B434" s="43" t="s">
        <v>195</v>
      </c>
      <c r="C434" s="44" t="s">
        <v>638</v>
      </c>
      <c r="D434" s="47">
        <v>18</v>
      </c>
      <c r="E434" s="61" t="s">
        <v>73</v>
      </c>
      <c r="F434" s="45">
        <v>150000</v>
      </c>
      <c r="G434" s="45">
        <v>2700000</v>
      </c>
    </row>
    <row r="435" spans="1:7" x14ac:dyDescent="0.25">
      <c r="A435" s="21" t="s">
        <v>913</v>
      </c>
      <c r="B435" s="37" t="s">
        <v>514</v>
      </c>
      <c r="C435" s="38" t="s">
        <v>914</v>
      </c>
      <c r="D435" s="70"/>
      <c r="E435" s="59"/>
      <c r="F435" s="39"/>
      <c r="G435" s="39">
        <v>339320000</v>
      </c>
    </row>
    <row r="436" spans="1:7" x14ac:dyDescent="0.25">
      <c r="A436" s="21" t="s">
        <v>915</v>
      </c>
      <c r="B436" s="40" t="s">
        <v>503</v>
      </c>
      <c r="C436" s="41" t="s">
        <v>7</v>
      </c>
      <c r="D436" s="71"/>
      <c r="E436" s="60"/>
      <c r="F436" s="42"/>
      <c r="G436" s="42">
        <v>50750000</v>
      </c>
    </row>
    <row r="437" spans="1:7" x14ac:dyDescent="0.25">
      <c r="A437" s="21" t="s">
        <v>916</v>
      </c>
      <c r="B437" s="43" t="s">
        <v>195</v>
      </c>
      <c r="C437" s="44" t="s">
        <v>619</v>
      </c>
      <c r="D437" s="47">
        <v>1</v>
      </c>
      <c r="E437" s="61" t="s">
        <v>52</v>
      </c>
      <c r="F437" s="45">
        <v>2500000</v>
      </c>
      <c r="G437" s="45">
        <v>2500000</v>
      </c>
    </row>
    <row r="438" spans="1:7" x14ac:dyDescent="0.25">
      <c r="A438" s="21" t="s">
        <v>917</v>
      </c>
      <c r="B438" s="40" t="s">
        <v>195</v>
      </c>
      <c r="C438" s="41" t="s">
        <v>859</v>
      </c>
      <c r="D438" s="40">
        <v>1</v>
      </c>
      <c r="E438" s="60" t="s">
        <v>52</v>
      </c>
      <c r="F438" s="42">
        <v>2500000</v>
      </c>
      <c r="G438" s="42">
        <v>2500000</v>
      </c>
    </row>
    <row r="439" spans="1:7" x14ac:dyDescent="0.25">
      <c r="A439" s="21" t="s">
        <v>918</v>
      </c>
      <c r="B439" s="43" t="s">
        <v>195</v>
      </c>
      <c r="C439" s="44" t="s">
        <v>617</v>
      </c>
      <c r="D439" s="47">
        <v>1</v>
      </c>
      <c r="E439" s="61" t="s">
        <v>52</v>
      </c>
      <c r="F439" s="45">
        <v>1000000</v>
      </c>
      <c r="G439" s="45">
        <v>1000000</v>
      </c>
    </row>
    <row r="440" spans="1:7" x14ac:dyDescent="0.25">
      <c r="A440" s="21" t="s">
        <v>919</v>
      </c>
      <c r="B440" s="40" t="s">
        <v>195</v>
      </c>
      <c r="C440" s="41" t="s">
        <v>920</v>
      </c>
      <c r="D440" s="40">
        <v>1</v>
      </c>
      <c r="E440" s="60" t="s">
        <v>52</v>
      </c>
      <c r="F440" s="42">
        <v>1000000</v>
      </c>
      <c r="G440" s="42">
        <v>1000000</v>
      </c>
    </row>
    <row r="441" spans="1:7" x14ac:dyDescent="0.25">
      <c r="A441" s="21" t="s">
        <v>921</v>
      </c>
      <c r="B441" s="43" t="s">
        <v>195</v>
      </c>
      <c r="C441" s="44" t="s">
        <v>922</v>
      </c>
      <c r="D441" s="47">
        <v>125</v>
      </c>
      <c r="E441" s="61" t="s">
        <v>52</v>
      </c>
      <c r="F441" s="45">
        <v>350000</v>
      </c>
      <c r="G441" s="45">
        <v>43750000</v>
      </c>
    </row>
    <row r="442" spans="1:7" x14ac:dyDescent="0.25">
      <c r="A442" s="21" t="s">
        <v>923</v>
      </c>
      <c r="B442" s="40" t="s">
        <v>516</v>
      </c>
      <c r="C442" s="41" t="s">
        <v>11</v>
      </c>
      <c r="D442" s="40"/>
      <c r="E442" s="60"/>
      <c r="F442" s="42"/>
      <c r="G442" s="42">
        <v>11200000</v>
      </c>
    </row>
    <row r="443" spans="1:7" x14ac:dyDescent="0.25">
      <c r="A443" s="21" t="s">
        <v>924</v>
      </c>
      <c r="B443" s="43" t="s">
        <v>195</v>
      </c>
      <c r="C443" s="44" t="s">
        <v>925</v>
      </c>
      <c r="D443" s="47">
        <v>4</v>
      </c>
      <c r="E443" s="61" t="s">
        <v>54</v>
      </c>
      <c r="F443" s="45">
        <v>1000000</v>
      </c>
      <c r="G443" s="45">
        <v>4000000</v>
      </c>
    </row>
    <row r="444" spans="1:7" x14ac:dyDescent="0.25">
      <c r="A444" s="21" t="s">
        <v>926</v>
      </c>
      <c r="B444" s="37" t="s">
        <v>195</v>
      </c>
      <c r="C444" s="38" t="s">
        <v>927</v>
      </c>
      <c r="D444" s="37">
        <v>8</v>
      </c>
      <c r="E444" s="59" t="s">
        <v>25</v>
      </c>
      <c r="F444" s="39">
        <v>900000</v>
      </c>
      <c r="G444" s="39">
        <v>7200000</v>
      </c>
    </row>
    <row r="445" spans="1:7" x14ac:dyDescent="0.25">
      <c r="A445" s="21" t="s">
        <v>928</v>
      </c>
      <c r="B445" s="40" t="s">
        <v>513</v>
      </c>
      <c r="C445" s="41" t="s">
        <v>19</v>
      </c>
      <c r="D445" s="40"/>
      <c r="E445" s="60"/>
      <c r="F445" s="42"/>
      <c r="G445" s="42">
        <v>277370000</v>
      </c>
    </row>
    <row r="446" spans="1:7" x14ac:dyDescent="0.25">
      <c r="A446" s="21" t="s">
        <v>929</v>
      </c>
      <c r="B446" s="43" t="s">
        <v>195</v>
      </c>
      <c r="C446" s="44" t="s">
        <v>930</v>
      </c>
      <c r="D446" s="47">
        <v>500</v>
      </c>
      <c r="E446" s="61" t="s">
        <v>73</v>
      </c>
      <c r="F446" s="45">
        <v>430000</v>
      </c>
      <c r="G446" s="45">
        <v>215000000</v>
      </c>
    </row>
    <row r="447" spans="1:7" x14ac:dyDescent="0.25">
      <c r="A447" s="21" t="s">
        <v>931</v>
      </c>
      <c r="B447" s="43" t="s">
        <v>195</v>
      </c>
      <c r="C447" s="44" t="s">
        <v>932</v>
      </c>
      <c r="D447" s="47">
        <v>81</v>
      </c>
      <c r="E447" s="61" t="s">
        <v>73</v>
      </c>
      <c r="F447" s="45">
        <v>570000</v>
      </c>
      <c r="G447" s="45">
        <v>46170000</v>
      </c>
    </row>
    <row r="448" spans="1:7" ht="26.4" x14ac:dyDescent="0.25">
      <c r="A448" s="21" t="s">
        <v>933</v>
      </c>
      <c r="B448" s="43" t="s">
        <v>195</v>
      </c>
      <c r="C448" s="44" t="s">
        <v>934</v>
      </c>
      <c r="D448" s="47">
        <v>27</v>
      </c>
      <c r="E448" s="61" t="s">
        <v>25</v>
      </c>
      <c r="F448" s="45">
        <v>600000</v>
      </c>
      <c r="G448" s="45">
        <v>16200000</v>
      </c>
    </row>
    <row r="449" spans="1:7" ht="26.4" x14ac:dyDescent="0.25">
      <c r="A449" s="21" t="s">
        <v>935</v>
      </c>
      <c r="B449" s="37" t="s">
        <v>519</v>
      </c>
      <c r="C449" s="38" t="s">
        <v>186</v>
      </c>
      <c r="D449" s="37"/>
      <c r="E449" s="59"/>
      <c r="F449" s="39"/>
      <c r="G449" s="39">
        <v>230700000</v>
      </c>
    </row>
    <row r="450" spans="1:7" x14ac:dyDescent="0.25">
      <c r="A450" s="21" t="s">
        <v>936</v>
      </c>
      <c r="B450" s="40" t="s">
        <v>503</v>
      </c>
      <c r="C450" s="41" t="s">
        <v>7</v>
      </c>
      <c r="D450" s="71"/>
      <c r="E450" s="60"/>
      <c r="F450" s="42"/>
      <c r="G450" s="42">
        <v>3000000</v>
      </c>
    </row>
    <row r="451" spans="1:7" x14ac:dyDescent="0.25">
      <c r="A451" s="21" t="s">
        <v>937</v>
      </c>
      <c r="B451" s="43" t="s">
        <v>195</v>
      </c>
      <c r="C451" s="44" t="s">
        <v>617</v>
      </c>
      <c r="D451" s="47">
        <v>10</v>
      </c>
      <c r="E451" s="61" t="s">
        <v>52</v>
      </c>
      <c r="F451" s="45">
        <v>300000</v>
      </c>
      <c r="G451" s="45">
        <v>3000000</v>
      </c>
    </row>
    <row r="452" spans="1:7" x14ac:dyDescent="0.25">
      <c r="A452" s="21" t="s">
        <v>938</v>
      </c>
      <c r="B452" s="40" t="s">
        <v>537</v>
      </c>
      <c r="C452" s="41" t="s">
        <v>64</v>
      </c>
      <c r="D452" s="40"/>
      <c r="E452" s="60"/>
      <c r="F452" s="42"/>
      <c r="G452" s="42">
        <v>24000000</v>
      </c>
    </row>
    <row r="453" spans="1:7" x14ac:dyDescent="0.25">
      <c r="A453" s="21" t="s">
        <v>939</v>
      </c>
      <c r="B453" s="43" t="s">
        <v>195</v>
      </c>
      <c r="C453" s="44" t="s">
        <v>619</v>
      </c>
      <c r="D453" s="47">
        <v>12</v>
      </c>
      <c r="E453" s="61" t="s">
        <v>52</v>
      </c>
      <c r="F453" s="45">
        <v>1000000</v>
      </c>
      <c r="G453" s="45">
        <v>12000000</v>
      </c>
    </row>
    <row r="454" spans="1:7" x14ac:dyDescent="0.25">
      <c r="A454" s="21" t="s">
        <v>940</v>
      </c>
      <c r="B454" s="40" t="s">
        <v>195</v>
      </c>
      <c r="C454" s="41" t="s">
        <v>859</v>
      </c>
      <c r="D454" s="40">
        <v>12</v>
      </c>
      <c r="E454" s="60" t="s">
        <v>52</v>
      </c>
      <c r="F454" s="42">
        <v>1000000</v>
      </c>
      <c r="G454" s="42">
        <v>12000000</v>
      </c>
    </row>
    <row r="455" spans="1:7" x14ac:dyDescent="0.25">
      <c r="A455" s="21" t="s">
        <v>941</v>
      </c>
      <c r="B455" s="40" t="s">
        <v>516</v>
      </c>
      <c r="C455" s="41" t="s">
        <v>11</v>
      </c>
      <c r="D455" s="71"/>
      <c r="E455" s="60"/>
      <c r="F455" s="42"/>
      <c r="G455" s="42">
        <v>7200000</v>
      </c>
    </row>
    <row r="456" spans="1:7" x14ac:dyDescent="0.25">
      <c r="A456" s="21" t="s">
        <v>942</v>
      </c>
      <c r="B456" s="40" t="s">
        <v>195</v>
      </c>
      <c r="C456" s="41" t="s">
        <v>943</v>
      </c>
      <c r="D456" s="40">
        <v>8</v>
      </c>
      <c r="E456" s="60" t="s">
        <v>54</v>
      </c>
      <c r="F456" s="42">
        <v>900000</v>
      </c>
      <c r="G456" s="42">
        <v>7200000</v>
      </c>
    </row>
    <row r="457" spans="1:7" x14ac:dyDescent="0.25">
      <c r="A457" s="21" t="s">
        <v>944</v>
      </c>
      <c r="B457" s="40" t="s">
        <v>518</v>
      </c>
      <c r="C457" s="41" t="s">
        <v>24</v>
      </c>
      <c r="D457" s="71"/>
      <c r="E457" s="60"/>
      <c r="F457" s="42"/>
      <c r="G457" s="42">
        <v>4500000</v>
      </c>
    </row>
    <row r="458" spans="1:7" x14ac:dyDescent="0.25">
      <c r="A458" s="21" t="s">
        <v>945</v>
      </c>
      <c r="B458" s="37" t="s">
        <v>195</v>
      </c>
      <c r="C458" s="38" t="s">
        <v>946</v>
      </c>
      <c r="D458" s="37">
        <v>15</v>
      </c>
      <c r="E458" s="59" t="s">
        <v>25</v>
      </c>
      <c r="F458" s="39">
        <v>300000</v>
      </c>
      <c r="G458" s="39">
        <v>4500000</v>
      </c>
    </row>
    <row r="459" spans="1:7" x14ac:dyDescent="0.25">
      <c r="A459" s="21" t="s">
        <v>947</v>
      </c>
      <c r="B459" s="40" t="s">
        <v>513</v>
      </c>
      <c r="C459" s="41" t="s">
        <v>19</v>
      </c>
      <c r="D459" s="40"/>
      <c r="E459" s="60"/>
      <c r="F459" s="42"/>
      <c r="G459" s="42">
        <v>192000000</v>
      </c>
    </row>
    <row r="460" spans="1:7" ht="39.6" x14ac:dyDescent="0.25">
      <c r="A460" s="21" t="s">
        <v>948</v>
      </c>
      <c r="B460" s="43" t="s">
        <v>195</v>
      </c>
      <c r="C460" s="44" t="s">
        <v>949</v>
      </c>
      <c r="D460" s="47">
        <v>12</v>
      </c>
      <c r="E460" s="61" t="s">
        <v>25</v>
      </c>
      <c r="F460" s="45">
        <v>8000000</v>
      </c>
      <c r="G460" s="45">
        <v>96000000</v>
      </c>
    </row>
    <row r="461" spans="1:7" ht="26.4" x14ac:dyDescent="0.25">
      <c r="A461" s="21" t="s">
        <v>950</v>
      </c>
      <c r="B461" s="43" t="s">
        <v>195</v>
      </c>
      <c r="C461" s="44" t="s">
        <v>951</v>
      </c>
      <c r="D461" s="47">
        <v>12</v>
      </c>
      <c r="E461" s="61" t="s">
        <v>25</v>
      </c>
      <c r="F461" s="45">
        <v>8000000</v>
      </c>
      <c r="G461" s="45">
        <v>96000000</v>
      </c>
    </row>
    <row r="462" spans="1:7" x14ac:dyDescent="0.25">
      <c r="A462" s="21" t="s">
        <v>952</v>
      </c>
      <c r="B462" s="37" t="s">
        <v>578</v>
      </c>
      <c r="C462" s="38" t="s">
        <v>953</v>
      </c>
      <c r="D462" s="70"/>
      <c r="E462" s="59"/>
      <c r="F462" s="39"/>
      <c r="G462" s="39">
        <v>269980000</v>
      </c>
    </row>
    <row r="463" spans="1:7" x14ac:dyDescent="0.25">
      <c r="A463" s="21" t="s">
        <v>954</v>
      </c>
      <c r="B463" s="40" t="s">
        <v>503</v>
      </c>
      <c r="C463" s="41" t="s">
        <v>7</v>
      </c>
      <c r="D463" s="71"/>
      <c r="E463" s="60"/>
      <c r="F463" s="42"/>
      <c r="G463" s="42">
        <v>50750000</v>
      </c>
    </row>
    <row r="464" spans="1:7" x14ac:dyDescent="0.25">
      <c r="A464" s="21" t="s">
        <v>955</v>
      </c>
      <c r="B464" s="40" t="s">
        <v>195</v>
      </c>
      <c r="C464" s="41" t="s">
        <v>619</v>
      </c>
      <c r="D464" s="40">
        <v>1</v>
      </c>
      <c r="E464" s="60" t="s">
        <v>52</v>
      </c>
      <c r="F464" s="42">
        <v>2500000</v>
      </c>
      <c r="G464" s="42">
        <v>2500000</v>
      </c>
    </row>
    <row r="465" spans="1:7" x14ac:dyDescent="0.25">
      <c r="A465" s="21" t="s">
        <v>956</v>
      </c>
      <c r="B465" s="43" t="s">
        <v>195</v>
      </c>
      <c r="C465" s="44" t="s">
        <v>859</v>
      </c>
      <c r="D465" s="47">
        <v>1</v>
      </c>
      <c r="E465" s="61" t="s">
        <v>52</v>
      </c>
      <c r="F465" s="45">
        <v>2500000</v>
      </c>
      <c r="G465" s="45">
        <v>2500000</v>
      </c>
    </row>
    <row r="466" spans="1:7" x14ac:dyDescent="0.25">
      <c r="A466" s="21" t="s">
        <v>957</v>
      </c>
      <c r="B466" s="43" t="s">
        <v>195</v>
      </c>
      <c r="C466" s="44" t="s">
        <v>617</v>
      </c>
      <c r="D466" s="47">
        <v>1</v>
      </c>
      <c r="E466" s="61" t="s">
        <v>52</v>
      </c>
      <c r="F466" s="45">
        <v>1000000</v>
      </c>
      <c r="G466" s="45">
        <v>1000000</v>
      </c>
    </row>
    <row r="467" spans="1:7" x14ac:dyDescent="0.25">
      <c r="A467" s="21" t="s">
        <v>958</v>
      </c>
      <c r="B467" s="40" t="s">
        <v>195</v>
      </c>
      <c r="C467" s="41" t="s">
        <v>920</v>
      </c>
      <c r="D467" s="40">
        <v>1</v>
      </c>
      <c r="E467" s="60" t="s">
        <v>52</v>
      </c>
      <c r="F467" s="42">
        <v>1000000</v>
      </c>
      <c r="G467" s="42">
        <v>1000000</v>
      </c>
    </row>
    <row r="468" spans="1:7" x14ac:dyDescent="0.25">
      <c r="A468" s="21" t="s">
        <v>959</v>
      </c>
      <c r="B468" s="43" t="s">
        <v>195</v>
      </c>
      <c r="C468" s="44" t="s">
        <v>922</v>
      </c>
      <c r="D468" s="47">
        <v>125</v>
      </c>
      <c r="E468" s="61" t="s">
        <v>52</v>
      </c>
      <c r="F468" s="45">
        <v>350000</v>
      </c>
      <c r="G468" s="45">
        <v>43750000</v>
      </c>
    </row>
    <row r="469" spans="1:7" x14ac:dyDescent="0.25">
      <c r="A469" s="21" t="s">
        <v>960</v>
      </c>
      <c r="B469" s="40" t="s">
        <v>516</v>
      </c>
      <c r="C469" s="41" t="s">
        <v>11</v>
      </c>
      <c r="D469" s="40"/>
      <c r="E469" s="60"/>
      <c r="F469" s="42"/>
      <c r="G469" s="42">
        <v>11000000</v>
      </c>
    </row>
    <row r="470" spans="1:7" x14ac:dyDescent="0.25">
      <c r="A470" s="21" t="s">
        <v>961</v>
      </c>
      <c r="B470" s="43" t="s">
        <v>195</v>
      </c>
      <c r="C470" s="44" t="s">
        <v>962</v>
      </c>
      <c r="D470" s="47">
        <v>2</v>
      </c>
      <c r="E470" s="61" t="s">
        <v>54</v>
      </c>
      <c r="F470" s="45">
        <v>1000000</v>
      </c>
      <c r="G470" s="45">
        <v>2000000</v>
      </c>
    </row>
    <row r="471" spans="1:7" ht="26.4" x14ac:dyDescent="0.25">
      <c r="A471" s="21" t="s">
        <v>963</v>
      </c>
      <c r="B471" s="40" t="s">
        <v>195</v>
      </c>
      <c r="C471" s="41" t="s">
        <v>964</v>
      </c>
      <c r="D471" s="40">
        <v>10</v>
      </c>
      <c r="E471" s="60" t="s">
        <v>54</v>
      </c>
      <c r="F471" s="42">
        <v>900000</v>
      </c>
      <c r="G471" s="42">
        <v>9000000</v>
      </c>
    </row>
    <row r="472" spans="1:7" x14ac:dyDescent="0.25">
      <c r="A472" s="21" t="s">
        <v>965</v>
      </c>
      <c r="B472" s="40" t="s">
        <v>513</v>
      </c>
      <c r="C472" s="41" t="s">
        <v>19</v>
      </c>
      <c r="D472" s="71"/>
      <c r="E472" s="60"/>
      <c r="F472" s="42"/>
      <c r="G472" s="42">
        <v>208230000</v>
      </c>
    </row>
    <row r="473" spans="1:7" x14ac:dyDescent="0.25">
      <c r="A473" s="21" t="s">
        <v>966</v>
      </c>
      <c r="B473" s="40" t="s">
        <v>195</v>
      </c>
      <c r="C473" s="41" t="s">
        <v>967</v>
      </c>
      <c r="D473" s="40">
        <v>40</v>
      </c>
      <c r="E473" s="60" t="s">
        <v>73</v>
      </c>
      <c r="F473" s="42">
        <v>5206000</v>
      </c>
      <c r="G473" s="42">
        <v>208230000</v>
      </c>
    </row>
    <row r="474" spans="1:7" x14ac:dyDescent="0.25">
      <c r="A474" s="21" t="s">
        <v>968</v>
      </c>
      <c r="B474" s="37" t="s">
        <v>579</v>
      </c>
      <c r="C474" s="38" t="s">
        <v>187</v>
      </c>
      <c r="D474" s="70"/>
      <c r="E474" s="59"/>
      <c r="F474" s="39"/>
      <c r="G474" s="39">
        <v>113300000</v>
      </c>
    </row>
    <row r="475" spans="1:7" x14ac:dyDescent="0.25">
      <c r="A475" s="21" t="s">
        <v>969</v>
      </c>
      <c r="B475" s="40" t="s">
        <v>503</v>
      </c>
      <c r="C475" s="41" t="s">
        <v>7</v>
      </c>
      <c r="D475" s="40"/>
      <c r="E475" s="60"/>
      <c r="F475" s="42"/>
      <c r="G475" s="42">
        <v>5000000</v>
      </c>
    </row>
    <row r="476" spans="1:7" x14ac:dyDescent="0.25">
      <c r="A476" s="21" t="s">
        <v>970</v>
      </c>
      <c r="B476" s="40" t="s">
        <v>195</v>
      </c>
      <c r="C476" s="41" t="s">
        <v>617</v>
      </c>
      <c r="D476" s="40">
        <v>20</v>
      </c>
      <c r="E476" s="60" t="s">
        <v>853</v>
      </c>
      <c r="F476" s="42">
        <v>250000</v>
      </c>
      <c r="G476" s="42">
        <v>5000000</v>
      </c>
    </row>
    <row r="477" spans="1:7" x14ac:dyDescent="0.25">
      <c r="A477" s="21" t="s">
        <v>971</v>
      </c>
      <c r="B477" s="40" t="s">
        <v>537</v>
      </c>
      <c r="C477" s="41" t="s">
        <v>64</v>
      </c>
      <c r="D477" s="71"/>
      <c r="E477" s="60"/>
      <c r="F477" s="42"/>
      <c r="G477" s="42">
        <v>24000000</v>
      </c>
    </row>
    <row r="478" spans="1:7" x14ac:dyDescent="0.25">
      <c r="A478" s="21" t="s">
        <v>972</v>
      </c>
      <c r="B478" s="43" t="s">
        <v>195</v>
      </c>
      <c r="C478" s="44" t="s">
        <v>619</v>
      </c>
      <c r="D478" s="47">
        <v>12</v>
      </c>
      <c r="E478" s="61" t="s">
        <v>23</v>
      </c>
      <c r="F478" s="45">
        <v>1000000</v>
      </c>
      <c r="G478" s="45">
        <v>12000000</v>
      </c>
    </row>
    <row r="479" spans="1:7" x14ac:dyDescent="0.25">
      <c r="A479" s="21" t="s">
        <v>973</v>
      </c>
      <c r="B479" s="43" t="s">
        <v>195</v>
      </c>
      <c r="C479" s="44" t="s">
        <v>974</v>
      </c>
      <c r="D479" s="47">
        <v>12</v>
      </c>
      <c r="E479" s="61" t="s">
        <v>23</v>
      </c>
      <c r="F479" s="45">
        <v>1000000</v>
      </c>
      <c r="G479" s="45">
        <v>12000000</v>
      </c>
    </row>
    <row r="480" spans="1:7" x14ac:dyDescent="0.25">
      <c r="A480" s="21" t="s">
        <v>975</v>
      </c>
      <c r="B480" s="40" t="s">
        <v>516</v>
      </c>
      <c r="C480" s="41" t="s">
        <v>11</v>
      </c>
      <c r="D480" s="71"/>
      <c r="E480" s="60"/>
      <c r="F480" s="42"/>
      <c r="G480" s="42">
        <v>7200000</v>
      </c>
    </row>
    <row r="481" spans="1:7" ht="26.4" x14ac:dyDescent="0.25">
      <c r="A481" s="21" t="s">
        <v>976</v>
      </c>
      <c r="B481" s="40" t="s">
        <v>195</v>
      </c>
      <c r="C481" s="41" t="s">
        <v>977</v>
      </c>
      <c r="D481" s="40">
        <v>8</v>
      </c>
      <c r="E481" s="60" t="s">
        <v>54</v>
      </c>
      <c r="F481" s="42">
        <v>900000</v>
      </c>
      <c r="G481" s="42">
        <v>7200000</v>
      </c>
    </row>
    <row r="482" spans="1:7" x14ac:dyDescent="0.25">
      <c r="A482" s="21" t="s">
        <v>978</v>
      </c>
      <c r="B482" s="40" t="s">
        <v>518</v>
      </c>
      <c r="C482" s="41" t="s">
        <v>24</v>
      </c>
      <c r="D482" s="71"/>
      <c r="E482" s="60"/>
      <c r="F482" s="42"/>
      <c r="G482" s="42">
        <v>2400000</v>
      </c>
    </row>
    <row r="483" spans="1:7" x14ac:dyDescent="0.25">
      <c r="A483" s="21" t="s">
        <v>979</v>
      </c>
      <c r="B483" s="40" t="s">
        <v>195</v>
      </c>
      <c r="C483" s="41" t="s">
        <v>980</v>
      </c>
      <c r="D483" s="40">
        <v>8</v>
      </c>
      <c r="E483" s="60" t="s">
        <v>25</v>
      </c>
      <c r="F483" s="42">
        <v>300000</v>
      </c>
      <c r="G483" s="42">
        <v>2400000</v>
      </c>
    </row>
    <row r="484" spans="1:7" x14ac:dyDescent="0.25">
      <c r="A484" s="21" t="s">
        <v>981</v>
      </c>
      <c r="B484" s="40" t="s">
        <v>513</v>
      </c>
      <c r="C484" s="41" t="s">
        <v>19</v>
      </c>
      <c r="D484" s="71"/>
      <c r="E484" s="60"/>
      <c r="F484" s="42"/>
      <c r="G484" s="42">
        <v>72000000</v>
      </c>
    </row>
    <row r="485" spans="1:7" ht="26.4" x14ac:dyDescent="0.25">
      <c r="A485" s="21" t="s">
        <v>982</v>
      </c>
      <c r="B485" s="43" t="s">
        <v>195</v>
      </c>
      <c r="C485" s="44" t="s">
        <v>983</v>
      </c>
      <c r="D485" s="47">
        <v>12</v>
      </c>
      <c r="E485" s="61" t="s">
        <v>91</v>
      </c>
      <c r="F485" s="45">
        <v>6000000</v>
      </c>
      <c r="G485" s="45">
        <v>72000000</v>
      </c>
    </row>
    <row r="486" spans="1:7" x14ac:dyDescent="0.25">
      <c r="A486" s="21" t="s">
        <v>984</v>
      </c>
      <c r="B486" s="40" t="s">
        <v>507</v>
      </c>
      <c r="C486" s="41" t="s">
        <v>13</v>
      </c>
      <c r="D486" s="71"/>
      <c r="E486" s="60"/>
      <c r="F486" s="42"/>
      <c r="G486" s="42">
        <v>2700000</v>
      </c>
    </row>
    <row r="487" spans="1:7" x14ac:dyDescent="0.25">
      <c r="A487" s="7" t="s">
        <v>985</v>
      </c>
      <c r="B487" s="28" t="s">
        <v>195</v>
      </c>
      <c r="C487" s="29" t="s">
        <v>986</v>
      </c>
      <c r="D487" s="46">
        <v>18</v>
      </c>
      <c r="E487" s="56" t="s">
        <v>73</v>
      </c>
      <c r="F487" s="30">
        <v>150000</v>
      </c>
      <c r="G487" s="30">
        <v>2700000</v>
      </c>
    </row>
    <row r="488" spans="1:7" x14ac:dyDescent="0.25">
      <c r="A488" s="7" t="s">
        <v>987</v>
      </c>
      <c r="B488" s="31" t="s">
        <v>988</v>
      </c>
      <c r="C488" s="32" t="s">
        <v>989</v>
      </c>
      <c r="D488" s="31"/>
      <c r="E488" s="57"/>
      <c r="F488" s="33"/>
      <c r="G488" s="33">
        <v>600000000</v>
      </c>
    </row>
    <row r="489" spans="1:7" ht="26.4" x14ac:dyDescent="0.25">
      <c r="A489" s="21" t="s">
        <v>990</v>
      </c>
      <c r="B489" s="34" t="s">
        <v>826</v>
      </c>
      <c r="C489" s="35" t="s">
        <v>991</v>
      </c>
      <c r="D489" s="34"/>
      <c r="E489" s="58"/>
      <c r="F489" s="36"/>
      <c r="G489" s="36">
        <v>600000000</v>
      </c>
    </row>
    <row r="490" spans="1:7" x14ac:dyDescent="0.25">
      <c r="A490" s="21" t="s">
        <v>992</v>
      </c>
      <c r="B490" s="37" t="s">
        <v>8</v>
      </c>
      <c r="C490" s="38" t="s">
        <v>993</v>
      </c>
      <c r="D490" s="37"/>
      <c r="E490" s="59"/>
      <c r="F490" s="39"/>
      <c r="G490" s="39">
        <v>320190000</v>
      </c>
    </row>
    <row r="491" spans="1:7" x14ac:dyDescent="0.25">
      <c r="A491" s="21" t="s">
        <v>994</v>
      </c>
      <c r="B491" s="40" t="s">
        <v>503</v>
      </c>
      <c r="C491" s="41" t="s">
        <v>7</v>
      </c>
      <c r="D491" s="40"/>
      <c r="E491" s="60"/>
      <c r="F491" s="42"/>
      <c r="G491" s="42">
        <v>44990000</v>
      </c>
    </row>
    <row r="492" spans="1:7" x14ac:dyDescent="0.25">
      <c r="A492" s="21" t="s">
        <v>995</v>
      </c>
      <c r="B492" s="43" t="s">
        <v>195</v>
      </c>
      <c r="C492" s="44" t="s">
        <v>996</v>
      </c>
      <c r="D492" s="47">
        <v>10</v>
      </c>
      <c r="E492" s="61" t="s">
        <v>23</v>
      </c>
      <c r="F492" s="45">
        <v>1000000</v>
      </c>
      <c r="G492" s="45">
        <v>10000000</v>
      </c>
    </row>
    <row r="493" spans="1:7" x14ac:dyDescent="0.25">
      <c r="A493" s="21" t="s">
        <v>997</v>
      </c>
      <c r="B493" s="43" t="s">
        <v>195</v>
      </c>
      <c r="C493" s="44" t="s">
        <v>998</v>
      </c>
      <c r="D493" s="47">
        <v>200</v>
      </c>
      <c r="E493" s="61" t="s">
        <v>999</v>
      </c>
      <c r="F493" s="45">
        <v>175000</v>
      </c>
      <c r="G493" s="45">
        <v>34990000</v>
      </c>
    </row>
    <row r="494" spans="1:7" ht="26.4" x14ac:dyDescent="0.25">
      <c r="A494" s="21" t="s">
        <v>1000</v>
      </c>
      <c r="B494" s="40" t="s">
        <v>515</v>
      </c>
      <c r="C494" s="41" t="s">
        <v>642</v>
      </c>
      <c r="D494" s="71"/>
      <c r="E494" s="60"/>
      <c r="F494" s="42"/>
      <c r="G494" s="42">
        <v>19200000</v>
      </c>
    </row>
    <row r="495" spans="1:7" ht="26.4" x14ac:dyDescent="0.25">
      <c r="A495" s="21" t="s">
        <v>1001</v>
      </c>
      <c r="B495" s="43" t="s">
        <v>195</v>
      </c>
      <c r="C495" s="44" t="s">
        <v>1002</v>
      </c>
      <c r="D495" s="47">
        <v>96</v>
      </c>
      <c r="E495" s="61" t="s">
        <v>25</v>
      </c>
      <c r="F495" s="45">
        <v>200000</v>
      </c>
      <c r="G495" s="45">
        <v>19200000</v>
      </c>
    </row>
    <row r="496" spans="1:7" x14ac:dyDescent="0.25">
      <c r="A496" s="21" t="s">
        <v>1003</v>
      </c>
      <c r="B496" s="40" t="s">
        <v>537</v>
      </c>
      <c r="C496" s="41" t="s">
        <v>64</v>
      </c>
      <c r="D496" s="71"/>
      <c r="E496" s="60"/>
      <c r="F496" s="42"/>
      <c r="G496" s="42">
        <v>20000000</v>
      </c>
    </row>
    <row r="497" spans="1:7" x14ac:dyDescent="0.25">
      <c r="A497" s="21" t="s">
        <v>1004</v>
      </c>
      <c r="B497" s="40" t="s">
        <v>195</v>
      </c>
      <c r="C497" s="41" t="s">
        <v>619</v>
      </c>
      <c r="D497" s="40">
        <v>10</v>
      </c>
      <c r="E497" s="60" t="s">
        <v>23</v>
      </c>
      <c r="F497" s="42">
        <v>1000000</v>
      </c>
      <c r="G497" s="42">
        <v>10000000</v>
      </c>
    </row>
    <row r="498" spans="1:7" x14ac:dyDescent="0.25">
      <c r="A498" s="21" t="s">
        <v>1005</v>
      </c>
      <c r="B498" s="43" t="s">
        <v>195</v>
      </c>
      <c r="C498" s="44" t="s">
        <v>1006</v>
      </c>
      <c r="D498" s="47">
        <v>10</v>
      </c>
      <c r="E498" s="61" t="s">
        <v>23</v>
      </c>
      <c r="F498" s="45">
        <v>1000000</v>
      </c>
      <c r="G498" s="45">
        <v>10000000</v>
      </c>
    </row>
    <row r="499" spans="1:7" x14ac:dyDescent="0.25">
      <c r="A499" s="21" t="s">
        <v>1007</v>
      </c>
      <c r="B499" s="40" t="s">
        <v>516</v>
      </c>
      <c r="C499" s="41" t="s">
        <v>11</v>
      </c>
      <c r="D499" s="40"/>
      <c r="E499" s="60"/>
      <c r="F499" s="42"/>
      <c r="G499" s="42">
        <v>8000000</v>
      </c>
    </row>
    <row r="500" spans="1:7" x14ac:dyDescent="0.25">
      <c r="A500" s="21" t="s">
        <v>1008</v>
      </c>
      <c r="B500" s="43" t="s">
        <v>195</v>
      </c>
      <c r="C500" s="44" t="s">
        <v>1009</v>
      </c>
      <c r="D500" s="47">
        <v>8</v>
      </c>
      <c r="E500" s="61" t="s">
        <v>54</v>
      </c>
      <c r="F500" s="45">
        <v>1000000</v>
      </c>
      <c r="G500" s="45">
        <v>8000000</v>
      </c>
    </row>
    <row r="501" spans="1:7" x14ac:dyDescent="0.25">
      <c r="A501" s="21" t="s">
        <v>1010</v>
      </c>
      <c r="B501" s="40" t="s">
        <v>513</v>
      </c>
      <c r="C501" s="41" t="s">
        <v>19</v>
      </c>
      <c r="D501" s="40"/>
      <c r="E501" s="60"/>
      <c r="F501" s="42"/>
      <c r="G501" s="42">
        <v>220800000</v>
      </c>
    </row>
    <row r="502" spans="1:7" ht="39.6" x14ac:dyDescent="0.25">
      <c r="A502" s="21" t="s">
        <v>1011</v>
      </c>
      <c r="B502" s="43" t="s">
        <v>195</v>
      </c>
      <c r="C502" s="44" t="s">
        <v>1012</v>
      </c>
      <c r="D502" s="47">
        <v>46</v>
      </c>
      <c r="E502" s="61" t="s">
        <v>25</v>
      </c>
      <c r="F502" s="45">
        <v>4800000</v>
      </c>
      <c r="G502" s="45">
        <v>220800000</v>
      </c>
    </row>
    <row r="503" spans="1:7" x14ac:dyDescent="0.25">
      <c r="A503" s="21" t="s">
        <v>1013</v>
      </c>
      <c r="B503" s="40" t="s">
        <v>509</v>
      </c>
      <c r="C503" s="41" t="s">
        <v>14</v>
      </c>
      <c r="D503" s="40"/>
      <c r="E503" s="60"/>
      <c r="F503" s="42"/>
      <c r="G503" s="42">
        <v>7200000</v>
      </c>
    </row>
    <row r="504" spans="1:7" x14ac:dyDescent="0.25">
      <c r="A504" s="21" t="s">
        <v>1014</v>
      </c>
      <c r="B504" s="40" t="s">
        <v>195</v>
      </c>
      <c r="C504" s="41" t="s">
        <v>1015</v>
      </c>
      <c r="D504" s="40">
        <v>20</v>
      </c>
      <c r="E504" s="60" t="s">
        <v>25</v>
      </c>
      <c r="F504" s="42">
        <v>210000</v>
      </c>
      <c r="G504" s="42">
        <v>4200000</v>
      </c>
    </row>
    <row r="505" spans="1:7" x14ac:dyDescent="0.25">
      <c r="A505" s="21" t="s">
        <v>1016</v>
      </c>
      <c r="B505" s="43" t="s">
        <v>195</v>
      </c>
      <c r="C505" s="44" t="s">
        <v>630</v>
      </c>
      <c r="D505" s="47">
        <v>20</v>
      </c>
      <c r="E505" s="61" t="s">
        <v>73</v>
      </c>
      <c r="F505" s="45">
        <v>150000</v>
      </c>
      <c r="G505" s="45">
        <v>3000000</v>
      </c>
    </row>
    <row r="506" spans="1:7" x14ac:dyDescent="0.25">
      <c r="A506" s="21" t="s">
        <v>1017</v>
      </c>
      <c r="B506" s="37" t="s">
        <v>511</v>
      </c>
      <c r="C506" s="38" t="s">
        <v>158</v>
      </c>
      <c r="D506" s="70"/>
      <c r="E506" s="59"/>
      <c r="F506" s="39"/>
      <c r="G506" s="39">
        <v>279810000</v>
      </c>
    </row>
    <row r="507" spans="1:7" x14ac:dyDescent="0.25">
      <c r="A507" s="21" t="s">
        <v>1018</v>
      </c>
      <c r="B507" s="40" t="s">
        <v>503</v>
      </c>
      <c r="C507" s="41" t="s">
        <v>7</v>
      </c>
      <c r="D507" s="71"/>
      <c r="E507" s="60"/>
      <c r="F507" s="42"/>
      <c r="G507" s="42">
        <v>10000000</v>
      </c>
    </row>
    <row r="508" spans="1:7" x14ac:dyDescent="0.25">
      <c r="A508" s="21" t="s">
        <v>1019</v>
      </c>
      <c r="B508" s="43" t="s">
        <v>195</v>
      </c>
      <c r="C508" s="44" t="s">
        <v>1020</v>
      </c>
      <c r="D508" s="47">
        <v>10</v>
      </c>
      <c r="E508" s="61" t="s">
        <v>23</v>
      </c>
      <c r="F508" s="45">
        <v>1000000</v>
      </c>
      <c r="G508" s="45">
        <v>10000000</v>
      </c>
    </row>
    <row r="509" spans="1:7" x14ac:dyDescent="0.25">
      <c r="A509" s="21" t="s">
        <v>1021</v>
      </c>
      <c r="B509" s="40" t="s">
        <v>537</v>
      </c>
      <c r="C509" s="41" t="s">
        <v>64</v>
      </c>
      <c r="D509" s="71"/>
      <c r="E509" s="60"/>
      <c r="F509" s="42"/>
      <c r="G509" s="42">
        <v>20000000</v>
      </c>
    </row>
    <row r="510" spans="1:7" x14ac:dyDescent="0.25">
      <c r="A510" s="21" t="s">
        <v>1022</v>
      </c>
      <c r="B510" s="43" t="s">
        <v>195</v>
      </c>
      <c r="C510" s="44" t="s">
        <v>619</v>
      </c>
      <c r="D510" s="47">
        <v>10</v>
      </c>
      <c r="E510" s="61" t="s">
        <v>23</v>
      </c>
      <c r="F510" s="45">
        <v>1000000</v>
      </c>
      <c r="G510" s="45">
        <v>10000000</v>
      </c>
    </row>
    <row r="511" spans="1:7" x14ac:dyDescent="0.25">
      <c r="A511" s="21" t="s">
        <v>1023</v>
      </c>
      <c r="B511" s="43" t="s">
        <v>195</v>
      </c>
      <c r="C511" s="44" t="s">
        <v>1006</v>
      </c>
      <c r="D511" s="47">
        <v>10</v>
      </c>
      <c r="E511" s="61" t="s">
        <v>23</v>
      </c>
      <c r="F511" s="45">
        <v>1000000</v>
      </c>
      <c r="G511" s="45">
        <v>10000000</v>
      </c>
    </row>
    <row r="512" spans="1:7" x14ac:dyDescent="0.25">
      <c r="A512" s="21" t="s">
        <v>1024</v>
      </c>
      <c r="B512" s="40" t="s">
        <v>516</v>
      </c>
      <c r="C512" s="41" t="s">
        <v>11</v>
      </c>
      <c r="D512" s="40"/>
      <c r="E512" s="60"/>
      <c r="F512" s="42"/>
      <c r="G512" s="42">
        <v>21600000</v>
      </c>
    </row>
    <row r="513" spans="1:7" x14ac:dyDescent="0.25">
      <c r="A513" s="21" t="s">
        <v>1025</v>
      </c>
      <c r="B513" s="43" t="s">
        <v>195</v>
      </c>
      <c r="C513" s="44" t="s">
        <v>1026</v>
      </c>
      <c r="D513" s="47">
        <v>6</v>
      </c>
      <c r="E513" s="61" t="s">
        <v>25</v>
      </c>
      <c r="F513" s="45">
        <v>1800000</v>
      </c>
      <c r="G513" s="45">
        <v>10800000</v>
      </c>
    </row>
    <row r="514" spans="1:7" x14ac:dyDescent="0.25">
      <c r="A514" s="21" t="s">
        <v>1027</v>
      </c>
      <c r="B514" s="43" t="s">
        <v>195</v>
      </c>
      <c r="C514" s="44" t="s">
        <v>1028</v>
      </c>
      <c r="D514" s="47">
        <v>6</v>
      </c>
      <c r="E514" s="61" t="s">
        <v>25</v>
      </c>
      <c r="F514" s="45">
        <v>1800000</v>
      </c>
      <c r="G514" s="45">
        <v>10800000</v>
      </c>
    </row>
    <row r="515" spans="1:7" x14ac:dyDescent="0.25">
      <c r="A515" s="21" t="s">
        <v>1029</v>
      </c>
      <c r="B515" s="40" t="s">
        <v>513</v>
      </c>
      <c r="C515" s="41" t="s">
        <v>19</v>
      </c>
      <c r="D515" s="40"/>
      <c r="E515" s="60"/>
      <c r="F515" s="42"/>
      <c r="G515" s="42">
        <v>223680000</v>
      </c>
    </row>
    <row r="516" spans="1:7" ht="26.4" x14ac:dyDescent="0.25">
      <c r="A516" s="21" t="s">
        <v>1030</v>
      </c>
      <c r="B516" s="43" t="s">
        <v>195</v>
      </c>
      <c r="C516" s="44" t="s">
        <v>1031</v>
      </c>
      <c r="D516" s="47">
        <v>48</v>
      </c>
      <c r="E516" s="61" t="s">
        <v>25</v>
      </c>
      <c r="F516" s="45">
        <v>4660000</v>
      </c>
      <c r="G516" s="45">
        <v>223680000</v>
      </c>
    </row>
    <row r="517" spans="1:7" x14ac:dyDescent="0.25">
      <c r="A517" s="21" t="s">
        <v>1032</v>
      </c>
      <c r="B517" s="40" t="s">
        <v>509</v>
      </c>
      <c r="C517" s="41" t="s">
        <v>14</v>
      </c>
      <c r="D517" s="40"/>
      <c r="E517" s="60"/>
      <c r="F517" s="42"/>
      <c r="G517" s="42">
        <v>4530000</v>
      </c>
    </row>
    <row r="518" spans="1:7" x14ac:dyDescent="0.25">
      <c r="A518" s="21" t="s">
        <v>1033</v>
      </c>
      <c r="B518" s="43" t="s">
        <v>195</v>
      </c>
      <c r="C518" s="44" t="s">
        <v>1015</v>
      </c>
      <c r="D518" s="47">
        <v>13</v>
      </c>
      <c r="E518" s="61" t="s">
        <v>25</v>
      </c>
      <c r="F518" s="45">
        <v>210000</v>
      </c>
      <c r="G518" s="45">
        <v>2730000</v>
      </c>
    </row>
    <row r="519" spans="1:7" x14ac:dyDescent="0.25">
      <c r="A519" s="21" t="s">
        <v>1034</v>
      </c>
      <c r="B519" s="37" t="s">
        <v>195</v>
      </c>
      <c r="C519" s="38" t="s">
        <v>630</v>
      </c>
      <c r="D519" s="37">
        <v>12</v>
      </c>
      <c r="E519" s="59" t="s">
        <v>73</v>
      </c>
      <c r="F519" s="39">
        <v>150000</v>
      </c>
      <c r="G519" s="39">
        <v>1800000</v>
      </c>
    </row>
    <row r="520" spans="1:7" x14ac:dyDescent="0.25">
      <c r="A520" s="21" t="s">
        <v>1035</v>
      </c>
      <c r="B520" s="40" t="s">
        <v>1036</v>
      </c>
      <c r="C520" s="41" t="s">
        <v>1037</v>
      </c>
      <c r="D520" s="40"/>
      <c r="E520" s="60"/>
      <c r="F520" s="42"/>
      <c r="G520" s="42">
        <v>5353780000</v>
      </c>
    </row>
    <row r="521" spans="1:7" ht="26.4" x14ac:dyDescent="0.25">
      <c r="A521" s="21" t="s">
        <v>1038</v>
      </c>
      <c r="B521" s="34" t="s">
        <v>826</v>
      </c>
      <c r="C521" s="35" t="s">
        <v>1039</v>
      </c>
      <c r="D521" s="69"/>
      <c r="E521" s="58"/>
      <c r="F521" s="36"/>
      <c r="G521" s="36">
        <v>1900000000</v>
      </c>
    </row>
    <row r="522" spans="1:7" ht="26.4" x14ac:dyDescent="0.25">
      <c r="A522" s="21" t="s">
        <v>1040</v>
      </c>
      <c r="B522" s="37" t="s">
        <v>8</v>
      </c>
      <c r="C522" s="38" t="s">
        <v>1041</v>
      </c>
      <c r="D522" s="70"/>
      <c r="E522" s="59"/>
      <c r="F522" s="39"/>
      <c r="G522" s="39">
        <v>1900000000</v>
      </c>
    </row>
    <row r="523" spans="1:7" x14ac:dyDescent="0.25">
      <c r="A523" s="21" t="s">
        <v>1042</v>
      </c>
      <c r="B523" s="40" t="s">
        <v>503</v>
      </c>
      <c r="C523" s="41" t="s">
        <v>7</v>
      </c>
      <c r="D523" s="71"/>
      <c r="E523" s="60"/>
      <c r="F523" s="42"/>
      <c r="G523" s="42">
        <v>600000000</v>
      </c>
    </row>
    <row r="524" spans="1:7" x14ac:dyDescent="0.25">
      <c r="A524" s="21" t="s">
        <v>1043</v>
      </c>
      <c r="B524" s="43" t="s">
        <v>195</v>
      </c>
      <c r="C524" s="44" t="s">
        <v>1044</v>
      </c>
      <c r="D524" s="47">
        <v>20</v>
      </c>
      <c r="E524" s="61" t="s">
        <v>106</v>
      </c>
      <c r="F524" s="45">
        <v>30000000</v>
      </c>
      <c r="G524" s="45">
        <v>600000000</v>
      </c>
    </row>
    <row r="525" spans="1:7" x14ac:dyDescent="0.25">
      <c r="A525" s="21" t="s">
        <v>1045</v>
      </c>
      <c r="B525" s="40" t="s">
        <v>522</v>
      </c>
      <c r="C525" s="41" t="s">
        <v>30</v>
      </c>
      <c r="D525" s="71"/>
      <c r="E525" s="60"/>
      <c r="F525" s="42"/>
      <c r="G525" s="42">
        <v>115600000</v>
      </c>
    </row>
    <row r="526" spans="1:7" x14ac:dyDescent="0.25">
      <c r="A526" s="21" t="s">
        <v>195</v>
      </c>
      <c r="B526" s="40" t="s">
        <v>195</v>
      </c>
      <c r="C526" s="41" t="s">
        <v>1046</v>
      </c>
      <c r="D526" s="40">
        <v>0</v>
      </c>
      <c r="E526" s="60" t="s">
        <v>195</v>
      </c>
      <c r="F526" s="42">
        <v>0</v>
      </c>
      <c r="G526" s="42">
        <v>0</v>
      </c>
    </row>
    <row r="527" spans="1:7" x14ac:dyDescent="0.25">
      <c r="A527" s="21" t="s">
        <v>1047</v>
      </c>
      <c r="B527" s="43" t="s">
        <v>195</v>
      </c>
      <c r="C527" s="44" t="s">
        <v>1048</v>
      </c>
      <c r="D527" s="47">
        <v>12</v>
      </c>
      <c r="E527" s="61" t="s">
        <v>32</v>
      </c>
      <c r="F527" s="45">
        <v>400000</v>
      </c>
      <c r="G527" s="45">
        <v>4800000</v>
      </c>
    </row>
    <row r="528" spans="1:7" x14ac:dyDescent="0.25">
      <c r="A528" s="21" t="s">
        <v>1049</v>
      </c>
      <c r="B528" s="40" t="s">
        <v>195</v>
      </c>
      <c r="C528" s="41" t="s">
        <v>1050</v>
      </c>
      <c r="D528" s="40">
        <v>12</v>
      </c>
      <c r="E528" s="60" t="s">
        <v>32</v>
      </c>
      <c r="F528" s="42">
        <v>300000</v>
      </c>
      <c r="G528" s="42">
        <v>3600000</v>
      </c>
    </row>
    <row r="529" spans="1:7" x14ac:dyDescent="0.25">
      <c r="A529" s="21" t="s">
        <v>1051</v>
      </c>
      <c r="B529" s="43" t="s">
        <v>195</v>
      </c>
      <c r="C529" s="44" t="s">
        <v>1052</v>
      </c>
      <c r="D529" s="47">
        <v>84</v>
      </c>
      <c r="E529" s="61" t="s">
        <v>32</v>
      </c>
      <c r="F529" s="45">
        <v>300000</v>
      </c>
      <c r="G529" s="45">
        <v>25200000</v>
      </c>
    </row>
    <row r="530" spans="1:7" x14ac:dyDescent="0.25">
      <c r="A530" s="21" t="s">
        <v>1053</v>
      </c>
      <c r="B530" s="37" t="s">
        <v>195</v>
      </c>
      <c r="C530" s="38" t="s">
        <v>1048</v>
      </c>
      <c r="D530" s="37">
        <v>12</v>
      </c>
      <c r="E530" s="59" t="s">
        <v>32</v>
      </c>
      <c r="F530" s="39">
        <v>400000</v>
      </c>
      <c r="G530" s="39">
        <v>4800000</v>
      </c>
    </row>
    <row r="531" spans="1:7" x14ac:dyDescent="0.25">
      <c r="A531" s="21" t="s">
        <v>1054</v>
      </c>
      <c r="B531" s="40" t="s">
        <v>195</v>
      </c>
      <c r="C531" s="41" t="s">
        <v>1050</v>
      </c>
      <c r="D531" s="40">
        <v>12</v>
      </c>
      <c r="E531" s="60" t="s">
        <v>32</v>
      </c>
      <c r="F531" s="42">
        <v>300000</v>
      </c>
      <c r="G531" s="42">
        <v>3600000</v>
      </c>
    </row>
    <row r="532" spans="1:7" x14ac:dyDescent="0.25">
      <c r="A532" s="21" t="s">
        <v>1055</v>
      </c>
      <c r="B532" s="43" t="s">
        <v>195</v>
      </c>
      <c r="C532" s="44" t="s">
        <v>1056</v>
      </c>
      <c r="D532" s="47">
        <v>60</v>
      </c>
      <c r="E532" s="61" t="s">
        <v>32</v>
      </c>
      <c r="F532" s="45">
        <v>300000</v>
      </c>
      <c r="G532" s="45">
        <v>18000000</v>
      </c>
    </row>
    <row r="533" spans="1:7" x14ac:dyDescent="0.25">
      <c r="A533" s="21" t="s">
        <v>195</v>
      </c>
      <c r="B533" s="40" t="s">
        <v>195</v>
      </c>
      <c r="C533" s="41" t="s">
        <v>1057</v>
      </c>
      <c r="D533" s="40">
        <v>0</v>
      </c>
      <c r="E533" s="60" t="s">
        <v>195</v>
      </c>
      <c r="F533" s="42">
        <v>0</v>
      </c>
      <c r="G533" s="42">
        <v>0</v>
      </c>
    </row>
    <row r="534" spans="1:7" x14ac:dyDescent="0.25">
      <c r="A534" s="21" t="s">
        <v>1058</v>
      </c>
      <c r="B534" s="43" t="s">
        <v>195</v>
      </c>
      <c r="C534" s="44" t="s">
        <v>1059</v>
      </c>
      <c r="D534" s="47">
        <v>40</v>
      </c>
      <c r="E534" s="61" t="s">
        <v>1060</v>
      </c>
      <c r="F534" s="45">
        <v>400000</v>
      </c>
      <c r="G534" s="45">
        <v>16000000</v>
      </c>
    </row>
    <row r="535" spans="1:7" x14ac:dyDescent="0.25">
      <c r="A535" s="7" t="s">
        <v>1061</v>
      </c>
      <c r="B535" s="25" t="s">
        <v>195</v>
      </c>
      <c r="C535" s="26" t="s">
        <v>1062</v>
      </c>
      <c r="D535" s="25">
        <v>120</v>
      </c>
      <c r="E535" s="55" t="s">
        <v>1060</v>
      </c>
      <c r="F535" s="27">
        <v>300000</v>
      </c>
      <c r="G535" s="27">
        <v>36000000</v>
      </c>
    </row>
    <row r="536" spans="1:7" x14ac:dyDescent="0.25">
      <c r="A536" s="7" t="s">
        <v>1063</v>
      </c>
      <c r="B536" s="28" t="s">
        <v>195</v>
      </c>
      <c r="C536" s="29" t="s">
        <v>1064</v>
      </c>
      <c r="D536" s="46">
        <v>20</v>
      </c>
      <c r="E536" s="56" t="s">
        <v>1060</v>
      </c>
      <c r="F536" s="30">
        <v>180000</v>
      </c>
      <c r="G536" s="30">
        <v>3600000</v>
      </c>
    </row>
    <row r="537" spans="1:7" x14ac:dyDescent="0.25">
      <c r="A537" s="7" t="s">
        <v>195</v>
      </c>
      <c r="B537" s="31" t="s">
        <v>195</v>
      </c>
      <c r="C537" s="32" t="s">
        <v>1065</v>
      </c>
      <c r="D537" s="31">
        <v>0</v>
      </c>
      <c r="E537" s="57" t="s">
        <v>195</v>
      </c>
      <c r="F537" s="33">
        <v>0</v>
      </c>
      <c r="G537" s="33">
        <v>0</v>
      </c>
    </row>
    <row r="538" spans="1:7" ht="26.4" x14ac:dyDescent="0.25">
      <c r="A538" s="7" t="s">
        <v>1066</v>
      </c>
      <c r="B538" s="40" t="s">
        <v>515</v>
      </c>
      <c r="C538" s="41" t="s">
        <v>642</v>
      </c>
      <c r="D538" s="40"/>
      <c r="E538" s="60"/>
      <c r="F538" s="42"/>
      <c r="G538" s="42">
        <v>30000000</v>
      </c>
    </row>
    <row r="539" spans="1:7" ht="26.4" x14ac:dyDescent="0.25">
      <c r="A539" s="7" t="s">
        <v>1067</v>
      </c>
      <c r="B539" s="37" t="s">
        <v>195</v>
      </c>
      <c r="C539" s="38" t="s">
        <v>891</v>
      </c>
      <c r="D539" s="37">
        <v>12</v>
      </c>
      <c r="E539" s="59" t="s">
        <v>106</v>
      </c>
      <c r="F539" s="39">
        <v>300000</v>
      </c>
      <c r="G539" s="39">
        <v>3600000</v>
      </c>
    </row>
    <row r="540" spans="1:7" ht="26.4" x14ac:dyDescent="0.25">
      <c r="A540" s="7" t="s">
        <v>1068</v>
      </c>
      <c r="B540" s="40" t="s">
        <v>195</v>
      </c>
      <c r="C540" s="41" t="s">
        <v>1069</v>
      </c>
      <c r="D540" s="40">
        <v>132</v>
      </c>
      <c r="E540" s="60" t="s">
        <v>106</v>
      </c>
      <c r="F540" s="42">
        <v>200000</v>
      </c>
      <c r="G540" s="42">
        <v>26400000</v>
      </c>
    </row>
    <row r="541" spans="1:7" x14ac:dyDescent="0.25">
      <c r="A541" s="7" t="s">
        <v>1070</v>
      </c>
      <c r="B541" s="40" t="s">
        <v>537</v>
      </c>
      <c r="C541" s="41" t="s">
        <v>64</v>
      </c>
      <c r="D541" s="71"/>
      <c r="E541" s="60"/>
      <c r="F541" s="42"/>
      <c r="G541" s="42">
        <v>24000000</v>
      </c>
    </row>
    <row r="542" spans="1:7" x14ac:dyDescent="0.25">
      <c r="A542" s="7" t="s">
        <v>1071</v>
      </c>
      <c r="B542" s="43" t="s">
        <v>195</v>
      </c>
      <c r="C542" s="44" t="s">
        <v>619</v>
      </c>
      <c r="D542" s="47">
        <v>12</v>
      </c>
      <c r="E542" s="61" t="s">
        <v>106</v>
      </c>
      <c r="F542" s="45">
        <v>1000000</v>
      </c>
      <c r="G542" s="45">
        <v>12000000</v>
      </c>
    </row>
    <row r="543" spans="1:7" x14ac:dyDescent="0.25">
      <c r="A543" s="7" t="s">
        <v>1072</v>
      </c>
      <c r="B543" s="40" t="s">
        <v>195</v>
      </c>
      <c r="C543" s="41" t="s">
        <v>620</v>
      </c>
      <c r="D543" s="40">
        <v>12</v>
      </c>
      <c r="E543" s="60" t="s">
        <v>106</v>
      </c>
      <c r="F543" s="42">
        <v>1000000</v>
      </c>
      <c r="G543" s="42">
        <v>12000000</v>
      </c>
    </row>
    <row r="544" spans="1:7" x14ac:dyDescent="0.25">
      <c r="A544" s="7" t="s">
        <v>1073</v>
      </c>
      <c r="B544" s="40" t="s">
        <v>516</v>
      </c>
      <c r="C544" s="41" t="s">
        <v>11</v>
      </c>
      <c r="D544" s="71"/>
      <c r="E544" s="60"/>
      <c r="F544" s="42"/>
      <c r="G544" s="42">
        <v>33400000</v>
      </c>
    </row>
    <row r="545" spans="1:7" x14ac:dyDescent="0.25">
      <c r="A545" s="7" t="s">
        <v>1074</v>
      </c>
      <c r="B545" s="43" t="s">
        <v>195</v>
      </c>
      <c r="C545" s="44" t="s">
        <v>1075</v>
      </c>
      <c r="D545" s="47">
        <v>10</v>
      </c>
      <c r="E545" s="61" t="s">
        <v>54</v>
      </c>
      <c r="F545" s="45">
        <v>1400000</v>
      </c>
      <c r="G545" s="45">
        <v>14000000</v>
      </c>
    </row>
    <row r="546" spans="1:7" x14ac:dyDescent="0.25">
      <c r="A546" s="7" t="s">
        <v>1076</v>
      </c>
      <c r="B546" s="40" t="s">
        <v>195</v>
      </c>
      <c r="C546" s="41" t="s">
        <v>1077</v>
      </c>
      <c r="D546" s="40">
        <v>5</v>
      </c>
      <c r="E546" s="60" t="s">
        <v>54</v>
      </c>
      <c r="F546" s="42">
        <v>1000000</v>
      </c>
      <c r="G546" s="42">
        <v>5000000</v>
      </c>
    </row>
    <row r="547" spans="1:7" x14ac:dyDescent="0.25">
      <c r="A547" s="7" t="s">
        <v>1078</v>
      </c>
      <c r="B547" s="43" t="s">
        <v>195</v>
      </c>
      <c r="C547" s="44" t="s">
        <v>1079</v>
      </c>
      <c r="D547" s="47">
        <v>16</v>
      </c>
      <c r="E547" s="61" t="s">
        <v>54</v>
      </c>
      <c r="F547" s="45">
        <v>900000</v>
      </c>
      <c r="G547" s="45">
        <v>14400000</v>
      </c>
    </row>
    <row r="548" spans="1:7" x14ac:dyDescent="0.25">
      <c r="A548" s="7" t="s">
        <v>1080</v>
      </c>
      <c r="B548" s="40" t="s">
        <v>517</v>
      </c>
      <c r="C548" s="41" t="s">
        <v>22</v>
      </c>
      <c r="D548" s="71"/>
      <c r="E548" s="60"/>
      <c r="F548" s="42"/>
      <c r="G548" s="42">
        <v>413400000</v>
      </c>
    </row>
    <row r="549" spans="1:7" ht="26.4" x14ac:dyDescent="0.25">
      <c r="A549" s="7" t="s">
        <v>1081</v>
      </c>
      <c r="B549" s="40" t="s">
        <v>195</v>
      </c>
      <c r="C549" s="41" t="s">
        <v>1082</v>
      </c>
      <c r="D549" s="40">
        <v>2</v>
      </c>
      <c r="E549" s="60" t="s">
        <v>106</v>
      </c>
      <c r="F549" s="42">
        <v>86700000</v>
      </c>
      <c r="G549" s="42">
        <v>173400000</v>
      </c>
    </row>
    <row r="550" spans="1:7" ht="26.4" x14ac:dyDescent="0.25">
      <c r="A550" s="7" t="s">
        <v>1083</v>
      </c>
      <c r="B550" s="43" t="s">
        <v>195</v>
      </c>
      <c r="C550" s="44" t="s">
        <v>1084</v>
      </c>
      <c r="D550" s="47">
        <v>12</v>
      </c>
      <c r="E550" s="61" t="s">
        <v>106</v>
      </c>
      <c r="F550" s="45">
        <v>20000000</v>
      </c>
      <c r="G550" s="45">
        <v>240000000</v>
      </c>
    </row>
    <row r="551" spans="1:7" x14ac:dyDescent="0.25">
      <c r="A551" s="7" t="s">
        <v>1085</v>
      </c>
      <c r="B551" s="40" t="s">
        <v>513</v>
      </c>
      <c r="C551" s="41" t="s">
        <v>19</v>
      </c>
      <c r="D551" s="40"/>
      <c r="E551" s="60"/>
      <c r="F551" s="42"/>
      <c r="G551" s="42">
        <v>520000000</v>
      </c>
    </row>
    <row r="552" spans="1:7" x14ac:dyDescent="0.25">
      <c r="A552" s="7" t="s">
        <v>1086</v>
      </c>
      <c r="B552" s="43" t="s">
        <v>195</v>
      </c>
      <c r="C552" s="44" t="s">
        <v>1087</v>
      </c>
      <c r="D552" s="47">
        <v>80</v>
      </c>
      <c r="E552" s="61" t="s">
        <v>25</v>
      </c>
      <c r="F552" s="45">
        <v>5000000</v>
      </c>
      <c r="G552" s="45">
        <v>400000000</v>
      </c>
    </row>
    <row r="553" spans="1:7" ht="26.4" x14ac:dyDescent="0.25">
      <c r="A553" s="7" t="s">
        <v>1088</v>
      </c>
      <c r="B553" s="43" t="s">
        <v>195</v>
      </c>
      <c r="C553" s="44" t="s">
        <v>1089</v>
      </c>
      <c r="D553" s="47">
        <v>24</v>
      </c>
      <c r="E553" s="61" t="s">
        <v>25</v>
      </c>
      <c r="F553" s="45">
        <v>5000000</v>
      </c>
      <c r="G553" s="45">
        <v>120000000</v>
      </c>
    </row>
    <row r="554" spans="1:7" x14ac:dyDescent="0.25">
      <c r="A554" s="7" t="s">
        <v>1090</v>
      </c>
      <c r="B554" s="40" t="s">
        <v>509</v>
      </c>
      <c r="C554" s="41" t="s">
        <v>14</v>
      </c>
      <c r="D554" s="40"/>
      <c r="E554" s="60"/>
      <c r="F554" s="42"/>
      <c r="G554" s="42">
        <v>163600000</v>
      </c>
    </row>
    <row r="555" spans="1:7" x14ac:dyDescent="0.25">
      <c r="A555" s="7" t="s">
        <v>1091</v>
      </c>
      <c r="B555" s="40" t="s">
        <v>195</v>
      </c>
      <c r="C555" s="41" t="s">
        <v>1092</v>
      </c>
      <c r="D555" s="40">
        <v>50</v>
      </c>
      <c r="E555" s="60" t="s">
        <v>25</v>
      </c>
      <c r="F555" s="42">
        <v>200000</v>
      </c>
      <c r="G555" s="42">
        <v>10000000</v>
      </c>
    </row>
    <row r="556" spans="1:7" x14ac:dyDescent="0.25">
      <c r="A556" s="7" t="s">
        <v>1093</v>
      </c>
      <c r="B556" s="43" t="s">
        <v>195</v>
      </c>
      <c r="C556" s="44" t="s">
        <v>1094</v>
      </c>
      <c r="D556" s="47">
        <v>249</v>
      </c>
      <c r="E556" s="61" t="s">
        <v>25</v>
      </c>
      <c r="F556" s="45">
        <v>250000</v>
      </c>
      <c r="G556" s="45">
        <v>62250000</v>
      </c>
    </row>
    <row r="557" spans="1:7" x14ac:dyDescent="0.25">
      <c r="A557" s="7" t="s">
        <v>1095</v>
      </c>
      <c r="B557" s="43" t="s">
        <v>195</v>
      </c>
      <c r="C557" s="44" t="s">
        <v>1096</v>
      </c>
      <c r="D557" s="47">
        <v>100</v>
      </c>
      <c r="E557" s="61" t="s">
        <v>25</v>
      </c>
      <c r="F557" s="45">
        <v>300000</v>
      </c>
      <c r="G557" s="45">
        <v>30000000</v>
      </c>
    </row>
    <row r="558" spans="1:7" x14ac:dyDescent="0.25">
      <c r="A558" s="7" t="s">
        <v>1097</v>
      </c>
      <c r="B558" s="40" t="s">
        <v>195</v>
      </c>
      <c r="C558" s="41" t="s">
        <v>1098</v>
      </c>
      <c r="D558" s="40">
        <v>269</v>
      </c>
      <c r="E558" s="60" t="s">
        <v>73</v>
      </c>
      <c r="F558" s="42">
        <v>150000</v>
      </c>
      <c r="G558" s="42">
        <v>40350000</v>
      </c>
    </row>
    <row r="559" spans="1:7" x14ac:dyDescent="0.25">
      <c r="A559" s="7" t="s">
        <v>1099</v>
      </c>
      <c r="B559" s="43" t="s">
        <v>195</v>
      </c>
      <c r="C559" s="44" t="s">
        <v>1100</v>
      </c>
      <c r="D559" s="47">
        <v>100</v>
      </c>
      <c r="E559" s="61" t="s">
        <v>73</v>
      </c>
      <c r="F559" s="45">
        <v>210000</v>
      </c>
      <c r="G559" s="45">
        <v>21000000</v>
      </c>
    </row>
    <row r="560" spans="1:7" ht="26.4" x14ac:dyDescent="0.25">
      <c r="A560" s="7" t="s">
        <v>1101</v>
      </c>
      <c r="B560" s="34" t="s">
        <v>1102</v>
      </c>
      <c r="C560" s="35" t="s">
        <v>1103</v>
      </c>
      <c r="D560" s="69"/>
      <c r="E560" s="58"/>
      <c r="F560" s="36"/>
      <c r="G560" s="36">
        <v>100000000</v>
      </c>
    </row>
    <row r="561" spans="1:7" ht="26.4" x14ac:dyDescent="0.25">
      <c r="A561" s="7" t="s">
        <v>1104</v>
      </c>
      <c r="B561" s="37" t="s">
        <v>8</v>
      </c>
      <c r="C561" s="38" t="s">
        <v>1103</v>
      </c>
      <c r="D561" s="37"/>
      <c r="E561" s="59"/>
      <c r="F561" s="39"/>
      <c r="G561" s="39">
        <v>100000000</v>
      </c>
    </row>
    <row r="562" spans="1:7" x14ac:dyDescent="0.25">
      <c r="A562" s="7" t="s">
        <v>1105</v>
      </c>
      <c r="B562" s="40" t="s">
        <v>537</v>
      </c>
      <c r="C562" s="41" t="s">
        <v>64</v>
      </c>
      <c r="D562" s="71"/>
      <c r="E562" s="60"/>
      <c r="F562" s="42"/>
      <c r="G562" s="42">
        <v>4200000</v>
      </c>
    </row>
    <row r="563" spans="1:7" x14ac:dyDescent="0.25">
      <c r="A563" s="7" t="s">
        <v>1106</v>
      </c>
      <c r="B563" s="43" t="s">
        <v>195</v>
      </c>
      <c r="C563" s="44" t="s">
        <v>619</v>
      </c>
      <c r="D563" s="47">
        <v>2</v>
      </c>
      <c r="E563" s="61" t="s">
        <v>106</v>
      </c>
      <c r="F563" s="45">
        <v>1000000</v>
      </c>
      <c r="G563" s="45">
        <v>2000000</v>
      </c>
    </row>
    <row r="564" spans="1:7" x14ac:dyDescent="0.25">
      <c r="A564" s="7" t="s">
        <v>1107</v>
      </c>
      <c r="B564" s="40" t="s">
        <v>195</v>
      </c>
      <c r="C564" s="41" t="s">
        <v>620</v>
      </c>
      <c r="D564" s="40">
        <v>2</v>
      </c>
      <c r="E564" s="60" t="s">
        <v>106</v>
      </c>
      <c r="F564" s="42">
        <v>1000000</v>
      </c>
      <c r="G564" s="42">
        <v>2000000</v>
      </c>
    </row>
    <row r="565" spans="1:7" x14ac:dyDescent="0.25">
      <c r="A565" s="7" t="s">
        <v>1108</v>
      </c>
      <c r="B565" s="43" t="s">
        <v>195</v>
      </c>
      <c r="C565" s="44" t="s">
        <v>1109</v>
      </c>
      <c r="D565" s="47">
        <v>2</v>
      </c>
      <c r="E565" s="61" t="s">
        <v>106</v>
      </c>
      <c r="F565" s="45">
        <v>100000</v>
      </c>
      <c r="G565" s="45">
        <v>200000</v>
      </c>
    </row>
    <row r="566" spans="1:7" x14ac:dyDescent="0.25">
      <c r="A566" s="7" t="s">
        <v>1110</v>
      </c>
      <c r="B566" s="40" t="s">
        <v>516</v>
      </c>
      <c r="C566" s="41" t="s">
        <v>11</v>
      </c>
      <c r="D566" s="40"/>
      <c r="E566" s="60"/>
      <c r="F566" s="42"/>
      <c r="G566" s="42">
        <v>20800000</v>
      </c>
    </row>
    <row r="567" spans="1:7" x14ac:dyDescent="0.25">
      <c r="A567" s="7" t="s">
        <v>1111</v>
      </c>
      <c r="B567" s="43" t="s">
        <v>195</v>
      </c>
      <c r="C567" s="44" t="s">
        <v>1112</v>
      </c>
      <c r="D567" s="47">
        <v>12</v>
      </c>
      <c r="E567" s="61" t="s">
        <v>25</v>
      </c>
      <c r="F567" s="45">
        <v>1400000</v>
      </c>
      <c r="G567" s="45">
        <v>16800000</v>
      </c>
    </row>
    <row r="568" spans="1:7" x14ac:dyDescent="0.25">
      <c r="A568" s="7" t="s">
        <v>1113</v>
      </c>
      <c r="B568" s="43" t="s">
        <v>195</v>
      </c>
      <c r="C568" s="44" t="s">
        <v>1114</v>
      </c>
      <c r="D568" s="47">
        <v>4</v>
      </c>
      <c r="E568" s="61" t="s">
        <v>25</v>
      </c>
      <c r="F568" s="45">
        <v>1000000</v>
      </c>
      <c r="G568" s="45">
        <v>4000000</v>
      </c>
    </row>
    <row r="569" spans="1:7" x14ac:dyDescent="0.25">
      <c r="A569" s="7" t="s">
        <v>1115</v>
      </c>
      <c r="B569" s="40" t="s">
        <v>513</v>
      </c>
      <c r="C569" s="41" t="s">
        <v>19</v>
      </c>
      <c r="D569" s="40"/>
      <c r="E569" s="60"/>
      <c r="F569" s="42"/>
      <c r="G569" s="42">
        <v>75000000</v>
      </c>
    </row>
    <row r="570" spans="1:7" x14ac:dyDescent="0.25">
      <c r="A570" s="7" t="s">
        <v>1116</v>
      </c>
      <c r="B570" s="40" t="s">
        <v>195</v>
      </c>
      <c r="C570" s="41" t="s">
        <v>1117</v>
      </c>
      <c r="D570" s="40">
        <v>15</v>
      </c>
      <c r="E570" s="60" t="s">
        <v>25</v>
      </c>
      <c r="F570" s="42">
        <v>5000000</v>
      </c>
      <c r="G570" s="42">
        <v>75000000</v>
      </c>
    </row>
    <row r="571" spans="1:7" ht="26.4" x14ac:dyDescent="0.25">
      <c r="A571" s="7" t="s">
        <v>1118</v>
      </c>
      <c r="B571" s="34" t="s">
        <v>1119</v>
      </c>
      <c r="C571" s="35" t="s">
        <v>1120</v>
      </c>
      <c r="D571" s="69"/>
      <c r="E571" s="58"/>
      <c r="F571" s="36"/>
      <c r="G571" s="36">
        <v>200000000</v>
      </c>
    </row>
    <row r="572" spans="1:7" ht="26.4" x14ac:dyDescent="0.25">
      <c r="A572" s="7" t="s">
        <v>1121</v>
      </c>
      <c r="B572" s="37" t="s">
        <v>8</v>
      </c>
      <c r="C572" s="38" t="s">
        <v>1122</v>
      </c>
      <c r="D572" s="37"/>
      <c r="E572" s="59"/>
      <c r="F572" s="39"/>
      <c r="G572" s="39">
        <v>200000000</v>
      </c>
    </row>
    <row r="573" spans="1:7" x14ac:dyDescent="0.25">
      <c r="A573" s="7" t="s">
        <v>1123</v>
      </c>
      <c r="B573" s="40" t="s">
        <v>537</v>
      </c>
      <c r="C573" s="41" t="s">
        <v>64</v>
      </c>
      <c r="D573" s="71"/>
      <c r="E573" s="60"/>
      <c r="F573" s="42"/>
      <c r="G573" s="42">
        <v>20000000</v>
      </c>
    </row>
    <row r="574" spans="1:7" x14ac:dyDescent="0.25">
      <c r="A574" s="7" t="s">
        <v>1124</v>
      </c>
      <c r="B574" s="37" t="s">
        <v>195</v>
      </c>
      <c r="C574" s="38" t="s">
        <v>619</v>
      </c>
      <c r="D574" s="37">
        <v>10</v>
      </c>
      <c r="E574" s="59" t="s">
        <v>106</v>
      </c>
      <c r="F574" s="39">
        <v>1000000</v>
      </c>
      <c r="G574" s="39">
        <v>10000000</v>
      </c>
    </row>
    <row r="575" spans="1:7" x14ac:dyDescent="0.25">
      <c r="A575" s="7" t="s">
        <v>1125</v>
      </c>
      <c r="B575" s="40" t="s">
        <v>195</v>
      </c>
      <c r="C575" s="41" t="s">
        <v>859</v>
      </c>
      <c r="D575" s="40">
        <v>10</v>
      </c>
      <c r="E575" s="60" t="s">
        <v>106</v>
      </c>
      <c r="F575" s="42">
        <v>1000000</v>
      </c>
      <c r="G575" s="42">
        <v>10000000</v>
      </c>
    </row>
    <row r="576" spans="1:7" x14ac:dyDescent="0.25">
      <c r="A576" s="7" t="s">
        <v>1126</v>
      </c>
      <c r="B576" s="40" t="s">
        <v>513</v>
      </c>
      <c r="C576" s="41" t="s">
        <v>19</v>
      </c>
      <c r="D576" s="71"/>
      <c r="E576" s="60"/>
      <c r="F576" s="42"/>
      <c r="G576" s="42">
        <v>180000000</v>
      </c>
    </row>
    <row r="577" spans="1:7" ht="26.4" x14ac:dyDescent="0.25">
      <c r="A577" s="7" t="s">
        <v>1127</v>
      </c>
      <c r="B577" s="31" t="s">
        <v>195</v>
      </c>
      <c r="C577" s="32" t="s">
        <v>1128</v>
      </c>
      <c r="D577" s="31">
        <v>26</v>
      </c>
      <c r="E577" s="57" t="s">
        <v>25</v>
      </c>
      <c r="F577" s="33">
        <v>5000000</v>
      </c>
      <c r="G577" s="33">
        <v>130000000</v>
      </c>
    </row>
    <row r="578" spans="1:7" ht="26.4" x14ac:dyDescent="0.25">
      <c r="A578" s="7" t="s">
        <v>1129</v>
      </c>
      <c r="B578" s="34" t="s">
        <v>195</v>
      </c>
      <c r="C578" s="35" t="s">
        <v>1130</v>
      </c>
      <c r="D578" s="34">
        <v>10</v>
      </c>
      <c r="E578" s="58" t="s">
        <v>25</v>
      </c>
      <c r="F578" s="36">
        <v>5000000</v>
      </c>
      <c r="G578" s="36">
        <v>50000000</v>
      </c>
    </row>
    <row r="579" spans="1:7" ht="26.4" x14ac:dyDescent="0.25">
      <c r="A579" s="7" t="s">
        <v>1131</v>
      </c>
      <c r="B579" s="34" t="s">
        <v>1132</v>
      </c>
      <c r="C579" s="35" t="s">
        <v>1133</v>
      </c>
      <c r="D579" s="34"/>
      <c r="E579" s="58"/>
      <c r="F579" s="36"/>
      <c r="G579" s="36">
        <v>3000000000</v>
      </c>
    </row>
    <row r="580" spans="1:7" ht="26.4" x14ac:dyDescent="0.25">
      <c r="A580" s="7" t="s">
        <v>1134</v>
      </c>
      <c r="B580" s="37" t="s">
        <v>8</v>
      </c>
      <c r="C580" s="38" t="s">
        <v>72</v>
      </c>
      <c r="D580" s="37"/>
      <c r="E580" s="59"/>
      <c r="F580" s="39"/>
      <c r="G580" s="39">
        <v>2463500000</v>
      </c>
    </row>
    <row r="581" spans="1:7" x14ac:dyDescent="0.25">
      <c r="A581" s="7" t="s">
        <v>1135</v>
      </c>
      <c r="B581" s="40" t="s">
        <v>503</v>
      </c>
      <c r="C581" s="41" t="s">
        <v>7</v>
      </c>
      <c r="D581" s="71"/>
      <c r="E581" s="60"/>
      <c r="F581" s="42"/>
      <c r="G581" s="42">
        <v>35700000</v>
      </c>
    </row>
    <row r="582" spans="1:7" ht="26.4" x14ac:dyDescent="0.25">
      <c r="A582" s="7" t="s">
        <v>1136</v>
      </c>
      <c r="B582" s="43" t="s">
        <v>195</v>
      </c>
      <c r="C582" s="44" t="s">
        <v>1137</v>
      </c>
      <c r="D582" s="47">
        <v>200</v>
      </c>
      <c r="E582" s="61" t="s">
        <v>853</v>
      </c>
      <c r="F582" s="45">
        <v>178000</v>
      </c>
      <c r="G582" s="45">
        <v>35700000</v>
      </c>
    </row>
    <row r="583" spans="1:7" x14ac:dyDescent="0.25">
      <c r="A583" s="7" t="s">
        <v>1138</v>
      </c>
      <c r="B583" s="40" t="s">
        <v>537</v>
      </c>
      <c r="C583" s="41" t="s">
        <v>64</v>
      </c>
      <c r="D583" s="40"/>
      <c r="E583" s="60"/>
      <c r="F583" s="42"/>
      <c r="G583" s="42">
        <v>24000000</v>
      </c>
    </row>
    <row r="584" spans="1:7" x14ac:dyDescent="0.25">
      <c r="A584" s="7" t="s">
        <v>1139</v>
      </c>
      <c r="B584" s="43" t="s">
        <v>195</v>
      </c>
      <c r="C584" s="44" t="s">
        <v>619</v>
      </c>
      <c r="D584" s="47">
        <v>12</v>
      </c>
      <c r="E584" s="61" t="s">
        <v>106</v>
      </c>
      <c r="F584" s="45">
        <v>1000000</v>
      </c>
      <c r="G584" s="45">
        <v>12000000</v>
      </c>
    </row>
    <row r="585" spans="1:7" x14ac:dyDescent="0.25">
      <c r="A585" s="7" t="s">
        <v>1140</v>
      </c>
      <c r="B585" s="43" t="s">
        <v>195</v>
      </c>
      <c r="C585" s="44" t="s">
        <v>620</v>
      </c>
      <c r="D585" s="47">
        <v>12</v>
      </c>
      <c r="E585" s="61" t="s">
        <v>106</v>
      </c>
      <c r="F585" s="45">
        <v>1000000</v>
      </c>
      <c r="G585" s="45">
        <v>12000000</v>
      </c>
    </row>
    <row r="586" spans="1:7" x14ac:dyDescent="0.25">
      <c r="A586" s="7" t="s">
        <v>1141</v>
      </c>
      <c r="B586" s="40" t="s">
        <v>513</v>
      </c>
      <c r="C586" s="41" t="s">
        <v>19</v>
      </c>
      <c r="D586" s="40"/>
      <c r="E586" s="60"/>
      <c r="F586" s="42"/>
      <c r="G586" s="42">
        <v>349800000</v>
      </c>
    </row>
    <row r="587" spans="1:7" ht="26.4" x14ac:dyDescent="0.25">
      <c r="A587" s="7" t="s">
        <v>1142</v>
      </c>
      <c r="B587" s="43" t="s">
        <v>195</v>
      </c>
      <c r="C587" s="44" t="s">
        <v>1143</v>
      </c>
      <c r="D587" s="47">
        <v>60</v>
      </c>
      <c r="E587" s="61" t="s">
        <v>25</v>
      </c>
      <c r="F587" s="45">
        <v>5830000</v>
      </c>
      <c r="G587" s="45">
        <v>349800000</v>
      </c>
    </row>
    <row r="588" spans="1:7" x14ac:dyDescent="0.25">
      <c r="A588" s="7" t="s">
        <v>1144</v>
      </c>
      <c r="B588" s="78" t="s">
        <v>507</v>
      </c>
      <c r="C588" s="79" t="s">
        <v>13</v>
      </c>
      <c r="D588" s="78"/>
      <c r="E588" s="80"/>
      <c r="F588" s="81"/>
      <c r="G588" s="81">
        <v>54000000</v>
      </c>
    </row>
    <row r="589" spans="1:7" s="63" customFormat="1" ht="14.25" customHeight="1" x14ac:dyDescent="0.3">
      <c r="A589" s="62" t="s">
        <v>1145</v>
      </c>
      <c r="B589" s="82" t="s">
        <v>195</v>
      </c>
      <c r="C589" s="82" t="s">
        <v>1146</v>
      </c>
      <c r="D589" s="82">
        <v>150</v>
      </c>
      <c r="E589" s="83" t="s">
        <v>73</v>
      </c>
      <c r="F589" s="82">
        <v>210000</v>
      </c>
      <c r="G589" s="82">
        <v>31500000</v>
      </c>
    </row>
    <row r="590" spans="1:7" s="63" customFormat="1" ht="14.25" customHeight="1" x14ac:dyDescent="0.3">
      <c r="A590" s="62" t="s">
        <v>1147</v>
      </c>
      <c r="B590" s="82" t="s">
        <v>195</v>
      </c>
      <c r="C590" s="82" t="s">
        <v>1148</v>
      </c>
      <c r="D590" s="82">
        <v>150</v>
      </c>
      <c r="E590" s="84" t="s">
        <v>25</v>
      </c>
      <c r="F590" s="82">
        <v>150000</v>
      </c>
      <c r="G590" s="82">
        <v>22500000</v>
      </c>
    </row>
    <row r="591" spans="1:7" s="63" customFormat="1" ht="14.25" customHeight="1" x14ac:dyDescent="0.3">
      <c r="A591" s="62" t="s">
        <v>1149</v>
      </c>
      <c r="B591" s="85" t="s">
        <v>1150</v>
      </c>
      <c r="C591" s="85" t="s">
        <v>1151</v>
      </c>
      <c r="D591" s="85"/>
      <c r="E591" s="85"/>
      <c r="F591" s="85"/>
      <c r="G591" s="85">
        <v>2000000000</v>
      </c>
    </row>
    <row r="592" spans="1:7" s="63" customFormat="1" ht="14.25" customHeight="1" x14ac:dyDescent="0.3">
      <c r="A592" s="64" t="s">
        <v>1152</v>
      </c>
      <c r="B592" s="86" t="s">
        <v>195</v>
      </c>
      <c r="C592" s="86" t="s">
        <v>1153</v>
      </c>
      <c r="D592" s="86">
        <v>32</v>
      </c>
      <c r="E592" s="86" t="s">
        <v>25</v>
      </c>
      <c r="F592" s="86">
        <v>62500000</v>
      </c>
      <c r="G592" s="86">
        <v>2000000000</v>
      </c>
    </row>
    <row r="593" spans="1:7" s="63" customFormat="1" ht="14.25" customHeight="1" x14ac:dyDescent="0.3">
      <c r="A593" s="64" t="s">
        <v>1154</v>
      </c>
      <c r="B593" s="87" t="s">
        <v>511</v>
      </c>
      <c r="C593" s="87" t="s">
        <v>74</v>
      </c>
      <c r="D593" s="87"/>
      <c r="E593" s="88"/>
      <c r="F593" s="87"/>
      <c r="G593" s="87">
        <v>536500000</v>
      </c>
    </row>
    <row r="594" spans="1:7" x14ac:dyDescent="0.25">
      <c r="A594" s="7" t="s">
        <v>1155</v>
      </c>
      <c r="B594" s="78" t="s">
        <v>503</v>
      </c>
      <c r="C594" s="79" t="s">
        <v>7</v>
      </c>
      <c r="D594" s="78"/>
      <c r="E594" s="80"/>
      <c r="F594" s="81"/>
      <c r="G594" s="81">
        <v>35700000</v>
      </c>
    </row>
    <row r="595" spans="1:7" ht="27.6" x14ac:dyDescent="0.25">
      <c r="A595" s="7" t="s">
        <v>1156</v>
      </c>
      <c r="B595" s="89" t="s">
        <v>195</v>
      </c>
      <c r="C595" s="90" t="s">
        <v>1157</v>
      </c>
      <c r="D595" s="89">
        <v>200</v>
      </c>
      <c r="E595" s="91" t="s">
        <v>180</v>
      </c>
      <c r="F595" s="92">
        <v>178000</v>
      </c>
      <c r="G595" s="92">
        <v>35700000</v>
      </c>
    </row>
    <row r="596" spans="1:7" ht="27.6" x14ac:dyDescent="0.25">
      <c r="A596" s="7" t="s">
        <v>1158</v>
      </c>
      <c r="B596" s="78" t="s">
        <v>515</v>
      </c>
      <c r="C596" s="79" t="s">
        <v>642</v>
      </c>
      <c r="D596" s="78"/>
      <c r="E596" s="80"/>
      <c r="F596" s="81"/>
      <c r="G596" s="81">
        <v>14400000</v>
      </c>
    </row>
    <row r="597" spans="1:7" x14ac:dyDescent="0.25">
      <c r="A597" s="7" t="s">
        <v>1159</v>
      </c>
      <c r="B597" s="89" t="s">
        <v>195</v>
      </c>
      <c r="C597" s="90" t="s">
        <v>1160</v>
      </c>
      <c r="D597" s="89">
        <v>72</v>
      </c>
      <c r="E597" s="91" t="s">
        <v>32</v>
      </c>
      <c r="F597" s="92">
        <v>200000</v>
      </c>
      <c r="G597" s="92">
        <v>14400000</v>
      </c>
    </row>
    <row r="598" spans="1:7" x14ac:dyDescent="0.25">
      <c r="A598" s="7" t="s">
        <v>1161</v>
      </c>
      <c r="B598" s="78" t="s">
        <v>537</v>
      </c>
      <c r="C598" s="79" t="s">
        <v>64</v>
      </c>
      <c r="D598" s="78"/>
      <c r="E598" s="80"/>
      <c r="F598" s="81"/>
      <c r="G598" s="81">
        <v>24000000</v>
      </c>
    </row>
    <row r="599" spans="1:7" x14ac:dyDescent="0.25">
      <c r="A599" s="7" t="s">
        <v>1162</v>
      </c>
      <c r="B599" s="89" t="s">
        <v>195</v>
      </c>
      <c r="C599" s="90" t="s">
        <v>619</v>
      </c>
      <c r="D599" s="89">
        <v>12</v>
      </c>
      <c r="E599" s="91" t="s">
        <v>106</v>
      </c>
      <c r="F599" s="92">
        <v>1000000</v>
      </c>
      <c r="G599" s="92">
        <v>12000000</v>
      </c>
    </row>
    <row r="600" spans="1:7" x14ac:dyDescent="0.25">
      <c r="A600" s="7" t="s">
        <v>1163</v>
      </c>
      <c r="B600" s="89" t="s">
        <v>195</v>
      </c>
      <c r="C600" s="90" t="s">
        <v>620</v>
      </c>
      <c r="D600" s="89">
        <v>12</v>
      </c>
      <c r="E600" s="91" t="s">
        <v>106</v>
      </c>
      <c r="F600" s="92">
        <v>1000000</v>
      </c>
      <c r="G600" s="92">
        <v>12000000</v>
      </c>
    </row>
    <row r="601" spans="1:7" x14ac:dyDescent="0.25">
      <c r="A601" s="7" t="s">
        <v>1164</v>
      </c>
      <c r="B601" s="78" t="s">
        <v>516</v>
      </c>
      <c r="C601" s="79" t="s">
        <v>11</v>
      </c>
      <c r="D601" s="78"/>
      <c r="E601" s="80"/>
      <c r="F601" s="81"/>
      <c r="G601" s="81">
        <v>37600000</v>
      </c>
    </row>
    <row r="602" spans="1:7" x14ac:dyDescent="0.25">
      <c r="A602" s="7" t="s">
        <v>1165</v>
      </c>
      <c r="B602" s="89" t="s">
        <v>195</v>
      </c>
      <c r="C602" s="90" t="s">
        <v>1166</v>
      </c>
      <c r="D602" s="89">
        <v>8</v>
      </c>
      <c r="E602" s="91" t="s">
        <v>54</v>
      </c>
      <c r="F602" s="92">
        <v>1400000</v>
      </c>
      <c r="G602" s="92">
        <v>11200000</v>
      </c>
    </row>
    <row r="603" spans="1:7" x14ac:dyDescent="0.25">
      <c r="A603" s="7" t="s">
        <v>1167</v>
      </c>
      <c r="B603" s="89" t="s">
        <v>195</v>
      </c>
      <c r="C603" s="90" t="s">
        <v>1168</v>
      </c>
      <c r="D603" s="89">
        <v>12</v>
      </c>
      <c r="E603" s="91" t="s">
        <v>54</v>
      </c>
      <c r="F603" s="92">
        <v>1000000</v>
      </c>
      <c r="G603" s="92">
        <v>12000000</v>
      </c>
    </row>
    <row r="604" spans="1:7" x14ac:dyDescent="0.25">
      <c r="A604" s="7" t="s">
        <v>1169</v>
      </c>
      <c r="B604" s="89" t="s">
        <v>195</v>
      </c>
      <c r="C604" s="90" t="s">
        <v>1170</v>
      </c>
      <c r="D604" s="89">
        <v>16</v>
      </c>
      <c r="E604" s="91" t="s">
        <v>54</v>
      </c>
      <c r="F604" s="92">
        <v>900000</v>
      </c>
      <c r="G604" s="92">
        <v>14400000</v>
      </c>
    </row>
    <row r="605" spans="1:7" x14ac:dyDescent="0.25">
      <c r="A605" s="7" t="s">
        <v>1171</v>
      </c>
      <c r="B605" s="78" t="s">
        <v>518</v>
      </c>
      <c r="C605" s="79" t="s">
        <v>24</v>
      </c>
      <c r="D605" s="78"/>
      <c r="E605" s="80"/>
      <c r="F605" s="81"/>
      <c r="G605" s="81">
        <v>21000000</v>
      </c>
    </row>
    <row r="606" spans="1:7" x14ac:dyDescent="0.25">
      <c r="A606" s="7" t="s">
        <v>1172</v>
      </c>
      <c r="B606" s="89" t="s">
        <v>195</v>
      </c>
      <c r="C606" s="90" t="s">
        <v>1173</v>
      </c>
      <c r="D606" s="89">
        <v>30</v>
      </c>
      <c r="E606" s="91" t="s">
        <v>25</v>
      </c>
      <c r="F606" s="92">
        <v>100000</v>
      </c>
      <c r="G606" s="92">
        <v>3000000</v>
      </c>
    </row>
    <row r="607" spans="1:7" x14ac:dyDescent="0.25">
      <c r="A607" s="7" t="s">
        <v>1174</v>
      </c>
      <c r="B607" s="89" t="s">
        <v>195</v>
      </c>
      <c r="C607" s="90" t="s">
        <v>1175</v>
      </c>
      <c r="D607" s="89">
        <v>30</v>
      </c>
      <c r="E607" s="91" t="s">
        <v>25</v>
      </c>
      <c r="F607" s="92">
        <v>600000</v>
      </c>
      <c r="G607" s="92">
        <v>18000000</v>
      </c>
    </row>
    <row r="608" spans="1:7" x14ac:dyDescent="0.25">
      <c r="A608" s="7" t="s">
        <v>1176</v>
      </c>
      <c r="B608" s="78" t="s">
        <v>513</v>
      </c>
      <c r="C608" s="79" t="s">
        <v>19</v>
      </c>
      <c r="D608" s="78"/>
      <c r="E608" s="80"/>
      <c r="F608" s="81"/>
      <c r="G608" s="81">
        <v>349800000</v>
      </c>
    </row>
    <row r="609" spans="1:7" ht="27.6" x14ac:dyDescent="0.25">
      <c r="A609" s="7" t="s">
        <v>1177</v>
      </c>
      <c r="B609" s="89" t="s">
        <v>195</v>
      </c>
      <c r="C609" s="90" t="s">
        <v>1178</v>
      </c>
      <c r="D609" s="89">
        <v>60</v>
      </c>
      <c r="E609" s="91" t="s">
        <v>25</v>
      </c>
      <c r="F609" s="92">
        <v>5830000</v>
      </c>
      <c r="G609" s="92">
        <v>349800000</v>
      </c>
    </row>
    <row r="610" spans="1:7" x14ac:dyDescent="0.25">
      <c r="A610" s="7" t="s">
        <v>1179</v>
      </c>
      <c r="B610" s="78" t="s">
        <v>507</v>
      </c>
      <c r="C610" s="79" t="s">
        <v>13</v>
      </c>
      <c r="D610" s="78"/>
      <c r="E610" s="80"/>
      <c r="F610" s="81"/>
      <c r="G610" s="81">
        <v>54000000</v>
      </c>
    </row>
    <row r="611" spans="1:7" ht="27.6" x14ac:dyDescent="0.25">
      <c r="A611" s="7" t="s">
        <v>1180</v>
      </c>
      <c r="B611" s="89" t="s">
        <v>195</v>
      </c>
      <c r="C611" s="90" t="s">
        <v>1181</v>
      </c>
      <c r="D611" s="89">
        <v>150</v>
      </c>
      <c r="E611" s="91" t="s">
        <v>73</v>
      </c>
      <c r="F611" s="92">
        <v>210000</v>
      </c>
      <c r="G611" s="92">
        <v>31500000</v>
      </c>
    </row>
    <row r="612" spans="1:7" x14ac:dyDescent="0.25">
      <c r="A612" s="7" t="s">
        <v>1182</v>
      </c>
      <c r="B612" s="89" t="s">
        <v>195</v>
      </c>
      <c r="C612" s="90" t="s">
        <v>1183</v>
      </c>
      <c r="D612" s="89">
        <v>150</v>
      </c>
      <c r="E612" s="91" t="s">
        <v>25</v>
      </c>
      <c r="F612" s="92">
        <v>150000</v>
      </c>
      <c r="G612" s="92">
        <v>22500000</v>
      </c>
    </row>
    <row r="613" spans="1:7" ht="27.6" x14ac:dyDescent="0.25">
      <c r="A613" s="7" t="s">
        <v>1184</v>
      </c>
      <c r="B613" s="93" t="s">
        <v>1185</v>
      </c>
      <c r="C613" s="94" t="s">
        <v>1186</v>
      </c>
      <c r="D613" s="93"/>
      <c r="E613" s="95"/>
      <c r="F613" s="96"/>
      <c r="G613" s="96">
        <v>153780000</v>
      </c>
    </row>
    <row r="614" spans="1:7" x14ac:dyDescent="0.25">
      <c r="A614" s="7" t="s">
        <v>1187</v>
      </c>
      <c r="B614" s="97" t="s">
        <v>8</v>
      </c>
      <c r="C614" s="98" t="s">
        <v>75</v>
      </c>
      <c r="D614" s="97"/>
      <c r="E614" s="99"/>
      <c r="F614" s="100"/>
      <c r="G614" s="100">
        <v>153780000</v>
      </c>
    </row>
    <row r="615" spans="1:7" x14ac:dyDescent="0.25">
      <c r="A615" s="7" t="s">
        <v>1188</v>
      </c>
      <c r="B615" s="78" t="s">
        <v>503</v>
      </c>
      <c r="C615" s="79" t="s">
        <v>7</v>
      </c>
      <c r="D615" s="78"/>
      <c r="E615" s="80"/>
      <c r="F615" s="81"/>
      <c r="G615" s="81">
        <v>14400000</v>
      </c>
    </row>
    <row r="616" spans="1:7" x14ac:dyDescent="0.25">
      <c r="A616" s="7" t="s">
        <v>1189</v>
      </c>
      <c r="B616" s="89" t="s">
        <v>195</v>
      </c>
      <c r="C616" s="90" t="s">
        <v>617</v>
      </c>
      <c r="D616" s="89">
        <v>6</v>
      </c>
      <c r="E616" s="91" t="s">
        <v>52</v>
      </c>
      <c r="F616" s="92">
        <v>1000000</v>
      </c>
      <c r="G616" s="92">
        <v>6000000</v>
      </c>
    </row>
    <row r="617" spans="1:7" x14ac:dyDescent="0.25">
      <c r="A617" s="7" t="s">
        <v>1190</v>
      </c>
      <c r="B617" s="89" t="s">
        <v>195</v>
      </c>
      <c r="C617" s="90" t="s">
        <v>782</v>
      </c>
      <c r="D617" s="89">
        <v>120</v>
      </c>
      <c r="E617" s="91" t="s">
        <v>25</v>
      </c>
      <c r="F617" s="92">
        <v>70000</v>
      </c>
      <c r="G617" s="92">
        <v>8400000</v>
      </c>
    </row>
    <row r="618" spans="1:7" x14ac:dyDescent="0.25">
      <c r="A618" s="7" t="s">
        <v>1191</v>
      </c>
      <c r="B618" s="78" t="s">
        <v>533</v>
      </c>
      <c r="C618" s="79" t="s">
        <v>53</v>
      </c>
      <c r="D618" s="78"/>
      <c r="E618" s="80"/>
      <c r="F618" s="81"/>
      <c r="G618" s="81">
        <v>8000000</v>
      </c>
    </row>
    <row r="619" spans="1:7" x14ac:dyDescent="0.25">
      <c r="A619" s="7" t="s">
        <v>1192</v>
      </c>
      <c r="B619" s="89" t="s">
        <v>195</v>
      </c>
      <c r="C619" s="90" t="s">
        <v>1193</v>
      </c>
      <c r="D619" s="89">
        <v>1</v>
      </c>
      <c r="E619" s="91" t="s">
        <v>106</v>
      </c>
      <c r="F619" s="92">
        <v>8000000</v>
      </c>
      <c r="G619" s="92">
        <v>8000000</v>
      </c>
    </row>
    <row r="620" spans="1:7" x14ac:dyDescent="0.25">
      <c r="A620" s="7" t="s">
        <v>1194</v>
      </c>
      <c r="B620" s="78" t="s">
        <v>537</v>
      </c>
      <c r="C620" s="79" t="s">
        <v>64</v>
      </c>
      <c r="D620" s="78"/>
      <c r="E620" s="80"/>
      <c r="F620" s="81"/>
      <c r="G620" s="81">
        <v>12000000</v>
      </c>
    </row>
    <row r="621" spans="1:7" x14ac:dyDescent="0.25">
      <c r="A621" s="7" t="s">
        <v>1195</v>
      </c>
      <c r="B621" s="89" t="s">
        <v>195</v>
      </c>
      <c r="C621" s="90" t="s">
        <v>619</v>
      </c>
      <c r="D621" s="89">
        <v>6</v>
      </c>
      <c r="E621" s="91" t="s">
        <v>52</v>
      </c>
      <c r="F621" s="92">
        <v>1000000</v>
      </c>
      <c r="G621" s="92">
        <v>6000000</v>
      </c>
    </row>
    <row r="622" spans="1:7" x14ac:dyDescent="0.25">
      <c r="A622" s="7" t="s">
        <v>1196</v>
      </c>
      <c r="B622" s="89" t="s">
        <v>195</v>
      </c>
      <c r="C622" s="90" t="s">
        <v>1197</v>
      </c>
      <c r="D622" s="89">
        <v>6</v>
      </c>
      <c r="E622" s="91" t="s">
        <v>52</v>
      </c>
      <c r="F622" s="92">
        <v>1000000</v>
      </c>
      <c r="G622" s="92">
        <v>6000000</v>
      </c>
    </row>
    <row r="623" spans="1:7" x14ac:dyDescent="0.25">
      <c r="A623" s="7" t="s">
        <v>1198</v>
      </c>
      <c r="B623" s="78" t="s">
        <v>516</v>
      </c>
      <c r="C623" s="79" t="s">
        <v>11</v>
      </c>
      <c r="D623" s="78"/>
      <c r="E623" s="80"/>
      <c r="F623" s="81"/>
      <c r="G623" s="81">
        <v>4000000</v>
      </c>
    </row>
    <row r="624" spans="1:7" x14ac:dyDescent="0.25">
      <c r="A624" s="7" t="s">
        <v>1199</v>
      </c>
      <c r="B624" s="89" t="s">
        <v>195</v>
      </c>
      <c r="C624" s="90" t="s">
        <v>774</v>
      </c>
      <c r="D624" s="89">
        <v>4</v>
      </c>
      <c r="E624" s="91" t="s">
        <v>54</v>
      </c>
      <c r="F624" s="92">
        <v>1000000</v>
      </c>
      <c r="G624" s="92">
        <v>4000000</v>
      </c>
    </row>
    <row r="625" spans="1:7" x14ac:dyDescent="0.25">
      <c r="A625" s="7" t="s">
        <v>1200</v>
      </c>
      <c r="B625" s="78" t="s">
        <v>513</v>
      </c>
      <c r="C625" s="79" t="s">
        <v>19</v>
      </c>
      <c r="D625" s="78"/>
      <c r="E625" s="80"/>
      <c r="F625" s="81"/>
      <c r="G625" s="81">
        <v>115380000</v>
      </c>
    </row>
    <row r="626" spans="1:7" x14ac:dyDescent="0.25">
      <c r="A626" s="7" t="s">
        <v>1201</v>
      </c>
      <c r="B626" s="89" t="s">
        <v>195</v>
      </c>
      <c r="C626" s="90" t="s">
        <v>1202</v>
      </c>
      <c r="D626" s="89">
        <v>20</v>
      </c>
      <c r="E626" s="91" t="s">
        <v>25</v>
      </c>
      <c r="F626" s="92">
        <v>5769000</v>
      </c>
      <c r="G626" s="92">
        <v>115380000</v>
      </c>
    </row>
    <row r="627" spans="1:7" x14ac:dyDescent="0.25">
      <c r="A627" s="7" t="s">
        <v>1203</v>
      </c>
      <c r="B627" s="89" t="s">
        <v>1204</v>
      </c>
      <c r="C627" s="90" t="s">
        <v>1205</v>
      </c>
      <c r="D627" s="89"/>
      <c r="E627" s="91"/>
      <c r="F627" s="92"/>
      <c r="G627" s="92">
        <v>600000000</v>
      </c>
    </row>
    <row r="628" spans="1:7" x14ac:dyDescent="0.25">
      <c r="A628" s="7" t="s">
        <v>1206</v>
      </c>
      <c r="B628" s="93" t="s">
        <v>826</v>
      </c>
      <c r="C628" s="94" t="s">
        <v>1205</v>
      </c>
      <c r="D628" s="93"/>
      <c r="E628" s="95"/>
      <c r="F628" s="96"/>
      <c r="G628" s="96">
        <v>300000000</v>
      </c>
    </row>
    <row r="629" spans="1:7" x14ac:dyDescent="0.25">
      <c r="A629" s="7" t="s">
        <v>1207</v>
      </c>
      <c r="B629" s="97" t="s">
        <v>8</v>
      </c>
      <c r="C629" s="98" t="s">
        <v>159</v>
      </c>
      <c r="D629" s="97"/>
      <c r="E629" s="99"/>
      <c r="F629" s="100"/>
      <c r="G629" s="100">
        <v>154800000</v>
      </c>
    </row>
    <row r="630" spans="1:7" x14ac:dyDescent="0.25">
      <c r="A630" s="7" t="s">
        <v>1208</v>
      </c>
      <c r="B630" s="78" t="s">
        <v>503</v>
      </c>
      <c r="C630" s="79" t="s">
        <v>7</v>
      </c>
      <c r="D630" s="78"/>
      <c r="E630" s="80"/>
      <c r="F630" s="81"/>
      <c r="G630" s="81">
        <v>10000000</v>
      </c>
    </row>
    <row r="631" spans="1:7" ht="27.6" x14ac:dyDescent="0.25">
      <c r="A631" s="7" t="s">
        <v>1209</v>
      </c>
      <c r="B631" s="89" t="s">
        <v>195</v>
      </c>
      <c r="C631" s="90" t="s">
        <v>1210</v>
      </c>
      <c r="D631" s="89">
        <v>10</v>
      </c>
      <c r="E631" s="91" t="s">
        <v>52</v>
      </c>
      <c r="F631" s="92">
        <v>1000000</v>
      </c>
      <c r="G631" s="92">
        <v>10000000</v>
      </c>
    </row>
    <row r="632" spans="1:7" ht="27.6" x14ac:dyDescent="0.25">
      <c r="A632" s="7" t="s">
        <v>1211</v>
      </c>
      <c r="B632" s="78" t="s">
        <v>515</v>
      </c>
      <c r="C632" s="79" t="s">
        <v>642</v>
      </c>
      <c r="D632" s="78"/>
      <c r="E632" s="80"/>
      <c r="F632" s="81"/>
      <c r="G632" s="81">
        <v>3600000</v>
      </c>
    </row>
    <row r="633" spans="1:7" ht="27.6" x14ac:dyDescent="0.25">
      <c r="A633" s="7" t="s">
        <v>1212</v>
      </c>
      <c r="B633" s="89" t="s">
        <v>195</v>
      </c>
      <c r="C633" s="90" t="s">
        <v>891</v>
      </c>
      <c r="D633" s="89">
        <v>12</v>
      </c>
      <c r="E633" s="91" t="s">
        <v>52</v>
      </c>
      <c r="F633" s="92">
        <v>300000</v>
      </c>
      <c r="G633" s="92">
        <v>3600000</v>
      </c>
    </row>
    <row r="634" spans="1:7" x14ac:dyDescent="0.25">
      <c r="A634" s="7" t="s">
        <v>1213</v>
      </c>
      <c r="B634" s="78" t="s">
        <v>537</v>
      </c>
      <c r="C634" s="79" t="s">
        <v>64</v>
      </c>
      <c r="D634" s="78"/>
      <c r="E634" s="80"/>
      <c r="F634" s="81"/>
      <c r="G634" s="81">
        <v>20000000</v>
      </c>
    </row>
    <row r="635" spans="1:7" x14ac:dyDescent="0.25">
      <c r="A635" s="7" t="s">
        <v>1214</v>
      </c>
      <c r="B635" s="89" t="s">
        <v>195</v>
      </c>
      <c r="C635" s="90" t="s">
        <v>619</v>
      </c>
      <c r="D635" s="89">
        <v>10</v>
      </c>
      <c r="E635" s="91" t="s">
        <v>52</v>
      </c>
      <c r="F635" s="92">
        <v>1000000</v>
      </c>
      <c r="G635" s="92">
        <v>10000000</v>
      </c>
    </row>
    <row r="636" spans="1:7" x14ac:dyDescent="0.25">
      <c r="A636" s="7" t="s">
        <v>1215</v>
      </c>
      <c r="B636" s="89" t="s">
        <v>195</v>
      </c>
      <c r="C636" s="90" t="s">
        <v>1197</v>
      </c>
      <c r="D636" s="89">
        <v>10</v>
      </c>
      <c r="E636" s="91" t="s">
        <v>52</v>
      </c>
      <c r="F636" s="92">
        <v>1000000</v>
      </c>
      <c r="G636" s="92">
        <v>10000000</v>
      </c>
    </row>
    <row r="637" spans="1:7" x14ac:dyDescent="0.25">
      <c r="A637" s="7" t="s">
        <v>1216</v>
      </c>
      <c r="B637" s="78" t="s">
        <v>516</v>
      </c>
      <c r="C637" s="79" t="s">
        <v>11</v>
      </c>
      <c r="D637" s="78"/>
      <c r="E637" s="80"/>
      <c r="F637" s="81"/>
      <c r="G637" s="81">
        <v>2000000</v>
      </c>
    </row>
    <row r="638" spans="1:7" x14ac:dyDescent="0.25">
      <c r="A638" s="7" t="s">
        <v>1217</v>
      </c>
      <c r="B638" s="89" t="s">
        <v>195</v>
      </c>
      <c r="C638" s="90" t="s">
        <v>1218</v>
      </c>
      <c r="D638" s="89">
        <v>2</v>
      </c>
      <c r="E638" s="91" t="s">
        <v>54</v>
      </c>
      <c r="F638" s="92">
        <v>1000000</v>
      </c>
      <c r="G638" s="92">
        <v>2000000</v>
      </c>
    </row>
    <row r="639" spans="1:7" x14ac:dyDescent="0.25">
      <c r="A639" s="7" t="s">
        <v>1219</v>
      </c>
      <c r="B639" s="78" t="s">
        <v>513</v>
      </c>
      <c r="C639" s="79" t="s">
        <v>19</v>
      </c>
      <c r="D639" s="78"/>
      <c r="E639" s="80"/>
      <c r="F639" s="81"/>
      <c r="G639" s="81">
        <v>113800000</v>
      </c>
    </row>
    <row r="640" spans="1:7" ht="41.4" x14ac:dyDescent="0.25">
      <c r="A640" s="7" t="s">
        <v>1220</v>
      </c>
      <c r="B640" s="89" t="s">
        <v>195</v>
      </c>
      <c r="C640" s="90" t="s">
        <v>1221</v>
      </c>
      <c r="D640" s="89">
        <v>20</v>
      </c>
      <c r="E640" s="91" t="s">
        <v>25</v>
      </c>
      <c r="F640" s="92">
        <v>5690000</v>
      </c>
      <c r="G640" s="92">
        <v>113800000</v>
      </c>
    </row>
    <row r="641" spans="1:7" x14ac:dyDescent="0.25">
      <c r="A641" s="7" t="s">
        <v>1222</v>
      </c>
      <c r="B641" s="78" t="s">
        <v>509</v>
      </c>
      <c r="C641" s="79" t="s">
        <v>14</v>
      </c>
      <c r="D641" s="78"/>
      <c r="E641" s="80"/>
      <c r="F641" s="81"/>
      <c r="G641" s="81">
        <v>5400000</v>
      </c>
    </row>
    <row r="642" spans="1:7" x14ac:dyDescent="0.25">
      <c r="A642" s="7" t="s">
        <v>1223</v>
      </c>
      <c r="B642" s="89" t="s">
        <v>195</v>
      </c>
      <c r="C642" s="90" t="s">
        <v>1224</v>
      </c>
      <c r="D642" s="89">
        <v>15</v>
      </c>
      <c r="E642" s="91" t="s">
        <v>25</v>
      </c>
      <c r="F642" s="92">
        <v>210000</v>
      </c>
      <c r="G642" s="92">
        <v>3150000</v>
      </c>
    </row>
    <row r="643" spans="1:7" x14ac:dyDescent="0.25">
      <c r="A643" s="7" t="s">
        <v>1225</v>
      </c>
      <c r="B643" s="89" t="s">
        <v>195</v>
      </c>
      <c r="C643" s="90" t="s">
        <v>630</v>
      </c>
      <c r="D643" s="89">
        <v>15</v>
      </c>
      <c r="E643" s="91" t="s">
        <v>73</v>
      </c>
      <c r="F643" s="92">
        <v>150000</v>
      </c>
      <c r="G643" s="92">
        <v>2250000</v>
      </c>
    </row>
    <row r="644" spans="1:7" x14ac:dyDescent="0.25">
      <c r="A644" s="7" t="s">
        <v>1226</v>
      </c>
      <c r="B644" s="97" t="s">
        <v>511</v>
      </c>
      <c r="C644" s="98" t="s">
        <v>160</v>
      </c>
      <c r="D644" s="97"/>
      <c r="E644" s="99"/>
      <c r="F644" s="100"/>
      <c r="G644" s="100">
        <v>145200000</v>
      </c>
    </row>
    <row r="645" spans="1:7" x14ac:dyDescent="0.25">
      <c r="A645" s="7" t="s">
        <v>1227</v>
      </c>
      <c r="B645" s="78" t="s">
        <v>503</v>
      </c>
      <c r="C645" s="79" t="s">
        <v>7</v>
      </c>
      <c r="D645" s="78"/>
      <c r="E645" s="80"/>
      <c r="F645" s="81"/>
      <c r="G645" s="81">
        <v>10000000</v>
      </c>
    </row>
    <row r="646" spans="1:7" ht="27.6" x14ac:dyDescent="0.25">
      <c r="A646" s="7" t="s">
        <v>1228</v>
      </c>
      <c r="B646" s="89" t="s">
        <v>195</v>
      </c>
      <c r="C646" s="90" t="s">
        <v>1229</v>
      </c>
      <c r="D646" s="89">
        <v>10</v>
      </c>
      <c r="E646" s="91" t="s">
        <v>52</v>
      </c>
      <c r="F646" s="92">
        <v>1000000</v>
      </c>
      <c r="G646" s="92">
        <v>10000000</v>
      </c>
    </row>
    <row r="647" spans="1:7" x14ac:dyDescent="0.25">
      <c r="A647" s="7" t="s">
        <v>1230</v>
      </c>
      <c r="B647" s="78" t="s">
        <v>537</v>
      </c>
      <c r="C647" s="79" t="s">
        <v>64</v>
      </c>
      <c r="D647" s="78"/>
      <c r="E647" s="80"/>
      <c r="F647" s="81"/>
      <c r="G647" s="81">
        <v>20000000</v>
      </c>
    </row>
    <row r="648" spans="1:7" x14ac:dyDescent="0.25">
      <c r="A648" s="7" t="s">
        <v>1231</v>
      </c>
      <c r="B648" s="89" t="s">
        <v>195</v>
      </c>
      <c r="C648" s="90" t="s">
        <v>619</v>
      </c>
      <c r="D648" s="89">
        <v>10</v>
      </c>
      <c r="E648" s="91" t="s">
        <v>52</v>
      </c>
      <c r="F648" s="92">
        <v>1000000</v>
      </c>
      <c r="G648" s="92">
        <v>10000000</v>
      </c>
    </row>
    <row r="649" spans="1:7" x14ac:dyDescent="0.25">
      <c r="A649" s="7" t="s">
        <v>1232</v>
      </c>
      <c r="B649" s="89" t="s">
        <v>195</v>
      </c>
      <c r="C649" s="90" t="s">
        <v>1197</v>
      </c>
      <c r="D649" s="89">
        <v>10</v>
      </c>
      <c r="E649" s="91" t="s">
        <v>52</v>
      </c>
      <c r="F649" s="92">
        <v>1000000</v>
      </c>
      <c r="G649" s="92">
        <v>10000000</v>
      </c>
    </row>
    <row r="650" spans="1:7" x14ac:dyDescent="0.25">
      <c r="A650" s="7" t="s">
        <v>1233</v>
      </c>
      <c r="B650" s="78" t="s">
        <v>516</v>
      </c>
      <c r="C650" s="79" t="s">
        <v>11</v>
      </c>
      <c r="D650" s="78"/>
      <c r="E650" s="80"/>
      <c r="F650" s="81"/>
      <c r="G650" s="81">
        <v>3800000</v>
      </c>
    </row>
    <row r="651" spans="1:7" x14ac:dyDescent="0.25">
      <c r="A651" s="7" t="s">
        <v>1234</v>
      </c>
      <c r="B651" s="89" t="s">
        <v>195</v>
      </c>
      <c r="C651" s="90" t="s">
        <v>1218</v>
      </c>
      <c r="D651" s="89">
        <v>2</v>
      </c>
      <c r="E651" s="91" t="s">
        <v>54</v>
      </c>
      <c r="F651" s="92">
        <v>1000000</v>
      </c>
      <c r="G651" s="92">
        <v>2000000</v>
      </c>
    </row>
    <row r="652" spans="1:7" x14ac:dyDescent="0.25">
      <c r="A652" s="7" t="s">
        <v>1235</v>
      </c>
      <c r="B652" s="89" t="s">
        <v>195</v>
      </c>
      <c r="C652" s="90" t="s">
        <v>1236</v>
      </c>
      <c r="D652" s="89">
        <v>2</v>
      </c>
      <c r="E652" s="91" t="s">
        <v>54</v>
      </c>
      <c r="F652" s="92">
        <v>900000</v>
      </c>
      <c r="G652" s="92">
        <v>1800000</v>
      </c>
    </row>
    <row r="653" spans="1:7" x14ac:dyDescent="0.25">
      <c r="A653" s="7" t="s">
        <v>1237</v>
      </c>
      <c r="B653" s="78" t="s">
        <v>513</v>
      </c>
      <c r="C653" s="79" t="s">
        <v>19</v>
      </c>
      <c r="D653" s="78"/>
      <c r="E653" s="80"/>
      <c r="F653" s="81"/>
      <c r="G653" s="81">
        <v>106000000</v>
      </c>
    </row>
    <row r="654" spans="1:7" ht="41.4" x14ac:dyDescent="0.25">
      <c r="A654" s="7" t="s">
        <v>1238</v>
      </c>
      <c r="B654" s="89" t="s">
        <v>195</v>
      </c>
      <c r="C654" s="90" t="s">
        <v>1239</v>
      </c>
      <c r="D654" s="89">
        <v>25</v>
      </c>
      <c r="E654" s="91" t="s">
        <v>25</v>
      </c>
      <c r="F654" s="92">
        <v>4240000</v>
      </c>
      <c r="G654" s="92">
        <v>106000000</v>
      </c>
    </row>
    <row r="655" spans="1:7" x14ac:dyDescent="0.25">
      <c r="A655" s="7" t="s">
        <v>1240</v>
      </c>
      <c r="B655" s="78" t="s">
        <v>509</v>
      </c>
      <c r="C655" s="79" t="s">
        <v>14</v>
      </c>
      <c r="D655" s="78"/>
      <c r="E655" s="80"/>
      <c r="F655" s="81"/>
      <c r="G655" s="81">
        <v>5400000</v>
      </c>
    </row>
    <row r="656" spans="1:7" x14ac:dyDescent="0.25">
      <c r="A656" s="7" t="s">
        <v>1241</v>
      </c>
      <c r="B656" s="89" t="s">
        <v>195</v>
      </c>
      <c r="C656" s="90" t="s">
        <v>1224</v>
      </c>
      <c r="D656" s="89">
        <v>15</v>
      </c>
      <c r="E656" s="91" t="s">
        <v>25</v>
      </c>
      <c r="F656" s="92">
        <v>210000</v>
      </c>
      <c r="G656" s="92">
        <v>3150000</v>
      </c>
    </row>
    <row r="657" spans="1:7" x14ac:dyDescent="0.25">
      <c r="A657" s="7" t="s">
        <v>1242</v>
      </c>
      <c r="B657" s="89" t="s">
        <v>195</v>
      </c>
      <c r="C657" s="90" t="s">
        <v>630</v>
      </c>
      <c r="D657" s="89">
        <v>15</v>
      </c>
      <c r="E657" s="91" t="s">
        <v>73</v>
      </c>
      <c r="F657" s="92">
        <v>150000</v>
      </c>
      <c r="G657" s="92">
        <v>2250000</v>
      </c>
    </row>
    <row r="658" spans="1:7" ht="41.4" x14ac:dyDescent="0.25">
      <c r="A658" s="7" t="s">
        <v>1243</v>
      </c>
      <c r="B658" s="93" t="s">
        <v>1102</v>
      </c>
      <c r="C658" s="94" t="s">
        <v>1244</v>
      </c>
      <c r="D658" s="93"/>
      <c r="E658" s="95"/>
      <c r="F658" s="96"/>
      <c r="G658" s="96">
        <v>300000000</v>
      </c>
    </row>
    <row r="659" spans="1:7" x14ac:dyDescent="0.25">
      <c r="A659" s="7" t="s">
        <v>1245</v>
      </c>
      <c r="B659" s="97" t="s">
        <v>8</v>
      </c>
      <c r="C659" s="98" t="s">
        <v>161</v>
      </c>
      <c r="D659" s="97"/>
      <c r="E659" s="99"/>
      <c r="F659" s="100"/>
      <c r="G659" s="100">
        <v>165000000</v>
      </c>
    </row>
    <row r="660" spans="1:7" x14ac:dyDescent="0.25">
      <c r="A660" s="7" t="s">
        <v>1246</v>
      </c>
      <c r="B660" s="78" t="s">
        <v>503</v>
      </c>
      <c r="C660" s="79" t="s">
        <v>7</v>
      </c>
      <c r="D660" s="78"/>
      <c r="E660" s="80"/>
      <c r="F660" s="81"/>
      <c r="G660" s="81">
        <v>10000000</v>
      </c>
    </row>
    <row r="661" spans="1:7" ht="27.6" x14ac:dyDescent="0.25">
      <c r="A661" s="7" t="s">
        <v>1247</v>
      </c>
      <c r="B661" s="89" t="s">
        <v>195</v>
      </c>
      <c r="C661" s="90" t="s">
        <v>1248</v>
      </c>
      <c r="D661" s="89">
        <v>10</v>
      </c>
      <c r="E661" s="91" t="s">
        <v>52</v>
      </c>
      <c r="F661" s="92">
        <v>1000000</v>
      </c>
      <c r="G661" s="92">
        <v>10000000</v>
      </c>
    </row>
    <row r="662" spans="1:7" x14ac:dyDescent="0.25">
      <c r="A662" s="7" t="s">
        <v>1249</v>
      </c>
      <c r="B662" s="78" t="s">
        <v>537</v>
      </c>
      <c r="C662" s="79" t="s">
        <v>64</v>
      </c>
      <c r="D662" s="78"/>
      <c r="E662" s="80"/>
      <c r="F662" s="81"/>
      <c r="G662" s="81">
        <v>20000000</v>
      </c>
    </row>
    <row r="663" spans="1:7" x14ac:dyDescent="0.25">
      <c r="A663" s="7" t="s">
        <v>1250</v>
      </c>
      <c r="B663" s="89" t="s">
        <v>195</v>
      </c>
      <c r="C663" s="90" t="s">
        <v>619</v>
      </c>
      <c r="D663" s="89">
        <v>10</v>
      </c>
      <c r="E663" s="91" t="s">
        <v>52</v>
      </c>
      <c r="F663" s="92">
        <v>1000000</v>
      </c>
      <c r="G663" s="92">
        <v>10000000</v>
      </c>
    </row>
    <row r="664" spans="1:7" x14ac:dyDescent="0.25">
      <c r="A664" s="7" t="s">
        <v>1251</v>
      </c>
      <c r="B664" s="89" t="s">
        <v>195</v>
      </c>
      <c r="C664" s="90" t="s">
        <v>1197</v>
      </c>
      <c r="D664" s="89">
        <v>10</v>
      </c>
      <c r="E664" s="91" t="s">
        <v>52</v>
      </c>
      <c r="F664" s="92">
        <v>1000000</v>
      </c>
      <c r="G664" s="92">
        <v>10000000</v>
      </c>
    </row>
    <row r="665" spans="1:7" x14ac:dyDescent="0.25">
      <c r="A665" s="7" t="s">
        <v>1252</v>
      </c>
      <c r="B665" s="78" t="s">
        <v>513</v>
      </c>
      <c r="C665" s="79" t="s">
        <v>19</v>
      </c>
      <c r="D665" s="78"/>
      <c r="E665" s="80"/>
      <c r="F665" s="81"/>
      <c r="G665" s="81">
        <v>135000000</v>
      </c>
    </row>
    <row r="666" spans="1:7" ht="41.4" x14ac:dyDescent="0.25">
      <c r="A666" s="7" t="s">
        <v>1253</v>
      </c>
      <c r="B666" s="89" t="s">
        <v>195</v>
      </c>
      <c r="C666" s="90" t="s">
        <v>1254</v>
      </c>
      <c r="D666" s="89">
        <v>27</v>
      </c>
      <c r="E666" s="91" t="s">
        <v>25</v>
      </c>
      <c r="F666" s="92">
        <v>5000000</v>
      </c>
      <c r="G666" s="92">
        <v>135000000</v>
      </c>
    </row>
    <row r="667" spans="1:7" ht="27.6" x14ac:dyDescent="0.25">
      <c r="A667" s="7" t="s">
        <v>1255</v>
      </c>
      <c r="B667" s="97" t="s">
        <v>511</v>
      </c>
      <c r="C667" s="98" t="s">
        <v>1256</v>
      </c>
      <c r="D667" s="97"/>
      <c r="E667" s="99"/>
      <c r="F667" s="100"/>
      <c r="G667" s="100">
        <v>135000000</v>
      </c>
    </row>
    <row r="668" spans="1:7" x14ac:dyDescent="0.25">
      <c r="A668" s="7" t="s">
        <v>1257</v>
      </c>
      <c r="B668" s="78" t="s">
        <v>503</v>
      </c>
      <c r="C668" s="79" t="s">
        <v>7</v>
      </c>
      <c r="D668" s="78"/>
      <c r="E668" s="80"/>
      <c r="F668" s="81"/>
      <c r="G668" s="81">
        <v>10000000</v>
      </c>
    </row>
    <row r="669" spans="1:7" ht="27.6" x14ac:dyDescent="0.25">
      <c r="A669" s="7" t="s">
        <v>1258</v>
      </c>
      <c r="B669" s="89" t="s">
        <v>195</v>
      </c>
      <c r="C669" s="90" t="s">
        <v>1259</v>
      </c>
      <c r="D669" s="89">
        <v>10</v>
      </c>
      <c r="E669" s="91" t="s">
        <v>52</v>
      </c>
      <c r="F669" s="92">
        <v>1000000</v>
      </c>
      <c r="G669" s="92">
        <v>10000000</v>
      </c>
    </row>
    <row r="670" spans="1:7" x14ac:dyDescent="0.25">
      <c r="A670" s="7" t="s">
        <v>1260</v>
      </c>
      <c r="B670" s="78" t="s">
        <v>537</v>
      </c>
      <c r="C670" s="79" t="s">
        <v>64</v>
      </c>
      <c r="D670" s="78"/>
      <c r="E670" s="80"/>
      <c r="F670" s="81"/>
      <c r="G670" s="81">
        <v>20000000</v>
      </c>
    </row>
    <row r="671" spans="1:7" x14ac:dyDescent="0.25">
      <c r="A671" s="7" t="s">
        <v>1261</v>
      </c>
      <c r="B671" s="89" t="s">
        <v>195</v>
      </c>
      <c r="C671" s="90" t="s">
        <v>619</v>
      </c>
      <c r="D671" s="89">
        <v>10</v>
      </c>
      <c r="E671" s="91" t="s">
        <v>52</v>
      </c>
      <c r="F671" s="92">
        <v>1000000</v>
      </c>
      <c r="G671" s="92">
        <v>10000000</v>
      </c>
    </row>
    <row r="672" spans="1:7" x14ac:dyDescent="0.25">
      <c r="A672" s="7" t="s">
        <v>1262</v>
      </c>
      <c r="B672" s="89" t="s">
        <v>195</v>
      </c>
      <c r="C672" s="90" t="s">
        <v>1197</v>
      </c>
      <c r="D672" s="89">
        <v>10</v>
      </c>
      <c r="E672" s="91" t="s">
        <v>52</v>
      </c>
      <c r="F672" s="92">
        <v>1000000</v>
      </c>
      <c r="G672" s="92">
        <v>10000000</v>
      </c>
    </row>
    <row r="673" spans="1:7" x14ac:dyDescent="0.25">
      <c r="A673" s="7" t="s">
        <v>1263</v>
      </c>
      <c r="B673" s="78" t="s">
        <v>513</v>
      </c>
      <c r="C673" s="79" t="s">
        <v>19</v>
      </c>
      <c r="D673" s="78"/>
      <c r="E673" s="80"/>
      <c r="F673" s="81"/>
      <c r="G673" s="81">
        <v>102600000</v>
      </c>
    </row>
    <row r="674" spans="1:7" ht="41.4" x14ac:dyDescent="0.25">
      <c r="A674" s="7" t="s">
        <v>1264</v>
      </c>
      <c r="B674" s="89" t="s">
        <v>195</v>
      </c>
      <c r="C674" s="90" t="s">
        <v>1265</v>
      </c>
      <c r="D674" s="89">
        <v>20</v>
      </c>
      <c r="E674" s="91" t="s">
        <v>25</v>
      </c>
      <c r="F674" s="92">
        <v>5130000</v>
      </c>
      <c r="G674" s="92">
        <v>102600000</v>
      </c>
    </row>
    <row r="675" spans="1:7" x14ac:dyDescent="0.25">
      <c r="A675" s="7" t="s">
        <v>1266</v>
      </c>
      <c r="B675" s="78" t="s">
        <v>509</v>
      </c>
      <c r="C675" s="79" t="s">
        <v>14</v>
      </c>
      <c r="D675" s="78"/>
      <c r="E675" s="80"/>
      <c r="F675" s="81"/>
      <c r="G675" s="81">
        <v>2400000</v>
      </c>
    </row>
    <row r="676" spans="1:7" x14ac:dyDescent="0.25">
      <c r="A676" s="7" t="s">
        <v>1267</v>
      </c>
      <c r="B676" s="89" t="s">
        <v>195</v>
      </c>
      <c r="C676" s="90" t="s">
        <v>630</v>
      </c>
      <c r="D676" s="89">
        <v>16</v>
      </c>
      <c r="E676" s="91" t="s">
        <v>73</v>
      </c>
      <c r="F676" s="92">
        <v>150000</v>
      </c>
      <c r="G676" s="92">
        <v>2400000</v>
      </c>
    </row>
    <row r="677" spans="1:7" x14ac:dyDescent="0.25">
      <c r="A677" s="7" t="s">
        <v>1268</v>
      </c>
      <c r="B677" s="89" t="s">
        <v>1269</v>
      </c>
      <c r="C677" s="90" t="s">
        <v>1270</v>
      </c>
      <c r="D677" s="89"/>
      <c r="E677" s="91"/>
      <c r="F677" s="92"/>
      <c r="G677" s="92">
        <v>5596502000</v>
      </c>
    </row>
    <row r="678" spans="1:7" ht="27.6" x14ac:dyDescent="0.25">
      <c r="A678" s="7" t="s">
        <v>1271</v>
      </c>
      <c r="B678" s="93" t="s">
        <v>826</v>
      </c>
      <c r="C678" s="94" t="s">
        <v>1272</v>
      </c>
      <c r="D678" s="93"/>
      <c r="E678" s="95"/>
      <c r="F678" s="96"/>
      <c r="G678" s="96">
        <v>2000000000</v>
      </c>
    </row>
    <row r="679" spans="1:7" ht="27.6" x14ac:dyDescent="0.25">
      <c r="A679" s="7" t="s">
        <v>1273</v>
      </c>
      <c r="B679" s="97" t="s">
        <v>8</v>
      </c>
      <c r="C679" s="98" t="s">
        <v>132</v>
      </c>
      <c r="D679" s="97"/>
      <c r="E679" s="99"/>
      <c r="F679" s="100"/>
      <c r="G679" s="100">
        <v>259650000</v>
      </c>
    </row>
    <row r="680" spans="1:7" x14ac:dyDescent="0.25">
      <c r="A680" s="7" t="s">
        <v>1274</v>
      </c>
      <c r="B680" s="78" t="s">
        <v>503</v>
      </c>
      <c r="C680" s="79" t="s">
        <v>7</v>
      </c>
      <c r="D680" s="78"/>
      <c r="E680" s="80"/>
      <c r="F680" s="81"/>
      <c r="G680" s="81">
        <v>12000000</v>
      </c>
    </row>
    <row r="681" spans="1:7" x14ac:dyDescent="0.25">
      <c r="A681" s="7" t="s">
        <v>1275</v>
      </c>
      <c r="B681" s="89" t="s">
        <v>195</v>
      </c>
      <c r="C681" s="90" t="s">
        <v>1276</v>
      </c>
      <c r="D681" s="89">
        <v>12</v>
      </c>
      <c r="E681" s="91" t="s">
        <v>52</v>
      </c>
      <c r="F681" s="92">
        <v>1000000</v>
      </c>
      <c r="G681" s="92">
        <v>12000000</v>
      </c>
    </row>
    <row r="682" spans="1:7" x14ac:dyDescent="0.25">
      <c r="A682" s="7" t="s">
        <v>1277</v>
      </c>
      <c r="B682" s="78" t="s">
        <v>537</v>
      </c>
      <c r="C682" s="79" t="s">
        <v>64</v>
      </c>
      <c r="D682" s="78"/>
      <c r="E682" s="80"/>
      <c r="F682" s="81"/>
      <c r="G682" s="81">
        <v>24000000</v>
      </c>
    </row>
    <row r="683" spans="1:7" x14ac:dyDescent="0.25">
      <c r="A683" s="7" t="s">
        <v>1278</v>
      </c>
      <c r="B683" s="89" t="s">
        <v>195</v>
      </c>
      <c r="C683" s="90" t="s">
        <v>619</v>
      </c>
      <c r="D683" s="89">
        <v>12</v>
      </c>
      <c r="E683" s="91" t="s">
        <v>52</v>
      </c>
      <c r="F683" s="92">
        <v>1000000</v>
      </c>
      <c r="G683" s="92">
        <v>12000000</v>
      </c>
    </row>
    <row r="684" spans="1:7" x14ac:dyDescent="0.25">
      <c r="A684" s="7" t="s">
        <v>1279</v>
      </c>
      <c r="B684" s="89" t="s">
        <v>195</v>
      </c>
      <c r="C684" s="90" t="s">
        <v>859</v>
      </c>
      <c r="D684" s="89">
        <v>12</v>
      </c>
      <c r="E684" s="91" t="s">
        <v>52</v>
      </c>
      <c r="F684" s="92">
        <v>1000000</v>
      </c>
      <c r="G684" s="92">
        <v>12000000</v>
      </c>
    </row>
    <row r="685" spans="1:7" x14ac:dyDescent="0.25">
      <c r="A685" s="7" t="s">
        <v>1280</v>
      </c>
      <c r="B685" s="78" t="s">
        <v>513</v>
      </c>
      <c r="C685" s="79" t="s">
        <v>19</v>
      </c>
      <c r="D685" s="78"/>
      <c r="E685" s="80"/>
      <c r="F685" s="81"/>
      <c r="G685" s="81">
        <v>210000000</v>
      </c>
    </row>
    <row r="686" spans="1:7" ht="27.6" x14ac:dyDescent="0.25">
      <c r="A686" s="7" t="s">
        <v>1281</v>
      </c>
      <c r="B686" s="89" t="s">
        <v>195</v>
      </c>
      <c r="C686" s="90" t="s">
        <v>1282</v>
      </c>
      <c r="D686" s="89">
        <v>30</v>
      </c>
      <c r="E686" s="91" t="s">
        <v>25</v>
      </c>
      <c r="F686" s="92">
        <v>5000000</v>
      </c>
      <c r="G686" s="92">
        <v>150000000</v>
      </c>
    </row>
    <row r="687" spans="1:7" ht="27.6" x14ac:dyDescent="0.25">
      <c r="A687" s="7" t="s">
        <v>1283</v>
      </c>
      <c r="B687" s="89" t="s">
        <v>195</v>
      </c>
      <c r="C687" s="90" t="s">
        <v>1284</v>
      </c>
      <c r="D687" s="89">
        <v>12</v>
      </c>
      <c r="E687" s="91" t="s">
        <v>25</v>
      </c>
      <c r="F687" s="92">
        <v>5000000</v>
      </c>
      <c r="G687" s="92">
        <v>60000000</v>
      </c>
    </row>
    <row r="688" spans="1:7" x14ac:dyDescent="0.25">
      <c r="A688" s="7" t="s">
        <v>1285</v>
      </c>
      <c r="B688" s="78" t="s">
        <v>509</v>
      </c>
      <c r="C688" s="79" t="s">
        <v>14</v>
      </c>
      <c r="D688" s="78"/>
      <c r="E688" s="80"/>
      <c r="F688" s="81"/>
      <c r="G688" s="81">
        <v>13650000</v>
      </c>
    </row>
    <row r="689" spans="1:7" x14ac:dyDescent="0.25">
      <c r="A689" s="7" t="s">
        <v>1286</v>
      </c>
      <c r="B689" s="89" t="s">
        <v>195</v>
      </c>
      <c r="C689" s="90" t="s">
        <v>630</v>
      </c>
      <c r="D689" s="89">
        <v>91</v>
      </c>
      <c r="E689" s="91" t="s">
        <v>73</v>
      </c>
      <c r="F689" s="92">
        <v>150000</v>
      </c>
      <c r="G689" s="92">
        <v>13650000</v>
      </c>
    </row>
    <row r="690" spans="1:7" ht="41.4" x14ac:dyDescent="0.25">
      <c r="A690" s="7" t="s">
        <v>1287</v>
      </c>
      <c r="B690" s="97" t="s">
        <v>511</v>
      </c>
      <c r="C690" s="98" t="s">
        <v>134</v>
      </c>
      <c r="D690" s="97"/>
      <c r="E690" s="99"/>
      <c r="F690" s="100"/>
      <c r="G690" s="100">
        <v>1740350000</v>
      </c>
    </row>
    <row r="691" spans="1:7" ht="27.6" x14ac:dyDescent="0.25">
      <c r="A691" s="7" t="s">
        <v>1288</v>
      </c>
      <c r="B691" s="78" t="s">
        <v>515</v>
      </c>
      <c r="C691" s="79" t="s">
        <v>642</v>
      </c>
      <c r="D691" s="78"/>
      <c r="E691" s="80"/>
      <c r="F691" s="81"/>
      <c r="G691" s="81">
        <v>86400000</v>
      </c>
    </row>
    <row r="692" spans="1:7" ht="27.6" x14ac:dyDescent="0.25">
      <c r="A692" s="7" t="s">
        <v>1289</v>
      </c>
      <c r="B692" s="89" t="s">
        <v>195</v>
      </c>
      <c r="C692" s="90" t="s">
        <v>1290</v>
      </c>
      <c r="D692" s="89">
        <v>24</v>
      </c>
      <c r="E692" s="91" t="s">
        <v>32</v>
      </c>
      <c r="F692" s="92">
        <v>400000</v>
      </c>
      <c r="G692" s="92">
        <v>9600000</v>
      </c>
    </row>
    <row r="693" spans="1:7" x14ac:dyDescent="0.25">
      <c r="A693" s="7" t="s">
        <v>1291</v>
      </c>
      <c r="B693" s="89" t="s">
        <v>195</v>
      </c>
      <c r="C693" s="90" t="s">
        <v>1292</v>
      </c>
      <c r="D693" s="89">
        <v>384</v>
      </c>
      <c r="E693" s="91" t="s">
        <v>32</v>
      </c>
      <c r="F693" s="92">
        <v>200000</v>
      </c>
      <c r="G693" s="92">
        <v>76800000</v>
      </c>
    </row>
    <row r="694" spans="1:7" x14ac:dyDescent="0.25">
      <c r="A694" s="7" t="s">
        <v>1293</v>
      </c>
      <c r="B694" s="78" t="s">
        <v>537</v>
      </c>
      <c r="C694" s="79" t="s">
        <v>64</v>
      </c>
      <c r="D694" s="78"/>
      <c r="E694" s="80"/>
      <c r="F694" s="81"/>
      <c r="G694" s="81">
        <v>24000000</v>
      </c>
    </row>
    <row r="695" spans="1:7" x14ac:dyDescent="0.25">
      <c r="A695" s="7" t="s">
        <v>1294</v>
      </c>
      <c r="B695" s="89" t="s">
        <v>195</v>
      </c>
      <c r="C695" s="90" t="s">
        <v>619</v>
      </c>
      <c r="D695" s="89">
        <v>12</v>
      </c>
      <c r="E695" s="91" t="s">
        <v>52</v>
      </c>
      <c r="F695" s="92">
        <v>1000000</v>
      </c>
      <c r="G695" s="92">
        <v>12000000</v>
      </c>
    </row>
    <row r="696" spans="1:7" x14ac:dyDescent="0.25">
      <c r="A696" s="7" t="s">
        <v>1295</v>
      </c>
      <c r="B696" s="89" t="s">
        <v>195</v>
      </c>
      <c r="C696" s="90" t="s">
        <v>859</v>
      </c>
      <c r="D696" s="89">
        <v>12</v>
      </c>
      <c r="E696" s="91" t="s">
        <v>52</v>
      </c>
      <c r="F696" s="92">
        <v>1000000</v>
      </c>
      <c r="G696" s="92">
        <v>12000000</v>
      </c>
    </row>
    <row r="697" spans="1:7" x14ac:dyDescent="0.25">
      <c r="A697" s="7" t="s">
        <v>1296</v>
      </c>
      <c r="B697" s="78" t="s">
        <v>516</v>
      </c>
      <c r="C697" s="79" t="s">
        <v>11</v>
      </c>
      <c r="D697" s="78"/>
      <c r="E697" s="80"/>
      <c r="F697" s="81"/>
      <c r="G697" s="81">
        <v>43200000</v>
      </c>
    </row>
    <row r="698" spans="1:7" x14ac:dyDescent="0.25">
      <c r="A698" s="7" t="s">
        <v>1297</v>
      </c>
      <c r="B698" s="89" t="s">
        <v>195</v>
      </c>
      <c r="C698" s="90" t="s">
        <v>1298</v>
      </c>
      <c r="D698" s="89">
        <v>24</v>
      </c>
      <c r="E698" s="91" t="s">
        <v>54</v>
      </c>
      <c r="F698" s="92">
        <v>1200000</v>
      </c>
      <c r="G698" s="92">
        <v>28800000</v>
      </c>
    </row>
    <row r="699" spans="1:7" ht="27.6" x14ac:dyDescent="0.25">
      <c r="A699" s="7" t="s">
        <v>1299</v>
      </c>
      <c r="B699" s="89" t="s">
        <v>195</v>
      </c>
      <c r="C699" s="90" t="s">
        <v>1300</v>
      </c>
      <c r="D699" s="89">
        <v>16</v>
      </c>
      <c r="E699" s="91" t="s">
        <v>54</v>
      </c>
      <c r="F699" s="92">
        <v>900000</v>
      </c>
      <c r="G699" s="92">
        <v>14400000</v>
      </c>
    </row>
    <row r="700" spans="1:7" x14ac:dyDescent="0.25">
      <c r="A700" s="7" t="s">
        <v>1301</v>
      </c>
      <c r="B700" s="78" t="s">
        <v>518</v>
      </c>
      <c r="C700" s="79" t="s">
        <v>24</v>
      </c>
      <c r="D700" s="78"/>
      <c r="E700" s="80"/>
      <c r="F700" s="81"/>
      <c r="G700" s="81">
        <v>150000000</v>
      </c>
    </row>
    <row r="701" spans="1:7" x14ac:dyDescent="0.25">
      <c r="A701" s="7" t="s">
        <v>1302</v>
      </c>
      <c r="B701" s="89" t="s">
        <v>195</v>
      </c>
      <c r="C701" s="90" t="s">
        <v>1303</v>
      </c>
      <c r="D701" s="89">
        <v>500</v>
      </c>
      <c r="E701" s="91" t="s">
        <v>25</v>
      </c>
      <c r="F701" s="92">
        <v>300000</v>
      </c>
      <c r="G701" s="92">
        <v>150000000</v>
      </c>
    </row>
    <row r="702" spans="1:7" x14ac:dyDescent="0.25">
      <c r="A702" s="7" t="s">
        <v>1304</v>
      </c>
      <c r="B702" s="78" t="s">
        <v>513</v>
      </c>
      <c r="C702" s="79" t="s">
        <v>19</v>
      </c>
      <c r="D702" s="78"/>
      <c r="E702" s="80"/>
      <c r="F702" s="81"/>
      <c r="G702" s="81">
        <v>1415000000</v>
      </c>
    </row>
    <row r="703" spans="1:7" ht="41.4" x14ac:dyDescent="0.25">
      <c r="A703" s="7" t="s">
        <v>1305</v>
      </c>
      <c r="B703" s="89" t="s">
        <v>195</v>
      </c>
      <c r="C703" s="90" t="s">
        <v>1306</v>
      </c>
      <c r="D703" s="89">
        <v>15</v>
      </c>
      <c r="E703" s="91" t="s">
        <v>25</v>
      </c>
      <c r="F703" s="92">
        <v>5000000</v>
      </c>
      <c r="G703" s="92">
        <v>75000000</v>
      </c>
    </row>
    <row r="704" spans="1:7" x14ac:dyDescent="0.25">
      <c r="A704" s="7" t="s">
        <v>1307</v>
      </c>
      <c r="B704" s="89" t="s">
        <v>195</v>
      </c>
      <c r="C704" s="90" t="s">
        <v>1308</v>
      </c>
      <c r="D704" s="89">
        <v>74</v>
      </c>
      <c r="E704" s="91" t="s">
        <v>25</v>
      </c>
      <c r="F704" s="92">
        <v>10000000</v>
      </c>
      <c r="G704" s="92">
        <v>740000000</v>
      </c>
    </row>
    <row r="705" spans="1:7" x14ac:dyDescent="0.25">
      <c r="A705" s="7" t="s">
        <v>1309</v>
      </c>
      <c r="B705" s="89" t="s">
        <v>195</v>
      </c>
      <c r="C705" s="90" t="s">
        <v>1310</v>
      </c>
      <c r="D705" s="89">
        <v>60</v>
      </c>
      <c r="E705" s="91" t="s">
        <v>25</v>
      </c>
      <c r="F705" s="92">
        <v>10000000</v>
      </c>
      <c r="G705" s="92">
        <v>600000000</v>
      </c>
    </row>
    <row r="706" spans="1:7" x14ac:dyDescent="0.25">
      <c r="A706" s="7" t="s">
        <v>1311</v>
      </c>
      <c r="B706" s="78" t="s">
        <v>509</v>
      </c>
      <c r="C706" s="79" t="s">
        <v>14</v>
      </c>
      <c r="D706" s="78"/>
      <c r="E706" s="80"/>
      <c r="F706" s="81"/>
      <c r="G706" s="81">
        <v>21750000</v>
      </c>
    </row>
    <row r="707" spans="1:7" x14ac:dyDescent="0.25">
      <c r="A707" s="7" t="s">
        <v>1312</v>
      </c>
      <c r="B707" s="89" t="s">
        <v>195</v>
      </c>
      <c r="C707" s="90" t="s">
        <v>1313</v>
      </c>
      <c r="D707" s="89">
        <v>60</v>
      </c>
      <c r="E707" s="91" t="s">
        <v>73</v>
      </c>
      <c r="F707" s="92">
        <v>210000</v>
      </c>
      <c r="G707" s="92">
        <v>12600000</v>
      </c>
    </row>
    <row r="708" spans="1:7" x14ac:dyDescent="0.25">
      <c r="A708" s="7" t="s">
        <v>1314</v>
      </c>
      <c r="B708" s="89" t="s">
        <v>195</v>
      </c>
      <c r="C708" s="90" t="s">
        <v>630</v>
      </c>
      <c r="D708" s="89">
        <v>61</v>
      </c>
      <c r="E708" s="91" t="s">
        <v>73</v>
      </c>
      <c r="F708" s="92">
        <v>150000</v>
      </c>
      <c r="G708" s="92">
        <v>9150000</v>
      </c>
    </row>
    <row r="709" spans="1:7" ht="27.6" x14ac:dyDescent="0.25">
      <c r="A709" s="7" t="s">
        <v>1315</v>
      </c>
      <c r="B709" s="93" t="s">
        <v>1316</v>
      </c>
      <c r="C709" s="94" t="s">
        <v>1317</v>
      </c>
      <c r="D709" s="93"/>
      <c r="E709" s="95"/>
      <c r="F709" s="96"/>
      <c r="G709" s="96">
        <v>860000000</v>
      </c>
    </row>
    <row r="710" spans="1:7" ht="27.6" x14ac:dyDescent="0.25">
      <c r="A710" s="7" t="s">
        <v>1318</v>
      </c>
      <c r="B710" s="97" t="s">
        <v>8</v>
      </c>
      <c r="C710" s="98" t="s">
        <v>142</v>
      </c>
      <c r="D710" s="97"/>
      <c r="E710" s="99"/>
      <c r="F710" s="100"/>
      <c r="G710" s="100">
        <v>29629000</v>
      </c>
    </row>
    <row r="711" spans="1:7" x14ac:dyDescent="0.25">
      <c r="A711" s="7" t="s">
        <v>1319</v>
      </c>
      <c r="B711" s="78" t="s">
        <v>503</v>
      </c>
      <c r="C711" s="79" t="s">
        <v>7</v>
      </c>
      <c r="D711" s="78"/>
      <c r="E711" s="80"/>
      <c r="F711" s="81"/>
      <c r="G711" s="81">
        <v>3629000</v>
      </c>
    </row>
    <row r="712" spans="1:7" x14ac:dyDescent="0.25">
      <c r="A712" s="7" t="s">
        <v>1320</v>
      </c>
      <c r="B712" s="89" t="s">
        <v>195</v>
      </c>
      <c r="C712" s="90" t="s">
        <v>1321</v>
      </c>
      <c r="D712" s="89">
        <v>36</v>
      </c>
      <c r="E712" s="91" t="s">
        <v>10</v>
      </c>
      <c r="F712" s="92">
        <v>75000</v>
      </c>
      <c r="G712" s="92">
        <v>2700000</v>
      </c>
    </row>
    <row r="713" spans="1:7" x14ac:dyDescent="0.25">
      <c r="A713" s="7" t="s">
        <v>1322</v>
      </c>
      <c r="B713" s="89" t="s">
        <v>195</v>
      </c>
      <c r="C713" s="90" t="s">
        <v>1323</v>
      </c>
      <c r="D713" s="89">
        <v>1</v>
      </c>
      <c r="E713" s="91" t="s">
        <v>9</v>
      </c>
      <c r="F713" s="92">
        <v>929000</v>
      </c>
      <c r="G713" s="92">
        <v>929000</v>
      </c>
    </row>
    <row r="714" spans="1:7" x14ac:dyDescent="0.25">
      <c r="A714" s="7" t="s">
        <v>1324</v>
      </c>
      <c r="B714" s="78" t="s">
        <v>537</v>
      </c>
      <c r="C714" s="79" t="s">
        <v>64</v>
      </c>
      <c r="D714" s="78"/>
      <c r="E714" s="80"/>
      <c r="F714" s="81"/>
      <c r="G714" s="81">
        <v>2000000</v>
      </c>
    </row>
    <row r="715" spans="1:7" x14ac:dyDescent="0.25">
      <c r="A715" s="7" t="s">
        <v>1325</v>
      </c>
      <c r="B715" s="89" t="s">
        <v>195</v>
      </c>
      <c r="C715" s="90" t="s">
        <v>619</v>
      </c>
      <c r="D715" s="89">
        <v>1</v>
      </c>
      <c r="E715" s="91" t="s">
        <v>9</v>
      </c>
      <c r="F715" s="92">
        <v>1000000</v>
      </c>
      <c r="G715" s="92">
        <v>1000000</v>
      </c>
    </row>
    <row r="716" spans="1:7" x14ac:dyDescent="0.25">
      <c r="A716" s="7" t="s">
        <v>1326</v>
      </c>
      <c r="B716" s="89" t="s">
        <v>195</v>
      </c>
      <c r="C716" s="90" t="s">
        <v>620</v>
      </c>
      <c r="D716" s="89">
        <v>1</v>
      </c>
      <c r="E716" s="91" t="s">
        <v>9</v>
      </c>
      <c r="F716" s="92">
        <v>1000000</v>
      </c>
      <c r="G716" s="92">
        <v>1000000</v>
      </c>
    </row>
    <row r="717" spans="1:7" x14ac:dyDescent="0.25">
      <c r="A717" s="7" t="s">
        <v>1327</v>
      </c>
      <c r="B717" s="78" t="s">
        <v>513</v>
      </c>
      <c r="C717" s="79" t="s">
        <v>19</v>
      </c>
      <c r="D717" s="78"/>
      <c r="E717" s="80"/>
      <c r="F717" s="81"/>
      <c r="G717" s="81">
        <v>24000000</v>
      </c>
    </row>
    <row r="718" spans="1:7" x14ac:dyDescent="0.25">
      <c r="A718" s="7" t="s">
        <v>1328</v>
      </c>
      <c r="B718" s="89" t="s">
        <v>195</v>
      </c>
      <c r="C718" s="90" t="s">
        <v>1329</v>
      </c>
      <c r="D718" s="89">
        <v>4</v>
      </c>
      <c r="E718" s="91" t="s">
        <v>10</v>
      </c>
      <c r="F718" s="92">
        <v>6000000</v>
      </c>
      <c r="G718" s="92">
        <v>24000000</v>
      </c>
    </row>
    <row r="719" spans="1:7" x14ac:dyDescent="0.25">
      <c r="A719" s="7" t="s">
        <v>1330</v>
      </c>
      <c r="B719" s="97" t="s">
        <v>511</v>
      </c>
      <c r="C719" s="98" t="s">
        <v>139</v>
      </c>
      <c r="D719" s="97"/>
      <c r="E719" s="99"/>
      <c r="F719" s="100"/>
      <c r="G719" s="100">
        <v>215971000</v>
      </c>
    </row>
    <row r="720" spans="1:7" x14ac:dyDescent="0.25">
      <c r="A720" s="7" t="s">
        <v>1331</v>
      </c>
      <c r="B720" s="78" t="s">
        <v>503</v>
      </c>
      <c r="C720" s="79" t="s">
        <v>7</v>
      </c>
      <c r="D720" s="78"/>
      <c r="E720" s="80"/>
      <c r="F720" s="81"/>
      <c r="G720" s="81">
        <v>15500000</v>
      </c>
    </row>
    <row r="721" spans="1:7" x14ac:dyDescent="0.25">
      <c r="A721" s="7" t="s">
        <v>1332</v>
      </c>
      <c r="B721" s="89" t="s">
        <v>195</v>
      </c>
      <c r="C721" s="90" t="s">
        <v>619</v>
      </c>
      <c r="D721" s="89">
        <v>3</v>
      </c>
      <c r="E721" s="91" t="s">
        <v>9</v>
      </c>
      <c r="F721" s="92">
        <v>1000000</v>
      </c>
      <c r="G721" s="92">
        <v>3000000</v>
      </c>
    </row>
    <row r="722" spans="1:7" x14ac:dyDescent="0.25">
      <c r="A722" s="7" t="s">
        <v>1333</v>
      </c>
      <c r="B722" s="89" t="s">
        <v>195</v>
      </c>
      <c r="C722" s="90" t="s">
        <v>620</v>
      </c>
      <c r="D722" s="89">
        <v>3</v>
      </c>
      <c r="E722" s="91" t="s">
        <v>9</v>
      </c>
      <c r="F722" s="92">
        <v>1000000</v>
      </c>
      <c r="G722" s="92">
        <v>3000000</v>
      </c>
    </row>
    <row r="723" spans="1:7" x14ac:dyDescent="0.25">
      <c r="A723" s="7" t="s">
        <v>1334</v>
      </c>
      <c r="B723" s="89" t="s">
        <v>195</v>
      </c>
      <c r="C723" s="90" t="s">
        <v>617</v>
      </c>
      <c r="D723" s="89">
        <v>1</v>
      </c>
      <c r="E723" s="91" t="s">
        <v>9</v>
      </c>
      <c r="F723" s="92">
        <v>2000000</v>
      </c>
      <c r="G723" s="92">
        <v>2000000</v>
      </c>
    </row>
    <row r="724" spans="1:7" x14ac:dyDescent="0.25">
      <c r="A724" s="7" t="s">
        <v>1335</v>
      </c>
      <c r="B724" s="89" t="s">
        <v>195</v>
      </c>
      <c r="C724" s="90" t="s">
        <v>1336</v>
      </c>
      <c r="D724" s="89">
        <v>100</v>
      </c>
      <c r="E724" s="91" t="s">
        <v>10</v>
      </c>
      <c r="F724" s="92">
        <v>75000</v>
      </c>
      <c r="G724" s="92">
        <v>7500000</v>
      </c>
    </row>
    <row r="725" spans="1:7" x14ac:dyDescent="0.25">
      <c r="A725" s="7" t="s">
        <v>1337</v>
      </c>
      <c r="B725" s="78" t="s">
        <v>516</v>
      </c>
      <c r="C725" s="79" t="s">
        <v>11</v>
      </c>
      <c r="D725" s="78"/>
      <c r="E725" s="80"/>
      <c r="F725" s="81"/>
      <c r="G725" s="81">
        <v>6000000</v>
      </c>
    </row>
    <row r="726" spans="1:7" x14ac:dyDescent="0.25">
      <c r="A726" s="7" t="s">
        <v>1338</v>
      </c>
      <c r="B726" s="89" t="s">
        <v>195</v>
      </c>
      <c r="C726" s="90" t="s">
        <v>1339</v>
      </c>
      <c r="D726" s="89">
        <v>6</v>
      </c>
      <c r="E726" s="91" t="s">
        <v>12</v>
      </c>
      <c r="F726" s="92">
        <v>1000000</v>
      </c>
      <c r="G726" s="92">
        <v>6000000</v>
      </c>
    </row>
    <row r="727" spans="1:7" x14ac:dyDescent="0.25">
      <c r="A727" s="7" t="s">
        <v>1340</v>
      </c>
      <c r="B727" s="78" t="s">
        <v>513</v>
      </c>
      <c r="C727" s="79" t="s">
        <v>19</v>
      </c>
      <c r="D727" s="78"/>
      <c r="E727" s="80"/>
      <c r="F727" s="81"/>
      <c r="G727" s="81">
        <v>194471000</v>
      </c>
    </row>
    <row r="728" spans="1:7" ht="27.6" x14ac:dyDescent="0.25">
      <c r="A728" s="7" t="s">
        <v>1341</v>
      </c>
      <c r="B728" s="89" t="s">
        <v>195</v>
      </c>
      <c r="C728" s="90" t="s">
        <v>1342</v>
      </c>
      <c r="D728" s="89">
        <v>30</v>
      </c>
      <c r="E728" s="91" t="s">
        <v>10</v>
      </c>
      <c r="F728" s="92">
        <v>6482000</v>
      </c>
      <c r="G728" s="92">
        <v>194471000</v>
      </c>
    </row>
    <row r="729" spans="1:7" ht="27.6" x14ac:dyDescent="0.25">
      <c r="A729" s="7" t="s">
        <v>1343</v>
      </c>
      <c r="B729" s="97" t="s">
        <v>512</v>
      </c>
      <c r="C729" s="98" t="s">
        <v>140</v>
      </c>
      <c r="D729" s="97"/>
      <c r="E729" s="99"/>
      <c r="F729" s="100"/>
      <c r="G729" s="100">
        <v>11200000</v>
      </c>
    </row>
    <row r="730" spans="1:7" x14ac:dyDescent="0.25">
      <c r="A730" s="7" t="s">
        <v>1344</v>
      </c>
      <c r="B730" s="78" t="s">
        <v>503</v>
      </c>
      <c r="C730" s="79" t="s">
        <v>7</v>
      </c>
      <c r="D730" s="78"/>
      <c r="E730" s="80"/>
      <c r="F730" s="81"/>
      <c r="G730" s="81">
        <v>1200000</v>
      </c>
    </row>
    <row r="731" spans="1:7" x14ac:dyDescent="0.25">
      <c r="A731" s="7" t="s">
        <v>1345</v>
      </c>
      <c r="B731" s="89" t="s">
        <v>195</v>
      </c>
      <c r="C731" s="90" t="s">
        <v>1346</v>
      </c>
      <c r="D731" s="89">
        <v>16</v>
      </c>
      <c r="E731" s="91" t="s">
        <v>10</v>
      </c>
      <c r="F731" s="92">
        <v>75000</v>
      </c>
      <c r="G731" s="92">
        <v>1200000</v>
      </c>
    </row>
    <row r="732" spans="1:7" x14ac:dyDescent="0.25">
      <c r="A732" s="7" t="s">
        <v>1347</v>
      </c>
      <c r="B732" s="78" t="s">
        <v>537</v>
      </c>
      <c r="C732" s="79" t="s">
        <v>64</v>
      </c>
      <c r="D732" s="78"/>
      <c r="E732" s="80"/>
      <c r="F732" s="81"/>
      <c r="G732" s="81">
        <v>4000000</v>
      </c>
    </row>
    <row r="733" spans="1:7" x14ac:dyDescent="0.25">
      <c r="A733" s="7" t="s">
        <v>1348</v>
      </c>
      <c r="B733" s="89" t="s">
        <v>195</v>
      </c>
      <c r="C733" s="90" t="s">
        <v>619</v>
      </c>
      <c r="D733" s="89">
        <v>2</v>
      </c>
      <c r="E733" s="91" t="s">
        <v>9</v>
      </c>
      <c r="F733" s="92">
        <v>1000000</v>
      </c>
      <c r="G733" s="92">
        <v>2000000</v>
      </c>
    </row>
    <row r="734" spans="1:7" x14ac:dyDescent="0.25">
      <c r="A734" s="7" t="s">
        <v>1349</v>
      </c>
      <c r="B734" s="89" t="s">
        <v>195</v>
      </c>
      <c r="C734" s="90" t="s">
        <v>620</v>
      </c>
      <c r="D734" s="89">
        <v>2</v>
      </c>
      <c r="E734" s="91" t="s">
        <v>9</v>
      </c>
      <c r="F734" s="92">
        <v>1000000</v>
      </c>
      <c r="G734" s="92">
        <v>2000000</v>
      </c>
    </row>
    <row r="735" spans="1:7" x14ac:dyDescent="0.25">
      <c r="A735" s="7" t="s">
        <v>1350</v>
      </c>
      <c r="B735" s="78" t="s">
        <v>513</v>
      </c>
      <c r="C735" s="79" t="s">
        <v>19</v>
      </c>
      <c r="D735" s="78"/>
      <c r="E735" s="80"/>
      <c r="F735" s="81"/>
      <c r="G735" s="81">
        <v>6000000</v>
      </c>
    </row>
    <row r="736" spans="1:7" x14ac:dyDescent="0.25">
      <c r="A736" s="7" t="s">
        <v>1351</v>
      </c>
      <c r="B736" s="89" t="s">
        <v>195</v>
      </c>
      <c r="C736" s="90" t="s">
        <v>1352</v>
      </c>
      <c r="D736" s="89">
        <v>4</v>
      </c>
      <c r="E736" s="91" t="s">
        <v>10</v>
      </c>
      <c r="F736" s="92">
        <v>1500000</v>
      </c>
      <c r="G736" s="92">
        <v>6000000</v>
      </c>
    </row>
    <row r="737" spans="1:7" x14ac:dyDescent="0.25">
      <c r="A737" s="7" t="s">
        <v>1353</v>
      </c>
      <c r="B737" s="97" t="s">
        <v>514</v>
      </c>
      <c r="C737" s="98" t="s">
        <v>1354</v>
      </c>
      <c r="D737" s="97"/>
      <c r="E737" s="99"/>
      <c r="F737" s="100"/>
      <c r="G737" s="100">
        <v>8750000</v>
      </c>
    </row>
    <row r="738" spans="1:7" x14ac:dyDescent="0.25">
      <c r="A738" s="7" t="s">
        <v>1355</v>
      </c>
      <c r="B738" s="78" t="s">
        <v>503</v>
      </c>
      <c r="C738" s="79" t="s">
        <v>7</v>
      </c>
      <c r="D738" s="78"/>
      <c r="E738" s="80"/>
      <c r="F738" s="81"/>
      <c r="G738" s="81">
        <v>8750000</v>
      </c>
    </row>
    <row r="739" spans="1:7" x14ac:dyDescent="0.25">
      <c r="A739" s="7" t="s">
        <v>1356</v>
      </c>
      <c r="B739" s="89" t="s">
        <v>195</v>
      </c>
      <c r="C739" s="90" t="s">
        <v>619</v>
      </c>
      <c r="D739" s="89">
        <v>1</v>
      </c>
      <c r="E739" s="91" t="s">
        <v>9</v>
      </c>
      <c r="F739" s="92">
        <v>1000000</v>
      </c>
      <c r="G739" s="92">
        <v>1000000</v>
      </c>
    </row>
    <row r="740" spans="1:7" x14ac:dyDescent="0.25">
      <c r="A740" s="7" t="s">
        <v>1357</v>
      </c>
      <c r="B740" s="89" t="s">
        <v>195</v>
      </c>
      <c r="C740" s="90" t="s">
        <v>620</v>
      </c>
      <c r="D740" s="89">
        <v>1</v>
      </c>
      <c r="E740" s="91" t="s">
        <v>9</v>
      </c>
      <c r="F740" s="92">
        <v>1000000</v>
      </c>
      <c r="G740" s="92">
        <v>1000000</v>
      </c>
    </row>
    <row r="741" spans="1:7" x14ac:dyDescent="0.25">
      <c r="A741" s="7" t="s">
        <v>1358</v>
      </c>
      <c r="B741" s="89" t="s">
        <v>195</v>
      </c>
      <c r="C741" s="90" t="s">
        <v>617</v>
      </c>
      <c r="D741" s="89">
        <v>1</v>
      </c>
      <c r="E741" s="91" t="s">
        <v>9</v>
      </c>
      <c r="F741" s="92">
        <v>750000</v>
      </c>
      <c r="G741" s="92">
        <v>750000</v>
      </c>
    </row>
    <row r="742" spans="1:7" x14ac:dyDescent="0.25">
      <c r="A742" s="7" t="s">
        <v>1359</v>
      </c>
      <c r="B742" s="89" t="s">
        <v>195</v>
      </c>
      <c r="C742" s="90" t="s">
        <v>1360</v>
      </c>
      <c r="D742" s="89">
        <v>80</v>
      </c>
      <c r="E742" s="91" t="s">
        <v>10</v>
      </c>
      <c r="F742" s="92">
        <v>75000</v>
      </c>
      <c r="G742" s="92">
        <v>6000000</v>
      </c>
    </row>
    <row r="743" spans="1:7" x14ac:dyDescent="0.25">
      <c r="A743" s="7" t="s">
        <v>1361</v>
      </c>
      <c r="B743" s="97" t="s">
        <v>519</v>
      </c>
      <c r="C743" s="98" t="s">
        <v>1362</v>
      </c>
      <c r="D743" s="97"/>
      <c r="E743" s="99"/>
      <c r="F743" s="100"/>
      <c r="G743" s="100">
        <v>174450000</v>
      </c>
    </row>
    <row r="744" spans="1:7" x14ac:dyDescent="0.25">
      <c r="A744" s="7" t="s">
        <v>1363</v>
      </c>
      <c r="B744" s="78" t="s">
        <v>503</v>
      </c>
      <c r="C744" s="79" t="s">
        <v>7</v>
      </c>
      <c r="D744" s="78"/>
      <c r="E744" s="80"/>
      <c r="F744" s="81"/>
      <c r="G744" s="81">
        <v>10750000</v>
      </c>
    </row>
    <row r="745" spans="1:7" x14ac:dyDescent="0.25">
      <c r="A745" s="7" t="s">
        <v>1364</v>
      </c>
      <c r="B745" s="89" t="s">
        <v>195</v>
      </c>
      <c r="C745" s="90" t="s">
        <v>619</v>
      </c>
      <c r="D745" s="89">
        <v>1</v>
      </c>
      <c r="E745" s="91" t="s">
        <v>9</v>
      </c>
      <c r="F745" s="92">
        <v>1000000</v>
      </c>
      <c r="G745" s="92">
        <v>1000000</v>
      </c>
    </row>
    <row r="746" spans="1:7" x14ac:dyDescent="0.25">
      <c r="A746" s="7" t="s">
        <v>1365</v>
      </c>
      <c r="B746" s="89" t="s">
        <v>195</v>
      </c>
      <c r="C746" s="90" t="s">
        <v>1366</v>
      </c>
      <c r="D746" s="89">
        <v>1</v>
      </c>
      <c r="E746" s="91" t="s">
        <v>9</v>
      </c>
      <c r="F746" s="92">
        <v>1000000</v>
      </c>
      <c r="G746" s="92">
        <v>1000000</v>
      </c>
    </row>
    <row r="747" spans="1:7" x14ac:dyDescent="0.25">
      <c r="A747" s="7" t="s">
        <v>1367</v>
      </c>
      <c r="B747" s="89" t="s">
        <v>195</v>
      </c>
      <c r="C747" s="90" t="s">
        <v>1368</v>
      </c>
      <c r="D747" s="89">
        <v>10</v>
      </c>
      <c r="E747" s="91" t="s">
        <v>1369</v>
      </c>
      <c r="F747" s="92">
        <v>425000</v>
      </c>
      <c r="G747" s="92">
        <v>4250000</v>
      </c>
    </row>
    <row r="748" spans="1:7" x14ac:dyDescent="0.25">
      <c r="A748" s="7" t="s">
        <v>1370</v>
      </c>
      <c r="B748" s="89" t="s">
        <v>195</v>
      </c>
      <c r="C748" s="90" t="s">
        <v>1371</v>
      </c>
      <c r="D748" s="89">
        <v>60</v>
      </c>
      <c r="E748" s="91" t="s">
        <v>10</v>
      </c>
      <c r="F748" s="92">
        <v>75000</v>
      </c>
      <c r="G748" s="92">
        <v>4500000</v>
      </c>
    </row>
    <row r="749" spans="1:7" x14ac:dyDescent="0.25">
      <c r="A749" s="7" t="s">
        <v>1372</v>
      </c>
      <c r="B749" s="78" t="s">
        <v>516</v>
      </c>
      <c r="C749" s="79" t="s">
        <v>11</v>
      </c>
      <c r="D749" s="78"/>
      <c r="E749" s="80"/>
      <c r="F749" s="81"/>
      <c r="G749" s="81">
        <v>13700000</v>
      </c>
    </row>
    <row r="750" spans="1:7" x14ac:dyDescent="0.25">
      <c r="A750" s="7" t="s">
        <v>1373</v>
      </c>
      <c r="B750" s="89" t="s">
        <v>195</v>
      </c>
      <c r="C750" s="90" t="s">
        <v>1374</v>
      </c>
      <c r="D750" s="89">
        <v>2</v>
      </c>
      <c r="E750" s="91" t="s">
        <v>12</v>
      </c>
      <c r="F750" s="92">
        <v>1000000</v>
      </c>
      <c r="G750" s="92">
        <v>2000000</v>
      </c>
    </row>
    <row r="751" spans="1:7" x14ac:dyDescent="0.25">
      <c r="A751" s="7" t="s">
        <v>1375</v>
      </c>
      <c r="B751" s="89" t="s">
        <v>195</v>
      </c>
      <c r="C751" s="90" t="s">
        <v>1376</v>
      </c>
      <c r="D751" s="89">
        <v>4</v>
      </c>
      <c r="E751" s="91" t="s">
        <v>54</v>
      </c>
      <c r="F751" s="92">
        <v>900000</v>
      </c>
      <c r="G751" s="92">
        <v>3600000</v>
      </c>
    </row>
    <row r="752" spans="1:7" x14ac:dyDescent="0.25">
      <c r="A752" s="7" t="s">
        <v>1377</v>
      </c>
      <c r="B752" s="89" t="s">
        <v>195</v>
      </c>
      <c r="C752" s="90" t="s">
        <v>1378</v>
      </c>
      <c r="D752" s="89">
        <v>9</v>
      </c>
      <c r="E752" s="91" t="s">
        <v>54</v>
      </c>
      <c r="F752" s="92">
        <v>900000</v>
      </c>
      <c r="G752" s="92">
        <v>8100000</v>
      </c>
    </row>
    <row r="753" spans="1:7" x14ac:dyDescent="0.25">
      <c r="A753" s="7" t="s">
        <v>1379</v>
      </c>
      <c r="B753" s="78" t="s">
        <v>513</v>
      </c>
      <c r="C753" s="79" t="s">
        <v>19</v>
      </c>
      <c r="D753" s="78"/>
      <c r="E753" s="80"/>
      <c r="F753" s="81"/>
      <c r="G753" s="81">
        <v>150000000</v>
      </c>
    </row>
    <row r="754" spans="1:7" x14ac:dyDescent="0.25">
      <c r="A754" s="7" t="s">
        <v>1380</v>
      </c>
      <c r="B754" s="89" t="s">
        <v>195</v>
      </c>
      <c r="C754" s="90" t="s">
        <v>1381</v>
      </c>
      <c r="D754" s="89">
        <v>15</v>
      </c>
      <c r="E754" s="91" t="s">
        <v>25</v>
      </c>
      <c r="F754" s="92">
        <v>6000000</v>
      </c>
      <c r="G754" s="92">
        <v>90000000</v>
      </c>
    </row>
    <row r="755" spans="1:7" x14ac:dyDescent="0.25">
      <c r="A755" s="7" t="s">
        <v>1382</v>
      </c>
      <c r="B755" s="89" t="s">
        <v>195</v>
      </c>
      <c r="C755" s="90" t="s">
        <v>1383</v>
      </c>
      <c r="D755" s="89">
        <v>10</v>
      </c>
      <c r="E755" s="91" t="s">
        <v>25</v>
      </c>
      <c r="F755" s="92">
        <v>6000000</v>
      </c>
      <c r="G755" s="92">
        <v>60000000</v>
      </c>
    </row>
    <row r="756" spans="1:7" ht="27.6" x14ac:dyDescent="0.25">
      <c r="A756" s="7" t="s">
        <v>1384</v>
      </c>
      <c r="B756" s="97" t="s">
        <v>578</v>
      </c>
      <c r="C756" s="98" t="s">
        <v>141</v>
      </c>
      <c r="D756" s="97"/>
      <c r="E756" s="99"/>
      <c r="F756" s="100"/>
      <c r="G756" s="100">
        <v>420000000</v>
      </c>
    </row>
    <row r="757" spans="1:7" x14ac:dyDescent="0.25">
      <c r="A757" s="7" t="s">
        <v>1385</v>
      </c>
      <c r="B757" s="78" t="s">
        <v>513</v>
      </c>
      <c r="C757" s="79" t="s">
        <v>19</v>
      </c>
      <c r="D757" s="78"/>
      <c r="E757" s="80"/>
      <c r="F757" s="81"/>
      <c r="G757" s="81">
        <v>420000000</v>
      </c>
    </row>
    <row r="758" spans="1:7" x14ac:dyDescent="0.25">
      <c r="A758" s="7" t="s">
        <v>1386</v>
      </c>
      <c r="B758" s="89" t="s">
        <v>195</v>
      </c>
      <c r="C758" s="90" t="s">
        <v>1387</v>
      </c>
      <c r="D758" s="89">
        <v>70</v>
      </c>
      <c r="E758" s="91" t="s">
        <v>25</v>
      </c>
      <c r="F758" s="92">
        <v>6000000</v>
      </c>
      <c r="G758" s="92">
        <v>420000000</v>
      </c>
    </row>
    <row r="759" spans="1:7" ht="27.6" x14ac:dyDescent="0.25">
      <c r="A759" s="7" t="s">
        <v>1388</v>
      </c>
      <c r="B759" s="93" t="s">
        <v>833</v>
      </c>
      <c r="C759" s="94" t="s">
        <v>1389</v>
      </c>
      <c r="D759" s="93"/>
      <c r="E759" s="95"/>
      <c r="F759" s="96"/>
      <c r="G759" s="96">
        <v>2736502000</v>
      </c>
    </row>
    <row r="760" spans="1:7" x14ac:dyDescent="0.25">
      <c r="A760" s="7" t="s">
        <v>1390</v>
      </c>
      <c r="B760" s="97" t="s">
        <v>8</v>
      </c>
      <c r="C760" s="98" t="s">
        <v>148</v>
      </c>
      <c r="D760" s="97"/>
      <c r="E760" s="99"/>
      <c r="F760" s="100"/>
      <c r="G760" s="100">
        <v>42100000</v>
      </c>
    </row>
    <row r="761" spans="1:7" x14ac:dyDescent="0.25">
      <c r="A761" s="7" t="s">
        <v>1391</v>
      </c>
      <c r="B761" s="78" t="s">
        <v>503</v>
      </c>
      <c r="C761" s="79" t="s">
        <v>7</v>
      </c>
      <c r="D761" s="78"/>
      <c r="E761" s="80"/>
      <c r="F761" s="81"/>
      <c r="G761" s="81">
        <v>22000000</v>
      </c>
    </row>
    <row r="762" spans="1:7" x14ac:dyDescent="0.25">
      <c r="A762" s="7" t="s">
        <v>1392</v>
      </c>
      <c r="B762" s="89" t="s">
        <v>195</v>
      </c>
      <c r="C762" s="90" t="s">
        <v>619</v>
      </c>
      <c r="D762" s="89">
        <v>4</v>
      </c>
      <c r="E762" s="91" t="s">
        <v>9</v>
      </c>
      <c r="F762" s="92">
        <v>1500000</v>
      </c>
      <c r="G762" s="92">
        <v>6000000</v>
      </c>
    </row>
    <row r="763" spans="1:7" x14ac:dyDescent="0.25">
      <c r="A763" s="7" t="s">
        <v>1393</v>
      </c>
      <c r="B763" s="89" t="s">
        <v>195</v>
      </c>
      <c r="C763" s="90" t="s">
        <v>620</v>
      </c>
      <c r="D763" s="89">
        <v>4</v>
      </c>
      <c r="E763" s="91" t="s">
        <v>9</v>
      </c>
      <c r="F763" s="92">
        <v>1000000</v>
      </c>
      <c r="G763" s="92">
        <v>4000000</v>
      </c>
    </row>
    <row r="764" spans="1:7" x14ac:dyDescent="0.25">
      <c r="A764" s="7" t="s">
        <v>1394</v>
      </c>
      <c r="B764" s="89" t="s">
        <v>195</v>
      </c>
      <c r="C764" s="90" t="s">
        <v>617</v>
      </c>
      <c r="D764" s="89">
        <v>4</v>
      </c>
      <c r="E764" s="91" t="s">
        <v>9</v>
      </c>
      <c r="F764" s="92">
        <v>1500000</v>
      </c>
      <c r="G764" s="92">
        <v>6000000</v>
      </c>
    </row>
    <row r="765" spans="1:7" x14ac:dyDescent="0.25">
      <c r="A765" s="7" t="s">
        <v>1395</v>
      </c>
      <c r="B765" s="89" t="s">
        <v>195</v>
      </c>
      <c r="C765" s="90" t="s">
        <v>1396</v>
      </c>
      <c r="D765" s="89">
        <v>12</v>
      </c>
      <c r="E765" s="91" t="s">
        <v>176</v>
      </c>
      <c r="F765" s="92">
        <v>500000</v>
      </c>
      <c r="G765" s="92">
        <v>6000000</v>
      </c>
    </row>
    <row r="766" spans="1:7" x14ac:dyDescent="0.25">
      <c r="A766" s="7" t="s">
        <v>1397</v>
      </c>
      <c r="B766" s="78" t="s">
        <v>513</v>
      </c>
      <c r="C766" s="79" t="s">
        <v>19</v>
      </c>
      <c r="D766" s="78"/>
      <c r="E766" s="80"/>
      <c r="F766" s="81"/>
      <c r="G766" s="81">
        <v>18000000</v>
      </c>
    </row>
    <row r="767" spans="1:7" x14ac:dyDescent="0.25">
      <c r="A767" s="7" t="s">
        <v>1398</v>
      </c>
      <c r="B767" s="89" t="s">
        <v>195</v>
      </c>
      <c r="C767" s="90" t="s">
        <v>1399</v>
      </c>
      <c r="D767" s="89">
        <v>6</v>
      </c>
      <c r="E767" s="91" t="s">
        <v>10</v>
      </c>
      <c r="F767" s="92">
        <v>3000000</v>
      </c>
      <c r="G767" s="92">
        <v>18000000</v>
      </c>
    </row>
    <row r="768" spans="1:7" x14ac:dyDescent="0.25">
      <c r="A768" s="7" t="s">
        <v>1400</v>
      </c>
      <c r="B768" s="78" t="s">
        <v>507</v>
      </c>
      <c r="C768" s="79" t="s">
        <v>13</v>
      </c>
      <c r="D768" s="78"/>
      <c r="E768" s="80"/>
      <c r="F768" s="81"/>
      <c r="G768" s="81">
        <v>2100000</v>
      </c>
    </row>
    <row r="769" spans="1:7" x14ac:dyDescent="0.25">
      <c r="A769" s="7" t="s">
        <v>1401</v>
      </c>
      <c r="B769" s="89" t="s">
        <v>195</v>
      </c>
      <c r="C769" s="90" t="s">
        <v>1402</v>
      </c>
      <c r="D769" s="89">
        <v>14</v>
      </c>
      <c r="E769" s="91" t="s">
        <v>10</v>
      </c>
      <c r="F769" s="92">
        <v>150000</v>
      </c>
      <c r="G769" s="92">
        <v>2100000</v>
      </c>
    </row>
    <row r="770" spans="1:7" x14ac:dyDescent="0.25">
      <c r="A770" s="7" t="s">
        <v>1403</v>
      </c>
      <c r="B770" s="97" t="s">
        <v>511</v>
      </c>
      <c r="C770" s="98" t="s">
        <v>150</v>
      </c>
      <c r="D770" s="97"/>
      <c r="E770" s="99"/>
      <c r="F770" s="100"/>
      <c r="G770" s="100">
        <v>571380000</v>
      </c>
    </row>
    <row r="771" spans="1:7" x14ac:dyDescent="0.25">
      <c r="A771" s="7" t="s">
        <v>1404</v>
      </c>
      <c r="B771" s="78" t="s">
        <v>503</v>
      </c>
      <c r="C771" s="79" t="s">
        <v>7</v>
      </c>
      <c r="D771" s="78"/>
      <c r="E771" s="80"/>
      <c r="F771" s="81"/>
      <c r="G771" s="81">
        <v>10000000</v>
      </c>
    </row>
    <row r="772" spans="1:7" x14ac:dyDescent="0.25">
      <c r="A772" s="7" t="s">
        <v>1405</v>
      </c>
      <c r="B772" s="89" t="s">
        <v>195</v>
      </c>
      <c r="C772" s="90" t="s">
        <v>619</v>
      </c>
      <c r="D772" s="89">
        <v>4</v>
      </c>
      <c r="E772" s="91" t="s">
        <v>9</v>
      </c>
      <c r="F772" s="92">
        <v>1500000</v>
      </c>
      <c r="G772" s="92">
        <v>6000000</v>
      </c>
    </row>
    <row r="773" spans="1:7" x14ac:dyDescent="0.25">
      <c r="A773" s="7" t="s">
        <v>1406</v>
      </c>
      <c r="B773" s="89" t="s">
        <v>195</v>
      </c>
      <c r="C773" s="90" t="s">
        <v>620</v>
      </c>
      <c r="D773" s="89">
        <v>4</v>
      </c>
      <c r="E773" s="91" t="s">
        <v>9</v>
      </c>
      <c r="F773" s="92">
        <v>1000000</v>
      </c>
      <c r="G773" s="92">
        <v>4000000</v>
      </c>
    </row>
    <row r="774" spans="1:7" x14ac:dyDescent="0.25">
      <c r="A774" s="7" t="s">
        <v>1407</v>
      </c>
      <c r="B774" s="78" t="s">
        <v>533</v>
      </c>
      <c r="C774" s="79" t="s">
        <v>53</v>
      </c>
      <c r="D774" s="78"/>
      <c r="E774" s="80"/>
      <c r="F774" s="81"/>
      <c r="G774" s="81">
        <v>7800000</v>
      </c>
    </row>
    <row r="775" spans="1:7" x14ac:dyDescent="0.25">
      <c r="A775" s="7" t="s">
        <v>1408</v>
      </c>
      <c r="B775" s="89" t="s">
        <v>195</v>
      </c>
      <c r="C775" s="90" t="s">
        <v>785</v>
      </c>
      <c r="D775" s="89">
        <v>12</v>
      </c>
      <c r="E775" s="91" t="s">
        <v>66</v>
      </c>
      <c r="F775" s="92">
        <v>650000</v>
      </c>
      <c r="G775" s="92">
        <v>7800000</v>
      </c>
    </row>
    <row r="776" spans="1:7" x14ac:dyDescent="0.25">
      <c r="A776" s="7" t="s">
        <v>1409</v>
      </c>
      <c r="B776" s="78" t="s">
        <v>518</v>
      </c>
      <c r="C776" s="79" t="s">
        <v>24</v>
      </c>
      <c r="D776" s="78"/>
      <c r="E776" s="80"/>
      <c r="F776" s="81"/>
      <c r="G776" s="81">
        <v>39080000</v>
      </c>
    </row>
    <row r="777" spans="1:7" x14ac:dyDescent="0.25">
      <c r="A777" s="7" t="s">
        <v>1410</v>
      </c>
      <c r="B777" s="89" t="s">
        <v>195</v>
      </c>
      <c r="C777" s="90" t="s">
        <v>1411</v>
      </c>
      <c r="D777" s="89">
        <v>80</v>
      </c>
      <c r="E777" s="91" t="s">
        <v>25</v>
      </c>
      <c r="F777" s="92">
        <v>488000</v>
      </c>
      <c r="G777" s="92">
        <v>39080000</v>
      </c>
    </row>
    <row r="778" spans="1:7" x14ac:dyDescent="0.25">
      <c r="A778" s="7" t="s">
        <v>1412</v>
      </c>
      <c r="B778" s="78" t="s">
        <v>513</v>
      </c>
      <c r="C778" s="79" t="s">
        <v>19</v>
      </c>
      <c r="D778" s="78"/>
      <c r="E778" s="80"/>
      <c r="F778" s="81"/>
      <c r="G778" s="81">
        <v>514500000</v>
      </c>
    </row>
    <row r="779" spans="1:7" x14ac:dyDescent="0.25">
      <c r="A779" s="7" t="s">
        <v>1413</v>
      </c>
      <c r="B779" s="89" t="s">
        <v>195</v>
      </c>
      <c r="C779" s="90" t="s">
        <v>1414</v>
      </c>
      <c r="D779" s="89">
        <v>55</v>
      </c>
      <c r="E779" s="91" t="s">
        <v>10</v>
      </c>
      <c r="F779" s="92">
        <v>6075000</v>
      </c>
      <c r="G779" s="92">
        <v>334125000</v>
      </c>
    </row>
    <row r="780" spans="1:7" x14ac:dyDescent="0.25">
      <c r="A780" s="7" t="s">
        <v>1415</v>
      </c>
      <c r="B780" s="89" t="s">
        <v>195</v>
      </c>
      <c r="C780" s="90" t="s">
        <v>1416</v>
      </c>
      <c r="D780" s="89">
        <v>30</v>
      </c>
      <c r="E780" s="91" t="s">
        <v>776</v>
      </c>
      <c r="F780" s="92">
        <v>6012000</v>
      </c>
      <c r="G780" s="92">
        <v>180375000</v>
      </c>
    </row>
    <row r="781" spans="1:7" ht="27.6" x14ac:dyDescent="0.25">
      <c r="A781" s="7" t="s">
        <v>1417</v>
      </c>
      <c r="B781" s="97" t="s">
        <v>512</v>
      </c>
      <c r="C781" s="98" t="s">
        <v>1418</v>
      </c>
      <c r="D781" s="97"/>
      <c r="E781" s="99"/>
      <c r="F781" s="100"/>
      <c r="G781" s="100">
        <v>83500000</v>
      </c>
    </row>
    <row r="782" spans="1:7" x14ac:dyDescent="0.25">
      <c r="A782" s="7" t="s">
        <v>1419</v>
      </c>
      <c r="B782" s="78" t="s">
        <v>503</v>
      </c>
      <c r="C782" s="79" t="s">
        <v>7</v>
      </c>
      <c r="D782" s="78"/>
      <c r="E782" s="80"/>
      <c r="F782" s="81"/>
      <c r="G782" s="81">
        <v>46000000</v>
      </c>
    </row>
    <row r="783" spans="1:7" x14ac:dyDescent="0.25">
      <c r="A783" s="7" t="s">
        <v>1420</v>
      </c>
      <c r="B783" s="89" t="s">
        <v>195</v>
      </c>
      <c r="C783" s="90" t="s">
        <v>1421</v>
      </c>
      <c r="D783" s="89">
        <v>500</v>
      </c>
      <c r="E783" s="91" t="s">
        <v>1422</v>
      </c>
      <c r="F783" s="92">
        <v>36000</v>
      </c>
      <c r="G783" s="92">
        <v>18000000</v>
      </c>
    </row>
    <row r="784" spans="1:7" x14ac:dyDescent="0.25">
      <c r="A784" s="7" t="s">
        <v>1423</v>
      </c>
      <c r="B784" s="89" t="s">
        <v>195</v>
      </c>
      <c r="C784" s="90" t="s">
        <v>617</v>
      </c>
      <c r="D784" s="89">
        <v>4</v>
      </c>
      <c r="E784" s="91" t="s">
        <v>9</v>
      </c>
      <c r="F784" s="92">
        <v>1500000</v>
      </c>
      <c r="G784" s="92">
        <v>6000000</v>
      </c>
    </row>
    <row r="785" spans="1:7" x14ac:dyDescent="0.25">
      <c r="A785" s="7" t="s">
        <v>1424</v>
      </c>
      <c r="B785" s="89" t="s">
        <v>195</v>
      </c>
      <c r="C785" s="90" t="s">
        <v>619</v>
      </c>
      <c r="D785" s="89">
        <v>4</v>
      </c>
      <c r="E785" s="91" t="s">
        <v>9</v>
      </c>
      <c r="F785" s="92">
        <v>1000000</v>
      </c>
      <c r="G785" s="92">
        <v>4000000</v>
      </c>
    </row>
    <row r="786" spans="1:7" x14ac:dyDescent="0.25">
      <c r="A786" s="7" t="s">
        <v>1425</v>
      </c>
      <c r="B786" s="89" t="s">
        <v>195</v>
      </c>
      <c r="C786" s="90" t="s">
        <v>620</v>
      </c>
      <c r="D786" s="89">
        <v>4</v>
      </c>
      <c r="E786" s="91" t="s">
        <v>9</v>
      </c>
      <c r="F786" s="92">
        <v>1500000</v>
      </c>
      <c r="G786" s="92">
        <v>6000000</v>
      </c>
    </row>
    <row r="787" spans="1:7" x14ac:dyDescent="0.25">
      <c r="A787" s="7" t="s">
        <v>1426</v>
      </c>
      <c r="B787" s="89" t="s">
        <v>195</v>
      </c>
      <c r="C787" s="90" t="s">
        <v>1427</v>
      </c>
      <c r="D787" s="89">
        <v>24</v>
      </c>
      <c r="E787" s="91" t="s">
        <v>176</v>
      </c>
      <c r="F787" s="92">
        <v>500000</v>
      </c>
      <c r="G787" s="92">
        <v>12000000</v>
      </c>
    </row>
    <row r="788" spans="1:7" x14ac:dyDescent="0.25">
      <c r="A788" s="7" t="s">
        <v>1428</v>
      </c>
      <c r="B788" s="78" t="s">
        <v>564</v>
      </c>
      <c r="C788" s="79" t="s">
        <v>95</v>
      </c>
      <c r="D788" s="78"/>
      <c r="E788" s="80"/>
      <c r="F788" s="81"/>
      <c r="G788" s="81">
        <v>6000000</v>
      </c>
    </row>
    <row r="789" spans="1:7" x14ac:dyDescent="0.25">
      <c r="A789" s="7" t="s">
        <v>1429</v>
      </c>
      <c r="B789" s="89" t="s">
        <v>195</v>
      </c>
      <c r="C789" s="90" t="s">
        <v>1430</v>
      </c>
      <c r="D789" s="89">
        <v>4</v>
      </c>
      <c r="E789" s="91" t="s">
        <v>149</v>
      </c>
      <c r="F789" s="92">
        <v>1500000</v>
      </c>
      <c r="G789" s="92">
        <v>6000000</v>
      </c>
    </row>
    <row r="790" spans="1:7" x14ac:dyDescent="0.25">
      <c r="A790" s="7" t="s">
        <v>1431</v>
      </c>
      <c r="B790" s="78" t="s">
        <v>513</v>
      </c>
      <c r="C790" s="79" t="s">
        <v>19</v>
      </c>
      <c r="D790" s="78"/>
      <c r="E790" s="80"/>
      <c r="F790" s="81"/>
      <c r="G790" s="81">
        <v>27000000</v>
      </c>
    </row>
    <row r="791" spans="1:7" ht="27.6" x14ac:dyDescent="0.25">
      <c r="A791" s="7" t="s">
        <v>1432</v>
      </c>
      <c r="B791" s="89" t="s">
        <v>195</v>
      </c>
      <c r="C791" s="90" t="s">
        <v>1433</v>
      </c>
      <c r="D791" s="89">
        <v>9</v>
      </c>
      <c r="E791" s="91" t="s">
        <v>10</v>
      </c>
      <c r="F791" s="92">
        <v>3000000</v>
      </c>
      <c r="G791" s="92">
        <v>27000000</v>
      </c>
    </row>
    <row r="792" spans="1:7" x14ac:dyDescent="0.25">
      <c r="A792" s="7" t="s">
        <v>1434</v>
      </c>
      <c r="B792" s="78" t="s">
        <v>507</v>
      </c>
      <c r="C792" s="79" t="s">
        <v>13</v>
      </c>
      <c r="D792" s="78"/>
      <c r="E792" s="80"/>
      <c r="F792" s="81"/>
      <c r="G792" s="81">
        <v>4500000</v>
      </c>
    </row>
    <row r="793" spans="1:7" x14ac:dyDescent="0.25">
      <c r="A793" s="7" t="s">
        <v>1435</v>
      </c>
      <c r="B793" s="89" t="s">
        <v>195</v>
      </c>
      <c r="C793" s="90" t="s">
        <v>1436</v>
      </c>
      <c r="D793" s="89">
        <v>30</v>
      </c>
      <c r="E793" s="91" t="s">
        <v>10</v>
      </c>
      <c r="F793" s="92">
        <v>150000</v>
      </c>
      <c r="G793" s="92">
        <v>4500000</v>
      </c>
    </row>
    <row r="794" spans="1:7" ht="27.6" x14ac:dyDescent="0.25">
      <c r="A794" s="7" t="s">
        <v>1437</v>
      </c>
      <c r="B794" s="97" t="s">
        <v>514</v>
      </c>
      <c r="C794" s="98" t="s">
        <v>151</v>
      </c>
      <c r="D794" s="97"/>
      <c r="E794" s="99"/>
      <c r="F794" s="100"/>
      <c r="G794" s="100">
        <v>101050000</v>
      </c>
    </row>
    <row r="795" spans="1:7" x14ac:dyDescent="0.25">
      <c r="A795" s="7" t="s">
        <v>1438</v>
      </c>
      <c r="B795" s="78" t="s">
        <v>503</v>
      </c>
      <c r="C795" s="79" t="s">
        <v>7</v>
      </c>
      <c r="D795" s="78"/>
      <c r="E795" s="80"/>
      <c r="F795" s="81"/>
      <c r="G795" s="81">
        <v>28000000</v>
      </c>
    </row>
    <row r="796" spans="1:7" x14ac:dyDescent="0.25">
      <c r="A796" s="7" t="s">
        <v>1439</v>
      </c>
      <c r="B796" s="89" t="s">
        <v>195</v>
      </c>
      <c r="C796" s="90" t="s">
        <v>619</v>
      </c>
      <c r="D796" s="89">
        <v>4</v>
      </c>
      <c r="E796" s="91" t="s">
        <v>9</v>
      </c>
      <c r="F796" s="92">
        <v>1000000</v>
      </c>
      <c r="G796" s="92">
        <v>4000000</v>
      </c>
    </row>
    <row r="797" spans="1:7" x14ac:dyDescent="0.25">
      <c r="A797" s="7" t="s">
        <v>1440</v>
      </c>
      <c r="B797" s="89" t="s">
        <v>195</v>
      </c>
      <c r="C797" s="90" t="s">
        <v>620</v>
      </c>
      <c r="D797" s="89">
        <v>4</v>
      </c>
      <c r="E797" s="91" t="s">
        <v>9</v>
      </c>
      <c r="F797" s="92">
        <v>1500000</v>
      </c>
      <c r="G797" s="92">
        <v>6000000</v>
      </c>
    </row>
    <row r="798" spans="1:7" x14ac:dyDescent="0.25">
      <c r="A798" s="7" t="s">
        <v>1441</v>
      </c>
      <c r="B798" s="89" t="s">
        <v>195</v>
      </c>
      <c r="C798" s="90" t="s">
        <v>617</v>
      </c>
      <c r="D798" s="89">
        <v>4</v>
      </c>
      <c r="E798" s="91" t="s">
        <v>9</v>
      </c>
      <c r="F798" s="92">
        <v>1500000</v>
      </c>
      <c r="G798" s="92">
        <v>6000000</v>
      </c>
    </row>
    <row r="799" spans="1:7" x14ac:dyDescent="0.25">
      <c r="A799" s="7" t="s">
        <v>1442</v>
      </c>
      <c r="B799" s="89" t="s">
        <v>195</v>
      </c>
      <c r="C799" s="90" t="s">
        <v>1427</v>
      </c>
      <c r="D799" s="89">
        <v>24</v>
      </c>
      <c r="E799" s="91" t="s">
        <v>176</v>
      </c>
      <c r="F799" s="92">
        <v>500000</v>
      </c>
      <c r="G799" s="92">
        <v>12000000</v>
      </c>
    </row>
    <row r="800" spans="1:7" x14ac:dyDescent="0.25">
      <c r="A800" s="7" t="s">
        <v>1443</v>
      </c>
      <c r="B800" s="78" t="s">
        <v>513</v>
      </c>
      <c r="C800" s="79" t="s">
        <v>19</v>
      </c>
      <c r="D800" s="78"/>
      <c r="E800" s="80"/>
      <c r="F800" s="81"/>
      <c r="G800" s="81">
        <v>71250000</v>
      </c>
    </row>
    <row r="801" spans="1:7" ht="27.6" x14ac:dyDescent="0.25">
      <c r="A801" s="7" t="s">
        <v>1444</v>
      </c>
      <c r="B801" s="89" t="s">
        <v>195</v>
      </c>
      <c r="C801" s="90" t="s">
        <v>1445</v>
      </c>
      <c r="D801" s="89">
        <v>15</v>
      </c>
      <c r="E801" s="91" t="s">
        <v>10</v>
      </c>
      <c r="F801" s="92">
        <v>4750000</v>
      </c>
      <c r="G801" s="92">
        <v>71250000</v>
      </c>
    </row>
    <row r="802" spans="1:7" x14ac:dyDescent="0.25">
      <c r="A802" s="7" t="s">
        <v>1446</v>
      </c>
      <c r="B802" s="78" t="s">
        <v>507</v>
      </c>
      <c r="C802" s="79" t="s">
        <v>13</v>
      </c>
      <c r="D802" s="78"/>
      <c r="E802" s="80"/>
      <c r="F802" s="81"/>
      <c r="G802" s="81">
        <v>1800000</v>
      </c>
    </row>
    <row r="803" spans="1:7" x14ac:dyDescent="0.25">
      <c r="A803" s="7" t="s">
        <v>1447</v>
      </c>
      <c r="B803" s="89" t="s">
        <v>195</v>
      </c>
      <c r="C803" s="90" t="s">
        <v>1436</v>
      </c>
      <c r="D803" s="89">
        <v>12</v>
      </c>
      <c r="E803" s="91" t="s">
        <v>10</v>
      </c>
      <c r="F803" s="92">
        <v>150000</v>
      </c>
      <c r="G803" s="92">
        <v>1800000</v>
      </c>
    </row>
    <row r="804" spans="1:7" x14ac:dyDescent="0.25">
      <c r="A804" s="7" t="s">
        <v>1448</v>
      </c>
      <c r="B804" s="97" t="s">
        <v>519</v>
      </c>
      <c r="C804" s="98" t="s">
        <v>152</v>
      </c>
      <c r="D804" s="97"/>
      <c r="E804" s="99"/>
      <c r="F804" s="100"/>
      <c r="G804" s="100">
        <v>388472000</v>
      </c>
    </row>
    <row r="805" spans="1:7" x14ac:dyDescent="0.25">
      <c r="A805" s="7" t="s">
        <v>1449</v>
      </c>
      <c r="B805" s="78" t="s">
        <v>503</v>
      </c>
      <c r="C805" s="79" t="s">
        <v>7</v>
      </c>
      <c r="D805" s="78"/>
      <c r="E805" s="80"/>
      <c r="F805" s="81"/>
      <c r="G805" s="81">
        <v>46000000</v>
      </c>
    </row>
    <row r="806" spans="1:7" x14ac:dyDescent="0.25">
      <c r="A806" s="7" t="s">
        <v>1450</v>
      </c>
      <c r="B806" s="89" t="s">
        <v>195</v>
      </c>
      <c r="C806" s="90" t="s">
        <v>617</v>
      </c>
      <c r="D806" s="89">
        <v>4</v>
      </c>
      <c r="E806" s="91" t="s">
        <v>9</v>
      </c>
      <c r="F806" s="92">
        <v>1500000</v>
      </c>
      <c r="G806" s="92">
        <v>6000000</v>
      </c>
    </row>
    <row r="807" spans="1:7" x14ac:dyDescent="0.25">
      <c r="A807" s="7" t="s">
        <v>1451</v>
      </c>
      <c r="B807" s="89" t="s">
        <v>195</v>
      </c>
      <c r="C807" s="90" t="s">
        <v>619</v>
      </c>
      <c r="D807" s="89">
        <v>4</v>
      </c>
      <c r="E807" s="91" t="s">
        <v>9</v>
      </c>
      <c r="F807" s="92">
        <v>1000000</v>
      </c>
      <c r="G807" s="92">
        <v>4000000</v>
      </c>
    </row>
    <row r="808" spans="1:7" x14ac:dyDescent="0.25">
      <c r="A808" s="7" t="s">
        <v>1452</v>
      </c>
      <c r="B808" s="89" t="s">
        <v>195</v>
      </c>
      <c r="C808" s="90" t="s">
        <v>620</v>
      </c>
      <c r="D808" s="89">
        <v>4</v>
      </c>
      <c r="E808" s="91" t="s">
        <v>9</v>
      </c>
      <c r="F808" s="92">
        <v>1500000</v>
      </c>
      <c r="G808" s="92">
        <v>6000000</v>
      </c>
    </row>
    <row r="809" spans="1:7" x14ac:dyDescent="0.25">
      <c r="A809" s="7" t="s">
        <v>1453</v>
      </c>
      <c r="B809" s="89" t="s">
        <v>195</v>
      </c>
      <c r="C809" s="90" t="s">
        <v>1454</v>
      </c>
      <c r="D809" s="89">
        <v>60</v>
      </c>
      <c r="E809" s="91" t="s">
        <v>176</v>
      </c>
      <c r="F809" s="92">
        <v>500000</v>
      </c>
      <c r="G809" s="92">
        <v>30000000</v>
      </c>
    </row>
    <row r="810" spans="1:7" ht="27.6" x14ac:dyDescent="0.25">
      <c r="A810" s="7" t="s">
        <v>1455</v>
      </c>
      <c r="B810" s="78" t="s">
        <v>515</v>
      </c>
      <c r="C810" s="79" t="s">
        <v>642</v>
      </c>
      <c r="D810" s="78"/>
      <c r="E810" s="80"/>
      <c r="F810" s="81"/>
      <c r="G810" s="81">
        <v>249600000</v>
      </c>
    </row>
    <row r="811" spans="1:7" x14ac:dyDescent="0.25">
      <c r="A811" s="7" t="s">
        <v>1456</v>
      </c>
      <c r="B811" s="89" t="s">
        <v>195</v>
      </c>
      <c r="C811" s="90" t="s">
        <v>1457</v>
      </c>
      <c r="D811" s="89">
        <v>720</v>
      </c>
      <c r="E811" s="91" t="s">
        <v>32</v>
      </c>
      <c r="F811" s="92">
        <v>200000</v>
      </c>
      <c r="G811" s="92">
        <v>144000000</v>
      </c>
    </row>
    <row r="812" spans="1:7" ht="27.6" x14ac:dyDescent="0.25">
      <c r="A812" s="7" t="s">
        <v>1458</v>
      </c>
      <c r="B812" s="89" t="s">
        <v>195</v>
      </c>
      <c r="C812" s="90" t="s">
        <v>1459</v>
      </c>
      <c r="D812" s="89">
        <v>360</v>
      </c>
      <c r="E812" s="91" t="s">
        <v>776</v>
      </c>
      <c r="F812" s="92">
        <v>280000</v>
      </c>
      <c r="G812" s="92">
        <v>100800000</v>
      </c>
    </row>
    <row r="813" spans="1:7" x14ac:dyDescent="0.25">
      <c r="A813" s="7" t="s">
        <v>1460</v>
      </c>
      <c r="B813" s="89" t="s">
        <v>195</v>
      </c>
      <c r="C813" s="90" t="s">
        <v>1461</v>
      </c>
      <c r="D813" s="89">
        <v>12</v>
      </c>
      <c r="E813" s="91" t="s">
        <v>32</v>
      </c>
      <c r="F813" s="92">
        <v>400000</v>
      </c>
      <c r="G813" s="92">
        <v>4800000</v>
      </c>
    </row>
    <row r="814" spans="1:7" x14ac:dyDescent="0.25">
      <c r="A814" s="7" t="s">
        <v>1462</v>
      </c>
      <c r="B814" s="78" t="s">
        <v>518</v>
      </c>
      <c r="C814" s="79" t="s">
        <v>24</v>
      </c>
      <c r="D814" s="78"/>
      <c r="E814" s="80"/>
      <c r="F814" s="81"/>
      <c r="G814" s="81">
        <v>48000000</v>
      </c>
    </row>
    <row r="815" spans="1:7" x14ac:dyDescent="0.25">
      <c r="A815" s="7" t="s">
        <v>1463</v>
      </c>
      <c r="B815" s="89" t="s">
        <v>195</v>
      </c>
      <c r="C815" s="90" t="s">
        <v>1411</v>
      </c>
      <c r="D815" s="89">
        <v>480</v>
      </c>
      <c r="E815" s="91" t="s">
        <v>25</v>
      </c>
      <c r="F815" s="92">
        <v>100000</v>
      </c>
      <c r="G815" s="92">
        <v>48000000</v>
      </c>
    </row>
    <row r="816" spans="1:7" x14ac:dyDescent="0.25">
      <c r="A816" s="7" t="s">
        <v>1464</v>
      </c>
      <c r="B816" s="78" t="s">
        <v>513</v>
      </c>
      <c r="C816" s="79" t="s">
        <v>19</v>
      </c>
      <c r="D816" s="78"/>
      <c r="E816" s="80"/>
      <c r="F816" s="81"/>
      <c r="G816" s="81">
        <v>42772000</v>
      </c>
    </row>
    <row r="817" spans="1:7" x14ac:dyDescent="0.25">
      <c r="A817" s="7" t="s">
        <v>1465</v>
      </c>
      <c r="B817" s="89" t="s">
        <v>195</v>
      </c>
      <c r="C817" s="90" t="s">
        <v>1466</v>
      </c>
      <c r="D817" s="89">
        <v>10</v>
      </c>
      <c r="E817" s="91" t="s">
        <v>10</v>
      </c>
      <c r="F817" s="92">
        <v>4277000</v>
      </c>
      <c r="G817" s="92">
        <v>42772000</v>
      </c>
    </row>
    <row r="818" spans="1:7" x14ac:dyDescent="0.25">
      <c r="A818" s="7" t="s">
        <v>1467</v>
      </c>
      <c r="B818" s="78" t="s">
        <v>507</v>
      </c>
      <c r="C818" s="79" t="s">
        <v>13</v>
      </c>
      <c r="D818" s="78"/>
      <c r="E818" s="80"/>
      <c r="F818" s="81"/>
      <c r="G818" s="81">
        <v>2100000</v>
      </c>
    </row>
    <row r="819" spans="1:7" x14ac:dyDescent="0.25">
      <c r="A819" s="7" t="s">
        <v>1468</v>
      </c>
      <c r="B819" s="89" t="s">
        <v>195</v>
      </c>
      <c r="C819" s="90" t="s">
        <v>1436</v>
      </c>
      <c r="D819" s="89">
        <v>14</v>
      </c>
      <c r="E819" s="91" t="s">
        <v>10</v>
      </c>
      <c r="F819" s="92">
        <v>150000</v>
      </c>
      <c r="G819" s="92">
        <v>2100000</v>
      </c>
    </row>
    <row r="820" spans="1:7" ht="27.6" x14ac:dyDescent="0.25">
      <c r="A820" s="7" t="s">
        <v>1469</v>
      </c>
      <c r="B820" s="97" t="s">
        <v>578</v>
      </c>
      <c r="C820" s="98" t="s">
        <v>154</v>
      </c>
      <c r="D820" s="97"/>
      <c r="E820" s="99"/>
      <c r="F820" s="100"/>
      <c r="G820" s="100">
        <v>450000000</v>
      </c>
    </row>
    <row r="821" spans="1:7" x14ac:dyDescent="0.25">
      <c r="A821" s="7" t="s">
        <v>1470</v>
      </c>
      <c r="B821" s="78" t="s">
        <v>503</v>
      </c>
      <c r="C821" s="79" t="s">
        <v>7</v>
      </c>
      <c r="D821" s="78"/>
      <c r="E821" s="80"/>
      <c r="F821" s="81"/>
      <c r="G821" s="81">
        <v>32000000</v>
      </c>
    </row>
    <row r="822" spans="1:7" x14ac:dyDescent="0.25">
      <c r="A822" s="7" t="s">
        <v>1471</v>
      </c>
      <c r="B822" s="89" t="s">
        <v>195</v>
      </c>
      <c r="C822" s="90" t="s">
        <v>617</v>
      </c>
      <c r="D822" s="89">
        <v>8</v>
      </c>
      <c r="E822" s="91" t="s">
        <v>9</v>
      </c>
      <c r="F822" s="92">
        <v>1500000</v>
      </c>
      <c r="G822" s="92">
        <v>12000000</v>
      </c>
    </row>
    <row r="823" spans="1:7" x14ac:dyDescent="0.25">
      <c r="A823" s="7" t="s">
        <v>1472</v>
      </c>
      <c r="B823" s="89" t="s">
        <v>195</v>
      </c>
      <c r="C823" s="90" t="s">
        <v>619</v>
      </c>
      <c r="D823" s="89">
        <v>8</v>
      </c>
      <c r="E823" s="91" t="s">
        <v>9</v>
      </c>
      <c r="F823" s="92">
        <v>1000000</v>
      </c>
      <c r="G823" s="92">
        <v>8000000</v>
      </c>
    </row>
    <row r="824" spans="1:7" x14ac:dyDescent="0.25">
      <c r="A824" s="7" t="s">
        <v>1473</v>
      </c>
      <c r="B824" s="89" t="s">
        <v>195</v>
      </c>
      <c r="C824" s="90" t="s">
        <v>620</v>
      </c>
      <c r="D824" s="89">
        <v>8</v>
      </c>
      <c r="E824" s="91" t="s">
        <v>9</v>
      </c>
      <c r="F824" s="92">
        <v>1500000</v>
      </c>
      <c r="G824" s="92">
        <v>12000000</v>
      </c>
    </row>
    <row r="825" spans="1:7" x14ac:dyDescent="0.25">
      <c r="A825" s="7" t="s">
        <v>1474</v>
      </c>
      <c r="B825" s="78" t="s">
        <v>533</v>
      </c>
      <c r="C825" s="79" t="s">
        <v>53</v>
      </c>
      <c r="D825" s="78"/>
      <c r="E825" s="80"/>
      <c r="F825" s="81"/>
      <c r="G825" s="81">
        <v>298141000</v>
      </c>
    </row>
    <row r="826" spans="1:7" x14ac:dyDescent="0.25">
      <c r="A826" s="7" t="s">
        <v>1475</v>
      </c>
      <c r="B826" s="89" t="s">
        <v>195</v>
      </c>
      <c r="C826" s="90" t="s">
        <v>1476</v>
      </c>
      <c r="D826" s="89">
        <v>40</v>
      </c>
      <c r="E826" s="91" t="s">
        <v>10</v>
      </c>
      <c r="F826" s="92">
        <v>1000000</v>
      </c>
      <c r="G826" s="92">
        <v>40000000</v>
      </c>
    </row>
    <row r="827" spans="1:7" x14ac:dyDescent="0.25">
      <c r="A827" s="7" t="s">
        <v>1477</v>
      </c>
      <c r="B827" s="89" t="s">
        <v>195</v>
      </c>
      <c r="C827" s="90" t="s">
        <v>1478</v>
      </c>
      <c r="D827" s="89">
        <v>30</v>
      </c>
      <c r="E827" s="91" t="s">
        <v>776</v>
      </c>
      <c r="F827" s="92">
        <v>8000000</v>
      </c>
      <c r="G827" s="92">
        <v>240000000</v>
      </c>
    </row>
    <row r="828" spans="1:7" x14ac:dyDescent="0.25">
      <c r="A828" s="7" t="s">
        <v>1479</v>
      </c>
      <c r="B828" s="89" t="s">
        <v>195</v>
      </c>
      <c r="C828" s="90" t="s">
        <v>1480</v>
      </c>
      <c r="D828" s="89">
        <v>400</v>
      </c>
      <c r="E828" s="91" t="s">
        <v>10</v>
      </c>
      <c r="F828" s="92">
        <v>15000</v>
      </c>
      <c r="G828" s="92">
        <v>6000000</v>
      </c>
    </row>
    <row r="829" spans="1:7" x14ac:dyDescent="0.25">
      <c r="A829" s="7" t="s">
        <v>1481</v>
      </c>
      <c r="B829" s="89" t="s">
        <v>195</v>
      </c>
      <c r="C829" s="90" t="s">
        <v>1482</v>
      </c>
      <c r="D829" s="89">
        <v>1</v>
      </c>
      <c r="E829" s="91" t="s">
        <v>60</v>
      </c>
      <c r="F829" s="92">
        <v>12141000</v>
      </c>
      <c r="G829" s="92">
        <v>12141000</v>
      </c>
    </row>
    <row r="830" spans="1:7" x14ac:dyDescent="0.25">
      <c r="A830" s="7" t="s">
        <v>1483</v>
      </c>
      <c r="B830" s="78" t="s">
        <v>516</v>
      </c>
      <c r="C830" s="79" t="s">
        <v>11</v>
      </c>
      <c r="D830" s="78"/>
      <c r="E830" s="80"/>
      <c r="F830" s="81"/>
      <c r="G830" s="81">
        <v>30000000</v>
      </c>
    </row>
    <row r="831" spans="1:7" x14ac:dyDescent="0.25">
      <c r="A831" s="7" t="s">
        <v>1484</v>
      </c>
      <c r="B831" s="89" t="s">
        <v>195</v>
      </c>
      <c r="C831" s="90" t="s">
        <v>774</v>
      </c>
      <c r="D831" s="89">
        <v>30</v>
      </c>
      <c r="E831" s="91" t="s">
        <v>54</v>
      </c>
      <c r="F831" s="92">
        <v>1000000</v>
      </c>
      <c r="G831" s="92">
        <v>30000000</v>
      </c>
    </row>
    <row r="832" spans="1:7" x14ac:dyDescent="0.25">
      <c r="A832" s="7" t="s">
        <v>1485</v>
      </c>
      <c r="B832" s="78" t="s">
        <v>518</v>
      </c>
      <c r="C832" s="79" t="s">
        <v>24</v>
      </c>
      <c r="D832" s="78"/>
      <c r="E832" s="80"/>
      <c r="F832" s="81"/>
      <c r="G832" s="81">
        <v>8000000</v>
      </c>
    </row>
    <row r="833" spans="1:7" x14ac:dyDescent="0.25">
      <c r="A833" s="7" t="s">
        <v>1486</v>
      </c>
      <c r="B833" s="89" t="s">
        <v>195</v>
      </c>
      <c r="C833" s="90" t="s">
        <v>815</v>
      </c>
      <c r="D833" s="89">
        <v>1</v>
      </c>
      <c r="E833" s="91" t="s">
        <v>60</v>
      </c>
      <c r="F833" s="92">
        <v>8000000</v>
      </c>
      <c r="G833" s="92">
        <v>8000000</v>
      </c>
    </row>
    <row r="834" spans="1:7" x14ac:dyDescent="0.25">
      <c r="A834" s="7" t="s">
        <v>1487</v>
      </c>
      <c r="B834" s="78" t="s">
        <v>513</v>
      </c>
      <c r="C834" s="79" t="s">
        <v>19</v>
      </c>
      <c r="D834" s="78"/>
      <c r="E834" s="80"/>
      <c r="F834" s="81"/>
      <c r="G834" s="81">
        <v>81859000</v>
      </c>
    </row>
    <row r="835" spans="1:7" ht="27.6" x14ac:dyDescent="0.25">
      <c r="A835" s="7" t="s">
        <v>1488</v>
      </c>
      <c r="B835" s="89" t="s">
        <v>195</v>
      </c>
      <c r="C835" s="90" t="s">
        <v>1489</v>
      </c>
      <c r="D835" s="89">
        <v>32</v>
      </c>
      <c r="E835" s="91" t="s">
        <v>10</v>
      </c>
      <c r="F835" s="92">
        <v>2558000</v>
      </c>
      <c r="G835" s="92">
        <v>81859000</v>
      </c>
    </row>
    <row r="836" spans="1:7" x14ac:dyDescent="0.25">
      <c r="A836" s="7" t="s">
        <v>1490</v>
      </c>
      <c r="B836" s="97" t="s">
        <v>579</v>
      </c>
      <c r="C836" s="98" t="s">
        <v>56</v>
      </c>
      <c r="D836" s="97"/>
      <c r="E836" s="99"/>
      <c r="F836" s="100"/>
      <c r="G836" s="100">
        <v>350000000</v>
      </c>
    </row>
    <row r="837" spans="1:7" x14ac:dyDescent="0.25">
      <c r="A837" s="7" t="s">
        <v>1491</v>
      </c>
      <c r="B837" s="78" t="s">
        <v>503</v>
      </c>
      <c r="C837" s="79" t="s">
        <v>7</v>
      </c>
      <c r="D837" s="78"/>
      <c r="E837" s="80"/>
      <c r="F837" s="81"/>
      <c r="G837" s="81">
        <v>31000000</v>
      </c>
    </row>
    <row r="838" spans="1:7" x14ac:dyDescent="0.25">
      <c r="A838" s="7" t="s">
        <v>1492</v>
      </c>
      <c r="B838" s="89" t="s">
        <v>195</v>
      </c>
      <c r="C838" s="90" t="s">
        <v>771</v>
      </c>
      <c r="D838" s="89">
        <v>300</v>
      </c>
      <c r="E838" s="91" t="s">
        <v>10</v>
      </c>
      <c r="F838" s="92">
        <v>75000</v>
      </c>
      <c r="G838" s="92">
        <v>22500000</v>
      </c>
    </row>
    <row r="839" spans="1:7" x14ac:dyDescent="0.25">
      <c r="A839" s="7" t="s">
        <v>1493</v>
      </c>
      <c r="B839" s="89" t="s">
        <v>195</v>
      </c>
      <c r="C839" s="90" t="s">
        <v>617</v>
      </c>
      <c r="D839" s="89">
        <v>1</v>
      </c>
      <c r="E839" s="91" t="s">
        <v>9</v>
      </c>
      <c r="F839" s="92">
        <v>1000000</v>
      </c>
      <c r="G839" s="92">
        <v>1000000</v>
      </c>
    </row>
    <row r="840" spans="1:7" x14ac:dyDescent="0.25">
      <c r="A840" s="7" t="s">
        <v>1494</v>
      </c>
      <c r="B840" s="89" t="s">
        <v>195</v>
      </c>
      <c r="C840" s="90" t="s">
        <v>619</v>
      </c>
      <c r="D840" s="89">
        <v>3</v>
      </c>
      <c r="E840" s="91" t="s">
        <v>9</v>
      </c>
      <c r="F840" s="92">
        <v>1000000</v>
      </c>
      <c r="G840" s="92">
        <v>3000000</v>
      </c>
    </row>
    <row r="841" spans="1:7" x14ac:dyDescent="0.25">
      <c r="A841" s="7" t="s">
        <v>1495</v>
      </c>
      <c r="B841" s="89" t="s">
        <v>195</v>
      </c>
      <c r="C841" s="90" t="s">
        <v>620</v>
      </c>
      <c r="D841" s="89">
        <v>3</v>
      </c>
      <c r="E841" s="91" t="s">
        <v>9</v>
      </c>
      <c r="F841" s="92">
        <v>1500000</v>
      </c>
      <c r="G841" s="92">
        <v>4500000</v>
      </c>
    </row>
    <row r="842" spans="1:7" x14ac:dyDescent="0.25">
      <c r="A842" s="7" t="s">
        <v>1496</v>
      </c>
      <c r="B842" s="78" t="s">
        <v>533</v>
      </c>
      <c r="C842" s="79" t="s">
        <v>53</v>
      </c>
      <c r="D842" s="78"/>
      <c r="E842" s="80"/>
      <c r="F842" s="81"/>
      <c r="G842" s="81">
        <v>3000000</v>
      </c>
    </row>
    <row r="843" spans="1:7" x14ac:dyDescent="0.25">
      <c r="A843" s="7" t="s">
        <v>1497</v>
      </c>
      <c r="B843" s="89" t="s">
        <v>195</v>
      </c>
      <c r="C843" s="90" t="s">
        <v>785</v>
      </c>
      <c r="D843" s="89">
        <v>12</v>
      </c>
      <c r="E843" s="91" t="s">
        <v>78</v>
      </c>
      <c r="F843" s="92">
        <v>250000</v>
      </c>
      <c r="G843" s="92">
        <v>3000000</v>
      </c>
    </row>
    <row r="844" spans="1:7" x14ac:dyDescent="0.25">
      <c r="A844" s="7" t="s">
        <v>1498</v>
      </c>
      <c r="B844" s="78" t="s">
        <v>516</v>
      </c>
      <c r="C844" s="79" t="s">
        <v>11</v>
      </c>
      <c r="D844" s="78"/>
      <c r="E844" s="80"/>
      <c r="F844" s="81"/>
      <c r="G844" s="81">
        <v>70000000</v>
      </c>
    </row>
    <row r="845" spans="1:7" x14ac:dyDescent="0.25">
      <c r="A845" s="7" t="s">
        <v>1499</v>
      </c>
      <c r="B845" s="89" t="s">
        <v>195</v>
      </c>
      <c r="C845" s="90" t="s">
        <v>1500</v>
      </c>
      <c r="D845" s="89">
        <v>70</v>
      </c>
      <c r="E845" s="91" t="s">
        <v>12</v>
      </c>
      <c r="F845" s="92">
        <v>1000000</v>
      </c>
      <c r="G845" s="92">
        <v>70000000</v>
      </c>
    </row>
    <row r="846" spans="1:7" x14ac:dyDescent="0.25">
      <c r="A846" s="7" t="s">
        <v>1501</v>
      </c>
      <c r="B846" s="78" t="s">
        <v>513</v>
      </c>
      <c r="C846" s="79" t="s">
        <v>19</v>
      </c>
      <c r="D846" s="78"/>
      <c r="E846" s="80"/>
      <c r="F846" s="81"/>
      <c r="G846" s="81">
        <v>246000000</v>
      </c>
    </row>
    <row r="847" spans="1:7" x14ac:dyDescent="0.25">
      <c r="A847" s="7" t="s">
        <v>1502</v>
      </c>
      <c r="B847" s="89" t="s">
        <v>195</v>
      </c>
      <c r="C847" s="90" t="s">
        <v>1503</v>
      </c>
      <c r="D847" s="89">
        <v>39</v>
      </c>
      <c r="E847" s="91" t="s">
        <v>10</v>
      </c>
      <c r="F847" s="92">
        <v>6308000</v>
      </c>
      <c r="G847" s="92">
        <v>246000000</v>
      </c>
    </row>
    <row r="848" spans="1:7" ht="27.6" x14ac:dyDescent="0.25">
      <c r="A848" s="7" t="s">
        <v>1504</v>
      </c>
      <c r="B848" s="97" t="s">
        <v>580</v>
      </c>
      <c r="C848" s="98" t="s">
        <v>1505</v>
      </c>
      <c r="D848" s="97"/>
      <c r="E848" s="99"/>
      <c r="F848" s="100"/>
      <c r="G848" s="100">
        <v>668000000</v>
      </c>
    </row>
    <row r="849" spans="1:7" x14ac:dyDescent="0.25">
      <c r="A849" s="7" t="s">
        <v>1506</v>
      </c>
      <c r="B849" s="78" t="s">
        <v>503</v>
      </c>
      <c r="C849" s="79" t="s">
        <v>7</v>
      </c>
      <c r="D849" s="78"/>
      <c r="E849" s="80"/>
      <c r="F849" s="81"/>
      <c r="G849" s="81">
        <v>84800000</v>
      </c>
    </row>
    <row r="850" spans="1:7" x14ac:dyDescent="0.25">
      <c r="A850" s="7" t="s">
        <v>1507</v>
      </c>
      <c r="B850" s="89" t="s">
        <v>195</v>
      </c>
      <c r="C850" s="90" t="s">
        <v>771</v>
      </c>
      <c r="D850" s="89">
        <v>50</v>
      </c>
      <c r="E850" s="91" t="s">
        <v>10</v>
      </c>
      <c r="F850" s="92">
        <v>75000</v>
      </c>
      <c r="G850" s="92">
        <v>3750000</v>
      </c>
    </row>
    <row r="851" spans="1:7" x14ac:dyDescent="0.25">
      <c r="A851" s="7" t="s">
        <v>1508</v>
      </c>
      <c r="B851" s="89" t="s">
        <v>195</v>
      </c>
      <c r="C851" s="90" t="s">
        <v>617</v>
      </c>
      <c r="D851" s="89">
        <v>2</v>
      </c>
      <c r="E851" s="91" t="s">
        <v>9</v>
      </c>
      <c r="F851" s="92">
        <v>1000000</v>
      </c>
      <c r="G851" s="92">
        <v>2000000</v>
      </c>
    </row>
    <row r="852" spans="1:7" x14ac:dyDescent="0.25">
      <c r="A852" s="7" t="s">
        <v>1509</v>
      </c>
      <c r="B852" s="89" t="s">
        <v>195</v>
      </c>
      <c r="C852" s="90" t="s">
        <v>619</v>
      </c>
      <c r="D852" s="89">
        <v>2</v>
      </c>
      <c r="E852" s="91" t="s">
        <v>9</v>
      </c>
      <c r="F852" s="92">
        <v>1000000</v>
      </c>
      <c r="G852" s="92">
        <v>2000000</v>
      </c>
    </row>
    <row r="853" spans="1:7" x14ac:dyDescent="0.25">
      <c r="A853" s="7" t="s">
        <v>1510</v>
      </c>
      <c r="B853" s="89" t="s">
        <v>195</v>
      </c>
      <c r="C853" s="90" t="s">
        <v>620</v>
      </c>
      <c r="D853" s="89">
        <v>2</v>
      </c>
      <c r="E853" s="91" t="s">
        <v>9</v>
      </c>
      <c r="F853" s="92">
        <v>1500000</v>
      </c>
      <c r="G853" s="92">
        <v>3000000</v>
      </c>
    </row>
    <row r="854" spans="1:7" x14ac:dyDescent="0.25">
      <c r="A854" s="7" t="s">
        <v>1511</v>
      </c>
      <c r="B854" s="89" t="s">
        <v>195</v>
      </c>
      <c r="C854" s="90" t="s">
        <v>1512</v>
      </c>
      <c r="D854" s="89">
        <v>20</v>
      </c>
      <c r="E854" s="91" t="s">
        <v>58</v>
      </c>
      <c r="F854" s="92">
        <v>450000</v>
      </c>
      <c r="G854" s="92">
        <v>9000000</v>
      </c>
    </row>
    <row r="855" spans="1:7" x14ac:dyDescent="0.25">
      <c r="A855" s="7" t="s">
        <v>1513</v>
      </c>
      <c r="B855" s="89" t="s">
        <v>195</v>
      </c>
      <c r="C855" s="90" t="s">
        <v>1514</v>
      </c>
      <c r="D855" s="89">
        <v>20</v>
      </c>
      <c r="E855" s="91" t="s">
        <v>58</v>
      </c>
      <c r="F855" s="92">
        <v>450000</v>
      </c>
      <c r="G855" s="92">
        <v>9000000</v>
      </c>
    </row>
    <row r="856" spans="1:7" x14ac:dyDescent="0.25">
      <c r="A856" s="7" t="s">
        <v>1515</v>
      </c>
      <c r="B856" s="89" t="s">
        <v>195</v>
      </c>
      <c r="C856" s="90" t="s">
        <v>1516</v>
      </c>
      <c r="D856" s="89">
        <v>1</v>
      </c>
      <c r="E856" s="91" t="s">
        <v>23</v>
      </c>
      <c r="F856" s="92">
        <v>27575000</v>
      </c>
      <c r="G856" s="92">
        <v>27575000</v>
      </c>
    </row>
    <row r="857" spans="1:7" x14ac:dyDescent="0.25">
      <c r="A857" s="7" t="s">
        <v>1517</v>
      </c>
      <c r="B857" s="89" t="s">
        <v>195</v>
      </c>
      <c r="C857" s="90" t="s">
        <v>1518</v>
      </c>
      <c r="D857" s="89">
        <v>1</v>
      </c>
      <c r="E857" s="91" t="s">
        <v>23</v>
      </c>
      <c r="F857" s="92">
        <v>27575000</v>
      </c>
      <c r="G857" s="92">
        <v>27575000</v>
      </c>
    </row>
    <row r="858" spans="1:7" x14ac:dyDescent="0.25">
      <c r="A858" s="7" t="s">
        <v>1519</v>
      </c>
      <c r="B858" s="89" t="s">
        <v>195</v>
      </c>
      <c r="C858" s="90" t="s">
        <v>1520</v>
      </c>
      <c r="D858" s="89">
        <v>3</v>
      </c>
      <c r="E858" s="91" t="s">
        <v>58</v>
      </c>
      <c r="F858" s="92">
        <v>300000</v>
      </c>
      <c r="G858" s="92">
        <v>900000</v>
      </c>
    </row>
    <row r="859" spans="1:7" x14ac:dyDescent="0.25">
      <c r="A859" s="7" t="s">
        <v>1521</v>
      </c>
      <c r="B859" s="78" t="s">
        <v>533</v>
      </c>
      <c r="C859" s="79" t="s">
        <v>53</v>
      </c>
      <c r="D859" s="78"/>
      <c r="E859" s="80"/>
      <c r="F859" s="81"/>
      <c r="G859" s="81">
        <v>393200000</v>
      </c>
    </row>
    <row r="860" spans="1:7" x14ac:dyDescent="0.25">
      <c r="A860" s="7" t="s">
        <v>1522</v>
      </c>
      <c r="B860" s="89" t="s">
        <v>195</v>
      </c>
      <c r="C860" s="90" t="s">
        <v>1523</v>
      </c>
      <c r="D860" s="89">
        <v>1</v>
      </c>
      <c r="E860" s="91" t="s">
        <v>66</v>
      </c>
      <c r="F860" s="92">
        <v>196600000</v>
      </c>
      <c r="G860" s="92">
        <v>196600000</v>
      </c>
    </row>
    <row r="861" spans="1:7" x14ac:dyDescent="0.25">
      <c r="A861" s="7" t="s">
        <v>1524</v>
      </c>
      <c r="B861" s="89" t="s">
        <v>195</v>
      </c>
      <c r="C861" s="90" t="s">
        <v>1525</v>
      </c>
      <c r="D861" s="89">
        <v>1</v>
      </c>
      <c r="E861" s="91" t="s">
        <v>66</v>
      </c>
      <c r="F861" s="92">
        <v>196600000</v>
      </c>
      <c r="G861" s="92">
        <v>196600000</v>
      </c>
    </row>
    <row r="862" spans="1:7" x14ac:dyDescent="0.25">
      <c r="A862" s="7" t="s">
        <v>1526</v>
      </c>
      <c r="B862" s="78" t="s">
        <v>564</v>
      </c>
      <c r="C862" s="79" t="s">
        <v>95</v>
      </c>
      <c r="D862" s="78"/>
      <c r="E862" s="80"/>
      <c r="F862" s="81"/>
      <c r="G862" s="81">
        <v>160000000</v>
      </c>
    </row>
    <row r="863" spans="1:7" x14ac:dyDescent="0.25">
      <c r="A863" s="7" t="s">
        <v>1527</v>
      </c>
      <c r="B863" s="89" t="s">
        <v>195</v>
      </c>
      <c r="C863" s="90" t="s">
        <v>1528</v>
      </c>
      <c r="D863" s="89">
        <v>2</v>
      </c>
      <c r="E863" s="91" t="s">
        <v>23</v>
      </c>
      <c r="F863" s="92">
        <v>50000000</v>
      </c>
      <c r="G863" s="92">
        <v>100000000</v>
      </c>
    </row>
    <row r="864" spans="1:7" x14ac:dyDescent="0.25">
      <c r="A864" s="7" t="s">
        <v>1529</v>
      </c>
      <c r="B864" s="89" t="s">
        <v>195</v>
      </c>
      <c r="C864" s="90" t="s">
        <v>1530</v>
      </c>
      <c r="D864" s="89">
        <v>2</v>
      </c>
      <c r="E864" s="91" t="s">
        <v>23</v>
      </c>
      <c r="F864" s="92">
        <v>10000000</v>
      </c>
      <c r="G864" s="92">
        <v>20000000</v>
      </c>
    </row>
    <row r="865" spans="1:7" x14ac:dyDescent="0.25">
      <c r="A865" s="7" t="s">
        <v>1531</v>
      </c>
      <c r="B865" s="89" t="s">
        <v>195</v>
      </c>
      <c r="C865" s="90" t="s">
        <v>1532</v>
      </c>
      <c r="D865" s="89">
        <v>4</v>
      </c>
      <c r="E865" s="91" t="s">
        <v>23</v>
      </c>
      <c r="F865" s="92">
        <v>10000000</v>
      </c>
      <c r="G865" s="92">
        <v>40000000</v>
      </c>
    </row>
    <row r="866" spans="1:7" x14ac:dyDescent="0.25">
      <c r="A866" s="7" t="s">
        <v>1533</v>
      </c>
      <c r="B866" s="78" t="s">
        <v>513</v>
      </c>
      <c r="C866" s="79" t="s">
        <v>19</v>
      </c>
      <c r="D866" s="78"/>
      <c r="E866" s="80"/>
      <c r="F866" s="81"/>
      <c r="G866" s="81">
        <v>30000000</v>
      </c>
    </row>
    <row r="867" spans="1:7" ht="27.6" x14ac:dyDescent="0.25">
      <c r="A867" s="7" t="s">
        <v>1534</v>
      </c>
      <c r="B867" s="89" t="s">
        <v>195</v>
      </c>
      <c r="C867" s="90" t="s">
        <v>1535</v>
      </c>
      <c r="D867" s="89">
        <v>12</v>
      </c>
      <c r="E867" s="91" t="s">
        <v>10</v>
      </c>
      <c r="F867" s="92">
        <v>2500000</v>
      </c>
      <c r="G867" s="92">
        <v>30000000</v>
      </c>
    </row>
    <row r="868" spans="1:7" ht="27.6" x14ac:dyDescent="0.25">
      <c r="A868" s="7" t="s">
        <v>1536</v>
      </c>
      <c r="B868" s="97" t="s">
        <v>581</v>
      </c>
      <c r="C868" s="98" t="s">
        <v>1537</v>
      </c>
      <c r="D868" s="97"/>
      <c r="E868" s="99"/>
      <c r="F868" s="100"/>
      <c r="G868" s="100">
        <v>82000000</v>
      </c>
    </row>
    <row r="869" spans="1:7" x14ac:dyDescent="0.25">
      <c r="A869" s="7" t="s">
        <v>1538</v>
      </c>
      <c r="B869" s="78" t="s">
        <v>503</v>
      </c>
      <c r="C869" s="79" t="s">
        <v>7</v>
      </c>
      <c r="D869" s="78"/>
      <c r="E869" s="80"/>
      <c r="F869" s="81"/>
      <c r="G869" s="81">
        <v>17550000</v>
      </c>
    </row>
    <row r="870" spans="1:7" x14ac:dyDescent="0.25">
      <c r="A870" s="7" t="s">
        <v>1539</v>
      </c>
      <c r="B870" s="89" t="s">
        <v>195</v>
      </c>
      <c r="C870" s="90" t="s">
        <v>771</v>
      </c>
      <c r="D870" s="89">
        <v>20</v>
      </c>
      <c r="E870" s="91" t="s">
        <v>10</v>
      </c>
      <c r="F870" s="92">
        <v>75000</v>
      </c>
      <c r="G870" s="92">
        <v>1500000</v>
      </c>
    </row>
    <row r="871" spans="1:7" x14ac:dyDescent="0.25">
      <c r="A871" s="7" t="s">
        <v>1540</v>
      </c>
      <c r="B871" s="89" t="s">
        <v>195</v>
      </c>
      <c r="C871" s="90" t="s">
        <v>617</v>
      </c>
      <c r="D871" s="89">
        <v>2</v>
      </c>
      <c r="E871" s="91" t="s">
        <v>9</v>
      </c>
      <c r="F871" s="92">
        <v>1000000</v>
      </c>
      <c r="G871" s="92">
        <v>2000000</v>
      </c>
    </row>
    <row r="872" spans="1:7" x14ac:dyDescent="0.25">
      <c r="A872" s="7" t="s">
        <v>1541</v>
      </c>
      <c r="B872" s="89" t="s">
        <v>195</v>
      </c>
      <c r="C872" s="90" t="s">
        <v>619</v>
      </c>
      <c r="D872" s="89">
        <v>2</v>
      </c>
      <c r="E872" s="91" t="s">
        <v>9</v>
      </c>
      <c r="F872" s="92">
        <v>1000000</v>
      </c>
      <c r="G872" s="92">
        <v>2000000</v>
      </c>
    </row>
    <row r="873" spans="1:7" x14ac:dyDescent="0.25">
      <c r="A873" s="7" t="s">
        <v>1542</v>
      </c>
      <c r="B873" s="89" t="s">
        <v>195</v>
      </c>
      <c r="C873" s="90" t="s">
        <v>620</v>
      </c>
      <c r="D873" s="89">
        <v>2</v>
      </c>
      <c r="E873" s="91" t="s">
        <v>9</v>
      </c>
      <c r="F873" s="92">
        <v>1500000</v>
      </c>
      <c r="G873" s="92">
        <v>3000000</v>
      </c>
    </row>
    <row r="874" spans="1:7" x14ac:dyDescent="0.25">
      <c r="A874" s="7" t="s">
        <v>1543</v>
      </c>
      <c r="B874" s="89" t="s">
        <v>195</v>
      </c>
      <c r="C874" s="90" t="s">
        <v>1544</v>
      </c>
      <c r="D874" s="89">
        <v>10</v>
      </c>
      <c r="E874" s="91" t="s">
        <v>58</v>
      </c>
      <c r="F874" s="92">
        <v>250000</v>
      </c>
      <c r="G874" s="92">
        <v>2500000</v>
      </c>
    </row>
    <row r="875" spans="1:7" x14ac:dyDescent="0.25">
      <c r="A875" s="7" t="s">
        <v>1545</v>
      </c>
      <c r="B875" s="89" t="s">
        <v>195</v>
      </c>
      <c r="C875" s="90" t="s">
        <v>1546</v>
      </c>
      <c r="D875" s="89">
        <v>500</v>
      </c>
      <c r="E875" s="91" t="s">
        <v>58</v>
      </c>
      <c r="F875" s="92">
        <v>6000</v>
      </c>
      <c r="G875" s="92">
        <v>3000000</v>
      </c>
    </row>
    <row r="876" spans="1:7" x14ac:dyDescent="0.25">
      <c r="A876" s="7" t="s">
        <v>1547</v>
      </c>
      <c r="B876" s="89" t="s">
        <v>195</v>
      </c>
      <c r="C876" s="90" t="s">
        <v>1548</v>
      </c>
      <c r="D876" s="89">
        <v>100</v>
      </c>
      <c r="E876" s="91" t="s">
        <v>58</v>
      </c>
      <c r="F876" s="92">
        <v>36000</v>
      </c>
      <c r="G876" s="92">
        <v>3550000</v>
      </c>
    </row>
    <row r="877" spans="1:7" x14ac:dyDescent="0.25">
      <c r="A877" s="7" t="s">
        <v>1549</v>
      </c>
      <c r="B877" s="78" t="s">
        <v>533</v>
      </c>
      <c r="C877" s="79" t="s">
        <v>53</v>
      </c>
      <c r="D877" s="78"/>
      <c r="E877" s="80"/>
      <c r="F877" s="81"/>
      <c r="G877" s="81">
        <v>3000000</v>
      </c>
    </row>
    <row r="878" spans="1:7" x14ac:dyDescent="0.25">
      <c r="A878" s="7" t="s">
        <v>1550</v>
      </c>
      <c r="B878" s="89" t="s">
        <v>195</v>
      </c>
      <c r="C878" s="90" t="s">
        <v>785</v>
      </c>
      <c r="D878" s="89">
        <v>12</v>
      </c>
      <c r="E878" s="91" t="s">
        <v>66</v>
      </c>
      <c r="F878" s="92">
        <v>250000</v>
      </c>
      <c r="G878" s="92">
        <v>3000000</v>
      </c>
    </row>
    <row r="879" spans="1:7" x14ac:dyDescent="0.25">
      <c r="A879" s="7" t="s">
        <v>1551</v>
      </c>
      <c r="B879" s="78" t="s">
        <v>516</v>
      </c>
      <c r="C879" s="79" t="s">
        <v>11</v>
      </c>
      <c r="D879" s="78"/>
      <c r="E879" s="80"/>
      <c r="F879" s="81"/>
      <c r="G879" s="81">
        <v>40000000</v>
      </c>
    </row>
    <row r="880" spans="1:7" x14ac:dyDescent="0.25">
      <c r="A880" s="7" t="s">
        <v>1552</v>
      </c>
      <c r="B880" s="89" t="s">
        <v>195</v>
      </c>
      <c r="C880" s="90" t="s">
        <v>1500</v>
      </c>
      <c r="D880" s="89">
        <v>40</v>
      </c>
      <c r="E880" s="91" t="s">
        <v>54</v>
      </c>
      <c r="F880" s="92">
        <v>1000000</v>
      </c>
      <c r="G880" s="92">
        <v>40000000</v>
      </c>
    </row>
    <row r="881" spans="1:7" x14ac:dyDescent="0.25">
      <c r="A881" s="7" t="s">
        <v>1553</v>
      </c>
      <c r="B881" s="78" t="s">
        <v>513</v>
      </c>
      <c r="C881" s="79" t="s">
        <v>19</v>
      </c>
      <c r="D881" s="78"/>
      <c r="E881" s="80"/>
      <c r="F881" s="81"/>
      <c r="G881" s="81">
        <v>21450000</v>
      </c>
    </row>
    <row r="882" spans="1:7" ht="27.6" x14ac:dyDescent="0.25">
      <c r="A882" s="7" t="s">
        <v>1554</v>
      </c>
      <c r="B882" s="89" t="s">
        <v>195</v>
      </c>
      <c r="C882" s="90" t="s">
        <v>1555</v>
      </c>
      <c r="D882" s="89">
        <v>10</v>
      </c>
      <c r="E882" s="91" t="s">
        <v>10</v>
      </c>
      <c r="F882" s="92">
        <v>2145000</v>
      </c>
      <c r="G882" s="92">
        <v>21450000</v>
      </c>
    </row>
    <row r="883" spans="1:7" x14ac:dyDescent="0.25">
      <c r="A883" s="7" t="s">
        <v>1556</v>
      </c>
      <c r="B883" s="89" t="s">
        <v>1557</v>
      </c>
      <c r="C883" s="90" t="s">
        <v>1558</v>
      </c>
      <c r="D883" s="89"/>
      <c r="E883" s="91"/>
      <c r="F883" s="92"/>
      <c r="G883" s="92">
        <v>920000000</v>
      </c>
    </row>
    <row r="884" spans="1:7" ht="27.6" x14ac:dyDescent="0.25">
      <c r="A884" s="7" t="s">
        <v>1559</v>
      </c>
      <c r="B884" s="93" t="s">
        <v>826</v>
      </c>
      <c r="C884" s="94" t="s">
        <v>1560</v>
      </c>
      <c r="D884" s="93"/>
      <c r="E884" s="95"/>
      <c r="F884" s="96"/>
      <c r="G884" s="96">
        <v>649500000</v>
      </c>
    </row>
    <row r="885" spans="1:7" x14ac:dyDescent="0.25">
      <c r="A885" s="7" t="s">
        <v>1561</v>
      </c>
      <c r="B885" s="97" t="s">
        <v>8</v>
      </c>
      <c r="C885" s="98" t="s">
        <v>1562</v>
      </c>
      <c r="D885" s="97"/>
      <c r="E885" s="99"/>
      <c r="F885" s="100"/>
      <c r="G885" s="100">
        <v>446900000</v>
      </c>
    </row>
    <row r="886" spans="1:7" x14ac:dyDescent="0.25">
      <c r="A886" s="7" t="s">
        <v>1563</v>
      </c>
      <c r="B886" s="78" t="s">
        <v>503</v>
      </c>
      <c r="C886" s="79" t="s">
        <v>7</v>
      </c>
      <c r="D886" s="78"/>
      <c r="E886" s="80"/>
      <c r="F886" s="81"/>
      <c r="G886" s="81">
        <v>102000000</v>
      </c>
    </row>
    <row r="887" spans="1:7" x14ac:dyDescent="0.25">
      <c r="A887" s="7" t="s">
        <v>195</v>
      </c>
      <c r="B887" s="89" t="s">
        <v>195</v>
      </c>
      <c r="C887" s="90" t="s">
        <v>1564</v>
      </c>
      <c r="D887" s="89">
        <v>0</v>
      </c>
      <c r="E887" s="91" t="s">
        <v>195</v>
      </c>
      <c r="F887" s="92">
        <v>0</v>
      </c>
      <c r="G887" s="92">
        <v>0</v>
      </c>
    </row>
    <row r="888" spans="1:7" x14ac:dyDescent="0.25">
      <c r="A888" s="7" t="s">
        <v>1565</v>
      </c>
      <c r="B888" s="89" t="s">
        <v>195</v>
      </c>
      <c r="C888" s="90" t="s">
        <v>1566</v>
      </c>
      <c r="D888" s="89">
        <v>200</v>
      </c>
      <c r="E888" s="91" t="s">
        <v>180</v>
      </c>
      <c r="F888" s="92">
        <v>300000</v>
      </c>
      <c r="G888" s="92">
        <v>60000000</v>
      </c>
    </row>
    <row r="889" spans="1:7" x14ac:dyDescent="0.25">
      <c r="A889" s="7" t="s">
        <v>1567</v>
      </c>
      <c r="B889" s="89" t="s">
        <v>195</v>
      </c>
      <c r="C889" s="90" t="s">
        <v>1568</v>
      </c>
      <c r="D889" s="89">
        <v>100</v>
      </c>
      <c r="E889" s="91" t="s">
        <v>180</v>
      </c>
      <c r="F889" s="92">
        <v>300000</v>
      </c>
      <c r="G889" s="92">
        <v>30000000</v>
      </c>
    </row>
    <row r="890" spans="1:7" x14ac:dyDescent="0.25">
      <c r="A890" s="7" t="s">
        <v>1569</v>
      </c>
      <c r="B890" s="89" t="s">
        <v>195</v>
      </c>
      <c r="C890" s="90" t="s">
        <v>1109</v>
      </c>
      <c r="D890" s="89">
        <v>12</v>
      </c>
      <c r="E890" s="91" t="s">
        <v>52</v>
      </c>
      <c r="F890" s="92">
        <v>1000000</v>
      </c>
      <c r="G890" s="92">
        <v>12000000</v>
      </c>
    </row>
    <row r="891" spans="1:7" x14ac:dyDescent="0.25">
      <c r="A891" s="7" t="s">
        <v>1570</v>
      </c>
      <c r="B891" s="78" t="s">
        <v>522</v>
      </c>
      <c r="C891" s="79" t="s">
        <v>30</v>
      </c>
      <c r="D891" s="78"/>
      <c r="E891" s="80"/>
      <c r="F891" s="81"/>
      <c r="G891" s="81">
        <v>13400000</v>
      </c>
    </row>
    <row r="892" spans="1:7" x14ac:dyDescent="0.25">
      <c r="A892" s="7" t="s">
        <v>195</v>
      </c>
      <c r="B892" s="89" t="s">
        <v>195</v>
      </c>
      <c r="C892" s="90" t="s">
        <v>1571</v>
      </c>
      <c r="D892" s="89">
        <v>0</v>
      </c>
      <c r="E892" s="91" t="s">
        <v>195</v>
      </c>
      <c r="F892" s="92">
        <v>0</v>
      </c>
      <c r="G892" s="92">
        <v>0</v>
      </c>
    </row>
    <row r="893" spans="1:7" x14ac:dyDescent="0.25">
      <c r="A893" s="7" t="s">
        <v>1572</v>
      </c>
      <c r="B893" s="89" t="s">
        <v>195</v>
      </c>
      <c r="C893" s="90" t="s">
        <v>1573</v>
      </c>
      <c r="D893" s="89">
        <v>2</v>
      </c>
      <c r="E893" s="91" t="s">
        <v>1060</v>
      </c>
      <c r="F893" s="92">
        <v>500000</v>
      </c>
      <c r="G893" s="92">
        <v>1000000</v>
      </c>
    </row>
    <row r="894" spans="1:7" x14ac:dyDescent="0.25">
      <c r="A894" s="7" t="s">
        <v>1574</v>
      </c>
      <c r="B894" s="89" t="s">
        <v>195</v>
      </c>
      <c r="C894" s="90" t="s">
        <v>1575</v>
      </c>
      <c r="D894" s="89">
        <v>16</v>
      </c>
      <c r="E894" s="91" t="s">
        <v>1060</v>
      </c>
      <c r="F894" s="92">
        <v>400000</v>
      </c>
      <c r="G894" s="92">
        <v>6400000</v>
      </c>
    </row>
    <row r="895" spans="1:7" x14ac:dyDescent="0.25">
      <c r="A895" s="7" t="s">
        <v>1576</v>
      </c>
      <c r="B895" s="89" t="s">
        <v>195</v>
      </c>
      <c r="C895" s="90" t="s">
        <v>1577</v>
      </c>
      <c r="D895" s="89">
        <v>20</v>
      </c>
      <c r="E895" s="91" t="s">
        <v>1060</v>
      </c>
      <c r="F895" s="92">
        <v>300000</v>
      </c>
      <c r="G895" s="92">
        <v>6000000</v>
      </c>
    </row>
    <row r="896" spans="1:7" ht="27.6" x14ac:dyDescent="0.25">
      <c r="A896" s="7" t="s">
        <v>1578</v>
      </c>
      <c r="B896" s="78" t="s">
        <v>515</v>
      </c>
      <c r="C896" s="79" t="s">
        <v>642</v>
      </c>
      <c r="D896" s="78"/>
      <c r="E896" s="80"/>
      <c r="F896" s="81"/>
      <c r="G896" s="81">
        <v>19200000</v>
      </c>
    </row>
    <row r="897" spans="1:7" x14ac:dyDescent="0.25">
      <c r="A897" s="7" t="s">
        <v>1579</v>
      </c>
      <c r="B897" s="89" t="s">
        <v>195</v>
      </c>
      <c r="C897" s="90" t="s">
        <v>1580</v>
      </c>
      <c r="D897" s="89">
        <v>96</v>
      </c>
      <c r="E897" s="91" t="s">
        <v>32</v>
      </c>
      <c r="F897" s="92">
        <v>200000</v>
      </c>
      <c r="G897" s="92">
        <v>19200000</v>
      </c>
    </row>
    <row r="898" spans="1:7" x14ac:dyDescent="0.25">
      <c r="A898" s="7" t="s">
        <v>1581</v>
      </c>
      <c r="B898" s="78" t="s">
        <v>537</v>
      </c>
      <c r="C898" s="79" t="s">
        <v>64</v>
      </c>
      <c r="D898" s="78"/>
      <c r="E898" s="80"/>
      <c r="F898" s="81"/>
      <c r="G898" s="81">
        <v>24000000</v>
      </c>
    </row>
    <row r="899" spans="1:7" x14ac:dyDescent="0.25">
      <c r="A899" s="7" t="s">
        <v>1582</v>
      </c>
      <c r="B899" s="89" t="s">
        <v>195</v>
      </c>
      <c r="C899" s="90" t="s">
        <v>619</v>
      </c>
      <c r="D899" s="89">
        <v>12</v>
      </c>
      <c r="E899" s="91" t="s">
        <v>52</v>
      </c>
      <c r="F899" s="92">
        <v>1000000</v>
      </c>
      <c r="G899" s="92">
        <v>12000000</v>
      </c>
    </row>
    <row r="900" spans="1:7" x14ac:dyDescent="0.25">
      <c r="A900" s="7" t="s">
        <v>1583</v>
      </c>
      <c r="B900" s="89" t="s">
        <v>195</v>
      </c>
      <c r="C900" s="90" t="s">
        <v>859</v>
      </c>
      <c r="D900" s="89">
        <v>12</v>
      </c>
      <c r="E900" s="91" t="s">
        <v>52</v>
      </c>
      <c r="F900" s="92">
        <v>1000000</v>
      </c>
      <c r="G900" s="92">
        <v>12000000</v>
      </c>
    </row>
    <row r="901" spans="1:7" x14ac:dyDescent="0.25">
      <c r="A901" s="7" t="s">
        <v>1584</v>
      </c>
      <c r="B901" s="78" t="s">
        <v>516</v>
      </c>
      <c r="C901" s="79" t="s">
        <v>11</v>
      </c>
      <c r="D901" s="78"/>
      <c r="E901" s="80"/>
      <c r="F901" s="81"/>
      <c r="G901" s="81">
        <v>22400000</v>
      </c>
    </row>
    <row r="902" spans="1:7" x14ac:dyDescent="0.25">
      <c r="A902" s="7" t="s">
        <v>1585</v>
      </c>
      <c r="B902" s="89" t="s">
        <v>195</v>
      </c>
      <c r="C902" s="90" t="s">
        <v>1586</v>
      </c>
      <c r="D902" s="89">
        <v>8</v>
      </c>
      <c r="E902" s="91" t="s">
        <v>54</v>
      </c>
      <c r="F902" s="92">
        <v>1000000</v>
      </c>
      <c r="G902" s="92">
        <v>8000000</v>
      </c>
    </row>
    <row r="903" spans="1:7" x14ac:dyDescent="0.25">
      <c r="A903" s="7" t="s">
        <v>1587</v>
      </c>
      <c r="B903" s="89" t="s">
        <v>195</v>
      </c>
      <c r="C903" s="90" t="s">
        <v>1588</v>
      </c>
      <c r="D903" s="89">
        <v>16</v>
      </c>
      <c r="E903" s="91" t="s">
        <v>54</v>
      </c>
      <c r="F903" s="92">
        <v>900000</v>
      </c>
      <c r="G903" s="92">
        <v>14400000</v>
      </c>
    </row>
    <row r="904" spans="1:7" x14ac:dyDescent="0.25">
      <c r="A904" s="7" t="s">
        <v>1589</v>
      </c>
      <c r="B904" s="78" t="s">
        <v>517</v>
      </c>
      <c r="C904" s="79" t="s">
        <v>22</v>
      </c>
      <c r="D904" s="78"/>
      <c r="E904" s="80"/>
      <c r="F904" s="81"/>
      <c r="G904" s="81">
        <v>60000000</v>
      </c>
    </row>
    <row r="905" spans="1:7" x14ac:dyDescent="0.25">
      <c r="A905" s="7" t="s">
        <v>1590</v>
      </c>
      <c r="B905" s="89" t="s">
        <v>195</v>
      </c>
      <c r="C905" s="90" t="s">
        <v>1591</v>
      </c>
      <c r="D905" s="89">
        <v>12</v>
      </c>
      <c r="E905" s="91" t="s">
        <v>52</v>
      </c>
      <c r="F905" s="92">
        <v>5000000</v>
      </c>
      <c r="G905" s="92">
        <v>60000000</v>
      </c>
    </row>
    <row r="906" spans="1:7" x14ac:dyDescent="0.25">
      <c r="A906" s="7" t="s">
        <v>1592</v>
      </c>
      <c r="B906" s="78" t="s">
        <v>518</v>
      </c>
      <c r="C906" s="79" t="s">
        <v>24</v>
      </c>
      <c r="D906" s="78"/>
      <c r="E906" s="80"/>
      <c r="F906" s="81"/>
      <c r="G906" s="81">
        <v>24500000</v>
      </c>
    </row>
    <row r="907" spans="1:7" x14ac:dyDescent="0.25">
      <c r="A907" s="7" t="s">
        <v>1593</v>
      </c>
      <c r="B907" s="89" t="s">
        <v>195</v>
      </c>
      <c r="C907" s="90" t="s">
        <v>1594</v>
      </c>
      <c r="D907" s="89">
        <v>70</v>
      </c>
      <c r="E907" s="91" t="s">
        <v>25</v>
      </c>
      <c r="F907" s="92">
        <v>350000</v>
      </c>
      <c r="G907" s="92">
        <v>24500000</v>
      </c>
    </row>
    <row r="908" spans="1:7" x14ac:dyDescent="0.25">
      <c r="A908" s="7" t="s">
        <v>1595</v>
      </c>
      <c r="B908" s="78" t="s">
        <v>513</v>
      </c>
      <c r="C908" s="79" t="s">
        <v>19</v>
      </c>
      <c r="D908" s="78"/>
      <c r="E908" s="80"/>
      <c r="F908" s="81"/>
      <c r="G908" s="81">
        <v>150000000</v>
      </c>
    </row>
    <row r="909" spans="1:7" ht="27.6" x14ac:dyDescent="0.25">
      <c r="A909" s="7" t="s">
        <v>1596</v>
      </c>
      <c r="B909" s="89" t="s">
        <v>195</v>
      </c>
      <c r="C909" s="90" t="s">
        <v>1597</v>
      </c>
      <c r="D909" s="89">
        <v>30</v>
      </c>
      <c r="E909" s="91" t="s">
        <v>25</v>
      </c>
      <c r="F909" s="92">
        <v>5000000</v>
      </c>
      <c r="G909" s="92">
        <v>150000000</v>
      </c>
    </row>
    <row r="910" spans="1:7" x14ac:dyDescent="0.25">
      <c r="A910" s="7" t="s">
        <v>1598</v>
      </c>
      <c r="B910" s="78" t="s">
        <v>507</v>
      </c>
      <c r="C910" s="79" t="s">
        <v>13</v>
      </c>
      <c r="D910" s="78"/>
      <c r="E910" s="80"/>
      <c r="F910" s="81"/>
      <c r="G910" s="81">
        <v>15300000</v>
      </c>
    </row>
    <row r="911" spans="1:7" x14ac:dyDescent="0.25">
      <c r="A911" s="7" t="s">
        <v>1599</v>
      </c>
      <c r="B911" s="89" t="s">
        <v>195</v>
      </c>
      <c r="C911" s="90" t="s">
        <v>630</v>
      </c>
      <c r="D911" s="89">
        <v>60</v>
      </c>
      <c r="E911" s="91" t="s">
        <v>25</v>
      </c>
      <c r="F911" s="92">
        <v>150000</v>
      </c>
      <c r="G911" s="92">
        <v>9000000</v>
      </c>
    </row>
    <row r="912" spans="1:7" x14ac:dyDescent="0.25">
      <c r="A912" s="7" t="s">
        <v>1600</v>
      </c>
      <c r="B912" s="89" t="s">
        <v>195</v>
      </c>
      <c r="C912" s="90" t="s">
        <v>1601</v>
      </c>
      <c r="D912" s="89">
        <v>30</v>
      </c>
      <c r="E912" s="91" t="s">
        <v>73</v>
      </c>
      <c r="F912" s="92">
        <v>210000</v>
      </c>
      <c r="G912" s="92">
        <v>6300000</v>
      </c>
    </row>
    <row r="913" spans="1:7" x14ac:dyDescent="0.25">
      <c r="A913" s="7" t="s">
        <v>1602</v>
      </c>
      <c r="B913" s="78" t="s">
        <v>509</v>
      </c>
      <c r="C913" s="79" t="s">
        <v>14</v>
      </c>
      <c r="D913" s="78"/>
      <c r="E913" s="80"/>
      <c r="F913" s="81"/>
      <c r="G913" s="81">
        <v>5600000</v>
      </c>
    </row>
    <row r="914" spans="1:7" x14ac:dyDescent="0.25">
      <c r="A914" s="7" t="s">
        <v>1603</v>
      </c>
      <c r="B914" s="89" t="s">
        <v>195</v>
      </c>
      <c r="C914" s="90" t="s">
        <v>1604</v>
      </c>
      <c r="D914" s="89">
        <v>20</v>
      </c>
      <c r="E914" s="91" t="s">
        <v>25</v>
      </c>
      <c r="F914" s="92">
        <v>130000</v>
      </c>
      <c r="G914" s="92">
        <v>2600000</v>
      </c>
    </row>
    <row r="915" spans="1:7" x14ac:dyDescent="0.25">
      <c r="A915" s="7" t="s">
        <v>1605</v>
      </c>
      <c r="B915" s="89" t="s">
        <v>195</v>
      </c>
      <c r="C915" s="90" t="s">
        <v>1606</v>
      </c>
      <c r="D915" s="89">
        <v>20</v>
      </c>
      <c r="E915" s="91" t="s">
        <v>25</v>
      </c>
      <c r="F915" s="92">
        <v>150000</v>
      </c>
      <c r="G915" s="92">
        <v>3000000</v>
      </c>
    </row>
    <row r="916" spans="1:7" x14ac:dyDescent="0.25">
      <c r="A916" s="7" t="s">
        <v>1607</v>
      </c>
      <c r="B916" s="78" t="s">
        <v>510</v>
      </c>
      <c r="C916" s="79" t="s">
        <v>15</v>
      </c>
      <c r="D916" s="78"/>
      <c r="E916" s="80"/>
      <c r="F916" s="81"/>
      <c r="G916" s="81">
        <v>10500000</v>
      </c>
    </row>
    <row r="917" spans="1:7" x14ac:dyDescent="0.25">
      <c r="A917" s="7" t="s">
        <v>1608</v>
      </c>
      <c r="B917" s="89" t="s">
        <v>195</v>
      </c>
      <c r="C917" s="90" t="s">
        <v>1609</v>
      </c>
      <c r="D917" s="89">
        <v>14</v>
      </c>
      <c r="E917" s="91" t="s">
        <v>25</v>
      </c>
      <c r="F917" s="92">
        <v>150000</v>
      </c>
      <c r="G917" s="92">
        <v>2100000</v>
      </c>
    </row>
    <row r="918" spans="1:7" x14ac:dyDescent="0.25">
      <c r="A918" s="7" t="s">
        <v>1610</v>
      </c>
      <c r="B918" s="89" t="s">
        <v>195</v>
      </c>
      <c r="C918" s="90" t="s">
        <v>1611</v>
      </c>
      <c r="D918" s="89">
        <v>14</v>
      </c>
      <c r="E918" s="91" t="s">
        <v>25</v>
      </c>
      <c r="F918" s="92">
        <v>600000</v>
      </c>
      <c r="G918" s="92">
        <v>8400000</v>
      </c>
    </row>
    <row r="919" spans="1:7" x14ac:dyDescent="0.25">
      <c r="A919" s="7" t="s">
        <v>1612</v>
      </c>
      <c r="B919" s="97" t="s">
        <v>511</v>
      </c>
      <c r="C919" s="98" t="s">
        <v>1613</v>
      </c>
      <c r="D919" s="97"/>
      <c r="E919" s="99"/>
      <c r="F919" s="100"/>
      <c r="G919" s="100">
        <v>202600000</v>
      </c>
    </row>
    <row r="920" spans="1:7" x14ac:dyDescent="0.25">
      <c r="A920" s="7" t="s">
        <v>1614</v>
      </c>
      <c r="B920" s="78" t="s">
        <v>503</v>
      </c>
      <c r="C920" s="79" t="s">
        <v>7</v>
      </c>
      <c r="D920" s="78"/>
      <c r="E920" s="80"/>
      <c r="F920" s="81"/>
      <c r="G920" s="81">
        <v>30000000</v>
      </c>
    </row>
    <row r="921" spans="1:7" x14ac:dyDescent="0.25">
      <c r="A921" s="7" t="s">
        <v>195</v>
      </c>
      <c r="B921" s="89" t="s">
        <v>195</v>
      </c>
      <c r="C921" s="90" t="s">
        <v>1615</v>
      </c>
      <c r="D921" s="89">
        <v>0</v>
      </c>
      <c r="E921" s="91" t="s">
        <v>195</v>
      </c>
      <c r="F921" s="92">
        <v>0</v>
      </c>
      <c r="G921" s="92">
        <v>0</v>
      </c>
    </row>
    <row r="922" spans="1:7" x14ac:dyDescent="0.25">
      <c r="A922" s="7" t="s">
        <v>1616</v>
      </c>
      <c r="B922" s="89" t="s">
        <v>195</v>
      </c>
      <c r="C922" s="90" t="s">
        <v>922</v>
      </c>
      <c r="D922" s="89">
        <v>45</v>
      </c>
      <c r="E922" s="91" t="s">
        <v>52</v>
      </c>
      <c r="F922" s="92">
        <v>200000</v>
      </c>
      <c r="G922" s="92">
        <v>9000000</v>
      </c>
    </row>
    <row r="923" spans="1:7" x14ac:dyDescent="0.25">
      <c r="A923" s="7" t="s">
        <v>1617</v>
      </c>
      <c r="B923" s="89" t="s">
        <v>195</v>
      </c>
      <c r="C923" s="90" t="s">
        <v>619</v>
      </c>
      <c r="D923" s="89">
        <v>1</v>
      </c>
      <c r="E923" s="91" t="s">
        <v>52</v>
      </c>
      <c r="F923" s="92">
        <v>2500000</v>
      </c>
      <c r="G923" s="92">
        <v>2500000</v>
      </c>
    </row>
    <row r="924" spans="1:7" x14ac:dyDescent="0.25">
      <c r="A924" s="7" t="s">
        <v>1618</v>
      </c>
      <c r="B924" s="89" t="s">
        <v>195</v>
      </c>
      <c r="C924" s="90" t="s">
        <v>859</v>
      </c>
      <c r="D924" s="89">
        <v>1</v>
      </c>
      <c r="E924" s="91" t="s">
        <v>52</v>
      </c>
      <c r="F924" s="92">
        <v>2500000</v>
      </c>
      <c r="G924" s="92">
        <v>2500000</v>
      </c>
    </row>
    <row r="925" spans="1:7" x14ac:dyDescent="0.25">
      <c r="A925" s="7" t="s">
        <v>1619</v>
      </c>
      <c r="B925" s="89" t="s">
        <v>195</v>
      </c>
      <c r="C925" s="90" t="s">
        <v>1620</v>
      </c>
      <c r="D925" s="89">
        <v>1</v>
      </c>
      <c r="E925" s="91" t="s">
        <v>52</v>
      </c>
      <c r="F925" s="92">
        <v>1000000</v>
      </c>
      <c r="G925" s="92">
        <v>1000000</v>
      </c>
    </row>
    <row r="926" spans="1:7" x14ac:dyDescent="0.25">
      <c r="A926" s="7" t="s">
        <v>1621</v>
      </c>
      <c r="B926" s="89" t="s">
        <v>195</v>
      </c>
      <c r="C926" s="90" t="s">
        <v>922</v>
      </c>
      <c r="D926" s="89">
        <v>45</v>
      </c>
      <c r="E926" s="91" t="s">
        <v>52</v>
      </c>
      <c r="F926" s="92">
        <v>200000</v>
      </c>
      <c r="G926" s="92">
        <v>9000000</v>
      </c>
    </row>
    <row r="927" spans="1:7" x14ac:dyDescent="0.25">
      <c r="A927" s="7" t="s">
        <v>195</v>
      </c>
      <c r="B927" s="89" t="s">
        <v>195</v>
      </c>
      <c r="C927" s="90" t="s">
        <v>1622</v>
      </c>
      <c r="D927" s="89">
        <v>0</v>
      </c>
      <c r="E927" s="91" t="s">
        <v>195</v>
      </c>
      <c r="F927" s="92">
        <v>0</v>
      </c>
      <c r="G927" s="92">
        <v>0</v>
      </c>
    </row>
    <row r="928" spans="1:7" x14ac:dyDescent="0.25">
      <c r="A928" s="7" t="s">
        <v>1623</v>
      </c>
      <c r="B928" s="89" t="s">
        <v>195</v>
      </c>
      <c r="C928" s="90" t="s">
        <v>619</v>
      </c>
      <c r="D928" s="89">
        <v>1</v>
      </c>
      <c r="E928" s="91" t="s">
        <v>52</v>
      </c>
      <c r="F928" s="92">
        <v>2500000</v>
      </c>
      <c r="G928" s="92">
        <v>2500000</v>
      </c>
    </row>
    <row r="929" spans="1:7" x14ac:dyDescent="0.25">
      <c r="A929" s="7" t="s">
        <v>1624</v>
      </c>
      <c r="B929" s="89" t="s">
        <v>195</v>
      </c>
      <c r="C929" s="90" t="s">
        <v>859</v>
      </c>
      <c r="D929" s="89">
        <v>1</v>
      </c>
      <c r="E929" s="91" t="s">
        <v>52</v>
      </c>
      <c r="F929" s="92">
        <v>2500000</v>
      </c>
      <c r="G929" s="92">
        <v>2500000</v>
      </c>
    </row>
    <row r="930" spans="1:7" x14ac:dyDescent="0.25">
      <c r="A930" s="7" t="s">
        <v>1625</v>
      </c>
      <c r="B930" s="89" t="s">
        <v>195</v>
      </c>
      <c r="C930" s="90" t="s">
        <v>1620</v>
      </c>
      <c r="D930" s="89">
        <v>1</v>
      </c>
      <c r="E930" s="91" t="s">
        <v>52</v>
      </c>
      <c r="F930" s="92">
        <v>1000000</v>
      </c>
      <c r="G930" s="92">
        <v>1000000</v>
      </c>
    </row>
    <row r="931" spans="1:7" x14ac:dyDescent="0.25">
      <c r="A931" s="7" t="s">
        <v>1626</v>
      </c>
      <c r="B931" s="78" t="s">
        <v>516</v>
      </c>
      <c r="C931" s="79" t="s">
        <v>11</v>
      </c>
      <c r="D931" s="78"/>
      <c r="E931" s="80"/>
      <c r="F931" s="81"/>
      <c r="G931" s="81">
        <v>16800000</v>
      </c>
    </row>
    <row r="932" spans="1:7" x14ac:dyDescent="0.25">
      <c r="A932" s="7" t="s">
        <v>195</v>
      </c>
      <c r="B932" s="89" t="s">
        <v>195</v>
      </c>
      <c r="C932" s="90" t="s">
        <v>1615</v>
      </c>
      <c r="D932" s="89">
        <v>0</v>
      </c>
      <c r="E932" s="91" t="s">
        <v>195</v>
      </c>
      <c r="F932" s="92">
        <v>0</v>
      </c>
      <c r="G932" s="92">
        <v>0</v>
      </c>
    </row>
    <row r="933" spans="1:7" x14ac:dyDescent="0.25">
      <c r="A933" s="7" t="s">
        <v>1627</v>
      </c>
      <c r="B933" s="89" t="s">
        <v>195</v>
      </c>
      <c r="C933" s="90" t="s">
        <v>1628</v>
      </c>
      <c r="D933" s="89">
        <v>4</v>
      </c>
      <c r="E933" s="91" t="s">
        <v>54</v>
      </c>
      <c r="F933" s="92">
        <v>1000000</v>
      </c>
      <c r="G933" s="92">
        <v>4000000</v>
      </c>
    </row>
    <row r="934" spans="1:7" x14ac:dyDescent="0.25">
      <c r="A934" s="7" t="s">
        <v>1629</v>
      </c>
      <c r="B934" s="89" t="s">
        <v>195</v>
      </c>
      <c r="C934" s="90" t="s">
        <v>1630</v>
      </c>
      <c r="D934" s="89">
        <v>4</v>
      </c>
      <c r="E934" s="91" t="s">
        <v>25</v>
      </c>
      <c r="F934" s="92">
        <v>900000</v>
      </c>
      <c r="G934" s="92">
        <v>3600000</v>
      </c>
    </row>
    <row r="935" spans="1:7" x14ac:dyDescent="0.25">
      <c r="A935" s="7" t="s">
        <v>195</v>
      </c>
      <c r="B935" s="89" t="s">
        <v>195</v>
      </c>
      <c r="C935" s="90" t="s">
        <v>1631</v>
      </c>
      <c r="D935" s="89">
        <v>0</v>
      </c>
      <c r="E935" s="91" t="s">
        <v>195</v>
      </c>
      <c r="F935" s="92">
        <v>0</v>
      </c>
      <c r="G935" s="92">
        <v>0</v>
      </c>
    </row>
    <row r="936" spans="1:7" x14ac:dyDescent="0.25">
      <c r="A936" s="7" t="s">
        <v>1632</v>
      </c>
      <c r="B936" s="89" t="s">
        <v>195</v>
      </c>
      <c r="C936" s="90" t="s">
        <v>1633</v>
      </c>
      <c r="D936" s="89">
        <v>2</v>
      </c>
      <c r="E936" s="91" t="s">
        <v>54</v>
      </c>
      <c r="F936" s="92">
        <v>1000000</v>
      </c>
      <c r="G936" s="92">
        <v>2000000</v>
      </c>
    </row>
    <row r="937" spans="1:7" x14ac:dyDescent="0.25">
      <c r="A937" s="7" t="s">
        <v>1634</v>
      </c>
      <c r="B937" s="89" t="s">
        <v>195</v>
      </c>
      <c r="C937" s="90" t="s">
        <v>1635</v>
      </c>
      <c r="D937" s="89">
        <v>8</v>
      </c>
      <c r="E937" s="91" t="s">
        <v>25</v>
      </c>
      <c r="F937" s="92">
        <v>900000</v>
      </c>
      <c r="G937" s="92">
        <v>7200000</v>
      </c>
    </row>
    <row r="938" spans="1:7" x14ac:dyDescent="0.25">
      <c r="A938" s="7" t="s">
        <v>1636</v>
      </c>
      <c r="B938" s="78" t="s">
        <v>513</v>
      </c>
      <c r="C938" s="79" t="s">
        <v>19</v>
      </c>
      <c r="D938" s="78"/>
      <c r="E938" s="80"/>
      <c r="F938" s="81"/>
      <c r="G938" s="81">
        <v>10000000</v>
      </c>
    </row>
    <row r="939" spans="1:7" x14ac:dyDescent="0.25">
      <c r="A939" s="7" t="s">
        <v>1637</v>
      </c>
      <c r="B939" s="89" t="s">
        <v>195</v>
      </c>
      <c r="C939" s="90" t="s">
        <v>1638</v>
      </c>
      <c r="D939" s="89">
        <v>2</v>
      </c>
      <c r="E939" s="91" t="s">
        <v>25</v>
      </c>
      <c r="F939" s="92">
        <v>5000000</v>
      </c>
      <c r="G939" s="92">
        <v>10000000</v>
      </c>
    </row>
    <row r="940" spans="1:7" x14ac:dyDescent="0.25">
      <c r="A940" s="7" t="s">
        <v>1639</v>
      </c>
      <c r="B940" s="78" t="s">
        <v>510</v>
      </c>
      <c r="C940" s="79" t="s">
        <v>15</v>
      </c>
      <c r="D940" s="78"/>
      <c r="E940" s="80"/>
      <c r="F940" s="81"/>
      <c r="G940" s="81">
        <v>145800000</v>
      </c>
    </row>
    <row r="941" spans="1:7" x14ac:dyDescent="0.25">
      <c r="A941" s="7" t="s">
        <v>195</v>
      </c>
      <c r="B941" s="89" t="s">
        <v>195</v>
      </c>
      <c r="C941" s="90" t="s">
        <v>1615</v>
      </c>
      <c r="D941" s="89">
        <v>0</v>
      </c>
      <c r="E941" s="91" t="s">
        <v>195</v>
      </c>
      <c r="F941" s="92">
        <v>0</v>
      </c>
      <c r="G941" s="92">
        <v>0</v>
      </c>
    </row>
    <row r="942" spans="1:7" x14ac:dyDescent="0.25">
      <c r="A942" s="7" t="s">
        <v>1640</v>
      </c>
      <c r="B942" s="89" t="s">
        <v>195</v>
      </c>
      <c r="C942" s="90" t="s">
        <v>1641</v>
      </c>
      <c r="D942" s="89">
        <v>45</v>
      </c>
      <c r="E942" s="91" t="s">
        <v>105</v>
      </c>
      <c r="F942" s="92">
        <v>820000</v>
      </c>
      <c r="G942" s="92">
        <v>36900000</v>
      </c>
    </row>
    <row r="943" spans="1:7" x14ac:dyDescent="0.25">
      <c r="A943" s="7" t="s">
        <v>1642</v>
      </c>
      <c r="B943" s="89" t="s">
        <v>195</v>
      </c>
      <c r="C943" s="90" t="s">
        <v>1643</v>
      </c>
      <c r="D943" s="89">
        <v>90</v>
      </c>
      <c r="E943" s="91" t="s">
        <v>73</v>
      </c>
      <c r="F943" s="92">
        <v>150000</v>
      </c>
      <c r="G943" s="92">
        <v>13500000</v>
      </c>
    </row>
    <row r="944" spans="1:7" x14ac:dyDescent="0.25">
      <c r="A944" s="7" t="s">
        <v>1644</v>
      </c>
      <c r="B944" s="89" t="s">
        <v>195</v>
      </c>
      <c r="C944" s="90" t="s">
        <v>1645</v>
      </c>
      <c r="D944" s="89">
        <v>45</v>
      </c>
      <c r="E944" s="91" t="s">
        <v>25</v>
      </c>
      <c r="F944" s="92">
        <v>500000</v>
      </c>
      <c r="G944" s="92">
        <v>22500000</v>
      </c>
    </row>
    <row r="945" spans="1:7" x14ac:dyDescent="0.25">
      <c r="A945" s="7" t="s">
        <v>195</v>
      </c>
      <c r="B945" s="89" t="s">
        <v>195</v>
      </c>
      <c r="C945" s="90" t="s">
        <v>1631</v>
      </c>
      <c r="D945" s="89">
        <v>0</v>
      </c>
      <c r="E945" s="91" t="s">
        <v>195</v>
      </c>
      <c r="F945" s="92">
        <v>0</v>
      </c>
      <c r="G945" s="92">
        <v>0</v>
      </c>
    </row>
    <row r="946" spans="1:7" x14ac:dyDescent="0.25">
      <c r="A946" s="7" t="s">
        <v>1646</v>
      </c>
      <c r="B946" s="89" t="s">
        <v>195</v>
      </c>
      <c r="C946" s="90" t="s">
        <v>1641</v>
      </c>
      <c r="D946" s="89">
        <v>45</v>
      </c>
      <c r="E946" s="91" t="s">
        <v>105</v>
      </c>
      <c r="F946" s="92">
        <v>820000</v>
      </c>
      <c r="G946" s="92">
        <v>36900000</v>
      </c>
    </row>
    <row r="947" spans="1:7" x14ac:dyDescent="0.25">
      <c r="A947" s="7" t="s">
        <v>1647</v>
      </c>
      <c r="B947" s="89" t="s">
        <v>195</v>
      </c>
      <c r="C947" s="90" t="s">
        <v>1643</v>
      </c>
      <c r="D947" s="89">
        <v>90</v>
      </c>
      <c r="E947" s="91" t="s">
        <v>73</v>
      </c>
      <c r="F947" s="92">
        <v>150000</v>
      </c>
      <c r="G947" s="92">
        <v>13500000</v>
      </c>
    </row>
    <row r="948" spans="1:7" x14ac:dyDescent="0.25">
      <c r="A948" s="7" t="s">
        <v>1648</v>
      </c>
      <c r="B948" s="89" t="s">
        <v>195</v>
      </c>
      <c r="C948" s="90" t="s">
        <v>1645</v>
      </c>
      <c r="D948" s="89">
        <v>45</v>
      </c>
      <c r="E948" s="91" t="s">
        <v>25</v>
      </c>
      <c r="F948" s="92">
        <v>500000</v>
      </c>
      <c r="G948" s="92">
        <v>22500000</v>
      </c>
    </row>
    <row r="949" spans="1:7" ht="27.6" x14ac:dyDescent="0.25">
      <c r="A949" s="7" t="s">
        <v>1649</v>
      </c>
      <c r="B949" s="93" t="s">
        <v>1102</v>
      </c>
      <c r="C949" s="94" t="s">
        <v>1650</v>
      </c>
      <c r="D949" s="93"/>
      <c r="E949" s="95"/>
      <c r="F949" s="96"/>
      <c r="G949" s="96">
        <v>270500000</v>
      </c>
    </row>
    <row r="950" spans="1:7" x14ac:dyDescent="0.25">
      <c r="A950" s="7" t="s">
        <v>1651</v>
      </c>
      <c r="B950" s="97" t="s">
        <v>8</v>
      </c>
      <c r="C950" s="98" t="s">
        <v>1652</v>
      </c>
      <c r="D950" s="97"/>
      <c r="E950" s="99"/>
      <c r="F950" s="100"/>
      <c r="G950" s="100">
        <v>180400000</v>
      </c>
    </row>
    <row r="951" spans="1:7" x14ac:dyDescent="0.25">
      <c r="A951" s="7" t="s">
        <v>1653</v>
      </c>
      <c r="B951" s="78" t="s">
        <v>503</v>
      </c>
      <c r="C951" s="79" t="s">
        <v>7</v>
      </c>
      <c r="D951" s="78"/>
      <c r="E951" s="80"/>
      <c r="F951" s="81"/>
      <c r="G951" s="81">
        <v>12000000</v>
      </c>
    </row>
    <row r="952" spans="1:7" x14ac:dyDescent="0.25">
      <c r="A952" s="7" t="s">
        <v>1654</v>
      </c>
      <c r="B952" s="89" t="s">
        <v>195</v>
      </c>
      <c r="C952" s="90" t="s">
        <v>1109</v>
      </c>
      <c r="D952" s="89">
        <v>12</v>
      </c>
      <c r="E952" s="91" t="s">
        <v>52</v>
      </c>
      <c r="F952" s="92">
        <v>1000000</v>
      </c>
      <c r="G952" s="92">
        <v>12000000</v>
      </c>
    </row>
    <row r="953" spans="1:7" x14ac:dyDescent="0.25">
      <c r="A953" s="7" t="s">
        <v>1655</v>
      </c>
      <c r="B953" s="78" t="s">
        <v>522</v>
      </c>
      <c r="C953" s="79" t="s">
        <v>30</v>
      </c>
      <c r="D953" s="78"/>
      <c r="E953" s="80"/>
      <c r="F953" s="81"/>
      <c r="G953" s="81">
        <v>49800000</v>
      </c>
    </row>
    <row r="954" spans="1:7" x14ac:dyDescent="0.25">
      <c r="A954" s="7" t="s">
        <v>195</v>
      </c>
      <c r="B954" s="89" t="s">
        <v>195</v>
      </c>
      <c r="C954" s="90" t="s">
        <v>1656</v>
      </c>
      <c r="D954" s="89">
        <v>0</v>
      </c>
      <c r="E954" s="91" t="s">
        <v>195</v>
      </c>
      <c r="F954" s="92">
        <v>0</v>
      </c>
      <c r="G954" s="92">
        <v>0</v>
      </c>
    </row>
    <row r="955" spans="1:7" x14ac:dyDescent="0.25">
      <c r="A955" s="7" t="s">
        <v>1657</v>
      </c>
      <c r="B955" s="89" t="s">
        <v>195</v>
      </c>
      <c r="C955" s="90" t="s">
        <v>1658</v>
      </c>
      <c r="D955" s="89">
        <v>12</v>
      </c>
      <c r="E955" s="91" t="s">
        <v>32</v>
      </c>
      <c r="F955" s="92">
        <v>500000</v>
      </c>
      <c r="G955" s="92">
        <v>6000000</v>
      </c>
    </row>
    <row r="956" spans="1:7" x14ac:dyDescent="0.25">
      <c r="A956" s="7" t="s">
        <v>1659</v>
      </c>
      <c r="B956" s="89" t="s">
        <v>195</v>
      </c>
      <c r="C956" s="90" t="s">
        <v>1660</v>
      </c>
      <c r="D956" s="89">
        <v>12</v>
      </c>
      <c r="E956" s="91" t="s">
        <v>32</v>
      </c>
      <c r="F956" s="92">
        <v>450000</v>
      </c>
      <c r="G956" s="92">
        <v>5400000</v>
      </c>
    </row>
    <row r="957" spans="1:7" x14ac:dyDescent="0.25">
      <c r="A957" s="7" t="s">
        <v>1661</v>
      </c>
      <c r="B957" s="89" t="s">
        <v>195</v>
      </c>
      <c r="C957" s="90" t="s">
        <v>1662</v>
      </c>
      <c r="D957" s="89">
        <v>12</v>
      </c>
      <c r="E957" s="91" t="s">
        <v>32</v>
      </c>
      <c r="F957" s="92">
        <v>400000</v>
      </c>
      <c r="G957" s="92">
        <v>4800000</v>
      </c>
    </row>
    <row r="958" spans="1:7" x14ac:dyDescent="0.25">
      <c r="A958" s="7" t="s">
        <v>1663</v>
      </c>
      <c r="B958" s="89" t="s">
        <v>195</v>
      </c>
      <c r="C958" s="90" t="s">
        <v>1664</v>
      </c>
      <c r="D958" s="89">
        <v>96</v>
      </c>
      <c r="E958" s="91" t="s">
        <v>32</v>
      </c>
      <c r="F958" s="92">
        <v>350000</v>
      </c>
      <c r="G958" s="92">
        <v>33600000</v>
      </c>
    </row>
    <row r="959" spans="1:7" x14ac:dyDescent="0.25">
      <c r="A959" s="7" t="s">
        <v>1665</v>
      </c>
      <c r="B959" s="78" t="s">
        <v>533</v>
      </c>
      <c r="C959" s="79" t="s">
        <v>53</v>
      </c>
      <c r="D959" s="78"/>
      <c r="E959" s="80"/>
      <c r="F959" s="81"/>
      <c r="G959" s="81">
        <v>34600000</v>
      </c>
    </row>
    <row r="960" spans="1:7" x14ac:dyDescent="0.25">
      <c r="A960" s="7" t="s">
        <v>195</v>
      </c>
      <c r="B960" s="89" t="s">
        <v>195</v>
      </c>
      <c r="C960" s="90" t="s">
        <v>1666</v>
      </c>
      <c r="D960" s="89">
        <v>0</v>
      </c>
      <c r="E960" s="91" t="s">
        <v>195</v>
      </c>
      <c r="F960" s="92">
        <v>0</v>
      </c>
      <c r="G960" s="92">
        <v>0</v>
      </c>
    </row>
    <row r="961" spans="1:7" x14ac:dyDescent="0.25">
      <c r="A961" s="7" t="s">
        <v>1667</v>
      </c>
      <c r="B961" s="89" t="s">
        <v>195</v>
      </c>
      <c r="C961" s="90" t="s">
        <v>1668</v>
      </c>
      <c r="D961" s="89">
        <v>750</v>
      </c>
      <c r="E961" s="91" t="s">
        <v>1669</v>
      </c>
      <c r="F961" s="92">
        <v>16000</v>
      </c>
      <c r="G961" s="92">
        <v>12000000</v>
      </c>
    </row>
    <row r="962" spans="1:7" x14ac:dyDescent="0.25">
      <c r="A962" s="7" t="s">
        <v>1670</v>
      </c>
      <c r="B962" s="89" t="s">
        <v>195</v>
      </c>
      <c r="C962" s="90" t="s">
        <v>1671</v>
      </c>
      <c r="D962" s="89">
        <v>1</v>
      </c>
      <c r="E962" s="91" t="s">
        <v>1672</v>
      </c>
      <c r="F962" s="92">
        <v>5000000</v>
      </c>
      <c r="G962" s="92">
        <v>5000000</v>
      </c>
    </row>
    <row r="963" spans="1:7" x14ac:dyDescent="0.25">
      <c r="A963" s="7" t="s">
        <v>1673</v>
      </c>
      <c r="B963" s="89" t="s">
        <v>195</v>
      </c>
      <c r="C963" s="90" t="s">
        <v>1674</v>
      </c>
      <c r="D963" s="89">
        <v>1</v>
      </c>
      <c r="E963" s="91" t="s">
        <v>1672</v>
      </c>
      <c r="F963" s="92">
        <v>1000000</v>
      </c>
      <c r="G963" s="92">
        <v>1000000</v>
      </c>
    </row>
    <row r="964" spans="1:7" x14ac:dyDescent="0.25">
      <c r="A964" s="7" t="s">
        <v>1675</v>
      </c>
      <c r="B964" s="89" t="s">
        <v>195</v>
      </c>
      <c r="C964" s="90" t="s">
        <v>1676</v>
      </c>
      <c r="D964" s="89">
        <v>750</v>
      </c>
      <c r="E964" s="91" t="s">
        <v>1677</v>
      </c>
      <c r="F964" s="92">
        <v>16000</v>
      </c>
      <c r="G964" s="92">
        <v>12000000</v>
      </c>
    </row>
    <row r="965" spans="1:7" x14ac:dyDescent="0.25">
      <c r="A965" s="7" t="s">
        <v>1678</v>
      </c>
      <c r="B965" s="89" t="s">
        <v>195</v>
      </c>
      <c r="C965" s="90" t="s">
        <v>1679</v>
      </c>
      <c r="D965" s="89">
        <v>1</v>
      </c>
      <c r="E965" s="91" t="s">
        <v>1672</v>
      </c>
      <c r="F965" s="92">
        <v>4600000</v>
      </c>
      <c r="G965" s="92">
        <v>4600000</v>
      </c>
    </row>
    <row r="966" spans="1:7" x14ac:dyDescent="0.25">
      <c r="A966" s="7" t="s">
        <v>1680</v>
      </c>
      <c r="B966" s="78" t="s">
        <v>537</v>
      </c>
      <c r="C966" s="79" t="s">
        <v>64</v>
      </c>
      <c r="D966" s="78"/>
      <c r="E966" s="80"/>
      <c r="F966" s="81"/>
      <c r="G966" s="81">
        <v>24000000</v>
      </c>
    </row>
    <row r="967" spans="1:7" x14ac:dyDescent="0.25">
      <c r="A967" s="7" t="s">
        <v>1681</v>
      </c>
      <c r="B967" s="89" t="s">
        <v>195</v>
      </c>
      <c r="C967" s="90" t="s">
        <v>619</v>
      </c>
      <c r="D967" s="89">
        <v>12</v>
      </c>
      <c r="E967" s="91" t="s">
        <v>52</v>
      </c>
      <c r="F967" s="92">
        <v>1000000</v>
      </c>
      <c r="G967" s="92">
        <v>12000000</v>
      </c>
    </row>
    <row r="968" spans="1:7" x14ac:dyDescent="0.25">
      <c r="A968" s="7" t="s">
        <v>1682</v>
      </c>
      <c r="B968" s="89" t="s">
        <v>195</v>
      </c>
      <c r="C968" s="90" t="s">
        <v>859</v>
      </c>
      <c r="D968" s="89">
        <v>12</v>
      </c>
      <c r="E968" s="91" t="s">
        <v>52</v>
      </c>
      <c r="F968" s="92">
        <v>1000000</v>
      </c>
      <c r="G968" s="92">
        <v>12000000</v>
      </c>
    </row>
    <row r="969" spans="1:7" x14ac:dyDescent="0.25">
      <c r="A969" s="7" t="s">
        <v>1683</v>
      </c>
      <c r="B969" s="78" t="s">
        <v>513</v>
      </c>
      <c r="C969" s="79" t="s">
        <v>19</v>
      </c>
      <c r="D969" s="78"/>
      <c r="E969" s="80"/>
      <c r="F969" s="81"/>
      <c r="G969" s="81">
        <v>60000000</v>
      </c>
    </row>
    <row r="970" spans="1:7" ht="27.6" x14ac:dyDescent="0.25">
      <c r="A970" s="7" t="s">
        <v>1684</v>
      </c>
      <c r="B970" s="89" t="s">
        <v>195</v>
      </c>
      <c r="C970" s="90" t="s">
        <v>1685</v>
      </c>
      <c r="D970" s="89">
        <v>12</v>
      </c>
      <c r="E970" s="91" t="s">
        <v>25</v>
      </c>
      <c r="F970" s="92">
        <v>5000000</v>
      </c>
      <c r="G970" s="92">
        <v>60000000</v>
      </c>
    </row>
    <row r="971" spans="1:7" ht="27.6" x14ac:dyDescent="0.25">
      <c r="A971" s="7" t="s">
        <v>1686</v>
      </c>
      <c r="B971" s="97" t="s">
        <v>511</v>
      </c>
      <c r="C971" s="98" t="s">
        <v>1687</v>
      </c>
      <c r="D971" s="97"/>
      <c r="E971" s="99"/>
      <c r="F971" s="100"/>
      <c r="G971" s="100">
        <v>90100000</v>
      </c>
    </row>
    <row r="972" spans="1:7" x14ac:dyDescent="0.25">
      <c r="A972" s="7" t="s">
        <v>1688</v>
      </c>
      <c r="B972" s="78" t="s">
        <v>503</v>
      </c>
      <c r="C972" s="79" t="s">
        <v>7</v>
      </c>
      <c r="D972" s="78"/>
      <c r="E972" s="80"/>
      <c r="F972" s="81"/>
      <c r="G972" s="81">
        <v>4000000</v>
      </c>
    </row>
    <row r="973" spans="1:7" x14ac:dyDescent="0.25">
      <c r="A973" s="7" t="s">
        <v>1689</v>
      </c>
      <c r="B973" s="89" t="s">
        <v>195</v>
      </c>
      <c r="C973" s="90" t="s">
        <v>1109</v>
      </c>
      <c r="D973" s="89">
        <v>4</v>
      </c>
      <c r="E973" s="91" t="s">
        <v>52</v>
      </c>
      <c r="F973" s="92">
        <v>1000000</v>
      </c>
      <c r="G973" s="92">
        <v>4000000</v>
      </c>
    </row>
    <row r="974" spans="1:7" x14ac:dyDescent="0.25">
      <c r="A974" s="7" t="s">
        <v>1690</v>
      </c>
      <c r="B974" s="78" t="s">
        <v>537</v>
      </c>
      <c r="C974" s="79" t="s">
        <v>64</v>
      </c>
      <c r="D974" s="78"/>
      <c r="E974" s="80"/>
      <c r="F974" s="81"/>
      <c r="G974" s="81">
        <v>8000000</v>
      </c>
    </row>
    <row r="975" spans="1:7" x14ac:dyDescent="0.25">
      <c r="A975" s="7" t="s">
        <v>1691</v>
      </c>
      <c r="B975" s="89" t="s">
        <v>195</v>
      </c>
      <c r="C975" s="90" t="s">
        <v>619</v>
      </c>
      <c r="D975" s="89">
        <v>4</v>
      </c>
      <c r="E975" s="91" t="s">
        <v>52</v>
      </c>
      <c r="F975" s="92">
        <v>1000000</v>
      </c>
      <c r="G975" s="92">
        <v>4000000</v>
      </c>
    </row>
    <row r="976" spans="1:7" x14ac:dyDescent="0.25">
      <c r="A976" s="7" t="s">
        <v>1692</v>
      </c>
      <c r="B976" s="89" t="s">
        <v>195</v>
      </c>
      <c r="C976" s="90" t="s">
        <v>859</v>
      </c>
      <c r="D976" s="89">
        <v>4</v>
      </c>
      <c r="E976" s="91" t="s">
        <v>52</v>
      </c>
      <c r="F976" s="92">
        <v>1000000</v>
      </c>
      <c r="G976" s="92">
        <v>4000000</v>
      </c>
    </row>
    <row r="977" spans="1:7" x14ac:dyDescent="0.25">
      <c r="A977" s="7" t="s">
        <v>1693</v>
      </c>
      <c r="B977" s="78" t="s">
        <v>513</v>
      </c>
      <c r="C977" s="79" t="s">
        <v>19</v>
      </c>
      <c r="D977" s="78"/>
      <c r="E977" s="80"/>
      <c r="F977" s="81"/>
      <c r="G977" s="81">
        <v>70000000</v>
      </c>
    </row>
    <row r="978" spans="1:7" ht="27.6" x14ac:dyDescent="0.25">
      <c r="A978" s="7" t="s">
        <v>1694</v>
      </c>
      <c r="B978" s="89" t="s">
        <v>195</v>
      </c>
      <c r="C978" s="90" t="s">
        <v>1695</v>
      </c>
      <c r="D978" s="89">
        <v>14</v>
      </c>
      <c r="E978" s="91" t="s">
        <v>25</v>
      </c>
      <c r="F978" s="92">
        <v>5000000</v>
      </c>
      <c r="G978" s="92">
        <v>70000000</v>
      </c>
    </row>
    <row r="979" spans="1:7" x14ac:dyDescent="0.25">
      <c r="A979" s="7" t="s">
        <v>1696</v>
      </c>
      <c r="B979" s="78" t="s">
        <v>507</v>
      </c>
      <c r="C979" s="79" t="s">
        <v>13</v>
      </c>
      <c r="D979" s="78"/>
      <c r="E979" s="80"/>
      <c r="F979" s="81"/>
      <c r="G979" s="81">
        <v>8100000</v>
      </c>
    </row>
    <row r="980" spans="1:7" x14ac:dyDescent="0.25">
      <c r="A980" s="7" t="s">
        <v>1697</v>
      </c>
      <c r="B980" s="89" t="s">
        <v>195</v>
      </c>
      <c r="C980" s="90" t="s">
        <v>1698</v>
      </c>
      <c r="D980" s="89">
        <v>54</v>
      </c>
      <c r="E980" s="91" t="s">
        <v>25</v>
      </c>
      <c r="F980" s="92">
        <v>150000</v>
      </c>
      <c r="G980" s="92">
        <v>8100000</v>
      </c>
    </row>
    <row r="981" spans="1:7" x14ac:dyDescent="0.25">
      <c r="A981" s="7" t="s">
        <v>1699</v>
      </c>
      <c r="B981" s="89" t="s">
        <v>1700</v>
      </c>
      <c r="C981" s="90" t="s">
        <v>1701</v>
      </c>
      <c r="D981" s="89"/>
      <c r="E981" s="91"/>
      <c r="F981" s="92"/>
      <c r="G981" s="92">
        <v>48823181000</v>
      </c>
    </row>
    <row r="982" spans="1:7" x14ac:dyDescent="0.25">
      <c r="A982" s="7" t="s">
        <v>1702</v>
      </c>
      <c r="B982" s="93" t="s">
        <v>501</v>
      </c>
      <c r="C982" s="94" t="s">
        <v>76</v>
      </c>
      <c r="D982" s="93"/>
      <c r="E982" s="95"/>
      <c r="F982" s="96"/>
      <c r="G982" s="96">
        <v>23048523000</v>
      </c>
    </row>
    <row r="983" spans="1:7" x14ac:dyDescent="0.25">
      <c r="A983" s="7" t="s">
        <v>1703</v>
      </c>
      <c r="B983" s="97" t="s">
        <v>558</v>
      </c>
      <c r="C983" s="98" t="s">
        <v>1704</v>
      </c>
      <c r="D983" s="97"/>
      <c r="E983" s="99"/>
      <c r="F983" s="100"/>
      <c r="G983" s="100">
        <v>10900000000</v>
      </c>
    </row>
    <row r="984" spans="1:7" x14ac:dyDescent="0.25">
      <c r="A984" s="7" t="s">
        <v>1705</v>
      </c>
      <c r="B984" s="78" t="s">
        <v>544</v>
      </c>
      <c r="C984" s="79" t="s">
        <v>77</v>
      </c>
      <c r="D984" s="78"/>
      <c r="E984" s="80"/>
      <c r="F984" s="81"/>
      <c r="G984" s="81">
        <v>3970000000</v>
      </c>
    </row>
    <row r="985" spans="1:7" x14ac:dyDescent="0.25">
      <c r="A985" s="7" t="s">
        <v>1706</v>
      </c>
      <c r="B985" s="89" t="s">
        <v>195</v>
      </c>
      <c r="C985" s="90" t="s">
        <v>1707</v>
      </c>
      <c r="D985" s="89">
        <v>1</v>
      </c>
      <c r="E985" s="91" t="s">
        <v>97</v>
      </c>
      <c r="F985" s="92">
        <v>275000000</v>
      </c>
      <c r="G985" s="92">
        <v>275000000</v>
      </c>
    </row>
    <row r="986" spans="1:7" x14ac:dyDescent="0.25">
      <c r="A986" s="7" t="s">
        <v>1708</v>
      </c>
      <c r="B986" s="89" t="s">
        <v>195</v>
      </c>
      <c r="C986" s="90" t="s">
        <v>1709</v>
      </c>
      <c r="D986" s="89">
        <v>12</v>
      </c>
      <c r="E986" s="91" t="s">
        <v>97</v>
      </c>
      <c r="F986" s="92">
        <v>285000000</v>
      </c>
      <c r="G986" s="92">
        <v>3420000000</v>
      </c>
    </row>
    <row r="987" spans="1:7" x14ac:dyDescent="0.25">
      <c r="A987" s="7" t="s">
        <v>1710</v>
      </c>
      <c r="B987" s="89" t="s">
        <v>195</v>
      </c>
      <c r="C987" s="90" t="s">
        <v>1711</v>
      </c>
      <c r="D987" s="89">
        <v>1</v>
      </c>
      <c r="E987" s="91" t="s">
        <v>97</v>
      </c>
      <c r="F987" s="92">
        <v>275000000</v>
      </c>
      <c r="G987" s="92">
        <v>275000000</v>
      </c>
    </row>
    <row r="988" spans="1:7" x14ac:dyDescent="0.25">
      <c r="A988" s="7" t="s">
        <v>1712</v>
      </c>
      <c r="B988" s="78" t="s">
        <v>547</v>
      </c>
      <c r="C988" s="79" t="s">
        <v>79</v>
      </c>
      <c r="D988" s="78"/>
      <c r="E988" s="80"/>
      <c r="F988" s="81"/>
      <c r="G988" s="81">
        <v>145000</v>
      </c>
    </row>
    <row r="989" spans="1:7" x14ac:dyDescent="0.25">
      <c r="A989" s="7" t="s">
        <v>1713</v>
      </c>
      <c r="B989" s="89" t="s">
        <v>195</v>
      </c>
      <c r="C989" s="90" t="s">
        <v>1714</v>
      </c>
      <c r="D989" s="89">
        <v>1</v>
      </c>
      <c r="E989" s="91" t="s">
        <v>97</v>
      </c>
      <c r="F989" s="92">
        <v>5000</v>
      </c>
      <c r="G989" s="92">
        <v>5000</v>
      </c>
    </row>
    <row r="990" spans="1:7" x14ac:dyDescent="0.25">
      <c r="A990" s="7" t="s">
        <v>1715</v>
      </c>
      <c r="B990" s="89" t="s">
        <v>195</v>
      </c>
      <c r="C990" s="90" t="s">
        <v>1716</v>
      </c>
      <c r="D990" s="89">
        <v>1</v>
      </c>
      <c r="E990" s="91" t="s">
        <v>153</v>
      </c>
      <c r="F990" s="92">
        <v>135000</v>
      </c>
      <c r="G990" s="92">
        <v>135000</v>
      </c>
    </row>
    <row r="991" spans="1:7" x14ac:dyDescent="0.25">
      <c r="A991" s="7" t="s">
        <v>1717</v>
      </c>
      <c r="B991" s="89" t="s">
        <v>195</v>
      </c>
      <c r="C991" s="90" t="s">
        <v>1718</v>
      </c>
      <c r="D991" s="89">
        <v>1</v>
      </c>
      <c r="E991" s="91" t="s">
        <v>97</v>
      </c>
      <c r="F991" s="92">
        <v>5000</v>
      </c>
      <c r="G991" s="92">
        <v>5000</v>
      </c>
    </row>
    <row r="992" spans="1:7" x14ac:dyDescent="0.25">
      <c r="A992" s="7" t="s">
        <v>1719</v>
      </c>
      <c r="B992" s="78" t="s">
        <v>548</v>
      </c>
      <c r="C992" s="79" t="s">
        <v>80</v>
      </c>
      <c r="D992" s="78"/>
      <c r="E992" s="80"/>
      <c r="F992" s="81"/>
      <c r="G992" s="81">
        <v>374784000</v>
      </c>
    </row>
    <row r="993" spans="1:7" x14ac:dyDescent="0.25">
      <c r="A993" s="7" t="s">
        <v>1720</v>
      </c>
      <c r="B993" s="89" t="s">
        <v>195</v>
      </c>
      <c r="C993" s="90" t="s">
        <v>1721</v>
      </c>
      <c r="D993" s="89">
        <v>12</v>
      </c>
      <c r="E993" s="91" t="s">
        <v>97</v>
      </c>
      <c r="F993" s="92">
        <v>27908000</v>
      </c>
      <c r="G993" s="92">
        <v>334892000</v>
      </c>
    </row>
    <row r="994" spans="1:7" x14ac:dyDescent="0.25">
      <c r="A994" s="7" t="s">
        <v>1722</v>
      </c>
      <c r="B994" s="89" t="s">
        <v>195</v>
      </c>
      <c r="C994" s="90" t="s">
        <v>1723</v>
      </c>
      <c r="D994" s="89">
        <v>1</v>
      </c>
      <c r="E994" s="91" t="s">
        <v>97</v>
      </c>
      <c r="F994" s="92">
        <v>19946000</v>
      </c>
      <c r="G994" s="92">
        <v>19946000</v>
      </c>
    </row>
    <row r="995" spans="1:7" x14ac:dyDescent="0.25">
      <c r="A995" s="7" t="s">
        <v>1724</v>
      </c>
      <c r="B995" s="89" t="s">
        <v>195</v>
      </c>
      <c r="C995" s="90" t="s">
        <v>1725</v>
      </c>
      <c r="D995" s="89">
        <v>1</v>
      </c>
      <c r="E995" s="91" t="s">
        <v>97</v>
      </c>
      <c r="F995" s="92">
        <v>19946000</v>
      </c>
      <c r="G995" s="92">
        <v>19946000</v>
      </c>
    </row>
    <row r="996" spans="1:7" x14ac:dyDescent="0.25">
      <c r="A996" s="7" t="s">
        <v>1726</v>
      </c>
      <c r="B996" s="78" t="s">
        <v>549</v>
      </c>
      <c r="C996" s="79" t="s">
        <v>81</v>
      </c>
      <c r="D996" s="78"/>
      <c r="E996" s="80"/>
      <c r="F996" s="81"/>
      <c r="G996" s="81">
        <v>94000000</v>
      </c>
    </row>
    <row r="997" spans="1:7" x14ac:dyDescent="0.25">
      <c r="A997" s="7" t="s">
        <v>1727</v>
      </c>
      <c r="B997" s="89" t="s">
        <v>195</v>
      </c>
      <c r="C997" s="90" t="s">
        <v>1728</v>
      </c>
      <c r="D997" s="89">
        <v>1</v>
      </c>
      <c r="E997" s="91" t="s">
        <v>97</v>
      </c>
      <c r="F997" s="92">
        <v>9000000</v>
      </c>
      <c r="G997" s="92">
        <v>9000000</v>
      </c>
    </row>
    <row r="998" spans="1:7" x14ac:dyDescent="0.25">
      <c r="A998" s="7" t="s">
        <v>1729</v>
      </c>
      <c r="B998" s="89" t="s">
        <v>195</v>
      </c>
      <c r="C998" s="90" t="s">
        <v>1730</v>
      </c>
      <c r="D998" s="89">
        <v>12</v>
      </c>
      <c r="E998" s="91" t="s">
        <v>97</v>
      </c>
      <c r="F998" s="92">
        <v>6333000</v>
      </c>
      <c r="G998" s="92">
        <v>76000000</v>
      </c>
    </row>
    <row r="999" spans="1:7" x14ac:dyDescent="0.25">
      <c r="A999" s="7" t="s">
        <v>1731</v>
      </c>
      <c r="B999" s="89" t="s">
        <v>195</v>
      </c>
      <c r="C999" s="90" t="s">
        <v>1732</v>
      </c>
      <c r="D999" s="89">
        <v>1</v>
      </c>
      <c r="E999" s="91" t="s">
        <v>97</v>
      </c>
      <c r="F999" s="92">
        <v>9000000</v>
      </c>
      <c r="G999" s="92">
        <v>9000000</v>
      </c>
    </row>
    <row r="1000" spans="1:7" x14ac:dyDescent="0.25">
      <c r="A1000" s="7" t="s">
        <v>1733</v>
      </c>
      <c r="B1000" s="78" t="s">
        <v>550</v>
      </c>
      <c r="C1000" s="79" t="s">
        <v>82</v>
      </c>
      <c r="D1000" s="78"/>
      <c r="E1000" s="80"/>
      <c r="F1000" s="81"/>
      <c r="G1000" s="81">
        <v>217000000</v>
      </c>
    </row>
    <row r="1001" spans="1:7" x14ac:dyDescent="0.25">
      <c r="A1001" s="7" t="s">
        <v>1734</v>
      </c>
      <c r="B1001" s="89" t="s">
        <v>195</v>
      </c>
      <c r="C1001" s="90" t="s">
        <v>1735</v>
      </c>
      <c r="D1001" s="89">
        <v>1</v>
      </c>
      <c r="E1001" s="91" t="s">
        <v>97</v>
      </c>
      <c r="F1001" s="92">
        <v>15500000</v>
      </c>
      <c r="G1001" s="92">
        <v>15500000</v>
      </c>
    </row>
    <row r="1002" spans="1:7" x14ac:dyDescent="0.25">
      <c r="A1002" s="7" t="s">
        <v>1736</v>
      </c>
      <c r="B1002" s="89" t="s">
        <v>195</v>
      </c>
      <c r="C1002" s="90" t="s">
        <v>1737</v>
      </c>
      <c r="D1002" s="89">
        <v>12</v>
      </c>
      <c r="E1002" s="91" t="s">
        <v>97</v>
      </c>
      <c r="F1002" s="92">
        <v>15500000</v>
      </c>
      <c r="G1002" s="92">
        <v>186000000</v>
      </c>
    </row>
    <row r="1003" spans="1:7" x14ac:dyDescent="0.25">
      <c r="A1003" s="7" t="s">
        <v>1738</v>
      </c>
      <c r="B1003" s="89" t="s">
        <v>195</v>
      </c>
      <c r="C1003" s="90" t="s">
        <v>1739</v>
      </c>
      <c r="D1003" s="89">
        <v>1</v>
      </c>
      <c r="E1003" s="91" t="s">
        <v>97</v>
      </c>
      <c r="F1003" s="92">
        <v>15500000</v>
      </c>
      <c r="G1003" s="92">
        <v>15500000</v>
      </c>
    </row>
    <row r="1004" spans="1:7" x14ac:dyDescent="0.25">
      <c r="A1004" s="7" t="s">
        <v>1740</v>
      </c>
      <c r="B1004" s="78" t="s">
        <v>551</v>
      </c>
      <c r="C1004" s="79" t="s">
        <v>83</v>
      </c>
      <c r="D1004" s="78"/>
      <c r="E1004" s="80"/>
      <c r="F1004" s="81"/>
      <c r="G1004" s="81">
        <v>210000000</v>
      </c>
    </row>
    <row r="1005" spans="1:7" x14ac:dyDescent="0.25">
      <c r="A1005" s="7" t="s">
        <v>1741</v>
      </c>
      <c r="B1005" s="89" t="s">
        <v>195</v>
      </c>
      <c r="C1005" s="90" t="s">
        <v>1742</v>
      </c>
      <c r="D1005" s="89">
        <v>1</v>
      </c>
      <c r="E1005" s="91" t="s">
        <v>97</v>
      </c>
      <c r="F1005" s="92">
        <v>15000000</v>
      </c>
      <c r="G1005" s="92">
        <v>15000000</v>
      </c>
    </row>
    <row r="1006" spans="1:7" x14ac:dyDescent="0.25">
      <c r="A1006" s="7" t="s">
        <v>1743</v>
      </c>
      <c r="B1006" s="89" t="s">
        <v>195</v>
      </c>
      <c r="C1006" s="90" t="s">
        <v>1744</v>
      </c>
      <c r="D1006" s="89">
        <v>12</v>
      </c>
      <c r="E1006" s="91" t="s">
        <v>97</v>
      </c>
      <c r="F1006" s="92">
        <v>15000000</v>
      </c>
      <c r="G1006" s="92">
        <v>180000000</v>
      </c>
    </row>
    <row r="1007" spans="1:7" x14ac:dyDescent="0.25">
      <c r="A1007" s="7" t="s">
        <v>1745</v>
      </c>
      <c r="B1007" s="89" t="s">
        <v>195</v>
      </c>
      <c r="C1007" s="90" t="s">
        <v>1746</v>
      </c>
      <c r="D1007" s="89">
        <v>1</v>
      </c>
      <c r="E1007" s="91" t="s">
        <v>97</v>
      </c>
      <c r="F1007" s="92">
        <v>15000000</v>
      </c>
      <c r="G1007" s="92">
        <v>15000000</v>
      </c>
    </row>
    <row r="1008" spans="1:7" x14ac:dyDescent="0.25">
      <c r="A1008" s="7" t="s">
        <v>1747</v>
      </c>
      <c r="B1008" s="78" t="s">
        <v>552</v>
      </c>
      <c r="C1008" s="79" t="s">
        <v>84</v>
      </c>
      <c r="D1008" s="78"/>
      <c r="E1008" s="80"/>
      <c r="F1008" s="81"/>
      <c r="G1008" s="81">
        <v>12600000</v>
      </c>
    </row>
    <row r="1009" spans="1:7" x14ac:dyDescent="0.25">
      <c r="A1009" s="7" t="s">
        <v>1748</v>
      </c>
      <c r="B1009" s="89" t="s">
        <v>195</v>
      </c>
      <c r="C1009" s="90" t="s">
        <v>1749</v>
      </c>
      <c r="D1009" s="89">
        <v>1</v>
      </c>
      <c r="E1009" s="91" t="s">
        <v>97</v>
      </c>
      <c r="F1009" s="92">
        <v>2100000</v>
      </c>
      <c r="G1009" s="92">
        <v>2100000</v>
      </c>
    </row>
    <row r="1010" spans="1:7" x14ac:dyDescent="0.25">
      <c r="A1010" s="7" t="s">
        <v>1750</v>
      </c>
      <c r="B1010" s="89" t="s">
        <v>195</v>
      </c>
      <c r="C1010" s="90" t="s">
        <v>1751</v>
      </c>
      <c r="D1010" s="89">
        <v>1</v>
      </c>
      <c r="E1010" s="91" t="s">
        <v>153</v>
      </c>
      <c r="F1010" s="92">
        <v>8400000</v>
      </c>
      <c r="G1010" s="92">
        <v>8400000</v>
      </c>
    </row>
    <row r="1011" spans="1:7" x14ac:dyDescent="0.25">
      <c r="A1011" s="7" t="s">
        <v>1752</v>
      </c>
      <c r="B1011" s="89" t="s">
        <v>195</v>
      </c>
      <c r="C1011" s="90" t="s">
        <v>1753</v>
      </c>
      <c r="D1011" s="89">
        <v>1</v>
      </c>
      <c r="E1011" s="91" t="s">
        <v>97</v>
      </c>
      <c r="F1011" s="92">
        <v>2100000</v>
      </c>
      <c r="G1011" s="92">
        <v>2100000</v>
      </c>
    </row>
    <row r="1012" spans="1:7" x14ac:dyDescent="0.25">
      <c r="A1012" s="7" t="s">
        <v>1754</v>
      </c>
      <c r="B1012" s="78" t="s">
        <v>553</v>
      </c>
      <c r="C1012" s="79" t="s">
        <v>85</v>
      </c>
      <c r="D1012" s="78"/>
      <c r="E1012" s="80"/>
      <c r="F1012" s="81"/>
      <c r="G1012" s="81">
        <v>205000000</v>
      </c>
    </row>
    <row r="1013" spans="1:7" x14ac:dyDescent="0.25">
      <c r="A1013" s="7" t="s">
        <v>1755</v>
      </c>
      <c r="B1013" s="89" t="s">
        <v>195</v>
      </c>
      <c r="C1013" s="90" t="s">
        <v>1756</v>
      </c>
      <c r="D1013" s="89">
        <v>12</v>
      </c>
      <c r="E1013" s="91" t="s">
        <v>97</v>
      </c>
      <c r="F1013" s="92">
        <v>17083000</v>
      </c>
      <c r="G1013" s="92">
        <v>205000000</v>
      </c>
    </row>
    <row r="1014" spans="1:7" x14ac:dyDescent="0.25">
      <c r="A1014" s="7" t="s">
        <v>1757</v>
      </c>
      <c r="B1014" s="78" t="s">
        <v>554</v>
      </c>
      <c r="C1014" s="79" t="s">
        <v>86</v>
      </c>
      <c r="D1014" s="78"/>
      <c r="E1014" s="80"/>
      <c r="F1014" s="81"/>
      <c r="G1014" s="81">
        <v>568000000</v>
      </c>
    </row>
    <row r="1015" spans="1:7" x14ac:dyDescent="0.25">
      <c r="A1015" s="7" t="s">
        <v>1758</v>
      </c>
      <c r="B1015" s="89" t="s">
        <v>195</v>
      </c>
      <c r="C1015" s="90" t="s">
        <v>1759</v>
      </c>
      <c r="D1015" s="89">
        <v>12</v>
      </c>
      <c r="E1015" s="91" t="s">
        <v>97</v>
      </c>
      <c r="F1015" s="92">
        <v>47333000</v>
      </c>
      <c r="G1015" s="92">
        <v>568000000</v>
      </c>
    </row>
    <row r="1016" spans="1:7" x14ac:dyDescent="0.25">
      <c r="A1016" s="7" t="s">
        <v>1760</v>
      </c>
      <c r="B1016" s="78" t="s">
        <v>555</v>
      </c>
      <c r="C1016" s="79" t="s">
        <v>87</v>
      </c>
      <c r="D1016" s="78"/>
      <c r="E1016" s="80"/>
      <c r="F1016" s="81"/>
      <c r="G1016" s="81">
        <v>132000000</v>
      </c>
    </row>
    <row r="1017" spans="1:7" x14ac:dyDescent="0.25">
      <c r="A1017" s="7" t="s">
        <v>1761</v>
      </c>
      <c r="B1017" s="89" t="s">
        <v>195</v>
      </c>
      <c r="C1017" s="90" t="s">
        <v>1762</v>
      </c>
      <c r="D1017" s="89">
        <v>1</v>
      </c>
      <c r="E1017" s="91" t="s">
        <v>97</v>
      </c>
      <c r="F1017" s="92">
        <v>11800000</v>
      </c>
      <c r="G1017" s="92">
        <v>11800000</v>
      </c>
    </row>
    <row r="1018" spans="1:7" x14ac:dyDescent="0.25">
      <c r="A1018" s="7" t="s">
        <v>1763</v>
      </c>
      <c r="B1018" s="89" t="s">
        <v>195</v>
      </c>
      <c r="C1018" s="90" t="s">
        <v>1764</v>
      </c>
      <c r="D1018" s="89">
        <v>12</v>
      </c>
      <c r="E1018" s="91" t="s">
        <v>97</v>
      </c>
      <c r="F1018" s="92">
        <v>9033000</v>
      </c>
      <c r="G1018" s="92">
        <v>108400000</v>
      </c>
    </row>
    <row r="1019" spans="1:7" x14ac:dyDescent="0.25">
      <c r="A1019" s="7" t="s">
        <v>1765</v>
      </c>
      <c r="B1019" s="89" t="s">
        <v>195</v>
      </c>
      <c r="C1019" s="90" t="s">
        <v>1766</v>
      </c>
      <c r="D1019" s="89">
        <v>1</v>
      </c>
      <c r="E1019" s="91" t="s">
        <v>97</v>
      </c>
      <c r="F1019" s="92">
        <v>11800000</v>
      </c>
      <c r="G1019" s="92">
        <v>11800000</v>
      </c>
    </row>
    <row r="1020" spans="1:7" ht="27.6" x14ac:dyDescent="0.25">
      <c r="A1020" s="7" t="s">
        <v>1767</v>
      </c>
      <c r="B1020" s="78" t="s">
        <v>556</v>
      </c>
      <c r="C1020" s="79" t="s">
        <v>88</v>
      </c>
      <c r="D1020" s="78"/>
      <c r="E1020" s="80"/>
      <c r="F1020" s="81"/>
      <c r="G1020" s="81">
        <v>5116471000</v>
      </c>
    </row>
    <row r="1021" spans="1:7" x14ac:dyDescent="0.25">
      <c r="A1021" s="7" t="s">
        <v>1768</v>
      </c>
      <c r="B1021" s="89" t="s">
        <v>195</v>
      </c>
      <c r="C1021" s="90" t="s">
        <v>1769</v>
      </c>
      <c r="D1021" s="89">
        <v>1</v>
      </c>
      <c r="E1021" s="91" t="s">
        <v>153</v>
      </c>
      <c r="F1021" s="92">
        <v>5116471000</v>
      </c>
      <c r="G1021" s="92">
        <v>5116471000</v>
      </c>
    </row>
    <row r="1022" spans="1:7" ht="27.6" x14ac:dyDescent="0.25">
      <c r="A1022" s="7" t="s">
        <v>1770</v>
      </c>
      <c r="B1022" s="97" t="s">
        <v>1771</v>
      </c>
      <c r="C1022" s="98" t="s">
        <v>1772</v>
      </c>
      <c r="D1022" s="97"/>
      <c r="E1022" s="99"/>
      <c r="F1022" s="100"/>
      <c r="G1022" s="100">
        <v>5669527000</v>
      </c>
    </row>
    <row r="1023" spans="1:7" x14ac:dyDescent="0.25">
      <c r="A1023" s="7" t="s">
        <v>1773</v>
      </c>
      <c r="B1023" s="78" t="s">
        <v>544</v>
      </c>
      <c r="C1023" s="79" t="s">
        <v>77</v>
      </c>
      <c r="D1023" s="78"/>
      <c r="E1023" s="80"/>
      <c r="F1023" s="81"/>
      <c r="G1023" s="81">
        <v>2136876000</v>
      </c>
    </row>
    <row r="1024" spans="1:7" x14ac:dyDescent="0.25">
      <c r="A1024" s="7" t="s">
        <v>1774</v>
      </c>
      <c r="B1024" s="89" t="s">
        <v>195</v>
      </c>
      <c r="C1024" s="90" t="s">
        <v>1775</v>
      </c>
      <c r="D1024" s="89">
        <v>14</v>
      </c>
      <c r="E1024" s="91" t="s">
        <v>97</v>
      </c>
      <c r="F1024" s="92">
        <v>152634000</v>
      </c>
      <c r="G1024" s="92">
        <v>2136876000</v>
      </c>
    </row>
    <row r="1025" spans="1:7" x14ac:dyDescent="0.25">
      <c r="A1025" s="7" t="s">
        <v>1776</v>
      </c>
      <c r="B1025" s="78" t="s">
        <v>547</v>
      </c>
      <c r="C1025" s="79" t="s">
        <v>79</v>
      </c>
      <c r="D1025" s="78"/>
      <c r="E1025" s="80"/>
      <c r="F1025" s="81"/>
      <c r="G1025" s="81">
        <v>41000</v>
      </c>
    </row>
    <row r="1026" spans="1:7" x14ac:dyDescent="0.25">
      <c r="A1026" s="7" t="s">
        <v>1777</v>
      </c>
      <c r="B1026" s="89" t="s">
        <v>195</v>
      </c>
      <c r="C1026" s="90" t="s">
        <v>1778</v>
      </c>
      <c r="D1026" s="89">
        <v>14</v>
      </c>
      <c r="E1026" s="91" t="s">
        <v>97</v>
      </c>
      <c r="F1026" s="92">
        <v>3000</v>
      </c>
      <c r="G1026" s="92">
        <v>41000</v>
      </c>
    </row>
    <row r="1027" spans="1:7" x14ac:dyDescent="0.25">
      <c r="A1027" s="7" t="s">
        <v>1779</v>
      </c>
      <c r="B1027" s="78" t="s">
        <v>548</v>
      </c>
      <c r="C1027" s="79" t="s">
        <v>80</v>
      </c>
      <c r="D1027" s="78"/>
      <c r="E1027" s="80"/>
      <c r="F1027" s="81"/>
      <c r="G1027" s="81">
        <v>167664000</v>
      </c>
    </row>
    <row r="1028" spans="1:7" x14ac:dyDescent="0.25">
      <c r="A1028" s="7" t="s">
        <v>1780</v>
      </c>
      <c r="B1028" s="89" t="s">
        <v>195</v>
      </c>
      <c r="C1028" s="90" t="s">
        <v>1781</v>
      </c>
      <c r="D1028" s="89">
        <v>14</v>
      </c>
      <c r="E1028" s="91" t="s">
        <v>97</v>
      </c>
      <c r="F1028" s="92">
        <v>11976000</v>
      </c>
      <c r="G1028" s="92">
        <v>167664000</v>
      </c>
    </row>
    <row r="1029" spans="1:7" x14ac:dyDescent="0.25">
      <c r="A1029" s="7" t="s">
        <v>1782</v>
      </c>
      <c r="B1029" s="78" t="s">
        <v>549</v>
      </c>
      <c r="C1029" s="79" t="s">
        <v>81</v>
      </c>
      <c r="D1029" s="78"/>
      <c r="E1029" s="80"/>
      <c r="F1029" s="81"/>
      <c r="G1029" s="81">
        <v>50764000</v>
      </c>
    </row>
    <row r="1030" spans="1:7" x14ac:dyDescent="0.25">
      <c r="A1030" s="7" t="s">
        <v>1783</v>
      </c>
      <c r="B1030" s="89" t="s">
        <v>195</v>
      </c>
      <c r="C1030" s="90" t="s">
        <v>1784</v>
      </c>
      <c r="D1030" s="89">
        <v>14</v>
      </c>
      <c r="E1030" s="91" t="s">
        <v>97</v>
      </c>
      <c r="F1030" s="92">
        <v>3626000</v>
      </c>
      <c r="G1030" s="92">
        <v>50764000</v>
      </c>
    </row>
    <row r="1031" spans="1:7" x14ac:dyDescent="0.25">
      <c r="A1031" s="7" t="s">
        <v>1785</v>
      </c>
      <c r="B1031" s="78" t="s">
        <v>550</v>
      </c>
      <c r="C1031" s="79" t="s">
        <v>82</v>
      </c>
      <c r="D1031" s="78"/>
      <c r="E1031" s="80"/>
      <c r="F1031" s="81"/>
      <c r="G1031" s="81">
        <v>45500000</v>
      </c>
    </row>
    <row r="1032" spans="1:7" x14ac:dyDescent="0.25">
      <c r="A1032" s="7" t="s">
        <v>1786</v>
      </c>
      <c r="B1032" s="89" t="s">
        <v>195</v>
      </c>
      <c r="C1032" s="90" t="s">
        <v>1787</v>
      </c>
      <c r="D1032" s="89">
        <v>14</v>
      </c>
      <c r="E1032" s="91" t="s">
        <v>97</v>
      </c>
      <c r="F1032" s="92">
        <v>3250000</v>
      </c>
      <c r="G1032" s="92">
        <v>45500000</v>
      </c>
    </row>
    <row r="1033" spans="1:7" x14ac:dyDescent="0.25">
      <c r="A1033" s="7" t="s">
        <v>1788</v>
      </c>
      <c r="B1033" s="78" t="s">
        <v>551</v>
      </c>
      <c r="C1033" s="79" t="s">
        <v>83</v>
      </c>
      <c r="D1033" s="78"/>
      <c r="E1033" s="80"/>
      <c r="F1033" s="81"/>
      <c r="G1033" s="81">
        <v>200830000</v>
      </c>
    </row>
    <row r="1034" spans="1:7" x14ac:dyDescent="0.25">
      <c r="A1034" s="7" t="s">
        <v>1789</v>
      </c>
      <c r="B1034" s="89" t="s">
        <v>195</v>
      </c>
      <c r="C1034" s="90" t="s">
        <v>1790</v>
      </c>
      <c r="D1034" s="89">
        <v>14</v>
      </c>
      <c r="E1034" s="91" t="s">
        <v>97</v>
      </c>
      <c r="F1034" s="92">
        <v>14345000</v>
      </c>
      <c r="G1034" s="92">
        <v>200830000</v>
      </c>
    </row>
    <row r="1035" spans="1:7" x14ac:dyDescent="0.25">
      <c r="A1035" s="7" t="s">
        <v>1791</v>
      </c>
      <c r="B1035" s="78" t="s">
        <v>552</v>
      </c>
      <c r="C1035" s="79" t="s">
        <v>84</v>
      </c>
      <c r="D1035" s="78"/>
      <c r="E1035" s="80"/>
      <c r="F1035" s="81"/>
      <c r="G1035" s="81">
        <v>4858000</v>
      </c>
    </row>
    <row r="1036" spans="1:7" x14ac:dyDescent="0.25">
      <c r="A1036" s="7" t="s">
        <v>1792</v>
      </c>
      <c r="B1036" s="89" t="s">
        <v>195</v>
      </c>
      <c r="C1036" s="90" t="s">
        <v>1793</v>
      </c>
      <c r="D1036" s="89">
        <v>14</v>
      </c>
      <c r="E1036" s="91" t="s">
        <v>97</v>
      </c>
      <c r="F1036" s="92">
        <v>347000</v>
      </c>
      <c r="G1036" s="92">
        <v>4858000</v>
      </c>
    </row>
    <row r="1037" spans="1:7" x14ac:dyDescent="0.25">
      <c r="A1037" s="7" t="s">
        <v>1794</v>
      </c>
      <c r="B1037" s="78" t="s">
        <v>553</v>
      </c>
      <c r="C1037" s="79" t="s">
        <v>85</v>
      </c>
      <c r="D1037" s="78"/>
      <c r="E1037" s="80"/>
      <c r="F1037" s="81"/>
      <c r="G1037" s="81">
        <v>105156000</v>
      </c>
    </row>
    <row r="1038" spans="1:7" x14ac:dyDescent="0.25">
      <c r="A1038" s="7" t="s">
        <v>1795</v>
      </c>
      <c r="B1038" s="89" t="s">
        <v>195</v>
      </c>
      <c r="C1038" s="90" t="s">
        <v>1796</v>
      </c>
      <c r="D1038" s="89">
        <v>12</v>
      </c>
      <c r="E1038" s="91" t="s">
        <v>97</v>
      </c>
      <c r="F1038" s="92">
        <v>8763000</v>
      </c>
      <c r="G1038" s="92">
        <v>105156000</v>
      </c>
    </row>
    <row r="1039" spans="1:7" x14ac:dyDescent="0.25">
      <c r="A1039" s="7" t="s">
        <v>1797</v>
      </c>
      <c r="B1039" s="78" t="s">
        <v>554</v>
      </c>
      <c r="C1039" s="79" t="s">
        <v>86</v>
      </c>
      <c r="D1039" s="78"/>
      <c r="E1039" s="80"/>
      <c r="F1039" s="81"/>
      <c r="G1039" s="81">
        <v>386916000</v>
      </c>
    </row>
    <row r="1040" spans="1:7" x14ac:dyDescent="0.25">
      <c r="A1040" s="7" t="s">
        <v>1798</v>
      </c>
      <c r="B1040" s="89" t="s">
        <v>195</v>
      </c>
      <c r="C1040" s="90" t="s">
        <v>1799</v>
      </c>
      <c r="D1040" s="89">
        <v>12</v>
      </c>
      <c r="E1040" s="91" t="s">
        <v>97</v>
      </c>
      <c r="F1040" s="92">
        <v>32243000</v>
      </c>
      <c r="G1040" s="92">
        <v>386916000</v>
      </c>
    </row>
    <row r="1041" spans="1:7" x14ac:dyDescent="0.25">
      <c r="A1041" s="7" t="s">
        <v>1800</v>
      </c>
      <c r="B1041" s="78" t="s">
        <v>555</v>
      </c>
      <c r="C1041" s="79" t="s">
        <v>87</v>
      </c>
      <c r="D1041" s="78"/>
      <c r="E1041" s="80"/>
      <c r="F1041" s="81"/>
      <c r="G1041" s="81">
        <v>51870000</v>
      </c>
    </row>
    <row r="1042" spans="1:7" x14ac:dyDescent="0.25">
      <c r="A1042" s="7" t="s">
        <v>1801</v>
      </c>
      <c r="B1042" s="89" t="s">
        <v>195</v>
      </c>
      <c r="C1042" s="90" t="s">
        <v>1802</v>
      </c>
      <c r="D1042" s="89">
        <v>14</v>
      </c>
      <c r="E1042" s="91" t="s">
        <v>97</v>
      </c>
      <c r="F1042" s="92">
        <v>3705000</v>
      </c>
      <c r="G1042" s="92">
        <v>51870000</v>
      </c>
    </row>
    <row r="1043" spans="1:7" ht="27.6" x14ac:dyDescent="0.25">
      <c r="A1043" s="7" t="s">
        <v>1803</v>
      </c>
      <c r="B1043" s="78" t="s">
        <v>556</v>
      </c>
      <c r="C1043" s="79" t="s">
        <v>88</v>
      </c>
      <c r="D1043" s="78"/>
      <c r="E1043" s="80"/>
      <c r="F1043" s="81"/>
      <c r="G1043" s="81">
        <v>2519052000</v>
      </c>
    </row>
    <row r="1044" spans="1:7" x14ac:dyDescent="0.25">
      <c r="A1044" s="7" t="s">
        <v>1804</v>
      </c>
      <c r="B1044" s="89" t="s">
        <v>195</v>
      </c>
      <c r="C1044" s="90" t="s">
        <v>1805</v>
      </c>
      <c r="D1044" s="89">
        <v>12</v>
      </c>
      <c r="E1044" s="91" t="s">
        <v>97</v>
      </c>
      <c r="F1044" s="92">
        <v>209921000</v>
      </c>
      <c r="G1044" s="92">
        <v>2519052000</v>
      </c>
    </row>
    <row r="1045" spans="1:7" x14ac:dyDescent="0.25">
      <c r="A1045" s="7" t="s">
        <v>1806</v>
      </c>
      <c r="B1045" s="97" t="s">
        <v>1807</v>
      </c>
      <c r="C1045" s="98" t="s">
        <v>1808</v>
      </c>
      <c r="D1045" s="97"/>
      <c r="E1045" s="99"/>
      <c r="F1045" s="100"/>
      <c r="G1045" s="100">
        <v>6478996000</v>
      </c>
    </row>
    <row r="1046" spans="1:7" x14ac:dyDescent="0.25">
      <c r="A1046" s="7" t="s">
        <v>1809</v>
      </c>
      <c r="B1046" s="78" t="s">
        <v>544</v>
      </c>
      <c r="C1046" s="79" t="s">
        <v>77</v>
      </c>
      <c r="D1046" s="78"/>
      <c r="E1046" s="80"/>
      <c r="F1046" s="81"/>
      <c r="G1046" s="81">
        <v>2483477000</v>
      </c>
    </row>
    <row r="1047" spans="1:7" x14ac:dyDescent="0.25">
      <c r="A1047" s="7" t="s">
        <v>1810</v>
      </c>
      <c r="B1047" s="89" t="s">
        <v>195</v>
      </c>
      <c r="C1047" s="90" t="s">
        <v>1707</v>
      </c>
      <c r="D1047" s="89">
        <v>1</v>
      </c>
      <c r="E1047" s="91" t="s">
        <v>97</v>
      </c>
      <c r="F1047" s="92">
        <v>180000000</v>
      </c>
      <c r="G1047" s="92">
        <v>180000000</v>
      </c>
    </row>
    <row r="1048" spans="1:7" x14ac:dyDescent="0.25">
      <c r="A1048" s="7" t="s">
        <v>1811</v>
      </c>
      <c r="B1048" s="89" t="s">
        <v>195</v>
      </c>
      <c r="C1048" s="90" t="s">
        <v>1709</v>
      </c>
      <c r="D1048" s="89">
        <v>1</v>
      </c>
      <c r="E1048" s="91" t="s">
        <v>60</v>
      </c>
      <c r="F1048" s="92">
        <v>2123477000</v>
      </c>
      <c r="G1048" s="92">
        <v>2123477000</v>
      </c>
    </row>
    <row r="1049" spans="1:7" x14ac:dyDescent="0.25">
      <c r="A1049" s="7" t="s">
        <v>1812</v>
      </c>
      <c r="B1049" s="89" t="s">
        <v>195</v>
      </c>
      <c r="C1049" s="90" t="s">
        <v>1711</v>
      </c>
      <c r="D1049" s="89">
        <v>1</v>
      </c>
      <c r="E1049" s="91" t="s">
        <v>97</v>
      </c>
      <c r="F1049" s="92">
        <v>180000000</v>
      </c>
      <c r="G1049" s="92">
        <v>180000000</v>
      </c>
    </row>
    <row r="1050" spans="1:7" x14ac:dyDescent="0.25">
      <c r="A1050" s="7" t="s">
        <v>1813</v>
      </c>
      <c r="B1050" s="78" t="s">
        <v>547</v>
      </c>
      <c r="C1050" s="79" t="s">
        <v>79</v>
      </c>
      <c r="D1050" s="78"/>
      <c r="E1050" s="80"/>
      <c r="F1050" s="81"/>
      <c r="G1050" s="81">
        <v>38000</v>
      </c>
    </row>
    <row r="1051" spans="1:7" x14ac:dyDescent="0.25">
      <c r="A1051" s="7" t="s">
        <v>1814</v>
      </c>
      <c r="B1051" s="89" t="s">
        <v>195</v>
      </c>
      <c r="C1051" s="90" t="s">
        <v>1714</v>
      </c>
      <c r="D1051" s="89">
        <v>1</v>
      </c>
      <c r="E1051" s="91" t="s">
        <v>97</v>
      </c>
      <c r="F1051" s="92">
        <v>3000</v>
      </c>
      <c r="G1051" s="92">
        <v>3000</v>
      </c>
    </row>
    <row r="1052" spans="1:7" x14ac:dyDescent="0.25">
      <c r="A1052" s="7" t="s">
        <v>1815</v>
      </c>
      <c r="B1052" s="89" t="s">
        <v>195</v>
      </c>
      <c r="C1052" s="90" t="s">
        <v>1716</v>
      </c>
      <c r="D1052" s="89">
        <v>1</v>
      </c>
      <c r="E1052" s="91" t="s">
        <v>153</v>
      </c>
      <c r="F1052" s="92">
        <v>32000</v>
      </c>
      <c r="G1052" s="92">
        <v>32000</v>
      </c>
    </row>
    <row r="1053" spans="1:7" x14ac:dyDescent="0.25">
      <c r="A1053" s="7" t="s">
        <v>1816</v>
      </c>
      <c r="B1053" s="89" t="s">
        <v>195</v>
      </c>
      <c r="C1053" s="90" t="s">
        <v>1718</v>
      </c>
      <c r="D1053" s="89">
        <v>1</v>
      </c>
      <c r="E1053" s="91" t="s">
        <v>97</v>
      </c>
      <c r="F1053" s="92">
        <v>3000</v>
      </c>
      <c r="G1053" s="92">
        <v>3000</v>
      </c>
    </row>
    <row r="1054" spans="1:7" x14ac:dyDescent="0.25">
      <c r="A1054" s="7" t="s">
        <v>1817</v>
      </c>
      <c r="B1054" s="78" t="s">
        <v>548</v>
      </c>
      <c r="C1054" s="79" t="s">
        <v>80</v>
      </c>
      <c r="D1054" s="78"/>
      <c r="E1054" s="80"/>
      <c r="F1054" s="81"/>
      <c r="G1054" s="81">
        <v>171959000</v>
      </c>
    </row>
    <row r="1055" spans="1:7" x14ac:dyDescent="0.25">
      <c r="A1055" s="7" t="s">
        <v>1818</v>
      </c>
      <c r="B1055" s="89" t="s">
        <v>195</v>
      </c>
      <c r="C1055" s="90" t="s">
        <v>1721</v>
      </c>
      <c r="D1055" s="89">
        <v>1</v>
      </c>
      <c r="E1055" s="91" t="s">
        <v>153</v>
      </c>
      <c r="F1055" s="92">
        <v>147267000</v>
      </c>
      <c r="G1055" s="92">
        <v>147267000</v>
      </c>
    </row>
    <row r="1056" spans="1:7" x14ac:dyDescent="0.25">
      <c r="A1056" s="7" t="s">
        <v>1819</v>
      </c>
      <c r="B1056" s="89" t="s">
        <v>195</v>
      </c>
      <c r="C1056" s="90" t="s">
        <v>1723</v>
      </c>
      <c r="D1056" s="89">
        <v>1</v>
      </c>
      <c r="E1056" s="91" t="s">
        <v>97</v>
      </c>
      <c r="F1056" s="92">
        <v>12494000</v>
      </c>
      <c r="G1056" s="92">
        <v>12494000</v>
      </c>
    </row>
    <row r="1057" spans="1:7" x14ac:dyDescent="0.25">
      <c r="A1057" s="7" t="s">
        <v>1820</v>
      </c>
      <c r="B1057" s="89" t="s">
        <v>195</v>
      </c>
      <c r="C1057" s="90" t="s">
        <v>1725</v>
      </c>
      <c r="D1057" s="89">
        <v>1</v>
      </c>
      <c r="E1057" s="91" t="s">
        <v>97</v>
      </c>
      <c r="F1057" s="92">
        <v>12198000</v>
      </c>
      <c r="G1057" s="92">
        <v>12198000</v>
      </c>
    </row>
    <row r="1058" spans="1:7" x14ac:dyDescent="0.25">
      <c r="A1058" s="7" t="s">
        <v>1821</v>
      </c>
      <c r="B1058" s="78" t="s">
        <v>549</v>
      </c>
      <c r="C1058" s="79" t="s">
        <v>81</v>
      </c>
      <c r="D1058" s="78"/>
      <c r="E1058" s="80"/>
      <c r="F1058" s="81"/>
      <c r="G1058" s="81">
        <v>46700000</v>
      </c>
    </row>
    <row r="1059" spans="1:7" x14ac:dyDescent="0.25">
      <c r="A1059" s="7" t="s">
        <v>1822</v>
      </c>
      <c r="B1059" s="89" t="s">
        <v>195</v>
      </c>
      <c r="C1059" s="90" t="s">
        <v>1728</v>
      </c>
      <c r="D1059" s="89">
        <v>1</v>
      </c>
      <c r="E1059" s="91" t="s">
        <v>97</v>
      </c>
      <c r="F1059" s="92">
        <v>3282000</v>
      </c>
      <c r="G1059" s="92">
        <v>3282000</v>
      </c>
    </row>
    <row r="1060" spans="1:7" x14ac:dyDescent="0.25">
      <c r="A1060" s="7" t="s">
        <v>1823</v>
      </c>
      <c r="B1060" s="89" t="s">
        <v>195</v>
      </c>
      <c r="C1060" s="90" t="s">
        <v>1730</v>
      </c>
      <c r="D1060" s="89">
        <v>1</v>
      </c>
      <c r="E1060" s="91" t="s">
        <v>153</v>
      </c>
      <c r="F1060" s="92">
        <v>40080000</v>
      </c>
      <c r="G1060" s="92">
        <v>40080000</v>
      </c>
    </row>
    <row r="1061" spans="1:7" x14ac:dyDescent="0.25">
      <c r="A1061" s="7" t="s">
        <v>1824</v>
      </c>
      <c r="B1061" s="89" t="s">
        <v>195</v>
      </c>
      <c r="C1061" s="90" t="s">
        <v>1732</v>
      </c>
      <c r="D1061" s="89">
        <v>1</v>
      </c>
      <c r="E1061" s="91" t="s">
        <v>97</v>
      </c>
      <c r="F1061" s="92">
        <v>3338000</v>
      </c>
      <c r="G1061" s="92">
        <v>3338000</v>
      </c>
    </row>
    <row r="1062" spans="1:7" x14ac:dyDescent="0.25">
      <c r="A1062" s="7" t="s">
        <v>1825</v>
      </c>
      <c r="B1062" s="78" t="s">
        <v>550</v>
      </c>
      <c r="C1062" s="79" t="s">
        <v>82</v>
      </c>
      <c r="D1062" s="78"/>
      <c r="E1062" s="80"/>
      <c r="F1062" s="81"/>
      <c r="G1062" s="81">
        <v>158000000</v>
      </c>
    </row>
    <row r="1063" spans="1:7" x14ac:dyDescent="0.25">
      <c r="A1063" s="7" t="s">
        <v>1826</v>
      </c>
      <c r="B1063" s="89" t="s">
        <v>195</v>
      </c>
      <c r="C1063" s="90" t="s">
        <v>1735</v>
      </c>
      <c r="D1063" s="89">
        <v>1</v>
      </c>
      <c r="E1063" s="91" t="s">
        <v>97</v>
      </c>
      <c r="F1063" s="92">
        <v>12070000</v>
      </c>
      <c r="G1063" s="92">
        <v>12070000</v>
      </c>
    </row>
    <row r="1064" spans="1:7" x14ac:dyDescent="0.25">
      <c r="A1064" s="7" t="s">
        <v>1827</v>
      </c>
      <c r="B1064" s="89" t="s">
        <v>195</v>
      </c>
      <c r="C1064" s="90" t="s">
        <v>1737</v>
      </c>
      <c r="D1064" s="89">
        <v>1</v>
      </c>
      <c r="E1064" s="91" t="s">
        <v>60</v>
      </c>
      <c r="F1064" s="92">
        <v>133860000</v>
      </c>
      <c r="G1064" s="92">
        <v>133860000</v>
      </c>
    </row>
    <row r="1065" spans="1:7" x14ac:dyDescent="0.25">
      <c r="A1065" s="7" t="s">
        <v>1828</v>
      </c>
      <c r="B1065" s="89" t="s">
        <v>195</v>
      </c>
      <c r="C1065" s="90" t="s">
        <v>1739</v>
      </c>
      <c r="D1065" s="89">
        <v>1</v>
      </c>
      <c r="E1065" s="91" t="s">
        <v>97</v>
      </c>
      <c r="F1065" s="92">
        <v>12070000</v>
      </c>
      <c r="G1065" s="92">
        <v>12070000</v>
      </c>
    </row>
    <row r="1066" spans="1:7" x14ac:dyDescent="0.25">
      <c r="A1066" s="7" t="s">
        <v>1829</v>
      </c>
      <c r="B1066" s="78" t="s">
        <v>551</v>
      </c>
      <c r="C1066" s="79" t="s">
        <v>83</v>
      </c>
      <c r="D1066" s="78"/>
      <c r="E1066" s="80"/>
      <c r="F1066" s="81"/>
      <c r="G1066" s="81">
        <v>48180000</v>
      </c>
    </row>
    <row r="1067" spans="1:7" x14ac:dyDescent="0.25">
      <c r="A1067" s="7" t="s">
        <v>1830</v>
      </c>
      <c r="B1067" s="89" t="s">
        <v>195</v>
      </c>
      <c r="C1067" s="90" t="s">
        <v>1742</v>
      </c>
      <c r="D1067" s="89">
        <v>1</v>
      </c>
      <c r="E1067" s="91" t="s">
        <v>97</v>
      </c>
      <c r="F1067" s="92">
        <v>2000000</v>
      </c>
      <c r="G1067" s="92">
        <v>2000000</v>
      </c>
    </row>
    <row r="1068" spans="1:7" x14ac:dyDescent="0.25">
      <c r="A1068" s="7" t="s">
        <v>1831</v>
      </c>
      <c r="B1068" s="89" t="s">
        <v>195</v>
      </c>
      <c r="C1068" s="90" t="s">
        <v>1744</v>
      </c>
      <c r="D1068" s="89">
        <v>1</v>
      </c>
      <c r="E1068" s="91" t="s">
        <v>60</v>
      </c>
      <c r="F1068" s="92">
        <v>44180000</v>
      </c>
      <c r="G1068" s="92">
        <v>44180000</v>
      </c>
    </row>
    <row r="1069" spans="1:7" x14ac:dyDescent="0.25">
      <c r="A1069" s="7" t="s">
        <v>1832</v>
      </c>
      <c r="B1069" s="89" t="s">
        <v>195</v>
      </c>
      <c r="C1069" s="90" t="s">
        <v>1746</v>
      </c>
      <c r="D1069" s="89">
        <v>1</v>
      </c>
      <c r="E1069" s="91" t="s">
        <v>97</v>
      </c>
      <c r="F1069" s="92">
        <v>2000000</v>
      </c>
      <c r="G1069" s="92">
        <v>2000000</v>
      </c>
    </row>
    <row r="1070" spans="1:7" x14ac:dyDescent="0.25">
      <c r="A1070" s="7" t="s">
        <v>1833</v>
      </c>
      <c r="B1070" s="78" t="s">
        <v>552</v>
      </c>
      <c r="C1070" s="79" t="s">
        <v>84</v>
      </c>
      <c r="D1070" s="78"/>
      <c r="E1070" s="80"/>
      <c r="F1070" s="81"/>
      <c r="G1070" s="81">
        <v>13133000</v>
      </c>
    </row>
    <row r="1071" spans="1:7" x14ac:dyDescent="0.25">
      <c r="A1071" s="7" t="s">
        <v>1834</v>
      </c>
      <c r="B1071" s="89" t="s">
        <v>195</v>
      </c>
      <c r="C1071" s="90" t="s">
        <v>1749</v>
      </c>
      <c r="D1071" s="89">
        <v>1</v>
      </c>
      <c r="E1071" s="91" t="s">
        <v>97</v>
      </c>
      <c r="F1071" s="92">
        <v>3360000</v>
      </c>
      <c r="G1071" s="92">
        <v>3360000</v>
      </c>
    </row>
    <row r="1072" spans="1:7" x14ac:dyDescent="0.25">
      <c r="A1072" s="7" t="s">
        <v>1835</v>
      </c>
      <c r="B1072" s="89" t="s">
        <v>195</v>
      </c>
      <c r="C1072" s="90" t="s">
        <v>1751</v>
      </c>
      <c r="D1072" s="89">
        <v>1</v>
      </c>
      <c r="E1072" s="91" t="s">
        <v>153</v>
      </c>
      <c r="F1072" s="92">
        <v>6407000</v>
      </c>
      <c r="G1072" s="92">
        <v>6407000</v>
      </c>
    </row>
    <row r="1073" spans="1:7" x14ac:dyDescent="0.25">
      <c r="A1073" s="7" t="s">
        <v>1836</v>
      </c>
      <c r="B1073" s="89" t="s">
        <v>195</v>
      </c>
      <c r="C1073" s="90" t="s">
        <v>1753</v>
      </c>
      <c r="D1073" s="89">
        <v>1</v>
      </c>
      <c r="E1073" s="91" t="s">
        <v>97</v>
      </c>
      <c r="F1073" s="92">
        <v>3366000</v>
      </c>
      <c r="G1073" s="92">
        <v>3366000</v>
      </c>
    </row>
    <row r="1074" spans="1:7" x14ac:dyDescent="0.25">
      <c r="A1074" s="7" t="s">
        <v>1837</v>
      </c>
      <c r="B1074" s="78" t="s">
        <v>553</v>
      </c>
      <c r="C1074" s="79" t="s">
        <v>85</v>
      </c>
      <c r="D1074" s="78"/>
      <c r="E1074" s="80"/>
      <c r="F1074" s="81"/>
      <c r="G1074" s="81">
        <v>130333000</v>
      </c>
    </row>
    <row r="1075" spans="1:7" x14ac:dyDescent="0.25">
      <c r="A1075" s="7" t="s">
        <v>1838</v>
      </c>
      <c r="B1075" s="89" t="s">
        <v>195</v>
      </c>
      <c r="C1075" s="90" t="s">
        <v>1756</v>
      </c>
      <c r="D1075" s="89">
        <v>1</v>
      </c>
      <c r="E1075" s="91" t="s">
        <v>60</v>
      </c>
      <c r="F1075" s="92">
        <v>130333000</v>
      </c>
      <c r="G1075" s="92">
        <v>130333000</v>
      </c>
    </row>
    <row r="1076" spans="1:7" x14ac:dyDescent="0.25">
      <c r="A1076" s="7" t="s">
        <v>1839</v>
      </c>
      <c r="B1076" s="78" t="s">
        <v>554</v>
      </c>
      <c r="C1076" s="79" t="s">
        <v>86</v>
      </c>
      <c r="D1076" s="78"/>
      <c r="E1076" s="80"/>
      <c r="F1076" s="81"/>
      <c r="G1076" s="81">
        <v>379379000</v>
      </c>
    </row>
    <row r="1077" spans="1:7" x14ac:dyDescent="0.25">
      <c r="A1077" s="7" t="s">
        <v>1840</v>
      </c>
      <c r="B1077" s="89" t="s">
        <v>195</v>
      </c>
      <c r="C1077" s="90" t="s">
        <v>1759</v>
      </c>
      <c r="D1077" s="89">
        <v>1</v>
      </c>
      <c r="E1077" s="91" t="s">
        <v>153</v>
      </c>
      <c r="F1077" s="92">
        <v>379379000</v>
      </c>
      <c r="G1077" s="92">
        <v>379379000</v>
      </c>
    </row>
    <row r="1078" spans="1:7" x14ac:dyDescent="0.25">
      <c r="A1078" s="7" t="s">
        <v>1841</v>
      </c>
      <c r="B1078" s="78" t="s">
        <v>555</v>
      </c>
      <c r="C1078" s="79" t="s">
        <v>87</v>
      </c>
      <c r="D1078" s="78"/>
      <c r="E1078" s="80"/>
      <c r="F1078" s="81"/>
      <c r="G1078" s="81">
        <v>88360000</v>
      </c>
    </row>
    <row r="1079" spans="1:7" x14ac:dyDescent="0.25">
      <c r="A1079" s="7" t="s">
        <v>1842</v>
      </c>
      <c r="B1079" s="89" t="s">
        <v>195</v>
      </c>
      <c r="C1079" s="90" t="s">
        <v>1762</v>
      </c>
      <c r="D1079" s="89">
        <v>1</v>
      </c>
      <c r="E1079" s="91" t="s">
        <v>97</v>
      </c>
      <c r="F1079" s="92">
        <v>6655000</v>
      </c>
      <c r="G1079" s="92">
        <v>6655000</v>
      </c>
    </row>
    <row r="1080" spans="1:7" x14ac:dyDescent="0.25">
      <c r="A1080" s="7" t="s">
        <v>1843</v>
      </c>
      <c r="B1080" s="89" t="s">
        <v>195</v>
      </c>
      <c r="C1080" s="90" t="s">
        <v>1764</v>
      </c>
      <c r="D1080" s="89">
        <v>1</v>
      </c>
      <c r="E1080" s="91" t="s">
        <v>60</v>
      </c>
      <c r="F1080" s="92">
        <v>75605000</v>
      </c>
      <c r="G1080" s="92">
        <v>75605000</v>
      </c>
    </row>
    <row r="1081" spans="1:7" x14ac:dyDescent="0.25">
      <c r="A1081" s="7" t="s">
        <v>1844</v>
      </c>
      <c r="B1081" s="89" t="s">
        <v>195</v>
      </c>
      <c r="C1081" s="90" t="s">
        <v>1766</v>
      </c>
      <c r="D1081" s="89">
        <v>1</v>
      </c>
      <c r="E1081" s="91" t="s">
        <v>97</v>
      </c>
      <c r="F1081" s="92">
        <v>6100000</v>
      </c>
      <c r="G1081" s="92">
        <v>6100000</v>
      </c>
    </row>
    <row r="1082" spans="1:7" ht="27.6" x14ac:dyDescent="0.25">
      <c r="A1082" s="7" t="s">
        <v>1845</v>
      </c>
      <c r="B1082" s="78" t="s">
        <v>556</v>
      </c>
      <c r="C1082" s="79" t="s">
        <v>88</v>
      </c>
      <c r="D1082" s="78"/>
      <c r="E1082" s="80"/>
      <c r="F1082" s="81"/>
      <c r="G1082" s="81">
        <v>2959437000</v>
      </c>
    </row>
    <row r="1083" spans="1:7" x14ac:dyDescent="0.25">
      <c r="A1083" s="7" t="s">
        <v>1846</v>
      </c>
      <c r="B1083" s="89" t="s">
        <v>195</v>
      </c>
      <c r="C1083" s="90" t="s">
        <v>1769</v>
      </c>
      <c r="D1083" s="89">
        <v>1</v>
      </c>
      <c r="E1083" s="91" t="s">
        <v>153</v>
      </c>
      <c r="F1083" s="92">
        <v>2959437000</v>
      </c>
      <c r="G1083" s="92">
        <v>2959437000</v>
      </c>
    </row>
    <row r="1084" spans="1:7" x14ac:dyDescent="0.25">
      <c r="A1084" s="7" t="s">
        <v>1847</v>
      </c>
      <c r="B1084" s="93" t="s">
        <v>557</v>
      </c>
      <c r="C1084" s="94" t="s">
        <v>89</v>
      </c>
      <c r="D1084" s="93"/>
      <c r="E1084" s="95"/>
      <c r="F1084" s="96"/>
      <c r="G1084" s="96">
        <v>25774658000</v>
      </c>
    </row>
    <row r="1085" spans="1:7" ht="27.6" x14ac:dyDescent="0.25">
      <c r="A1085" s="7" t="s">
        <v>1848</v>
      </c>
      <c r="B1085" s="97" t="s">
        <v>558</v>
      </c>
      <c r="C1085" s="98" t="s">
        <v>1849</v>
      </c>
      <c r="D1085" s="97"/>
      <c r="E1085" s="99"/>
      <c r="F1085" s="100"/>
      <c r="G1085" s="100">
        <v>4061938000</v>
      </c>
    </row>
    <row r="1086" spans="1:7" x14ac:dyDescent="0.25">
      <c r="A1086" s="7" t="s">
        <v>1850</v>
      </c>
      <c r="B1086" s="78" t="s">
        <v>559</v>
      </c>
      <c r="C1086" s="79" t="s">
        <v>90</v>
      </c>
      <c r="D1086" s="78"/>
      <c r="E1086" s="80"/>
      <c r="F1086" s="81"/>
      <c r="G1086" s="81">
        <v>3839118000</v>
      </c>
    </row>
    <row r="1087" spans="1:7" x14ac:dyDescent="0.25">
      <c r="A1087" s="7" t="s">
        <v>1851</v>
      </c>
      <c r="B1087" s="89" t="s">
        <v>195</v>
      </c>
      <c r="C1087" s="90" t="s">
        <v>1852</v>
      </c>
      <c r="D1087" s="89">
        <v>1</v>
      </c>
      <c r="E1087" s="91" t="s">
        <v>1672</v>
      </c>
      <c r="F1087" s="92">
        <v>1699118000</v>
      </c>
      <c r="G1087" s="92">
        <v>1699118000</v>
      </c>
    </row>
    <row r="1088" spans="1:7" ht="27.6" x14ac:dyDescent="0.25">
      <c r="A1088" s="7" t="s">
        <v>1853</v>
      </c>
      <c r="B1088" s="89" t="s">
        <v>195</v>
      </c>
      <c r="C1088" s="90" t="s">
        <v>1854</v>
      </c>
      <c r="D1088" s="89">
        <v>12</v>
      </c>
      <c r="E1088" s="91" t="s">
        <v>1855</v>
      </c>
      <c r="F1088" s="92">
        <v>50000000</v>
      </c>
      <c r="G1088" s="92">
        <v>600000000</v>
      </c>
    </row>
    <row r="1089" spans="1:7" ht="27.6" x14ac:dyDescent="0.25">
      <c r="A1089" s="7" t="s">
        <v>1856</v>
      </c>
      <c r="B1089" s="89" t="s">
        <v>195</v>
      </c>
      <c r="C1089" s="90" t="s">
        <v>1857</v>
      </c>
      <c r="D1089" s="89">
        <v>12</v>
      </c>
      <c r="E1089" s="91" t="s">
        <v>1855</v>
      </c>
      <c r="F1089" s="92">
        <v>20000000</v>
      </c>
      <c r="G1089" s="92">
        <v>240000000</v>
      </c>
    </row>
    <row r="1090" spans="1:7" ht="27.6" x14ac:dyDescent="0.25">
      <c r="A1090" s="7" t="s">
        <v>1858</v>
      </c>
      <c r="B1090" s="89" t="s">
        <v>195</v>
      </c>
      <c r="C1090" s="90" t="s">
        <v>1859</v>
      </c>
      <c r="D1090" s="89">
        <v>12</v>
      </c>
      <c r="E1090" s="91" t="s">
        <v>1855</v>
      </c>
      <c r="F1090" s="92">
        <v>20000000</v>
      </c>
      <c r="G1090" s="92">
        <v>240000000</v>
      </c>
    </row>
    <row r="1091" spans="1:7" x14ac:dyDescent="0.25">
      <c r="A1091" s="7" t="s">
        <v>1860</v>
      </c>
      <c r="B1091" s="89" t="s">
        <v>195</v>
      </c>
      <c r="C1091" s="90" t="s">
        <v>1861</v>
      </c>
      <c r="D1091" s="89">
        <v>165</v>
      </c>
      <c r="E1091" s="91" t="s">
        <v>1862</v>
      </c>
      <c r="F1091" s="92">
        <v>2000000</v>
      </c>
      <c r="G1091" s="92">
        <v>330000000</v>
      </c>
    </row>
    <row r="1092" spans="1:7" x14ac:dyDescent="0.25">
      <c r="A1092" s="7" t="s">
        <v>1863</v>
      </c>
      <c r="B1092" s="89" t="s">
        <v>195</v>
      </c>
      <c r="C1092" s="90" t="s">
        <v>1864</v>
      </c>
      <c r="D1092" s="89">
        <v>1</v>
      </c>
      <c r="E1092" s="91" t="s">
        <v>1672</v>
      </c>
      <c r="F1092" s="92">
        <v>250000000</v>
      </c>
      <c r="G1092" s="92">
        <v>250000000</v>
      </c>
    </row>
    <row r="1093" spans="1:7" x14ac:dyDescent="0.25">
      <c r="A1093" s="7" t="s">
        <v>1865</v>
      </c>
      <c r="B1093" s="89" t="s">
        <v>195</v>
      </c>
      <c r="C1093" s="90" t="s">
        <v>1866</v>
      </c>
      <c r="D1093" s="89">
        <v>12</v>
      </c>
      <c r="E1093" s="91" t="s">
        <v>97</v>
      </c>
      <c r="F1093" s="92">
        <v>10000000</v>
      </c>
      <c r="G1093" s="92">
        <v>120000000</v>
      </c>
    </row>
    <row r="1094" spans="1:7" x14ac:dyDescent="0.25">
      <c r="A1094" s="7" t="s">
        <v>1867</v>
      </c>
      <c r="B1094" s="89" t="s">
        <v>195</v>
      </c>
      <c r="C1094" s="90" t="s">
        <v>1868</v>
      </c>
      <c r="D1094" s="89">
        <v>72</v>
      </c>
      <c r="E1094" s="91" t="s">
        <v>106</v>
      </c>
      <c r="F1094" s="92">
        <v>2500000</v>
      </c>
      <c r="G1094" s="92">
        <v>180000000</v>
      </c>
    </row>
    <row r="1095" spans="1:7" x14ac:dyDescent="0.25">
      <c r="A1095" s="7" t="s">
        <v>1869</v>
      </c>
      <c r="B1095" s="89" t="s">
        <v>195</v>
      </c>
      <c r="C1095" s="90" t="s">
        <v>1870</v>
      </c>
      <c r="D1095" s="89">
        <v>72</v>
      </c>
      <c r="E1095" s="91" t="s">
        <v>106</v>
      </c>
      <c r="F1095" s="92">
        <v>2500000</v>
      </c>
      <c r="G1095" s="92">
        <v>180000000</v>
      </c>
    </row>
    <row r="1096" spans="1:7" x14ac:dyDescent="0.25">
      <c r="A1096" s="7" t="s">
        <v>1871</v>
      </c>
      <c r="B1096" s="78" t="s">
        <v>561</v>
      </c>
      <c r="C1096" s="79" t="s">
        <v>92</v>
      </c>
      <c r="D1096" s="78"/>
      <c r="E1096" s="80"/>
      <c r="F1096" s="81"/>
      <c r="G1096" s="81">
        <v>222820000</v>
      </c>
    </row>
    <row r="1097" spans="1:7" ht="27.6" x14ac:dyDescent="0.25">
      <c r="A1097" s="7" t="s">
        <v>1872</v>
      </c>
      <c r="B1097" s="89" t="s">
        <v>195</v>
      </c>
      <c r="C1097" s="90" t="s">
        <v>1873</v>
      </c>
      <c r="D1097" s="89">
        <v>260</v>
      </c>
      <c r="E1097" s="91" t="s">
        <v>1874</v>
      </c>
      <c r="F1097" s="92">
        <v>857000</v>
      </c>
      <c r="G1097" s="92">
        <v>222820000</v>
      </c>
    </row>
    <row r="1098" spans="1:7" x14ac:dyDescent="0.25">
      <c r="A1098" s="7" t="s">
        <v>1875</v>
      </c>
      <c r="B1098" s="97" t="s">
        <v>562</v>
      </c>
      <c r="C1098" s="98" t="s">
        <v>93</v>
      </c>
      <c r="D1098" s="97"/>
      <c r="E1098" s="99"/>
      <c r="F1098" s="100"/>
      <c r="G1098" s="100">
        <v>652560000</v>
      </c>
    </row>
    <row r="1099" spans="1:7" x14ac:dyDescent="0.25">
      <c r="A1099" s="7" t="s">
        <v>1876</v>
      </c>
      <c r="B1099" s="78" t="s">
        <v>559</v>
      </c>
      <c r="C1099" s="79" t="s">
        <v>90</v>
      </c>
      <c r="D1099" s="78"/>
      <c r="E1099" s="80"/>
      <c r="F1099" s="81"/>
      <c r="G1099" s="81">
        <v>60000000</v>
      </c>
    </row>
    <row r="1100" spans="1:7" x14ac:dyDescent="0.25">
      <c r="A1100" s="7" t="s">
        <v>1877</v>
      </c>
      <c r="B1100" s="89" t="s">
        <v>195</v>
      </c>
      <c r="C1100" s="90" t="s">
        <v>1878</v>
      </c>
      <c r="D1100" s="89">
        <v>12</v>
      </c>
      <c r="E1100" s="91" t="s">
        <v>1855</v>
      </c>
      <c r="F1100" s="92">
        <v>5000000</v>
      </c>
      <c r="G1100" s="92">
        <v>60000000</v>
      </c>
    </row>
    <row r="1101" spans="1:7" x14ac:dyDescent="0.25">
      <c r="A1101" s="7" t="s">
        <v>1879</v>
      </c>
      <c r="B1101" s="78" t="s">
        <v>563</v>
      </c>
      <c r="C1101" s="79" t="s">
        <v>94</v>
      </c>
      <c r="D1101" s="78"/>
      <c r="E1101" s="80"/>
      <c r="F1101" s="81"/>
      <c r="G1101" s="81">
        <v>300000000</v>
      </c>
    </row>
    <row r="1102" spans="1:7" ht="27.6" x14ac:dyDescent="0.25">
      <c r="A1102" s="7" t="s">
        <v>1880</v>
      </c>
      <c r="B1102" s="89" t="s">
        <v>195</v>
      </c>
      <c r="C1102" s="90" t="s">
        <v>1881</v>
      </c>
      <c r="D1102" s="89">
        <v>12</v>
      </c>
      <c r="E1102" s="91" t="s">
        <v>97</v>
      </c>
      <c r="F1102" s="92">
        <v>25000000</v>
      </c>
      <c r="G1102" s="92">
        <v>300000000</v>
      </c>
    </row>
    <row r="1103" spans="1:7" x14ac:dyDescent="0.25">
      <c r="A1103" s="7" t="s">
        <v>1882</v>
      </c>
      <c r="B1103" s="78" t="s">
        <v>564</v>
      </c>
      <c r="C1103" s="79" t="s">
        <v>95</v>
      </c>
      <c r="D1103" s="78"/>
      <c r="E1103" s="80"/>
      <c r="F1103" s="81"/>
      <c r="G1103" s="81">
        <v>292560000</v>
      </c>
    </row>
    <row r="1104" spans="1:7" x14ac:dyDescent="0.25">
      <c r="A1104" s="7" t="s">
        <v>1883</v>
      </c>
      <c r="B1104" s="89" t="s">
        <v>195</v>
      </c>
      <c r="C1104" s="90" t="s">
        <v>1884</v>
      </c>
      <c r="D1104" s="89">
        <v>24</v>
      </c>
      <c r="E1104" s="91" t="s">
        <v>97</v>
      </c>
      <c r="F1104" s="92">
        <v>5500000</v>
      </c>
      <c r="G1104" s="92">
        <v>132000000</v>
      </c>
    </row>
    <row r="1105" spans="1:7" x14ac:dyDescent="0.25">
      <c r="A1105" s="7" t="s">
        <v>1885</v>
      </c>
      <c r="B1105" s="89" t="s">
        <v>195</v>
      </c>
      <c r="C1105" s="90" t="s">
        <v>1886</v>
      </c>
      <c r="D1105" s="89">
        <v>24</v>
      </c>
      <c r="E1105" s="91" t="s">
        <v>97</v>
      </c>
      <c r="F1105" s="92">
        <v>6690000</v>
      </c>
      <c r="G1105" s="92">
        <v>160560000</v>
      </c>
    </row>
    <row r="1106" spans="1:7" x14ac:dyDescent="0.25">
      <c r="A1106" s="7" t="s">
        <v>1887</v>
      </c>
      <c r="B1106" s="97" t="s">
        <v>565</v>
      </c>
      <c r="C1106" s="98" t="s">
        <v>98</v>
      </c>
      <c r="D1106" s="97"/>
      <c r="E1106" s="99"/>
      <c r="F1106" s="100"/>
      <c r="G1106" s="100">
        <v>2200340000</v>
      </c>
    </row>
    <row r="1107" spans="1:7" ht="27.6" x14ac:dyDescent="0.25">
      <c r="A1107" s="7" t="s">
        <v>1888</v>
      </c>
      <c r="B1107" s="78" t="s">
        <v>566</v>
      </c>
      <c r="C1107" s="79" t="s">
        <v>1889</v>
      </c>
      <c r="D1107" s="78"/>
      <c r="E1107" s="80"/>
      <c r="F1107" s="81"/>
      <c r="G1107" s="81">
        <v>678000000</v>
      </c>
    </row>
    <row r="1108" spans="1:7" ht="27.6" x14ac:dyDescent="0.25">
      <c r="A1108" s="7" t="s">
        <v>1890</v>
      </c>
      <c r="B1108" s="89" t="s">
        <v>195</v>
      </c>
      <c r="C1108" s="90" t="s">
        <v>1891</v>
      </c>
      <c r="D1108" s="89">
        <v>12</v>
      </c>
      <c r="E1108" s="91" t="s">
        <v>52</v>
      </c>
      <c r="F1108" s="92">
        <v>30000000</v>
      </c>
      <c r="G1108" s="92">
        <v>360000000</v>
      </c>
    </row>
    <row r="1109" spans="1:7" ht="27.6" x14ac:dyDescent="0.25">
      <c r="A1109" s="7" t="s">
        <v>1892</v>
      </c>
      <c r="B1109" s="89" t="s">
        <v>195</v>
      </c>
      <c r="C1109" s="90" t="s">
        <v>1893</v>
      </c>
      <c r="D1109" s="89">
        <v>12</v>
      </c>
      <c r="E1109" s="91" t="s">
        <v>52</v>
      </c>
      <c r="F1109" s="92">
        <v>1500000</v>
      </c>
      <c r="G1109" s="92">
        <v>18000000</v>
      </c>
    </row>
    <row r="1110" spans="1:7" x14ac:dyDescent="0.25">
      <c r="A1110" s="7" t="s">
        <v>1894</v>
      </c>
      <c r="B1110" s="89" t="s">
        <v>195</v>
      </c>
      <c r="C1110" s="90" t="s">
        <v>1895</v>
      </c>
      <c r="D1110" s="89">
        <v>1</v>
      </c>
      <c r="E1110" s="91" t="s">
        <v>1672</v>
      </c>
      <c r="F1110" s="92">
        <v>300000000</v>
      </c>
      <c r="G1110" s="92">
        <v>300000000</v>
      </c>
    </row>
    <row r="1111" spans="1:7" x14ac:dyDescent="0.25">
      <c r="A1111" s="7" t="s">
        <v>1896</v>
      </c>
      <c r="B1111" s="78" t="s">
        <v>575</v>
      </c>
      <c r="C1111" s="79" t="s">
        <v>113</v>
      </c>
      <c r="D1111" s="78"/>
      <c r="E1111" s="80"/>
      <c r="F1111" s="81"/>
      <c r="G1111" s="81">
        <v>33750000</v>
      </c>
    </row>
    <row r="1112" spans="1:7" x14ac:dyDescent="0.25">
      <c r="A1112" s="7" t="s">
        <v>1897</v>
      </c>
      <c r="B1112" s="89" t="s">
        <v>195</v>
      </c>
      <c r="C1112" s="90" t="s">
        <v>1898</v>
      </c>
      <c r="D1112" s="89">
        <v>250</v>
      </c>
      <c r="E1112" s="91" t="s">
        <v>114</v>
      </c>
      <c r="F1112" s="92">
        <v>135000</v>
      </c>
      <c r="G1112" s="92">
        <v>33750000</v>
      </c>
    </row>
    <row r="1113" spans="1:7" x14ac:dyDescent="0.25">
      <c r="A1113" s="7" t="s">
        <v>1899</v>
      </c>
      <c r="B1113" s="78" t="s">
        <v>567</v>
      </c>
      <c r="C1113" s="79" t="s">
        <v>99</v>
      </c>
      <c r="D1113" s="78"/>
      <c r="E1113" s="80"/>
      <c r="F1113" s="81"/>
      <c r="G1113" s="81">
        <v>1302590000</v>
      </c>
    </row>
    <row r="1114" spans="1:7" x14ac:dyDescent="0.25">
      <c r="A1114" s="7" t="s">
        <v>1900</v>
      </c>
      <c r="B1114" s="89" t="s">
        <v>195</v>
      </c>
      <c r="C1114" s="90" t="s">
        <v>1901</v>
      </c>
      <c r="D1114" s="89">
        <v>135</v>
      </c>
      <c r="E1114" s="91" t="s">
        <v>100</v>
      </c>
      <c r="F1114" s="92">
        <v>730000</v>
      </c>
      <c r="G1114" s="92">
        <v>98550000</v>
      </c>
    </row>
    <row r="1115" spans="1:7" x14ac:dyDescent="0.25">
      <c r="A1115" s="7" t="s">
        <v>1902</v>
      </c>
      <c r="B1115" s="89" t="s">
        <v>195</v>
      </c>
      <c r="C1115" s="90" t="s">
        <v>1903</v>
      </c>
      <c r="D1115" s="89">
        <v>165</v>
      </c>
      <c r="E1115" s="91" t="s">
        <v>100</v>
      </c>
      <c r="F1115" s="92">
        <v>300000</v>
      </c>
      <c r="G1115" s="92">
        <v>49500000</v>
      </c>
    </row>
    <row r="1116" spans="1:7" x14ac:dyDescent="0.25">
      <c r="A1116" s="7" t="s">
        <v>1904</v>
      </c>
      <c r="B1116" s="89" t="s">
        <v>195</v>
      </c>
      <c r="C1116" s="90" t="s">
        <v>1905</v>
      </c>
      <c r="D1116" s="89">
        <v>165</v>
      </c>
      <c r="E1116" s="91" t="s">
        <v>101</v>
      </c>
      <c r="F1116" s="92">
        <v>80000</v>
      </c>
      <c r="G1116" s="92">
        <v>13200000</v>
      </c>
    </row>
    <row r="1117" spans="1:7" x14ac:dyDescent="0.25">
      <c r="A1117" s="7" t="s">
        <v>1906</v>
      </c>
      <c r="B1117" s="89" t="s">
        <v>195</v>
      </c>
      <c r="C1117" s="90" t="s">
        <v>1907</v>
      </c>
      <c r="D1117" s="89">
        <v>1</v>
      </c>
      <c r="E1117" s="91" t="s">
        <v>153</v>
      </c>
      <c r="F1117" s="92">
        <v>25000000</v>
      </c>
      <c r="G1117" s="92">
        <v>25000000</v>
      </c>
    </row>
    <row r="1118" spans="1:7" x14ac:dyDescent="0.25">
      <c r="A1118" s="7" t="s">
        <v>1908</v>
      </c>
      <c r="B1118" s="89" t="s">
        <v>195</v>
      </c>
      <c r="C1118" s="90" t="s">
        <v>1909</v>
      </c>
      <c r="D1118" s="89">
        <v>1</v>
      </c>
      <c r="E1118" s="91" t="s">
        <v>153</v>
      </c>
      <c r="F1118" s="92">
        <v>100000000</v>
      </c>
      <c r="G1118" s="92">
        <v>100000000</v>
      </c>
    </row>
    <row r="1119" spans="1:7" x14ac:dyDescent="0.25">
      <c r="A1119" s="7" t="s">
        <v>195</v>
      </c>
      <c r="B1119" s="89" t="s">
        <v>195</v>
      </c>
      <c r="C1119" s="90" t="s">
        <v>1910</v>
      </c>
      <c r="D1119" s="89">
        <v>0</v>
      </c>
      <c r="E1119" s="91" t="s">
        <v>195</v>
      </c>
      <c r="F1119" s="92">
        <v>0</v>
      </c>
      <c r="G1119" s="92">
        <v>0</v>
      </c>
    </row>
    <row r="1120" spans="1:7" x14ac:dyDescent="0.25">
      <c r="A1120" s="7" t="s">
        <v>1911</v>
      </c>
      <c r="B1120" s="89" t="s">
        <v>195</v>
      </c>
      <c r="C1120" s="90" t="s">
        <v>1912</v>
      </c>
      <c r="D1120" s="89">
        <v>1</v>
      </c>
      <c r="E1120" s="91" t="s">
        <v>100</v>
      </c>
      <c r="F1120" s="92">
        <v>40000000</v>
      </c>
      <c r="G1120" s="92">
        <v>40000000</v>
      </c>
    </row>
    <row r="1121" spans="1:7" x14ac:dyDescent="0.25">
      <c r="A1121" s="7" t="s">
        <v>1913</v>
      </c>
      <c r="B1121" s="89" t="s">
        <v>195</v>
      </c>
      <c r="C1121" s="90" t="s">
        <v>1914</v>
      </c>
      <c r="D1121" s="89">
        <v>1</v>
      </c>
      <c r="E1121" s="91" t="s">
        <v>100</v>
      </c>
      <c r="F1121" s="92">
        <v>38730000</v>
      </c>
      <c r="G1121" s="92">
        <v>38730000</v>
      </c>
    </row>
    <row r="1122" spans="1:7" x14ac:dyDescent="0.25">
      <c r="A1122" s="7" t="s">
        <v>1915</v>
      </c>
      <c r="B1122" s="89" t="s">
        <v>195</v>
      </c>
      <c r="C1122" s="90" t="s">
        <v>1916</v>
      </c>
      <c r="D1122" s="89">
        <v>12</v>
      </c>
      <c r="E1122" s="91" t="s">
        <v>100</v>
      </c>
      <c r="F1122" s="92">
        <v>33650000</v>
      </c>
      <c r="G1122" s="92">
        <v>403800000</v>
      </c>
    </row>
    <row r="1123" spans="1:7" x14ac:dyDescent="0.25">
      <c r="A1123" s="7" t="s">
        <v>1917</v>
      </c>
      <c r="B1123" s="89" t="s">
        <v>195</v>
      </c>
      <c r="C1123" s="90" t="s">
        <v>1918</v>
      </c>
      <c r="D1123" s="89">
        <v>6</v>
      </c>
      <c r="E1123" s="91" t="s">
        <v>100</v>
      </c>
      <c r="F1123" s="92">
        <v>25000000</v>
      </c>
      <c r="G1123" s="92">
        <v>150000000</v>
      </c>
    </row>
    <row r="1124" spans="1:7" x14ac:dyDescent="0.25">
      <c r="A1124" s="7" t="s">
        <v>195</v>
      </c>
      <c r="B1124" s="89" t="s">
        <v>195</v>
      </c>
      <c r="C1124" s="90" t="s">
        <v>1919</v>
      </c>
      <c r="D1124" s="89">
        <v>0</v>
      </c>
      <c r="E1124" s="91" t="s">
        <v>195</v>
      </c>
      <c r="F1124" s="92">
        <v>0</v>
      </c>
      <c r="G1124" s="92">
        <v>0</v>
      </c>
    </row>
    <row r="1125" spans="1:7" x14ac:dyDescent="0.25">
      <c r="A1125" s="7" t="s">
        <v>1920</v>
      </c>
      <c r="B1125" s="89" t="s">
        <v>195</v>
      </c>
      <c r="C1125" s="90" t="s">
        <v>1921</v>
      </c>
      <c r="D1125" s="89">
        <v>135</v>
      </c>
      <c r="E1125" s="91" t="s">
        <v>100</v>
      </c>
      <c r="F1125" s="92">
        <v>730000</v>
      </c>
      <c r="G1125" s="92">
        <v>98550000</v>
      </c>
    </row>
    <row r="1126" spans="1:7" x14ac:dyDescent="0.25">
      <c r="A1126" s="7" t="s">
        <v>1922</v>
      </c>
      <c r="B1126" s="89" t="s">
        <v>195</v>
      </c>
      <c r="C1126" s="90" t="s">
        <v>1923</v>
      </c>
      <c r="D1126" s="89">
        <v>25</v>
      </c>
      <c r="E1126" s="91" t="s">
        <v>100</v>
      </c>
      <c r="F1126" s="92">
        <v>3640000</v>
      </c>
      <c r="G1126" s="92">
        <v>91000000</v>
      </c>
    </row>
    <row r="1127" spans="1:7" x14ac:dyDescent="0.25">
      <c r="A1127" s="7" t="s">
        <v>1924</v>
      </c>
      <c r="B1127" s="89" t="s">
        <v>195</v>
      </c>
      <c r="C1127" s="90" t="s">
        <v>1925</v>
      </c>
      <c r="D1127" s="89">
        <v>135</v>
      </c>
      <c r="E1127" s="91" t="s">
        <v>100</v>
      </c>
      <c r="F1127" s="92">
        <v>690000</v>
      </c>
      <c r="G1127" s="92">
        <v>93150000</v>
      </c>
    </row>
    <row r="1128" spans="1:7" x14ac:dyDescent="0.25">
      <c r="A1128" s="7" t="s">
        <v>1926</v>
      </c>
      <c r="B1128" s="89" t="s">
        <v>195</v>
      </c>
      <c r="C1128" s="90" t="s">
        <v>1927</v>
      </c>
      <c r="D1128" s="89">
        <v>20</v>
      </c>
      <c r="E1128" s="91" t="s">
        <v>100</v>
      </c>
      <c r="F1128" s="92">
        <v>690000</v>
      </c>
      <c r="G1128" s="92">
        <v>13800000</v>
      </c>
    </row>
    <row r="1129" spans="1:7" x14ac:dyDescent="0.25">
      <c r="A1129" s="7" t="s">
        <v>1928</v>
      </c>
      <c r="B1129" s="89" t="s">
        <v>195</v>
      </c>
      <c r="C1129" s="90" t="s">
        <v>1929</v>
      </c>
      <c r="D1129" s="89">
        <v>50</v>
      </c>
      <c r="E1129" s="91" t="s">
        <v>100</v>
      </c>
      <c r="F1129" s="92">
        <v>690000</v>
      </c>
      <c r="G1129" s="92">
        <v>34500000</v>
      </c>
    </row>
    <row r="1130" spans="1:7" x14ac:dyDescent="0.25">
      <c r="A1130" s="7" t="s">
        <v>1930</v>
      </c>
      <c r="B1130" s="89" t="s">
        <v>195</v>
      </c>
      <c r="C1130" s="90" t="s">
        <v>1931</v>
      </c>
      <c r="D1130" s="89">
        <v>9</v>
      </c>
      <c r="E1130" s="91" t="s">
        <v>100</v>
      </c>
      <c r="F1130" s="92">
        <v>690000</v>
      </c>
      <c r="G1130" s="92">
        <v>6210000</v>
      </c>
    </row>
    <row r="1131" spans="1:7" x14ac:dyDescent="0.25">
      <c r="A1131" s="7" t="s">
        <v>1932</v>
      </c>
      <c r="B1131" s="89" t="s">
        <v>195</v>
      </c>
      <c r="C1131" s="90" t="s">
        <v>1933</v>
      </c>
      <c r="D1131" s="89">
        <v>1</v>
      </c>
      <c r="E1131" s="91" t="s">
        <v>1672</v>
      </c>
      <c r="F1131" s="92">
        <v>25000000</v>
      </c>
      <c r="G1131" s="92">
        <v>25000000</v>
      </c>
    </row>
    <row r="1132" spans="1:7" x14ac:dyDescent="0.25">
      <c r="A1132" s="7" t="s">
        <v>1934</v>
      </c>
      <c r="B1132" s="89" t="s">
        <v>195</v>
      </c>
      <c r="C1132" s="90" t="s">
        <v>1935</v>
      </c>
      <c r="D1132" s="89">
        <v>10</v>
      </c>
      <c r="E1132" s="91" t="s">
        <v>100</v>
      </c>
      <c r="F1132" s="92">
        <v>300000</v>
      </c>
      <c r="G1132" s="92">
        <v>3000000</v>
      </c>
    </row>
    <row r="1133" spans="1:7" x14ac:dyDescent="0.25">
      <c r="A1133" s="7" t="s">
        <v>1936</v>
      </c>
      <c r="B1133" s="89" t="s">
        <v>195</v>
      </c>
      <c r="C1133" s="90" t="s">
        <v>1937</v>
      </c>
      <c r="D1133" s="89">
        <v>31</v>
      </c>
      <c r="E1133" s="91" t="s">
        <v>100</v>
      </c>
      <c r="F1133" s="92">
        <v>600000</v>
      </c>
      <c r="G1133" s="92">
        <v>18600000</v>
      </c>
    </row>
    <row r="1134" spans="1:7" x14ac:dyDescent="0.25">
      <c r="A1134" s="7" t="s">
        <v>1938</v>
      </c>
      <c r="B1134" s="78" t="s">
        <v>568</v>
      </c>
      <c r="C1134" s="79" t="s">
        <v>102</v>
      </c>
      <c r="D1134" s="78"/>
      <c r="E1134" s="80"/>
      <c r="F1134" s="81"/>
      <c r="G1134" s="81">
        <v>186000000</v>
      </c>
    </row>
    <row r="1135" spans="1:7" x14ac:dyDescent="0.25">
      <c r="A1135" s="7" t="s">
        <v>1939</v>
      </c>
      <c r="B1135" s="89" t="s">
        <v>195</v>
      </c>
      <c r="C1135" s="90" t="s">
        <v>1940</v>
      </c>
      <c r="D1135" s="89">
        <v>100</v>
      </c>
      <c r="E1135" s="91" t="s">
        <v>100</v>
      </c>
      <c r="F1135" s="92">
        <v>1000000</v>
      </c>
      <c r="G1135" s="92">
        <v>100000000</v>
      </c>
    </row>
    <row r="1136" spans="1:7" x14ac:dyDescent="0.25">
      <c r="A1136" s="7" t="s">
        <v>1941</v>
      </c>
      <c r="B1136" s="89" t="s">
        <v>195</v>
      </c>
      <c r="C1136" s="90" t="s">
        <v>1942</v>
      </c>
      <c r="D1136" s="89">
        <v>1</v>
      </c>
      <c r="E1136" s="91" t="s">
        <v>153</v>
      </c>
      <c r="F1136" s="92">
        <v>50000000</v>
      </c>
      <c r="G1136" s="92">
        <v>50000000</v>
      </c>
    </row>
    <row r="1137" spans="1:7" ht="27.6" x14ac:dyDescent="0.25">
      <c r="A1137" s="7" t="s">
        <v>1943</v>
      </c>
      <c r="B1137" s="89" t="s">
        <v>195</v>
      </c>
      <c r="C1137" s="90" t="s">
        <v>1944</v>
      </c>
      <c r="D1137" s="89">
        <v>24</v>
      </c>
      <c r="E1137" s="91" t="s">
        <v>97</v>
      </c>
      <c r="F1137" s="92">
        <v>1500000</v>
      </c>
      <c r="G1137" s="92">
        <v>36000000</v>
      </c>
    </row>
    <row r="1138" spans="1:7" x14ac:dyDescent="0.25">
      <c r="A1138" s="7" t="s">
        <v>1945</v>
      </c>
      <c r="B1138" s="97" t="s">
        <v>569</v>
      </c>
      <c r="C1138" s="98" t="s">
        <v>103</v>
      </c>
      <c r="D1138" s="97"/>
      <c r="E1138" s="99"/>
      <c r="F1138" s="100"/>
      <c r="G1138" s="100">
        <v>3269208000</v>
      </c>
    </row>
    <row r="1139" spans="1:7" x14ac:dyDescent="0.25">
      <c r="A1139" s="7" t="s">
        <v>1946</v>
      </c>
      <c r="B1139" s="78" t="s">
        <v>559</v>
      </c>
      <c r="C1139" s="79" t="s">
        <v>90</v>
      </c>
      <c r="D1139" s="78"/>
      <c r="E1139" s="80"/>
      <c r="F1139" s="81"/>
      <c r="G1139" s="81">
        <v>2824368000</v>
      </c>
    </row>
    <row r="1140" spans="1:7" x14ac:dyDescent="0.25">
      <c r="A1140" s="7" t="s">
        <v>1947</v>
      </c>
      <c r="B1140" s="89" t="s">
        <v>195</v>
      </c>
      <c r="C1140" s="90" t="s">
        <v>1948</v>
      </c>
      <c r="D1140" s="89">
        <v>468</v>
      </c>
      <c r="E1140" s="91" t="s">
        <v>1949</v>
      </c>
      <c r="F1140" s="92">
        <v>5060000</v>
      </c>
      <c r="G1140" s="92">
        <v>2368080000</v>
      </c>
    </row>
    <row r="1141" spans="1:7" x14ac:dyDescent="0.25">
      <c r="A1141" s="7" t="s">
        <v>1950</v>
      </c>
      <c r="B1141" s="89" t="s">
        <v>195</v>
      </c>
      <c r="C1141" s="90" t="s">
        <v>1951</v>
      </c>
      <c r="D1141" s="89">
        <v>78</v>
      </c>
      <c r="E1141" s="91" t="s">
        <v>32</v>
      </c>
      <c r="F1141" s="92">
        <v>5680000</v>
      </c>
      <c r="G1141" s="92">
        <v>443040000</v>
      </c>
    </row>
    <row r="1142" spans="1:7" ht="27.6" x14ac:dyDescent="0.25">
      <c r="A1142" s="7" t="s">
        <v>1952</v>
      </c>
      <c r="B1142" s="89" t="s">
        <v>195</v>
      </c>
      <c r="C1142" s="90" t="s">
        <v>1953</v>
      </c>
      <c r="D1142" s="89">
        <v>432</v>
      </c>
      <c r="E1142" s="91" t="s">
        <v>32</v>
      </c>
      <c r="F1142" s="92">
        <v>26000</v>
      </c>
      <c r="G1142" s="92">
        <v>11232000</v>
      </c>
    </row>
    <row r="1143" spans="1:7" ht="27.6" x14ac:dyDescent="0.25">
      <c r="A1143" s="7" t="s">
        <v>1954</v>
      </c>
      <c r="B1143" s="89" t="s">
        <v>195</v>
      </c>
      <c r="C1143" s="90" t="s">
        <v>1955</v>
      </c>
      <c r="D1143" s="89">
        <v>72</v>
      </c>
      <c r="E1143" s="91" t="s">
        <v>32</v>
      </c>
      <c r="F1143" s="92">
        <v>28000</v>
      </c>
      <c r="G1143" s="92">
        <v>2016000</v>
      </c>
    </row>
    <row r="1144" spans="1:7" x14ac:dyDescent="0.25">
      <c r="A1144" s="7" t="s">
        <v>1956</v>
      </c>
      <c r="B1144" s="78" t="s">
        <v>570</v>
      </c>
      <c r="C1144" s="79" t="s">
        <v>104</v>
      </c>
      <c r="D1144" s="78"/>
      <c r="E1144" s="80"/>
      <c r="F1144" s="81"/>
      <c r="G1144" s="81">
        <v>321840000</v>
      </c>
    </row>
    <row r="1145" spans="1:7" x14ac:dyDescent="0.25">
      <c r="A1145" s="7" t="s">
        <v>195</v>
      </c>
      <c r="B1145" s="89" t="s">
        <v>195</v>
      </c>
      <c r="C1145" s="90" t="s">
        <v>1957</v>
      </c>
      <c r="D1145" s="89">
        <v>0</v>
      </c>
      <c r="E1145" s="91" t="s">
        <v>195</v>
      </c>
      <c r="F1145" s="92">
        <v>0</v>
      </c>
      <c r="G1145" s="92">
        <v>0</v>
      </c>
    </row>
    <row r="1146" spans="1:7" ht="27.6" x14ac:dyDescent="0.25">
      <c r="A1146" s="7" t="s">
        <v>1958</v>
      </c>
      <c r="B1146" s="89" t="s">
        <v>195</v>
      </c>
      <c r="C1146" s="90" t="s">
        <v>1959</v>
      </c>
      <c r="D1146" s="89">
        <v>12</v>
      </c>
      <c r="E1146" s="91" t="s">
        <v>32</v>
      </c>
      <c r="F1146" s="92">
        <v>2420000</v>
      </c>
      <c r="G1146" s="92">
        <v>29040000</v>
      </c>
    </row>
    <row r="1147" spans="1:7" ht="27.6" x14ac:dyDescent="0.25">
      <c r="A1147" s="7" t="s">
        <v>1960</v>
      </c>
      <c r="B1147" s="89" t="s">
        <v>195</v>
      </c>
      <c r="C1147" s="90" t="s">
        <v>1961</v>
      </c>
      <c r="D1147" s="89">
        <v>12</v>
      </c>
      <c r="E1147" s="91" t="s">
        <v>32</v>
      </c>
      <c r="F1147" s="92">
        <v>4770000</v>
      </c>
      <c r="G1147" s="92">
        <v>57240000</v>
      </c>
    </row>
    <row r="1148" spans="1:7" ht="27.6" x14ac:dyDescent="0.25">
      <c r="A1148" s="7" t="s">
        <v>1962</v>
      </c>
      <c r="B1148" s="89" t="s">
        <v>195</v>
      </c>
      <c r="C1148" s="90" t="s">
        <v>1963</v>
      </c>
      <c r="D1148" s="89">
        <v>12</v>
      </c>
      <c r="E1148" s="91" t="s">
        <v>32</v>
      </c>
      <c r="F1148" s="92">
        <v>2120000</v>
      </c>
      <c r="G1148" s="92">
        <v>25440000</v>
      </c>
    </row>
    <row r="1149" spans="1:7" ht="27.6" x14ac:dyDescent="0.25">
      <c r="A1149" s="7" t="s">
        <v>1964</v>
      </c>
      <c r="B1149" s="89" t="s">
        <v>195</v>
      </c>
      <c r="C1149" s="90" t="s">
        <v>1965</v>
      </c>
      <c r="D1149" s="89">
        <v>12</v>
      </c>
      <c r="E1149" s="91" t="s">
        <v>32</v>
      </c>
      <c r="F1149" s="92">
        <v>3720000</v>
      </c>
      <c r="G1149" s="92">
        <v>44640000</v>
      </c>
    </row>
    <row r="1150" spans="1:7" ht="27.6" x14ac:dyDescent="0.25">
      <c r="A1150" s="7" t="s">
        <v>1966</v>
      </c>
      <c r="B1150" s="89" t="s">
        <v>195</v>
      </c>
      <c r="C1150" s="90" t="s">
        <v>1967</v>
      </c>
      <c r="D1150" s="89">
        <v>24</v>
      </c>
      <c r="E1150" s="91" t="s">
        <v>32</v>
      </c>
      <c r="F1150" s="92">
        <v>1580000</v>
      </c>
      <c r="G1150" s="92">
        <v>37920000</v>
      </c>
    </row>
    <row r="1151" spans="1:7" ht="27.6" x14ac:dyDescent="0.25">
      <c r="A1151" s="7" t="s">
        <v>1968</v>
      </c>
      <c r="B1151" s="89" t="s">
        <v>195</v>
      </c>
      <c r="C1151" s="90" t="s">
        <v>1969</v>
      </c>
      <c r="D1151" s="89">
        <v>24</v>
      </c>
      <c r="E1151" s="91" t="s">
        <v>32</v>
      </c>
      <c r="F1151" s="92">
        <v>1365000</v>
      </c>
      <c r="G1151" s="92">
        <v>32760000</v>
      </c>
    </row>
    <row r="1152" spans="1:7" ht="27.6" x14ac:dyDescent="0.25">
      <c r="A1152" s="7" t="s">
        <v>195</v>
      </c>
      <c r="B1152" s="89" t="s">
        <v>195</v>
      </c>
      <c r="C1152" s="90" t="s">
        <v>1970</v>
      </c>
      <c r="D1152" s="89">
        <v>0</v>
      </c>
      <c r="E1152" s="91" t="s">
        <v>195</v>
      </c>
      <c r="F1152" s="92">
        <v>0</v>
      </c>
      <c r="G1152" s="92">
        <v>0</v>
      </c>
    </row>
    <row r="1153" spans="1:7" x14ac:dyDescent="0.25">
      <c r="A1153" s="7" t="s">
        <v>1971</v>
      </c>
      <c r="B1153" s="89" t="s">
        <v>195</v>
      </c>
      <c r="C1153" s="90" t="s">
        <v>1972</v>
      </c>
      <c r="D1153" s="89">
        <v>12</v>
      </c>
      <c r="E1153" s="91" t="s">
        <v>32</v>
      </c>
      <c r="F1153" s="92">
        <v>300000</v>
      </c>
      <c r="G1153" s="92">
        <v>3600000</v>
      </c>
    </row>
    <row r="1154" spans="1:7" x14ac:dyDescent="0.25">
      <c r="A1154" s="7" t="s">
        <v>1973</v>
      </c>
      <c r="B1154" s="89" t="s">
        <v>195</v>
      </c>
      <c r="C1154" s="90" t="s">
        <v>1974</v>
      </c>
      <c r="D1154" s="89">
        <v>12</v>
      </c>
      <c r="E1154" s="91" t="s">
        <v>32</v>
      </c>
      <c r="F1154" s="92">
        <v>200000</v>
      </c>
      <c r="G1154" s="92">
        <v>2400000</v>
      </c>
    </row>
    <row r="1155" spans="1:7" x14ac:dyDescent="0.25">
      <c r="A1155" s="7" t="s">
        <v>1975</v>
      </c>
      <c r="B1155" s="89" t="s">
        <v>195</v>
      </c>
      <c r="C1155" s="90" t="s">
        <v>1976</v>
      </c>
      <c r="D1155" s="89">
        <v>12</v>
      </c>
      <c r="E1155" s="91" t="s">
        <v>32</v>
      </c>
      <c r="F1155" s="92">
        <v>250000</v>
      </c>
      <c r="G1155" s="92">
        <v>3000000</v>
      </c>
    </row>
    <row r="1156" spans="1:7" ht="27.6" x14ac:dyDescent="0.25">
      <c r="A1156" s="7" t="s">
        <v>1977</v>
      </c>
      <c r="B1156" s="89" t="s">
        <v>195</v>
      </c>
      <c r="C1156" s="90" t="s">
        <v>1978</v>
      </c>
      <c r="D1156" s="89">
        <v>12</v>
      </c>
      <c r="E1156" s="91" t="s">
        <v>32</v>
      </c>
      <c r="F1156" s="92">
        <v>980000</v>
      </c>
      <c r="G1156" s="92">
        <v>11760000</v>
      </c>
    </row>
    <row r="1157" spans="1:7" ht="27.6" x14ac:dyDescent="0.25">
      <c r="A1157" s="7" t="s">
        <v>1979</v>
      </c>
      <c r="B1157" s="89" t="s">
        <v>195</v>
      </c>
      <c r="C1157" s="90" t="s">
        <v>1980</v>
      </c>
      <c r="D1157" s="89">
        <v>24</v>
      </c>
      <c r="E1157" s="91" t="s">
        <v>32</v>
      </c>
      <c r="F1157" s="92">
        <v>150000</v>
      </c>
      <c r="G1157" s="92">
        <v>3600000</v>
      </c>
    </row>
    <row r="1158" spans="1:7" ht="27.6" x14ac:dyDescent="0.25">
      <c r="A1158" s="7" t="s">
        <v>195</v>
      </c>
      <c r="B1158" s="89" t="s">
        <v>195</v>
      </c>
      <c r="C1158" s="90" t="s">
        <v>1981</v>
      </c>
      <c r="D1158" s="89">
        <v>0</v>
      </c>
      <c r="E1158" s="91" t="s">
        <v>195</v>
      </c>
      <c r="F1158" s="92">
        <v>0</v>
      </c>
      <c r="G1158" s="92">
        <v>0</v>
      </c>
    </row>
    <row r="1159" spans="1:7" x14ac:dyDescent="0.25">
      <c r="A1159" s="7" t="s">
        <v>1982</v>
      </c>
      <c r="B1159" s="89" t="s">
        <v>195</v>
      </c>
      <c r="C1159" s="90" t="s">
        <v>1983</v>
      </c>
      <c r="D1159" s="89">
        <v>12</v>
      </c>
      <c r="E1159" s="91" t="s">
        <v>32</v>
      </c>
      <c r="F1159" s="92">
        <v>450000</v>
      </c>
      <c r="G1159" s="92">
        <v>5400000</v>
      </c>
    </row>
    <row r="1160" spans="1:7" x14ac:dyDescent="0.25">
      <c r="A1160" s="7" t="s">
        <v>1984</v>
      </c>
      <c r="B1160" s="89" t="s">
        <v>195</v>
      </c>
      <c r="C1160" s="90" t="s">
        <v>1985</v>
      </c>
      <c r="D1160" s="89">
        <v>12</v>
      </c>
      <c r="E1160" s="91" t="s">
        <v>32</v>
      </c>
      <c r="F1160" s="92">
        <v>400000</v>
      </c>
      <c r="G1160" s="92">
        <v>4800000</v>
      </c>
    </row>
    <row r="1161" spans="1:7" x14ac:dyDescent="0.25">
      <c r="A1161" s="7" t="s">
        <v>1986</v>
      </c>
      <c r="B1161" s="89" t="s">
        <v>195</v>
      </c>
      <c r="C1161" s="90" t="s">
        <v>1987</v>
      </c>
      <c r="D1161" s="89">
        <v>12</v>
      </c>
      <c r="E1161" s="91" t="s">
        <v>32</v>
      </c>
      <c r="F1161" s="92">
        <v>350000</v>
      </c>
      <c r="G1161" s="92">
        <v>4200000</v>
      </c>
    </row>
    <row r="1162" spans="1:7" ht="27.6" x14ac:dyDescent="0.25">
      <c r="A1162" s="7" t="s">
        <v>1988</v>
      </c>
      <c r="B1162" s="89" t="s">
        <v>195</v>
      </c>
      <c r="C1162" s="90" t="s">
        <v>1989</v>
      </c>
      <c r="D1162" s="89">
        <v>36</v>
      </c>
      <c r="E1162" s="91" t="s">
        <v>32</v>
      </c>
      <c r="F1162" s="92">
        <v>300000</v>
      </c>
      <c r="G1162" s="92">
        <v>10800000</v>
      </c>
    </row>
    <row r="1163" spans="1:7" ht="27.6" x14ac:dyDescent="0.25">
      <c r="A1163" s="7" t="s">
        <v>1990</v>
      </c>
      <c r="B1163" s="89" t="s">
        <v>195</v>
      </c>
      <c r="C1163" s="90" t="s">
        <v>1991</v>
      </c>
      <c r="D1163" s="89">
        <v>12</v>
      </c>
      <c r="E1163" s="91" t="s">
        <v>32</v>
      </c>
      <c r="F1163" s="92">
        <v>980000</v>
      </c>
      <c r="G1163" s="92">
        <v>11760000</v>
      </c>
    </row>
    <row r="1164" spans="1:7" ht="27.6" x14ac:dyDescent="0.25">
      <c r="A1164" s="7" t="s">
        <v>1992</v>
      </c>
      <c r="B1164" s="89" t="s">
        <v>195</v>
      </c>
      <c r="C1164" s="90" t="s">
        <v>1993</v>
      </c>
      <c r="D1164" s="89">
        <v>12</v>
      </c>
      <c r="E1164" s="91" t="s">
        <v>32</v>
      </c>
      <c r="F1164" s="92">
        <v>300000</v>
      </c>
      <c r="G1164" s="92">
        <v>3600000</v>
      </c>
    </row>
    <row r="1165" spans="1:7" ht="27.6" x14ac:dyDescent="0.25">
      <c r="A1165" s="7" t="s">
        <v>1994</v>
      </c>
      <c r="B1165" s="89" t="s">
        <v>195</v>
      </c>
      <c r="C1165" s="90" t="s">
        <v>1995</v>
      </c>
      <c r="D1165" s="89">
        <v>12</v>
      </c>
      <c r="E1165" s="91" t="s">
        <v>32</v>
      </c>
      <c r="F1165" s="92">
        <v>680000</v>
      </c>
      <c r="G1165" s="92">
        <v>8160000</v>
      </c>
    </row>
    <row r="1166" spans="1:7" ht="27.6" x14ac:dyDescent="0.25">
      <c r="A1166" s="7" t="s">
        <v>1996</v>
      </c>
      <c r="B1166" s="89" t="s">
        <v>195</v>
      </c>
      <c r="C1166" s="90" t="s">
        <v>1997</v>
      </c>
      <c r="D1166" s="89">
        <v>3</v>
      </c>
      <c r="E1166" s="91" t="s">
        <v>105</v>
      </c>
      <c r="F1166" s="92">
        <v>760000</v>
      </c>
      <c r="G1166" s="92">
        <v>2280000</v>
      </c>
    </row>
    <row r="1167" spans="1:7" x14ac:dyDescent="0.25">
      <c r="A1167" s="7" t="s">
        <v>1998</v>
      </c>
      <c r="B1167" s="89" t="s">
        <v>195</v>
      </c>
      <c r="C1167" s="90" t="s">
        <v>1999</v>
      </c>
      <c r="D1167" s="89">
        <v>3</v>
      </c>
      <c r="E1167" s="91" t="s">
        <v>105</v>
      </c>
      <c r="F1167" s="92">
        <v>760000</v>
      </c>
      <c r="G1167" s="92">
        <v>2280000</v>
      </c>
    </row>
    <row r="1168" spans="1:7" ht="27.6" x14ac:dyDescent="0.25">
      <c r="A1168" s="7" t="s">
        <v>2000</v>
      </c>
      <c r="B1168" s="89" t="s">
        <v>195</v>
      </c>
      <c r="C1168" s="90" t="s">
        <v>2001</v>
      </c>
      <c r="D1168" s="89">
        <v>3</v>
      </c>
      <c r="E1168" s="91" t="s">
        <v>105</v>
      </c>
      <c r="F1168" s="92">
        <v>480000</v>
      </c>
      <c r="G1168" s="92">
        <v>1440000</v>
      </c>
    </row>
    <row r="1169" spans="1:7" ht="27.6" x14ac:dyDescent="0.25">
      <c r="A1169" s="7" t="s">
        <v>2002</v>
      </c>
      <c r="B1169" s="89" t="s">
        <v>195</v>
      </c>
      <c r="C1169" s="90" t="s">
        <v>2003</v>
      </c>
      <c r="D1169" s="89">
        <v>30</v>
      </c>
      <c r="E1169" s="91" t="s">
        <v>105</v>
      </c>
      <c r="F1169" s="92">
        <v>600000</v>
      </c>
      <c r="G1169" s="92">
        <v>18000000</v>
      </c>
    </row>
    <row r="1170" spans="1:7" ht="27.6" x14ac:dyDescent="0.25">
      <c r="A1170" s="7" t="s">
        <v>195</v>
      </c>
      <c r="B1170" s="89" t="s">
        <v>195</v>
      </c>
      <c r="C1170" s="90" t="s">
        <v>2004</v>
      </c>
      <c r="D1170" s="89">
        <v>0</v>
      </c>
      <c r="E1170" s="91" t="s">
        <v>195</v>
      </c>
      <c r="F1170" s="92">
        <v>0</v>
      </c>
      <c r="G1170" s="92">
        <v>0</v>
      </c>
    </row>
    <row r="1171" spans="1:7" x14ac:dyDescent="0.25">
      <c r="A1171" s="7" t="s">
        <v>2005</v>
      </c>
      <c r="B1171" s="78" t="s">
        <v>503</v>
      </c>
      <c r="C1171" s="79" t="s">
        <v>7</v>
      </c>
      <c r="D1171" s="78"/>
      <c r="E1171" s="80"/>
      <c r="F1171" s="81"/>
      <c r="G1171" s="81">
        <v>63000000</v>
      </c>
    </row>
    <row r="1172" spans="1:7" x14ac:dyDescent="0.25">
      <c r="A1172" s="7" t="s">
        <v>2006</v>
      </c>
      <c r="B1172" s="89" t="s">
        <v>195</v>
      </c>
      <c r="C1172" s="90" t="s">
        <v>2007</v>
      </c>
      <c r="D1172" s="89">
        <v>12</v>
      </c>
      <c r="E1172" s="91" t="s">
        <v>52</v>
      </c>
      <c r="F1172" s="92">
        <v>5000000</v>
      </c>
      <c r="G1172" s="92">
        <v>60000000</v>
      </c>
    </row>
    <row r="1173" spans="1:7" x14ac:dyDescent="0.25">
      <c r="A1173" s="7" t="s">
        <v>2008</v>
      </c>
      <c r="B1173" s="89" t="s">
        <v>195</v>
      </c>
      <c r="C1173" s="90" t="s">
        <v>2009</v>
      </c>
      <c r="D1173" s="89">
        <v>1</v>
      </c>
      <c r="E1173" s="91" t="s">
        <v>52</v>
      </c>
      <c r="F1173" s="92">
        <v>3000000</v>
      </c>
      <c r="G1173" s="92">
        <v>3000000</v>
      </c>
    </row>
    <row r="1174" spans="1:7" x14ac:dyDescent="0.25">
      <c r="A1174" s="7" t="s">
        <v>2010</v>
      </c>
      <c r="B1174" s="78" t="s">
        <v>537</v>
      </c>
      <c r="C1174" s="79" t="s">
        <v>64</v>
      </c>
      <c r="D1174" s="78"/>
      <c r="E1174" s="80"/>
      <c r="F1174" s="81"/>
      <c r="G1174" s="81">
        <v>60000000</v>
      </c>
    </row>
    <row r="1175" spans="1:7" x14ac:dyDescent="0.25">
      <c r="A1175" s="7" t="s">
        <v>2011</v>
      </c>
      <c r="B1175" s="89" t="s">
        <v>195</v>
      </c>
      <c r="C1175" s="90" t="s">
        <v>619</v>
      </c>
      <c r="D1175" s="89">
        <v>12</v>
      </c>
      <c r="E1175" s="91" t="s">
        <v>52</v>
      </c>
      <c r="F1175" s="92">
        <v>2500000</v>
      </c>
      <c r="G1175" s="92">
        <v>30000000</v>
      </c>
    </row>
    <row r="1176" spans="1:7" x14ac:dyDescent="0.25">
      <c r="A1176" s="7" t="s">
        <v>2012</v>
      </c>
      <c r="B1176" s="89" t="s">
        <v>195</v>
      </c>
      <c r="C1176" s="90" t="s">
        <v>2013</v>
      </c>
      <c r="D1176" s="89">
        <v>12</v>
      </c>
      <c r="E1176" s="91" t="s">
        <v>106</v>
      </c>
      <c r="F1176" s="92">
        <v>2500000</v>
      </c>
      <c r="G1176" s="92">
        <v>30000000</v>
      </c>
    </row>
    <row r="1177" spans="1:7" x14ac:dyDescent="0.25">
      <c r="A1177" s="7" t="s">
        <v>2014</v>
      </c>
      <c r="B1177" s="97" t="s">
        <v>2015</v>
      </c>
      <c r="C1177" s="98" t="s">
        <v>2016</v>
      </c>
      <c r="D1177" s="97"/>
      <c r="E1177" s="99"/>
      <c r="F1177" s="100"/>
      <c r="G1177" s="100">
        <v>5077908000</v>
      </c>
    </row>
    <row r="1178" spans="1:7" x14ac:dyDescent="0.25">
      <c r="A1178" s="7" t="s">
        <v>2017</v>
      </c>
      <c r="B1178" s="78" t="s">
        <v>559</v>
      </c>
      <c r="C1178" s="79" t="s">
        <v>90</v>
      </c>
      <c r="D1178" s="78"/>
      <c r="E1178" s="80"/>
      <c r="F1178" s="81"/>
      <c r="G1178" s="81">
        <v>5077908000</v>
      </c>
    </row>
    <row r="1179" spans="1:7" x14ac:dyDescent="0.25">
      <c r="A1179" s="7" t="s">
        <v>2018</v>
      </c>
      <c r="B1179" s="89" t="s">
        <v>195</v>
      </c>
      <c r="C1179" s="90" t="s">
        <v>2019</v>
      </c>
      <c r="D1179" s="89">
        <v>12</v>
      </c>
      <c r="E1179" s="91" t="s">
        <v>1855</v>
      </c>
      <c r="F1179" s="92">
        <v>2310000</v>
      </c>
      <c r="G1179" s="92">
        <v>27720000</v>
      </c>
    </row>
    <row r="1180" spans="1:7" x14ac:dyDescent="0.25">
      <c r="A1180" s="7" t="s">
        <v>2020</v>
      </c>
      <c r="B1180" s="89" t="s">
        <v>195</v>
      </c>
      <c r="C1180" s="90" t="s">
        <v>2021</v>
      </c>
      <c r="D1180" s="89">
        <v>12</v>
      </c>
      <c r="E1180" s="91" t="s">
        <v>1855</v>
      </c>
      <c r="F1180" s="92">
        <v>189582000</v>
      </c>
      <c r="G1180" s="92">
        <v>2274984000</v>
      </c>
    </row>
    <row r="1181" spans="1:7" x14ac:dyDescent="0.25">
      <c r="A1181" s="7" t="s">
        <v>2022</v>
      </c>
      <c r="B1181" s="89" t="s">
        <v>195</v>
      </c>
      <c r="C1181" s="90" t="s">
        <v>2023</v>
      </c>
      <c r="D1181" s="89">
        <v>12</v>
      </c>
      <c r="E1181" s="91" t="s">
        <v>1855</v>
      </c>
      <c r="F1181" s="92">
        <v>231267000</v>
      </c>
      <c r="G1181" s="92">
        <v>2775204000</v>
      </c>
    </row>
    <row r="1182" spans="1:7" x14ac:dyDescent="0.25">
      <c r="A1182" s="7" t="s">
        <v>2024</v>
      </c>
      <c r="B1182" s="97" t="s">
        <v>2025</v>
      </c>
      <c r="C1182" s="98" t="s">
        <v>107</v>
      </c>
      <c r="D1182" s="97"/>
      <c r="E1182" s="99"/>
      <c r="F1182" s="100"/>
      <c r="G1182" s="100">
        <v>2523600000</v>
      </c>
    </row>
    <row r="1183" spans="1:7" x14ac:dyDescent="0.25">
      <c r="A1183" s="7" t="s">
        <v>2026</v>
      </c>
      <c r="B1183" s="78" t="s">
        <v>571</v>
      </c>
      <c r="C1183" s="79" t="s">
        <v>108</v>
      </c>
      <c r="D1183" s="78"/>
      <c r="E1183" s="80"/>
      <c r="F1183" s="81"/>
      <c r="G1183" s="81">
        <v>1560000000</v>
      </c>
    </row>
    <row r="1184" spans="1:7" x14ac:dyDescent="0.25">
      <c r="A1184" s="7" t="s">
        <v>2027</v>
      </c>
      <c r="B1184" s="89" t="s">
        <v>195</v>
      </c>
      <c r="C1184" s="90" t="s">
        <v>2028</v>
      </c>
      <c r="D1184" s="89">
        <v>12</v>
      </c>
      <c r="E1184" s="91" t="s">
        <v>97</v>
      </c>
      <c r="F1184" s="92">
        <v>130000000</v>
      </c>
      <c r="G1184" s="92">
        <v>1560000000</v>
      </c>
    </row>
    <row r="1185" spans="1:7" x14ac:dyDescent="0.25">
      <c r="A1185" s="7" t="s">
        <v>2029</v>
      </c>
      <c r="B1185" s="78" t="s">
        <v>572</v>
      </c>
      <c r="C1185" s="79" t="s">
        <v>109</v>
      </c>
      <c r="D1185" s="78"/>
      <c r="E1185" s="80"/>
      <c r="F1185" s="81"/>
      <c r="G1185" s="81">
        <v>113400000</v>
      </c>
    </row>
    <row r="1186" spans="1:7" x14ac:dyDescent="0.25">
      <c r="A1186" s="7" t="s">
        <v>2030</v>
      </c>
      <c r="B1186" s="89" t="s">
        <v>195</v>
      </c>
      <c r="C1186" s="90" t="s">
        <v>2031</v>
      </c>
      <c r="D1186" s="89">
        <v>12</v>
      </c>
      <c r="E1186" s="91" t="s">
        <v>97</v>
      </c>
      <c r="F1186" s="92">
        <v>9450000</v>
      </c>
      <c r="G1186" s="92">
        <v>113400000</v>
      </c>
    </row>
    <row r="1187" spans="1:7" x14ac:dyDescent="0.25">
      <c r="A1187" s="7" t="s">
        <v>2032</v>
      </c>
      <c r="B1187" s="78" t="s">
        <v>573</v>
      </c>
      <c r="C1187" s="79" t="s">
        <v>110</v>
      </c>
      <c r="D1187" s="78"/>
      <c r="E1187" s="80"/>
      <c r="F1187" s="81"/>
      <c r="G1187" s="81">
        <v>214200000</v>
      </c>
    </row>
    <row r="1188" spans="1:7" x14ac:dyDescent="0.25">
      <c r="A1188" s="7" t="s">
        <v>2033</v>
      </c>
      <c r="B1188" s="89" t="s">
        <v>195</v>
      </c>
      <c r="C1188" s="90" t="s">
        <v>2034</v>
      </c>
      <c r="D1188" s="89">
        <v>12</v>
      </c>
      <c r="E1188" s="91" t="s">
        <v>97</v>
      </c>
      <c r="F1188" s="92">
        <v>17850000</v>
      </c>
      <c r="G1188" s="92">
        <v>214200000</v>
      </c>
    </row>
    <row r="1189" spans="1:7" x14ac:dyDescent="0.25">
      <c r="A1189" s="7" t="s">
        <v>2035</v>
      </c>
      <c r="B1189" s="78" t="s">
        <v>574</v>
      </c>
      <c r="C1189" s="79" t="s">
        <v>111</v>
      </c>
      <c r="D1189" s="78"/>
      <c r="E1189" s="80"/>
      <c r="F1189" s="81"/>
      <c r="G1189" s="81">
        <v>636000000</v>
      </c>
    </row>
    <row r="1190" spans="1:7" x14ac:dyDescent="0.25">
      <c r="A1190" s="7" t="s">
        <v>2036</v>
      </c>
      <c r="B1190" s="89" t="s">
        <v>195</v>
      </c>
      <c r="C1190" s="90" t="s">
        <v>2037</v>
      </c>
      <c r="D1190" s="89">
        <v>12</v>
      </c>
      <c r="E1190" s="91" t="s">
        <v>97</v>
      </c>
      <c r="F1190" s="92">
        <v>53000000</v>
      </c>
      <c r="G1190" s="92">
        <v>636000000</v>
      </c>
    </row>
    <row r="1191" spans="1:7" x14ac:dyDescent="0.25">
      <c r="A1191" s="7" t="s">
        <v>2038</v>
      </c>
      <c r="B1191" s="97" t="s">
        <v>2039</v>
      </c>
      <c r="C1191" s="98" t="s">
        <v>112</v>
      </c>
      <c r="D1191" s="97"/>
      <c r="E1191" s="99"/>
      <c r="F1191" s="100"/>
      <c r="G1191" s="100">
        <v>3464446000</v>
      </c>
    </row>
    <row r="1192" spans="1:7" x14ac:dyDescent="0.25">
      <c r="A1192" s="7" t="s">
        <v>2040</v>
      </c>
      <c r="B1192" s="78" t="s">
        <v>575</v>
      </c>
      <c r="C1192" s="79" t="s">
        <v>113</v>
      </c>
      <c r="D1192" s="78"/>
      <c r="E1192" s="80"/>
      <c r="F1192" s="81"/>
      <c r="G1192" s="81">
        <v>1732830000</v>
      </c>
    </row>
    <row r="1193" spans="1:7" x14ac:dyDescent="0.25">
      <c r="A1193" s="7" t="s">
        <v>2041</v>
      </c>
      <c r="B1193" s="89" t="s">
        <v>195</v>
      </c>
      <c r="C1193" s="90" t="s">
        <v>2042</v>
      </c>
      <c r="D1193" s="89">
        <v>10502</v>
      </c>
      <c r="E1193" s="91" t="s">
        <v>46</v>
      </c>
      <c r="F1193" s="92">
        <v>165000</v>
      </c>
      <c r="G1193" s="92">
        <v>1732830000</v>
      </c>
    </row>
    <row r="1194" spans="1:7" x14ac:dyDescent="0.25">
      <c r="A1194" s="7" t="s">
        <v>2043</v>
      </c>
      <c r="B1194" s="78" t="s">
        <v>567</v>
      </c>
      <c r="C1194" s="79" t="s">
        <v>99</v>
      </c>
      <c r="D1194" s="78"/>
      <c r="E1194" s="80"/>
      <c r="F1194" s="81"/>
      <c r="G1194" s="81">
        <v>1413616000</v>
      </c>
    </row>
    <row r="1195" spans="1:7" x14ac:dyDescent="0.25">
      <c r="A1195" s="7" t="s">
        <v>195</v>
      </c>
      <c r="B1195" s="89" t="s">
        <v>195</v>
      </c>
      <c r="C1195" s="90" t="s">
        <v>2044</v>
      </c>
      <c r="D1195" s="89">
        <v>0</v>
      </c>
      <c r="E1195" s="91" t="s">
        <v>195</v>
      </c>
      <c r="F1195" s="92">
        <v>0</v>
      </c>
      <c r="G1195" s="92">
        <v>0</v>
      </c>
    </row>
    <row r="1196" spans="1:7" x14ac:dyDescent="0.25">
      <c r="A1196" s="7" t="s">
        <v>2045</v>
      </c>
      <c r="B1196" s="89" t="s">
        <v>195</v>
      </c>
      <c r="C1196" s="90" t="s">
        <v>2046</v>
      </c>
      <c r="D1196" s="89">
        <v>2</v>
      </c>
      <c r="E1196" s="91" t="s">
        <v>42</v>
      </c>
      <c r="F1196" s="92">
        <v>36203000</v>
      </c>
      <c r="G1196" s="92">
        <v>72406000</v>
      </c>
    </row>
    <row r="1197" spans="1:7" x14ac:dyDescent="0.25">
      <c r="A1197" s="7" t="s">
        <v>2047</v>
      </c>
      <c r="B1197" s="89" t="s">
        <v>195</v>
      </c>
      <c r="C1197" s="90" t="s">
        <v>2048</v>
      </c>
      <c r="D1197" s="89">
        <v>1</v>
      </c>
      <c r="E1197" s="91" t="s">
        <v>63</v>
      </c>
      <c r="F1197" s="92">
        <v>50000000</v>
      </c>
      <c r="G1197" s="92">
        <v>50000000</v>
      </c>
    </row>
    <row r="1198" spans="1:7" x14ac:dyDescent="0.25">
      <c r="A1198" s="7" t="s">
        <v>2049</v>
      </c>
      <c r="B1198" s="89" t="s">
        <v>195</v>
      </c>
      <c r="C1198" s="90" t="s">
        <v>2050</v>
      </c>
      <c r="D1198" s="89">
        <v>1</v>
      </c>
      <c r="E1198" s="91" t="s">
        <v>63</v>
      </c>
      <c r="F1198" s="92">
        <v>50000000</v>
      </c>
      <c r="G1198" s="92">
        <v>50000000</v>
      </c>
    </row>
    <row r="1199" spans="1:7" x14ac:dyDescent="0.25">
      <c r="A1199" s="7" t="s">
        <v>2051</v>
      </c>
      <c r="B1199" s="89" t="s">
        <v>195</v>
      </c>
      <c r="C1199" s="90" t="s">
        <v>2052</v>
      </c>
      <c r="D1199" s="89">
        <v>1</v>
      </c>
      <c r="E1199" s="91" t="s">
        <v>106</v>
      </c>
      <c r="F1199" s="92">
        <v>10000000</v>
      </c>
      <c r="G1199" s="92">
        <v>10000000</v>
      </c>
    </row>
    <row r="1200" spans="1:7" ht="27.6" x14ac:dyDescent="0.25">
      <c r="A1200" s="7" t="s">
        <v>2053</v>
      </c>
      <c r="B1200" s="89" t="s">
        <v>195</v>
      </c>
      <c r="C1200" s="90" t="s">
        <v>2054</v>
      </c>
      <c r="D1200" s="89">
        <v>12</v>
      </c>
      <c r="E1200" s="91" t="s">
        <v>97</v>
      </c>
      <c r="F1200" s="92">
        <v>17000000</v>
      </c>
      <c r="G1200" s="92">
        <v>204000000</v>
      </c>
    </row>
    <row r="1201" spans="1:7" x14ac:dyDescent="0.25">
      <c r="A1201" s="7" t="s">
        <v>2055</v>
      </c>
      <c r="B1201" s="89" t="s">
        <v>195</v>
      </c>
      <c r="C1201" s="90" t="s">
        <v>2056</v>
      </c>
      <c r="D1201" s="89">
        <v>1</v>
      </c>
      <c r="E1201" s="91" t="s">
        <v>63</v>
      </c>
      <c r="F1201" s="92">
        <v>30000000</v>
      </c>
      <c r="G1201" s="92">
        <v>30000000</v>
      </c>
    </row>
    <row r="1202" spans="1:7" x14ac:dyDescent="0.25">
      <c r="A1202" s="7" t="s">
        <v>2057</v>
      </c>
      <c r="B1202" s="89" t="s">
        <v>195</v>
      </c>
      <c r="C1202" s="90" t="s">
        <v>2058</v>
      </c>
      <c r="D1202" s="89">
        <v>50</v>
      </c>
      <c r="E1202" s="91" t="s">
        <v>2059</v>
      </c>
      <c r="F1202" s="92">
        <v>330000</v>
      </c>
      <c r="G1202" s="92">
        <v>16500000</v>
      </c>
    </row>
    <row r="1203" spans="1:7" x14ac:dyDescent="0.25">
      <c r="A1203" s="7" t="s">
        <v>2060</v>
      </c>
      <c r="B1203" s="89" t="s">
        <v>195</v>
      </c>
      <c r="C1203" s="90" t="s">
        <v>2061</v>
      </c>
      <c r="D1203" s="89">
        <v>3</v>
      </c>
      <c r="E1203" s="91" t="s">
        <v>42</v>
      </c>
      <c r="F1203" s="92">
        <v>3500000</v>
      </c>
      <c r="G1203" s="92">
        <v>10500000</v>
      </c>
    </row>
    <row r="1204" spans="1:7" x14ac:dyDescent="0.25">
      <c r="A1204" s="7" t="s">
        <v>2062</v>
      </c>
      <c r="B1204" s="89" t="s">
        <v>195</v>
      </c>
      <c r="C1204" s="90" t="s">
        <v>2063</v>
      </c>
      <c r="D1204" s="89">
        <v>5</v>
      </c>
      <c r="E1204" s="91" t="s">
        <v>42</v>
      </c>
      <c r="F1204" s="92">
        <v>15000000</v>
      </c>
      <c r="G1204" s="92">
        <v>75000000</v>
      </c>
    </row>
    <row r="1205" spans="1:7" x14ac:dyDescent="0.25">
      <c r="A1205" s="7" t="s">
        <v>2064</v>
      </c>
      <c r="B1205" s="89" t="s">
        <v>195</v>
      </c>
      <c r="C1205" s="90" t="s">
        <v>2065</v>
      </c>
      <c r="D1205" s="89">
        <v>1</v>
      </c>
      <c r="E1205" s="91" t="s">
        <v>106</v>
      </c>
      <c r="F1205" s="92">
        <v>50000000</v>
      </c>
      <c r="G1205" s="92">
        <v>50000000</v>
      </c>
    </row>
    <row r="1206" spans="1:7" x14ac:dyDescent="0.25">
      <c r="A1206" s="7" t="s">
        <v>2066</v>
      </c>
      <c r="B1206" s="89" t="s">
        <v>195</v>
      </c>
      <c r="C1206" s="90" t="s">
        <v>1927</v>
      </c>
      <c r="D1206" s="89">
        <v>5</v>
      </c>
      <c r="E1206" s="91" t="s">
        <v>42</v>
      </c>
      <c r="F1206" s="92">
        <v>690000</v>
      </c>
      <c r="G1206" s="92">
        <v>3450000</v>
      </c>
    </row>
    <row r="1207" spans="1:7" x14ac:dyDescent="0.25">
      <c r="A1207" s="7" t="s">
        <v>2067</v>
      </c>
      <c r="B1207" s="89" t="s">
        <v>195</v>
      </c>
      <c r="C1207" s="90" t="s">
        <v>2068</v>
      </c>
      <c r="D1207" s="89">
        <v>1</v>
      </c>
      <c r="E1207" s="91" t="s">
        <v>63</v>
      </c>
      <c r="F1207" s="92">
        <v>50000000</v>
      </c>
      <c r="G1207" s="92">
        <v>50000000</v>
      </c>
    </row>
    <row r="1208" spans="1:7" x14ac:dyDescent="0.25">
      <c r="A1208" s="7" t="s">
        <v>2069</v>
      </c>
      <c r="B1208" s="89" t="s">
        <v>195</v>
      </c>
      <c r="C1208" s="90" t="s">
        <v>2070</v>
      </c>
      <c r="D1208" s="89">
        <v>1</v>
      </c>
      <c r="E1208" s="91" t="s">
        <v>63</v>
      </c>
      <c r="F1208" s="92">
        <v>150000000</v>
      </c>
      <c r="G1208" s="92">
        <v>150000000</v>
      </c>
    </row>
    <row r="1209" spans="1:7" x14ac:dyDescent="0.25">
      <c r="A1209" s="7" t="s">
        <v>2071</v>
      </c>
      <c r="B1209" s="89" t="s">
        <v>195</v>
      </c>
      <c r="C1209" s="90" t="s">
        <v>2072</v>
      </c>
      <c r="D1209" s="89">
        <v>124</v>
      </c>
      <c r="E1209" s="91" t="s">
        <v>42</v>
      </c>
      <c r="F1209" s="92">
        <v>610000</v>
      </c>
      <c r="G1209" s="92">
        <v>75640000</v>
      </c>
    </row>
    <row r="1210" spans="1:7" x14ac:dyDescent="0.25">
      <c r="A1210" s="7" t="s">
        <v>2073</v>
      </c>
      <c r="B1210" s="89" t="s">
        <v>195</v>
      </c>
      <c r="C1210" s="90" t="s">
        <v>2074</v>
      </c>
      <c r="D1210" s="89">
        <v>1</v>
      </c>
      <c r="E1210" s="91" t="s">
        <v>63</v>
      </c>
      <c r="F1210" s="92">
        <v>100000000</v>
      </c>
      <c r="G1210" s="92">
        <v>100000000</v>
      </c>
    </row>
    <row r="1211" spans="1:7" x14ac:dyDescent="0.25">
      <c r="A1211" s="7" t="s">
        <v>2075</v>
      </c>
      <c r="B1211" s="89" t="s">
        <v>195</v>
      </c>
      <c r="C1211" s="90" t="s">
        <v>2076</v>
      </c>
      <c r="D1211" s="89">
        <v>1</v>
      </c>
      <c r="E1211" s="91" t="s">
        <v>63</v>
      </c>
      <c r="F1211" s="92">
        <v>50000000</v>
      </c>
      <c r="G1211" s="92">
        <v>50000000</v>
      </c>
    </row>
    <row r="1212" spans="1:7" x14ac:dyDescent="0.25">
      <c r="A1212" s="7" t="s">
        <v>2077</v>
      </c>
      <c r="B1212" s="89" t="s">
        <v>195</v>
      </c>
      <c r="C1212" s="90" t="s">
        <v>1933</v>
      </c>
      <c r="D1212" s="89">
        <v>1</v>
      </c>
      <c r="E1212" s="91" t="s">
        <v>63</v>
      </c>
      <c r="F1212" s="92">
        <v>50000000</v>
      </c>
      <c r="G1212" s="92">
        <v>50000000</v>
      </c>
    </row>
    <row r="1213" spans="1:7" x14ac:dyDescent="0.25">
      <c r="A1213" s="7" t="s">
        <v>2078</v>
      </c>
      <c r="B1213" s="89" t="s">
        <v>195</v>
      </c>
      <c r="C1213" s="90" t="s">
        <v>2079</v>
      </c>
      <c r="D1213" s="89">
        <v>2</v>
      </c>
      <c r="E1213" s="91" t="s">
        <v>42</v>
      </c>
      <c r="F1213" s="92">
        <v>1000000</v>
      </c>
      <c r="G1213" s="92">
        <v>2000000</v>
      </c>
    </row>
    <row r="1214" spans="1:7" x14ac:dyDescent="0.25">
      <c r="A1214" s="7" t="s">
        <v>195</v>
      </c>
      <c r="B1214" s="89" t="s">
        <v>195</v>
      </c>
      <c r="C1214" s="90" t="s">
        <v>2080</v>
      </c>
      <c r="D1214" s="89">
        <v>0</v>
      </c>
      <c r="E1214" s="91" t="s">
        <v>195</v>
      </c>
      <c r="F1214" s="92">
        <v>0</v>
      </c>
      <c r="G1214" s="92">
        <v>0</v>
      </c>
    </row>
    <row r="1215" spans="1:7" ht="27.6" x14ac:dyDescent="0.25">
      <c r="A1215" s="7" t="s">
        <v>2081</v>
      </c>
      <c r="B1215" s="89" t="s">
        <v>195</v>
      </c>
      <c r="C1215" s="90" t="s">
        <v>2082</v>
      </c>
      <c r="D1215" s="89">
        <v>1</v>
      </c>
      <c r="E1215" s="91" t="s">
        <v>42</v>
      </c>
      <c r="F1215" s="92">
        <v>50000000</v>
      </c>
      <c r="G1215" s="92">
        <v>50000000</v>
      </c>
    </row>
    <row r="1216" spans="1:7" x14ac:dyDescent="0.25">
      <c r="A1216" s="7" t="s">
        <v>2083</v>
      </c>
      <c r="B1216" s="89" t="s">
        <v>195</v>
      </c>
      <c r="C1216" s="90" t="s">
        <v>1940</v>
      </c>
      <c r="D1216" s="89">
        <v>100</v>
      </c>
      <c r="E1216" s="91" t="s">
        <v>42</v>
      </c>
      <c r="F1216" s="92">
        <v>1000000</v>
      </c>
      <c r="G1216" s="92">
        <v>100000000</v>
      </c>
    </row>
    <row r="1217" spans="1:7" x14ac:dyDescent="0.25">
      <c r="A1217" s="7" t="s">
        <v>2084</v>
      </c>
      <c r="B1217" s="89" t="s">
        <v>195</v>
      </c>
      <c r="C1217" s="90" t="s">
        <v>1916</v>
      </c>
      <c r="D1217" s="89">
        <v>2</v>
      </c>
      <c r="E1217" s="91" t="s">
        <v>42</v>
      </c>
      <c r="F1217" s="92">
        <v>33650000</v>
      </c>
      <c r="G1217" s="92">
        <v>67300000</v>
      </c>
    </row>
    <row r="1218" spans="1:7" x14ac:dyDescent="0.25">
      <c r="A1218" s="7" t="s">
        <v>2085</v>
      </c>
      <c r="B1218" s="89" t="s">
        <v>195</v>
      </c>
      <c r="C1218" s="90" t="s">
        <v>2086</v>
      </c>
      <c r="D1218" s="89">
        <v>12</v>
      </c>
      <c r="E1218" s="91" t="s">
        <v>106</v>
      </c>
      <c r="F1218" s="92">
        <v>12235000</v>
      </c>
      <c r="G1218" s="92">
        <v>146820000</v>
      </c>
    </row>
    <row r="1219" spans="1:7" x14ac:dyDescent="0.25">
      <c r="A1219" s="7" t="s">
        <v>2087</v>
      </c>
      <c r="B1219" s="78" t="s">
        <v>568</v>
      </c>
      <c r="C1219" s="79" t="s">
        <v>102</v>
      </c>
      <c r="D1219" s="78"/>
      <c r="E1219" s="80"/>
      <c r="F1219" s="81"/>
      <c r="G1219" s="81">
        <v>318000000</v>
      </c>
    </row>
    <row r="1220" spans="1:7" x14ac:dyDescent="0.25">
      <c r="A1220" s="7" t="s">
        <v>2088</v>
      </c>
      <c r="B1220" s="89" t="s">
        <v>195</v>
      </c>
      <c r="C1220" s="90" t="s">
        <v>2089</v>
      </c>
      <c r="D1220" s="89">
        <v>72</v>
      </c>
      <c r="E1220" s="91" t="s">
        <v>42</v>
      </c>
      <c r="F1220" s="92">
        <v>1500000</v>
      </c>
      <c r="G1220" s="92">
        <v>108000000</v>
      </c>
    </row>
    <row r="1221" spans="1:7" x14ac:dyDescent="0.25">
      <c r="A1221" s="7" t="s">
        <v>2090</v>
      </c>
      <c r="B1221" s="89" t="s">
        <v>195</v>
      </c>
      <c r="C1221" s="90" t="s">
        <v>2091</v>
      </c>
      <c r="D1221" s="89">
        <v>12</v>
      </c>
      <c r="E1221" s="91" t="s">
        <v>106</v>
      </c>
      <c r="F1221" s="92">
        <v>17500000</v>
      </c>
      <c r="G1221" s="92">
        <v>210000000</v>
      </c>
    </row>
    <row r="1222" spans="1:7" ht="27.6" x14ac:dyDescent="0.25">
      <c r="A1222" s="7" t="s">
        <v>2092</v>
      </c>
      <c r="B1222" s="97" t="s">
        <v>1771</v>
      </c>
      <c r="C1222" s="98" t="s">
        <v>2093</v>
      </c>
      <c r="D1222" s="97"/>
      <c r="E1222" s="99"/>
      <c r="F1222" s="100"/>
      <c r="G1222" s="100">
        <v>1577491000</v>
      </c>
    </row>
    <row r="1223" spans="1:7" x14ac:dyDescent="0.25">
      <c r="A1223" s="7" t="s">
        <v>2094</v>
      </c>
      <c r="B1223" s="78" t="s">
        <v>559</v>
      </c>
      <c r="C1223" s="79" t="s">
        <v>90</v>
      </c>
      <c r="D1223" s="78"/>
      <c r="E1223" s="80"/>
      <c r="F1223" s="81"/>
      <c r="G1223" s="81">
        <v>1500322000</v>
      </c>
    </row>
    <row r="1224" spans="1:7" x14ac:dyDescent="0.25">
      <c r="A1224" s="7" t="s">
        <v>2095</v>
      </c>
      <c r="B1224" s="89" t="s">
        <v>195</v>
      </c>
      <c r="C1224" s="90" t="s">
        <v>2096</v>
      </c>
      <c r="D1224" s="89">
        <v>52</v>
      </c>
      <c r="E1224" s="91" t="s">
        <v>116</v>
      </c>
      <c r="F1224" s="92">
        <v>1520000</v>
      </c>
      <c r="G1224" s="92">
        <v>79040000</v>
      </c>
    </row>
    <row r="1225" spans="1:7" x14ac:dyDescent="0.25">
      <c r="A1225" s="7" t="s">
        <v>2097</v>
      </c>
      <c r="B1225" s="89" t="s">
        <v>195</v>
      </c>
      <c r="C1225" s="90" t="s">
        <v>2098</v>
      </c>
      <c r="D1225" s="89">
        <v>195</v>
      </c>
      <c r="E1225" s="91" t="s">
        <v>21</v>
      </c>
      <c r="F1225" s="92">
        <v>4858000</v>
      </c>
      <c r="G1225" s="92">
        <v>947310000</v>
      </c>
    </row>
    <row r="1226" spans="1:7" x14ac:dyDescent="0.25">
      <c r="A1226" s="7" t="s">
        <v>2099</v>
      </c>
      <c r="B1226" s="89" t="s">
        <v>195</v>
      </c>
      <c r="C1226" s="90" t="s">
        <v>2100</v>
      </c>
      <c r="D1226" s="89">
        <v>13</v>
      </c>
      <c r="E1226" s="91" t="s">
        <v>32</v>
      </c>
      <c r="F1226" s="92">
        <v>5344000</v>
      </c>
      <c r="G1226" s="92">
        <v>69472000</v>
      </c>
    </row>
    <row r="1227" spans="1:7" x14ac:dyDescent="0.25">
      <c r="A1227" s="7" t="s">
        <v>2101</v>
      </c>
      <c r="B1227" s="89" t="s">
        <v>195</v>
      </c>
      <c r="C1227" s="90" t="s">
        <v>2102</v>
      </c>
      <c r="D1227" s="89">
        <v>180</v>
      </c>
      <c r="E1227" s="91" t="s">
        <v>32</v>
      </c>
      <c r="F1227" s="92">
        <v>25000</v>
      </c>
      <c r="G1227" s="92">
        <v>4500000</v>
      </c>
    </row>
    <row r="1228" spans="1:7" x14ac:dyDescent="0.25">
      <c r="A1228" s="7" t="s">
        <v>2103</v>
      </c>
      <c r="B1228" s="89" t="s">
        <v>195</v>
      </c>
      <c r="C1228" s="90" t="s">
        <v>2104</v>
      </c>
      <c r="D1228" s="89">
        <v>12</v>
      </c>
      <c r="E1228" s="91" t="s">
        <v>21</v>
      </c>
      <c r="F1228" s="92">
        <v>25000</v>
      </c>
      <c r="G1228" s="92">
        <v>300000</v>
      </c>
    </row>
    <row r="1229" spans="1:7" x14ac:dyDescent="0.25">
      <c r="A1229" s="7" t="s">
        <v>2105</v>
      </c>
      <c r="B1229" s="89" t="s">
        <v>195</v>
      </c>
      <c r="C1229" s="90" t="s">
        <v>2106</v>
      </c>
      <c r="D1229" s="89">
        <v>2</v>
      </c>
      <c r="E1229" s="91" t="s">
        <v>9</v>
      </c>
      <c r="F1229" s="92">
        <v>199850000</v>
      </c>
      <c r="G1229" s="92">
        <v>399700000</v>
      </c>
    </row>
    <row r="1230" spans="1:7" ht="27.6" x14ac:dyDescent="0.25">
      <c r="A1230" s="7" t="s">
        <v>2107</v>
      </c>
      <c r="B1230" s="78" t="s">
        <v>566</v>
      </c>
      <c r="C1230" s="79" t="s">
        <v>1889</v>
      </c>
      <c r="D1230" s="78"/>
      <c r="E1230" s="80"/>
      <c r="F1230" s="81"/>
      <c r="G1230" s="81">
        <v>20800000</v>
      </c>
    </row>
    <row r="1231" spans="1:7" x14ac:dyDescent="0.25">
      <c r="A1231" s="7" t="s">
        <v>2108</v>
      </c>
      <c r="B1231" s="89" t="s">
        <v>195</v>
      </c>
      <c r="C1231" s="90" t="s">
        <v>2109</v>
      </c>
      <c r="D1231" s="89">
        <v>52</v>
      </c>
      <c r="E1231" s="91" t="s">
        <v>9</v>
      </c>
      <c r="F1231" s="92">
        <v>400000</v>
      </c>
      <c r="G1231" s="92">
        <v>20800000</v>
      </c>
    </row>
    <row r="1232" spans="1:7" x14ac:dyDescent="0.25">
      <c r="A1232" s="7" t="s">
        <v>2110</v>
      </c>
      <c r="B1232" s="78" t="s">
        <v>537</v>
      </c>
      <c r="C1232" s="79" t="s">
        <v>64</v>
      </c>
      <c r="D1232" s="78"/>
      <c r="E1232" s="80"/>
      <c r="F1232" s="81"/>
      <c r="G1232" s="81">
        <v>56369000</v>
      </c>
    </row>
    <row r="1233" spans="1:7" x14ac:dyDescent="0.25">
      <c r="A1233" s="7" t="s">
        <v>2111</v>
      </c>
      <c r="B1233" s="89" t="s">
        <v>195</v>
      </c>
      <c r="C1233" s="90" t="s">
        <v>2112</v>
      </c>
      <c r="D1233" s="89">
        <v>12</v>
      </c>
      <c r="E1233" s="91" t="s">
        <v>21</v>
      </c>
      <c r="F1233" s="92">
        <v>947000</v>
      </c>
      <c r="G1233" s="92">
        <v>11369000</v>
      </c>
    </row>
    <row r="1234" spans="1:7" x14ac:dyDescent="0.25">
      <c r="A1234" s="7" t="s">
        <v>2113</v>
      </c>
      <c r="B1234" s="89" t="s">
        <v>195</v>
      </c>
      <c r="C1234" s="90" t="s">
        <v>2114</v>
      </c>
      <c r="D1234" s="89">
        <v>3</v>
      </c>
      <c r="E1234" s="91" t="s">
        <v>9</v>
      </c>
      <c r="F1234" s="92">
        <v>15000000</v>
      </c>
      <c r="G1234" s="92">
        <v>45000000</v>
      </c>
    </row>
    <row r="1235" spans="1:7" x14ac:dyDescent="0.25">
      <c r="A1235" s="7" t="s">
        <v>2115</v>
      </c>
      <c r="B1235" s="97" t="s">
        <v>2116</v>
      </c>
      <c r="C1235" s="98" t="s">
        <v>93</v>
      </c>
      <c r="D1235" s="97"/>
      <c r="E1235" s="99"/>
      <c r="F1235" s="100"/>
      <c r="G1235" s="100">
        <v>362307000</v>
      </c>
    </row>
    <row r="1236" spans="1:7" x14ac:dyDescent="0.25">
      <c r="A1236" s="7" t="s">
        <v>2117</v>
      </c>
      <c r="B1236" s="78" t="s">
        <v>563</v>
      </c>
      <c r="C1236" s="79" t="s">
        <v>94</v>
      </c>
      <c r="D1236" s="78"/>
      <c r="E1236" s="80"/>
      <c r="F1236" s="81"/>
      <c r="G1236" s="81">
        <v>12000000</v>
      </c>
    </row>
    <row r="1237" spans="1:7" x14ac:dyDescent="0.25">
      <c r="A1237" s="7" t="s">
        <v>2118</v>
      </c>
      <c r="B1237" s="89" t="s">
        <v>195</v>
      </c>
      <c r="C1237" s="90" t="s">
        <v>2119</v>
      </c>
      <c r="D1237" s="89">
        <v>12</v>
      </c>
      <c r="E1237" s="91" t="s">
        <v>2120</v>
      </c>
      <c r="F1237" s="92">
        <v>1000000</v>
      </c>
      <c r="G1237" s="92">
        <v>12000000</v>
      </c>
    </row>
    <row r="1238" spans="1:7" x14ac:dyDescent="0.25">
      <c r="A1238" s="7" t="s">
        <v>2121</v>
      </c>
      <c r="B1238" s="78" t="s">
        <v>564</v>
      </c>
      <c r="C1238" s="79" t="s">
        <v>95</v>
      </c>
      <c r="D1238" s="78"/>
      <c r="E1238" s="80"/>
      <c r="F1238" s="81"/>
      <c r="G1238" s="81">
        <v>294200000</v>
      </c>
    </row>
    <row r="1239" spans="1:7" x14ac:dyDescent="0.25">
      <c r="A1239" s="7" t="s">
        <v>2122</v>
      </c>
      <c r="B1239" s="89" t="s">
        <v>195</v>
      </c>
      <c r="C1239" s="90" t="s">
        <v>2123</v>
      </c>
      <c r="D1239" s="89">
        <v>12</v>
      </c>
      <c r="E1239" s="91" t="s">
        <v>118</v>
      </c>
      <c r="F1239" s="92">
        <v>4100000</v>
      </c>
      <c r="G1239" s="92">
        <v>49200000</v>
      </c>
    </row>
    <row r="1240" spans="1:7" x14ac:dyDescent="0.25">
      <c r="A1240" s="7" t="s">
        <v>2124</v>
      </c>
      <c r="B1240" s="89" t="s">
        <v>195</v>
      </c>
      <c r="C1240" s="90" t="s">
        <v>2125</v>
      </c>
      <c r="D1240" s="89">
        <v>12</v>
      </c>
      <c r="E1240" s="91" t="s">
        <v>118</v>
      </c>
      <c r="F1240" s="92">
        <v>3000000</v>
      </c>
      <c r="G1240" s="92">
        <v>36000000</v>
      </c>
    </row>
    <row r="1241" spans="1:7" x14ac:dyDescent="0.25">
      <c r="A1241" s="7" t="s">
        <v>2126</v>
      </c>
      <c r="B1241" s="89" t="s">
        <v>195</v>
      </c>
      <c r="C1241" s="90" t="s">
        <v>2127</v>
      </c>
      <c r="D1241" s="89">
        <v>1</v>
      </c>
      <c r="E1241" s="91" t="s">
        <v>9</v>
      </c>
      <c r="F1241" s="92">
        <v>50000000</v>
      </c>
      <c r="G1241" s="92">
        <v>50000000</v>
      </c>
    </row>
    <row r="1242" spans="1:7" ht="27.6" x14ac:dyDescent="0.25">
      <c r="A1242" s="7" t="s">
        <v>2128</v>
      </c>
      <c r="B1242" s="89" t="s">
        <v>195</v>
      </c>
      <c r="C1242" s="90" t="s">
        <v>2129</v>
      </c>
      <c r="D1242" s="89">
        <v>12</v>
      </c>
      <c r="E1242" s="91" t="s">
        <v>118</v>
      </c>
      <c r="F1242" s="92">
        <v>13250000</v>
      </c>
      <c r="G1242" s="92">
        <v>159000000</v>
      </c>
    </row>
    <row r="1243" spans="1:7" x14ac:dyDescent="0.25">
      <c r="A1243" s="7" t="s">
        <v>2130</v>
      </c>
      <c r="B1243" s="78" t="s">
        <v>517</v>
      </c>
      <c r="C1243" s="79" t="s">
        <v>22</v>
      </c>
      <c r="D1243" s="78"/>
      <c r="E1243" s="80"/>
      <c r="F1243" s="81"/>
      <c r="G1243" s="81">
        <v>46507000</v>
      </c>
    </row>
    <row r="1244" spans="1:7" ht="27.6" x14ac:dyDescent="0.25">
      <c r="A1244" s="7" t="s">
        <v>2131</v>
      </c>
      <c r="B1244" s="89" t="s">
        <v>195</v>
      </c>
      <c r="C1244" s="90" t="s">
        <v>2132</v>
      </c>
      <c r="D1244" s="89">
        <v>12</v>
      </c>
      <c r="E1244" s="91" t="s">
        <v>96</v>
      </c>
      <c r="F1244" s="92">
        <v>1575000</v>
      </c>
      <c r="G1244" s="92">
        <v>18900000</v>
      </c>
    </row>
    <row r="1245" spans="1:7" ht="27.6" x14ac:dyDescent="0.25">
      <c r="A1245" s="7" t="s">
        <v>2133</v>
      </c>
      <c r="B1245" s="89" t="s">
        <v>195</v>
      </c>
      <c r="C1245" s="90" t="s">
        <v>2134</v>
      </c>
      <c r="D1245" s="89">
        <v>60</v>
      </c>
      <c r="E1245" s="91" t="s">
        <v>118</v>
      </c>
      <c r="F1245" s="92">
        <v>250000</v>
      </c>
      <c r="G1245" s="92">
        <v>15000000</v>
      </c>
    </row>
    <row r="1246" spans="1:7" x14ac:dyDescent="0.25">
      <c r="A1246" s="7" t="s">
        <v>2135</v>
      </c>
      <c r="B1246" s="89" t="s">
        <v>195</v>
      </c>
      <c r="C1246" s="90" t="s">
        <v>2136</v>
      </c>
      <c r="D1246" s="89">
        <v>1</v>
      </c>
      <c r="E1246" s="91" t="s">
        <v>9</v>
      </c>
      <c r="F1246" s="92">
        <v>12607000</v>
      </c>
      <c r="G1246" s="92">
        <v>12607000</v>
      </c>
    </row>
    <row r="1247" spans="1:7" x14ac:dyDescent="0.25">
      <c r="A1247" s="7" t="s">
        <v>2137</v>
      </c>
      <c r="B1247" s="78" t="s">
        <v>567</v>
      </c>
      <c r="C1247" s="79" t="s">
        <v>99</v>
      </c>
      <c r="D1247" s="78"/>
      <c r="E1247" s="80"/>
      <c r="F1247" s="81"/>
      <c r="G1247" s="81">
        <v>9600000</v>
      </c>
    </row>
    <row r="1248" spans="1:7" x14ac:dyDescent="0.25">
      <c r="A1248" s="7" t="s">
        <v>2138</v>
      </c>
      <c r="B1248" s="89" t="s">
        <v>195</v>
      </c>
      <c r="C1248" s="90" t="s">
        <v>2139</v>
      </c>
      <c r="D1248" s="89">
        <v>12</v>
      </c>
      <c r="E1248" s="91" t="s">
        <v>118</v>
      </c>
      <c r="F1248" s="92">
        <v>800000</v>
      </c>
      <c r="G1248" s="92">
        <v>9600000</v>
      </c>
    </row>
    <row r="1249" spans="1:7" x14ac:dyDescent="0.25">
      <c r="A1249" s="7" t="s">
        <v>2140</v>
      </c>
      <c r="B1249" s="97" t="s">
        <v>2141</v>
      </c>
      <c r="C1249" s="98" t="s">
        <v>98</v>
      </c>
      <c r="D1249" s="97"/>
      <c r="E1249" s="99"/>
      <c r="F1249" s="100"/>
      <c r="G1249" s="100">
        <v>274466000</v>
      </c>
    </row>
    <row r="1250" spans="1:7" x14ac:dyDescent="0.25">
      <c r="A1250" s="7" t="s">
        <v>2142</v>
      </c>
      <c r="B1250" s="78" t="s">
        <v>567</v>
      </c>
      <c r="C1250" s="79" t="s">
        <v>99</v>
      </c>
      <c r="D1250" s="78"/>
      <c r="E1250" s="80"/>
      <c r="F1250" s="81"/>
      <c r="G1250" s="81">
        <v>274466000</v>
      </c>
    </row>
    <row r="1251" spans="1:7" x14ac:dyDescent="0.25">
      <c r="A1251" s="7" t="s">
        <v>2143</v>
      </c>
      <c r="B1251" s="89" t="s">
        <v>195</v>
      </c>
      <c r="C1251" s="90" t="s">
        <v>1901</v>
      </c>
      <c r="D1251" s="89">
        <v>20</v>
      </c>
      <c r="E1251" s="91" t="s">
        <v>44</v>
      </c>
      <c r="F1251" s="92">
        <v>660000</v>
      </c>
      <c r="G1251" s="92">
        <v>13200000</v>
      </c>
    </row>
    <row r="1252" spans="1:7" x14ac:dyDescent="0.25">
      <c r="A1252" s="7" t="s">
        <v>2144</v>
      </c>
      <c r="B1252" s="89" t="s">
        <v>195</v>
      </c>
      <c r="C1252" s="90" t="s">
        <v>2145</v>
      </c>
      <c r="D1252" s="89">
        <v>20</v>
      </c>
      <c r="E1252" s="91" t="s">
        <v>44</v>
      </c>
      <c r="F1252" s="92">
        <v>660000</v>
      </c>
      <c r="G1252" s="92">
        <v>13200000</v>
      </c>
    </row>
    <row r="1253" spans="1:7" x14ac:dyDescent="0.25">
      <c r="A1253" s="7" t="s">
        <v>2146</v>
      </c>
      <c r="B1253" s="89" t="s">
        <v>195</v>
      </c>
      <c r="C1253" s="90" t="s">
        <v>1925</v>
      </c>
      <c r="D1253" s="89">
        <v>20</v>
      </c>
      <c r="E1253" s="91" t="s">
        <v>44</v>
      </c>
      <c r="F1253" s="92">
        <v>580000</v>
      </c>
      <c r="G1253" s="92">
        <v>11600000</v>
      </c>
    </row>
    <row r="1254" spans="1:7" x14ac:dyDescent="0.25">
      <c r="A1254" s="7" t="s">
        <v>2147</v>
      </c>
      <c r="B1254" s="89" t="s">
        <v>195</v>
      </c>
      <c r="C1254" s="90" t="s">
        <v>2148</v>
      </c>
      <c r="D1254" s="89">
        <v>1</v>
      </c>
      <c r="E1254" s="91" t="s">
        <v>44</v>
      </c>
      <c r="F1254" s="92">
        <v>27000000</v>
      </c>
      <c r="G1254" s="92">
        <v>27000000</v>
      </c>
    </row>
    <row r="1255" spans="1:7" x14ac:dyDescent="0.25">
      <c r="A1255" s="7" t="s">
        <v>2149</v>
      </c>
      <c r="B1255" s="89" t="s">
        <v>195</v>
      </c>
      <c r="C1255" s="90" t="s">
        <v>1916</v>
      </c>
      <c r="D1255" s="89">
        <v>6</v>
      </c>
      <c r="E1255" s="91" t="s">
        <v>44</v>
      </c>
      <c r="F1255" s="92">
        <v>26500000</v>
      </c>
      <c r="G1255" s="92">
        <v>159000000</v>
      </c>
    </row>
    <row r="1256" spans="1:7" x14ac:dyDescent="0.25">
      <c r="A1256" s="7" t="s">
        <v>2150</v>
      </c>
      <c r="B1256" s="89" t="s">
        <v>195</v>
      </c>
      <c r="C1256" s="90" t="s">
        <v>2151</v>
      </c>
      <c r="D1256" s="89">
        <v>15</v>
      </c>
      <c r="E1256" s="91" t="s">
        <v>44</v>
      </c>
      <c r="F1256" s="92">
        <v>3364000</v>
      </c>
      <c r="G1256" s="92">
        <v>50466000</v>
      </c>
    </row>
    <row r="1257" spans="1:7" x14ac:dyDescent="0.25">
      <c r="A1257" s="7" t="s">
        <v>2152</v>
      </c>
      <c r="B1257" s="97" t="s">
        <v>2153</v>
      </c>
      <c r="C1257" s="98" t="s">
        <v>119</v>
      </c>
      <c r="D1257" s="97"/>
      <c r="E1257" s="99"/>
      <c r="F1257" s="100"/>
      <c r="G1257" s="100">
        <v>114736000</v>
      </c>
    </row>
    <row r="1258" spans="1:7" x14ac:dyDescent="0.25">
      <c r="A1258" s="7" t="s">
        <v>2154</v>
      </c>
      <c r="B1258" s="78" t="s">
        <v>559</v>
      </c>
      <c r="C1258" s="79" t="s">
        <v>90</v>
      </c>
      <c r="D1258" s="78"/>
      <c r="E1258" s="80"/>
      <c r="F1258" s="81"/>
      <c r="G1258" s="81">
        <v>19200000</v>
      </c>
    </row>
    <row r="1259" spans="1:7" x14ac:dyDescent="0.25">
      <c r="A1259" s="7" t="s">
        <v>2155</v>
      </c>
      <c r="B1259" s="89" t="s">
        <v>195</v>
      </c>
      <c r="C1259" s="90" t="s">
        <v>2156</v>
      </c>
      <c r="D1259" s="89">
        <v>800</v>
      </c>
      <c r="E1259" s="91" t="s">
        <v>10</v>
      </c>
      <c r="F1259" s="92">
        <v>24000</v>
      </c>
      <c r="G1259" s="92">
        <v>19200000</v>
      </c>
    </row>
    <row r="1260" spans="1:7" x14ac:dyDescent="0.25">
      <c r="A1260" s="7" t="s">
        <v>2157</v>
      </c>
      <c r="B1260" s="78" t="s">
        <v>570</v>
      </c>
      <c r="C1260" s="79" t="s">
        <v>104</v>
      </c>
      <c r="D1260" s="78"/>
      <c r="E1260" s="80"/>
      <c r="F1260" s="81"/>
      <c r="G1260" s="81">
        <v>60696000</v>
      </c>
    </row>
    <row r="1261" spans="1:7" ht="27.6" x14ac:dyDescent="0.25">
      <c r="A1261" s="7" t="s">
        <v>2158</v>
      </c>
      <c r="B1261" s="89" t="s">
        <v>195</v>
      </c>
      <c r="C1261" s="90" t="s">
        <v>2159</v>
      </c>
      <c r="D1261" s="89">
        <v>12</v>
      </c>
      <c r="E1261" s="91" t="s">
        <v>21</v>
      </c>
      <c r="F1261" s="92">
        <v>2920000</v>
      </c>
      <c r="G1261" s="92">
        <v>35040000</v>
      </c>
    </row>
    <row r="1262" spans="1:7" ht="27.6" x14ac:dyDescent="0.25">
      <c r="A1262" s="7" t="s">
        <v>2160</v>
      </c>
      <c r="B1262" s="89" t="s">
        <v>195</v>
      </c>
      <c r="C1262" s="90" t="s">
        <v>2161</v>
      </c>
      <c r="D1262" s="89">
        <v>24</v>
      </c>
      <c r="E1262" s="91" t="s">
        <v>21</v>
      </c>
      <c r="F1262" s="92">
        <v>324000</v>
      </c>
      <c r="G1262" s="92">
        <v>7776000</v>
      </c>
    </row>
    <row r="1263" spans="1:7" x14ac:dyDescent="0.25">
      <c r="A1263" s="7" t="s">
        <v>2162</v>
      </c>
      <c r="B1263" s="89" t="s">
        <v>195</v>
      </c>
      <c r="C1263" s="90" t="s">
        <v>2163</v>
      </c>
      <c r="D1263" s="89">
        <v>12</v>
      </c>
      <c r="E1263" s="91" t="s">
        <v>21</v>
      </c>
      <c r="F1263" s="92">
        <v>810000</v>
      </c>
      <c r="G1263" s="92">
        <v>9720000</v>
      </c>
    </row>
    <row r="1264" spans="1:7" x14ac:dyDescent="0.25">
      <c r="A1264" s="7" t="s">
        <v>2164</v>
      </c>
      <c r="B1264" s="89" t="s">
        <v>195</v>
      </c>
      <c r="C1264" s="90" t="s">
        <v>2165</v>
      </c>
      <c r="D1264" s="89">
        <v>12</v>
      </c>
      <c r="E1264" s="91" t="s">
        <v>21</v>
      </c>
      <c r="F1264" s="92">
        <v>680000</v>
      </c>
      <c r="G1264" s="92">
        <v>8160000</v>
      </c>
    </row>
    <row r="1265" spans="1:7" x14ac:dyDescent="0.25">
      <c r="A1265" s="7" t="s">
        <v>2166</v>
      </c>
      <c r="B1265" s="78" t="s">
        <v>561</v>
      </c>
      <c r="C1265" s="79" t="s">
        <v>92</v>
      </c>
      <c r="D1265" s="78"/>
      <c r="E1265" s="80"/>
      <c r="F1265" s="81"/>
      <c r="G1265" s="81">
        <v>34840000</v>
      </c>
    </row>
    <row r="1266" spans="1:7" x14ac:dyDescent="0.25">
      <c r="A1266" s="7" t="s">
        <v>2167</v>
      </c>
      <c r="B1266" s="89" t="s">
        <v>195</v>
      </c>
      <c r="C1266" s="90" t="s">
        <v>2168</v>
      </c>
      <c r="D1266" s="89">
        <v>52</v>
      </c>
      <c r="E1266" s="91" t="s">
        <v>2169</v>
      </c>
      <c r="F1266" s="92">
        <v>670000</v>
      </c>
      <c r="G1266" s="92">
        <v>34840000</v>
      </c>
    </row>
    <row r="1267" spans="1:7" ht="27.6" x14ac:dyDescent="0.25">
      <c r="A1267" s="7" t="s">
        <v>2170</v>
      </c>
      <c r="B1267" s="97" t="s">
        <v>1807</v>
      </c>
      <c r="C1267" s="98" t="s">
        <v>2171</v>
      </c>
      <c r="D1267" s="97"/>
      <c r="E1267" s="99"/>
      <c r="F1267" s="100"/>
      <c r="G1267" s="100">
        <v>1325380000</v>
      </c>
    </row>
    <row r="1268" spans="1:7" x14ac:dyDescent="0.25">
      <c r="A1268" s="7" t="s">
        <v>2172</v>
      </c>
      <c r="B1268" s="78" t="s">
        <v>559</v>
      </c>
      <c r="C1268" s="79" t="s">
        <v>90</v>
      </c>
      <c r="D1268" s="78"/>
      <c r="E1268" s="80"/>
      <c r="F1268" s="81"/>
      <c r="G1268" s="81">
        <v>1121220000</v>
      </c>
    </row>
    <row r="1269" spans="1:7" x14ac:dyDescent="0.25">
      <c r="A1269" s="7" t="s">
        <v>2173</v>
      </c>
      <c r="B1269" s="89" t="s">
        <v>195</v>
      </c>
      <c r="C1269" s="90" t="s">
        <v>2096</v>
      </c>
      <c r="D1269" s="89">
        <v>60</v>
      </c>
      <c r="E1269" s="91" t="s">
        <v>116</v>
      </c>
      <c r="F1269" s="92">
        <v>1500000</v>
      </c>
      <c r="G1269" s="92">
        <v>90000000</v>
      </c>
    </row>
    <row r="1270" spans="1:7" x14ac:dyDescent="0.25">
      <c r="A1270" s="7" t="s">
        <v>2174</v>
      </c>
      <c r="B1270" s="89" t="s">
        <v>195</v>
      </c>
      <c r="C1270" s="90" t="s">
        <v>2175</v>
      </c>
      <c r="D1270" s="89">
        <v>1</v>
      </c>
      <c r="E1270" s="91" t="s">
        <v>60</v>
      </c>
      <c r="F1270" s="92">
        <v>63000000</v>
      </c>
      <c r="G1270" s="92">
        <v>63000000</v>
      </c>
    </row>
    <row r="1271" spans="1:7" x14ac:dyDescent="0.25">
      <c r="A1271" s="7" t="s">
        <v>2176</v>
      </c>
      <c r="B1271" s="89" t="s">
        <v>195</v>
      </c>
      <c r="C1271" s="90" t="s">
        <v>2177</v>
      </c>
      <c r="D1271" s="89">
        <v>156</v>
      </c>
      <c r="E1271" s="91" t="s">
        <v>21</v>
      </c>
      <c r="F1271" s="92">
        <v>4858000</v>
      </c>
      <c r="G1271" s="92">
        <v>757848000</v>
      </c>
    </row>
    <row r="1272" spans="1:7" x14ac:dyDescent="0.25">
      <c r="A1272" s="7" t="s">
        <v>2178</v>
      </c>
      <c r="B1272" s="89" t="s">
        <v>195</v>
      </c>
      <c r="C1272" s="90" t="s">
        <v>2100</v>
      </c>
      <c r="D1272" s="89">
        <v>13</v>
      </c>
      <c r="E1272" s="91" t="s">
        <v>32</v>
      </c>
      <c r="F1272" s="92">
        <v>5344000</v>
      </c>
      <c r="G1272" s="92">
        <v>69472000</v>
      </c>
    </row>
    <row r="1273" spans="1:7" x14ac:dyDescent="0.25">
      <c r="A1273" s="7" t="s">
        <v>2179</v>
      </c>
      <c r="B1273" s="89" t="s">
        <v>195</v>
      </c>
      <c r="C1273" s="90" t="s">
        <v>2180</v>
      </c>
      <c r="D1273" s="89">
        <v>12</v>
      </c>
      <c r="E1273" s="91" t="s">
        <v>78</v>
      </c>
      <c r="F1273" s="92">
        <v>500000</v>
      </c>
      <c r="G1273" s="92">
        <v>6000000</v>
      </c>
    </row>
    <row r="1274" spans="1:7" x14ac:dyDescent="0.25">
      <c r="A1274" s="7" t="s">
        <v>2181</v>
      </c>
      <c r="B1274" s="89" t="s">
        <v>195</v>
      </c>
      <c r="C1274" s="90" t="s">
        <v>2182</v>
      </c>
      <c r="D1274" s="89">
        <v>148</v>
      </c>
      <c r="E1274" s="91" t="s">
        <v>58</v>
      </c>
      <c r="F1274" s="92">
        <v>500000</v>
      </c>
      <c r="G1274" s="92">
        <v>74000000</v>
      </c>
    </row>
    <row r="1275" spans="1:7" x14ac:dyDescent="0.25">
      <c r="A1275" s="7" t="s">
        <v>2183</v>
      </c>
      <c r="B1275" s="89" t="s">
        <v>195</v>
      </c>
      <c r="C1275" s="90" t="s">
        <v>2184</v>
      </c>
      <c r="D1275" s="89">
        <v>12</v>
      </c>
      <c r="E1275" s="91" t="s">
        <v>115</v>
      </c>
      <c r="F1275" s="92">
        <v>750000</v>
      </c>
      <c r="G1275" s="92">
        <v>9000000</v>
      </c>
    </row>
    <row r="1276" spans="1:7" x14ac:dyDescent="0.25">
      <c r="A1276" s="7" t="s">
        <v>2185</v>
      </c>
      <c r="B1276" s="89" t="s">
        <v>195</v>
      </c>
      <c r="C1276" s="90" t="s">
        <v>2186</v>
      </c>
      <c r="D1276" s="89">
        <v>12</v>
      </c>
      <c r="E1276" s="91" t="s">
        <v>115</v>
      </c>
      <c r="F1276" s="92">
        <v>1325000</v>
      </c>
      <c r="G1276" s="92">
        <v>15900000</v>
      </c>
    </row>
    <row r="1277" spans="1:7" x14ac:dyDescent="0.25">
      <c r="A1277" s="7" t="s">
        <v>2187</v>
      </c>
      <c r="B1277" s="89" t="s">
        <v>195</v>
      </c>
      <c r="C1277" s="90" t="s">
        <v>2188</v>
      </c>
      <c r="D1277" s="89">
        <v>12</v>
      </c>
      <c r="E1277" s="91" t="s">
        <v>78</v>
      </c>
      <c r="F1277" s="92">
        <v>3000000</v>
      </c>
      <c r="G1277" s="92">
        <v>36000000</v>
      </c>
    </row>
    <row r="1278" spans="1:7" x14ac:dyDescent="0.25">
      <c r="A1278" s="7" t="s">
        <v>2189</v>
      </c>
      <c r="B1278" s="78" t="s">
        <v>537</v>
      </c>
      <c r="C1278" s="79" t="s">
        <v>64</v>
      </c>
      <c r="D1278" s="78"/>
      <c r="E1278" s="80"/>
      <c r="F1278" s="81"/>
      <c r="G1278" s="81">
        <v>204160000</v>
      </c>
    </row>
    <row r="1279" spans="1:7" x14ac:dyDescent="0.25">
      <c r="A1279" s="7" t="s">
        <v>2190</v>
      </c>
      <c r="B1279" s="89" t="s">
        <v>195</v>
      </c>
      <c r="C1279" s="90" t="s">
        <v>619</v>
      </c>
      <c r="D1279" s="89">
        <v>48</v>
      </c>
      <c r="E1279" s="91" t="s">
        <v>9</v>
      </c>
      <c r="F1279" s="92">
        <v>1000000</v>
      </c>
      <c r="G1279" s="92">
        <v>48000000</v>
      </c>
    </row>
    <row r="1280" spans="1:7" x14ac:dyDescent="0.25">
      <c r="A1280" s="7" t="s">
        <v>2191</v>
      </c>
      <c r="B1280" s="89" t="s">
        <v>195</v>
      </c>
      <c r="C1280" s="90" t="s">
        <v>620</v>
      </c>
      <c r="D1280" s="89">
        <v>48</v>
      </c>
      <c r="E1280" s="91" t="s">
        <v>9</v>
      </c>
      <c r="F1280" s="92">
        <v>1500000</v>
      </c>
      <c r="G1280" s="92">
        <v>72000000</v>
      </c>
    </row>
    <row r="1281" spans="1:7" x14ac:dyDescent="0.25">
      <c r="A1281" s="7" t="s">
        <v>2192</v>
      </c>
      <c r="B1281" s="89" t="s">
        <v>195</v>
      </c>
      <c r="C1281" s="90" t="s">
        <v>2193</v>
      </c>
      <c r="D1281" s="89">
        <v>192</v>
      </c>
      <c r="E1281" s="91" t="s">
        <v>9</v>
      </c>
      <c r="F1281" s="92">
        <v>50000</v>
      </c>
      <c r="G1281" s="92">
        <v>9600000</v>
      </c>
    </row>
    <row r="1282" spans="1:7" x14ac:dyDescent="0.25">
      <c r="A1282" s="7" t="s">
        <v>2194</v>
      </c>
      <c r="B1282" s="89" t="s">
        <v>195</v>
      </c>
      <c r="C1282" s="90" t="s">
        <v>2195</v>
      </c>
      <c r="D1282" s="89">
        <v>192</v>
      </c>
      <c r="E1282" s="91" t="s">
        <v>9</v>
      </c>
      <c r="F1282" s="92">
        <v>55000</v>
      </c>
      <c r="G1282" s="92">
        <v>10560000</v>
      </c>
    </row>
    <row r="1283" spans="1:7" x14ac:dyDescent="0.25">
      <c r="A1283" s="7" t="s">
        <v>2196</v>
      </c>
      <c r="B1283" s="89" t="s">
        <v>195</v>
      </c>
      <c r="C1283" s="90" t="s">
        <v>2197</v>
      </c>
      <c r="D1283" s="89">
        <v>50</v>
      </c>
      <c r="E1283" s="91" t="s">
        <v>2198</v>
      </c>
      <c r="F1283" s="92">
        <v>220000</v>
      </c>
      <c r="G1283" s="92">
        <v>11000000</v>
      </c>
    </row>
    <row r="1284" spans="1:7" x14ac:dyDescent="0.25">
      <c r="A1284" s="7" t="s">
        <v>2199</v>
      </c>
      <c r="B1284" s="89" t="s">
        <v>195</v>
      </c>
      <c r="C1284" s="90" t="s">
        <v>2200</v>
      </c>
      <c r="D1284" s="89">
        <v>50</v>
      </c>
      <c r="E1284" s="91" t="s">
        <v>2198</v>
      </c>
      <c r="F1284" s="92">
        <v>240000</v>
      </c>
      <c r="G1284" s="92">
        <v>12000000</v>
      </c>
    </row>
    <row r="1285" spans="1:7" x14ac:dyDescent="0.25">
      <c r="A1285" s="7" t="s">
        <v>2201</v>
      </c>
      <c r="B1285" s="89" t="s">
        <v>195</v>
      </c>
      <c r="C1285" s="90" t="s">
        <v>2202</v>
      </c>
      <c r="D1285" s="89">
        <v>1000</v>
      </c>
      <c r="E1285" s="91" t="s">
        <v>120</v>
      </c>
      <c r="F1285" s="92">
        <v>5000</v>
      </c>
      <c r="G1285" s="92">
        <v>5000000</v>
      </c>
    </row>
    <row r="1286" spans="1:7" x14ac:dyDescent="0.25">
      <c r="A1286" s="7" t="s">
        <v>2203</v>
      </c>
      <c r="B1286" s="89" t="s">
        <v>195</v>
      </c>
      <c r="C1286" s="90" t="s">
        <v>2204</v>
      </c>
      <c r="D1286" s="89">
        <v>50</v>
      </c>
      <c r="E1286" s="91" t="s">
        <v>1422</v>
      </c>
      <c r="F1286" s="92">
        <v>220000</v>
      </c>
      <c r="G1286" s="92">
        <v>11000000</v>
      </c>
    </row>
    <row r="1287" spans="1:7" x14ac:dyDescent="0.25">
      <c r="A1287" s="7" t="s">
        <v>2205</v>
      </c>
      <c r="B1287" s="89" t="s">
        <v>195</v>
      </c>
      <c r="C1287" s="90" t="s">
        <v>2206</v>
      </c>
      <c r="D1287" s="89">
        <v>1000</v>
      </c>
      <c r="E1287" s="91" t="s">
        <v>120</v>
      </c>
      <c r="F1287" s="92">
        <v>25000</v>
      </c>
      <c r="G1287" s="92">
        <v>25000000</v>
      </c>
    </row>
    <row r="1288" spans="1:7" x14ac:dyDescent="0.25">
      <c r="A1288" s="7" t="s">
        <v>2207</v>
      </c>
      <c r="B1288" s="97" t="s">
        <v>2208</v>
      </c>
      <c r="C1288" s="98" t="s">
        <v>2209</v>
      </c>
      <c r="D1288" s="97"/>
      <c r="E1288" s="99"/>
      <c r="F1288" s="100"/>
      <c r="G1288" s="100">
        <v>148852000</v>
      </c>
    </row>
    <row r="1289" spans="1:7" x14ac:dyDescent="0.25">
      <c r="A1289" s="7" t="s">
        <v>2210</v>
      </c>
      <c r="B1289" s="78" t="s">
        <v>563</v>
      </c>
      <c r="C1289" s="79" t="s">
        <v>94</v>
      </c>
      <c r="D1289" s="78"/>
      <c r="E1289" s="80"/>
      <c r="F1289" s="81"/>
      <c r="G1289" s="81">
        <v>30000000</v>
      </c>
    </row>
    <row r="1290" spans="1:7" x14ac:dyDescent="0.25">
      <c r="A1290" s="7" t="s">
        <v>2211</v>
      </c>
      <c r="B1290" s="89" t="s">
        <v>195</v>
      </c>
      <c r="C1290" s="90" t="s">
        <v>2212</v>
      </c>
      <c r="D1290" s="89">
        <v>12</v>
      </c>
      <c r="E1290" s="91" t="s">
        <v>78</v>
      </c>
      <c r="F1290" s="92">
        <v>2500000</v>
      </c>
      <c r="G1290" s="92">
        <v>30000000</v>
      </c>
    </row>
    <row r="1291" spans="1:7" x14ac:dyDescent="0.25">
      <c r="A1291" s="7" t="s">
        <v>2213</v>
      </c>
      <c r="B1291" s="78" t="s">
        <v>564</v>
      </c>
      <c r="C1291" s="79" t="s">
        <v>95</v>
      </c>
      <c r="D1291" s="78"/>
      <c r="E1291" s="80"/>
      <c r="F1291" s="81"/>
      <c r="G1291" s="81">
        <v>118852000</v>
      </c>
    </row>
    <row r="1292" spans="1:7" x14ac:dyDescent="0.25">
      <c r="A1292" s="7" t="s">
        <v>2214</v>
      </c>
      <c r="B1292" s="89" t="s">
        <v>195</v>
      </c>
      <c r="C1292" s="90" t="s">
        <v>2215</v>
      </c>
      <c r="D1292" s="89">
        <v>12</v>
      </c>
      <c r="E1292" s="91" t="s">
        <v>78</v>
      </c>
      <c r="F1292" s="92">
        <v>5000000</v>
      </c>
      <c r="G1292" s="92">
        <v>60000000</v>
      </c>
    </row>
    <row r="1293" spans="1:7" x14ac:dyDescent="0.25">
      <c r="A1293" s="7" t="s">
        <v>2216</v>
      </c>
      <c r="B1293" s="89" t="s">
        <v>195</v>
      </c>
      <c r="C1293" s="90" t="s">
        <v>2217</v>
      </c>
      <c r="D1293" s="89">
        <v>1</v>
      </c>
      <c r="E1293" s="91" t="s">
        <v>60</v>
      </c>
      <c r="F1293" s="92">
        <v>58852000</v>
      </c>
      <c r="G1293" s="92">
        <v>58852000</v>
      </c>
    </row>
    <row r="1294" spans="1:7" x14ac:dyDescent="0.25">
      <c r="A1294" s="7" t="s">
        <v>2218</v>
      </c>
      <c r="B1294" s="97" t="s">
        <v>2219</v>
      </c>
      <c r="C1294" s="98" t="s">
        <v>2220</v>
      </c>
      <c r="D1294" s="97"/>
      <c r="E1294" s="99"/>
      <c r="F1294" s="100"/>
      <c r="G1294" s="100">
        <v>562050000</v>
      </c>
    </row>
    <row r="1295" spans="1:7" x14ac:dyDescent="0.25">
      <c r="A1295" s="7" t="s">
        <v>2221</v>
      </c>
      <c r="B1295" s="78" t="s">
        <v>567</v>
      </c>
      <c r="C1295" s="79" t="s">
        <v>99</v>
      </c>
      <c r="D1295" s="78"/>
      <c r="E1295" s="80"/>
      <c r="F1295" s="81"/>
      <c r="G1295" s="81">
        <v>526050000</v>
      </c>
    </row>
    <row r="1296" spans="1:7" ht="27.6" x14ac:dyDescent="0.25">
      <c r="A1296" s="7" t="s">
        <v>2222</v>
      </c>
      <c r="B1296" s="89" t="s">
        <v>195</v>
      </c>
      <c r="C1296" s="90" t="s">
        <v>2223</v>
      </c>
      <c r="D1296" s="89">
        <v>1</v>
      </c>
      <c r="E1296" s="91" t="s">
        <v>44</v>
      </c>
      <c r="F1296" s="92">
        <v>38730000</v>
      </c>
      <c r="G1296" s="92">
        <v>38730000</v>
      </c>
    </row>
    <row r="1297" spans="1:7" x14ac:dyDescent="0.25">
      <c r="A1297" s="7" t="s">
        <v>2224</v>
      </c>
      <c r="B1297" s="89" t="s">
        <v>195</v>
      </c>
      <c r="C1297" s="90" t="s">
        <v>2225</v>
      </c>
      <c r="D1297" s="89">
        <v>9</v>
      </c>
      <c r="E1297" s="91" t="s">
        <v>195</v>
      </c>
      <c r="F1297" s="92">
        <v>33650000</v>
      </c>
      <c r="G1297" s="92">
        <v>302850000</v>
      </c>
    </row>
    <row r="1298" spans="1:7" x14ac:dyDescent="0.25">
      <c r="A1298" s="7" t="s">
        <v>2226</v>
      </c>
      <c r="B1298" s="89" t="s">
        <v>195</v>
      </c>
      <c r="C1298" s="90" t="s">
        <v>2227</v>
      </c>
      <c r="D1298" s="89">
        <v>5</v>
      </c>
      <c r="E1298" s="91" t="s">
        <v>42</v>
      </c>
      <c r="F1298" s="92">
        <v>3640000</v>
      </c>
      <c r="G1298" s="92">
        <v>18200000</v>
      </c>
    </row>
    <row r="1299" spans="1:7" x14ac:dyDescent="0.25">
      <c r="A1299" s="7" t="s">
        <v>2228</v>
      </c>
      <c r="B1299" s="89" t="s">
        <v>195</v>
      </c>
      <c r="C1299" s="90" t="s">
        <v>1901</v>
      </c>
      <c r="D1299" s="89">
        <v>50</v>
      </c>
      <c r="E1299" s="91" t="s">
        <v>42</v>
      </c>
      <c r="F1299" s="92">
        <v>730000</v>
      </c>
      <c r="G1299" s="92">
        <v>36500000</v>
      </c>
    </row>
    <row r="1300" spans="1:7" x14ac:dyDescent="0.25">
      <c r="A1300" s="7" t="s">
        <v>2229</v>
      </c>
      <c r="B1300" s="89" t="s">
        <v>195</v>
      </c>
      <c r="C1300" s="90" t="s">
        <v>1921</v>
      </c>
      <c r="D1300" s="89">
        <v>45</v>
      </c>
      <c r="E1300" s="91" t="s">
        <v>44</v>
      </c>
      <c r="F1300" s="92">
        <v>730000</v>
      </c>
      <c r="G1300" s="92">
        <v>32850000</v>
      </c>
    </row>
    <row r="1301" spans="1:7" x14ac:dyDescent="0.25">
      <c r="A1301" s="7" t="s">
        <v>2230</v>
      </c>
      <c r="B1301" s="89" t="s">
        <v>195</v>
      </c>
      <c r="C1301" s="90" t="s">
        <v>1925</v>
      </c>
      <c r="D1301" s="89">
        <v>45</v>
      </c>
      <c r="E1301" s="91" t="s">
        <v>44</v>
      </c>
      <c r="F1301" s="92">
        <v>690000</v>
      </c>
      <c r="G1301" s="92">
        <v>31050000</v>
      </c>
    </row>
    <row r="1302" spans="1:7" x14ac:dyDescent="0.25">
      <c r="A1302" s="7" t="s">
        <v>2231</v>
      </c>
      <c r="B1302" s="89" t="s">
        <v>195</v>
      </c>
      <c r="C1302" s="90" t="s">
        <v>1927</v>
      </c>
      <c r="D1302" s="89">
        <v>3</v>
      </c>
      <c r="E1302" s="91" t="s">
        <v>44</v>
      </c>
      <c r="F1302" s="92">
        <v>3500000</v>
      </c>
      <c r="G1302" s="92">
        <v>10500000</v>
      </c>
    </row>
    <row r="1303" spans="1:7" x14ac:dyDescent="0.25">
      <c r="A1303" s="7" t="s">
        <v>2232</v>
      </c>
      <c r="B1303" s="89" t="s">
        <v>195</v>
      </c>
      <c r="C1303" s="90" t="s">
        <v>2233</v>
      </c>
      <c r="D1303" s="89">
        <v>6</v>
      </c>
      <c r="E1303" s="91" t="s">
        <v>44</v>
      </c>
      <c r="F1303" s="92">
        <v>470000</v>
      </c>
      <c r="G1303" s="92">
        <v>2820000</v>
      </c>
    </row>
    <row r="1304" spans="1:7" x14ac:dyDescent="0.25">
      <c r="A1304" s="7" t="s">
        <v>2234</v>
      </c>
      <c r="B1304" s="89" t="s">
        <v>195</v>
      </c>
      <c r="C1304" s="90" t="s">
        <v>1905</v>
      </c>
      <c r="D1304" s="89">
        <v>1</v>
      </c>
      <c r="E1304" s="91" t="s">
        <v>60</v>
      </c>
      <c r="F1304" s="92">
        <v>52550000</v>
      </c>
      <c r="G1304" s="92">
        <v>52550000</v>
      </c>
    </row>
    <row r="1305" spans="1:7" x14ac:dyDescent="0.25">
      <c r="A1305" s="7" t="s">
        <v>2235</v>
      </c>
      <c r="B1305" s="78" t="s">
        <v>568</v>
      </c>
      <c r="C1305" s="79" t="s">
        <v>102</v>
      </c>
      <c r="D1305" s="78"/>
      <c r="E1305" s="80"/>
      <c r="F1305" s="81"/>
      <c r="G1305" s="81">
        <v>36000000</v>
      </c>
    </row>
    <row r="1306" spans="1:7" x14ac:dyDescent="0.25">
      <c r="A1306" s="7" t="s">
        <v>2236</v>
      </c>
      <c r="B1306" s="89" t="s">
        <v>195</v>
      </c>
      <c r="C1306" s="90" t="s">
        <v>2237</v>
      </c>
      <c r="D1306" s="89">
        <v>24</v>
      </c>
      <c r="E1306" s="91" t="s">
        <v>96</v>
      </c>
      <c r="F1306" s="92">
        <v>1500000</v>
      </c>
      <c r="G1306" s="92">
        <v>36000000</v>
      </c>
    </row>
    <row r="1307" spans="1:7" ht="27.6" x14ac:dyDescent="0.25">
      <c r="A1307" s="7" t="s">
        <v>2238</v>
      </c>
      <c r="B1307" s="97" t="s">
        <v>2239</v>
      </c>
      <c r="C1307" s="98" t="s">
        <v>2240</v>
      </c>
      <c r="D1307" s="97"/>
      <c r="E1307" s="99"/>
      <c r="F1307" s="100"/>
      <c r="G1307" s="100">
        <v>159376000</v>
      </c>
    </row>
    <row r="1308" spans="1:7" x14ac:dyDescent="0.25">
      <c r="A1308" s="7" t="s">
        <v>2241</v>
      </c>
      <c r="B1308" s="78" t="s">
        <v>559</v>
      </c>
      <c r="C1308" s="79" t="s">
        <v>90</v>
      </c>
      <c r="D1308" s="78"/>
      <c r="E1308" s="80"/>
      <c r="F1308" s="81"/>
      <c r="G1308" s="81">
        <v>101040000</v>
      </c>
    </row>
    <row r="1309" spans="1:7" x14ac:dyDescent="0.25">
      <c r="A1309" s="7" t="s">
        <v>2242</v>
      </c>
      <c r="B1309" s="89" t="s">
        <v>195</v>
      </c>
      <c r="C1309" s="90" t="s">
        <v>2243</v>
      </c>
      <c r="D1309" s="89">
        <v>100</v>
      </c>
      <c r="E1309" s="91" t="s">
        <v>2244</v>
      </c>
      <c r="F1309" s="92">
        <v>857000</v>
      </c>
      <c r="G1309" s="92">
        <v>85700000</v>
      </c>
    </row>
    <row r="1310" spans="1:7" x14ac:dyDescent="0.25">
      <c r="A1310" s="7" t="s">
        <v>2245</v>
      </c>
      <c r="B1310" s="89" t="s">
        <v>195</v>
      </c>
      <c r="C1310" s="90" t="s">
        <v>2246</v>
      </c>
      <c r="D1310" s="89">
        <v>26</v>
      </c>
      <c r="E1310" s="91" t="s">
        <v>121</v>
      </c>
      <c r="F1310" s="92">
        <v>590000</v>
      </c>
      <c r="G1310" s="92">
        <v>15340000</v>
      </c>
    </row>
    <row r="1311" spans="1:7" x14ac:dyDescent="0.25">
      <c r="A1311" s="7" t="s">
        <v>2247</v>
      </c>
      <c r="B1311" s="78" t="s">
        <v>570</v>
      </c>
      <c r="C1311" s="79" t="s">
        <v>104</v>
      </c>
      <c r="D1311" s="78"/>
      <c r="E1311" s="80"/>
      <c r="F1311" s="81"/>
      <c r="G1311" s="81">
        <v>58336000</v>
      </c>
    </row>
    <row r="1312" spans="1:7" x14ac:dyDescent="0.25">
      <c r="A1312" s="7" t="s">
        <v>2248</v>
      </c>
      <c r="B1312" s="89" t="s">
        <v>195</v>
      </c>
      <c r="C1312" s="90" t="s">
        <v>2249</v>
      </c>
      <c r="D1312" s="89">
        <v>12</v>
      </c>
      <c r="E1312" s="91" t="s">
        <v>32</v>
      </c>
      <c r="F1312" s="92">
        <v>2920000</v>
      </c>
      <c r="G1312" s="92">
        <v>35040000</v>
      </c>
    </row>
    <row r="1313" spans="1:7" x14ac:dyDescent="0.25">
      <c r="A1313" s="7" t="s">
        <v>2250</v>
      </c>
      <c r="B1313" s="89" t="s">
        <v>195</v>
      </c>
      <c r="C1313" s="90" t="s">
        <v>2251</v>
      </c>
      <c r="D1313" s="89">
        <v>3</v>
      </c>
      <c r="E1313" s="91" t="s">
        <v>25</v>
      </c>
      <c r="F1313" s="92">
        <v>300000</v>
      </c>
      <c r="G1313" s="92">
        <v>900000</v>
      </c>
    </row>
    <row r="1314" spans="1:7" x14ac:dyDescent="0.25">
      <c r="A1314" s="7" t="s">
        <v>2252</v>
      </c>
      <c r="B1314" s="89" t="s">
        <v>195</v>
      </c>
      <c r="C1314" s="90" t="s">
        <v>2253</v>
      </c>
      <c r="D1314" s="89">
        <v>12</v>
      </c>
      <c r="E1314" s="91" t="s">
        <v>32</v>
      </c>
      <c r="F1314" s="92">
        <v>324000</v>
      </c>
      <c r="G1314" s="92">
        <v>3888000</v>
      </c>
    </row>
    <row r="1315" spans="1:7" x14ac:dyDescent="0.25">
      <c r="A1315" s="7" t="s">
        <v>2254</v>
      </c>
      <c r="B1315" s="89" t="s">
        <v>195</v>
      </c>
      <c r="C1315" s="90" t="s">
        <v>2255</v>
      </c>
      <c r="D1315" s="89">
        <v>12</v>
      </c>
      <c r="E1315" s="91" t="s">
        <v>32</v>
      </c>
      <c r="F1315" s="92">
        <v>324000</v>
      </c>
      <c r="G1315" s="92">
        <v>3888000</v>
      </c>
    </row>
    <row r="1316" spans="1:7" x14ac:dyDescent="0.25">
      <c r="A1316" s="7" t="s">
        <v>2256</v>
      </c>
      <c r="B1316" s="89" t="s">
        <v>195</v>
      </c>
      <c r="C1316" s="90" t="s">
        <v>2257</v>
      </c>
      <c r="D1316" s="89">
        <v>12</v>
      </c>
      <c r="E1316" s="91" t="s">
        <v>32</v>
      </c>
      <c r="F1316" s="92">
        <v>680000</v>
      </c>
      <c r="G1316" s="92">
        <v>8160000</v>
      </c>
    </row>
    <row r="1317" spans="1:7" x14ac:dyDescent="0.25">
      <c r="A1317" s="7" t="s">
        <v>2258</v>
      </c>
      <c r="B1317" s="89" t="s">
        <v>195</v>
      </c>
      <c r="C1317" s="90" t="s">
        <v>2259</v>
      </c>
      <c r="D1317" s="89">
        <v>12</v>
      </c>
      <c r="E1317" s="91" t="s">
        <v>32</v>
      </c>
      <c r="F1317" s="92">
        <v>200000</v>
      </c>
      <c r="G1317" s="92">
        <v>2400000</v>
      </c>
    </row>
    <row r="1318" spans="1:7" x14ac:dyDescent="0.25">
      <c r="A1318" s="7" t="s">
        <v>2260</v>
      </c>
      <c r="B1318" s="89" t="s">
        <v>195</v>
      </c>
      <c r="C1318" s="90" t="s">
        <v>2261</v>
      </c>
      <c r="D1318" s="89">
        <v>12</v>
      </c>
      <c r="E1318" s="91" t="s">
        <v>32</v>
      </c>
      <c r="F1318" s="92">
        <v>80000</v>
      </c>
      <c r="G1318" s="92">
        <v>960000</v>
      </c>
    </row>
    <row r="1319" spans="1:7" x14ac:dyDescent="0.25">
      <c r="A1319" s="7" t="s">
        <v>2262</v>
      </c>
      <c r="B1319" s="89" t="s">
        <v>195</v>
      </c>
      <c r="C1319" s="90" t="s">
        <v>2263</v>
      </c>
      <c r="D1319" s="89">
        <v>12</v>
      </c>
      <c r="E1319" s="91" t="s">
        <v>32</v>
      </c>
      <c r="F1319" s="92">
        <v>200000</v>
      </c>
      <c r="G1319" s="92">
        <v>2400000</v>
      </c>
    </row>
    <row r="1320" spans="1:7" x14ac:dyDescent="0.25">
      <c r="A1320" s="7" t="s">
        <v>2264</v>
      </c>
      <c r="B1320" s="89" t="s">
        <v>195</v>
      </c>
      <c r="C1320" s="90" t="s">
        <v>2265</v>
      </c>
      <c r="D1320" s="89">
        <v>1</v>
      </c>
      <c r="E1320" s="91" t="s">
        <v>776</v>
      </c>
      <c r="F1320" s="92">
        <v>400000</v>
      </c>
      <c r="G1320" s="92">
        <v>400000</v>
      </c>
    </row>
    <row r="1321" spans="1:7" x14ac:dyDescent="0.25">
      <c r="A1321" s="7" t="s">
        <v>2266</v>
      </c>
      <c r="B1321" s="89" t="s">
        <v>195</v>
      </c>
      <c r="C1321" s="90" t="s">
        <v>2267</v>
      </c>
      <c r="D1321" s="89">
        <v>1</v>
      </c>
      <c r="E1321" s="91" t="s">
        <v>25</v>
      </c>
      <c r="F1321" s="92">
        <v>300000</v>
      </c>
      <c r="G1321" s="92">
        <v>300000</v>
      </c>
    </row>
    <row r="1322" spans="1:7" x14ac:dyDescent="0.25">
      <c r="A1322" s="7" t="s">
        <v>2268</v>
      </c>
      <c r="B1322" s="101" t="s">
        <v>2269</v>
      </c>
      <c r="C1322" s="102" t="s">
        <v>2270</v>
      </c>
      <c r="D1322" s="101"/>
      <c r="E1322" s="103"/>
      <c r="F1322" s="104"/>
      <c r="G1322" s="104">
        <v>1740934000</v>
      </c>
    </row>
    <row r="1323" spans="1:7" x14ac:dyDescent="0.25">
      <c r="A1323" s="7" t="s">
        <v>2271</v>
      </c>
      <c r="B1323" s="89" t="s">
        <v>2272</v>
      </c>
      <c r="C1323" s="90" t="s">
        <v>2273</v>
      </c>
      <c r="D1323" s="89"/>
      <c r="E1323" s="91"/>
      <c r="F1323" s="92"/>
      <c r="G1323" s="92">
        <v>740934000</v>
      </c>
    </row>
    <row r="1324" spans="1:7" ht="27.6" x14ac:dyDescent="0.25">
      <c r="A1324" s="7" t="s">
        <v>2274</v>
      </c>
      <c r="B1324" s="93" t="s">
        <v>826</v>
      </c>
      <c r="C1324" s="94" t="s">
        <v>2275</v>
      </c>
      <c r="D1324" s="93"/>
      <c r="E1324" s="95"/>
      <c r="F1324" s="96"/>
      <c r="G1324" s="96">
        <v>0</v>
      </c>
    </row>
    <row r="1325" spans="1:7" ht="27.6" x14ac:dyDescent="0.25">
      <c r="A1325" s="7" t="s">
        <v>2276</v>
      </c>
      <c r="B1325" s="97" t="s">
        <v>8</v>
      </c>
      <c r="C1325" s="98" t="s">
        <v>2275</v>
      </c>
      <c r="D1325" s="97"/>
      <c r="E1325" s="99"/>
      <c r="F1325" s="100"/>
      <c r="G1325" s="100">
        <v>0</v>
      </c>
    </row>
    <row r="1326" spans="1:7" x14ac:dyDescent="0.25">
      <c r="A1326" s="7" t="s">
        <v>2277</v>
      </c>
      <c r="B1326" s="78" t="s">
        <v>528</v>
      </c>
      <c r="C1326" s="79" t="s">
        <v>43</v>
      </c>
      <c r="D1326" s="78"/>
      <c r="E1326" s="80"/>
      <c r="F1326" s="81"/>
      <c r="G1326" s="81">
        <v>0</v>
      </c>
    </row>
    <row r="1327" spans="1:7" x14ac:dyDescent="0.25">
      <c r="A1327" s="7" t="s">
        <v>2278</v>
      </c>
      <c r="B1327" s="89" t="s">
        <v>195</v>
      </c>
      <c r="C1327" s="90" t="s">
        <v>2279</v>
      </c>
      <c r="D1327" s="89">
        <v>1</v>
      </c>
      <c r="E1327" s="91" t="s">
        <v>42</v>
      </c>
      <c r="F1327" s="92">
        <v>700000000</v>
      </c>
      <c r="G1327" s="92">
        <v>0</v>
      </c>
    </row>
    <row r="1328" spans="1:7" ht="27.6" x14ac:dyDescent="0.25">
      <c r="A1328" s="7" t="s">
        <v>2280</v>
      </c>
      <c r="B1328" s="93" t="s">
        <v>1119</v>
      </c>
      <c r="C1328" s="94" t="s">
        <v>2281</v>
      </c>
      <c r="D1328" s="93"/>
      <c r="E1328" s="95"/>
      <c r="F1328" s="96"/>
      <c r="G1328" s="96">
        <v>200000000</v>
      </c>
    </row>
    <row r="1329" spans="1:7" x14ac:dyDescent="0.25">
      <c r="A1329" s="7" t="s">
        <v>2282</v>
      </c>
      <c r="B1329" s="97" t="s">
        <v>8</v>
      </c>
      <c r="C1329" s="98" t="s">
        <v>2283</v>
      </c>
      <c r="D1329" s="97"/>
      <c r="E1329" s="99"/>
      <c r="F1329" s="100"/>
      <c r="G1329" s="100">
        <v>200000000</v>
      </c>
    </row>
    <row r="1330" spans="1:7" x14ac:dyDescent="0.25">
      <c r="A1330" s="7" t="s">
        <v>2284</v>
      </c>
      <c r="B1330" s="78" t="s">
        <v>528</v>
      </c>
      <c r="C1330" s="79" t="s">
        <v>43</v>
      </c>
      <c r="D1330" s="78"/>
      <c r="E1330" s="80"/>
      <c r="F1330" s="81"/>
      <c r="G1330" s="81">
        <v>200000000</v>
      </c>
    </row>
    <row r="1331" spans="1:7" x14ac:dyDescent="0.25">
      <c r="A1331" s="7" t="s">
        <v>2285</v>
      </c>
      <c r="B1331" s="89" t="s">
        <v>195</v>
      </c>
      <c r="C1331" s="90" t="s">
        <v>2286</v>
      </c>
      <c r="D1331" s="89">
        <v>1</v>
      </c>
      <c r="E1331" s="91" t="s">
        <v>52</v>
      </c>
      <c r="F1331" s="92">
        <v>100000000</v>
      </c>
      <c r="G1331" s="92">
        <v>100000000</v>
      </c>
    </row>
    <row r="1332" spans="1:7" x14ac:dyDescent="0.25">
      <c r="A1332" s="7" t="s">
        <v>2287</v>
      </c>
      <c r="B1332" s="89" t="s">
        <v>195</v>
      </c>
      <c r="C1332" s="90" t="s">
        <v>2288</v>
      </c>
      <c r="D1332" s="89">
        <v>1</v>
      </c>
      <c r="E1332" s="91" t="s">
        <v>106</v>
      </c>
      <c r="F1332" s="92">
        <v>100000000</v>
      </c>
      <c r="G1332" s="92">
        <v>100000000</v>
      </c>
    </row>
    <row r="1333" spans="1:7" ht="27.6" x14ac:dyDescent="0.25">
      <c r="A1333" s="7" t="s">
        <v>2289</v>
      </c>
      <c r="B1333" s="93" t="s">
        <v>833</v>
      </c>
      <c r="C1333" s="94" t="s">
        <v>2290</v>
      </c>
      <c r="D1333" s="93"/>
      <c r="E1333" s="95"/>
      <c r="F1333" s="96"/>
      <c r="G1333" s="96">
        <v>540934000</v>
      </c>
    </row>
    <row r="1334" spans="1:7" x14ac:dyDescent="0.25">
      <c r="A1334" s="7" t="s">
        <v>2291</v>
      </c>
      <c r="B1334" s="97" t="s">
        <v>8</v>
      </c>
      <c r="C1334" s="98" t="s">
        <v>2292</v>
      </c>
      <c r="D1334" s="97"/>
      <c r="E1334" s="99"/>
      <c r="F1334" s="100"/>
      <c r="G1334" s="100">
        <v>540934000</v>
      </c>
    </row>
    <row r="1335" spans="1:7" x14ac:dyDescent="0.25">
      <c r="A1335" s="7" t="s">
        <v>2293</v>
      </c>
      <c r="B1335" s="78" t="s">
        <v>528</v>
      </c>
      <c r="C1335" s="79" t="s">
        <v>43</v>
      </c>
      <c r="D1335" s="78"/>
      <c r="E1335" s="80"/>
      <c r="F1335" s="81"/>
      <c r="G1335" s="81">
        <v>540934000</v>
      </c>
    </row>
    <row r="1336" spans="1:7" x14ac:dyDescent="0.25">
      <c r="A1336" s="7" t="s">
        <v>2294</v>
      </c>
      <c r="B1336" s="89" t="s">
        <v>195</v>
      </c>
      <c r="C1336" s="90" t="s">
        <v>2295</v>
      </c>
      <c r="D1336" s="89">
        <v>1</v>
      </c>
      <c r="E1336" s="91" t="s">
        <v>42</v>
      </c>
      <c r="F1336" s="92">
        <v>540934000</v>
      </c>
      <c r="G1336" s="92">
        <v>540934000</v>
      </c>
    </row>
    <row r="1337" spans="1:7" x14ac:dyDescent="0.25">
      <c r="A1337" s="7" t="s">
        <v>2296</v>
      </c>
      <c r="B1337" s="89" t="s">
        <v>2297</v>
      </c>
      <c r="C1337" s="90" t="s">
        <v>2298</v>
      </c>
      <c r="D1337" s="89"/>
      <c r="E1337" s="91"/>
      <c r="F1337" s="92"/>
      <c r="G1337" s="92">
        <v>1000000000</v>
      </c>
    </row>
    <row r="1338" spans="1:7" ht="27.6" x14ac:dyDescent="0.25">
      <c r="A1338" s="7" t="s">
        <v>2299</v>
      </c>
      <c r="B1338" s="93" t="s">
        <v>1102</v>
      </c>
      <c r="C1338" s="94" t="s">
        <v>2300</v>
      </c>
      <c r="D1338" s="93"/>
      <c r="E1338" s="95"/>
      <c r="F1338" s="96"/>
      <c r="G1338" s="96">
        <v>1000000000</v>
      </c>
    </row>
    <row r="1339" spans="1:7" ht="27.6" x14ac:dyDescent="0.25">
      <c r="A1339" s="7" t="s">
        <v>2301</v>
      </c>
      <c r="B1339" s="97" t="s">
        <v>8</v>
      </c>
      <c r="C1339" s="98" t="s">
        <v>2300</v>
      </c>
      <c r="D1339" s="97"/>
      <c r="E1339" s="99"/>
      <c r="F1339" s="100"/>
      <c r="G1339" s="100">
        <v>1000000000</v>
      </c>
    </row>
    <row r="1340" spans="1:7" x14ac:dyDescent="0.25">
      <c r="A1340" s="7" t="s">
        <v>2302</v>
      </c>
      <c r="B1340" s="78" t="s">
        <v>529</v>
      </c>
      <c r="C1340" s="79" t="s">
        <v>45</v>
      </c>
      <c r="D1340" s="78"/>
      <c r="E1340" s="80"/>
      <c r="F1340" s="81"/>
      <c r="G1340" s="81">
        <v>1000000000</v>
      </c>
    </row>
    <row r="1341" spans="1:7" x14ac:dyDescent="0.25">
      <c r="A1341" s="7" t="s">
        <v>195</v>
      </c>
      <c r="B1341" s="89" t="s">
        <v>195</v>
      </c>
      <c r="C1341" s="90" t="s">
        <v>2303</v>
      </c>
      <c r="D1341" s="89">
        <v>0</v>
      </c>
      <c r="E1341" s="91" t="s">
        <v>195</v>
      </c>
      <c r="F1341" s="92">
        <v>0</v>
      </c>
      <c r="G1341" s="92">
        <v>0</v>
      </c>
    </row>
    <row r="1342" spans="1:7" x14ac:dyDescent="0.25">
      <c r="A1342" s="7" t="s">
        <v>2304</v>
      </c>
      <c r="B1342" s="89" t="s">
        <v>195</v>
      </c>
      <c r="C1342" s="90" t="s">
        <v>2305</v>
      </c>
      <c r="D1342" s="89">
        <v>2</v>
      </c>
      <c r="E1342" s="91" t="s">
        <v>106</v>
      </c>
      <c r="F1342" s="92">
        <v>100000000</v>
      </c>
      <c r="G1342" s="92">
        <v>200000000</v>
      </c>
    </row>
    <row r="1343" spans="1:7" x14ac:dyDescent="0.25">
      <c r="A1343" s="7" t="s">
        <v>2306</v>
      </c>
      <c r="B1343" s="89" t="s">
        <v>195</v>
      </c>
      <c r="C1343" s="90" t="s">
        <v>2307</v>
      </c>
      <c r="D1343" s="89">
        <v>2</v>
      </c>
      <c r="E1343" s="91" t="s">
        <v>106</v>
      </c>
      <c r="F1343" s="92">
        <v>200000000</v>
      </c>
      <c r="G1343" s="92">
        <v>400000000</v>
      </c>
    </row>
    <row r="1344" spans="1:7" x14ac:dyDescent="0.25">
      <c r="A1344" s="7" t="s">
        <v>2308</v>
      </c>
      <c r="B1344" s="89" t="s">
        <v>195</v>
      </c>
      <c r="C1344" s="90" t="s">
        <v>2309</v>
      </c>
      <c r="D1344" s="89">
        <v>2</v>
      </c>
      <c r="E1344" s="91" t="s">
        <v>106</v>
      </c>
      <c r="F1344" s="92">
        <v>200000000</v>
      </c>
      <c r="G1344" s="92">
        <v>400000000</v>
      </c>
    </row>
    <row r="1345" spans="1:7" x14ac:dyDescent="0.25">
      <c r="A1345" s="7" t="s">
        <v>2310</v>
      </c>
      <c r="B1345" s="101" t="s">
        <v>2311</v>
      </c>
      <c r="C1345" s="102" t="s">
        <v>2312</v>
      </c>
      <c r="D1345" s="101"/>
      <c r="E1345" s="103"/>
      <c r="F1345" s="104"/>
      <c r="G1345" s="104">
        <v>2400000000</v>
      </c>
    </row>
    <row r="1346" spans="1:7" x14ac:dyDescent="0.25">
      <c r="A1346" s="7" t="s">
        <v>2313</v>
      </c>
      <c r="B1346" s="89" t="s">
        <v>2314</v>
      </c>
      <c r="C1346" s="90" t="s">
        <v>2315</v>
      </c>
      <c r="D1346" s="89"/>
      <c r="E1346" s="91"/>
      <c r="F1346" s="92"/>
      <c r="G1346" s="92">
        <v>2400000000</v>
      </c>
    </row>
    <row r="1347" spans="1:7" ht="41.4" x14ac:dyDescent="0.25">
      <c r="A1347" s="7" t="s">
        <v>2316</v>
      </c>
      <c r="B1347" s="93" t="s">
        <v>826</v>
      </c>
      <c r="C1347" s="94" t="s">
        <v>2317</v>
      </c>
      <c r="D1347" s="93"/>
      <c r="E1347" s="95"/>
      <c r="F1347" s="96"/>
      <c r="G1347" s="96">
        <v>600000000</v>
      </c>
    </row>
    <row r="1348" spans="1:7" ht="41.4" x14ac:dyDescent="0.25">
      <c r="A1348" s="7" t="s">
        <v>2318</v>
      </c>
      <c r="B1348" s="97" t="s">
        <v>8</v>
      </c>
      <c r="C1348" s="98" t="s">
        <v>2319</v>
      </c>
      <c r="D1348" s="97"/>
      <c r="E1348" s="99"/>
      <c r="F1348" s="100"/>
      <c r="G1348" s="100">
        <v>600000000</v>
      </c>
    </row>
    <row r="1349" spans="1:7" x14ac:dyDescent="0.25">
      <c r="A1349" s="7" t="s">
        <v>2320</v>
      </c>
      <c r="B1349" s="78" t="s">
        <v>503</v>
      </c>
      <c r="C1349" s="79" t="s">
        <v>7</v>
      </c>
      <c r="D1349" s="78"/>
      <c r="E1349" s="80"/>
      <c r="F1349" s="81"/>
      <c r="G1349" s="81">
        <v>34200000</v>
      </c>
    </row>
    <row r="1350" spans="1:7" x14ac:dyDescent="0.25">
      <c r="A1350" s="7" t="s">
        <v>2321</v>
      </c>
      <c r="B1350" s="89" t="s">
        <v>195</v>
      </c>
      <c r="C1350" s="90" t="s">
        <v>2322</v>
      </c>
      <c r="D1350" s="89">
        <v>200</v>
      </c>
      <c r="E1350" s="91" t="s">
        <v>2323</v>
      </c>
      <c r="F1350" s="92">
        <v>121000</v>
      </c>
      <c r="G1350" s="92">
        <v>24200000</v>
      </c>
    </row>
    <row r="1351" spans="1:7" x14ac:dyDescent="0.25">
      <c r="A1351" s="7" t="s">
        <v>2324</v>
      </c>
      <c r="B1351" s="89" t="s">
        <v>195</v>
      </c>
      <c r="C1351" s="90" t="s">
        <v>1620</v>
      </c>
      <c r="D1351" s="89">
        <v>10</v>
      </c>
      <c r="E1351" s="91" t="s">
        <v>106</v>
      </c>
      <c r="F1351" s="92">
        <v>1000000</v>
      </c>
      <c r="G1351" s="92">
        <v>10000000</v>
      </c>
    </row>
    <row r="1352" spans="1:7" x14ac:dyDescent="0.25">
      <c r="A1352" s="7" t="s">
        <v>2325</v>
      </c>
      <c r="B1352" s="78" t="s">
        <v>522</v>
      </c>
      <c r="C1352" s="79" t="s">
        <v>30</v>
      </c>
      <c r="D1352" s="78"/>
      <c r="E1352" s="80"/>
      <c r="F1352" s="81"/>
      <c r="G1352" s="81">
        <v>3000000</v>
      </c>
    </row>
    <row r="1353" spans="1:7" x14ac:dyDescent="0.25">
      <c r="A1353" s="7" t="s">
        <v>2326</v>
      </c>
      <c r="B1353" s="89" t="s">
        <v>195</v>
      </c>
      <c r="C1353" s="90" t="s">
        <v>2327</v>
      </c>
      <c r="D1353" s="89">
        <v>5</v>
      </c>
      <c r="E1353" s="91" t="s">
        <v>25</v>
      </c>
      <c r="F1353" s="92">
        <v>300000</v>
      </c>
      <c r="G1353" s="92">
        <v>1500000</v>
      </c>
    </row>
    <row r="1354" spans="1:7" x14ac:dyDescent="0.25">
      <c r="A1354" s="7" t="s">
        <v>2328</v>
      </c>
      <c r="B1354" s="89" t="s">
        <v>195</v>
      </c>
      <c r="C1354" s="90" t="s">
        <v>2329</v>
      </c>
      <c r="D1354" s="89">
        <v>5</v>
      </c>
      <c r="E1354" s="91" t="s">
        <v>25</v>
      </c>
      <c r="F1354" s="92">
        <v>300000</v>
      </c>
      <c r="G1354" s="92">
        <v>1500000</v>
      </c>
    </row>
    <row r="1355" spans="1:7" x14ac:dyDescent="0.25">
      <c r="A1355" s="7" t="s">
        <v>2330</v>
      </c>
      <c r="B1355" s="78" t="s">
        <v>537</v>
      </c>
      <c r="C1355" s="79" t="s">
        <v>64</v>
      </c>
      <c r="D1355" s="78"/>
      <c r="E1355" s="80"/>
      <c r="F1355" s="81"/>
      <c r="G1355" s="81">
        <v>20000000</v>
      </c>
    </row>
    <row r="1356" spans="1:7" x14ac:dyDescent="0.25">
      <c r="A1356" s="7" t="s">
        <v>2331</v>
      </c>
      <c r="B1356" s="89" t="s">
        <v>195</v>
      </c>
      <c r="C1356" s="90" t="s">
        <v>620</v>
      </c>
      <c r="D1356" s="89">
        <v>10</v>
      </c>
      <c r="E1356" s="91" t="s">
        <v>106</v>
      </c>
      <c r="F1356" s="92">
        <v>1000000</v>
      </c>
      <c r="G1356" s="92">
        <v>10000000</v>
      </c>
    </row>
    <row r="1357" spans="1:7" x14ac:dyDescent="0.25">
      <c r="A1357" s="7" t="s">
        <v>2332</v>
      </c>
      <c r="B1357" s="89" t="s">
        <v>195</v>
      </c>
      <c r="C1357" s="90" t="s">
        <v>619</v>
      </c>
      <c r="D1357" s="89">
        <v>10</v>
      </c>
      <c r="E1357" s="91" t="s">
        <v>106</v>
      </c>
      <c r="F1357" s="92">
        <v>1000000</v>
      </c>
      <c r="G1357" s="92">
        <v>10000000</v>
      </c>
    </row>
    <row r="1358" spans="1:7" x14ac:dyDescent="0.25">
      <c r="A1358" s="7" t="s">
        <v>2333</v>
      </c>
      <c r="B1358" s="78" t="s">
        <v>516</v>
      </c>
      <c r="C1358" s="79" t="s">
        <v>11</v>
      </c>
      <c r="D1358" s="78"/>
      <c r="E1358" s="80"/>
      <c r="F1358" s="81"/>
      <c r="G1358" s="81">
        <v>42000000</v>
      </c>
    </row>
    <row r="1359" spans="1:7" x14ac:dyDescent="0.25">
      <c r="A1359" s="7" t="s">
        <v>2334</v>
      </c>
      <c r="B1359" s="89" t="s">
        <v>195</v>
      </c>
      <c r="C1359" s="90" t="s">
        <v>2335</v>
      </c>
      <c r="D1359" s="89">
        <v>24</v>
      </c>
      <c r="E1359" s="91" t="s">
        <v>54</v>
      </c>
      <c r="F1359" s="92">
        <v>1000000</v>
      </c>
      <c r="G1359" s="92">
        <v>24000000</v>
      </c>
    </row>
    <row r="1360" spans="1:7" x14ac:dyDescent="0.25">
      <c r="A1360" s="7" t="s">
        <v>2336</v>
      </c>
      <c r="B1360" s="89" t="s">
        <v>195</v>
      </c>
      <c r="C1360" s="90" t="s">
        <v>2337</v>
      </c>
      <c r="D1360" s="89">
        <v>20</v>
      </c>
      <c r="E1360" s="91" t="s">
        <v>54</v>
      </c>
      <c r="F1360" s="92">
        <v>900000</v>
      </c>
      <c r="G1360" s="92">
        <v>18000000</v>
      </c>
    </row>
    <row r="1361" spans="1:7" x14ac:dyDescent="0.25">
      <c r="A1361" s="7" t="s">
        <v>2338</v>
      </c>
      <c r="B1361" s="78" t="s">
        <v>517</v>
      </c>
      <c r="C1361" s="79" t="s">
        <v>22</v>
      </c>
      <c r="D1361" s="78"/>
      <c r="E1361" s="80"/>
      <c r="F1361" s="81"/>
      <c r="G1361" s="81">
        <v>80000000</v>
      </c>
    </row>
    <row r="1362" spans="1:7" x14ac:dyDescent="0.25">
      <c r="A1362" s="7" t="s">
        <v>2339</v>
      </c>
      <c r="B1362" s="89" t="s">
        <v>195</v>
      </c>
      <c r="C1362" s="90" t="s">
        <v>2340</v>
      </c>
      <c r="D1362" s="89">
        <v>10</v>
      </c>
      <c r="E1362" s="91" t="s">
        <v>25</v>
      </c>
      <c r="F1362" s="92">
        <v>4000000</v>
      </c>
      <c r="G1362" s="92">
        <v>40000000</v>
      </c>
    </row>
    <row r="1363" spans="1:7" x14ac:dyDescent="0.25">
      <c r="A1363" s="7" t="s">
        <v>2341</v>
      </c>
      <c r="B1363" s="89" t="s">
        <v>195</v>
      </c>
      <c r="C1363" s="90" t="s">
        <v>2342</v>
      </c>
      <c r="D1363" s="89">
        <v>10</v>
      </c>
      <c r="E1363" s="91" t="s">
        <v>25</v>
      </c>
      <c r="F1363" s="92">
        <v>4000000</v>
      </c>
      <c r="G1363" s="92">
        <v>40000000</v>
      </c>
    </row>
    <row r="1364" spans="1:7" x14ac:dyDescent="0.25">
      <c r="A1364" s="7" t="s">
        <v>2343</v>
      </c>
      <c r="B1364" s="78" t="s">
        <v>513</v>
      </c>
      <c r="C1364" s="79" t="s">
        <v>19</v>
      </c>
      <c r="D1364" s="78"/>
      <c r="E1364" s="80"/>
      <c r="F1364" s="81"/>
      <c r="G1364" s="81">
        <v>410000000</v>
      </c>
    </row>
    <row r="1365" spans="1:7" x14ac:dyDescent="0.25">
      <c r="A1365" s="7" t="s">
        <v>2344</v>
      </c>
      <c r="B1365" s="89" t="s">
        <v>195</v>
      </c>
      <c r="C1365" s="90" t="s">
        <v>2345</v>
      </c>
      <c r="D1365" s="89">
        <v>10</v>
      </c>
      <c r="E1365" s="91" t="s">
        <v>25</v>
      </c>
      <c r="F1365" s="92">
        <v>3000000</v>
      </c>
      <c r="G1365" s="92">
        <v>30000000</v>
      </c>
    </row>
    <row r="1366" spans="1:7" x14ac:dyDescent="0.25">
      <c r="A1366" s="7" t="s">
        <v>2346</v>
      </c>
      <c r="B1366" s="89" t="s">
        <v>195</v>
      </c>
      <c r="C1366" s="90" t="s">
        <v>2347</v>
      </c>
      <c r="D1366" s="89">
        <v>10</v>
      </c>
      <c r="E1366" s="91" t="s">
        <v>25</v>
      </c>
      <c r="F1366" s="92">
        <v>5000000</v>
      </c>
      <c r="G1366" s="92">
        <v>50000000</v>
      </c>
    </row>
    <row r="1367" spans="1:7" x14ac:dyDescent="0.25">
      <c r="A1367" s="7" t="s">
        <v>2348</v>
      </c>
      <c r="B1367" s="89" t="s">
        <v>195</v>
      </c>
      <c r="C1367" s="90" t="s">
        <v>2349</v>
      </c>
      <c r="D1367" s="89">
        <v>10</v>
      </c>
      <c r="E1367" s="91" t="s">
        <v>25</v>
      </c>
      <c r="F1367" s="92">
        <v>3000000</v>
      </c>
      <c r="G1367" s="92">
        <v>30000000</v>
      </c>
    </row>
    <row r="1368" spans="1:7" x14ac:dyDescent="0.25">
      <c r="A1368" s="7" t="s">
        <v>2350</v>
      </c>
      <c r="B1368" s="89" t="s">
        <v>195</v>
      </c>
      <c r="C1368" s="90" t="s">
        <v>2351</v>
      </c>
      <c r="D1368" s="89">
        <v>10</v>
      </c>
      <c r="E1368" s="91" t="s">
        <v>25</v>
      </c>
      <c r="F1368" s="92">
        <v>5000000</v>
      </c>
      <c r="G1368" s="92">
        <v>50000000</v>
      </c>
    </row>
    <row r="1369" spans="1:7" x14ac:dyDescent="0.25">
      <c r="A1369" s="7" t="s">
        <v>2352</v>
      </c>
      <c r="B1369" s="89" t="s">
        <v>195</v>
      </c>
      <c r="C1369" s="90" t="s">
        <v>2353</v>
      </c>
      <c r="D1369" s="89">
        <v>5</v>
      </c>
      <c r="E1369" s="91" t="s">
        <v>25</v>
      </c>
      <c r="F1369" s="92">
        <v>5000000</v>
      </c>
      <c r="G1369" s="92">
        <v>25000000</v>
      </c>
    </row>
    <row r="1370" spans="1:7" x14ac:dyDescent="0.25">
      <c r="A1370" s="7" t="s">
        <v>2354</v>
      </c>
      <c r="B1370" s="89" t="s">
        <v>195</v>
      </c>
      <c r="C1370" s="90" t="s">
        <v>2355</v>
      </c>
      <c r="D1370" s="89">
        <v>20</v>
      </c>
      <c r="E1370" s="91" t="s">
        <v>25</v>
      </c>
      <c r="F1370" s="92">
        <v>5000000</v>
      </c>
      <c r="G1370" s="92">
        <v>100000000</v>
      </c>
    </row>
    <row r="1371" spans="1:7" x14ac:dyDescent="0.25">
      <c r="A1371" s="7" t="s">
        <v>2356</v>
      </c>
      <c r="B1371" s="89" t="s">
        <v>195</v>
      </c>
      <c r="C1371" s="90" t="s">
        <v>2357</v>
      </c>
      <c r="D1371" s="89">
        <v>5</v>
      </c>
      <c r="E1371" s="91" t="s">
        <v>25</v>
      </c>
      <c r="F1371" s="92">
        <v>5000000</v>
      </c>
      <c r="G1371" s="92">
        <v>25000000</v>
      </c>
    </row>
    <row r="1372" spans="1:7" ht="27.6" x14ac:dyDescent="0.25">
      <c r="A1372" s="7" t="s">
        <v>2358</v>
      </c>
      <c r="B1372" s="89" t="s">
        <v>195</v>
      </c>
      <c r="C1372" s="90" t="s">
        <v>2359</v>
      </c>
      <c r="D1372" s="89">
        <v>5</v>
      </c>
      <c r="E1372" s="91" t="s">
        <v>25</v>
      </c>
      <c r="F1372" s="92">
        <v>5000000</v>
      </c>
      <c r="G1372" s="92">
        <v>25000000</v>
      </c>
    </row>
    <row r="1373" spans="1:7" x14ac:dyDescent="0.25">
      <c r="A1373" s="7" t="s">
        <v>2360</v>
      </c>
      <c r="B1373" s="89" t="s">
        <v>195</v>
      </c>
      <c r="C1373" s="90" t="s">
        <v>2361</v>
      </c>
      <c r="D1373" s="89">
        <v>5</v>
      </c>
      <c r="E1373" s="91" t="s">
        <v>25</v>
      </c>
      <c r="F1373" s="92">
        <v>5000000</v>
      </c>
      <c r="G1373" s="92">
        <v>25000000</v>
      </c>
    </row>
    <row r="1374" spans="1:7" x14ac:dyDescent="0.25">
      <c r="A1374" s="7" t="s">
        <v>2362</v>
      </c>
      <c r="B1374" s="89" t="s">
        <v>195</v>
      </c>
      <c r="C1374" s="90" t="s">
        <v>2363</v>
      </c>
      <c r="D1374" s="89">
        <v>10</v>
      </c>
      <c r="E1374" s="91" t="s">
        <v>25</v>
      </c>
      <c r="F1374" s="92">
        <v>5000000</v>
      </c>
      <c r="G1374" s="92">
        <v>50000000</v>
      </c>
    </row>
    <row r="1375" spans="1:7" x14ac:dyDescent="0.25">
      <c r="A1375" s="7" t="s">
        <v>2364</v>
      </c>
      <c r="B1375" s="78" t="s">
        <v>509</v>
      </c>
      <c r="C1375" s="79" t="s">
        <v>14</v>
      </c>
      <c r="D1375" s="78"/>
      <c r="E1375" s="80"/>
      <c r="F1375" s="81"/>
      <c r="G1375" s="81">
        <v>10800000</v>
      </c>
    </row>
    <row r="1376" spans="1:7" ht="27.6" x14ac:dyDescent="0.25">
      <c r="A1376" s="7" t="s">
        <v>2365</v>
      </c>
      <c r="B1376" s="89" t="s">
        <v>195</v>
      </c>
      <c r="C1376" s="90" t="s">
        <v>2366</v>
      </c>
      <c r="D1376" s="89">
        <v>30</v>
      </c>
      <c r="E1376" s="91" t="s">
        <v>25</v>
      </c>
      <c r="F1376" s="92">
        <v>210000</v>
      </c>
      <c r="G1376" s="92">
        <v>6300000</v>
      </c>
    </row>
    <row r="1377" spans="1:7" x14ac:dyDescent="0.25">
      <c r="A1377" s="7" t="s">
        <v>2367</v>
      </c>
      <c r="B1377" s="89" t="s">
        <v>195</v>
      </c>
      <c r="C1377" s="90" t="s">
        <v>630</v>
      </c>
      <c r="D1377" s="89">
        <v>30</v>
      </c>
      <c r="E1377" s="91" t="s">
        <v>25</v>
      </c>
      <c r="F1377" s="92">
        <v>150000</v>
      </c>
      <c r="G1377" s="92">
        <v>4500000</v>
      </c>
    </row>
    <row r="1378" spans="1:7" ht="27.6" x14ac:dyDescent="0.25">
      <c r="A1378" s="7" t="s">
        <v>2368</v>
      </c>
      <c r="B1378" s="93" t="s">
        <v>1102</v>
      </c>
      <c r="C1378" s="94" t="s">
        <v>2369</v>
      </c>
      <c r="D1378" s="93"/>
      <c r="E1378" s="95"/>
      <c r="F1378" s="96"/>
      <c r="G1378" s="96">
        <v>1200000000</v>
      </c>
    </row>
    <row r="1379" spans="1:7" ht="27.6" x14ac:dyDescent="0.25">
      <c r="A1379" s="7" t="s">
        <v>2370</v>
      </c>
      <c r="B1379" s="97" t="s">
        <v>8</v>
      </c>
      <c r="C1379" s="98" t="s">
        <v>156</v>
      </c>
      <c r="D1379" s="97"/>
      <c r="E1379" s="99"/>
      <c r="F1379" s="100"/>
      <c r="G1379" s="100">
        <v>1116000000</v>
      </c>
    </row>
    <row r="1380" spans="1:7" x14ac:dyDescent="0.25">
      <c r="A1380" s="7" t="s">
        <v>2371</v>
      </c>
      <c r="B1380" s="78" t="s">
        <v>503</v>
      </c>
      <c r="C1380" s="79" t="s">
        <v>7</v>
      </c>
      <c r="D1380" s="78"/>
      <c r="E1380" s="80"/>
      <c r="F1380" s="81"/>
      <c r="G1380" s="81">
        <v>48000000</v>
      </c>
    </row>
    <row r="1381" spans="1:7" x14ac:dyDescent="0.25">
      <c r="A1381" s="7" t="s">
        <v>2372</v>
      </c>
      <c r="B1381" s="89" t="s">
        <v>195</v>
      </c>
      <c r="C1381" s="90" t="s">
        <v>2373</v>
      </c>
      <c r="D1381" s="89">
        <v>20</v>
      </c>
      <c r="E1381" s="91" t="s">
        <v>106</v>
      </c>
      <c r="F1381" s="92">
        <v>1000000</v>
      </c>
      <c r="G1381" s="92">
        <v>20000000</v>
      </c>
    </row>
    <row r="1382" spans="1:7" x14ac:dyDescent="0.25">
      <c r="A1382" s="7" t="s">
        <v>2374</v>
      </c>
      <c r="B1382" s="89" t="s">
        <v>195</v>
      </c>
      <c r="C1382" s="90" t="s">
        <v>2375</v>
      </c>
      <c r="D1382" s="89">
        <v>100</v>
      </c>
      <c r="E1382" s="91" t="s">
        <v>2323</v>
      </c>
      <c r="F1382" s="92">
        <v>240000</v>
      </c>
      <c r="G1382" s="92">
        <v>24000000</v>
      </c>
    </row>
    <row r="1383" spans="1:7" x14ac:dyDescent="0.25">
      <c r="A1383" s="7" t="s">
        <v>2376</v>
      </c>
      <c r="B1383" s="89" t="s">
        <v>195</v>
      </c>
      <c r="C1383" s="90" t="s">
        <v>2377</v>
      </c>
      <c r="D1383" s="89">
        <v>4</v>
      </c>
      <c r="E1383" s="91" t="s">
        <v>106</v>
      </c>
      <c r="F1383" s="92">
        <v>1000000</v>
      </c>
      <c r="G1383" s="92">
        <v>4000000</v>
      </c>
    </row>
    <row r="1384" spans="1:7" ht="27.6" x14ac:dyDescent="0.25">
      <c r="A1384" s="7" t="s">
        <v>2378</v>
      </c>
      <c r="B1384" s="78" t="s">
        <v>515</v>
      </c>
      <c r="C1384" s="79" t="s">
        <v>642</v>
      </c>
      <c r="D1384" s="78"/>
      <c r="E1384" s="80"/>
      <c r="F1384" s="81"/>
      <c r="G1384" s="81">
        <v>18000000</v>
      </c>
    </row>
    <row r="1385" spans="1:7" ht="27.6" x14ac:dyDescent="0.25">
      <c r="A1385" s="7" t="s">
        <v>2379</v>
      </c>
      <c r="B1385" s="89" t="s">
        <v>195</v>
      </c>
      <c r="C1385" s="90" t="s">
        <v>2380</v>
      </c>
      <c r="D1385" s="89">
        <v>12</v>
      </c>
      <c r="E1385" s="91" t="s">
        <v>106</v>
      </c>
      <c r="F1385" s="92">
        <v>300000</v>
      </c>
      <c r="G1385" s="92">
        <v>3600000</v>
      </c>
    </row>
    <row r="1386" spans="1:7" ht="27.6" x14ac:dyDescent="0.25">
      <c r="A1386" s="7" t="s">
        <v>2381</v>
      </c>
      <c r="B1386" s="89" t="s">
        <v>195</v>
      </c>
      <c r="C1386" s="90" t="s">
        <v>2382</v>
      </c>
      <c r="D1386" s="89">
        <v>72</v>
      </c>
      <c r="E1386" s="91" t="s">
        <v>25</v>
      </c>
      <c r="F1386" s="92">
        <v>200000</v>
      </c>
      <c r="G1386" s="92">
        <v>14400000</v>
      </c>
    </row>
    <row r="1387" spans="1:7" x14ac:dyDescent="0.25">
      <c r="A1387" s="7" t="s">
        <v>2383</v>
      </c>
      <c r="B1387" s="78" t="s">
        <v>537</v>
      </c>
      <c r="C1387" s="79" t="s">
        <v>64</v>
      </c>
      <c r="D1387" s="78"/>
      <c r="E1387" s="80"/>
      <c r="F1387" s="81"/>
      <c r="G1387" s="81">
        <v>40000000</v>
      </c>
    </row>
    <row r="1388" spans="1:7" x14ac:dyDescent="0.25">
      <c r="A1388" s="7" t="s">
        <v>2384</v>
      </c>
      <c r="B1388" s="89" t="s">
        <v>195</v>
      </c>
      <c r="C1388" s="90" t="s">
        <v>619</v>
      </c>
      <c r="D1388" s="89">
        <v>20</v>
      </c>
      <c r="E1388" s="91" t="s">
        <v>106</v>
      </c>
      <c r="F1388" s="92">
        <v>1000000</v>
      </c>
      <c r="G1388" s="92">
        <v>20000000</v>
      </c>
    </row>
    <row r="1389" spans="1:7" x14ac:dyDescent="0.25">
      <c r="A1389" s="7" t="s">
        <v>2385</v>
      </c>
      <c r="B1389" s="89" t="s">
        <v>195</v>
      </c>
      <c r="C1389" s="90" t="s">
        <v>2386</v>
      </c>
      <c r="D1389" s="89">
        <v>20</v>
      </c>
      <c r="E1389" s="91" t="s">
        <v>106</v>
      </c>
      <c r="F1389" s="92">
        <v>1000000</v>
      </c>
      <c r="G1389" s="92">
        <v>20000000</v>
      </c>
    </row>
    <row r="1390" spans="1:7" x14ac:dyDescent="0.25">
      <c r="A1390" s="7" t="s">
        <v>2387</v>
      </c>
      <c r="B1390" s="78" t="s">
        <v>516</v>
      </c>
      <c r="C1390" s="79" t="s">
        <v>11</v>
      </c>
      <c r="D1390" s="78"/>
      <c r="E1390" s="80"/>
      <c r="F1390" s="81"/>
      <c r="G1390" s="81">
        <v>18000000</v>
      </c>
    </row>
    <row r="1391" spans="1:7" x14ac:dyDescent="0.25">
      <c r="A1391" s="7" t="s">
        <v>195</v>
      </c>
      <c r="B1391" s="89" t="s">
        <v>195</v>
      </c>
      <c r="C1391" s="90" t="s">
        <v>2388</v>
      </c>
      <c r="D1391" s="89">
        <v>0</v>
      </c>
      <c r="E1391" s="91" t="s">
        <v>195</v>
      </c>
      <c r="F1391" s="92">
        <v>0</v>
      </c>
      <c r="G1391" s="92">
        <v>0</v>
      </c>
    </row>
    <row r="1392" spans="1:7" x14ac:dyDescent="0.25">
      <c r="A1392" s="7" t="s">
        <v>2389</v>
      </c>
      <c r="B1392" s="89" t="s">
        <v>195</v>
      </c>
      <c r="C1392" s="90" t="s">
        <v>2390</v>
      </c>
      <c r="D1392" s="89">
        <v>20</v>
      </c>
      <c r="E1392" s="91" t="s">
        <v>54</v>
      </c>
      <c r="F1392" s="92">
        <v>900000</v>
      </c>
      <c r="G1392" s="92">
        <v>18000000</v>
      </c>
    </row>
    <row r="1393" spans="1:7" x14ac:dyDescent="0.25">
      <c r="A1393" s="7" t="s">
        <v>2391</v>
      </c>
      <c r="B1393" s="78" t="s">
        <v>518</v>
      </c>
      <c r="C1393" s="79" t="s">
        <v>24</v>
      </c>
      <c r="D1393" s="78"/>
      <c r="E1393" s="80"/>
      <c r="F1393" s="81"/>
      <c r="G1393" s="81">
        <v>24000000</v>
      </c>
    </row>
    <row r="1394" spans="1:7" x14ac:dyDescent="0.25">
      <c r="A1394" s="7" t="s">
        <v>2392</v>
      </c>
      <c r="B1394" s="89" t="s">
        <v>195</v>
      </c>
      <c r="C1394" s="90" t="s">
        <v>2393</v>
      </c>
      <c r="D1394" s="89">
        <v>96</v>
      </c>
      <c r="E1394" s="91" t="s">
        <v>25</v>
      </c>
      <c r="F1394" s="92">
        <v>250000</v>
      </c>
      <c r="G1394" s="92">
        <v>24000000</v>
      </c>
    </row>
    <row r="1395" spans="1:7" x14ac:dyDescent="0.25">
      <c r="A1395" s="7" t="s">
        <v>2394</v>
      </c>
      <c r="B1395" s="78" t="s">
        <v>513</v>
      </c>
      <c r="C1395" s="79" t="s">
        <v>19</v>
      </c>
      <c r="D1395" s="78"/>
      <c r="E1395" s="80"/>
      <c r="F1395" s="81"/>
      <c r="G1395" s="81">
        <v>957200000</v>
      </c>
    </row>
    <row r="1396" spans="1:7" x14ac:dyDescent="0.25">
      <c r="A1396" s="7" t="s">
        <v>195</v>
      </c>
      <c r="B1396" s="89" t="s">
        <v>195</v>
      </c>
      <c r="C1396" s="90" t="s">
        <v>2395</v>
      </c>
      <c r="D1396" s="89">
        <v>0</v>
      </c>
      <c r="E1396" s="91" t="s">
        <v>195</v>
      </c>
      <c r="F1396" s="92">
        <v>0</v>
      </c>
      <c r="G1396" s="92">
        <v>0</v>
      </c>
    </row>
    <row r="1397" spans="1:7" x14ac:dyDescent="0.25">
      <c r="A1397" s="7" t="s">
        <v>2396</v>
      </c>
      <c r="B1397" s="89" t="s">
        <v>195</v>
      </c>
      <c r="C1397" s="90" t="s">
        <v>2397</v>
      </c>
      <c r="D1397" s="89">
        <v>10</v>
      </c>
      <c r="E1397" s="91" t="s">
        <v>25</v>
      </c>
      <c r="F1397" s="92">
        <v>5000000</v>
      </c>
      <c r="G1397" s="92">
        <v>50000000</v>
      </c>
    </row>
    <row r="1398" spans="1:7" x14ac:dyDescent="0.25">
      <c r="A1398" s="7" t="s">
        <v>195</v>
      </c>
      <c r="B1398" s="89" t="s">
        <v>195</v>
      </c>
      <c r="C1398" s="90" t="s">
        <v>2388</v>
      </c>
      <c r="D1398" s="89">
        <v>0</v>
      </c>
      <c r="E1398" s="91" t="s">
        <v>195</v>
      </c>
      <c r="F1398" s="92">
        <v>0</v>
      </c>
      <c r="G1398" s="92">
        <v>0</v>
      </c>
    </row>
    <row r="1399" spans="1:7" ht="27.6" x14ac:dyDescent="0.25">
      <c r="A1399" s="7" t="s">
        <v>2398</v>
      </c>
      <c r="B1399" s="89" t="s">
        <v>195</v>
      </c>
      <c r="C1399" s="90" t="s">
        <v>2399</v>
      </c>
      <c r="D1399" s="89">
        <v>224</v>
      </c>
      <c r="E1399" s="91" t="s">
        <v>25</v>
      </c>
      <c r="F1399" s="92">
        <v>4050000</v>
      </c>
      <c r="G1399" s="92">
        <v>907200000</v>
      </c>
    </row>
    <row r="1400" spans="1:7" x14ac:dyDescent="0.25">
      <c r="A1400" s="7" t="s">
        <v>2400</v>
      </c>
      <c r="B1400" s="78" t="s">
        <v>509</v>
      </c>
      <c r="C1400" s="79" t="s">
        <v>14</v>
      </c>
      <c r="D1400" s="78"/>
      <c r="E1400" s="80"/>
      <c r="F1400" s="81"/>
      <c r="G1400" s="81">
        <v>10800000</v>
      </c>
    </row>
    <row r="1401" spans="1:7" x14ac:dyDescent="0.25">
      <c r="A1401" s="7" t="s">
        <v>195</v>
      </c>
      <c r="B1401" s="89" t="s">
        <v>195</v>
      </c>
      <c r="C1401" s="90" t="s">
        <v>2388</v>
      </c>
      <c r="D1401" s="89">
        <v>0</v>
      </c>
      <c r="E1401" s="91" t="s">
        <v>195</v>
      </c>
      <c r="F1401" s="92">
        <v>0</v>
      </c>
      <c r="G1401" s="92">
        <v>0</v>
      </c>
    </row>
    <row r="1402" spans="1:7" x14ac:dyDescent="0.25">
      <c r="A1402" s="7" t="s">
        <v>2401</v>
      </c>
      <c r="B1402" s="89" t="s">
        <v>195</v>
      </c>
      <c r="C1402" s="90" t="s">
        <v>2402</v>
      </c>
      <c r="D1402" s="89">
        <v>30</v>
      </c>
      <c r="E1402" s="91" t="s">
        <v>73</v>
      </c>
      <c r="F1402" s="92">
        <v>210000</v>
      </c>
      <c r="G1402" s="92">
        <v>6300000</v>
      </c>
    </row>
    <row r="1403" spans="1:7" x14ac:dyDescent="0.25">
      <c r="A1403" s="7" t="s">
        <v>2403</v>
      </c>
      <c r="B1403" s="89" t="s">
        <v>195</v>
      </c>
      <c r="C1403" s="90" t="s">
        <v>622</v>
      </c>
      <c r="D1403" s="89">
        <v>30</v>
      </c>
      <c r="E1403" s="91" t="s">
        <v>73</v>
      </c>
      <c r="F1403" s="92">
        <v>150000</v>
      </c>
      <c r="G1403" s="92">
        <v>4500000</v>
      </c>
    </row>
    <row r="1404" spans="1:7" ht="27.6" x14ac:dyDescent="0.25">
      <c r="A1404" s="7" t="s">
        <v>2404</v>
      </c>
      <c r="B1404" s="97" t="s">
        <v>511</v>
      </c>
      <c r="C1404" s="98" t="s">
        <v>157</v>
      </c>
      <c r="D1404" s="97"/>
      <c r="E1404" s="99"/>
      <c r="F1404" s="100"/>
      <c r="G1404" s="100">
        <v>84000000</v>
      </c>
    </row>
    <row r="1405" spans="1:7" x14ac:dyDescent="0.25">
      <c r="A1405" s="7" t="s">
        <v>2405</v>
      </c>
      <c r="B1405" s="78" t="s">
        <v>503</v>
      </c>
      <c r="C1405" s="79" t="s">
        <v>7</v>
      </c>
      <c r="D1405" s="78"/>
      <c r="E1405" s="80"/>
      <c r="F1405" s="81"/>
      <c r="G1405" s="81">
        <v>8000000</v>
      </c>
    </row>
    <row r="1406" spans="1:7" x14ac:dyDescent="0.25">
      <c r="A1406" s="7" t="s">
        <v>2406</v>
      </c>
      <c r="B1406" s="89" t="s">
        <v>195</v>
      </c>
      <c r="C1406" s="90" t="s">
        <v>1620</v>
      </c>
      <c r="D1406" s="89">
        <v>4</v>
      </c>
      <c r="E1406" s="91" t="s">
        <v>106</v>
      </c>
      <c r="F1406" s="92">
        <v>1000000</v>
      </c>
      <c r="G1406" s="92">
        <v>4000000</v>
      </c>
    </row>
    <row r="1407" spans="1:7" x14ac:dyDescent="0.25">
      <c r="A1407" s="7" t="s">
        <v>2407</v>
      </c>
      <c r="B1407" s="89" t="s">
        <v>195</v>
      </c>
      <c r="C1407" s="90" t="s">
        <v>2408</v>
      </c>
      <c r="D1407" s="89">
        <v>4</v>
      </c>
      <c r="E1407" s="91" t="s">
        <v>106</v>
      </c>
      <c r="F1407" s="92">
        <v>1000000</v>
      </c>
      <c r="G1407" s="92">
        <v>4000000</v>
      </c>
    </row>
    <row r="1408" spans="1:7" x14ac:dyDescent="0.25">
      <c r="A1408" s="7" t="s">
        <v>2409</v>
      </c>
      <c r="B1408" s="78" t="s">
        <v>537</v>
      </c>
      <c r="C1408" s="79" t="s">
        <v>64</v>
      </c>
      <c r="D1408" s="78"/>
      <c r="E1408" s="80"/>
      <c r="F1408" s="81"/>
      <c r="G1408" s="81">
        <v>16000000</v>
      </c>
    </row>
    <row r="1409" spans="1:7" x14ac:dyDescent="0.25">
      <c r="A1409" s="7" t="s">
        <v>2410</v>
      </c>
      <c r="B1409" s="89" t="s">
        <v>195</v>
      </c>
      <c r="C1409" s="90" t="s">
        <v>619</v>
      </c>
      <c r="D1409" s="89">
        <v>8</v>
      </c>
      <c r="E1409" s="91" t="s">
        <v>106</v>
      </c>
      <c r="F1409" s="92">
        <v>1000000</v>
      </c>
      <c r="G1409" s="92">
        <v>8000000</v>
      </c>
    </row>
    <row r="1410" spans="1:7" x14ac:dyDescent="0.25">
      <c r="A1410" s="7" t="s">
        <v>2411</v>
      </c>
      <c r="B1410" s="89" t="s">
        <v>195</v>
      </c>
      <c r="C1410" s="90" t="s">
        <v>1197</v>
      </c>
      <c r="D1410" s="89">
        <v>8</v>
      </c>
      <c r="E1410" s="91" t="s">
        <v>106</v>
      </c>
      <c r="F1410" s="92">
        <v>1000000</v>
      </c>
      <c r="G1410" s="92">
        <v>8000000</v>
      </c>
    </row>
    <row r="1411" spans="1:7" x14ac:dyDescent="0.25">
      <c r="A1411" s="7" t="s">
        <v>2412</v>
      </c>
      <c r="B1411" s="78" t="s">
        <v>513</v>
      </c>
      <c r="C1411" s="79" t="s">
        <v>19</v>
      </c>
      <c r="D1411" s="78"/>
      <c r="E1411" s="80"/>
      <c r="F1411" s="81"/>
      <c r="G1411" s="81">
        <v>60000000</v>
      </c>
    </row>
    <row r="1412" spans="1:7" x14ac:dyDescent="0.25">
      <c r="A1412" s="7" t="s">
        <v>2413</v>
      </c>
      <c r="B1412" s="89" t="s">
        <v>195</v>
      </c>
      <c r="C1412" s="90" t="s">
        <v>2414</v>
      </c>
      <c r="D1412" s="89">
        <v>12</v>
      </c>
      <c r="E1412" s="91" t="s">
        <v>25</v>
      </c>
      <c r="F1412" s="92">
        <v>5000000</v>
      </c>
      <c r="G1412" s="92">
        <v>60000000</v>
      </c>
    </row>
    <row r="1413" spans="1:7" ht="27.6" x14ac:dyDescent="0.25">
      <c r="A1413" s="7" t="s">
        <v>2415</v>
      </c>
      <c r="B1413" s="93" t="s">
        <v>1119</v>
      </c>
      <c r="C1413" s="94" t="s">
        <v>2416</v>
      </c>
      <c r="D1413" s="93"/>
      <c r="E1413" s="95"/>
      <c r="F1413" s="96"/>
      <c r="G1413" s="96">
        <v>600000000</v>
      </c>
    </row>
    <row r="1414" spans="1:7" x14ac:dyDescent="0.25">
      <c r="A1414" s="7" t="s">
        <v>2417</v>
      </c>
      <c r="B1414" s="97" t="s">
        <v>8</v>
      </c>
      <c r="C1414" s="98" t="s">
        <v>2418</v>
      </c>
      <c r="D1414" s="97"/>
      <c r="E1414" s="99"/>
      <c r="F1414" s="100"/>
      <c r="G1414" s="100">
        <v>284000000</v>
      </c>
    </row>
    <row r="1415" spans="1:7" x14ac:dyDescent="0.25">
      <c r="A1415" s="7" t="s">
        <v>2419</v>
      </c>
      <c r="B1415" s="78" t="s">
        <v>503</v>
      </c>
      <c r="C1415" s="79" t="s">
        <v>7</v>
      </c>
      <c r="D1415" s="78"/>
      <c r="E1415" s="80"/>
      <c r="F1415" s="81"/>
      <c r="G1415" s="81">
        <v>10000000</v>
      </c>
    </row>
    <row r="1416" spans="1:7" x14ac:dyDescent="0.25">
      <c r="A1416" s="7" t="s">
        <v>2420</v>
      </c>
      <c r="B1416" s="89" t="s">
        <v>195</v>
      </c>
      <c r="C1416" s="90" t="s">
        <v>2421</v>
      </c>
      <c r="D1416" s="89">
        <v>10</v>
      </c>
      <c r="E1416" s="91" t="s">
        <v>106</v>
      </c>
      <c r="F1416" s="92">
        <v>1000000</v>
      </c>
      <c r="G1416" s="92">
        <v>10000000</v>
      </c>
    </row>
    <row r="1417" spans="1:7" x14ac:dyDescent="0.25">
      <c r="A1417" s="7" t="s">
        <v>2422</v>
      </c>
      <c r="B1417" s="78" t="s">
        <v>537</v>
      </c>
      <c r="C1417" s="79" t="s">
        <v>64</v>
      </c>
      <c r="D1417" s="78"/>
      <c r="E1417" s="80"/>
      <c r="F1417" s="81"/>
      <c r="G1417" s="81">
        <v>20000000</v>
      </c>
    </row>
    <row r="1418" spans="1:7" x14ac:dyDescent="0.25">
      <c r="A1418" s="7" t="s">
        <v>2423</v>
      </c>
      <c r="B1418" s="89" t="s">
        <v>195</v>
      </c>
      <c r="C1418" s="90" t="s">
        <v>619</v>
      </c>
      <c r="D1418" s="89">
        <v>10</v>
      </c>
      <c r="E1418" s="91" t="s">
        <v>106</v>
      </c>
      <c r="F1418" s="92">
        <v>1000000</v>
      </c>
      <c r="G1418" s="92">
        <v>10000000</v>
      </c>
    </row>
    <row r="1419" spans="1:7" x14ac:dyDescent="0.25">
      <c r="A1419" s="7" t="s">
        <v>2424</v>
      </c>
      <c r="B1419" s="89" t="s">
        <v>195</v>
      </c>
      <c r="C1419" s="90" t="s">
        <v>620</v>
      </c>
      <c r="D1419" s="89">
        <v>10</v>
      </c>
      <c r="E1419" s="91" t="s">
        <v>106</v>
      </c>
      <c r="F1419" s="92">
        <v>1000000</v>
      </c>
      <c r="G1419" s="92">
        <v>10000000</v>
      </c>
    </row>
    <row r="1420" spans="1:7" x14ac:dyDescent="0.25">
      <c r="A1420" s="7" t="s">
        <v>2425</v>
      </c>
      <c r="B1420" s="78" t="s">
        <v>516</v>
      </c>
      <c r="C1420" s="79" t="s">
        <v>11</v>
      </c>
      <c r="D1420" s="78"/>
      <c r="E1420" s="80"/>
      <c r="F1420" s="81"/>
      <c r="G1420" s="81">
        <v>30000000</v>
      </c>
    </row>
    <row r="1421" spans="1:7" x14ac:dyDescent="0.25">
      <c r="A1421" s="7" t="s">
        <v>2426</v>
      </c>
      <c r="B1421" s="89" t="s">
        <v>195</v>
      </c>
      <c r="C1421" s="90" t="s">
        <v>2427</v>
      </c>
      <c r="D1421" s="89">
        <v>75</v>
      </c>
      <c r="E1421" s="91" t="s">
        <v>25</v>
      </c>
      <c r="F1421" s="92">
        <v>400000</v>
      </c>
      <c r="G1421" s="92">
        <v>30000000</v>
      </c>
    </row>
    <row r="1422" spans="1:7" x14ac:dyDescent="0.25">
      <c r="A1422" s="7" t="s">
        <v>2428</v>
      </c>
      <c r="B1422" s="78" t="s">
        <v>517</v>
      </c>
      <c r="C1422" s="79" t="s">
        <v>22</v>
      </c>
      <c r="D1422" s="78"/>
      <c r="E1422" s="80"/>
      <c r="F1422" s="81"/>
      <c r="G1422" s="81">
        <v>40000000</v>
      </c>
    </row>
    <row r="1423" spans="1:7" ht="27.6" x14ac:dyDescent="0.25">
      <c r="A1423" s="7" t="s">
        <v>2429</v>
      </c>
      <c r="B1423" s="89" t="s">
        <v>195</v>
      </c>
      <c r="C1423" s="90" t="s">
        <v>2430</v>
      </c>
      <c r="D1423" s="89">
        <v>10</v>
      </c>
      <c r="E1423" s="91" t="s">
        <v>106</v>
      </c>
      <c r="F1423" s="92">
        <v>4000000</v>
      </c>
      <c r="G1423" s="92">
        <v>40000000</v>
      </c>
    </row>
    <row r="1424" spans="1:7" x14ac:dyDescent="0.25">
      <c r="A1424" s="7" t="s">
        <v>2431</v>
      </c>
      <c r="B1424" s="78" t="s">
        <v>513</v>
      </c>
      <c r="C1424" s="79" t="s">
        <v>19</v>
      </c>
      <c r="D1424" s="78"/>
      <c r="E1424" s="80"/>
      <c r="F1424" s="81"/>
      <c r="G1424" s="81">
        <v>175000000</v>
      </c>
    </row>
    <row r="1425" spans="1:7" x14ac:dyDescent="0.25">
      <c r="A1425" s="7" t="s">
        <v>2432</v>
      </c>
      <c r="B1425" s="89" t="s">
        <v>195</v>
      </c>
      <c r="C1425" s="90" t="s">
        <v>2433</v>
      </c>
      <c r="D1425" s="89">
        <v>10</v>
      </c>
      <c r="E1425" s="91" t="s">
        <v>25</v>
      </c>
      <c r="F1425" s="92">
        <v>5000000</v>
      </c>
      <c r="G1425" s="92">
        <v>50000000</v>
      </c>
    </row>
    <row r="1426" spans="1:7" ht="27.6" x14ac:dyDescent="0.25">
      <c r="A1426" s="7" t="s">
        <v>2434</v>
      </c>
      <c r="B1426" s="89" t="s">
        <v>195</v>
      </c>
      <c r="C1426" s="90" t="s">
        <v>2435</v>
      </c>
      <c r="D1426" s="89">
        <v>10</v>
      </c>
      <c r="E1426" s="91" t="s">
        <v>25</v>
      </c>
      <c r="F1426" s="92">
        <v>5000000</v>
      </c>
      <c r="G1426" s="92">
        <v>50000000</v>
      </c>
    </row>
    <row r="1427" spans="1:7" x14ac:dyDescent="0.25">
      <c r="A1427" s="7" t="s">
        <v>2436</v>
      </c>
      <c r="B1427" s="89" t="s">
        <v>195</v>
      </c>
      <c r="C1427" s="90" t="s">
        <v>2437</v>
      </c>
      <c r="D1427" s="89">
        <v>15</v>
      </c>
      <c r="E1427" s="91" t="s">
        <v>25</v>
      </c>
      <c r="F1427" s="92">
        <v>5000000</v>
      </c>
      <c r="G1427" s="92">
        <v>75000000</v>
      </c>
    </row>
    <row r="1428" spans="1:7" x14ac:dyDescent="0.25">
      <c r="A1428" s="7" t="s">
        <v>2438</v>
      </c>
      <c r="B1428" s="78" t="s">
        <v>509</v>
      </c>
      <c r="C1428" s="79" t="s">
        <v>14</v>
      </c>
      <c r="D1428" s="78"/>
      <c r="E1428" s="80"/>
      <c r="F1428" s="81"/>
      <c r="G1428" s="81">
        <v>9000000</v>
      </c>
    </row>
    <row r="1429" spans="1:7" ht="27.6" x14ac:dyDescent="0.25">
      <c r="A1429" s="7" t="s">
        <v>2439</v>
      </c>
      <c r="B1429" s="89" t="s">
        <v>195</v>
      </c>
      <c r="C1429" s="90" t="s">
        <v>2440</v>
      </c>
      <c r="D1429" s="89">
        <v>25</v>
      </c>
      <c r="E1429" s="91" t="s">
        <v>25</v>
      </c>
      <c r="F1429" s="92">
        <v>210000</v>
      </c>
      <c r="G1429" s="92">
        <v>5250000</v>
      </c>
    </row>
    <row r="1430" spans="1:7" x14ac:dyDescent="0.25">
      <c r="A1430" s="7" t="s">
        <v>2441</v>
      </c>
      <c r="B1430" s="89" t="s">
        <v>195</v>
      </c>
      <c r="C1430" s="90" t="s">
        <v>630</v>
      </c>
      <c r="D1430" s="89">
        <v>25</v>
      </c>
      <c r="E1430" s="91" t="s">
        <v>25</v>
      </c>
      <c r="F1430" s="92">
        <v>150000</v>
      </c>
      <c r="G1430" s="92">
        <v>3750000</v>
      </c>
    </row>
    <row r="1431" spans="1:7" x14ac:dyDescent="0.25">
      <c r="A1431" s="7" t="s">
        <v>2442</v>
      </c>
      <c r="B1431" s="97" t="s">
        <v>511</v>
      </c>
      <c r="C1431" s="98" t="s">
        <v>2443</v>
      </c>
      <c r="D1431" s="97"/>
      <c r="E1431" s="99"/>
      <c r="F1431" s="100"/>
      <c r="G1431" s="100">
        <v>316000000</v>
      </c>
    </row>
    <row r="1432" spans="1:7" x14ac:dyDescent="0.25">
      <c r="A1432" s="7" t="s">
        <v>2444</v>
      </c>
      <c r="B1432" s="78" t="s">
        <v>503</v>
      </c>
      <c r="C1432" s="79" t="s">
        <v>7</v>
      </c>
      <c r="D1432" s="78"/>
      <c r="E1432" s="80"/>
      <c r="F1432" s="81"/>
      <c r="G1432" s="81">
        <v>10000000</v>
      </c>
    </row>
    <row r="1433" spans="1:7" x14ac:dyDescent="0.25">
      <c r="A1433" s="7" t="s">
        <v>2445</v>
      </c>
      <c r="B1433" s="89" t="s">
        <v>195</v>
      </c>
      <c r="C1433" s="90" t="s">
        <v>1620</v>
      </c>
      <c r="D1433" s="89">
        <v>10</v>
      </c>
      <c r="E1433" s="91" t="s">
        <v>106</v>
      </c>
      <c r="F1433" s="92">
        <v>1000000</v>
      </c>
      <c r="G1433" s="92">
        <v>10000000</v>
      </c>
    </row>
    <row r="1434" spans="1:7" ht="27.6" x14ac:dyDescent="0.25">
      <c r="A1434" s="7" t="s">
        <v>2446</v>
      </c>
      <c r="B1434" s="78" t="s">
        <v>515</v>
      </c>
      <c r="C1434" s="79" t="s">
        <v>642</v>
      </c>
      <c r="D1434" s="78"/>
      <c r="E1434" s="80"/>
      <c r="F1434" s="81"/>
      <c r="G1434" s="81">
        <v>20400000</v>
      </c>
    </row>
    <row r="1435" spans="1:7" ht="27.6" x14ac:dyDescent="0.25">
      <c r="A1435" s="7" t="s">
        <v>2447</v>
      </c>
      <c r="B1435" s="89" t="s">
        <v>195</v>
      </c>
      <c r="C1435" s="90" t="s">
        <v>2448</v>
      </c>
      <c r="D1435" s="89">
        <v>84</v>
      </c>
      <c r="E1435" s="91" t="s">
        <v>32</v>
      </c>
      <c r="F1435" s="92">
        <v>200000</v>
      </c>
      <c r="G1435" s="92">
        <v>16800000</v>
      </c>
    </row>
    <row r="1436" spans="1:7" ht="27.6" x14ac:dyDescent="0.25">
      <c r="A1436" s="7" t="s">
        <v>2449</v>
      </c>
      <c r="B1436" s="89" t="s">
        <v>195</v>
      </c>
      <c r="C1436" s="90" t="s">
        <v>891</v>
      </c>
      <c r="D1436" s="89">
        <v>12</v>
      </c>
      <c r="E1436" s="91" t="s">
        <v>78</v>
      </c>
      <c r="F1436" s="92">
        <v>300000</v>
      </c>
      <c r="G1436" s="92">
        <v>3600000</v>
      </c>
    </row>
    <row r="1437" spans="1:7" x14ac:dyDescent="0.25">
      <c r="A1437" s="7" t="s">
        <v>2450</v>
      </c>
      <c r="B1437" s="78" t="s">
        <v>537</v>
      </c>
      <c r="C1437" s="79" t="s">
        <v>64</v>
      </c>
      <c r="D1437" s="78"/>
      <c r="E1437" s="80"/>
      <c r="F1437" s="81"/>
      <c r="G1437" s="81">
        <v>20000000</v>
      </c>
    </row>
    <row r="1438" spans="1:7" x14ac:dyDescent="0.25">
      <c r="A1438" s="7" t="s">
        <v>2451</v>
      </c>
      <c r="B1438" s="89" t="s">
        <v>195</v>
      </c>
      <c r="C1438" s="90" t="s">
        <v>619</v>
      </c>
      <c r="D1438" s="89">
        <v>10</v>
      </c>
      <c r="E1438" s="91" t="s">
        <v>106</v>
      </c>
      <c r="F1438" s="92">
        <v>1000000</v>
      </c>
      <c r="G1438" s="92">
        <v>10000000</v>
      </c>
    </row>
    <row r="1439" spans="1:7" x14ac:dyDescent="0.25">
      <c r="A1439" s="7" t="s">
        <v>2452</v>
      </c>
      <c r="B1439" s="89" t="s">
        <v>195</v>
      </c>
      <c r="C1439" s="90" t="s">
        <v>620</v>
      </c>
      <c r="D1439" s="89">
        <v>10</v>
      </c>
      <c r="E1439" s="91" t="s">
        <v>106</v>
      </c>
      <c r="F1439" s="92">
        <v>1000000</v>
      </c>
      <c r="G1439" s="92">
        <v>10000000</v>
      </c>
    </row>
    <row r="1440" spans="1:7" x14ac:dyDescent="0.25">
      <c r="A1440" s="7" t="s">
        <v>2453</v>
      </c>
      <c r="B1440" s="78" t="s">
        <v>518</v>
      </c>
      <c r="C1440" s="79" t="s">
        <v>24</v>
      </c>
      <c r="D1440" s="78"/>
      <c r="E1440" s="80"/>
      <c r="F1440" s="81"/>
      <c r="G1440" s="81">
        <v>20000000</v>
      </c>
    </row>
    <row r="1441" spans="1:7" x14ac:dyDescent="0.25">
      <c r="A1441" s="7" t="s">
        <v>2454</v>
      </c>
      <c r="B1441" s="89" t="s">
        <v>195</v>
      </c>
      <c r="C1441" s="90" t="s">
        <v>2455</v>
      </c>
      <c r="D1441" s="89">
        <v>100</v>
      </c>
      <c r="E1441" s="91" t="s">
        <v>25</v>
      </c>
      <c r="F1441" s="92">
        <v>200000</v>
      </c>
      <c r="G1441" s="92">
        <v>20000000</v>
      </c>
    </row>
    <row r="1442" spans="1:7" x14ac:dyDescent="0.25">
      <c r="A1442" s="7" t="s">
        <v>2456</v>
      </c>
      <c r="B1442" s="78" t="s">
        <v>513</v>
      </c>
      <c r="C1442" s="79" t="s">
        <v>19</v>
      </c>
      <c r="D1442" s="78"/>
      <c r="E1442" s="80"/>
      <c r="F1442" s="81"/>
      <c r="G1442" s="81">
        <v>50000000</v>
      </c>
    </row>
    <row r="1443" spans="1:7" x14ac:dyDescent="0.25">
      <c r="A1443" s="7" t="s">
        <v>2457</v>
      </c>
      <c r="B1443" s="89" t="s">
        <v>195</v>
      </c>
      <c r="C1443" s="90" t="s">
        <v>2458</v>
      </c>
      <c r="D1443" s="89">
        <v>10</v>
      </c>
      <c r="E1443" s="91" t="s">
        <v>25</v>
      </c>
      <c r="F1443" s="92">
        <v>5000000</v>
      </c>
      <c r="G1443" s="92">
        <v>50000000</v>
      </c>
    </row>
    <row r="1444" spans="1:7" x14ac:dyDescent="0.25">
      <c r="A1444" s="7" t="s">
        <v>2459</v>
      </c>
      <c r="B1444" s="78" t="s">
        <v>509</v>
      </c>
      <c r="C1444" s="79" t="s">
        <v>14</v>
      </c>
      <c r="D1444" s="78"/>
      <c r="E1444" s="80"/>
      <c r="F1444" s="81"/>
      <c r="G1444" s="81">
        <v>195600000</v>
      </c>
    </row>
    <row r="1445" spans="1:7" x14ac:dyDescent="0.25">
      <c r="A1445" s="7" t="s">
        <v>2460</v>
      </c>
      <c r="B1445" s="89" t="s">
        <v>195</v>
      </c>
      <c r="C1445" s="90" t="s">
        <v>1313</v>
      </c>
      <c r="D1445" s="89">
        <v>20</v>
      </c>
      <c r="E1445" s="91" t="s">
        <v>25</v>
      </c>
      <c r="F1445" s="92">
        <v>210000</v>
      </c>
      <c r="G1445" s="92">
        <v>4200000</v>
      </c>
    </row>
    <row r="1446" spans="1:7" x14ac:dyDescent="0.25">
      <c r="A1446" s="7" t="s">
        <v>2461</v>
      </c>
      <c r="B1446" s="89" t="s">
        <v>195</v>
      </c>
      <c r="C1446" s="90" t="s">
        <v>2462</v>
      </c>
      <c r="D1446" s="89">
        <v>20</v>
      </c>
      <c r="E1446" s="91" t="s">
        <v>25</v>
      </c>
      <c r="F1446" s="92">
        <v>150000</v>
      </c>
      <c r="G1446" s="92">
        <v>3000000</v>
      </c>
    </row>
    <row r="1447" spans="1:7" ht="27.6" x14ac:dyDescent="0.25">
      <c r="A1447" s="7" t="s">
        <v>2463</v>
      </c>
      <c r="B1447" s="89" t="s">
        <v>195</v>
      </c>
      <c r="C1447" s="90" t="s">
        <v>2464</v>
      </c>
      <c r="D1447" s="89">
        <v>1256</v>
      </c>
      <c r="E1447" s="91" t="s">
        <v>25</v>
      </c>
      <c r="F1447" s="92">
        <v>150000</v>
      </c>
      <c r="G1447" s="92">
        <v>188400000</v>
      </c>
    </row>
    <row r="1448" spans="1:7" x14ac:dyDescent="0.25">
      <c r="A1448" s="7" t="s">
        <v>2465</v>
      </c>
      <c r="B1448" s="101" t="s">
        <v>2466</v>
      </c>
      <c r="C1448" s="102" t="s">
        <v>2467</v>
      </c>
      <c r="D1448" s="101"/>
      <c r="E1448" s="103"/>
      <c r="F1448" s="104"/>
      <c r="G1448" s="104">
        <v>13542209000</v>
      </c>
    </row>
    <row r="1449" spans="1:7" x14ac:dyDescent="0.25">
      <c r="A1449" s="7" t="s">
        <v>2468</v>
      </c>
      <c r="B1449" s="89" t="s">
        <v>2469</v>
      </c>
      <c r="C1449" s="90" t="s">
        <v>2470</v>
      </c>
      <c r="D1449" s="89"/>
      <c r="E1449" s="91"/>
      <c r="F1449" s="92"/>
      <c r="G1449" s="92">
        <v>4063138000</v>
      </c>
    </row>
    <row r="1450" spans="1:7" ht="27.6" x14ac:dyDescent="0.25">
      <c r="A1450" s="7" t="s">
        <v>2471</v>
      </c>
      <c r="B1450" s="93" t="s">
        <v>826</v>
      </c>
      <c r="C1450" s="94" t="s">
        <v>2472</v>
      </c>
      <c r="D1450" s="93"/>
      <c r="E1450" s="95"/>
      <c r="F1450" s="96"/>
      <c r="G1450" s="96">
        <v>2000000000</v>
      </c>
    </row>
    <row r="1451" spans="1:7" x14ac:dyDescent="0.25">
      <c r="A1451" s="7" t="s">
        <v>2473</v>
      </c>
      <c r="B1451" s="97" t="s">
        <v>8</v>
      </c>
      <c r="C1451" s="98" t="s">
        <v>122</v>
      </c>
      <c r="D1451" s="97"/>
      <c r="E1451" s="99"/>
      <c r="F1451" s="100"/>
      <c r="G1451" s="100">
        <v>145000000</v>
      </c>
    </row>
    <row r="1452" spans="1:7" x14ac:dyDescent="0.25">
      <c r="A1452" s="7" t="s">
        <v>2474</v>
      </c>
      <c r="B1452" s="78" t="s">
        <v>503</v>
      </c>
      <c r="C1452" s="79" t="s">
        <v>7</v>
      </c>
      <c r="D1452" s="78"/>
      <c r="E1452" s="80"/>
      <c r="F1452" s="81"/>
      <c r="G1452" s="81">
        <v>6300000</v>
      </c>
    </row>
    <row r="1453" spans="1:7" x14ac:dyDescent="0.25">
      <c r="A1453" s="7" t="s">
        <v>195</v>
      </c>
      <c r="B1453" s="89" t="s">
        <v>195</v>
      </c>
      <c r="C1453" s="90" t="s">
        <v>2475</v>
      </c>
      <c r="D1453" s="89">
        <v>0</v>
      </c>
      <c r="E1453" s="91" t="s">
        <v>195</v>
      </c>
      <c r="F1453" s="92">
        <v>0</v>
      </c>
      <c r="G1453" s="92">
        <v>0</v>
      </c>
    </row>
    <row r="1454" spans="1:7" x14ac:dyDescent="0.25">
      <c r="A1454" s="7" t="s">
        <v>2476</v>
      </c>
      <c r="B1454" s="89" t="s">
        <v>195</v>
      </c>
      <c r="C1454" s="90" t="s">
        <v>2477</v>
      </c>
      <c r="D1454" s="89">
        <v>7</v>
      </c>
      <c r="E1454" s="91" t="s">
        <v>180</v>
      </c>
      <c r="F1454" s="92">
        <v>200000</v>
      </c>
      <c r="G1454" s="92">
        <v>1400000</v>
      </c>
    </row>
    <row r="1455" spans="1:7" x14ac:dyDescent="0.25">
      <c r="A1455" s="7" t="s">
        <v>2478</v>
      </c>
      <c r="B1455" s="89" t="s">
        <v>195</v>
      </c>
      <c r="C1455" s="90" t="s">
        <v>2479</v>
      </c>
      <c r="D1455" s="89">
        <v>7</v>
      </c>
      <c r="E1455" s="91" t="s">
        <v>180</v>
      </c>
      <c r="F1455" s="92">
        <v>200000</v>
      </c>
      <c r="G1455" s="92">
        <v>1400000</v>
      </c>
    </row>
    <row r="1456" spans="1:7" x14ac:dyDescent="0.25">
      <c r="A1456" s="7" t="s">
        <v>2480</v>
      </c>
      <c r="B1456" s="89" t="s">
        <v>195</v>
      </c>
      <c r="C1456" s="90" t="s">
        <v>2481</v>
      </c>
      <c r="D1456" s="89">
        <v>7</v>
      </c>
      <c r="E1456" s="91" t="s">
        <v>106</v>
      </c>
      <c r="F1456" s="92">
        <v>500000</v>
      </c>
      <c r="G1456" s="92">
        <v>3500000</v>
      </c>
    </row>
    <row r="1457" spans="1:7" x14ac:dyDescent="0.25">
      <c r="A1457" s="7" t="s">
        <v>2482</v>
      </c>
      <c r="B1457" s="78" t="s">
        <v>537</v>
      </c>
      <c r="C1457" s="79" t="s">
        <v>64</v>
      </c>
      <c r="D1457" s="78"/>
      <c r="E1457" s="80"/>
      <c r="F1457" s="81"/>
      <c r="G1457" s="81">
        <v>7990000</v>
      </c>
    </row>
    <row r="1458" spans="1:7" x14ac:dyDescent="0.25">
      <c r="A1458" s="7" t="s">
        <v>2483</v>
      </c>
      <c r="B1458" s="89" t="s">
        <v>195</v>
      </c>
      <c r="C1458" s="90" t="s">
        <v>619</v>
      </c>
      <c r="D1458" s="89">
        <v>4</v>
      </c>
      <c r="E1458" s="91" t="s">
        <v>106</v>
      </c>
      <c r="F1458" s="92">
        <v>1000000</v>
      </c>
      <c r="G1458" s="92">
        <v>4000000</v>
      </c>
    </row>
    <row r="1459" spans="1:7" x14ac:dyDescent="0.25">
      <c r="A1459" s="7" t="s">
        <v>2484</v>
      </c>
      <c r="B1459" s="89" t="s">
        <v>195</v>
      </c>
      <c r="C1459" s="90" t="s">
        <v>620</v>
      </c>
      <c r="D1459" s="89">
        <v>4</v>
      </c>
      <c r="E1459" s="91" t="s">
        <v>106</v>
      </c>
      <c r="F1459" s="92">
        <v>998000</v>
      </c>
      <c r="G1459" s="92">
        <v>3990000</v>
      </c>
    </row>
    <row r="1460" spans="1:7" x14ac:dyDescent="0.25">
      <c r="A1460" s="7" t="s">
        <v>2485</v>
      </c>
      <c r="B1460" s="78" t="s">
        <v>516</v>
      </c>
      <c r="C1460" s="79" t="s">
        <v>11</v>
      </c>
      <c r="D1460" s="78"/>
      <c r="E1460" s="80"/>
      <c r="F1460" s="81"/>
      <c r="G1460" s="81">
        <v>12200000</v>
      </c>
    </row>
    <row r="1461" spans="1:7" x14ac:dyDescent="0.25">
      <c r="A1461" s="7" t="s">
        <v>2486</v>
      </c>
      <c r="B1461" s="89" t="s">
        <v>195</v>
      </c>
      <c r="C1461" s="90" t="s">
        <v>2487</v>
      </c>
      <c r="D1461" s="89">
        <v>2</v>
      </c>
      <c r="E1461" s="91" t="s">
        <v>54</v>
      </c>
      <c r="F1461" s="92">
        <v>1400000</v>
      </c>
      <c r="G1461" s="92">
        <v>2800000</v>
      </c>
    </row>
    <row r="1462" spans="1:7" x14ac:dyDescent="0.25">
      <c r="A1462" s="7" t="s">
        <v>2488</v>
      </c>
      <c r="B1462" s="89" t="s">
        <v>195</v>
      </c>
      <c r="C1462" s="90" t="s">
        <v>2489</v>
      </c>
      <c r="D1462" s="89">
        <v>4</v>
      </c>
      <c r="E1462" s="91" t="s">
        <v>54</v>
      </c>
      <c r="F1462" s="92">
        <v>1000000</v>
      </c>
      <c r="G1462" s="92">
        <v>4000000</v>
      </c>
    </row>
    <row r="1463" spans="1:7" ht="27.6" x14ac:dyDescent="0.25">
      <c r="A1463" s="7" t="s">
        <v>2490</v>
      </c>
      <c r="B1463" s="89" t="s">
        <v>195</v>
      </c>
      <c r="C1463" s="90" t="s">
        <v>2491</v>
      </c>
      <c r="D1463" s="89">
        <v>6</v>
      </c>
      <c r="E1463" s="91" t="s">
        <v>54</v>
      </c>
      <c r="F1463" s="92">
        <v>900000</v>
      </c>
      <c r="G1463" s="92">
        <v>5400000</v>
      </c>
    </row>
    <row r="1464" spans="1:7" x14ac:dyDescent="0.25">
      <c r="A1464" s="7" t="s">
        <v>2492</v>
      </c>
      <c r="B1464" s="78" t="s">
        <v>513</v>
      </c>
      <c r="C1464" s="79" t="s">
        <v>19</v>
      </c>
      <c r="D1464" s="78"/>
      <c r="E1464" s="80"/>
      <c r="F1464" s="81"/>
      <c r="G1464" s="81">
        <v>100000000</v>
      </c>
    </row>
    <row r="1465" spans="1:7" ht="41.4" x14ac:dyDescent="0.25">
      <c r="A1465" s="7" t="s">
        <v>2493</v>
      </c>
      <c r="B1465" s="89" t="s">
        <v>195</v>
      </c>
      <c r="C1465" s="90" t="s">
        <v>2494</v>
      </c>
      <c r="D1465" s="89">
        <v>20</v>
      </c>
      <c r="E1465" s="91" t="s">
        <v>25</v>
      </c>
      <c r="F1465" s="92">
        <v>5000000</v>
      </c>
      <c r="G1465" s="92">
        <v>100000000</v>
      </c>
    </row>
    <row r="1466" spans="1:7" x14ac:dyDescent="0.25">
      <c r="A1466" s="7" t="s">
        <v>2495</v>
      </c>
      <c r="B1466" s="78" t="s">
        <v>507</v>
      </c>
      <c r="C1466" s="79" t="s">
        <v>13</v>
      </c>
      <c r="D1466" s="78"/>
      <c r="E1466" s="80"/>
      <c r="F1466" s="81"/>
      <c r="G1466" s="81">
        <v>2250000</v>
      </c>
    </row>
    <row r="1467" spans="1:7" x14ac:dyDescent="0.25">
      <c r="A1467" s="7" t="s">
        <v>2496</v>
      </c>
      <c r="B1467" s="89" t="s">
        <v>195</v>
      </c>
      <c r="C1467" s="90" t="s">
        <v>2497</v>
      </c>
      <c r="D1467" s="89">
        <v>15</v>
      </c>
      <c r="E1467" s="91" t="s">
        <v>25</v>
      </c>
      <c r="F1467" s="92">
        <v>150000</v>
      </c>
      <c r="G1467" s="92">
        <v>2250000</v>
      </c>
    </row>
    <row r="1468" spans="1:7" x14ac:dyDescent="0.25">
      <c r="A1468" s="7" t="s">
        <v>2498</v>
      </c>
      <c r="B1468" s="78" t="s">
        <v>509</v>
      </c>
      <c r="C1468" s="79" t="s">
        <v>14</v>
      </c>
      <c r="D1468" s="78"/>
      <c r="E1468" s="80"/>
      <c r="F1468" s="81"/>
      <c r="G1468" s="81">
        <v>5760000</v>
      </c>
    </row>
    <row r="1469" spans="1:7" ht="27.6" x14ac:dyDescent="0.25">
      <c r="A1469" s="7" t="s">
        <v>2499</v>
      </c>
      <c r="B1469" s="89" t="s">
        <v>195</v>
      </c>
      <c r="C1469" s="90" t="s">
        <v>2500</v>
      </c>
      <c r="D1469" s="89">
        <v>16</v>
      </c>
      <c r="E1469" s="91" t="s">
        <v>25</v>
      </c>
      <c r="F1469" s="92">
        <v>210000</v>
      </c>
      <c r="G1469" s="92">
        <v>3360000</v>
      </c>
    </row>
    <row r="1470" spans="1:7" ht="27.6" x14ac:dyDescent="0.25">
      <c r="A1470" s="7" t="s">
        <v>2501</v>
      </c>
      <c r="B1470" s="89" t="s">
        <v>195</v>
      </c>
      <c r="C1470" s="90" t="s">
        <v>2502</v>
      </c>
      <c r="D1470" s="89">
        <v>16</v>
      </c>
      <c r="E1470" s="91" t="s">
        <v>25</v>
      </c>
      <c r="F1470" s="92">
        <v>150000</v>
      </c>
      <c r="G1470" s="92">
        <v>2400000</v>
      </c>
    </row>
    <row r="1471" spans="1:7" x14ac:dyDescent="0.25">
      <c r="A1471" s="7" t="s">
        <v>2503</v>
      </c>
      <c r="B1471" s="78" t="s">
        <v>510</v>
      </c>
      <c r="C1471" s="79" t="s">
        <v>15</v>
      </c>
      <c r="D1471" s="78"/>
      <c r="E1471" s="80"/>
      <c r="F1471" s="81"/>
      <c r="G1471" s="81">
        <v>10500000</v>
      </c>
    </row>
    <row r="1472" spans="1:7" ht="27.6" x14ac:dyDescent="0.25">
      <c r="A1472" s="7" t="s">
        <v>2504</v>
      </c>
      <c r="B1472" s="89" t="s">
        <v>195</v>
      </c>
      <c r="C1472" s="90" t="s">
        <v>2505</v>
      </c>
      <c r="D1472" s="89">
        <v>14</v>
      </c>
      <c r="E1472" s="91" t="s">
        <v>25</v>
      </c>
      <c r="F1472" s="92">
        <v>150000</v>
      </c>
      <c r="G1472" s="92">
        <v>2100000</v>
      </c>
    </row>
    <row r="1473" spans="1:7" ht="27.6" x14ac:dyDescent="0.25">
      <c r="A1473" s="7" t="s">
        <v>2506</v>
      </c>
      <c r="B1473" s="89" t="s">
        <v>195</v>
      </c>
      <c r="C1473" s="90" t="s">
        <v>2507</v>
      </c>
      <c r="D1473" s="89">
        <v>14</v>
      </c>
      <c r="E1473" s="91" t="s">
        <v>25</v>
      </c>
      <c r="F1473" s="92">
        <v>600000</v>
      </c>
      <c r="G1473" s="92">
        <v>8400000</v>
      </c>
    </row>
    <row r="1474" spans="1:7" ht="27.6" x14ac:dyDescent="0.25">
      <c r="A1474" s="7" t="s">
        <v>2508</v>
      </c>
      <c r="B1474" s="97" t="s">
        <v>511</v>
      </c>
      <c r="C1474" s="98" t="s">
        <v>123</v>
      </c>
      <c r="D1474" s="97"/>
      <c r="E1474" s="99"/>
      <c r="F1474" s="100"/>
      <c r="G1474" s="100">
        <v>895000000</v>
      </c>
    </row>
    <row r="1475" spans="1:7" x14ac:dyDescent="0.25">
      <c r="A1475" s="7" t="s">
        <v>2509</v>
      </c>
      <c r="B1475" s="78" t="s">
        <v>503</v>
      </c>
      <c r="C1475" s="79" t="s">
        <v>7</v>
      </c>
      <c r="D1475" s="78"/>
      <c r="E1475" s="80"/>
      <c r="F1475" s="81"/>
      <c r="G1475" s="81">
        <v>135000000</v>
      </c>
    </row>
    <row r="1476" spans="1:7" x14ac:dyDescent="0.25">
      <c r="A1476" s="7" t="s">
        <v>2510</v>
      </c>
      <c r="B1476" s="89" t="s">
        <v>195</v>
      </c>
      <c r="C1476" s="90" t="s">
        <v>2511</v>
      </c>
      <c r="D1476" s="89">
        <v>100</v>
      </c>
      <c r="E1476" s="91" t="s">
        <v>180</v>
      </c>
      <c r="F1476" s="92">
        <v>100000</v>
      </c>
      <c r="G1476" s="92">
        <v>10000000</v>
      </c>
    </row>
    <row r="1477" spans="1:7" x14ac:dyDescent="0.25">
      <c r="A1477" s="7" t="s">
        <v>2512</v>
      </c>
      <c r="B1477" s="89" t="s">
        <v>195</v>
      </c>
      <c r="C1477" s="90" t="s">
        <v>2513</v>
      </c>
      <c r="D1477" s="89">
        <v>10</v>
      </c>
      <c r="E1477" s="91" t="s">
        <v>180</v>
      </c>
      <c r="F1477" s="92">
        <v>3200000</v>
      </c>
      <c r="G1477" s="92">
        <v>32000000</v>
      </c>
    </row>
    <row r="1478" spans="1:7" x14ac:dyDescent="0.25">
      <c r="A1478" s="7" t="s">
        <v>2514</v>
      </c>
      <c r="B1478" s="89" t="s">
        <v>195</v>
      </c>
      <c r="C1478" s="90" t="s">
        <v>2515</v>
      </c>
      <c r="D1478" s="89">
        <v>310</v>
      </c>
      <c r="E1478" s="91" t="s">
        <v>106</v>
      </c>
      <c r="F1478" s="92">
        <v>300000</v>
      </c>
      <c r="G1478" s="92">
        <v>93000000</v>
      </c>
    </row>
    <row r="1479" spans="1:7" x14ac:dyDescent="0.25">
      <c r="A1479" s="7" t="s">
        <v>2516</v>
      </c>
      <c r="B1479" s="78" t="s">
        <v>537</v>
      </c>
      <c r="C1479" s="79" t="s">
        <v>64</v>
      </c>
      <c r="D1479" s="78"/>
      <c r="E1479" s="80"/>
      <c r="F1479" s="81"/>
      <c r="G1479" s="81">
        <v>24000000</v>
      </c>
    </row>
    <row r="1480" spans="1:7" x14ac:dyDescent="0.25">
      <c r="A1480" s="7" t="s">
        <v>2517</v>
      </c>
      <c r="B1480" s="89" t="s">
        <v>195</v>
      </c>
      <c r="C1480" s="90" t="s">
        <v>619</v>
      </c>
      <c r="D1480" s="89">
        <v>12</v>
      </c>
      <c r="E1480" s="91" t="s">
        <v>106</v>
      </c>
      <c r="F1480" s="92">
        <v>1000000</v>
      </c>
      <c r="G1480" s="92">
        <v>12000000</v>
      </c>
    </row>
    <row r="1481" spans="1:7" x14ac:dyDescent="0.25">
      <c r="A1481" s="7" t="s">
        <v>2518</v>
      </c>
      <c r="B1481" s="89" t="s">
        <v>195</v>
      </c>
      <c r="C1481" s="90" t="s">
        <v>620</v>
      </c>
      <c r="D1481" s="89">
        <v>12</v>
      </c>
      <c r="E1481" s="91" t="s">
        <v>106</v>
      </c>
      <c r="F1481" s="92">
        <v>1000000</v>
      </c>
      <c r="G1481" s="92">
        <v>12000000</v>
      </c>
    </row>
    <row r="1482" spans="1:7" x14ac:dyDescent="0.25">
      <c r="A1482" s="7" t="s">
        <v>2519</v>
      </c>
      <c r="B1482" s="78" t="s">
        <v>516</v>
      </c>
      <c r="C1482" s="79" t="s">
        <v>11</v>
      </c>
      <c r="D1482" s="78"/>
      <c r="E1482" s="80"/>
      <c r="F1482" s="81"/>
      <c r="G1482" s="81">
        <v>28200000</v>
      </c>
    </row>
    <row r="1483" spans="1:7" ht="27.6" x14ac:dyDescent="0.25">
      <c r="A1483" s="7" t="s">
        <v>2520</v>
      </c>
      <c r="B1483" s="89" t="s">
        <v>195</v>
      </c>
      <c r="C1483" s="90" t="s">
        <v>2521</v>
      </c>
      <c r="D1483" s="89">
        <v>12</v>
      </c>
      <c r="E1483" s="91" t="s">
        <v>54</v>
      </c>
      <c r="F1483" s="92">
        <v>1000000</v>
      </c>
      <c r="G1483" s="92">
        <v>12000000</v>
      </c>
    </row>
    <row r="1484" spans="1:7" ht="27.6" x14ac:dyDescent="0.25">
      <c r="A1484" s="7" t="s">
        <v>2522</v>
      </c>
      <c r="B1484" s="89" t="s">
        <v>195</v>
      </c>
      <c r="C1484" s="90" t="s">
        <v>2523</v>
      </c>
      <c r="D1484" s="89">
        <v>18</v>
      </c>
      <c r="E1484" s="91" t="s">
        <v>54</v>
      </c>
      <c r="F1484" s="92">
        <v>900000</v>
      </c>
      <c r="G1484" s="92">
        <v>16200000</v>
      </c>
    </row>
    <row r="1485" spans="1:7" x14ac:dyDescent="0.25">
      <c r="A1485" s="7" t="s">
        <v>2524</v>
      </c>
      <c r="B1485" s="78" t="s">
        <v>513</v>
      </c>
      <c r="C1485" s="79" t="s">
        <v>19</v>
      </c>
      <c r="D1485" s="78"/>
      <c r="E1485" s="80"/>
      <c r="F1485" s="81"/>
      <c r="G1485" s="81">
        <v>640000000</v>
      </c>
    </row>
    <row r="1486" spans="1:7" ht="27.6" x14ac:dyDescent="0.25">
      <c r="A1486" s="7" t="s">
        <v>2525</v>
      </c>
      <c r="B1486" s="89" t="s">
        <v>195</v>
      </c>
      <c r="C1486" s="90" t="s">
        <v>2526</v>
      </c>
      <c r="D1486" s="89">
        <v>50</v>
      </c>
      <c r="E1486" s="91" t="s">
        <v>25</v>
      </c>
      <c r="F1486" s="92">
        <v>5000000</v>
      </c>
      <c r="G1486" s="92">
        <v>250000000</v>
      </c>
    </row>
    <row r="1487" spans="1:7" ht="27.6" x14ac:dyDescent="0.25">
      <c r="A1487" s="7" t="s">
        <v>2527</v>
      </c>
      <c r="B1487" s="89" t="s">
        <v>195</v>
      </c>
      <c r="C1487" s="90" t="s">
        <v>2528</v>
      </c>
      <c r="D1487" s="89">
        <v>48</v>
      </c>
      <c r="E1487" s="91" t="s">
        <v>25</v>
      </c>
      <c r="F1487" s="92">
        <v>5000000</v>
      </c>
      <c r="G1487" s="92">
        <v>240000000</v>
      </c>
    </row>
    <row r="1488" spans="1:7" ht="27.6" x14ac:dyDescent="0.25">
      <c r="A1488" s="7" t="s">
        <v>2529</v>
      </c>
      <c r="B1488" s="89" t="s">
        <v>195</v>
      </c>
      <c r="C1488" s="90" t="s">
        <v>2530</v>
      </c>
      <c r="D1488" s="89">
        <v>300</v>
      </c>
      <c r="E1488" s="91" t="s">
        <v>25</v>
      </c>
      <c r="F1488" s="92">
        <v>500000</v>
      </c>
      <c r="G1488" s="92">
        <v>150000000</v>
      </c>
    </row>
    <row r="1489" spans="1:7" x14ac:dyDescent="0.25">
      <c r="A1489" s="7" t="s">
        <v>2531</v>
      </c>
      <c r="B1489" s="78" t="s">
        <v>507</v>
      </c>
      <c r="C1489" s="79" t="s">
        <v>13</v>
      </c>
      <c r="D1489" s="78"/>
      <c r="E1489" s="80"/>
      <c r="F1489" s="81"/>
      <c r="G1489" s="81">
        <v>27000000</v>
      </c>
    </row>
    <row r="1490" spans="1:7" ht="27.6" x14ac:dyDescent="0.25">
      <c r="A1490" s="7" t="s">
        <v>2532</v>
      </c>
      <c r="B1490" s="89" t="s">
        <v>195</v>
      </c>
      <c r="C1490" s="90" t="s">
        <v>2533</v>
      </c>
      <c r="D1490" s="89">
        <v>75</v>
      </c>
      <c r="E1490" s="91" t="s">
        <v>25</v>
      </c>
      <c r="F1490" s="92">
        <v>150000</v>
      </c>
      <c r="G1490" s="92">
        <v>11250000</v>
      </c>
    </row>
    <row r="1491" spans="1:7" x14ac:dyDescent="0.25">
      <c r="A1491" s="7" t="s">
        <v>2534</v>
      </c>
      <c r="B1491" s="89" t="s">
        <v>195</v>
      </c>
      <c r="C1491" s="90" t="s">
        <v>2535</v>
      </c>
      <c r="D1491" s="89">
        <v>75</v>
      </c>
      <c r="E1491" s="91" t="s">
        <v>73</v>
      </c>
      <c r="F1491" s="92">
        <v>210000</v>
      </c>
      <c r="G1491" s="92">
        <v>15750000</v>
      </c>
    </row>
    <row r="1492" spans="1:7" x14ac:dyDescent="0.25">
      <c r="A1492" s="7" t="s">
        <v>2536</v>
      </c>
      <c r="B1492" s="78" t="s">
        <v>509</v>
      </c>
      <c r="C1492" s="79" t="s">
        <v>14</v>
      </c>
      <c r="D1492" s="78"/>
      <c r="E1492" s="80"/>
      <c r="F1492" s="81"/>
      <c r="G1492" s="81">
        <v>10800000</v>
      </c>
    </row>
    <row r="1493" spans="1:7" ht="27.6" x14ac:dyDescent="0.25">
      <c r="A1493" s="7" t="s">
        <v>2537</v>
      </c>
      <c r="B1493" s="89" t="s">
        <v>195</v>
      </c>
      <c r="C1493" s="90" t="s">
        <v>2538</v>
      </c>
      <c r="D1493" s="89">
        <v>30</v>
      </c>
      <c r="E1493" s="91" t="s">
        <v>25</v>
      </c>
      <c r="F1493" s="92">
        <v>210000</v>
      </c>
      <c r="G1493" s="92">
        <v>6300000</v>
      </c>
    </row>
    <row r="1494" spans="1:7" ht="27.6" x14ac:dyDescent="0.25">
      <c r="A1494" s="7" t="s">
        <v>2539</v>
      </c>
      <c r="B1494" s="89" t="s">
        <v>195</v>
      </c>
      <c r="C1494" s="90" t="s">
        <v>2540</v>
      </c>
      <c r="D1494" s="89">
        <v>30</v>
      </c>
      <c r="E1494" s="91" t="s">
        <v>25</v>
      </c>
      <c r="F1494" s="92">
        <v>150000</v>
      </c>
      <c r="G1494" s="92">
        <v>4500000</v>
      </c>
    </row>
    <row r="1495" spans="1:7" x14ac:dyDescent="0.25">
      <c r="A1495" s="7" t="s">
        <v>2541</v>
      </c>
      <c r="B1495" s="78" t="s">
        <v>510</v>
      </c>
      <c r="C1495" s="79" t="s">
        <v>15</v>
      </c>
      <c r="D1495" s="78"/>
      <c r="E1495" s="80"/>
      <c r="F1495" s="81"/>
      <c r="G1495" s="81">
        <v>30000000</v>
      </c>
    </row>
    <row r="1496" spans="1:7" ht="27.6" x14ac:dyDescent="0.25">
      <c r="A1496" s="7" t="s">
        <v>2542</v>
      </c>
      <c r="B1496" s="89" t="s">
        <v>195</v>
      </c>
      <c r="C1496" s="90" t="s">
        <v>2543</v>
      </c>
      <c r="D1496" s="89">
        <v>40</v>
      </c>
      <c r="E1496" s="91" t="s">
        <v>25</v>
      </c>
      <c r="F1496" s="92">
        <v>150000</v>
      </c>
      <c r="G1496" s="92">
        <v>6000000</v>
      </c>
    </row>
    <row r="1497" spans="1:7" ht="27.6" x14ac:dyDescent="0.25">
      <c r="A1497" s="7" t="s">
        <v>2544</v>
      </c>
      <c r="B1497" s="89" t="s">
        <v>195</v>
      </c>
      <c r="C1497" s="90" t="s">
        <v>2545</v>
      </c>
      <c r="D1497" s="89">
        <v>40</v>
      </c>
      <c r="E1497" s="91" t="s">
        <v>25</v>
      </c>
      <c r="F1497" s="92">
        <v>600000</v>
      </c>
      <c r="G1497" s="92">
        <v>24000000</v>
      </c>
    </row>
    <row r="1498" spans="1:7" x14ac:dyDescent="0.25">
      <c r="A1498" s="7" t="s">
        <v>2546</v>
      </c>
      <c r="B1498" s="97" t="s">
        <v>512</v>
      </c>
      <c r="C1498" s="98" t="s">
        <v>124</v>
      </c>
      <c r="D1498" s="97"/>
      <c r="E1498" s="99"/>
      <c r="F1498" s="100"/>
      <c r="G1498" s="100">
        <v>150000000</v>
      </c>
    </row>
    <row r="1499" spans="1:7" x14ac:dyDescent="0.25">
      <c r="A1499" s="7" t="s">
        <v>2547</v>
      </c>
      <c r="B1499" s="78" t="s">
        <v>503</v>
      </c>
      <c r="C1499" s="79" t="s">
        <v>7</v>
      </c>
      <c r="D1499" s="78"/>
      <c r="E1499" s="80"/>
      <c r="F1499" s="81"/>
      <c r="G1499" s="81">
        <v>11500000</v>
      </c>
    </row>
    <row r="1500" spans="1:7" x14ac:dyDescent="0.25">
      <c r="A1500" s="7" t="s">
        <v>2548</v>
      </c>
      <c r="B1500" s="89" t="s">
        <v>195</v>
      </c>
      <c r="C1500" s="90" t="s">
        <v>2549</v>
      </c>
      <c r="D1500" s="89">
        <v>25</v>
      </c>
      <c r="E1500" s="91" t="s">
        <v>180</v>
      </c>
      <c r="F1500" s="92">
        <v>100000</v>
      </c>
      <c r="G1500" s="92">
        <v>2500000</v>
      </c>
    </row>
    <row r="1501" spans="1:7" x14ac:dyDescent="0.25">
      <c r="A1501" s="7" t="s">
        <v>2550</v>
      </c>
      <c r="B1501" s="89" t="s">
        <v>195</v>
      </c>
      <c r="C1501" s="90" t="s">
        <v>2551</v>
      </c>
      <c r="D1501" s="89">
        <v>90</v>
      </c>
      <c r="E1501" s="91" t="s">
        <v>180</v>
      </c>
      <c r="F1501" s="92">
        <v>100000</v>
      </c>
      <c r="G1501" s="92">
        <v>9000000</v>
      </c>
    </row>
    <row r="1502" spans="1:7" x14ac:dyDescent="0.25">
      <c r="A1502" s="7" t="s">
        <v>2552</v>
      </c>
      <c r="B1502" s="78" t="s">
        <v>537</v>
      </c>
      <c r="C1502" s="79" t="s">
        <v>64</v>
      </c>
      <c r="D1502" s="78"/>
      <c r="E1502" s="80"/>
      <c r="F1502" s="81"/>
      <c r="G1502" s="81">
        <v>16000000</v>
      </c>
    </row>
    <row r="1503" spans="1:7" x14ac:dyDescent="0.25">
      <c r="A1503" s="7" t="s">
        <v>2553</v>
      </c>
      <c r="B1503" s="89" t="s">
        <v>195</v>
      </c>
      <c r="C1503" s="90" t="s">
        <v>619</v>
      </c>
      <c r="D1503" s="89">
        <v>8</v>
      </c>
      <c r="E1503" s="91" t="s">
        <v>106</v>
      </c>
      <c r="F1503" s="92">
        <v>1000000</v>
      </c>
      <c r="G1503" s="92">
        <v>8000000</v>
      </c>
    </row>
    <row r="1504" spans="1:7" x14ac:dyDescent="0.25">
      <c r="A1504" s="7" t="s">
        <v>2554</v>
      </c>
      <c r="B1504" s="89" t="s">
        <v>195</v>
      </c>
      <c r="C1504" s="90" t="s">
        <v>620</v>
      </c>
      <c r="D1504" s="89">
        <v>8</v>
      </c>
      <c r="E1504" s="91" t="s">
        <v>106</v>
      </c>
      <c r="F1504" s="92">
        <v>1000000</v>
      </c>
      <c r="G1504" s="92">
        <v>8000000</v>
      </c>
    </row>
    <row r="1505" spans="1:7" x14ac:dyDescent="0.25">
      <c r="A1505" s="7" t="s">
        <v>2555</v>
      </c>
      <c r="B1505" s="78" t="s">
        <v>516</v>
      </c>
      <c r="C1505" s="79" t="s">
        <v>11</v>
      </c>
      <c r="D1505" s="78"/>
      <c r="E1505" s="80"/>
      <c r="F1505" s="81"/>
      <c r="G1505" s="81">
        <v>3600000</v>
      </c>
    </row>
    <row r="1506" spans="1:7" ht="27.6" x14ac:dyDescent="0.25">
      <c r="A1506" s="7" t="s">
        <v>2556</v>
      </c>
      <c r="B1506" s="89" t="s">
        <v>195</v>
      </c>
      <c r="C1506" s="90" t="s">
        <v>2557</v>
      </c>
      <c r="D1506" s="89">
        <v>4</v>
      </c>
      <c r="E1506" s="91" t="s">
        <v>54</v>
      </c>
      <c r="F1506" s="92">
        <v>900000</v>
      </c>
      <c r="G1506" s="92">
        <v>3600000</v>
      </c>
    </row>
    <row r="1507" spans="1:7" x14ac:dyDescent="0.25">
      <c r="A1507" s="7" t="s">
        <v>2558</v>
      </c>
      <c r="B1507" s="78" t="s">
        <v>513</v>
      </c>
      <c r="C1507" s="79" t="s">
        <v>19</v>
      </c>
      <c r="D1507" s="78"/>
      <c r="E1507" s="80"/>
      <c r="F1507" s="81"/>
      <c r="G1507" s="81">
        <v>100000000</v>
      </c>
    </row>
    <row r="1508" spans="1:7" ht="27.6" x14ac:dyDescent="0.25">
      <c r="A1508" s="7" t="s">
        <v>2559</v>
      </c>
      <c r="B1508" s="89" t="s">
        <v>195</v>
      </c>
      <c r="C1508" s="90" t="s">
        <v>2560</v>
      </c>
      <c r="D1508" s="89">
        <v>10</v>
      </c>
      <c r="E1508" s="91" t="s">
        <v>25</v>
      </c>
      <c r="F1508" s="92">
        <v>5000000</v>
      </c>
      <c r="G1508" s="92">
        <v>50000000</v>
      </c>
    </row>
    <row r="1509" spans="1:7" ht="27.6" x14ac:dyDescent="0.25">
      <c r="A1509" s="7" t="s">
        <v>2561</v>
      </c>
      <c r="B1509" s="89" t="s">
        <v>195</v>
      </c>
      <c r="C1509" s="90" t="s">
        <v>2562</v>
      </c>
      <c r="D1509" s="89">
        <v>10</v>
      </c>
      <c r="E1509" s="91" t="s">
        <v>25</v>
      </c>
      <c r="F1509" s="92">
        <v>5000000</v>
      </c>
      <c r="G1509" s="92">
        <v>50000000</v>
      </c>
    </row>
    <row r="1510" spans="1:7" x14ac:dyDescent="0.25">
      <c r="A1510" s="7" t="s">
        <v>2563</v>
      </c>
      <c r="B1510" s="78" t="s">
        <v>507</v>
      </c>
      <c r="C1510" s="79" t="s">
        <v>13</v>
      </c>
      <c r="D1510" s="78"/>
      <c r="E1510" s="80"/>
      <c r="F1510" s="81"/>
      <c r="G1510" s="81">
        <v>4200000</v>
      </c>
    </row>
    <row r="1511" spans="1:7" ht="27.6" x14ac:dyDescent="0.25">
      <c r="A1511" s="7" t="s">
        <v>2564</v>
      </c>
      <c r="B1511" s="89" t="s">
        <v>195</v>
      </c>
      <c r="C1511" s="90" t="s">
        <v>2565</v>
      </c>
      <c r="D1511" s="89">
        <v>28</v>
      </c>
      <c r="E1511" s="91" t="s">
        <v>25</v>
      </c>
      <c r="F1511" s="92">
        <v>150000</v>
      </c>
      <c r="G1511" s="92">
        <v>4200000</v>
      </c>
    </row>
    <row r="1512" spans="1:7" x14ac:dyDescent="0.25">
      <c r="A1512" s="7" t="s">
        <v>2566</v>
      </c>
      <c r="B1512" s="78" t="s">
        <v>509</v>
      </c>
      <c r="C1512" s="79" t="s">
        <v>14</v>
      </c>
      <c r="D1512" s="78"/>
      <c r="E1512" s="80"/>
      <c r="F1512" s="81"/>
      <c r="G1512" s="81">
        <v>7200000</v>
      </c>
    </row>
    <row r="1513" spans="1:7" ht="27.6" x14ac:dyDescent="0.25">
      <c r="A1513" s="7" t="s">
        <v>2567</v>
      </c>
      <c r="B1513" s="89" t="s">
        <v>195</v>
      </c>
      <c r="C1513" s="90" t="s">
        <v>2568</v>
      </c>
      <c r="D1513" s="89">
        <v>20</v>
      </c>
      <c r="E1513" s="91" t="s">
        <v>25</v>
      </c>
      <c r="F1513" s="92">
        <v>210000</v>
      </c>
      <c r="G1513" s="92">
        <v>4200000</v>
      </c>
    </row>
    <row r="1514" spans="1:7" ht="27.6" x14ac:dyDescent="0.25">
      <c r="A1514" s="7" t="s">
        <v>2569</v>
      </c>
      <c r="B1514" s="89" t="s">
        <v>195</v>
      </c>
      <c r="C1514" s="90" t="s">
        <v>2570</v>
      </c>
      <c r="D1514" s="89">
        <v>20</v>
      </c>
      <c r="E1514" s="91" t="s">
        <v>25</v>
      </c>
      <c r="F1514" s="92">
        <v>150000</v>
      </c>
      <c r="G1514" s="92">
        <v>3000000</v>
      </c>
    </row>
    <row r="1515" spans="1:7" x14ac:dyDescent="0.25">
      <c r="A1515" s="7" t="s">
        <v>2571</v>
      </c>
      <c r="B1515" s="78" t="s">
        <v>510</v>
      </c>
      <c r="C1515" s="79" t="s">
        <v>15</v>
      </c>
      <c r="D1515" s="78"/>
      <c r="E1515" s="80"/>
      <c r="F1515" s="81"/>
      <c r="G1515" s="81">
        <v>7500000</v>
      </c>
    </row>
    <row r="1516" spans="1:7" ht="27.6" x14ac:dyDescent="0.25">
      <c r="A1516" s="7" t="s">
        <v>2572</v>
      </c>
      <c r="B1516" s="89" t="s">
        <v>195</v>
      </c>
      <c r="C1516" s="90" t="s">
        <v>2573</v>
      </c>
      <c r="D1516" s="89">
        <v>10</v>
      </c>
      <c r="E1516" s="91" t="s">
        <v>25</v>
      </c>
      <c r="F1516" s="92">
        <v>150000</v>
      </c>
      <c r="G1516" s="92">
        <v>1500000</v>
      </c>
    </row>
    <row r="1517" spans="1:7" x14ac:dyDescent="0.25">
      <c r="A1517" s="7" t="s">
        <v>2574</v>
      </c>
      <c r="B1517" s="89" t="s">
        <v>195</v>
      </c>
      <c r="C1517" s="90" t="s">
        <v>2575</v>
      </c>
      <c r="D1517" s="89">
        <v>10</v>
      </c>
      <c r="E1517" s="91" t="s">
        <v>25</v>
      </c>
      <c r="F1517" s="92">
        <v>150000</v>
      </c>
      <c r="G1517" s="92">
        <v>1500000</v>
      </c>
    </row>
    <row r="1518" spans="1:7" ht="27.6" x14ac:dyDescent="0.25">
      <c r="A1518" s="7" t="s">
        <v>2576</v>
      </c>
      <c r="B1518" s="89" t="s">
        <v>195</v>
      </c>
      <c r="C1518" s="90" t="s">
        <v>2577</v>
      </c>
      <c r="D1518" s="89">
        <v>10</v>
      </c>
      <c r="E1518" s="91" t="s">
        <v>25</v>
      </c>
      <c r="F1518" s="92">
        <v>600000</v>
      </c>
      <c r="G1518" s="92">
        <v>6000000</v>
      </c>
    </row>
    <row r="1519" spans="1:7" x14ac:dyDescent="0.25">
      <c r="A1519" s="7" t="s">
        <v>2578</v>
      </c>
      <c r="B1519" s="97" t="s">
        <v>514</v>
      </c>
      <c r="C1519" s="98" t="s">
        <v>125</v>
      </c>
      <c r="D1519" s="97"/>
      <c r="E1519" s="99"/>
      <c r="F1519" s="100"/>
      <c r="G1519" s="100">
        <v>810000000</v>
      </c>
    </row>
    <row r="1520" spans="1:7" x14ac:dyDescent="0.25">
      <c r="A1520" s="7" t="s">
        <v>2579</v>
      </c>
      <c r="B1520" s="78" t="s">
        <v>503</v>
      </c>
      <c r="C1520" s="79" t="s">
        <v>7</v>
      </c>
      <c r="D1520" s="78"/>
      <c r="E1520" s="80"/>
      <c r="F1520" s="81"/>
      <c r="G1520" s="81">
        <v>86780000</v>
      </c>
    </row>
    <row r="1521" spans="1:7" x14ac:dyDescent="0.25">
      <c r="A1521" s="7" t="s">
        <v>195</v>
      </c>
      <c r="B1521" s="89" t="s">
        <v>195</v>
      </c>
      <c r="C1521" s="90" t="s">
        <v>2580</v>
      </c>
      <c r="D1521" s="89">
        <v>0</v>
      </c>
      <c r="E1521" s="91" t="s">
        <v>195</v>
      </c>
      <c r="F1521" s="92">
        <v>0</v>
      </c>
      <c r="G1521" s="92">
        <v>0</v>
      </c>
    </row>
    <row r="1522" spans="1:7" x14ac:dyDescent="0.25">
      <c r="A1522" s="7" t="s">
        <v>2581</v>
      </c>
      <c r="B1522" s="89" t="s">
        <v>195</v>
      </c>
      <c r="C1522" s="90" t="s">
        <v>620</v>
      </c>
      <c r="D1522" s="89">
        <v>1</v>
      </c>
      <c r="E1522" s="91" t="s">
        <v>106</v>
      </c>
      <c r="F1522" s="92">
        <v>1000000</v>
      </c>
      <c r="G1522" s="92">
        <v>1000000</v>
      </c>
    </row>
    <row r="1523" spans="1:7" x14ac:dyDescent="0.25">
      <c r="A1523" s="7" t="s">
        <v>2582</v>
      </c>
      <c r="B1523" s="89" t="s">
        <v>195</v>
      </c>
      <c r="C1523" s="90" t="s">
        <v>2583</v>
      </c>
      <c r="D1523" s="89">
        <v>20</v>
      </c>
      <c r="E1523" s="91" t="s">
        <v>180</v>
      </c>
      <c r="F1523" s="92">
        <v>50000</v>
      </c>
      <c r="G1523" s="92">
        <v>1000000</v>
      </c>
    </row>
    <row r="1524" spans="1:7" x14ac:dyDescent="0.25">
      <c r="A1524" s="7" t="s">
        <v>2584</v>
      </c>
      <c r="B1524" s="89" t="s">
        <v>195</v>
      </c>
      <c r="C1524" s="90" t="s">
        <v>2585</v>
      </c>
      <c r="D1524" s="89">
        <v>20</v>
      </c>
      <c r="E1524" s="91" t="s">
        <v>180</v>
      </c>
      <c r="F1524" s="92">
        <v>100000</v>
      </c>
      <c r="G1524" s="92">
        <v>2000000</v>
      </c>
    </row>
    <row r="1525" spans="1:7" x14ac:dyDescent="0.25">
      <c r="A1525" s="7" t="s">
        <v>2586</v>
      </c>
      <c r="B1525" s="89" t="s">
        <v>195</v>
      </c>
      <c r="C1525" s="90" t="s">
        <v>619</v>
      </c>
      <c r="D1525" s="89">
        <v>1</v>
      </c>
      <c r="E1525" s="91" t="s">
        <v>106</v>
      </c>
      <c r="F1525" s="92">
        <v>1000000</v>
      </c>
      <c r="G1525" s="92">
        <v>1000000</v>
      </c>
    </row>
    <row r="1526" spans="1:7" x14ac:dyDescent="0.25">
      <c r="A1526" s="7" t="s">
        <v>195</v>
      </c>
      <c r="B1526" s="89" t="s">
        <v>195</v>
      </c>
      <c r="C1526" s="90" t="s">
        <v>2587</v>
      </c>
      <c r="D1526" s="89">
        <v>0</v>
      </c>
      <c r="E1526" s="91" t="s">
        <v>195</v>
      </c>
      <c r="F1526" s="92">
        <v>0</v>
      </c>
      <c r="G1526" s="92">
        <v>0</v>
      </c>
    </row>
    <row r="1527" spans="1:7" x14ac:dyDescent="0.25">
      <c r="A1527" s="7" t="s">
        <v>2588</v>
      </c>
      <c r="B1527" s="89" t="s">
        <v>195</v>
      </c>
      <c r="C1527" s="90" t="s">
        <v>619</v>
      </c>
      <c r="D1527" s="89">
        <v>1</v>
      </c>
      <c r="E1527" s="91" t="s">
        <v>106</v>
      </c>
      <c r="F1527" s="92">
        <v>1000000</v>
      </c>
      <c r="G1527" s="92">
        <v>1000000</v>
      </c>
    </row>
    <row r="1528" spans="1:7" x14ac:dyDescent="0.25">
      <c r="A1528" s="7" t="s">
        <v>2589</v>
      </c>
      <c r="B1528" s="89" t="s">
        <v>195</v>
      </c>
      <c r="C1528" s="90" t="s">
        <v>620</v>
      </c>
      <c r="D1528" s="89">
        <v>1</v>
      </c>
      <c r="E1528" s="91" t="s">
        <v>106</v>
      </c>
      <c r="F1528" s="92">
        <v>1000000</v>
      </c>
      <c r="G1528" s="92">
        <v>1000000</v>
      </c>
    </row>
    <row r="1529" spans="1:7" x14ac:dyDescent="0.25">
      <c r="A1529" s="7" t="s">
        <v>2590</v>
      </c>
      <c r="B1529" s="89" t="s">
        <v>195</v>
      </c>
      <c r="C1529" s="90" t="s">
        <v>2591</v>
      </c>
      <c r="D1529" s="89">
        <v>100</v>
      </c>
      <c r="E1529" s="91" t="s">
        <v>180</v>
      </c>
      <c r="F1529" s="92">
        <v>15000</v>
      </c>
      <c r="G1529" s="92">
        <v>1500000</v>
      </c>
    </row>
    <row r="1530" spans="1:7" x14ac:dyDescent="0.25">
      <c r="A1530" s="7" t="s">
        <v>2592</v>
      </c>
      <c r="B1530" s="89" t="s">
        <v>195</v>
      </c>
      <c r="C1530" s="90" t="s">
        <v>920</v>
      </c>
      <c r="D1530" s="89">
        <v>1</v>
      </c>
      <c r="E1530" s="91" t="s">
        <v>106</v>
      </c>
      <c r="F1530" s="92">
        <v>2000000</v>
      </c>
      <c r="G1530" s="92">
        <v>2000000</v>
      </c>
    </row>
    <row r="1531" spans="1:7" x14ac:dyDescent="0.25">
      <c r="A1531" s="7" t="s">
        <v>2593</v>
      </c>
      <c r="B1531" s="89" t="s">
        <v>195</v>
      </c>
      <c r="C1531" s="90" t="s">
        <v>2594</v>
      </c>
      <c r="D1531" s="89">
        <v>1</v>
      </c>
      <c r="E1531" s="91" t="s">
        <v>106</v>
      </c>
      <c r="F1531" s="92">
        <v>500000</v>
      </c>
      <c r="G1531" s="92">
        <v>500000</v>
      </c>
    </row>
    <row r="1532" spans="1:7" x14ac:dyDescent="0.25">
      <c r="A1532" s="7" t="s">
        <v>2595</v>
      </c>
      <c r="B1532" s="89" t="s">
        <v>195</v>
      </c>
      <c r="C1532" s="90" t="s">
        <v>920</v>
      </c>
      <c r="D1532" s="89">
        <v>1</v>
      </c>
      <c r="E1532" s="91" t="s">
        <v>106</v>
      </c>
      <c r="F1532" s="92">
        <v>1030000</v>
      </c>
      <c r="G1532" s="92">
        <v>1030000</v>
      </c>
    </row>
    <row r="1533" spans="1:7" x14ac:dyDescent="0.25">
      <c r="A1533" s="7" t="s">
        <v>2596</v>
      </c>
      <c r="B1533" s="89" t="s">
        <v>195</v>
      </c>
      <c r="C1533" s="90" t="s">
        <v>2597</v>
      </c>
      <c r="D1533" s="89">
        <v>160</v>
      </c>
      <c r="E1533" s="91" t="s">
        <v>106</v>
      </c>
      <c r="F1533" s="92">
        <v>350000</v>
      </c>
      <c r="G1533" s="92">
        <v>56000000</v>
      </c>
    </row>
    <row r="1534" spans="1:7" x14ac:dyDescent="0.25">
      <c r="A1534" s="7" t="s">
        <v>2598</v>
      </c>
      <c r="B1534" s="89" t="s">
        <v>195</v>
      </c>
      <c r="C1534" s="90" t="s">
        <v>2585</v>
      </c>
      <c r="D1534" s="89">
        <v>10</v>
      </c>
      <c r="E1534" s="91" t="s">
        <v>180</v>
      </c>
      <c r="F1534" s="92">
        <v>200000</v>
      </c>
      <c r="G1534" s="92">
        <v>2000000</v>
      </c>
    </row>
    <row r="1535" spans="1:7" x14ac:dyDescent="0.25">
      <c r="A1535" s="7" t="s">
        <v>2599</v>
      </c>
      <c r="B1535" s="89" t="s">
        <v>195</v>
      </c>
      <c r="C1535" s="90" t="s">
        <v>2594</v>
      </c>
      <c r="D1535" s="89">
        <v>1</v>
      </c>
      <c r="E1535" s="91" t="s">
        <v>106</v>
      </c>
      <c r="F1535" s="92">
        <v>250000</v>
      </c>
      <c r="G1535" s="92">
        <v>250000</v>
      </c>
    </row>
    <row r="1536" spans="1:7" x14ac:dyDescent="0.25">
      <c r="A1536" s="7" t="s">
        <v>2600</v>
      </c>
      <c r="B1536" s="89" t="s">
        <v>195</v>
      </c>
      <c r="C1536" s="90" t="s">
        <v>2597</v>
      </c>
      <c r="D1536" s="89">
        <v>32</v>
      </c>
      <c r="E1536" s="91" t="s">
        <v>106</v>
      </c>
      <c r="F1536" s="92">
        <v>250000</v>
      </c>
      <c r="G1536" s="92">
        <v>8000000</v>
      </c>
    </row>
    <row r="1537" spans="1:7" x14ac:dyDescent="0.25">
      <c r="A1537" s="7" t="s">
        <v>2601</v>
      </c>
      <c r="B1537" s="89" t="s">
        <v>195</v>
      </c>
      <c r="C1537" s="90" t="s">
        <v>619</v>
      </c>
      <c r="D1537" s="89">
        <v>1</v>
      </c>
      <c r="E1537" s="91" t="s">
        <v>106</v>
      </c>
      <c r="F1537" s="92">
        <v>1000000</v>
      </c>
      <c r="G1537" s="92">
        <v>1000000</v>
      </c>
    </row>
    <row r="1538" spans="1:7" x14ac:dyDescent="0.25">
      <c r="A1538" s="7" t="s">
        <v>2602</v>
      </c>
      <c r="B1538" s="89" t="s">
        <v>195</v>
      </c>
      <c r="C1538" s="90" t="s">
        <v>620</v>
      </c>
      <c r="D1538" s="89">
        <v>1</v>
      </c>
      <c r="E1538" s="91" t="s">
        <v>106</v>
      </c>
      <c r="F1538" s="92">
        <v>1000000</v>
      </c>
      <c r="G1538" s="92">
        <v>1000000</v>
      </c>
    </row>
    <row r="1539" spans="1:7" x14ac:dyDescent="0.25">
      <c r="A1539" s="7" t="s">
        <v>2603</v>
      </c>
      <c r="B1539" s="89" t="s">
        <v>195</v>
      </c>
      <c r="C1539" s="90" t="s">
        <v>1109</v>
      </c>
      <c r="D1539" s="89">
        <v>50</v>
      </c>
      <c r="E1539" s="91" t="s">
        <v>180</v>
      </c>
      <c r="F1539" s="92">
        <v>30000</v>
      </c>
      <c r="G1539" s="92">
        <v>1500000</v>
      </c>
    </row>
    <row r="1540" spans="1:7" x14ac:dyDescent="0.25">
      <c r="A1540" s="7" t="s">
        <v>2604</v>
      </c>
      <c r="B1540" s="89" t="s">
        <v>195</v>
      </c>
      <c r="C1540" s="90" t="s">
        <v>2114</v>
      </c>
      <c r="D1540" s="89">
        <v>50</v>
      </c>
      <c r="E1540" s="91" t="s">
        <v>180</v>
      </c>
      <c r="F1540" s="92">
        <v>100000</v>
      </c>
      <c r="G1540" s="92">
        <v>5000000</v>
      </c>
    </row>
    <row r="1541" spans="1:7" x14ac:dyDescent="0.25">
      <c r="A1541" s="7" t="s">
        <v>195</v>
      </c>
      <c r="B1541" s="89" t="s">
        <v>195</v>
      </c>
      <c r="C1541" s="90" t="s">
        <v>2605</v>
      </c>
      <c r="D1541" s="89">
        <v>0</v>
      </c>
      <c r="E1541" s="91" t="s">
        <v>195</v>
      </c>
      <c r="F1541" s="92">
        <v>0</v>
      </c>
      <c r="G1541" s="92">
        <v>0</v>
      </c>
    </row>
    <row r="1542" spans="1:7" ht="27.6" x14ac:dyDescent="0.25">
      <c r="A1542" s="7" t="s">
        <v>2606</v>
      </c>
      <c r="B1542" s="78" t="s">
        <v>515</v>
      </c>
      <c r="C1542" s="79" t="s">
        <v>642</v>
      </c>
      <c r="D1542" s="78"/>
      <c r="E1542" s="80"/>
      <c r="F1542" s="81"/>
      <c r="G1542" s="81">
        <v>24720000</v>
      </c>
    </row>
    <row r="1543" spans="1:7" ht="27.6" x14ac:dyDescent="0.25">
      <c r="A1543" s="7" t="s">
        <v>2607</v>
      </c>
      <c r="B1543" s="89" t="s">
        <v>195</v>
      </c>
      <c r="C1543" s="90" t="s">
        <v>2608</v>
      </c>
      <c r="D1543" s="89">
        <v>96</v>
      </c>
      <c r="E1543" s="91" t="s">
        <v>25</v>
      </c>
      <c r="F1543" s="92">
        <v>200000</v>
      </c>
      <c r="G1543" s="92">
        <v>19200000</v>
      </c>
    </row>
    <row r="1544" spans="1:7" ht="27.6" x14ac:dyDescent="0.25">
      <c r="A1544" s="7" t="s">
        <v>2609</v>
      </c>
      <c r="B1544" s="89" t="s">
        <v>195</v>
      </c>
      <c r="C1544" s="90" t="s">
        <v>891</v>
      </c>
      <c r="D1544" s="89">
        <v>12</v>
      </c>
      <c r="E1544" s="91" t="s">
        <v>106</v>
      </c>
      <c r="F1544" s="92">
        <v>300000</v>
      </c>
      <c r="G1544" s="92">
        <v>3600000</v>
      </c>
    </row>
    <row r="1545" spans="1:7" x14ac:dyDescent="0.25">
      <c r="A1545" s="7" t="s">
        <v>2610</v>
      </c>
      <c r="B1545" s="89" t="s">
        <v>195</v>
      </c>
      <c r="C1545" s="90" t="s">
        <v>2611</v>
      </c>
      <c r="D1545" s="89">
        <v>12</v>
      </c>
      <c r="E1545" s="91" t="s">
        <v>106</v>
      </c>
      <c r="F1545" s="92">
        <v>160000</v>
      </c>
      <c r="G1545" s="92">
        <v>1920000</v>
      </c>
    </row>
    <row r="1546" spans="1:7" x14ac:dyDescent="0.25">
      <c r="A1546" s="7" t="s">
        <v>2612</v>
      </c>
      <c r="B1546" s="78" t="s">
        <v>537</v>
      </c>
      <c r="C1546" s="79" t="s">
        <v>64</v>
      </c>
      <c r="D1546" s="78"/>
      <c r="E1546" s="80"/>
      <c r="F1546" s="81"/>
      <c r="G1546" s="81">
        <v>20000000</v>
      </c>
    </row>
    <row r="1547" spans="1:7" x14ac:dyDescent="0.25">
      <c r="A1547" s="7" t="s">
        <v>2613</v>
      </c>
      <c r="B1547" s="89" t="s">
        <v>195</v>
      </c>
      <c r="C1547" s="90" t="s">
        <v>619</v>
      </c>
      <c r="D1547" s="89">
        <v>10</v>
      </c>
      <c r="E1547" s="91" t="s">
        <v>106</v>
      </c>
      <c r="F1547" s="92">
        <v>1000000</v>
      </c>
      <c r="G1547" s="92">
        <v>10000000</v>
      </c>
    </row>
    <row r="1548" spans="1:7" x14ac:dyDescent="0.25">
      <c r="A1548" s="7" t="s">
        <v>2614</v>
      </c>
      <c r="B1548" s="89" t="s">
        <v>195</v>
      </c>
      <c r="C1548" s="90" t="s">
        <v>620</v>
      </c>
      <c r="D1548" s="89">
        <v>10</v>
      </c>
      <c r="E1548" s="91" t="s">
        <v>106</v>
      </c>
      <c r="F1548" s="92">
        <v>1000000</v>
      </c>
      <c r="G1548" s="92">
        <v>10000000</v>
      </c>
    </row>
    <row r="1549" spans="1:7" x14ac:dyDescent="0.25">
      <c r="A1549" s="7" t="s">
        <v>2615</v>
      </c>
      <c r="B1549" s="78" t="s">
        <v>516</v>
      </c>
      <c r="C1549" s="79" t="s">
        <v>11</v>
      </c>
      <c r="D1549" s="78"/>
      <c r="E1549" s="80"/>
      <c r="F1549" s="81"/>
      <c r="G1549" s="81">
        <v>24400000</v>
      </c>
    </row>
    <row r="1550" spans="1:7" x14ac:dyDescent="0.25">
      <c r="A1550" s="7" t="s">
        <v>2616</v>
      </c>
      <c r="B1550" s="89" t="s">
        <v>195</v>
      </c>
      <c r="C1550" s="90" t="s">
        <v>2617</v>
      </c>
      <c r="D1550" s="89">
        <v>4</v>
      </c>
      <c r="E1550" s="91" t="s">
        <v>54</v>
      </c>
      <c r="F1550" s="92">
        <v>1400000</v>
      </c>
      <c r="G1550" s="92">
        <v>5600000</v>
      </c>
    </row>
    <row r="1551" spans="1:7" x14ac:dyDescent="0.25">
      <c r="A1551" s="7" t="s">
        <v>2618</v>
      </c>
      <c r="B1551" s="89" t="s">
        <v>195</v>
      </c>
      <c r="C1551" s="90" t="s">
        <v>2619</v>
      </c>
      <c r="D1551" s="89">
        <v>8</v>
      </c>
      <c r="E1551" s="91" t="s">
        <v>54</v>
      </c>
      <c r="F1551" s="92">
        <v>1000000</v>
      </c>
      <c r="G1551" s="92">
        <v>8000000</v>
      </c>
    </row>
    <row r="1552" spans="1:7" ht="27.6" x14ac:dyDescent="0.25">
      <c r="A1552" s="7" t="s">
        <v>2620</v>
      </c>
      <c r="B1552" s="89" t="s">
        <v>195</v>
      </c>
      <c r="C1552" s="90" t="s">
        <v>2621</v>
      </c>
      <c r="D1552" s="89">
        <v>12</v>
      </c>
      <c r="E1552" s="91" t="s">
        <v>54</v>
      </c>
      <c r="F1552" s="92">
        <v>900000</v>
      </c>
      <c r="G1552" s="92">
        <v>10800000</v>
      </c>
    </row>
    <row r="1553" spans="1:7" x14ac:dyDescent="0.25">
      <c r="A1553" s="7" t="s">
        <v>2622</v>
      </c>
      <c r="B1553" s="78" t="s">
        <v>518</v>
      </c>
      <c r="C1553" s="79" t="s">
        <v>24</v>
      </c>
      <c r="D1553" s="78"/>
      <c r="E1553" s="80"/>
      <c r="F1553" s="81"/>
      <c r="G1553" s="81">
        <v>24000000</v>
      </c>
    </row>
    <row r="1554" spans="1:7" x14ac:dyDescent="0.25">
      <c r="A1554" s="7" t="s">
        <v>2623</v>
      </c>
      <c r="B1554" s="89" t="s">
        <v>195</v>
      </c>
      <c r="C1554" s="90" t="s">
        <v>2624</v>
      </c>
      <c r="D1554" s="89">
        <v>160</v>
      </c>
      <c r="E1554" s="91" t="s">
        <v>25</v>
      </c>
      <c r="F1554" s="92">
        <v>150000</v>
      </c>
      <c r="G1554" s="92">
        <v>24000000</v>
      </c>
    </row>
    <row r="1555" spans="1:7" x14ac:dyDescent="0.25">
      <c r="A1555" s="7" t="s">
        <v>2625</v>
      </c>
      <c r="B1555" s="78" t="s">
        <v>513</v>
      </c>
      <c r="C1555" s="79" t="s">
        <v>19</v>
      </c>
      <c r="D1555" s="78"/>
      <c r="E1555" s="80"/>
      <c r="F1555" s="81"/>
      <c r="G1555" s="81">
        <v>180000000</v>
      </c>
    </row>
    <row r="1556" spans="1:7" x14ac:dyDescent="0.25">
      <c r="A1556" s="7" t="s">
        <v>2626</v>
      </c>
      <c r="B1556" s="89" t="s">
        <v>195</v>
      </c>
      <c r="C1556" s="90" t="s">
        <v>2627</v>
      </c>
      <c r="D1556" s="89">
        <v>36</v>
      </c>
      <c r="E1556" s="91" t="s">
        <v>25</v>
      </c>
      <c r="F1556" s="92">
        <v>5000000</v>
      </c>
      <c r="G1556" s="92">
        <v>180000000</v>
      </c>
    </row>
    <row r="1557" spans="1:7" x14ac:dyDescent="0.25">
      <c r="A1557" s="7" t="s">
        <v>2628</v>
      </c>
      <c r="B1557" s="78" t="s">
        <v>509</v>
      </c>
      <c r="C1557" s="79" t="s">
        <v>14</v>
      </c>
      <c r="D1557" s="78"/>
      <c r="E1557" s="80"/>
      <c r="F1557" s="81"/>
      <c r="G1557" s="81">
        <v>10800000</v>
      </c>
    </row>
    <row r="1558" spans="1:7" ht="27.6" x14ac:dyDescent="0.25">
      <c r="A1558" s="7" t="s">
        <v>2629</v>
      </c>
      <c r="B1558" s="89" t="s">
        <v>195</v>
      </c>
      <c r="C1558" s="90" t="s">
        <v>2630</v>
      </c>
      <c r="D1558" s="89">
        <v>30</v>
      </c>
      <c r="E1558" s="91" t="s">
        <v>25</v>
      </c>
      <c r="F1558" s="92">
        <v>210000</v>
      </c>
      <c r="G1558" s="92">
        <v>6300000</v>
      </c>
    </row>
    <row r="1559" spans="1:7" ht="27.6" x14ac:dyDescent="0.25">
      <c r="A1559" s="7" t="s">
        <v>2631</v>
      </c>
      <c r="B1559" s="89" t="s">
        <v>195</v>
      </c>
      <c r="C1559" s="90" t="s">
        <v>2632</v>
      </c>
      <c r="D1559" s="89">
        <v>30</v>
      </c>
      <c r="E1559" s="91" t="s">
        <v>25</v>
      </c>
      <c r="F1559" s="92">
        <v>150000</v>
      </c>
      <c r="G1559" s="92">
        <v>4500000</v>
      </c>
    </row>
    <row r="1560" spans="1:7" x14ac:dyDescent="0.25">
      <c r="A1560" s="7" t="s">
        <v>2633</v>
      </c>
      <c r="B1560" s="78" t="s">
        <v>510</v>
      </c>
      <c r="C1560" s="79" t="s">
        <v>15</v>
      </c>
      <c r="D1560" s="78"/>
      <c r="E1560" s="80"/>
      <c r="F1560" s="81"/>
      <c r="G1560" s="81">
        <v>439300000</v>
      </c>
    </row>
    <row r="1561" spans="1:7" x14ac:dyDescent="0.25">
      <c r="A1561" s="7" t="s">
        <v>195</v>
      </c>
      <c r="B1561" s="89" t="s">
        <v>195</v>
      </c>
      <c r="C1561" s="90" t="s">
        <v>2634</v>
      </c>
      <c r="D1561" s="89">
        <v>0</v>
      </c>
      <c r="E1561" s="91" t="s">
        <v>195</v>
      </c>
      <c r="F1561" s="92">
        <v>0</v>
      </c>
      <c r="G1561" s="92">
        <v>0</v>
      </c>
    </row>
    <row r="1562" spans="1:7" x14ac:dyDescent="0.25">
      <c r="A1562" s="7" t="s">
        <v>2635</v>
      </c>
      <c r="B1562" s="89" t="s">
        <v>195</v>
      </c>
      <c r="C1562" s="90" t="s">
        <v>2636</v>
      </c>
      <c r="D1562" s="89">
        <v>480</v>
      </c>
      <c r="E1562" s="91" t="s">
        <v>25</v>
      </c>
      <c r="F1562" s="92">
        <v>808000</v>
      </c>
      <c r="G1562" s="92">
        <v>387600000</v>
      </c>
    </row>
    <row r="1563" spans="1:7" x14ac:dyDescent="0.25">
      <c r="A1563" s="7" t="s">
        <v>2637</v>
      </c>
      <c r="B1563" s="89" t="s">
        <v>195</v>
      </c>
      <c r="C1563" s="90" t="s">
        <v>2638</v>
      </c>
      <c r="D1563" s="89">
        <v>24</v>
      </c>
      <c r="E1563" s="91" t="s">
        <v>25</v>
      </c>
      <c r="F1563" s="92">
        <v>600000</v>
      </c>
      <c r="G1563" s="92">
        <v>14400000</v>
      </c>
    </row>
    <row r="1564" spans="1:7" ht="27.6" x14ac:dyDescent="0.25">
      <c r="A1564" s="7" t="s">
        <v>2639</v>
      </c>
      <c r="B1564" s="89" t="s">
        <v>195</v>
      </c>
      <c r="C1564" s="90" t="s">
        <v>2640</v>
      </c>
      <c r="D1564" s="89">
        <v>30</v>
      </c>
      <c r="E1564" s="91" t="s">
        <v>73</v>
      </c>
      <c r="F1564" s="92">
        <v>150000</v>
      </c>
      <c r="G1564" s="92">
        <v>4500000</v>
      </c>
    </row>
    <row r="1565" spans="1:7" ht="27.6" x14ac:dyDescent="0.25">
      <c r="A1565" s="7" t="s">
        <v>2641</v>
      </c>
      <c r="B1565" s="89" t="s">
        <v>195</v>
      </c>
      <c r="C1565" s="90" t="s">
        <v>2642</v>
      </c>
      <c r="D1565" s="89">
        <v>10</v>
      </c>
      <c r="E1565" s="91" t="s">
        <v>25</v>
      </c>
      <c r="F1565" s="92">
        <v>1030000</v>
      </c>
      <c r="G1565" s="92">
        <v>10300000</v>
      </c>
    </row>
    <row r="1566" spans="1:7" x14ac:dyDescent="0.25">
      <c r="A1566" s="7" t="s">
        <v>195</v>
      </c>
      <c r="B1566" s="89" t="s">
        <v>195</v>
      </c>
      <c r="C1566" s="90" t="s">
        <v>2643</v>
      </c>
      <c r="D1566" s="89">
        <v>0</v>
      </c>
      <c r="E1566" s="91" t="s">
        <v>195</v>
      </c>
      <c r="F1566" s="92">
        <v>0</v>
      </c>
      <c r="G1566" s="92">
        <v>0</v>
      </c>
    </row>
    <row r="1567" spans="1:7" ht="27.6" x14ac:dyDescent="0.25">
      <c r="A1567" s="7" t="s">
        <v>2644</v>
      </c>
      <c r="B1567" s="89" t="s">
        <v>195</v>
      </c>
      <c r="C1567" s="90" t="s">
        <v>2630</v>
      </c>
      <c r="D1567" s="89">
        <v>30</v>
      </c>
      <c r="E1567" s="91" t="s">
        <v>25</v>
      </c>
      <c r="F1567" s="92">
        <v>150000</v>
      </c>
      <c r="G1567" s="92">
        <v>4500000</v>
      </c>
    </row>
    <row r="1568" spans="1:7" ht="27.6" x14ac:dyDescent="0.25">
      <c r="A1568" s="7" t="s">
        <v>2645</v>
      </c>
      <c r="B1568" s="89" t="s">
        <v>195</v>
      </c>
      <c r="C1568" s="90" t="s">
        <v>2646</v>
      </c>
      <c r="D1568" s="89">
        <v>30</v>
      </c>
      <c r="E1568" s="91" t="s">
        <v>25</v>
      </c>
      <c r="F1568" s="92">
        <v>600000</v>
      </c>
      <c r="G1568" s="92">
        <v>18000000</v>
      </c>
    </row>
    <row r="1569" spans="1:7" ht="27.6" x14ac:dyDescent="0.25">
      <c r="A1569" s="7" t="s">
        <v>2647</v>
      </c>
      <c r="B1569" s="93" t="s">
        <v>1316</v>
      </c>
      <c r="C1569" s="94" t="s">
        <v>2648</v>
      </c>
      <c r="D1569" s="93"/>
      <c r="E1569" s="95"/>
      <c r="F1569" s="96"/>
      <c r="G1569" s="96">
        <v>1448000000</v>
      </c>
    </row>
    <row r="1570" spans="1:7" ht="27.6" x14ac:dyDescent="0.25">
      <c r="A1570" s="7" t="s">
        <v>2649</v>
      </c>
      <c r="B1570" s="97" t="s">
        <v>8</v>
      </c>
      <c r="C1570" s="98" t="s">
        <v>126</v>
      </c>
      <c r="D1570" s="97"/>
      <c r="E1570" s="99"/>
      <c r="F1570" s="100"/>
      <c r="G1570" s="100">
        <v>68200000</v>
      </c>
    </row>
    <row r="1571" spans="1:7" x14ac:dyDescent="0.25">
      <c r="A1571" s="7" t="s">
        <v>2650</v>
      </c>
      <c r="B1571" s="78" t="s">
        <v>503</v>
      </c>
      <c r="C1571" s="79" t="s">
        <v>7</v>
      </c>
      <c r="D1571" s="78"/>
      <c r="E1571" s="80"/>
      <c r="F1571" s="81"/>
      <c r="G1571" s="81">
        <v>26200000</v>
      </c>
    </row>
    <row r="1572" spans="1:7" x14ac:dyDescent="0.25">
      <c r="A1572" s="7" t="s">
        <v>2651</v>
      </c>
      <c r="B1572" s="89" t="s">
        <v>195</v>
      </c>
      <c r="C1572" s="90" t="s">
        <v>619</v>
      </c>
      <c r="D1572" s="89">
        <v>3</v>
      </c>
      <c r="E1572" s="91" t="s">
        <v>9</v>
      </c>
      <c r="F1572" s="92">
        <v>1000000</v>
      </c>
      <c r="G1572" s="92">
        <v>3000000</v>
      </c>
    </row>
    <row r="1573" spans="1:7" x14ac:dyDescent="0.25">
      <c r="A1573" s="7" t="s">
        <v>2652</v>
      </c>
      <c r="B1573" s="89" t="s">
        <v>195</v>
      </c>
      <c r="C1573" s="90" t="s">
        <v>620</v>
      </c>
      <c r="D1573" s="89">
        <v>3</v>
      </c>
      <c r="E1573" s="91" t="s">
        <v>9</v>
      </c>
      <c r="F1573" s="92">
        <v>1000000</v>
      </c>
      <c r="G1573" s="92">
        <v>3000000</v>
      </c>
    </row>
    <row r="1574" spans="1:7" x14ac:dyDescent="0.25">
      <c r="A1574" s="7" t="s">
        <v>2653</v>
      </c>
      <c r="B1574" s="89" t="s">
        <v>195</v>
      </c>
      <c r="C1574" s="90" t="s">
        <v>617</v>
      </c>
      <c r="D1574" s="89">
        <v>3</v>
      </c>
      <c r="E1574" s="91" t="s">
        <v>9</v>
      </c>
      <c r="F1574" s="92">
        <v>1000000</v>
      </c>
      <c r="G1574" s="92">
        <v>3000000</v>
      </c>
    </row>
    <row r="1575" spans="1:7" x14ac:dyDescent="0.25">
      <c r="A1575" s="7" t="s">
        <v>2654</v>
      </c>
      <c r="B1575" s="89" t="s">
        <v>195</v>
      </c>
      <c r="C1575" s="90" t="s">
        <v>2655</v>
      </c>
      <c r="D1575" s="89">
        <v>100</v>
      </c>
      <c r="E1575" s="91" t="s">
        <v>10</v>
      </c>
      <c r="F1575" s="92">
        <v>22000</v>
      </c>
      <c r="G1575" s="92">
        <v>2200000</v>
      </c>
    </row>
    <row r="1576" spans="1:7" x14ac:dyDescent="0.25">
      <c r="A1576" s="7" t="s">
        <v>2656</v>
      </c>
      <c r="B1576" s="89" t="s">
        <v>195</v>
      </c>
      <c r="C1576" s="90" t="s">
        <v>2657</v>
      </c>
      <c r="D1576" s="89">
        <v>3</v>
      </c>
      <c r="E1576" s="91" t="s">
        <v>9</v>
      </c>
      <c r="F1576" s="92">
        <v>5000000</v>
      </c>
      <c r="G1576" s="92">
        <v>15000000</v>
      </c>
    </row>
    <row r="1577" spans="1:7" x14ac:dyDescent="0.25">
      <c r="A1577" s="7" t="s">
        <v>2658</v>
      </c>
      <c r="B1577" s="78" t="s">
        <v>513</v>
      </c>
      <c r="C1577" s="79" t="s">
        <v>19</v>
      </c>
      <c r="D1577" s="78"/>
      <c r="E1577" s="80"/>
      <c r="F1577" s="81"/>
      <c r="G1577" s="81">
        <v>42000000</v>
      </c>
    </row>
    <row r="1578" spans="1:7" ht="27.6" x14ac:dyDescent="0.25">
      <c r="A1578" s="7" t="s">
        <v>2659</v>
      </c>
      <c r="B1578" s="89" t="s">
        <v>195</v>
      </c>
      <c r="C1578" s="90" t="s">
        <v>2660</v>
      </c>
      <c r="D1578" s="89">
        <v>10</v>
      </c>
      <c r="E1578" s="91" t="s">
        <v>10</v>
      </c>
      <c r="F1578" s="92">
        <v>4200000</v>
      </c>
      <c r="G1578" s="92">
        <v>42000000</v>
      </c>
    </row>
    <row r="1579" spans="1:7" ht="27.6" x14ac:dyDescent="0.25">
      <c r="A1579" s="7" t="s">
        <v>2661</v>
      </c>
      <c r="B1579" s="97" t="s">
        <v>511</v>
      </c>
      <c r="C1579" s="98" t="s">
        <v>2662</v>
      </c>
      <c r="D1579" s="97"/>
      <c r="E1579" s="99"/>
      <c r="F1579" s="100"/>
      <c r="G1579" s="100">
        <v>72700000</v>
      </c>
    </row>
    <row r="1580" spans="1:7" x14ac:dyDescent="0.25">
      <c r="A1580" s="7" t="s">
        <v>2663</v>
      </c>
      <c r="B1580" s="78" t="s">
        <v>503</v>
      </c>
      <c r="C1580" s="79" t="s">
        <v>7</v>
      </c>
      <c r="D1580" s="78"/>
      <c r="E1580" s="80"/>
      <c r="F1580" s="81"/>
      <c r="G1580" s="81">
        <v>26200000</v>
      </c>
    </row>
    <row r="1581" spans="1:7" x14ac:dyDescent="0.25">
      <c r="A1581" s="7" t="s">
        <v>2664</v>
      </c>
      <c r="B1581" s="89" t="s">
        <v>195</v>
      </c>
      <c r="C1581" s="90" t="s">
        <v>619</v>
      </c>
      <c r="D1581" s="89">
        <v>3</v>
      </c>
      <c r="E1581" s="91" t="s">
        <v>9</v>
      </c>
      <c r="F1581" s="92">
        <v>1000000</v>
      </c>
      <c r="G1581" s="92">
        <v>3000000</v>
      </c>
    </row>
    <row r="1582" spans="1:7" x14ac:dyDescent="0.25">
      <c r="A1582" s="7" t="s">
        <v>2665</v>
      </c>
      <c r="B1582" s="89" t="s">
        <v>195</v>
      </c>
      <c r="C1582" s="90" t="s">
        <v>620</v>
      </c>
      <c r="D1582" s="89">
        <v>3</v>
      </c>
      <c r="E1582" s="91" t="s">
        <v>9</v>
      </c>
      <c r="F1582" s="92">
        <v>1000000</v>
      </c>
      <c r="G1582" s="92">
        <v>3000000</v>
      </c>
    </row>
    <row r="1583" spans="1:7" x14ac:dyDescent="0.25">
      <c r="A1583" s="7" t="s">
        <v>2666</v>
      </c>
      <c r="B1583" s="89" t="s">
        <v>195</v>
      </c>
      <c r="C1583" s="90" t="s">
        <v>617</v>
      </c>
      <c r="D1583" s="89">
        <v>3</v>
      </c>
      <c r="E1583" s="91" t="s">
        <v>9</v>
      </c>
      <c r="F1583" s="92">
        <v>1000000</v>
      </c>
      <c r="G1583" s="92">
        <v>3000000</v>
      </c>
    </row>
    <row r="1584" spans="1:7" x14ac:dyDescent="0.25">
      <c r="A1584" s="7" t="s">
        <v>2667</v>
      </c>
      <c r="B1584" s="89" t="s">
        <v>195</v>
      </c>
      <c r="C1584" s="90" t="s">
        <v>2655</v>
      </c>
      <c r="D1584" s="89">
        <v>100</v>
      </c>
      <c r="E1584" s="91" t="s">
        <v>10</v>
      </c>
      <c r="F1584" s="92">
        <v>22000</v>
      </c>
      <c r="G1584" s="92">
        <v>2200000</v>
      </c>
    </row>
    <row r="1585" spans="1:7" x14ac:dyDescent="0.25">
      <c r="A1585" s="7" t="s">
        <v>2668</v>
      </c>
      <c r="B1585" s="89" t="s">
        <v>195</v>
      </c>
      <c r="C1585" s="90" t="s">
        <v>2657</v>
      </c>
      <c r="D1585" s="89">
        <v>3</v>
      </c>
      <c r="E1585" s="91" t="s">
        <v>9</v>
      </c>
      <c r="F1585" s="92">
        <v>5000000</v>
      </c>
      <c r="G1585" s="92">
        <v>15000000</v>
      </c>
    </row>
    <row r="1586" spans="1:7" x14ac:dyDescent="0.25">
      <c r="A1586" s="7" t="s">
        <v>2669</v>
      </c>
      <c r="B1586" s="78" t="s">
        <v>513</v>
      </c>
      <c r="C1586" s="79" t="s">
        <v>19</v>
      </c>
      <c r="D1586" s="78"/>
      <c r="E1586" s="80"/>
      <c r="F1586" s="81"/>
      <c r="G1586" s="81">
        <v>42000000</v>
      </c>
    </row>
    <row r="1587" spans="1:7" ht="27.6" x14ac:dyDescent="0.25">
      <c r="A1587" s="7" t="s">
        <v>2670</v>
      </c>
      <c r="B1587" s="89" t="s">
        <v>195</v>
      </c>
      <c r="C1587" s="90" t="s">
        <v>2660</v>
      </c>
      <c r="D1587" s="89">
        <v>10</v>
      </c>
      <c r="E1587" s="91" t="s">
        <v>10</v>
      </c>
      <c r="F1587" s="92">
        <v>4200000</v>
      </c>
      <c r="G1587" s="92">
        <v>42000000</v>
      </c>
    </row>
    <row r="1588" spans="1:7" x14ac:dyDescent="0.25">
      <c r="A1588" s="7" t="s">
        <v>2671</v>
      </c>
      <c r="B1588" s="78" t="s">
        <v>507</v>
      </c>
      <c r="C1588" s="79" t="s">
        <v>13</v>
      </c>
      <c r="D1588" s="78"/>
      <c r="E1588" s="80"/>
      <c r="F1588" s="81"/>
      <c r="G1588" s="81">
        <v>4500000</v>
      </c>
    </row>
    <row r="1589" spans="1:7" x14ac:dyDescent="0.25">
      <c r="A1589" s="7" t="s">
        <v>2672</v>
      </c>
      <c r="B1589" s="89" t="s">
        <v>195</v>
      </c>
      <c r="C1589" s="90" t="s">
        <v>2673</v>
      </c>
      <c r="D1589" s="89">
        <v>30</v>
      </c>
      <c r="E1589" s="91" t="s">
        <v>10</v>
      </c>
      <c r="F1589" s="92">
        <v>150000</v>
      </c>
      <c r="G1589" s="92">
        <v>4500000</v>
      </c>
    </row>
    <row r="1590" spans="1:7" ht="27.6" x14ac:dyDescent="0.25">
      <c r="A1590" s="7" t="s">
        <v>2674</v>
      </c>
      <c r="B1590" s="97" t="s">
        <v>512</v>
      </c>
      <c r="C1590" s="98" t="s">
        <v>127</v>
      </c>
      <c r="D1590" s="97"/>
      <c r="E1590" s="99"/>
      <c r="F1590" s="100"/>
      <c r="G1590" s="100">
        <v>851600000</v>
      </c>
    </row>
    <row r="1591" spans="1:7" x14ac:dyDescent="0.25">
      <c r="A1591" s="7" t="s">
        <v>2675</v>
      </c>
      <c r="B1591" s="78" t="s">
        <v>503</v>
      </c>
      <c r="C1591" s="79" t="s">
        <v>7</v>
      </c>
      <c r="D1591" s="78"/>
      <c r="E1591" s="80"/>
      <c r="F1591" s="81"/>
      <c r="G1591" s="81">
        <v>68650000</v>
      </c>
    </row>
    <row r="1592" spans="1:7" x14ac:dyDescent="0.25">
      <c r="A1592" s="7" t="s">
        <v>2676</v>
      </c>
      <c r="B1592" s="89" t="s">
        <v>195</v>
      </c>
      <c r="C1592" s="90" t="s">
        <v>619</v>
      </c>
      <c r="D1592" s="89">
        <v>2</v>
      </c>
      <c r="E1592" s="91" t="s">
        <v>9</v>
      </c>
      <c r="F1592" s="92">
        <v>1000000</v>
      </c>
      <c r="G1592" s="92">
        <v>2000000</v>
      </c>
    </row>
    <row r="1593" spans="1:7" x14ac:dyDescent="0.25">
      <c r="A1593" s="7" t="s">
        <v>2677</v>
      </c>
      <c r="B1593" s="89" t="s">
        <v>195</v>
      </c>
      <c r="C1593" s="90" t="s">
        <v>620</v>
      </c>
      <c r="D1593" s="89">
        <v>2</v>
      </c>
      <c r="E1593" s="91" t="s">
        <v>9</v>
      </c>
      <c r="F1593" s="92">
        <v>1000000</v>
      </c>
      <c r="G1593" s="92">
        <v>2000000</v>
      </c>
    </row>
    <row r="1594" spans="1:7" x14ac:dyDescent="0.25">
      <c r="A1594" s="7" t="s">
        <v>2678</v>
      </c>
      <c r="B1594" s="89" t="s">
        <v>195</v>
      </c>
      <c r="C1594" s="90" t="s">
        <v>617</v>
      </c>
      <c r="D1594" s="89">
        <v>2</v>
      </c>
      <c r="E1594" s="91" t="s">
        <v>9</v>
      </c>
      <c r="F1594" s="92">
        <v>1500000</v>
      </c>
      <c r="G1594" s="92">
        <v>3000000</v>
      </c>
    </row>
    <row r="1595" spans="1:7" x14ac:dyDescent="0.25">
      <c r="A1595" s="7" t="s">
        <v>2679</v>
      </c>
      <c r="B1595" s="89" t="s">
        <v>195</v>
      </c>
      <c r="C1595" s="90" t="s">
        <v>920</v>
      </c>
      <c r="D1595" s="89">
        <v>2</v>
      </c>
      <c r="E1595" s="91" t="s">
        <v>9</v>
      </c>
      <c r="F1595" s="92">
        <v>1500000</v>
      </c>
      <c r="G1595" s="92">
        <v>3000000</v>
      </c>
    </row>
    <row r="1596" spans="1:7" x14ac:dyDescent="0.25">
      <c r="A1596" s="7" t="s">
        <v>2680</v>
      </c>
      <c r="B1596" s="89" t="s">
        <v>195</v>
      </c>
      <c r="C1596" s="90" t="s">
        <v>2681</v>
      </c>
      <c r="D1596" s="89">
        <v>140</v>
      </c>
      <c r="E1596" s="91" t="s">
        <v>10</v>
      </c>
      <c r="F1596" s="92">
        <v>350000</v>
      </c>
      <c r="G1596" s="92">
        <v>49000000</v>
      </c>
    </row>
    <row r="1597" spans="1:7" x14ac:dyDescent="0.25">
      <c r="A1597" s="7" t="s">
        <v>2682</v>
      </c>
      <c r="B1597" s="89" t="s">
        <v>195</v>
      </c>
      <c r="C1597" s="90" t="s">
        <v>1276</v>
      </c>
      <c r="D1597" s="89">
        <v>2</v>
      </c>
      <c r="E1597" s="91" t="s">
        <v>9</v>
      </c>
      <c r="F1597" s="92">
        <v>4000000</v>
      </c>
      <c r="G1597" s="92">
        <v>8000000</v>
      </c>
    </row>
    <row r="1598" spans="1:7" x14ac:dyDescent="0.25">
      <c r="A1598" s="7" t="s">
        <v>2683</v>
      </c>
      <c r="B1598" s="89" t="s">
        <v>195</v>
      </c>
      <c r="C1598" s="90" t="s">
        <v>2655</v>
      </c>
      <c r="D1598" s="89">
        <v>75</v>
      </c>
      <c r="E1598" s="91" t="s">
        <v>10</v>
      </c>
      <c r="F1598" s="92">
        <v>22000</v>
      </c>
      <c r="G1598" s="92">
        <v>1650000</v>
      </c>
    </row>
    <row r="1599" spans="1:7" x14ac:dyDescent="0.25">
      <c r="A1599" s="7" t="s">
        <v>2684</v>
      </c>
      <c r="B1599" s="78" t="s">
        <v>516</v>
      </c>
      <c r="C1599" s="79" t="s">
        <v>11</v>
      </c>
      <c r="D1599" s="78"/>
      <c r="E1599" s="80"/>
      <c r="F1599" s="81"/>
      <c r="G1599" s="81">
        <v>26400000</v>
      </c>
    </row>
    <row r="1600" spans="1:7" x14ac:dyDescent="0.25">
      <c r="A1600" s="7" t="s">
        <v>2685</v>
      </c>
      <c r="B1600" s="89" t="s">
        <v>195</v>
      </c>
      <c r="C1600" s="90" t="s">
        <v>2686</v>
      </c>
      <c r="D1600" s="89">
        <v>8</v>
      </c>
      <c r="E1600" s="91" t="s">
        <v>12</v>
      </c>
      <c r="F1600" s="92">
        <v>1400000</v>
      </c>
      <c r="G1600" s="92">
        <v>11200000</v>
      </c>
    </row>
    <row r="1601" spans="1:7" x14ac:dyDescent="0.25">
      <c r="A1601" s="7" t="s">
        <v>2687</v>
      </c>
      <c r="B1601" s="89" t="s">
        <v>195</v>
      </c>
      <c r="C1601" s="90" t="s">
        <v>2688</v>
      </c>
      <c r="D1601" s="89">
        <v>8</v>
      </c>
      <c r="E1601" s="91" t="s">
        <v>12</v>
      </c>
      <c r="F1601" s="92">
        <v>1000000</v>
      </c>
      <c r="G1601" s="92">
        <v>8000000</v>
      </c>
    </row>
    <row r="1602" spans="1:7" x14ac:dyDescent="0.25">
      <c r="A1602" s="7" t="s">
        <v>2689</v>
      </c>
      <c r="B1602" s="89" t="s">
        <v>195</v>
      </c>
      <c r="C1602" s="90" t="s">
        <v>2690</v>
      </c>
      <c r="D1602" s="89">
        <v>8</v>
      </c>
      <c r="E1602" s="91" t="s">
        <v>12</v>
      </c>
      <c r="F1602" s="92">
        <v>900000</v>
      </c>
      <c r="G1602" s="92">
        <v>7200000</v>
      </c>
    </row>
    <row r="1603" spans="1:7" x14ac:dyDescent="0.25">
      <c r="A1603" s="7" t="s">
        <v>2691</v>
      </c>
      <c r="B1603" s="78" t="s">
        <v>518</v>
      </c>
      <c r="C1603" s="79" t="s">
        <v>24</v>
      </c>
      <c r="D1603" s="78"/>
      <c r="E1603" s="80"/>
      <c r="F1603" s="81"/>
      <c r="G1603" s="81">
        <v>32000000</v>
      </c>
    </row>
    <row r="1604" spans="1:7" x14ac:dyDescent="0.25">
      <c r="A1604" s="7" t="s">
        <v>2692</v>
      </c>
      <c r="B1604" s="89" t="s">
        <v>195</v>
      </c>
      <c r="C1604" s="90" t="s">
        <v>2693</v>
      </c>
      <c r="D1604" s="89">
        <v>160</v>
      </c>
      <c r="E1604" s="91" t="s">
        <v>10</v>
      </c>
      <c r="F1604" s="92">
        <v>200000</v>
      </c>
      <c r="G1604" s="92">
        <v>32000000</v>
      </c>
    </row>
    <row r="1605" spans="1:7" x14ac:dyDescent="0.25">
      <c r="A1605" s="7" t="s">
        <v>2694</v>
      </c>
      <c r="B1605" s="78" t="s">
        <v>513</v>
      </c>
      <c r="C1605" s="79" t="s">
        <v>19</v>
      </c>
      <c r="D1605" s="78"/>
      <c r="E1605" s="80"/>
      <c r="F1605" s="81"/>
      <c r="G1605" s="81">
        <v>60000000</v>
      </c>
    </row>
    <row r="1606" spans="1:7" ht="27.6" x14ac:dyDescent="0.25">
      <c r="A1606" s="7" t="s">
        <v>2695</v>
      </c>
      <c r="B1606" s="89" t="s">
        <v>195</v>
      </c>
      <c r="C1606" s="90" t="s">
        <v>2696</v>
      </c>
      <c r="D1606" s="89">
        <v>15</v>
      </c>
      <c r="E1606" s="91" t="s">
        <v>10</v>
      </c>
      <c r="F1606" s="92">
        <v>4000000</v>
      </c>
      <c r="G1606" s="92">
        <v>60000000</v>
      </c>
    </row>
    <row r="1607" spans="1:7" x14ac:dyDescent="0.25">
      <c r="A1607" s="7" t="s">
        <v>2697</v>
      </c>
      <c r="B1607" s="78" t="s">
        <v>510</v>
      </c>
      <c r="C1607" s="79" t="s">
        <v>15</v>
      </c>
      <c r="D1607" s="78"/>
      <c r="E1607" s="80"/>
      <c r="F1607" s="81"/>
      <c r="G1607" s="81">
        <v>664550000</v>
      </c>
    </row>
    <row r="1608" spans="1:7" x14ac:dyDescent="0.25">
      <c r="A1608" s="7" t="s">
        <v>2698</v>
      </c>
      <c r="B1608" s="89" t="s">
        <v>195</v>
      </c>
      <c r="C1608" s="90" t="s">
        <v>2699</v>
      </c>
      <c r="D1608" s="89">
        <v>280</v>
      </c>
      <c r="E1608" s="91" t="s">
        <v>16</v>
      </c>
      <c r="F1608" s="92">
        <v>820000</v>
      </c>
      <c r="G1608" s="92">
        <v>229600000</v>
      </c>
    </row>
    <row r="1609" spans="1:7" x14ac:dyDescent="0.25">
      <c r="A1609" s="7" t="s">
        <v>2700</v>
      </c>
      <c r="B1609" s="89" t="s">
        <v>195</v>
      </c>
      <c r="C1609" s="90" t="s">
        <v>2701</v>
      </c>
      <c r="D1609" s="89">
        <v>420</v>
      </c>
      <c r="E1609" s="91" t="s">
        <v>16</v>
      </c>
      <c r="F1609" s="92">
        <v>150000</v>
      </c>
      <c r="G1609" s="92">
        <v>63000000</v>
      </c>
    </row>
    <row r="1610" spans="1:7" x14ac:dyDescent="0.25">
      <c r="A1610" s="7" t="s">
        <v>2702</v>
      </c>
      <c r="B1610" s="89" t="s">
        <v>195</v>
      </c>
      <c r="C1610" s="90" t="s">
        <v>2703</v>
      </c>
      <c r="D1610" s="89">
        <v>140</v>
      </c>
      <c r="E1610" s="91" t="s">
        <v>10</v>
      </c>
      <c r="F1610" s="92">
        <v>2341000</v>
      </c>
      <c r="G1610" s="92">
        <v>327750000</v>
      </c>
    </row>
    <row r="1611" spans="1:7" x14ac:dyDescent="0.25">
      <c r="A1611" s="7" t="s">
        <v>2704</v>
      </c>
      <c r="B1611" s="89" t="s">
        <v>195</v>
      </c>
      <c r="C1611" s="90" t="s">
        <v>2705</v>
      </c>
      <c r="D1611" s="89">
        <v>34</v>
      </c>
      <c r="E1611" s="91" t="s">
        <v>10</v>
      </c>
      <c r="F1611" s="92">
        <v>1300000</v>
      </c>
      <c r="G1611" s="92">
        <v>44200000</v>
      </c>
    </row>
    <row r="1612" spans="1:7" ht="41.4" x14ac:dyDescent="0.25">
      <c r="A1612" s="7" t="s">
        <v>2706</v>
      </c>
      <c r="B1612" s="97" t="s">
        <v>514</v>
      </c>
      <c r="C1612" s="98" t="s">
        <v>128</v>
      </c>
      <c r="D1612" s="97"/>
      <c r="E1612" s="99"/>
      <c r="F1612" s="100"/>
      <c r="G1612" s="100">
        <v>455500000</v>
      </c>
    </row>
    <row r="1613" spans="1:7" x14ac:dyDescent="0.25">
      <c r="A1613" s="7" t="s">
        <v>2707</v>
      </c>
      <c r="B1613" s="78" t="s">
        <v>503</v>
      </c>
      <c r="C1613" s="79" t="s">
        <v>7</v>
      </c>
      <c r="D1613" s="78"/>
      <c r="E1613" s="80"/>
      <c r="F1613" s="81"/>
      <c r="G1613" s="81">
        <v>49800000</v>
      </c>
    </row>
    <row r="1614" spans="1:7" x14ac:dyDescent="0.25">
      <c r="A1614" s="7" t="s">
        <v>2708</v>
      </c>
      <c r="B1614" s="89" t="s">
        <v>195</v>
      </c>
      <c r="C1614" s="90" t="s">
        <v>619</v>
      </c>
      <c r="D1614" s="89">
        <v>4</v>
      </c>
      <c r="E1614" s="91" t="s">
        <v>9</v>
      </c>
      <c r="F1614" s="92">
        <v>1000000</v>
      </c>
      <c r="G1614" s="92">
        <v>4000000</v>
      </c>
    </row>
    <row r="1615" spans="1:7" x14ac:dyDescent="0.25">
      <c r="A1615" s="7" t="s">
        <v>2709</v>
      </c>
      <c r="B1615" s="89" t="s">
        <v>195</v>
      </c>
      <c r="C1615" s="90" t="s">
        <v>620</v>
      </c>
      <c r="D1615" s="89">
        <v>4</v>
      </c>
      <c r="E1615" s="91" t="s">
        <v>9</v>
      </c>
      <c r="F1615" s="92">
        <v>1000000</v>
      </c>
      <c r="G1615" s="92">
        <v>4000000</v>
      </c>
    </row>
    <row r="1616" spans="1:7" x14ac:dyDescent="0.25">
      <c r="A1616" s="7" t="s">
        <v>2710</v>
      </c>
      <c r="B1616" s="89" t="s">
        <v>195</v>
      </c>
      <c r="C1616" s="90" t="s">
        <v>617</v>
      </c>
      <c r="D1616" s="89">
        <v>4</v>
      </c>
      <c r="E1616" s="91" t="s">
        <v>9</v>
      </c>
      <c r="F1616" s="92">
        <v>1000000</v>
      </c>
      <c r="G1616" s="92">
        <v>4000000</v>
      </c>
    </row>
    <row r="1617" spans="1:7" x14ac:dyDescent="0.25">
      <c r="A1617" s="7" t="s">
        <v>2711</v>
      </c>
      <c r="B1617" s="89" t="s">
        <v>195</v>
      </c>
      <c r="C1617" s="90" t="s">
        <v>1276</v>
      </c>
      <c r="D1617" s="89">
        <v>4</v>
      </c>
      <c r="E1617" s="91" t="s">
        <v>9</v>
      </c>
      <c r="F1617" s="92">
        <v>6000000</v>
      </c>
      <c r="G1617" s="92">
        <v>24000000</v>
      </c>
    </row>
    <row r="1618" spans="1:7" x14ac:dyDescent="0.25">
      <c r="A1618" s="7" t="s">
        <v>2712</v>
      </c>
      <c r="B1618" s="89" t="s">
        <v>195</v>
      </c>
      <c r="C1618" s="90" t="s">
        <v>2713</v>
      </c>
      <c r="D1618" s="89">
        <v>200</v>
      </c>
      <c r="E1618" s="91" t="s">
        <v>10</v>
      </c>
      <c r="F1618" s="92">
        <v>69000</v>
      </c>
      <c r="G1618" s="92">
        <v>13800000</v>
      </c>
    </row>
    <row r="1619" spans="1:7" ht="27.6" x14ac:dyDescent="0.25">
      <c r="A1619" s="7" t="s">
        <v>2714</v>
      </c>
      <c r="B1619" s="78" t="s">
        <v>515</v>
      </c>
      <c r="C1619" s="79" t="s">
        <v>642</v>
      </c>
      <c r="D1619" s="78"/>
      <c r="E1619" s="80"/>
      <c r="F1619" s="81"/>
      <c r="G1619" s="81">
        <v>12000000</v>
      </c>
    </row>
    <row r="1620" spans="1:7" x14ac:dyDescent="0.25">
      <c r="A1620" s="7" t="s">
        <v>2715</v>
      </c>
      <c r="B1620" s="89" t="s">
        <v>195</v>
      </c>
      <c r="C1620" s="90" t="s">
        <v>2716</v>
      </c>
      <c r="D1620" s="89">
        <v>60</v>
      </c>
      <c r="E1620" s="91" t="s">
        <v>21</v>
      </c>
      <c r="F1620" s="92">
        <v>200000</v>
      </c>
      <c r="G1620" s="92">
        <v>12000000</v>
      </c>
    </row>
    <row r="1621" spans="1:7" x14ac:dyDescent="0.25">
      <c r="A1621" s="7" t="s">
        <v>2717</v>
      </c>
      <c r="B1621" s="78" t="s">
        <v>516</v>
      </c>
      <c r="C1621" s="79" t="s">
        <v>11</v>
      </c>
      <c r="D1621" s="78"/>
      <c r="E1621" s="80"/>
      <c r="F1621" s="81"/>
      <c r="G1621" s="81">
        <v>30700000</v>
      </c>
    </row>
    <row r="1622" spans="1:7" x14ac:dyDescent="0.25">
      <c r="A1622" s="7" t="s">
        <v>2718</v>
      </c>
      <c r="B1622" s="89" t="s">
        <v>195</v>
      </c>
      <c r="C1622" s="90" t="s">
        <v>2719</v>
      </c>
      <c r="D1622" s="89">
        <v>3</v>
      </c>
      <c r="E1622" s="91" t="s">
        <v>12</v>
      </c>
      <c r="F1622" s="92">
        <v>1700000</v>
      </c>
      <c r="G1622" s="92">
        <v>5100000</v>
      </c>
    </row>
    <row r="1623" spans="1:7" x14ac:dyDescent="0.25">
      <c r="A1623" s="7" t="s">
        <v>2720</v>
      </c>
      <c r="B1623" s="89" t="s">
        <v>195</v>
      </c>
      <c r="C1623" s="90" t="s">
        <v>2721</v>
      </c>
      <c r="D1623" s="89">
        <v>8</v>
      </c>
      <c r="E1623" s="91" t="s">
        <v>12</v>
      </c>
      <c r="F1623" s="92">
        <v>1400000</v>
      </c>
      <c r="G1623" s="92">
        <v>11200000</v>
      </c>
    </row>
    <row r="1624" spans="1:7" x14ac:dyDescent="0.25">
      <c r="A1624" s="7" t="s">
        <v>2722</v>
      </c>
      <c r="B1624" s="89" t="s">
        <v>195</v>
      </c>
      <c r="C1624" s="90" t="s">
        <v>2723</v>
      </c>
      <c r="D1624" s="89">
        <v>8</v>
      </c>
      <c r="E1624" s="91" t="s">
        <v>12</v>
      </c>
      <c r="F1624" s="92">
        <v>1000000</v>
      </c>
      <c r="G1624" s="92">
        <v>8000000</v>
      </c>
    </row>
    <row r="1625" spans="1:7" x14ac:dyDescent="0.25">
      <c r="A1625" s="7" t="s">
        <v>2724</v>
      </c>
      <c r="B1625" s="89" t="s">
        <v>195</v>
      </c>
      <c r="C1625" s="90" t="s">
        <v>2725</v>
      </c>
      <c r="D1625" s="89">
        <v>8</v>
      </c>
      <c r="E1625" s="91" t="s">
        <v>12</v>
      </c>
      <c r="F1625" s="92">
        <v>800000</v>
      </c>
      <c r="G1625" s="92">
        <v>6400000</v>
      </c>
    </row>
    <row r="1626" spans="1:7" x14ac:dyDescent="0.25">
      <c r="A1626" s="7" t="s">
        <v>2726</v>
      </c>
      <c r="B1626" s="78" t="s">
        <v>517</v>
      </c>
      <c r="C1626" s="79" t="s">
        <v>22</v>
      </c>
      <c r="D1626" s="78"/>
      <c r="E1626" s="80"/>
      <c r="F1626" s="81"/>
      <c r="G1626" s="81">
        <v>320000000</v>
      </c>
    </row>
    <row r="1627" spans="1:7" ht="27.6" x14ac:dyDescent="0.25">
      <c r="A1627" s="7" t="s">
        <v>2727</v>
      </c>
      <c r="B1627" s="89" t="s">
        <v>195</v>
      </c>
      <c r="C1627" s="90" t="s">
        <v>2728</v>
      </c>
      <c r="D1627" s="89">
        <v>1</v>
      </c>
      <c r="E1627" s="91" t="s">
        <v>9</v>
      </c>
      <c r="F1627" s="92">
        <v>50000000</v>
      </c>
      <c r="G1627" s="92">
        <v>50000000</v>
      </c>
    </row>
    <row r="1628" spans="1:7" x14ac:dyDescent="0.25">
      <c r="A1628" s="7" t="s">
        <v>2729</v>
      </c>
      <c r="B1628" s="89" t="s">
        <v>195</v>
      </c>
      <c r="C1628" s="90" t="s">
        <v>2730</v>
      </c>
      <c r="D1628" s="89">
        <v>5</v>
      </c>
      <c r="E1628" s="91" t="s">
        <v>9</v>
      </c>
      <c r="F1628" s="92">
        <v>27000000</v>
      </c>
      <c r="G1628" s="92">
        <v>135000000</v>
      </c>
    </row>
    <row r="1629" spans="1:7" x14ac:dyDescent="0.25">
      <c r="A1629" s="7" t="s">
        <v>2731</v>
      </c>
      <c r="B1629" s="89" t="s">
        <v>195</v>
      </c>
      <c r="C1629" s="90" t="s">
        <v>2732</v>
      </c>
      <c r="D1629" s="89">
        <v>5</v>
      </c>
      <c r="E1629" s="91" t="s">
        <v>9</v>
      </c>
      <c r="F1629" s="92">
        <v>27000000</v>
      </c>
      <c r="G1629" s="92">
        <v>135000000</v>
      </c>
    </row>
    <row r="1630" spans="1:7" x14ac:dyDescent="0.25">
      <c r="A1630" s="7" t="s">
        <v>2733</v>
      </c>
      <c r="B1630" s="78" t="s">
        <v>513</v>
      </c>
      <c r="C1630" s="79" t="s">
        <v>19</v>
      </c>
      <c r="D1630" s="78"/>
      <c r="E1630" s="80"/>
      <c r="F1630" s="81"/>
      <c r="G1630" s="81">
        <v>40000000</v>
      </c>
    </row>
    <row r="1631" spans="1:7" ht="27.6" x14ac:dyDescent="0.25">
      <c r="A1631" s="7" t="s">
        <v>2734</v>
      </c>
      <c r="B1631" s="89" t="s">
        <v>195</v>
      </c>
      <c r="C1631" s="90" t="s">
        <v>2735</v>
      </c>
      <c r="D1631" s="89">
        <v>10</v>
      </c>
      <c r="E1631" s="91" t="s">
        <v>10</v>
      </c>
      <c r="F1631" s="92">
        <v>4000000</v>
      </c>
      <c r="G1631" s="92">
        <v>40000000</v>
      </c>
    </row>
    <row r="1632" spans="1:7" x14ac:dyDescent="0.25">
      <c r="A1632" s="7" t="s">
        <v>2736</v>
      </c>
      <c r="B1632" s="78" t="s">
        <v>507</v>
      </c>
      <c r="C1632" s="79" t="s">
        <v>13</v>
      </c>
      <c r="D1632" s="78"/>
      <c r="E1632" s="80"/>
      <c r="F1632" s="81"/>
      <c r="G1632" s="81">
        <v>3000000</v>
      </c>
    </row>
    <row r="1633" spans="1:7" x14ac:dyDescent="0.25">
      <c r="A1633" s="7" t="s">
        <v>2737</v>
      </c>
      <c r="B1633" s="89" t="s">
        <v>195</v>
      </c>
      <c r="C1633" s="90" t="s">
        <v>2738</v>
      </c>
      <c r="D1633" s="89">
        <v>20</v>
      </c>
      <c r="E1633" s="91" t="s">
        <v>10</v>
      </c>
      <c r="F1633" s="92">
        <v>150000</v>
      </c>
      <c r="G1633" s="92">
        <v>3000000</v>
      </c>
    </row>
    <row r="1634" spans="1:7" ht="27.6" x14ac:dyDescent="0.25">
      <c r="A1634" s="7" t="s">
        <v>2739</v>
      </c>
      <c r="B1634" s="93" t="s">
        <v>833</v>
      </c>
      <c r="C1634" s="94" t="s">
        <v>2740</v>
      </c>
      <c r="D1634" s="93"/>
      <c r="E1634" s="95"/>
      <c r="F1634" s="96"/>
      <c r="G1634" s="96">
        <v>615138000</v>
      </c>
    </row>
    <row r="1635" spans="1:7" x14ac:dyDescent="0.25">
      <c r="A1635" s="7" t="s">
        <v>2741</v>
      </c>
      <c r="B1635" s="97" t="s">
        <v>8</v>
      </c>
      <c r="C1635" s="98" t="s">
        <v>129</v>
      </c>
      <c r="D1635" s="97"/>
      <c r="E1635" s="99"/>
      <c r="F1635" s="100"/>
      <c r="G1635" s="100">
        <v>101050000</v>
      </c>
    </row>
    <row r="1636" spans="1:7" x14ac:dyDescent="0.25">
      <c r="A1636" s="7" t="s">
        <v>2742</v>
      </c>
      <c r="B1636" s="78" t="s">
        <v>503</v>
      </c>
      <c r="C1636" s="79" t="s">
        <v>7</v>
      </c>
      <c r="D1636" s="78"/>
      <c r="E1636" s="80"/>
      <c r="F1636" s="81"/>
      <c r="G1636" s="81">
        <v>22650000</v>
      </c>
    </row>
    <row r="1637" spans="1:7" x14ac:dyDescent="0.25">
      <c r="A1637" s="7" t="s">
        <v>2743</v>
      </c>
      <c r="B1637" s="89" t="s">
        <v>195</v>
      </c>
      <c r="C1637" s="90" t="s">
        <v>617</v>
      </c>
      <c r="D1637" s="89">
        <v>6</v>
      </c>
      <c r="E1637" s="91" t="s">
        <v>9</v>
      </c>
      <c r="F1637" s="92">
        <v>1500000</v>
      </c>
      <c r="G1637" s="92">
        <v>9000000</v>
      </c>
    </row>
    <row r="1638" spans="1:7" x14ac:dyDescent="0.25">
      <c r="A1638" s="7" t="s">
        <v>2744</v>
      </c>
      <c r="B1638" s="89" t="s">
        <v>195</v>
      </c>
      <c r="C1638" s="90" t="s">
        <v>2745</v>
      </c>
      <c r="D1638" s="89">
        <v>70</v>
      </c>
      <c r="E1638" s="91" t="s">
        <v>10</v>
      </c>
      <c r="F1638" s="92">
        <v>70000</v>
      </c>
      <c r="G1638" s="92">
        <v>4900000</v>
      </c>
    </row>
    <row r="1639" spans="1:7" x14ac:dyDescent="0.25">
      <c r="A1639" s="7" t="s">
        <v>2746</v>
      </c>
      <c r="B1639" s="89" t="s">
        <v>195</v>
      </c>
      <c r="C1639" s="90" t="s">
        <v>2114</v>
      </c>
      <c r="D1639" s="89">
        <v>25</v>
      </c>
      <c r="E1639" s="91" t="s">
        <v>176</v>
      </c>
      <c r="F1639" s="92">
        <v>350000</v>
      </c>
      <c r="G1639" s="92">
        <v>8750000</v>
      </c>
    </row>
    <row r="1640" spans="1:7" x14ac:dyDescent="0.25">
      <c r="A1640" s="7" t="s">
        <v>2747</v>
      </c>
      <c r="B1640" s="78" t="s">
        <v>533</v>
      </c>
      <c r="C1640" s="79" t="s">
        <v>53</v>
      </c>
      <c r="D1640" s="78"/>
      <c r="E1640" s="80"/>
      <c r="F1640" s="81"/>
      <c r="G1640" s="81">
        <v>1000000</v>
      </c>
    </row>
    <row r="1641" spans="1:7" x14ac:dyDescent="0.25">
      <c r="A1641" s="7" t="s">
        <v>2748</v>
      </c>
      <c r="B1641" s="89" t="s">
        <v>195</v>
      </c>
      <c r="C1641" s="90" t="s">
        <v>785</v>
      </c>
      <c r="D1641" s="89">
        <v>4</v>
      </c>
      <c r="E1641" s="91" t="s">
        <v>2749</v>
      </c>
      <c r="F1641" s="92">
        <v>250000</v>
      </c>
      <c r="G1641" s="92">
        <v>1000000</v>
      </c>
    </row>
    <row r="1642" spans="1:7" x14ac:dyDescent="0.25">
      <c r="A1642" s="7" t="s">
        <v>2750</v>
      </c>
      <c r="B1642" s="78" t="s">
        <v>537</v>
      </c>
      <c r="C1642" s="79" t="s">
        <v>64</v>
      </c>
      <c r="D1642" s="78"/>
      <c r="E1642" s="80"/>
      <c r="F1642" s="81"/>
      <c r="G1642" s="81">
        <v>15000000</v>
      </c>
    </row>
    <row r="1643" spans="1:7" x14ac:dyDescent="0.25">
      <c r="A1643" s="7" t="s">
        <v>2751</v>
      </c>
      <c r="B1643" s="89" t="s">
        <v>195</v>
      </c>
      <c r="C1643" s="90" t="s">
        <v>619</v>
      </c>
      <c r="D1643" s="89">
        <v>6</v>
      </c>
      <c r="E1643" s="91" t="s">
        <v>106</v>
      </c>
      <c r="F1643" s="92">
        <v>1000000</v>
      </c>
      <c r="G1643" s="92">
        <v>6000000</v>
      </c>
    </row>
    <row r="1644" spans="1:7" x14ac:dyDescent="0.25">
      <c r="A1644" s="7" t="s">
        <v>2752</v>
      </c>
      <c r="B1644" s="89" t="s">
        <v>195</v>
      </c>
      <c r="C1644" s="90" t="s">
        <v>620</v>
      </c>
      <c r="D1644" s="89">
        <v>6</v>
      </c>
      <c r="E1644" s="91" t="s">
        <v>106</v>
      </c>
      <c r="F1644" s="92">
        <v>1500000</v>
      </c>
      <c r="G1644" s="92">
        <v>9000000</v>
      </c>
    </row>
    <row r="1645" spans="1:7" x14ac:dyDescent="0.25">
      <c r="A1645" s="7" t="s">
        <v>2753</v>
      </c>
      <c r="B1645" s="78" t="s">
        <v>513</v>
      </c>
      <c r="C1645" s="79" t="s">
        <v>19</v>
      </c>
      <c r="D1645" s="78"/>
      <c r="E1645" s="80"/>
      <c r="F1645" s="81"/>
      <c r="G1645" s="81">
        <v>62400000</v>
      </c>
    </row>
    <row r="1646" spans="1:7" x14ac:dyDescent="0.25">
      <c r="A1646" s="7" t="s">
        <v>2754</v>
      </c>
      <c r="B1646" s="89" t="s">
        <v>195</v>
      </c>
      <c r="C1646" s="90" t="s">
        <v>2755</v>
      </c>
      <c r="D1646" s="89">
        <v>12</v>
      </c>
      <c r="E1646" s="91" t="s">
        <v>10</v>
      </c>
      <c r="F1646" s="92">
        <v>5200000</v>
      </c>
      <c r="G1646" s="92">
        <v>62400000</v>
      </c>
    </row>
    <row r="1647" spans="1:7" x14ac:dyDescent="0.25">
      <c r="A1647" s="7" t="s">
        <v>2756</v>
      </c>
      <c r="B1647" s="97" t="s">
        <v>511</v>
      </c>
      <c r="C1647" s="98" t="s">
        <v>130</v>
      </c>
      <c r="D1647" s="97"/>
      <c r="E1647" s="99"/>
      <c r="F1647" s="100"/>
      <c r="G1647" s="100">
        <v>345988000</v>
      </c>
    </row>
    <row r="1648" spans="1:7" x14ac:dyDescent="0.25">
      <c r="A1648" s="7" t="s">
        <v>2757</v>
      </c>
      <c r="B1648" s="78" t="s">
        <v>503</v>
      </c>
      <c r="C1648" s="79" t="s">
        <v>7</v>
      </c>
      <c r="D1648" s="78"/>
      <c r="E1648" s="80"/>
      <c r="F1648" s="81"/>
      <c r="G1648" s="81">
        <v>49300000</v>
      </c>
    </row>
    <row r="1649" spans="1:7" x14ac:dyDescent="0.25">
      <c r="A1649" s="7" t="s">
        <v>2758</v>
      </c>
      <c r="B1649" s="89" t="s">
        <v>195</v>
      </c>
      <c r="C1649" s="90" t="s">
        <v>617</v>
      </c>
      <c r="D1649" s="89">
        <v>10</v>
      </c>
      <c r="E1649" s="91" t="s">
        <v>9</v>
      </c>
      <c r="F1649" s="92">
        <v>1500000</v>
      </c>
      <c r="G1649" s="92">
        <v>15000000</v>
      </c>
    </row>
    <row r="1650" spans="1:7" x14ac:dyDescent="0.25">
      <c r="A1650" s="7" t="s">
        <v>2759</v>
      </c>
      <c r="B1650" s="89" t="s">
        <v>195</v>
      </c>
      <c r="C1650" s="90" t="s">
        <v>2745</v>
      </c>
      <c r="D1650" s="89">
        <v>290</v>
      </c>
      <c r="E1650" s="91" t="s">
        <v>10</v>
      </c>
      <c r="F1650" s="92">
        <v>70000</v>
      </c>
      <c r="G1650" s="92">
        <v>20300000</v>
      </c>
    </row>
    <row r="1651" spans="1:7" x14ac:dyDescent="0.25">
      <c r="A1651" s="7" t="s">
        <v>2760</v>
      </c>
      <c r="B1651" s="89" t="s">
        <v>195</v>
      </c>
      <c r="C1651" s="90" t="s">
        <v>2114</v>
      </c>
      <c r="D1651" s="89">
        <v>40</v>
      </c>
      <c r="E1651" s="91" t="s">
        <v>176</v>
      </c>
      <c r="F1651" s="92">
        <v>350000</v>
      </c>
      <c r="G1651" s="92">
        <v>14000000</v>
      </c>
    </row>
    <row r="1652" spans="1:7" x14ac:dyDescent="0.25">
      <c r="A1652" s="7" t="s">
        <v>2761</v>
      </c>
      <c r="B1652" s="78" t="s">
        <v>533</v>
      </c>
      <c r="C1652" s="79" t="s">
        <v>53</v>
      </c>
      <c r="D1652" s="78"/>
      <c r="E1652" s="80"/>
      <c r="F1652" s="81"/>
      <c r="G1652" s="81">
        <v>1000000</v>
      </c>
    </row>
    <row r="1653" spans="1:7" x14ac:dyDescent="0.25">
      <c r="A1653" s="7" t="s">
        <v>2762</v>
      </c>
      <c r="B1653" s="89" t="s">
        <v>195</v>
      </c>
      <c r="C1653" s="90" t="s">
        <v>785</v>
      </c>
      <c r="D1653" s="89">
        <v>4</v>
      </c>
      <c r="E1653" s="91" t="s">
        <v>9</v>
      </c>
      <c r="F1653" s="92">
        <v>250000</v>
      </c>
      <c r="G1653" s="92">
        <v>1000000</v>
      </c>
    </row>
    <row r="1654" spans="1:7" x14ac:dyDescent="0.25">
      <c r="A1654" s="7" t="s">
        <v>2763</v>
      </c>
      <c r="B1654" s="78" t="s">
        <v>537</v>
      </c>
      <c r="C1654" s="79" t="s">
        <v>64</v>
      </c>
      <c r="D1654" s="78"/>
      <c r="E1654" s="80"/>
      <c r="F1654" s="81"/>
      <c r="G1654" s="81">
        <v>25000000</v>
      </c>
    </row>
    <row r="1655" spans="1:7" x14ac:dyDescent="0.25">
      <c r="A1655" s="7" t="s">
        <v>2764</v>
      </c>
      <c r="B1655" s="89" t="s">
        <v>195</v>
      </c>
      <c r="C1655" s="90" t="s">
        <v>619</v>
      </c>
      <c r="D1655" s="89">
        <v>10</v>
      </c>
      <c r="E1655" s="91" t="s">
        <v>106</v>
      </c>
      <c r="F1655" s="92">
        <v>1000000</v>
      </c>
      <c r="G1655" s="92">
        <v>10000000</v>
      </c>
    </row>
    <row r="1656" spans="1:7" x14ac:dyDescent="0.25">
      <c r="A1656" s="7" t="s">
        <v>2765</v>
      </c>
      <c r="B1656" s="89" t="s">
        <v>195</v>
      </c>
      <c r="C1656" s="90" t="s">
        <v>620</v>
      </c>
      <c r="D1656" s="89">
        <v>10</v>
      </c>
      <c r="E1656" s="91" t="s">
        <v>106</v>
      </c>
      <c r="F1656" s="92">
        <v>1500000</v>
      </c>
      <c r="G1656" s="92">
        <v>15000000</v>
      </c>
    </row>
    <row r="1657" spans="1:7" x14ac:dyDescent="0.25">
      <c r="A1657" s="7" t="s">
        <v>2766</v>
      </c>
      <c r="B1657" s="78" t="s">
        <v>516</v>
      </c>
      <c r="C1657" s="79" t="s">
        <v>11</v>
      </c>
      <c r="D1657" s="78"/>
      <c r="E1657" s="80"/>
      <c r="F1657" s="81"/>
      <c r="G1657" s="81">
        <v>12000000</v>
      </c>
    </row>
    <row r="1658" spans="1:7" x14ac:dyDescent="0.25">
      <c r="A1658" s="7" t="s">
        <v>2767</v>
      </c>
      <c r="B1658" s="89" t="s">
        <v>195</v>
      </c>
      <c r="C1658" s="90" t="s">
        <v>774</v>
      </c>
      <c r="D1658" s="89">
        <v>12</v>
      </c>
      <c r="E1658" s="91" t="s">
        <v>54</v>
      </c>
      <c r="F1658" s="92">
        <v>1000000</v>
      </c>
      <c r="G1658" s="92">
        <v>12000000</v>
      </c>
    </row>
    <row r="1659" spans="1:7" x14ac:dyDescent="0.25">
      <c r="A1659" s="7" t="s">
        <v>2768</v>
      </c>
      <c r="B1659" s="78" t="s">
        <v>513</v>
      </c>
      <c r="C1659" s="79" t="s">
        <v>19</v>
      </c>
      <c r="D1659" s="78"/>
      <c r="E1659" s="80"/>
      <c r="F1659" s="81"/>
      <c r="G1659" s="81">
        <v>258688000</v>
      </c>
    </row>
    <row r="1660" spans="1:7" x14ac:dyDescent="0.25">
      <c r="A1660" s="7" t="s">
        <v>2769</v>
      </c>
      <c r="B1660" s="89" t="s">
        <v>195</v>
      </c>
      <c r="C1660" s="90" t="s">
        <v>2770</v>
      </c>
      <c r="D1660" s="89">
        <v>40</v>
      </c>
      <c r="E1660" s="91" t="s">
        <v>10</v>
      </c>
      <c r="F1660" s="92">
        <v>6467000</v>
      </c>
      <c r="G1660" s="92">
        <v>258688000</v>
      </c>
    </row>
    <row r="1661" spans="1:7" x14ac:dyDescent="0.25">
      <c r="A1661" s="7" t="s">
        <v>2771</v>
      </c>
      <c r="B1661" s="97" t="s">
        <v>512</v>
      </c>
      <c r="C1661" s="98" t="s">
        <v>131</v>
      </c>
      <c r="D1661" s="97"/>
      <c r="E1661" s="99"/>
      <c r="F1661" s="100"/>
      <c r="G1661" s="100">
        <v>168100000</v>
      </c>
    </row>
    <row r="1662" spans="1:7" x14ac:dyDescent="0.25">
      <c r="A1662" s="7" t="s">
        <v>2772</v>
      </c>
      <c r="B1662" s="78" t="s">
        <v>503</v>
      </c>
      <c r="C1662" s="79" t="s">
        <v>7</v>
      </c>
      <c r="D1662" s="78"/>
      <c r="E1662" s="80"/>
      <c r="F1662" s="81"/>
      <c r="G1662" s="81">
        <v>39500000</v>
      </c>
    </row>
    <row r="1663" spans="1:7" x14ac:dyDescent="0.25">
      <c r="A1663" s="7" t="s">
        <v>2773</v>
      </c>
      <c r="B1663" s="89" t="s">
        <v>195</v>
      </c>
      <c r="C1663" s="90" t="s">
        <v>617</v>
      </c>
      <c r="D1663" s="89">
        <v>10</v>
      </c>
      <c r="E1663" s="91" t="s">
        <v>9</v>
      </c>
      <c r="F1663" s="92">
        <v>1500000</v>
      </c>
      <c r="G1663" s="92">
        <v>15000000</v>
      </c>
    </row>
    <row r="1664" spans="1:7" x14ac:dyDescent="0.25">
      <c r="A1664" s="7" t="s">
        <v>2774</v>
      </c>
      <c r="B1664" s="89" t="s">
        <v>195</v>
      </c>
      <c r="C1664" s="90" t="s">
        <v>2745</v>
      </c>
      <c r="D1664" s="89">
        <v>150</v>
      </c>
      <c r="E1664" s="91" t="s">
        <v>10</v>
      </c>
      <c r="F1664" s="92">
        <v>70000</v>
      </c>
      <c r="G1664" s="92">
        <v>10500000</v>
      </c>
    </row>
    <row r="1665" spans="1:7" x14ac:dyDescent="0.25">
      <c r="A1665" s="7" t="s">
        <v>2775</v>
      </c>
      <c r="B1665" s="89" t="s">
        <v>195</v>
      </c>
      <c r="C1665" s="90" t="s">
        <v>2114</v>
      </c>
      <c r="D1665" s="89">
        <v>40</v>
      </c>
      <c r="E1665" s="91" t="s">
        <v>176</v>
      </c>
      <c r="F1665" s="92">
        <v>350000</v>
      </c>
      <c r="G1665" s="92">
        <v>14000000</v>
      </c>
    </row>
    <row r="1666" spans="1:7" x14ac:dyDescent="0.25">
      <c r="A1666" s="7" t="s">
        <v>2776</v>
      </c>
      <c r="B1666" s="78" t="s">
        <v>537</v>
      </c>
      <c r="C1666" s="79" t="s">
        <v>64</v>
      </c>
      <c r="D1666" s="78"/>
      <c r="E1666" s="80"/>
      <c r="F1666" s="81"/>
      <c r="G1666" s="81">
        <v>25000000</v>
      </c>
    </row>
    <row r="1667" spans="1:7" x14ac:dyDescent="0.25">
      <c r="A1667" s="7" t="s">
        <v>2777</v>
      </c>
      <c r="B1667" s="89" t="s">
        <v>195</v>
      </c>
      <c r="C1667" s="90" t="s">
        <v>619</v>
      </c>
      <c r="D1667" s="89">
        <v>10</v>
      </c>
      <c r="E1667" s="91" t="s">
        <v>106</v>
      </c>
      <c r="F1667" s="92">
        <v>1000000</v>
      </c>
      <c r="G1667" s="92">
        <v>10000000</v>
      </c>
    </row>
    <row r="1668" spans="1:7" x14ac:dyDescent="0.25">
      <c r="A1668" s="7" t="s">
        <v>2778</v>
      </c>
      <c r="B1668" s="89" t="s">
        <v>195</v>
      </c>
      <c r="C1668" s="90" t="s">
        <v>620</v>
      </c>
      <c r="D1668" s="89">
        <v>10</v>
      </c>
      <c r="E1668" s="91" t="s">
        <v>106</v>
      </c>
      <c r="F1668" s="92">
        <v>1500000</v>
      </c>
      <c r="G1668" s="92">
        <v>15000000</v>
      </c>
    </row>
    <row r="1669" spans="1:7" x14ac:dyDescent="0.25">
      <c r="A1669" s="7" t="s">
        <v>2779</v>
      </c>
      <c r="B1669" s="78" t="s">
        <v>516</v>
      </c>
      <c r="C1669" s="79" t="s">
        <v>11</v>
      </c>
      <c r="D1669" s="78"/>
      <c r="E1669" s="80"/>
      <c r="F1669" s="81"/>
      <c r="G1669" s="81">
        <v>10000000</v>
      </c>
    </row>
    <row r="1670" spans="1:7" x14ac:dyDescent="0.25">
      <c r="A1670" s="7" t="s">
        <v>2780</v>
      </c>
      <c r="B1670" s="89" t="s">
        <v>195</v>
      </c>
      <c r="C1670" s="90" t="s">
        <v>774</v>
      </c>
      <c r="D1670" s="89">
        <v>10</v>
      </c>
      <c r="E1670" s="91" t="s">
        <v>54</v>
      </c>
      <c r="F1670" s="92">
        <v>1000000</v>
      </c>
      <c r="G1670" s="92">
        <v>10000000</v>
      </c>
    </row>
    <row r="1671" spans="1:7" x14ac:dyDescent="0.25">
      <c r="A1671" s="7" t="s">
        <v>2781</v>
      </c>
      <c r="B1671" s="78" t="s">
        <v>513</v>
      </c>
      <c r="C1671" s="79" t="s">
        <v>19</v>
      </c>
      <c r="D1671" s="78"/>
      <c r="E1671" s="80"/>
      <c r="F1671" s="81"/>
      <c r="G1671" s="81">
        <v>93600000</v>
      </c>
    </row>
    <row r="1672" spans="1:7" ht="27.6" x14ac:dyDescent="0.25">
      <c r="A1672" s="7" t="s">
        <v>2782</v>
      </c>
      <c r="B1672" s="89" t="s">
        <v>195</v>
      </c>
      <c r="C1672" s="90" t="s">
        <v>2783</v>
      </c>
      <c r="D1672" s="89">
        <v>18</v>
      </c>
      <c r="E1672" s="91" t="s">
        <v>10</v>
      </c>
      <c r="F1672" s="92">
        <v>5200000</v>
      </c>
      <c r="G1672" s="92">
        <v>93600000</v>
      </c>
    </row>
    <row r="1673" spans="1:7" x14ac:dyDescent="0.25">
      <c r="A1673" s="7" t="s">
        <v>2784</v>
      </c>
      <c r="B1673" s="89" t="s">
        <v>2785</v>
      </c>
      <c r="C1673" s="90" t="s">
        <v>2786</v>
      </c>
      <c r="D1673" s="89"/>
      <c r="E1673" s="91"/>
      <c r="F1673" s="92"/>
      <c r="G1673" s="92">
        <v>5188332000</v>
      </c>
    </row>
    <row r="1674" spans="1:7" ht="27.6" x14ac:dyDescent="0.25">
      <c r="A1674" s="7" t="s">
        <v>2787</v>
      </c>
      <c r="B1674" s="93" t="s">
        <v>826</v>
      </c>
      <c r="C1674" s="94" t="s">
        <v>2788</v>
      </c>
      <c r="D1674" s="93"/>
      <c r="E1674" s="95"/>
      <c r="F1674" s="96"/>
      <c r="G1674" s="96">
        <v>2600000000</v>
      </c>
    </row>
    <row r="1675" spans="1:7" x14ac:dyDescent="0.25">
      <c r="A1675" s="7" t="s">
        <v>2789</v>
      </c>
      <c r="B1675" s="97" t="s">
        <v>8</v>
      </c>
      <c r="C1675" s="98" t="s">
        <v>162</v>
      </c>
      <c r="D1675" s="97"/>
      <c r="E1675" s="99"/>
      <c r="F1675" s="100"/>
      <c r="G1675" s="100">
        <v>1423330000</v>
      </c>
    </row>
    <row r="1676" spans="1:7" x14ac:dyDescent="0.25">
      <c r="A1676" s="7" t="s">
        <v>2790</v>
      </c>
      <c r="B1676" s="78" t="s">
        <v>503</v>
      </c>
      <c r="C1676" s="79" t="s">
        <v>7</v>
      </c>
      <c r="D1676" s="78"/>
      <c r="E1676" s="80"/>
      <c r="F1676" s="81"/>
      <c r="G1676" s="81">
        <v>130000000</v>
      </c>
    </row>
    <row r="1677" spans="1:7" x14ac:dyDescent="0.25">
      <c r="A1677" s="7" t="s">
        <v>2791</v>
      </c>
      <c r="B1677" s="89" t="s">
        <v>195</v>
      </c>
      <c r="C1677" s="90" t="s">
        <v>617</v>
      </c>
      <c r="D1677" s="89">
        <v>80</v>
      </c>
      <c r="E1677" s="91" t="s">
        <v>180</v>
      </c>
      <c r="F1677" s="92">
        <v>100000</v>
      </c>
      <c r="G1677" s="92">
        <v>8000000</v>
      </c>
    </row>
    <row r="1678" spans="1:7" x14ac:dyDescent="0.25">
      <c r="A1678" s="7" t="s">
        <v>2792</v>
      </c>
      <c r="B1678" s="89" t="s">
        <v>195</v>
      </c>
      <c r="C1678" s="90" t="s">
        <v>2793</v>
      </c>
      <c r="D1678" s="89">
        <v>80</v>
      </c>
      <c r="E1678" s="91" t="s">
        <v>180</v>
      </c>
      <c r="F1678" s="92">
        <v>100000</v>
      </c>
      <c r="G1678" s="92">
        <v>8000000</v>
      </c>
    </row>
    <row r="1679" spans="1:7" x14ac:dyDescent="0.25">
      <c r="A1679" s="7" t="s">
        <v>2794</v>
      </c>
      <c r="B1679" s="89" t="s">
        <v>195</v>
      </c>
      <c r="C1679" s="90" t="s">
        <v>2795</v>
      </c>
      <c r="D1679" s="89">
        <v>3</v>
      </c>
      <c r="E1679" s="91" t="s">
        <v>106</v>
      </c>
      <c r="F1679" s="92">
        <v>1000000</v>
      </c>
      <c r="G1679" s="92">
        <v>3000000</v>
      </c>
    </row>
    <row r="1680" spans="1:7" x14ac:dyDescent="0.25">
      <c r="A1680" s="7" t="s">
        <v>2796</v>
      </c>
      <c r="B1680" s="89" t="s">
        <v>195</v>
      </c>
      <c r="C1680" s="90" t="s">
        <v>2797</v>
      </c>
      <c r="D1680" s="89">
        <v>3</v>
      </c>
      <c r="E1680" s="91" t="s">
        <v>106</v>
      </c>
      <c r="F1680" s="92">
        <v>1000000</v>
      </c>
      <c r="G1680" s="92">
        <v>3000000</v>
      </c>
    </row>
    <row r="1681" spans="1:7" x14ac:dyDescent="0.25">
      <c r="A1681" s="7" t="s">
        <v>2798</v>
      </c>
      <c r="B1681" s="89" t="s">
        <v>195</v>
      </c>
      <c r="C1681" s="90" t="s">
        <v>922</v>
      </c>
      <c r="D1681" s="89">
        <v>280</v>
      </c>
      <c r="E1681" s="91" t="s">
        <v>106</v>
      </c>
      <c r="F1681" s="92">
        <v>350000</v>
      </c>
      <c r="G1681" s="92">
        <v>98000000</v>
      </c>
    </row>
    <row r="1682" spans="1:7" x14ac:dyDescent="0.25">
      <c r="A1682" s="7" t="s">
        <v>2799</v>
      </c>
      <c r="B1682" s="89" t="s">
        <v>195</v>
      </c>
      <c r="C1682" s="90" t="s">
        <v>1276</v>
      </c>
      <c r="D1682" s="89">
        <v>40</v>
      </c>
      <c r="E1682" s="91" t="s">
        <v>180</v>
      </c>
      <c r="F1682" s="92">
        <v>250000</v>
      </c>
      <c r="G1682" s="92">
        <v>10000000</v>
      </c>
    </row>
    <row r="1683" spans="1:7" ht="27.6" x14ac:dyDescent="0.25">
      <c r="A1683" s="7" t="s">
        <v>2800</v>
      </c>
      <c r="B1683" s="78" t="s">
        <v>515</v>
      </c>
      <c r="C1683" s="79" t="s">
        <v>642</v>
      </c>
      <c r="D1683" s="78"/>
      <c r="E1683" s="80"/>
      <c r="F1683" s="81"/>
      <c r="G1683" s="81">
        <v>16800000</v>
      </c>
    </row>
    <row r="1684" spans="1:7" ht="27.6" x14ac:dyDescent="0.25">
      <c r="A1684" s="7" t="s">
        <v>2801</v>
      </c>
      <c r="B1684" s="89" t="s">
        <v>195</v>
      </c>
      <c r="C1684" s="90" t="s">
        <v>2802</v>
      </c>
      <c r="D1684" s="89">
        <v>84</v>
      </c>
      <c r="E1684" s="91" t="s">
        <v>32</v>
      </c>
      <c r="F1684" s="92">
        <v>200000</v>
      </c>
      <c r="G1684" s="92">
        <v>16800000</v>
      </c>
    </row>
    <row r="1685" spans="1:7" x14ac:dyDescent="0.25">
      <c r="A1685" s="7" t="s">
        <v>2803</v>
      </c>
      <c r="B1685" s="78" t="s">
        <v>537</v>
      </c>
      <c r="C1685" s="79" t="s">
        <v>64</v>
      </c>
      <c r="D1685" s="78"/>
      <c r="E1685" s="80"/>
      <c r="F1685" s="81"/>
      <c r="G1685" s="81">
        <v>20000000</v>
      </c>
    </row>
    <row r="1686" spans="1:7" x14ac:dyDescent="0.25">
      <c r="A1686" s="7" t="s">
        <v>2804</v>
      </c>
      <c r="B1686" s="89" t="s">
        <v>195</v>
      </c>
      <c r="C1686" s="90" t="s">
        <v>619</v>
      </c>
      <c r="D1686" s="89">
        <v>10</v>
      </c>
      <c r="E1686" s="91" t="s">
        <v>106</v>
      </c>
      <c r="F1686" s="92">
        <v>1000000</v>
      </c>
      <c r="G1686" s="92">
        <v>10000000</v>
      </c>
    </row>
    <row r="1687" spans="1:7" x14ac:dyDescent="0.25">
      <c r="A1687" s="7" t="s">
        <v>2805</v>
      </c>
      <c r="B1687" s="89" t="s">
        <v>195</v>
      </c>
      <c r="C1687" s="90" t="s">
        <v>620</v>
      </c>
      <c r="D1687" s="89">
        <v>10</v>
      </c>
      <c r="E1687" s="91" t="s">
        <v>106</v>
      </c>
      <c r="F1687" s="92">
        <v>1000000</v>
      </c>
      <c r="G1687" s="92">
        <v>10000000</v>
      </c>
    </row>
    <row r="1688" spans="1:7" x14ac:dyDescent="0.25">
      <c r="A1688" s="7" t="s">
        <v>2806</v>
      </c>
      <c r="B1688" s="78" t="s">
        <v>516</v>
      </c>
      <c r="C1688" s="79" t="s">
        <v>11</v>
      </c>
      <c r="D1688" s="78"/>
      <c r="E1688" s="80"/>
      <c r="F1688" s="81"/>
      <c r="G1688" s="81">
        <v>77000000</v>
      </c>
    </row>
    <row r="1689" spans="1:7" x14ac:dyDescent="0.25">
      <c r="A1689" s="7" t="s">
        <v>2807</v>
      </c>
      <c r="B1689" s="89" t="s">
        <v>195</v>
      </c>
      <c r="C1689" s="90" t="s">
        <v>2808</v>
      </c>
      <c r="D1689" s="89">
        <v>20</v>
      </c>
      <c r="E1689" s="91" t="s">
        <v>54</v>
      </c>
      <c r="F1689" s="92">
        <v>1000000</v>
      </c>
      <c r="G1689" s="92">
        <v>20000000</v>
      </c>
    </row>
    <row r="1690" spans="1:7" x14ac:dyDescent="0.25">
      <c r="A1690" s="7" t="s">
        <v>2809</v>
      </c>
      <c r="B1690" s="89" t="s">
        <v>195</v>
      </c>
      <c r="C1690" s="90" t="s">
        <v>2810</v>
      </c>
      <c r="D1690" s="89">
        <v>60</v>
      </c>
      <c r="E1690" s="91" t="s">
        <v>54</v>
      </c>
      <c r="F1690" s="92">
        <v>900000</v>
      </c>
      <c r="G1690" s="92">
        <v>54000000</v>
      </c>
    </row>
    <row r="1691" spans="1:7" x14ac:dyDescent="0.25">
      <c r="A1691" s="7" t="s">
        <v>2811</v>
      </c>
      <c r="B1691" s="89" t="s">
        <v>195</v>
      </c>
      <c r="C1691" s="90" t="s">
        <v>2812</v>
      </c>
      <c r="D1691" s="89">
        <v>2</v>
      </c>
      <c r="E1691" s="91" t="s">
        <v>54</v>
      </c>
      <c r="F1691" s="92">
        <v>1500000</v>
      </c>
      <c r="G1691" s="92">
        <v>3000000</v>
      </c>
    </row>
    <row r="1692" spans="1:7" x14ac:dyDescent="0.25">
      <c r="A1692" s="7" t="s">
        <v>2813</v>
      </c>
      <c r="B1692" s="78" t="s">
        <v>518</v>
      </c>
      <c r="C1692" s="79" t="s">
        <v>24</v>
      </c>
      <c r="D1692" s="78"/>
      <c r="E1692" s="80"/>
      <c r="F1692" s="81"/>
      <c r="G1692" s="81">
        <v>25200000</v>
      </c>
    </row>
    <row r="1693" spans="1:7" x14ac:dyDescent="0.25">
      <c r="A1693" s="7" t="s">
        <v>2814</v>
      </c>
      <c r="B1693" s="89" t="s">
        <v>195</v>
      </c>
      <c r="C1693" s="90" t="s">
        <v>2815</v>
      </c>
      <c r="D1693" s="89">
        <v>168</v>
      </c>
      <c r="E1693" s="91" t="s">
        <v>25</v>
      </c>
      <c r="F1693" s="92">
        <v>150000</v>
      </c>
      <c r="G1693" s="92">
        <v>25200000</v>
      </c>
    </row>
    <row r="1694" spans="1:7" x14ac:dyDescent="0.25">
      <c r="A1694" s="7" t="s">
        <v>2816</v>
      </c>
      <c r="B1694" s="78" t="s">
        <v>513</v>
      </c>
      <c r="C1694" s="79" t="s">
        <v>19</v>
      </c>
      <c r="D1694" s="78"/>
      <c r="E1694" s="80"/>
      <c r="F1694" s="81"/>
      <c r="G1694" s="81">
        <v>1102850000</v>
      </c>
    </row>
    <row r="1695" spans="1:7" ht="27.6" x14ac:dyDescent="0.25">
      <c r="A1695" s="7" t="s">
        <v>2817</v>
      </c>
      <c r="B1695" s="89" t="s">
        <v>195</v>
      </c>
      <c r="C1695" s="90" t="s">
        <v>2818</v>
      </c>
      <c r="D1695" s="89">
        <v>80</v>
      </c>
      <c r="E1695" s="91" t="s">
        <v>25</v>
      </c>
      <c r="F1695" s="92">
        <v>5000000</v>
      </c>
      <c r="G1695" s="92">
        <v>400000000</v>
      </c>
    </row>
    <row r="1696" spans="1:7" ht="27.6" x14ac:dyDescent="0.25">
      <c r="A1696" s="7" t="s">
        <v>2819</v>
      </c>
      <c r="B1696" s="89" t="s">
        <v>195</v>
      </c>
      <c r="C1696" s="90" t="s">
        <v>2820</v>
      </c>
      <c r="D1696" s="89">
        <v>40</v>
      </c>
      <c r="E1696" s="91" t="s">
        <v>25</v>
      </c>
      <c r="F1696" s="92">
        <v>5000000</v>
      </c>
      <c r="G1696" s="92">
        <v>200000000</v>
      </c>
    </row>
    <row r="1697" spans="1:7" ht="27.6" x14ac:dyDescent="0.25">
      <c r="A1697" s="7" t="s">
        <v>2821</v>
      </c>
      <c r="B1697" s="89" t="s">
        <v>195</v>
      </c>
      <c r="C1697" s="90" t="s">
        <v>2822</v>
      </c>
      <c r="D1697" s="89">
        <v>40</v>
      </c>
      <c r="E1697" s="91" t="s">
        <v>25</v>
      </c>
      <c r="F1697" s="92">
        <v>5000000</v>
      </c>
      <c r="G1697" s="92">
        <v>200000000</v>
      </c>
    </row>
    <row r="1698" spans="1:7" ht="27.6" x14ac:dyDescent="0.25">
      <c r="A1698" s="7" t="s">
        <v>2823</v>
      </c>
      <c r="B1698" s="89" t="s">
        <v>195</v>
      </c>
      <c r="C1698" s="90" t="s">
        <v>2824</v>
      </c>
      <c r="D1698" s="89">
        <v>30</v>
      </c>
      <c r="E1698" s="91" t="s">
        <v>25</v>
      </c>
      <c r="F1698" s="92">
        <v>5000000</v>
      </c>
      <c r="G1698" s="92">
        <v>150000000</v>
      </c>
    </row>
    <row r="1699" spans="1:7" ht="27.6" x14ac:dyDescent="0.25">
      <c r="A1699" s="7" t="s">
        <v>2825</v>
      </c>
      <c r="B1699" s="89" t="s">
        <v>195</v>
      </c>
      <c r="C1699" s="90" t="s">
        <v>2826</v>
      </c>
      <c r="D1699" s="89">
        <v>30</v>
      </c>
      <c r="E1699" s="91" t="s">
        <v>25</v>
      </c>
      <c r="F1699" s="92">
        <v>5095000</v>
      </c>
      <c r="G1699" s="92">
        <v>152850000</v>
      </c>
    </row>
    <row r="1700" spans="1:7" x14ac:dyDescent="0.25">
      <c r="A1700" s="7" t="s">
        <v>2827</v>
      </c>
      <c r="B1700" s="78" t="s">
        <v>507</v>
      </c>
      <c r="C1700" s="79" t="s">
        <v>13</v>
      </c>
      <c r="D1700" s="78"/>
      <c r="E1700" s="80"/>
      <c r="F1700" s="81"/>
      <c r="G1700" s="81">
        <v>51480000</v>
      </c>
    </row>
    <row r="1701" spans="1:7" ht="27.6" x14ac:dyDescent="0.25">
      <c r="A1701" s="7" t="s">
        <v>2828</v>
      </c>
      <c r="B1701" s="89" t="s">
        <v>195</v>
      </c>
      <c r="C1701" s="90" t="s">
        <v>2829</v>
      </c>
      <c r="D1701" s="89">
        <v>143</v>
      </c>
      <c r="E1701" s="91" t="s">
        <v>25</v>
      </c>
      <c r="F1701" s="92">
        <v>210000</v>
      </c>
      <c r="G1701" s="92">
        <v>30030000</v>
      </c>
    </row>
    <row r="1702" spans="1:7" x14ac:dyDescent="0.25">
      <c r="A1702" s="7" t="s">
        <v>2830</v>
      </c>
      <c r="B1702" s="89" t="s">
        <v>195</v>
      </c>
      <c r="C1702" s="90" t="s">
        <v>2831</v>
      </c>
      <c r="D1702" s="89">
        <v>143</v>
      </c>
      <c r="E1702" s="91" t="s">
        <v>25</v>
      </c>
      <c r="F1702" s="92">
        <v>150000</v>
      </c>
      <c r="G1702" s="92">
        <v>21450000</v>
      </c>
    </row>
    <row r="1703" spans="1:7" ht="27.6" x14ac:dyDescent="0.25">
      <c r="A1703" s="7" t="s">
        <v>2832</v>
      </c>
      <c r="B1703" s="97" t="s">
        <v>511</v>
      </c>
      <c r="C1703" s="98" t="s">
        <v>163</v>
      </c>
      <c r="D1703" s="97"/>
      <c r="E1703" s="99"/>
      <c r="F1703" s="100"/>
      <c r="G1703" s="100">
        <v>802220000</v>
      </c>
    </row>
    <row r="1704" spans="1:7" x14ac:dyDescent="0.25">
      <c r="A1704" s="7" t="s">
        <v>2833</v>
      </c>
      <c r="B1704" s="78" t="s">
        <v>503</v>
      </c>
      <c r="C1704" s="79" t="s">
        <v>7</v>
      </c>
      <c r="D1704" s="78"/>
      <c r="E1704" s="80"/>
      <c r="F1704" s="81"/>
      <c r="G1704" s="81">
        <v>75900000</v>
      </c>
    </row>
    <row r="1705" spans="1:7" x14ac:dyDescent="0.25">
      <c r="A1705" s="7" t="s">
        <v>2834</v>
      </c>
      <c r="B1705" s="89" t="s">
        <v>195</v>
      </c>
      <c r="C1705" s="90" t="s">
        <v>617</v>
      </c>
      <c r="D1705" s="89">
        <v>60</v>
      </c>
      <c r="E1705" s="91" t="s">
        <v>180</v>
      </c>
      <c r="F1705" s="92">
        <v>100000</v>
      </c>
      <c r="G1705" s="92">
        <v>6000000</v>
      </c>
    </row>
    <row r="1706" spans="1:7" x14ac:dyDescent="0.25">
      <c r="A1706" s="7" t="s">
        <v>2835</v>
      </c>
      <c r="B1706" s="89" t="s">
        <v>195</v>
      </c>
      <c r="C1706" s="90" t="s">
        <v>2795</v>
      </c>
      <c r="D1706" s="89">
        <v>3</v>
      </c>
      <c r="E1706" s="91" t="s">
        <v>106</v>
      </c>
      <c r="F1706" s="92">
        <v>1000000</v>
      </c>
      <c r="G1706" s="92">
        <v>3000000</v>
      </c>
    </row>
    <row r="1707" spans="1:7" x14ac:dyDescent="0.25">
      <c r="A1707" s="7" t="s">
        <v>2836</v>
      </c>
      <c r="B1707" s="89" t="s">
        <v>195</v>
      </c>
      <c r="C1707" s="90" t="s">
        <v>2797</v>
      </c>
      <c r="D1707" s="89">
        <v>15</v>
      </c>
      <c r="E1707" s="91" t="s">
        <v>106</v>
      </c>
      <c r="F1707" s="92">
        <v>100000</v>
      </c>
      <c r="G1707" s="92">
        <v>1500000</v>
      </c>
    </row>
    <row r="1708" spans="1:7" x14ac:dyDescent="0.25">
      <c r="A1708" s="7" t="s">
        <v>2837</v>
      </c>
      <c r="B1708" s="89" t="s">
        <v>195</v>
      </c>
      <c r="C1708" s="90" t="s">
        <v>922</v>
      </c>
      <c r="D1708" s="89">
        <v>180</v>
      </c>
      <c r="E1708" s="91" t="s">
        <v>106</v>
      </c>
      <c r="F1708" s="92">
        <v>350000</v>
      </c>
      <c r="G1708" s="92">
        <v>63000000</v>
      </c>
    </row>
    <row r="1709" spans="1:7" x14ac:dyDescent="0.25">
      <c r="A1709" s="7" t="s">
        <v>2838</v>
      </c>
      <c r="B1709" s="89" t="s">
        <v>195</v>
      </c>
      <c r="C1709" s="90" t="s">
        <v>1276</v>
      </c>
      <c r="D1709" s="89">
        <v>12</v>
      </c>
      <c r="E1709" s="91" t="s">
        <v>180</v>
      </c>
      <c r="F1709" s="92">
        <v>200000</v>
      </c>
      <c r="G1709" s="92">
        <v>2400000</v>
      </c>
    </row>
    <row r="1710" spans="1:7" x14ac:dyDescent="0.25">
      <c r="A1710" s="7" t="s">
        <v>2839</v>
      </c>
      <c r="B1710" s="78" t="s">
        <v>537</v>
      </c>
      <c r="C1710" s="79" t="s">
        <v>64</v>
      </c>
      <c r="D1710" s="78"/>
      <c r="E1710" s="80"/>
      <c r="F1710" s="81"/>
      <c r="G1710" s="81">
        <v>20000000</v>
      </c>
    </row>
    <row r="1711" spans="1:7" x14ac:dyDescent="0.25">
      <c r="A1711" s="7" t="s">
        <v>2840</v>
      </c>
      <c r="B1711" s="89" t="s">
        <v>195</v>
      </c>
      <c r="C1711" s="90" t="s">
        <v>619</v>
      </c>
      <c r="D1711" s="89">
        <v>10</v>
      </c>
      <c r="E1711" s="91" t="s">
        <v>106</v>
      </c>
      <c r="F1711" s="92">
        <v>1000000</v>
      </c>
      <c r="G1711" s="92">
        <v>10000000</v>
      </c>
    </row>
    <row r="1712" spans="1:7" x14ac:dyDescent="0.25">
      <c r="A1712" s="7" t="s">
        <v>2841</v>
      </c>
      <c r="B1712" s="89" t="s">
        <v>195</v>
      </c>
      <c r="C1712" s="90" t="s">
        <v>620</v>
      </c>
      <c r="D1712" s="89">
        <v>10</v>
      </c>
      <c r="E1712" s="91" t="s">
        <v>106</v>
      </c>
      <c r="F1712" s="92">
        <v>1000000</v>
      </c>
      <c r="G1712" s="92">
        <v>10000000</v>
      </c>
    </row>
    <row r="1713" spans="1:7" x14ac:dyDescent="0.25">
      <c r="A1713" s="7" t="s">
        <v>2842</v>
      </c>
      <c r="B1713" s="78" t="s">
        <v>516</v>
      </c>
      <c r="C1713" s="79" t="s">
        <v>11</v>
      </c>
      <c r="D1713" s="78"/>
      <c r="E1713" s="80"/>
      <c r="F1713" s="81"/>
      <c r="G1713" s="81">
        <v>44400000</v>
      </c>
    </row>
    <row r="1714" spans="1:7" x14ac:dyDescent="0.25">
      <c r="A1714" s="7" t="s">
        <v>2843</v>
      </c>
      <c r="B1714" s="89" t="s">
        <v>195</v>
      </c>
      <c r="C1714" s="90" t="s">
        <v>2844</v>
      </c>
      <c r="D1714" s="89">
        <v>12</v>
      </c>
      <c r="E1714" s="91" t="s">
        <v>54</v>
      </c>
      <c r="F1714" s="92">
        <v>1000000</v>
      </c>
      <c r="G1714" s="92">
        <v>12000000</v>
      </c>
    </row>
    <row r="1715" spans="1:7" x14ac:dyDescent="0.25">
      <c r="A1715" s="7" t="s">
        <v>2845</v>
      </c>
      <c r="B1715" s="89" t="s">
        <v>195</v>
      </c>
      <c r="C1715" s="90" t="s">
        <v>2846</v>
      </c>
      <c r="D1715" s="89">
        <v>36</v>
      </c>
      <c r="E1715" s="91" t="s">
        <v>54</v>
      </c>
      <c r="F1715" s="92">
        <v>900000</v>
      </c>
      <c r="G1715" s="92">
        <v>32400000</v>
      </c>
    </row>
    <row r="1716" spans="1:7" x14ac:dyDescent="0.25">
      <c r="A1716" s="7" t="s">
        <v>2847</v>
      </c>
      <c r="B1716" s="78" t="s">
        <v>513</v>
      </c>
      <c r="C1716" s="79" t="s">
        <v>19</v>
      </c>
      <c r="D1716" s="78"/>
      <c r="E1716" s="80"/>
      <c r="F1716" s="81"/>
      <c r="G1716" s="81">
        <v>610080000</v>
      </c>
    </row>
    <row r="1717" spans="1:7" ht="27.6" x14ac:dyDescent="0.25">
      <c r="A1717" s="7" t="s">
        <v>2848</v>
      </c>
      <c r="B1717" s="89" t="s">
        <v>195</v>
      </c>
      <c r="C1717" s="90" t="s">
        <v>2849</v>
      </c>
      <c r="D1717" s="89">
        <v>40</v>
      </c>
      <c r="E1717" s="91" t="s">
        <v>25</v>
      </c>
      <c r="F1717" s="92">
        <v>5252000</v>
      </c>
      <c r="G1717" s="92">
        <v>210080000</v>
      </c>
    </row>
    <row r="1718" spans="1:7" x14ac:dyDescent="0.25">
      <c r="A1718" s="7" t="s">
        <v>2850</v>
      </c>
      <c r="B1718" s="89" t="s">
        <v>195</v>
      </c>
      <c r="C1718" s="90" t="s">
        <v>2851</v>
      </c>
      <c r="D1718" s="89">
        <v>40</v>
      </c>
      <c r="E1718" s="91" t="s">
        <v>25</v>
      </c>
      <c r="F1718" s="92">
        <v>5000000</v>
      </c>
      <c r="G1718" s="92">
        <v>200000000</v>
      </c>
    </row>
    <row r="1719" spans="1:7" ht="27.6" x14ac:dyDescent="0.25">
      <c r="A1719" s="7" t="s">
        <v>2852</v>
      </c>
      <c r="B1719" s="89" t="s">
        <v>195</v>
      </c>
      <c r="C1719" s="90" t="s">
        <v>2853</v>
      </c>
      <c r="D1719" s="89">
        <v>40</v>
      </c>
      <c r="E1719" s="91" t="s">
        <v>25</v>
      </c>
      <c r="F1719" s="92">
        <v>5000000</v>
      </c>
      <c r="G1719" s="92">
        <v>200000000</v>
      </c>
    </row>
    <row r="1720" spans="1:7" x14ac:dyDescent="0.25">
      <c r="A1720" s="7" t="s">
        <v>2854</v>
      </c>
      <c r="B1720" s="78" t="s">
        <v>507</v>
      </c>
      <c r="C1720" s="79" t="s">
        <v>13</v>
      </c>
      <c r="D1720" s="78"/>
      <c r="E1720" s="80"/>
      <c r="F1720" s="81"/>
      <c r="G1720" s="81">
        <v>51840000</v>
      </c>
    </row>
    <row r="1721" spans="1:7" ht="27.6" x14ac:dyDescent="0.25">
      <c r="A1721" s="7" t="s">
        <v>2855</v>
      </c>
      <c r="B1721" s="89" t="s">
        <v>195</v>
      </c>
      <c r="C1721" s="90" t="s">
        <v>2829</v>
      </c>
      <c r="D1721" s="89">
        <v>144</v>
      </c>
      <c r="E1721" s="91" t="s">
        <v>73</v>
      </c>
      <c r="F1721" s="92">
        <v>210000</v>
      </c>
      <c r="G1721" s="92">
        <v>30240000</v>
      </c>
    </row>
    <row r="1722" spans="1:7" x14ac:dyDescent="0.25">
      <c r="A1722" s="7" t="s">
        <v>2856</v>
      </c>
      <c r="B1722" s="89" t="s">
        <v>195</v>
      </c>
      <c r="C1722" s="90" t="s">
        <v>2831</v>
      </c>
      <c r="D1722" s="89">
        <v>144</v>
      </c>
      <c r="E1722" s="91" t="s">
        <v>73</v>
      </c>
      <c r="F1722" s="92">
        <v>150000</v>
      </c>
      <c r="G1722" s="92">
        <v>21600000</v>
      </c>
    </row>
    <row r="1723" spans="1:7" ht="27.6" x14ac:dyDescent="0.25">
      <c r="A1723" s="7" t="s">
        <v>2857</v>
      </c>
      <c r="B1723" s="97" t="s">
        <v>512</v>
      </c>
      <c r="C1723" s="98" t="s">
        <v>164</v>
      </c>
      <c r="D1723" s="97"/>
      <c r="E1723" s="99"/>
      <c r="F1723" s="100"/>
      <c r="G1723" s="100">
        <v>374450000</v>
      </c>
    </row>
    <row r="1724" spans="1:7" x14ac:dyDescent="0.25">
      <c r="A1724" s="7" t="s">
        <v>2858</v>
      </c>
      <c r="B1724" s="78" t="s">
        <v>503</v>
      </c>
      <c r="C1724" s="79" t="s">
        <v>7</v>
      </c>
      <c r="D1724" s="78"/>
      <c r="E1724" s="80"/>
      <c r="F1724" s="81"/>
      <c r="G1724" s="81">
        <v>64750000</v>
      </c>
    </row>
    <row r="1725" spans="1:7" x14ac:dyDescent="0.25">
      <c r="A1725" s="7" t="s">
        <v>2859</v>
      </c>
      <c r="B1725" s="89" t="s">
        <v>195</v>
      </c>
      <c r="C1725" s="90" t="s">
        <v>617</v>
      </c>
      <c r="D1725" s="89">
        <v>25</v>
      </c>
      <c r="E1725" s="91" t="s">
        <v>180</v>
      </c>
      <c r="F1725" s="92">
        <v>100000</v>
      </c>
      <c r="G1725" s="92">
        <v>2500000</v>
      </c>
    </row>
    <row r="1726" spans="1:7" x14ac:dyDescent="0.25">
      <c r="A1726" s="7" t="s">
        <v>2860</v>
      </c>
      <c r="B1726" s="89" t="s">
        <v>195</v>
      </c>
      <c r="C1726" s="90" t="s">
        <v>2797</v>
      </c>
      <c r="D1726" s="89">
        <v>15</v>
      </c>
      <c r="E1726" s="91" t="s">
        <v>180</v>
      </c>
      <c r="F1726" s="92">
        <v>100000</v>
      </c>
      <c r="G1726" s="92">
        <v>1500000</v>
      </c>
    </row>
    <row r="1727" spans="1:7" x14ac:dyDescent="0.25">
      <c r="A1727" s="7" t="s">
        <v>2861</v>
      </c>
      <c r="B1727" s="89" t="s">
        <v>195</v>
      </c>
      <c r="C1727" s="90" t="s">
        <v>2862</v>
      </c>
      <c r="D1727" s="89">
        <v>3</v>
      </c>
      <c r="E1727" s="91" t="s">
        <v>106</v>
      </c>
      <c r="F1727" s="92">
        <v>1500000</v>
      </c>
      <c r="G1727" s="92">
        <v>4500000</v>
      </c>
    </row>
    <row r="1728" spans="1:7" x14ac:dyDescent="0.25">
      <c r="A1728" s="7" t="s">
        <v>2863</v>
      </c>
      <c r="B1728" s="89" t="s">
        <v>195</v>
      </c>
      <c r="C1728" s="90" t="s">
        <v>2864</v>
      </c>
      <c r="D1728" s="89">
        <v>150</v>
      </c>
      <c r="E1728" s="91" t="s">
        <v>180</v>
      </c>
      <c r="F1728" s="92">
        <v>350000</v>
      </c>
      <c r="G1728" s="92">
        <v>52500000</v>
      </c>
    </row>
    <row r="1729" spans="1:7" x14ac:dyDescent="0.25">
      <c r="A1729" s="7" t="s">
        <v>2865</v>
      </c>
      <c r="B1729" s="89" t="s">
        <v>195</v>
      </c>
      <c r="C1729" s="90" t="s">
        <v>2866</v>
      </c>
      <c r="D1729" s="89">
        <v>15</v>
      </c>
      <c r="E1729" s="91" t="s">
        <v>180</v>
      </c>
      <c r="F1729" s="92">
        <v>250000</v>
      </c>
      <c r="G1729" s="92">
        <v>3750000</v>
      </c>
    </row>
    <row r="1730" spans="1:7" x14ac:dyDescent="0.25">
      <c r="A1730" s="7" t="s">
        <v>2867</v>
      </c>
      <c r="B1730" s="78" t="s">
        <v>537</v>
      </c>
      <c r="C1730" s="79" t="s">
        <v>64</v>
      </c>
      <c r="D1730" s="78"/>
      <c r="E1730" s="80"/>
      <c r="F1730" s="81"/>
      <c r="G1730" s="81">
        <v>6000000</v>
      </c>
    </row>
    <row r="1731" spans="1:7" x14ac:dyDescent="0.25">
      <c r="A1731" s="7" t="s">
        <v>2868</v>
      </c>
      <c r="B1731" s="89" t="s">
        <v>195</v>
      </c>
      <c r="C1731" s="90" t="s">
        <v>619</v>
      </c>
      <c r="D1731" s="89">
        <v>3</v>
      </c>
      <c r="E1731" s="91" t="s">
        <v>106</v>
      </c>
      <c r="F1731" s="92">
        <v>1000000</v>
      </c>
      <c r="G1731" s="92">
        <v>3000000</v>
      </c>
    </row>
    <row r="1732" spans="1:7" x14ac:dyDescent="0.25">
      <c r="A1732" s="7" t="s">
        <v>2869</v>
      </c>
      <c r="B1732" s="89" t="s">
        <v>195</v>
      </c>
      <c r="C1732" s="90" t="s">
        <v>2870</v>
      </c>
      <c r="D1732" s="89">
        <v>3</v>
      </c>
      <c r="E1732" s="91" t="s">
        <v>106</v>
      </c>
      <c r="F1732" s="92">
        <v>1000000</v>
      </c>
      <c r="G1732" s="92">
        <v>3000000</v>
      </c>
    </row>
    <row r="1733" spans="1:7" x14ac:dyDescent="0.25">
      <c r="A1733" s="7" t="s">
        <v>2871</v>
      </c>
      <c r="B1733" s="78" t="s">
        <v>516</v>
      </c>
      <c r="C1733" s="79" t="s">
        <v>11</v>
      </c>
      <c r="D1733" s="78"/>
      <c r="E1733" s="80"/>
      <c r="F1733" s="81"/>
      <c r="G1733" s="81">
        <v>28200000</v>
      </c>
    </row>
    <row r="1734" spans="1:7" x14ac:dyDescent="0.25">
      <c r="A1734" s="7" t="s">
        <v>2872</v>
      </c>
      <c r="B1734" s="89" t="s">
        <v>195</v>
      </c>
      <c r="C1734" s="90" t="s">
        <v>2873</v>
      </c>
      <c r="D1734" s="89">
        <v>12</v>
      </c>
      <c r="E1734" s="91" t="s">
        <v>54</v>
      </c>
      <c r="F1734" s="92">
        <v>1000000</v>
      </c>
      <c r="G1734" s="92">
        <v>12000000</v>
      </c>
    </row>
    <row r="1735" spans="1:7" x14ac:dyDescent="0.25">
      <c r="A1735" s="7" t="s">
        <v>2874</v>
      </c>
      <c r="B1735" s="89" t="s">
        <v>195</v>
      </c>
      <c r="C1735" s="90" t="s">
        <v>2875</v>
      </c>
      <c r="D1735" s="89">
        <v>18</v>
      </c>
      <c r="E1735" s="91" t="s">
        <v>54</v>
      </c>
      <c r="F1735" s="92">
        <v>900000</v>
      </c>
      <c r="G1735" s="92">
        <v>16200000</v>
      </c>
    </row>
    <row r="1736" spans="1:7" x14ac:dyDescent="0.25">
      <c r="A1736" s="7" t="s">
        <v>2876</v>
      </c>
      <c r="B1736" s="78" t="s">
        <v>513</v>
      </c>
      <c r="C1736" s="79" t="s">
        <v>19</v>
      </c>
      <c r="D1736" s="78"/>
      <c r="E1736" s="80"/>
      <c r="F1736" s="81"/>
      <c r="G1736" s="81">
        <v>275500000</v>
      </c>
    </row>
    <row r="1737" spans="1:7" ht="27.6" x14ac:dyDescent="0.25">
      <c r="A1737" s="7" t="s">
        <v>2877</v>
      </c>
      <c r="B1737" s="89" t="s">
        <v>195</v>
      </c>
      <c r="C1737" s="90" t="s">
        <v>2878</v>
      </c>
      <c r="D1737" s="89">
        <v>50</v>
      </c>
      <c r="E1737" s="91" t="s">
        <v>25</v>
      </c>
      <c r="F1737" s="92">
        <v>5510000</v>
      </c>
      <c r="G1737" s="92">
        <v>275500000</v>
      </c>
    </row>
    <row r="1738" spans="1:7" ht="27.6" x14ac:dyDescent="0.25">
      <c r="A1738" s="7" t="s">
        <v>2879</v>
      </c>
      <c r="B1738" s="93" t="s">
        <v>1102</v>
      </c>
      <c r="C1738" s="94" t="s">
        <v>2880</v>
      </c>
      <c r="D1738" s="93"/>
      <c r="E1738" s="95"/>
      <c r="F1738" s="96"/>
      <c r="G1738" s="96">
        <v>1200000000</v>
      </c>
    </row>
    <row r="1739" spans="1:7" x14ac:dyDescent="0.25">
      <c r="A1739" s="7" t="s">
        <v>2881</v>
      </c>
      <c r="B1739" s="97" t="s">
        <v>8</v>
      </c>
      <c r="C1739" s="98" t="s">
        <v>2882</v>
      </c>
      <c r="D1739" s="97"/>
      <c r="E1739" s="99"/>
      <c r="F1739" s="100"/>
      <c r="G1739" s="100">
        <v>417300000</v>
      </c>
    </row>
    <row r="1740" spans="1:7" x14ac:dyDescent="0.25">
      <c r="A1740" s="7" t="s">
        <v>2883</v>
      </c>
      <c r="B1740" s="78" t="s">
        <v>503</v>
      </c>
      <c r="C1740" s="79" t="s">
        <v>7</v>
      </c>
      <c r="D1740" s="78"/>
      <c r="E1740" s="80"/>
      <c r="F1740" s="81"/>
      <c r="G1740" s="81">
        <v>16400000</v>
      </c>
    </row>
    <row r="1741" spans="1:7" x14ac:dyDescent="0.25">
      <c r="A1741" s="7" t="s">
        <v>2884</v>
      </c>
      <c r="B1741" s="89" t="s">
        <v>195</v>
      </c>
      <c r="C1741" s="90" t="s">
        <v>617</v>
      </c>
      <c r="D1741" s="89">
        <v>100</v>
      </c>
      <c r="E1741" s="91" t="s">
        <v>180</v>
      </c>
      <c r="F1741" s="92">
        <v>100000</v>
      </c>
      <c r="G1741" s="92">
        <v>10000000</v>
      </c>
    </row>
    <row r="1742" spans="1:7" x14ac:dyDescent="0.25">
      <c r="A1742" s="7" t="s">
        <v>2885</v>
      </c>
      <c r="B1742" s="89" t="s">
        <v>195</v>
      </c>
      <c r="C1742" s="90" t="s">
        <v>2866</v>
      </c>
      <c r="D1742" s="89">
        <v>16</v>
      </c>
      <c r="E1742" s="91" t="s">
        <v>180</v>
      </c>
      <c r="F1742" s="92">
        <v>400000</v>
      </c>
      <c r="G1742" s="92">
        <v>6400000</v>
      </c>
    </row>
    <row r="1743" spans="1:7" x14ac:dyDescent="0.25">
      <c r="A1743" s="7" t="s">
        <v>2886</v>
      </c>
      <c r="B1743" s="78" t="s">
        <v>537</v>
      </c>
      <c r="C1743" s="79" t="s">
        <v>64</v>
      </c>
      <c r="D1743" s="78"/>
      <c r="E1743" s="80"/>
      <c r="F1743" s="81"/>
      <c r="G1743" s="81">
        <v>22000000</v>
      </c>
    </row>
    <row r="1744" spans="1:7" x14ac:dyDescent="0.25">
      <c r="A1744" s="7" t="s">
        <v>2887</v>
      </c>
      <c r="B1744" s="89" t="s">
        <v>195</v>
      </c>
      <c r="C1744" s="90" t="s">
        <v>619</v>
      </c>
      <c r="D1744" s="89">
        <v>11</v>
      </c>
      <c r="E1744" s="91" t="s">
        <v>106</v>
      </c>
      <c r="F1744" s="92">
        <v>1000000</v>
      </c>
      <c r="G1744" s="92">
        <v>11000000</v>
      </c>
    </row>
    <row r="1745" spans="1:7" x14ac:dyDescent="0.25">
      <c r="A1745" s="7" t="s">
        <v>2888</v>
      </c>
      <c r="B1745" s="89" t="s">
        <v>195</v>
      </c>
      <c r="C1745" s="90" t="s">
        <v>1006</v>
      </c>
      <c r="D1745" s="89">
        <v>11</v>
      </c>
      <c r="E1745" s="91" t="s">
        <v>106</v>
      </c>
      <c r="F1745" s="92">
        <v>1000000</v>
      </c>
      <c r="G1745" s="92">
        <v>11000000</v>
      </c>
    </row>
    <row r="1746" spans="1:7" x14ac:dyDescent="0.25">
      <c r="A1746" s="7" t="s">
        <v>2889</v>
      </c>
      <c r="B1746" s="78" t="s">
        <v>516</v>
      </c>
      <c r="C1746" s="79" t="s">
        <v>11</v>
      </c>
      <c r="D1746" s="78"/>
      <c r="E1746" s="80"/>
      <c r="F1746" s="81"/>
      <c r="G1746" s="81">
        <v>50400000</v>
      </c>
    </row>
    <row r="1747" spans="1:7" x14ac:dyDescent="0.25">
      <c r="A1747" s="7" t="s">
        <v>2890</v>
      </c>
      <c r="B1747" s="89" t="s">
        <v>195</v>
      </c>
      <c r="C1747" s="90" t="s">
        <v>2891</v>
      </c>
      <c r="D1747" s="89">
        <v>36</v>
      </c>
      <c r="E1747" s="91" t="s">
        <v>25</v>
      </c>
      <c r="F1747" s="92">
        <v>1400000</v>
      </c>
      <c r="G1747" s="92">
        <v>50400000</v>
      </c>
    </row>
    <row r="1748" spans="1:7" x14ac:dyDescent="0.25">
      <c r="A1748" s="7" t="s">
        <v>2892</v>
      </c>
      <c r="B1748" s="78" t="s">
        <v>518</v>
      </c>
      <c r="C1748" s="79" t="s">
        <v>24</v>
      </c>
      <c r="D1748" s="78"/>
      <c r="E1748" s="80"/>
      <c r="F1748" s="81"/>
      <c r="G1748" s="81">
        <v>32400000</v>
      </c>
    </row>
    <row r="1749" spans="1:7" x14ac:dyDescent="0.25">
      <c r="A1749" s="7" t="s">
        <v>2893</v>
      </c>
      <c r="B1749" s="89" t="s">
        <v>195</v>
      </c>
      <c r="C1749" s="90" t="s">
        <v>2894</v>
      </c>
      <c r="D1749" s="89">
        <v>72</v>
      </c>
      <c r="E1749" s="91" t="s">
        <v>25</v>
      </c>
      <c r="F1749" s="92">
        <v>450000</v>
      </c>
      <c r="G1749" s="92">
        <v>32400000</v>
      </c>
    </row>
    <row r="1750" spans="1:7" x14ac:dyDescent="0.25">
      <c r="A1750" s="7" t="s">
        <v>2895</v>
      </c>
      <c r="B1750" s="78" t="s">
        <v>513</v>
      </c>
      <c r="C1750" s="79" t="s">
        <v>19</v>
      </c>
      <c r="D1750" s="78"/>
      <c r="E1750" s="80"/>
      <c r="F1750" s="81"/>
      <c r="G1750" s="81">
        <v>296100000</v>
      </c>
    </row>
    <row r="1751" spans="1:7" x14ac:dyDescent="0.25">
      <c r="A1751" s="7" t="s">
        <v>2896</v>
      </c>
      <c r="B1751" s="89" t="s">
        <v>195</v>
      </c>
      <c r="C1751" s="90" t="s">
        <v>2897</v>
      </c>
      <c r="D1751" s="89">
        <v>60</v>
      </c>
      <c r="E1751" s="91" t="s">
        <v>25</v>
      </c>
      <c r="F1751" s="92">
        <v>4935000</v>
      </c>
      <c r="G1751" s="92">
        <v>296100000</v>
      </c>
    </row>
    <row r="1752" spans="1:7" x14ac:dyDescent="0.25">
      <c r="A1752" s="7" t="s">
        <v>2898</v>
      </c>
      <c r="B1752" s="97" t="s">
        <v>511</v>
      </c>
      <c r="C1752" s="98" t="s">
        <v>165</v>
      </c>
      <c r="D1752" s="97"/>
      <c r="E1752" s="99"/>
      <c r="F1752" s="100"/>
      <c r="G1752" s="100">
        <v>207880000</v>
      </c>
    </row>
    <row r="1753" spans="1:7" x14ac:dyDescent="0.25">
      <c r="A1753" s="7" t="s">
        <v>2899</v>
      </c>
      <c r="B1753" s="78" t="s">
        <v>503</v>
      </c>
      <c r="C1753" s="79" t="s">
        <v>7</v>
      </c>
      <c r="D1753" s="78"/>
      <c r="E1753" s="80"/>
      <c r="F1753" s="81"/>
      <c r="G1753" s="81">
        <v>20000000</v>
      </c>
    </row>
    <row r="1754" spans="1:7" x14ac:dyDescent="0.25">
      <c r="A1754" s="7" t="s">
        <v>2900</v>
      </c>
      <c r="B1754" s="89" t="s">
        <v>195</v>
      </c>
      <c r="C1754" s="90" t="s">
        <v>617</v>
      </c>
      <c r="D1754" s="89">
        <v>110</v>
      </c>
      <c r="E1754" s="91" t="s">
        <v>180</v>
      </c>
      <c r="F1754" s="92">
        <v>100000</v>
      </c>
      <c r="G1754" s="92">
        <v>11000000</v>
      </c>
    </row>
    <row r="1755" spans="1:7" x14ac:dyDescent="0.25">
      <c r="A1755" s="7" t="s">
        <v>2901</v>
      </c>
      <c r="B1755" s="89" t="s">
        <v>195</v>
      </c>
      <c r="C1755" s="90" t="s">
        <v>2902</v>
      </c>
      <c r="D1755" s="89">
        <v>36</v>
      </c>
      <c r="E1755" s="91" t="s">
        <v>180</v>
      </c>
      <c r="F1755" s="92">
        <v>250000</v>
      </c>
      <c r="G1755" s="92">
        <v>9000000</v>
      </c>
    </row>
    <row r="1756" spans="1:7" x14ac:dyDescent="0.25">
      <c r="A1756" s="7" t="s">
        <v>2903</v>
      </c>
      <c r="B1756" s="78" t="s">
        <v>537</v>
      </c>
      <c r="C1756" s="79" t="s">
        <v>64</v>
      </c>
      <c r="D1756" s="78"/>
      <c r="E1756" s="80"/>
      <c r="F1756" s="81"/>
      <c r="G1756" s="81">
        <v>22000000</v>
      </c>
    </row>
    <row r="1757" spans="1:7" x14ac:dyDescent="0.25">
      <c r="A1757" s="7" t="s">
        <v>2904</v>
      </c>
      <c r="B1757" s="89" t="s">
        <v>195</v>
      </c>
      <c r="C1757" s="90" t="s">
        <v>619</v>
      </c>
      <c r="D1757" s="89">
        <v>11</v>
      </c>
      <c r="E1757" s="91" t="s">
        <v>106</v>
      </c>
      <c r="F1757" s="92">
        <v>1000000</v>
      </c>
      <c r="G1757" s="92">
        <v>11000000</v>
      </c>
    </row>
    <row r="1758" spans="1:7" x14ac:dyDescent="0.25">
      <c r="A1758" s="7" t="s">
        <v>2905</v>
      </c>
      <c r="B1758" s="89" t="s">
        <v>195</v>
      </c>
      <c r="C1758" s="90" t="s">
        <v>1197</v>
      </c>
      <c r="D1758" s="89">
        <v>11</v>
      </c>
      <c r="E1758" s="91" t="s">
        <v>106</v>
      </c>
      <c r="F1758" s="92">
        <v>1000000</v>
      </c>
      <c r="G1758" s="92">
        <v>11000000</v>
      </c>
    </row>
    <row r="1759" spans="1:7" x14ac:dyDescent="0.25">
      <c r="A1759" s="7" t="s">
        <v>2906</v>
      </c>
      <c r="B1759" s="78" t="s">
        <v>516</v>
      </c>
      <c r="C1759" s="79" t="s">
        <v>11</v>
      </c>
      <c r="D1759" s="78"/>
      <c r="E1759" s="80"/>
      <c r="F1759" s="81"/>
      <c r="G1759" s="81">
        <v>67200000</v>
      </c>
    </row>
    <row r="1760" spans="1:7" x14ac:dyDescent="0.25">
      <c r="A1760" s="7" t="s">
        <v>2907</v>
      </c>
      <c r="B1760" s="89" t="s">
        <v>195</v>
      </c>
      <c r="C1760" s="90" t="s">
        <v>2891</v>
      </c>
      <c r="D1760" s="89">
        <v>48</v>
      </c>
      <c r="E1760" s="91" t="s">
        <v>25</v>
      </c>
      <c r="F1760" s="92">
        <v>1400000</v>
      </c>
      <c r="G1760" s="92">
        <v>67200000</v>
      </c>
    </row>
    <row r="1761" spans="1:7" x14ac:dyDescent="0.25">
      <c r="A1761" s="7" t="s">
        <v>2908</v>
      </c>
      <c r="B1761" s="78" t="s">
        <v>513</v>
      </c>
      <c r="C1761" s="79" t="s">
        <v>19</v>
      </c>
      <c r="D1761" s="78"/>
      <c r="E1761" s="80"/>
      <c r="F1761" s="81"/>
      <c r="G1761" s="81">
        <v>84280000</v>
      </c>
    </row>
    <row r="1762" spans="1:7" ht="27.6" x14ac:dyDescent="0.25">
      <c r="A1762" s="7" t="s">
        <v>2909</v>
      </c>
      <c r="B1762" s="89" t="s">
        <v>195</v>
      </c>
      <c r="C1762" s="90" t="s">
        <v>2910</v>
      </c>
      <c r="D1762" s="89">
        <v>20</v>
      </c>
      <c r="E1762" s="91" t="s">
        <v>25</v>
      </c>
      <c r="F1762" s="92">
        <v>4214000</v>
      </c>
      <c r="G1762" s="92">
        <v>84280000</v>
      </c>
    </row>
    <row r="1763" spans="1:7" x14ac:dyDescent="0.25">
      <c r="A1763" s="7" t="s">
        <v>2911</v>
      </c>
      <c r="B1763" s="78" t="s">
        <v>507</v>
      </c>
      <c r="C1763" s="79" t="s">
        <v>13</v>
      </c>
      <c r="D1763" s="78"/>
      <c r="E1763" s="80"/>
      <c r="F1763" s="81"/>
      <c r="G1763" s="81">
        <v>14400000</v>
      </c>
    </row>
    <row r="1764" spans="1:7" x14ac:dyDescent="0.25">
      <c r="A1764" s="7" t="s">
        <v>2912</v>
      </c>
      <c r="B1764" s="89" t="s">
        <v>195</v>
      </c>
      <c r="C1764" s="90" t="s">
        <v>2913</v>
      </c>
      <c r="D1764" s="89">
        <v>40</v>
      </c>
      <c r="E1764" s="91" t="s">
        <v>25</v>
      </c>
      <c r="F1764" s="92">
        <v>210000</v>
      </c>
      <c r="G1764" s="92">
        <v>8400000</v>
      </c>
    </row>
    <row r="1765" spans="1:7" x14ac:dyDescent="0.25">
      <c r="A1765" s="7" t="s">
        <v>2914</v>
      </c>
      <c r="B1765" s="89" t="s">
        <v>195</v>
      </c>
      <c r="C1765" s="90" t="s">
        <v>630</v>
      </c>
      <c r="D1765" s="89">
        <v>40</v>
      </c>
      <c r="E1765" s="91" t="s">
        <v>25</v>
      </c>
      <c r="F1765" s="92">
        <v>150000</v>
      </c>
      <c r="G1765" s="92">
        <v>6000000</v>
      </c>
    </row>
    <row r="1766" spans="1:7" x14ac:dyDescent="0.25">
      <c r="A1766" s="7" t="s">
        <v>2915</v>
      </c>
      <c r="B1766" s="97" t="s">
        <v>512</v>
      </c>
      <c r="C1766" s="98" t="s">
        <v>166</v>
      </c>
      <c r="D1766" s="97"/>
      <c r="E1766" s="99"/>
      <c r="F1766" s="100"/>
      <c r="G1766" s="100">
        <v>213980000</v>
      </c>
    </row>
    <row r="1767" spans="1:7" x14ac:dyDescent="0.25">
      <c r="A1767" s="7" t="s">
        <v>2916</v>
      </c>
      <c r="B1767" s="78" t="s">
        <v>503</v>
      </c>
      <c r="C1767" s="79" t="s">
        <v>7</v>
      </c>
      <c r="D1767" s="78"/>
      <c r="E1767" s="80"/>
      <c r="F1767" s="81"/>
      <c r="G1767" s="81">
        <v>76400000</v>
      </c>
    </row>
    <row r="1768" spans="1:7" x14ac:dyDescent="0.25">
      <c r="A1768" s="7" t="s">
        <v>2917</v>
      </c>
      <c r="B1768" s="89" t="s">
        <v>195</v>
      </c>
      <c r="C1768" s="90" t="s">
        <v>2918</v>
      </c>
      <c r="D1768" s="89">
        <v>60</v>
      </c>
      <c r="E1768" s="91" t="s">
        <v>180</v>
      </c>
      <c r="F1768" s="92">
        <v>300000</v>
      </c>
      <c r="G1768" s="92">
        <v>18000000</v>
      </c>
    </row>
    <row r="1769" spans="1:7" ht="27.6" x14ac:dyDescent="0.25">
      <c r="A1769" s="7" t="s">
        <v>2919</v>
      </c>
      <c r="B1769" s="89" t="s">
        <v>195</v>
      </c>
      <c r="C1769" s="90" t="s">
        <v>2920</v>
      </c>
      <c r="D1769" s="89">
        <v>60</v>
      </c>
      <c r="E1769" s="91" t="s">
        <v>180</v>
      </c>
      <c r="F1769" s="92">
        <v>300000</v>
      </c>
      <c r="G1769" s="92">
        <v>18000000</v>
      </c>
    </row>
    <row r="1770" spans="1:7" x14ac:dyDescent="0.25">
      <c r="A1770" s="7" t="s">
        <v>2921</v>
      </c>
      <c r="B1770" s="89" t="s">
        <v>195</v>
      </c>
      <c r="C1770" s="90" t="s">
        <v>2922</v>
      </c>
      <c r="D1770" s="89">
        <v>20</v>
      </c>
      <c r="E1770" s="91" t="s">
        <v>180</v>
      </c>
      <c r="F1770" s="92">
        <v>380000</v>
      </c>
      <c r="G1770" s="92">
        <v>7600000</v>
      </c>
    </row>
    <row r="1771" spans="1:7" x14ac:dyDescent="0.25">
      <c r="A1771" s="7" t="s">
        <v>2923</v>
      </c>
      <c r="B1771" s="89" t="s">
        <v>195</v>
      </c>
      <c r="C1771" s="90" t="s">
        <v>2924</v>
      </c>
      <c r="D1771" s="89">
        <v>60</v>
      </c>
      <c r="E1771" s="91" t="s">
        <v>180</v>
      </c>
      <c r="F1771" s="92">
        <v>380000</v>
      </c>
      <c r="G1771" s="92">
        <v>22800000</v>
      </c>
    </row>
    <row r="1772" spans="1:7" x14ac:dyDescent="0.25">
      <c r="A1772" s="7" t="s">
        <v>2925</v>
      </c>
      <c r="B1772" s="89" t="s">
        <v>195</v>
      </c>
      <c r="C1772" s="90" t="s">
        <v>617</v>
      </c>
      <c r="D1772" s="89">
        <v>100</v>
      </c>
      <c r="E1772" s="91" t="s">
        <v>180</v>
      </c>
      <c r="F1772" s="92">
        <v>100000</v>
      </c>
      <c r="G1772" s="92">
        <v>10000000</v>
      </c>
    </row>
    <row r="1773" spans="1:7" x14ac:dyDescent="0.25">
      <c r="A1773" s="7" t="s">
        <v>2926</v>
      </c>
      <c r="B1773" s="78" t="s">
        <v>537</v>
      </c>
      <c r="C1773" s="79" t="s">
        <v>64</v>
      </c>
      <c r="D1773" s="78"/>
      <c r="E1773" s="80"/>
      <c r="F1773" s="81"/>
      <c r="G1773" s="81">
        <v>22000000</v>
      </c>
    </row>
    <row r="1774" spans="1:7" x14ac:dyDescent="0.25">
      <c r="A1774" s="7" t="s">
        <v>2927</v>
      </c>
      <c r="B1774" s="89" t="s">
        <v>195</v>
      </c>
      <c r="C1774" s="90" t="s">
        <v>619</v>
      </c>
      <c r="D1774" s="89">
        <v>11</v>
      </c>
      <c r="E1774" s="91" t="s">
        <v>106</v>
      </c>
      <c r="F1774" s="92">
        <v>1000000</v>
      </c>
      <c r="G1774" s="92">
        <v>11000000</v>
      </c>
    </row>
    <row r="1775" spans="1:7" x14ac:dyDescent="0.25">
      <c r="A1775" s="7" t="s">
        <v>2928</v>
      </c>
      <c r="B1775" s="89" t="s">
        <v>195</v>
      </c>
      <c r="C1775" s="90" t="s">
        <v>1006</v>
      </c>
      <c r="D1775" s="89">
        <v>11</v>
      </c>
      <c r="E1775" s="91" t="s">
        <v>106</v>
      </c>
      <c r="F1775" s="92">
        <v>1000000</v>
      </c>
      <c r="G1775" s="92">
        <v>11000000</v>
      </c>
    </row>
    <row r="1776" spans="1:7" x14ac:dyDescent="0.25">
      <c r="A1776" s="7" t="s">
        <v>2929</v>
      </c>
      <c r="B1776" s="78" t="s">
        <v>517</v>
      </c>
      <c r="C1776" s="79" t="s">
        <v>22</v>
      </c>
      <c r="D1776" s="78"/>
      <c r="E1776" s="80"/>
      <c r="F1776" s="81"/>
      <c r="G1776" s="81">
        <v>31000000</v>
      </c>
    </row>
    <row r="1777" spans="1:7" ht="27.6" x14ac:dyDescent="0.25">
      <c r="A1777" s="7" t="s">
        <v>2930</v>
      </c>
      <c r="B1777" s="89" t="s">
        <v>195</v>
      </c>
      <c r="C1777" s="90" t="s">
        <v>2931</v>
      </c>
      <c r="D1777" s="89">
        <v>3</v>
      </c>
      <c r="E1777" s="91" t="s">
        <v>106</v>
      </c>
      <c r="F1777" s="92">
        <v>3500000</v>
      </c>
      <c r="G1777" s="92">
        <v>10500000</v>
      </c>
    </row>
    <row r="1778" spans="1:7" ht="27.6" x14ac:dyDescent="0.25">
      <c r="A1778" s="7" t="s">
        <v>2932</v>
      </c>
      <c r="B1778" s="89" t="s">
        <v>195</v>
      </c>
      <c r="C1778" s="90" t="s">
        <v>2933</v>
      </c>
      <c r="D1778" s="89">
        <v>3</v>
      </c>
      <c r="E1778" s="91" t="s">
        <v>106</v>
      </c>
      <c r="F1778" s="92">
        <v>3500000</v>
      </c>
      <c r="G1778" s="92">
        <v>10500000</v>
      </c>
    </row>
    <row r="1779" spans="1:7" ht="27.6" x14ac:dyDescent="0.25">
      <c r="A1779" s="7" t="s">
        <v>2934</v>
      </c>
      <c r="B1779" s="89" t="s">
        <v>195</v>
      </c>
      <c r="C1779" s="90" t="s">
        <v>2935</v>
      </c>
      <c r="D1779" s="89">
        <v>1</v>
      </c>
      <c r="E1779" s="91" t="s">
        <v>106</v>
      </c>
      <c r="F1779" s="92">
        <v>5000000</v>
      </c>
      <c r="G1779" s="92">
        <v>5000000</v>
      </c>
    </row>
    <row r="1780" spans="1:7" ht="27.6" x14ac:dyDescent="0.25">
      <c r="A1780" s="7" t="s">
        <v>2936</v>
      </c>
      <c r="B1780" s="89" t="s">
        <v>195</v>
      </c>
      <c r="C1780" s="90" t="s">
        <v>2937</v>
      </c>
      <c r="D1780" s="89">
        <v>1</v>
      </c>
      <c r="E1780" s="91" t="s">
        <v>106</v>
      </c>
      <c r="F1780" s="92">
        <v>5000000</v>
      </c>
      <c r="G1780" s="92">
        <v>5000000</v>
      </c>
    </row>
    <row r="1781" spans="1:7" x14ac:dyDescent="0.25">
      <c r="A1781" s="7" t="s">
        <v>2938</v>
      </c>
      <c r="B1781" s="78" t="s">
        <v>513</v>
      </c>
      <c r="C1781" s="79" t="s">
        <v>19</v>
      </c>
      <c r="D1781" s="78"/>
      <c r="E1781" s="80"/>
      <c r="F1781" s="81"/>
      <c r="G1781" s="81">
        <v>77980000</v>
      </c>
    </row>
    <row r="1782" spans="1:7" x14ac:dyDescent="0.25">
      <c r="A1782" s="7" t="s">
        <v>2939</v>
      </c>
      <c r="B1782" s="89" t="s">
        <v>195</v>
      </c>
      <c r="C1782" s="90" t="s">
        <v>2940</v>
      </c>
      <c r="D1782" s="89">
        <v>28</v>
      </c>
      <c r="E1782" s="91" t="s">
        <v>25</v>
      </c>
      <c r="F1782" s="92">
        <v>2785000</v>
      </c>
      <c r="G1782" s="92">
        <v>77980000</v>
      </c>
    </row>
    <row r="1783" spans="1:7" x14ac:dyDescent="0.25">
      <c r="A1783" s="7" t="s">
        <v>2941</v>
      </c>
      <c r="B1783" s="78" t="s">
        <v>509</v>
      </c>
      <c r="C1783" s="79" t="s">
        <v>14</v>
      </c>
      <c r="D1783" s="78"/>
      <c r="E1783" s="80"/>
      <c r="F1783" s="81"/>
      <c r="G1783" s="81">
        <v>6600000</v>
      </c>
    </row>
    <row r="1784" spans="1:7" x14ac:dyDescent="0.25">
      <c r="A1784" s="7" t="s">
        <v>2942</v>
      </c>
      <c r="B1784" s="89" t="s">
        <v>195</v>
      </c>
      <c r="C1784" s="90" t="s">
        <v>2943</v>
      </c>
      <c r="D1784" s="89">
        <v>20</v>
      </c>
      <c r="E1784" s="91" t="s">
        <v>25</v>
      </c>
      <c r="F1784" s="92">
        <v>180000</v>
      </c>
      <c r="G1784" s="92">
        <v>3600000</v>
      </c>
    </row>
    <row r="1785" spans="1:7" x14ac:dyDescent="0.25">
      <c r="A1785" s="7" t="s">
        <v>2944</v>
      </c>
      <c r="B1785" s="89" t="s">
        <v>195</v>
      </c>
      <c r="C1785" s="90" t="s">
        <v>638</v>
      </c>
      <c r="D1785" s="89">
        <v>20</v>
      </c>
      <c r="E1785" s="91" t="s">
        <v>25</v>
      </c>
      <c r="F1785" s="92">
        <v>150000</v>
      </c>
      <c r="G1785" s="92">
        <v>3000000</v>
      </c>
    </row>
    <row r="1786" spans="1:7" ht="27.6" x14ac:dyDescent="0.25">
      <c r="A1786" s="7" t="s">
        <v>2945</v>
      </c>
      <c r="B1786" s="97" t="s">
        <v>514</v>
      </c>
      <c r="C1786" s="98" t="s">
        <v>167</v>
      </c>
      <c r="D1786" s="97"/>
      <c r="E1786" s="99"/>
      <c r="F1786" s="100"/>
      <c r="G1786" s="100">
        <v>360840000</v>
      </c>
    </row>
    <row r="1787" spans="1:7" x14ac:dyDescent="0.25">
      <c r="A1787" s="7" t="s">
        <v>2946</v>
      </c>
      <c r="B1787" s="78" t="s">
        <v>503</v>
      </c>
      <c r="C1787" s="79" t="s">
        <v>7</v>
      </c>
      <c r="D1787" s="78"/>
      <c r="E1787" s="80"/>
      <c r="F1787" s="81"/>
      <c r="G1787" s="81">
        <v>118300000</v>
      </c>
    </row>
    <row r="1788" spans="1:7" x14ac:dyDescent="0.25">
      <c r="A1788" s="7" t="s">
        <v>2947</v>
      </c>
      <c r="B1788" s="89" t="s">
        <v>195</v>
      </c>
      <c r="C1788" s="90" t="s">
        <v>2948</v>
      </c>
      <c r="D1788" s="89">
        <v>240</v>
      </c>
      <c r="E1788" s="91" t="s">
        <v>180</v>
      </c>
      <c r="F1788" s="92">
        <v>300000</v>
      </c>
      <c r="G1788" s="92">
        <v>72000000</v>
      </c>
    </row>
    <row r="1789" spans="1:7" x14ac:dyDescent="0.25">
      <c r="A1789" s="7" t="s">
        <v>2949</v>
      </c>
      <c r="B1789" s="89" t="s">
        <v>195</v>
      </c>
      <c r="C1789" s="90" t="s">
        <v>2950</v>
      </c>
      <c r="D1789" s="89">
        <v>70</v>
      </c>
      <c r="E1789" s="91" t="s">
        <v>180</v>
      </c>
      <c r="F1789" s="92">
        <v>450000</v>
      </c>
      <c r="G1789" s="92">
        <v>31500000</v>
      </c>
    </row>
    <row r="1790" spans="1:7" x14ac:dyDescent="0.25">
      <c r="A1790" s="7" t="s">
        <v>2951</v>
      </c>
      <c r="B1790" s="89" t="s">
        <v>195</v>
      </c>
      <c r="C1790" s="90" t="s">
        <v>617</v>
      </c>
      <c r="D1790" s="89">
        <v>100</v>
      </c>
      <c r="E1790" s="91" t="s">
        <v>180</v>
      </c>
      <c r="F1790" s="92">
        <v>100000</v>
      </c>
      <c r="G1790" s="92">
        <v>10000000</v>
      </c>
    </row>
    <row r="1791" spans="1:7" x14ac:dyDescent="0.25">
      <c r="A1791" s="7" t="s">
        <v>2952</v>
      </c>
      <c r="B1791" s="89" t="s">
        <v>195</v>
      </c>
      <c r="C1791" s="90" t="s">
        <v>2953</v>
      </c>
      <c r="D1791" s="89">
        <v>12</v>
      </c>
      <c r="E1791" s="91" t="s">
        <v>180</v>
      </c>
      <c r="F1791" s="92">
        <v>400000</v>
      </c>
      <c r="G1791" s="92">
        <v>4800000</v>
      </c>
    </row>
    <row r="1792" spans="1:7" ht="27.6" x14ac:dyDescent="0.25">
      <c r="A1792" s="7" t="s">
        <v>2954</v>
      </c>
      <c r="B1792" s="78" t="s">
        <v>515</v>
      </c>
      <c r="C1792" s="79" t="s">
        <v>642</v>
      </c>
      <c r="D1792" s="78"/>
      <c r="E1792" s="80"/>
      <c r="F1792" s="81"/>
      <c r="G1792" s="81">
        <v>15600000</v>
      </c>
    </row>
    <row r="1793" spans="1:7" x14ac:dyDescent="0.25">
      <c r="A1793" s="7" t="s">
        <v>2955</v>
      </c>
      <c r="B1793" s="89" t="s">
        <v>195</v>
      </c>
      <c r="C1793" s="90" t="s">
        <v>2956</v>
      </c>
      <c r="D1793" s="89">
        <v>60</v>
      </c>
      <c r="E1793" s="91" t="s">
        <v>32</v>
      </c>
      <c r="F1793" s="92">
        <v>200000</v>
      </c>
      <c r="G1793" s="92">
        <v>12000000</v>
      </c>
    </row>
    <row r="1794" spans="1:7" ht="41.4" x14ac:dyDescent="0.25">
      <c r="A1794" s="7" t="s">
        <v>2957</v>
      </c>
      <c r="B1794" s="89" t="s">
        <v>195</v>
      </c>
      <c r="C1794" s="90" t="s">
        <v>2958</v>
      </c>
      <c r="D1794" s="89">
        <v>12</v>
      </c>
      <c r="E1794" s="91" t="s">
        <v>106</v>
      </c>
      <c r="F1794" s="92">
        <v>300000</v>
      </c>
      <c r="G1794" s="92">
        <v>3600000</v>
      </c>
    </row>
    <row r="1795" spans="1:7" x14ac:dyDescent="0.25">
      <c r="A1795" s="7" t="s">
        <v>2959</v>
      </c>
      <c r="B1795" s="78" t="s">
        <v>537</v>
      </c>
      <c r="C1795" s="79" t="s">
        <v>64</v>
      </c>
      <c r="D1795" s="78"/>
      <c r="E1795" s="80"/>
      <c r="F1795" s="81"/>
      <c r="G1795" s="81">
        <v>22000000</v>
      </c>
    </row>
    <row r="1796" spans="1:7" x14ac:dyDescent="0.25">
      <c r="A1796" s="7" t="s">
        <v>2960</v>
      </c>
      <c r="B1796" s="89" t="s">
        <v>195</v>
      </c>
      <c r="C1796" s="90" t="s">
        <v>619</v>
      </c>
      <c r="D1796" s="89">
        <v>11</v>
      </c>
      <c r="E1796" s="91" t="s">
        <v>106</v>
      </c>
      <c r="F1796" s="92">
        <v>1000000</v>
      </c>
      <c r="G1796" s="92">
        <v>11000000</v>
      </c>
    </row>
    <row r="1797" spans="1:7" x14ac:dyDescent="0.25">
      <c r="A1797" s="7" t="s">
        <v>2961</v>
      </c>
      <c r="B1797" s="89" t="s">
        <v>195</v>
      </c>
      <c r="C1797" s="90" t="s">
        <v>1006</v>
      </c>
      <c r="D1797" s="89">
        <v>11</v>
      </c>
      <c r="E1797" s="91" t="s">
        <v>106</v>
      </c>
      <c r="F1797" s="92">
        <v>1000000</v>
      </c>
      <c r="G1797" s="92">
        <v>11000000</v>
      </c>
    </row>
    <row r="1798" spans="1:7" x14ac:dyDescent="0.25">
      <c r="A1798" s="7" t="s">
        <v>2962</v>
      </c>
      <c r="B1798" s="78" t="s">
        <v>516</v>
      </c>
      <c r="C1798" s="79" t="s">
        <v>11</v>
      </c>
      <c r="D1798" s="78"/>
      <c r="E1798" s="80"/>
      <c r="F1798" s="81"/>
      <c r="G1798" s="81">
        <v>30600000</v>
      </c>
    </row>
    <row r="1799" spans="1:7" x14ac:dyDescent="0.25">
      <c r="A1799" s="7" t="s">
        <v>2963</v>
      </c>
      <c r="B1799" s="89" t="s">
        <v>195</v>
      </c>
      <c r="C1799" s="90" t="s">
        <v>2891</v>
      </c>
      <c r="D1799" s="89">
        <v>18</v>
      </c>
      <c r="E1799" s="91" t="s">
        <v>25</v>
      </c>
      <c r="F1799" s="92">
        <v>1700000</v>
      </c>
      <c r="G1799" s="92">
        <v>30600000</v>
      </c>
    </row>
    <row r="1800" spans="1:7" x14ac:dyDescent="0.25">
      <c r="A1800" s="7" t="s">
        <v>2964</v>
      </c>
      <c r="B1800" s="78" t="s">
        <v>517</v>
      </c>
      <c r="C1800" s="79" t="s">
        <v>22</v>
      </c>
      <c r="D1800" s="78"/>
      <c r="E1800" s="80"/>
      <c r="F1800" s="81"/>
      <c r="G1800" s="81">
        <v>46000000</v>
      </c>
    </row>
    <row r="1801" spans="1:7" ht="27.6" x14ac:dyDescent="0.25">
      <c r="A1801" s="7" t="s">
        <v>2965</v>
      </c>
      <c r="B1801" s="89" t="s">
        <v>195</v>
      </c>
      <c r="C1801" s="90" t="s">
        <v>2966</v>
      </c>
      <c r="D1801" s="89">
        <v>1</v>
      </c>
      <c r="E1801" s="91" t="s">
        <v>106</v>
      </c>
      <c r="F1801" s="92">
        <v>5000000</v>
      </c>
      <c r="G1801" s="92">
        <v>5000000</v>
      </c>
    </row>
    <row r="1802" spans="1:7" x14ac:dyDescent="0.25">
      <c r="A1802" s="7" t="s">
        <v>2967</v>
      </c>
      <c r="B1802" s="89" t="s">
        <v>195</v>
      </c>
      <c r="C1802" s="90" t="s">
        <v>2968</v>
      </c>
      <c r="D1802" s="89">
        <v>1</v>
      </c>
      <c r="E1802" s="91" t="s">
        <v>106</v>
      </c>
      <c r="F1802" s="92">
        <v>5000000</v>
      </c>
      <c r="G1802" s="92">
        <v>5000000</v>
      </c>
    </row>
    <row r="1803" spans="1:7" x14ac:dyDescent="0.25">
      <c r="A1803" s="7" t="s">
        <v>2969</v>
      </c>
      <c r="B1803" s="89" t="s">
        <v>195</v>
      </c>
      <c r="C1803" s="90" t="s">
        <v>2970</v>
      </c>
      <c r="D1803" s="89">
        <v>12</v>
      </c>
      <c r="E1803" s="91" t="s">
        <v>106</v>
      </c>
      <c r="F1803" s="92">
        <v>3000000</v>
      </c>
      <c r="G1803" s="92">
        <v>36000000</v>
      </c>
    </row>
    <row r="1804" spans="1:7" x14ac:dyDescent="0.25">
      <c r="A1804" s="7" t="s">
        <v>2971</v>
      </c>
      <c r="B1804" s="78" t="s">
        <v>513</v>
      </c>
      <c r="C1804" s="79" t="s">
        <v>19</v>
      </c>
      <c r="D1804" s="78"/>
      <c r="E1804" s="80"/>
      <c r="F1804" s="81"/>
      <c r="G1804" s="81">
        <v>111060000</v>
      </c>
    </row>
    <row r="1805" spans="1:7" x14ac:dyDescent="0.25">
      <c r="A1805" s="7" t="s">
        <v>2972</v>
      </c>
      <c r="B1805" s="89" t="s">
        <v>195</v>
      </c>
      <c r="C1805" s="90" t="s">
        <v>2973</v>
      </c>
      <c r="D1805" s="89">
        <v>60</v>
      </c>
      <c r="E1805" s="91" t="s">
        <v>25</v>
      </c>
      <c r="F1805" s="92">
        <v>1851000</v>
      </c>
      <c r="G1805" s="92">
        <v>111060000</v>
      </c>
    </row>
    <row r="1806" spans="1:7" x14ac:dyDescent="0.25">
      <c r="A1806" s="7" t="s">
        <v>2974</v>
      </c>
      <c r="B1806" s="78" t="s">
        <v>509</v>
      </c>
      <c r="C1806" s="79" t="s">
        <v>14</v>
      </c>
      <c r="D1806" s="78"/>
      <c r="E1806" s="80"/>
      <c r="F1806" s="81"/>
      <c r="G1806" s="81">
        <v>17280000</v>
      </c>
    </row>
    <row r="1807" spans="1:7" x14ac:dyDescent="0.25">
      <c r="A1807" s="7" t="s">
        <v>2975</v>
      </c>
      <c r="B1807" s="89" t="s">
        <v>195</v>
      </c>
      <c r="C1807" s="90" t="s">
        <v>1313</v>
      </c>
      <c r="D1807" s="89">
        <v>48</v>
      </c>
      <c r="E1807" s="91" t="s">
        <v>25</v>
      </c>
      <c r="F1807" s="92">
        <v>210000</v>
      </c>
      <c r="G1807" s="92">
        <v>10080000</v>
      </c>
    </row>
    <row r="1808" spans="1:7" x14ac:dyDescent="0.25">
      <c r="A1808" s="7" t="s">
        <v>2976</v>
      </c>
      <c r="B1808" s="89" t="s">
        <v>195</v>
      </c>
      <c r="C1808" s="90" t="s">
        <v>630</v>
      </c>
      <c r="D1808" s="89">
        <v>48</v>
      </c>
      <c r="E1808" s="91" t="s">
        <v>25</v>
      </c>
      <c r="F1808" s="92">
        <v>150000</v>
      </c>
      <c r="G1808" s="92">
        <v>7200000</v>
      </c>
    </row>
    <row r="1809" spans="1:7" ht="27.6" x14ac:dyDescent="0.25">
      <c r="A1809" s="7" t="s">
        <v>2977</v>
      </c>
      <c r="B1809" s="93" t="s">
        <v>1316</v>
      </c>
      <c r="C1809" s="94" t="s">
        <v>2978</v>
      </c>
      <c r="D1809" s="93"/>
      <c r="E1809" s="95"/>
      <c r="F1809" s="96"/>
      <c r="G1809" s="96">
        <v>528220000</v>
      </c>
    </row>
    <row r="1810" spans="1:7" ht="27.6" x14ac:dyDescent="0.25">
      <c r="A1810" s="7" t="s">
        <v>2979</v>
      </c>
      <c r="B1810" s="97" t="s">
        <v>8</v>
      </c>
      <c r="C1810" s="98" t="s">
        <v>168</v>
      </c>
      <c r="D1810" s="97"/>
      <c r="E1810" s="99"/>
      <c r="F1810" s="100"/>
      <c r="G1810" s="100">
        <v>373240000</v>
      </c>
    </row>
    <row r="1811" spans="1:7" x14ac:dyDescent="0.25">
      <c r="A1811" s="7" t="s">
        <v>2980</v>
      </c>
      <c r="B1811" s="78" t="s">
        <v>503</v>
      </c>
      <c r="C1811" s="79" t="s">
        <v>7</v>
      </c>
      <c r="D1811" s="78"/>
      <c r="E1811" s="80"/>
      <c r="F1811" s="81"/>
      <c r="G1811" s="81">
        <v>28240000</v>
      </c>
    </row>
    <row r="1812" spans="1:7" x14ac:dyDescent="0.25">
      <c r="A1812" s="7" t="s">
        <v>2981</v>
      </c>
      <c r="B1812" s="89" t="s">
        <v>195</v>
      </c>
      <c r="C1812" s="90" t="s">
        <v>2982</v>
      </c>
      <c r="D1812" s="89">
        <v>160</v>
      </c>
      <c r="E1812" s="91" t="s">
        <v>10</v>
      </c>
      <c r="F1812" s="92">
        <v>64000</v>
      </c>
      <c r="G1812" s="92">
        <v>10240000</v>
      </c>
    </row>
    <row r="1813" spans="1:7" x14ac:dyDescent="0.25">
      <c r="A1813" s="7" t="s">
        <v>2983</v>
      </c>
      <c r="B1813" s="89" t="s">
        <v>195</v>
      </c>
      <c r="C1813" s="90" t="s">
        <v>619</v>
      </c>
      <c r="D1813" s="89">
        <v>4</v>
      </c>
      <c r="E1813" s="91" t="s">
        <v>9</v>
      </c>
      <c r="F1813" s="92">
        <v>1500000</v>
      </c>
      <c r="G1813" s="92">
        <v>6000000</v>
      </c>
    </row>
    <row r="1814" spans="1:7" x14ac:dyDescent="0.25">
      <c r="A1814" s="7" t="s">
        <v>2984</v>
      </c>
      <c r="B1814" s="89" t="s">
        <v>195</v>
      </c>
      <c r="C1814" s="90" t="s">
        <v>620</v>
      </c>
      <c r="D1814" s="89">
        <v>4</v>
      </c>
      <c r="E1814" s="91" t="s">
        <v>9</v>
      </c>
      <c r="F1814" s="92">
        <v>1500000</v>
      </c>
      <c r="G1814" s="92">
        <v>6000000</v>
      </c>
    </row>
    <row r="1815" spans="1:7" ht="27.6" x14ac:dyDescent="0.25">
      <c r="A1815" s="7" t="s">
        <v>2985</v>
      </c>
      <c r="B1815" s="89" t="s">
        <v>195</v>
      </c>
      <c r="C1815" s="90" t="s">
        <v>2986</v>
      </c>
      <c r="D1815" s="89">
        <v>4</v>
      </c>
      <c r="E1815" s="91" t="s">
        <v>9</v>
      </c>
      <c r="F1815" s="92">
        <v>1500000</v>
      </c>
      <c r="G1815" s="92">
        <v>6000000</v>
      </c>
    </row>
    <row r="1816" spans="1:7" x14ac:dyDescent="0.25">
      <c r="A1816" s="7" t="s">
        <v>2987</v>
      </c>
      <c r="B1816" s="78" t="s">
        <v>518</v>
      </c>
      <c r="C1816" s="79" t="s">
        <v>24</v>
      </c>
      <c r="D1816" s="78"/>
      <c r="E1816" s="80"/>
      <c r="F1816" s="81"/>
      <c r="G1816" s="81">
        <v>15000000</v>
      </c>
    </row>
    <row r="1817" spans="1:7" x14ac:dyDescent="0.25">
      <c r="A1817" s="7" t="s">
        <v>2988</v>
      </c>
      <c r="B1817" s="89" t="s">
        <v>195</v>
      </c>
      <c r="C1817" s="90" t="s">
        <v>2989</v>
      </c>
      <c r="D1817" s="89">
        <v>60</v>
      </c>
      <c r="E1817" s="91" t="s">
        <v>10</v>
      </c>
      <c r="F1817" s="92">
        <v>250000</v>
      </c>
      <c r="G1817" s="92">
        <v>15000000</v>
      </c>
    </row>
    <row r="1818" spans="1:7" x14ac:dyDescent="0.25">
      <c r="A1818" s="7" t="s">
        <v>2990</v>
      </c>
      <c r="B1818" s="78" t="s">
        <v>513</v>
      </c>
      <c r="C1818" s="79" t="s">
        <v>19</v>
      </c>
      <c r="D1818" s="78"/>
      <c r="E1818" s="80"/>
      <c r="F1818" s="81"/>
      <c r="G1818" s="81">
        <v>330000000</v>
      </c>
    </row>
    <row r="1819" spans="1:7" ht="27.6" x14ac:dyDescent="0.25">
      <c r="A1819" s="7" t="s">
        <v>2991</v>
      </c>
      <c r="B1819" s="89" t="s">
        <v>195</v>
      </c>
      <c r="C1819" s="90" t="s">
        <v>2992</v>
      </c>
      <c r="D1819" s="89">
        <v>60</v>
      </c>
      <c r="E1819" s="91" t="s">
        <v>10</v>
      </c>
      <c r="F1819" s="92">
        <v>5500000</v>
      </c>
      <c r="G1819" s="92">
        <v>330000000</v>
      </c>
    </row>
    <row r="1820" spans="1:7" ht="27.6" x14ac:dyDescent="0.25">
      <c r="A1820" s="7" t="s">
        <v>2993</v>
      </c>
      <c r="B1820" s="97" t="s">
        <v>511</v>
      </c>
      <c r="C1820" s="98" t="s">
        <v>169</v>
      </c>
      <c r="D1820" s="97"/>
      <c r="E1820" s="99"/>
      <c r="F1820" s="100"/>
      <c r="G1820" s="100">
        <v>154980000</v>
      </c>
    </row>
    <row r="1821" spans="1:7" x14ac:dyDescent="0.25">
      <c r="A1821" s="7" t="s">
        <v>2994</v>
      </c>
      <c r="B1821" s="78" t="s">
        <v>503</v>
      </c>
      <c r="C1821" s="79" t="s">
        <v>7</v>
      </c>
      <c r="D1821" s="78"/>
      <c r="E1821" s="80"/>
      <c r="F1821" s="81"/>
      <c r="G1821" s="81">
        <v>17240000</v>
      </c>
    </row>
    <row r="1822" spans="1:7" x14ac:dyDescent="0.25">
      <c r="A1822" s="7" t="s">
        <v>2995</v>
      </c>
      <c r="B1822" s="89" t="s">
        <v>195</v>
      </c>
      <c r="C1822" s="90" t="s">
        <v>2996</v>
      </c>
      <c r="D1822" s="89">
        <v>2</v>
      </c>
      <c r="E1822" s="91" t="s">
        <v>9</v>
      </c>
      <c r="F1822" s="92">
        <v>1000000</v>
      </c>
      <c r="G1822" s="92">
        <v>2000000</v>
      </c>
    </row>
    <row r="1823" spans="1:7" x14ac:dyDescent="0.25">
      <c r="A1823" s="7" t="s">
        <v>2997</v>
      </c>
      <c r="B1823" s="89" t="s">
        <v>195</v>
      </c>
      <c r="C1823" s="90" t="s">
        <v>2998</v>
      </c>
      <c r="D1823" s="89">
        <v>160</v>
      </c>
      <c r="E1823" s="91" t="s">
        <v>10</v>
      </c>
      <c r="F1823" s="92">
        <v>64000</v>
      </c>
      <c r="G1823" s="92">
        <v>10240000</v>
      </c>
    </row>
    <row r="1824" spans="1:7" x14ac:dyDescent="0.25">
      <c r="A1824" s="7" t="s">
        <v>2999</v>
      </c>
      <c r="B1824" s="89" t="s">
        <v>195</v>
      </c>
      <c r="C1824" s="90" t="s">
        <v>3000</v>
      </c>
      <c r="D1824" s="89">
        <v>2</v>
      </c>
      <c r="E1824" s="91" t="s">
        <v>9</v>
      </c>
      <c r="F1824" s="92">
        <v>1000000</v>
      </c>
      <c r="G1824" s="92">
        <v>2000000</v>
      </c>
    </row>
    <row r="1825" spans="1:7" x14ac:dyDescent="0.25">
      <c r="A1825" s="7" t="s">
        <v>3001</v>
      </c>
      <c r="B1825" s="89" t="s">
        <v>195</v>
      </c>
      <c r="C1825" s="90" t="s">
        <v>693</v>
      </c>
      <c r="D1825" s="89">
        <v>2</v>
      </c>
      <c r="E1825" s="91" t="s">
        <v>9</v>
      </c>
      <c r="F1825" s="92">
        <v>1500000</v>
      </c>
      <c r="G1825" s="92">
        <v>3000000</v>
      </c>
    </row>
    <row r="1826" spans="1:7" x14ac:dyDescent="0.25">
      <c r="A1826" s="7" t="s">
        <v>3002</v>
      </c>
      <c r="B1826" s="78" t="s">
        <v>513</v>
      </c>
      <c r="C1826" s="79" t="s">
        <v>19</v>
      </c>
      <c r="D1826" s="78"/>
      <c r="E1826" s="80"/>
      <c r="F1826" s="81"/>
      <c r="G1826" s="81">
        <v>137740000</v>
      </c>
    </row>
    <row r="1827" spans="1:7" ht="27.6" x14ac:dyDescent="0.25">
      <c r="A1827" s="7" t="s">
        <v>3003</v>
      </c>
      <c r="B1827" s="89" t="s">
        <v>195</v>
      </c>
      <c r="C1827" s="90" t="s">
        <v>3004</v>
      </c>
      <c r="D1827" s="89">
        <v>30</v>
      </c>
      <c r="E1827" s="91" t="s">
        <v>10</v>
      </c>
      <c r="F1827" s="92">
        <v>4591000</v>
      </c>
      <c r="G1827" s="92">
        <v>137740000</v>
      </c>
    </row>
    <row r="1828" spans="1:7" ht="27.6" x14ac:dyDescent="0.25">
      <c r="A1828" s="7" t="s">
        <v>3005</v>
      </c>
      <c r="B1828" s="93" t="s">
        <v>3006</v>
      </c>
      <c r="C1828" s="94" t="s">
        <v>3007</v>
      </c>
      <c r="D1828" s="93"/>
      <c r="E1828" s="95"/>
      <c r="F1828" s="96"/>
      <c r="G1828" s="96">
        <v>226380000</v>
      </c>
    </row>
    <row r="1829" spans="1:7" ht="27.6" x14ac:dyDescent="0.25">
      <c r="A1829" s="7" t="s">
        <v>3008</v>
      </c>
      <c r="B1829" s="97" t="s">
        <v>8</v>
      </c>
      <c r="C1829" s="98" t="s">
        <v>170</v>
      </c>
      <c r="D1829" s="97"/>
      <c r="E1829" s="99"/>
      <c r="F1829" s="100"/>
      <c r="G1829" s="100">
        <v>66720000</v>
      </c>
    </row>
    <row r="1830" spans="1:7" x14ac:dyDescent="0.25">
      <c r="A1830" s="7" t="s">
        <v>3009</v>
      </c>
      <c r="B1830" s="78" t="s">
        <v>503</v>
      </c>
      <c r="C1830" s="79" t="s">
        <v>7</v>
      </c>
      <c r="D1830" s="78"/>
      <c r="E1830" s="80"/>
      <c r="F1830" s="81"/>
      <c r="G1830" s="81">
        <v>9760000</v>
      </c>
    </row>
    <row r="1831" spans="1:7" x14ac:dyDescent="0.25">
      <c r="A1831" s="7" t="s">
        <v>3010</v>
      </c>
      <c r="B1831" s="89" t="s">
        <v>195</v>
      </c>
      <c r="C1831" s="90" t="s">
        <v>3011</v>
      </c>
      <c r="D1831" s="89">
        <v>4</v>
      </c>
      <c r="E1831" s="91" t="s">
        <v>9</v>
      </c>
      <c r="F1831" s="92">
        <v>1000000</v>
      </c>
      <c r="G1831" s="92">
        <v>4000000</v>
      </c>
    </row>
    <row r="1832" spans="1:7" x14ac:dyDescent="0.25">
      <c r="A1832" s="7" t="s">
        <v>3012</v>
      </c>
      <c r="B1832" s="89" t="s">
        <v>195</v>
      </c>
      <c r="C1832" s="90" t="s">
        <v>3013</v>
      </c>
      <c r="D1832" s="89">
        <v>80</v>
      </c>
      <c r="E1832" s="91" t="s">
        <v>10</v>
      </c>
      <c r="F1832" s="92">
        <v>22000</v>
      </c>
      <c r="G1832" s="92">
        <v>1760000</v>
      </c>
    </row>
    <row r="1833" spans="1:7" x14ac:dyDescent="0.25">
      <c r="A1833" s="7" t="s">
        <v>3014</v>
      </c>
      <c r="B1833" s="89" t="s">
        <v>195</v>
      </c>
      <c r="C1833" s="90" t="s">
        <v>3000</v>
      </c>
      <c r="D1833" s="89">
        <v>4</v>
      </c>
      <c r="E1833" s="91" t="s">
        <v>9</v>
      </c>
      <c r="F1833" s="92">
        <v>1000000</v>
      </c>
      <c r="G1833" s="92">
        <v>4000000</v>
      </c>
    </row>
    <row r="1834" spans="1:7" x14ac:dyDescent="0.25">
      <c r="A1834" s="7" t="s">
        <v>3015</v>
      </c>
      <c r="B1834" s="78" t="s">
        <v>513</v>
      </c>
      <c r="C1834" s="79" t="s">
        <v>19</v>
      </c>
      <c r="D1834" s="78"/>
      <c r="E1834" s="80"/>
      <c r="F1834" s="81"/>
      <c r="G1834" s="81">
        <v>56960000</v>
      </c>
    </row>
    <row r="1835" spans="1:7" ht="27.6" x14ac:dyDescent="0.25">
      <c r="A1835" s="7" t="s">
        <v>3016</v>
      </c>
      <c r="B1835" s="89" t="s">
        <v>195</v>
      </c>
      <c r="C1835" s="90" t="s">
        <v>3017</v>
      </c>
      <c r="D1835" s="89">
        <v>15</v>
      </c>
      <c r="E1835" s="91" t="s">
        <v>10</v>
      </c>
      <c r="F1835" s="92">
        <v>3797000</v>
      </c>
      <c r="G1835" s="92">
        <v>56960000</v>
      </c>
    </row>
    <row r="1836" spans="1:7" ht="27.6" x14ac:dyDescent="0.25">
      <c r="A1836" s="7" t="s">
        <v>3018</v>
      </c>
      <c r="B1836" s="97" t="s">
        <v>511</v>
      </c>
      <c r="C1836" s="98" t="s">
        <v>171</v>
      </c>
      <c r="D1836" s="97"/>
      <c r="E1836" s="99"/>
      <c r="F1836" s="100"/>
      <c r="G1836" s="100">
        <v>49760000</v>
      </c>
    </row>
    <row r="1837" spans="1:7" x14ac:dyDescent="0.25">
      <c r="A1837" s="7" t="s">
        <v>3019</v>
      </c>
      <c r="B1837" s="78" t="s">
        <v>503</v>
      </c>
      <c r="C1837" s="79" t="s">
        <v>7</v>
      </c>
      <c r="D1837" s="78"/>
      <c r="E1837" s="80"/>
      <c r="F1837" s="81"/>
      <c r="G1837" s="81">
        <v>19760000</v>
      </c>
    </row>
    <row r="1838" spans="1:7" x14ac:dyDescent="0.25">
      <c r="A1838" s="7" t="s">
        <v>3020</v>
      </c>
      <c r="B1838" s="89" t="s">
        <v>195</v>
      </c>
      <c r="C1838" s="90" t="s">
        <v>3021</v>
      </c>
      <c r="D1838" s="89">
        <v>12</v>
      </c>
      <c r="E1838" s="91" t="s">
        <v>9</v>
      </c>
      <c r="F1838" s="92">
        <v>500000</v>
      </c>
      <c r="G1838" s="92">
        <v>6000000</v>
      </c>
    </row>
    <row r="1839" spans="1:7" x14ac:dyDescent="0.25">
      <c r="A1839" s="7" t="s">
        <v>3022</v>
      </c>
      <c r="B1839" s="89" t="s">
        <v>195</v>
      </c>
      <c r="C1839" s="90" t="s">
        <v>3023</v>
      </c>
      <c r="D1839" s="89">
        <v>80</v>
      </c>
      <c r="E1839" s="91" t="s">
        <v>10</v>
      </c>
      <c r="F1839" s="92">
        <v>22000</v>
      </c>
      <c r="G1839" s="92">
        <v>1760000</v>
      </c>
    </row>
    <row r="1840" spans="1:7" x14ac:dyDescent="0.25">
      <c r="A1840" s="7" t="s">
        <v>3024</v>
      </c>
      <c r="B1840" s="89" t="s">
        <v>195</v>
      </c>
      <c r="C1840" s="90" t="s">
        <v>3000</v>
      </c>
      <c r="D1840" s="89">
        <v>12</v>
      </c>
      <c r="E1840" s="91" t="s">
        <v>9</v>
      </c>
      <c r="F1840" s="92">
        <v>1000000</v>
      </c>
      <c r="G1840" s="92">
        <v>12000000</v>
      </c>
    </row>
    <row r="1841" spans="1:7" x14ac:dyDescent="0.25">
      <c r="A1841" s="7" t="s">
        <v>3025</v>
      </c>
      <c r="B1841" s="78" t="s">
        <v>513</v>
      </c>
      <c r="C1841" s="79" t="s">
        <v>19</v>
      </c>
      <c r="D1841" s="78"/>
      <c r="E1841" s="80"/>
      <c r="F1841" s="81"/>
      <c r="G1841" s="81">
        <v>30000000</v>
      </c>
    </row>
    <row r="1842" spans="1:7" ht="27.6" x14ac:dyDescent="0.25">
      <c r="A1842" s="7" t="s">
        <v>3026</v>
      </c>
      <c r="B1842" s="89" t="s">
        <v>195</v>
      </c>
      <c r="C1842" s="90" t="s">
        <v>3027</v>
      </c>
      <c r="D1842" s="89">
        <v>15</v>
      </c>
      <c r="E1842" s="91" t="s">
        <v>10</v>
      </c>
      <c r="F1842" s="92">
        <v>2000000</v>
      </c>
      <c r="G1842" s="92">
        <v>30000000</v>
      </c>
    </row>
    <row r="1843" spans="1:7" ht="27.6" x14ac:dyDescent="0.25">
      <c r="A1843" s="7" t="s">
        <v>3028</v>
      </c>
      <c r="B1843" s="97" t="s">
        <v>512</v>
      </c>
      <c r="C1843" s="98" t="s">
        <v>172</v>
      </c>
      <c r="D1843" s="97"/>
      <c r="E1843" s="99"/>
      <c r="F1843" s="100"/>
      <c r="G1843" s="100">
        <v>59760000</v>
      </c>
    </row>
    <row r="1844" spans="1:7" x14ac:dyDescent="0.25">
      <c r="A1844" s="7" t="s">
        <v>3029</v>
      </c>
      <c r="B1844" s="78" t="s">
        <v>503</v>
      </c>
      <c r="C1844" s="79" t="s">
        <v>7</v>
      </c>
      <c r="D1844" s="78"/>
      <c r="E1844" s="80"/>
      <c r="F1844" s="81"/>
      <c r="G1844" s="81">
        <v>9760000</v>
      </c>
    </row>
    <row r="1845" spans="1:7" x14ac:dyDescent="0.25">
      <c r="A1845" s="7" t="s">
        <v>3030</v>
      </c>
      <c r="B1845" s="89" t="s">
        <v>195</v>
      </c>
      <c r="C1845" s="90" t="s">
        <v>3000</v>
      </c>
      <c r="D1845" s="89">
        <v>4</v>
      </c>
      <c r="E1845" s="91" t="s">
        <v>9</v>
      </c>
      <c r="F1845" s="92">
        <v>1000000</v>
      </c>
      <c r="G1845" s="92">
        <v>4000000</v>
      </c>
    </row>
    <row r="1846" spans="1:7" x14ac:dyDescent="0.25">
      <c r="A1846" s="7" t="s">
        <v>3031</v>
      </c>
      <c r="B1846" s="89" t="s">
        <v>195</v>
      </c>
      <c r="C1846" s="90" t="s">
        <v>3032</v>
      </c>
      <c r="D1846" s="89">
        <v>80</v>
      </c>
      <c r="E1846" s="91" t="s">
        <v>10</v>
      </c>
      <c r="F1846" s="92">
        <v>22000</v>
      </c>
      <c r="G1846" s="92">
        <v>1760000</v>
      </c>
    </row>
    <row r="1847" spans="1:7" ht="27.6" x14ac:dyDescent="0.25">
      <c r="A1847" s="7" t="s">
        <v>3033</v>
      </c>
      <c r="B1847" s="89" t="s">
        <v>195</v>
      </c>
      <c r="C1847" s="90" t="s">
        <v>3034</v>
      </c>
      <c r="D1847" s="89">
        <v>4</v>
      </c>
      <c r="E1847" s="91" t="s">
        <v>9</v>
      </c>
      <c r="F1847" s="92">
        <v>1000000</v>
      </c>
      <c r="G1847" s="92">
        <v>4000000</v>
      </c>
    </row>
    <row r="1848" spans="1:7" x14ac:dyDescent="0.25">
      <c r="A1848" s="7" t="s">
        <v>3035</v>
      </c>
      <c r="B1848" s="78" t="s">
        <v>513</v>
      </c>
      <c r="C1848" s="79" t="s">
        <v>19</v>
      </c>
      <c r="D1848" s="78"/>
      <c r="E1848" s="80"/>
      <c r="F1848" s="81"/>
      <c r="G1848" s="81">
        <v>50000000</v>
      </c>
    </row>
    <row r="1849" spans="1:7" ht="27.6" x14ac:dyDescent="0.25">
      <c r="A1849" s="7" t="s">
        <v>3036</v>
      </c>
      <c r="B1849" s="89" t="s">
        <v>195</v>
      </c>
      <c r="C1849" s="90" t="s">
        <v>3037</v>
      </c>
      <c r="D1849" s="89">
        <v>20</v>
      </c>
      <c r="E1849" s="91" t="s">
        <v>10</v>
      </c>
      <c r="F1849" s="92">
        <v>2500000</v>
      </c>
      <c r="G1849" s="92">
        <v>50000000</v>
      </c>
    </row>
    <row r="1850" spans="1:7" x14ac:dyDescent="0.25">
      <c r="A1850" s="7" t="s">
        <v>3038</v>
      </c>
      <c r="B1850" s="97" t="s">
        <v>514</v>
      </c>
      <c r="C1850" s="98" t="s">
        <v>173</v>
      </c>
      <c r="D1850" s="97"/>
      <c r="E1850" s="99"/>
      <c r="F1850" s="100"/>
      <c r="G1850" s="100">
        <v>50140000</v>
      </c>
    </row>
    <row r="1851" spans="1:7" x14ac:dyDescent="0.25">
      <c r="A1851" s="7" t="s">
        <v>3039</v>
      </c>
      <c r="B1851" s="78" t="s">
        <v>503</v>
      </c>
      <c r="C1851" s="79" t="s">
        <v>7</v>
      </c>
      <c r="D1851" s="78"/>
      <c r="E1851" s="80"/>
      <c r="F1851" s="81"/>
      <c r="G1851" s="81">
        <v>6140000</v>
      </c>
    </row>
    <row r="1852" spans="1:7" x14ac:dyDescent="0.25">
      <c r="A1852" s="7" t="s">
        <v>3040</v>
      </c>
      <c r="B1852" s="89" t="s">
        <v>195</v>
      </c>
      <c r="C1852" s="90" t="s">
        <v>3041</v>
      </c>
      <c r="D1852" s="89">
        <v>1</v>
      </c>
      <c r="E1852" s="91" t="s">
        <v>9</v>
      </c>
      <c r="F1852" s="92">
        <v>1500000</v>
      </c>
      <c r="G1852" s="92">
        <v>1500000</v>
      </c>
    </row>
    <row r="1853" spans="1:7" x14ac:dyDescent="0.25">
      <c r="A1853" s="7" t="s">
        <v>3042</v>
      </c>
      <c r="B1853" s="89" t="s">
        <v>195</v>
      </c>
      <c r="C1853" s="90" t="s">
        <v>3043</v>
      </c>
      <c r="D1853" s="89">
        <v>120</v>
      </c>
      <c r="E1853" s="91" t="s">
        <v>10</v>
      </c>
      <c r="F1853" s="92">
        <v>22000</v>
      </c>
      <c r="G1853" s="92">
        <v>2640000</v>
      </c>
    </row>
    <row r="1854" spans="1:7" x14ac:dyDescent="0.25">
      <c r="A1854" s="7" t="s">
        <v>3044</v>
      </c>
      <c r="B1854" s="89" t="s">
        <v>195</v>
      </c>
      <c r="C1854" s="90" t="s">
        <v>3000</v>
      </c>
      <c r="D1854" s="89">
        <v>1</v>
      </c>
      <c r="E1854" s="91" t="s">
        <v>9</v>
      </c>
      <c r="F1854" s="92">
        <v>1000000</v>
      </c>
      <c r="G1854" s="92">
        <v>1000000</v>
      </c>
    </row>
    <row r="1855" spans="1:7" x14ac:dyDescent="0.25">
      <c r="A1855" s="7" t="s">
        <v>3045</v>
      </c>
      <c r="B1855" s="89" t="s">
        <v>195</v>
      </c>
      <c r="C1855" s="90" t="s">
        <v>620</v>
      </c>
      <c r="D1855" s="89">
        <v>1</v>
      </c>
      <c r="E1855" s="91" t="s">
        <v>9</v>
      </c>
      <c r="F1855" s="92">
        <v>1000000</v>
      </c>
      <c r="G1855" s="92">
        <v>1000000</v>
      </c>
    </row>
    <row r="1856" spans="1:7" ht="27.6" x14ac:dyDescent="0.25">
      <c r="A1856" s="7" t="s">
        <v>3046</v>
      </c>
      <c r="B1856" s="78" t="s">
        <v>515</v>
      </c>
      <c r="C1856" s="79" t="s">
        <v>642</v>
      </c>
      <c r="D1856" s="78"/>
      <c r="E1856" s="80"/>
      <c r="F1856" s="81"/>
      <c r="G1856" s="81">
        <v>12000000</v>
      </c>
    </row>
    <row r="1857" spans="1:7" ht="27.6" x14ac:dyDescent="0.25">
      <c r="A1857" s="7" t="s">
        <v>3047</v>
      </c>
      <c r="B1857" s="89" t="s">
        <v>195</v>
      </c>
      <c r="C1857" s="90" t="s">
        <v>3048</v>
      </c>
      <c r="D1857" s="89">
        <v>60</v>
      </c>
      <c r="E1857" s="91" t="s">
        <v>21</v>
      </c>
      <c r="F1857" s="92">
        <v>200000</v>
      </c>
      <c r="G1857" s="92">
        <v>12000000</v>
      </c>
    </row>
    <row r="1858" spans="1:7" x14ac:dyDescent="0.25">
      <c r="A1858" s="7" t="s">
        <v>3049</v>
      </c>
      <c r="B1858" s="78" t="s">
        <v>513</v>
      </c>
      <c r="C1858" s="79" t="s">
        <v>19</v>
      </c>
      <c r="D1858" s="78"/>
      <c r="E1858" s="80"/>
      <c r="F1858" s="81"/>
      <c r="G1858" s="81">
        <v>32000000</v>
      </c>
    </row>
    <row r="1859" spans="1:7" x14ac:dyDescent="0.25">
      <c r="A1859" s="7" t="s">
        <v>3050</v>
      </c>
      <c r="B1859" s="89" t="s">
        <v>195</v>
      </c>
      <c r="C1859" s="90" t="s">
        <v>3051</v>
      </c>
      <c r="D1859" s="89">
        <v>16</v>
      </c>
      <c r="E1859" s="91" t="s">
        <v>10</v>
      </c>
      <c r="F1859" s="92">
        <v>2000000</v>
      </c>
      <c r="G1859" s="92">
        <v>32000000</v>
      </c>
    </row>
    <row r="1860" spans="1:7" ht="27.6" x14ac:dyDescent="0.25">
      <c r="A1860" s="7" t="s">
        <v>3052</v>
      </c>
      <c r="B1860" s="93" t="s">
        <v>833</v>
      </c>
      <c r="C1860" s="94" t="s">
        <v>3053</v>
      </c>
      <c r="D1860" s="93"/>
      <c r="E1860" s="95"/>
      <c r="F1860" s="96"/>
      <c r="G1860" s="96">
        <v>507200000</v>
      </c>
    </row>
    <row r="1861" spans="1:7" ht="27.6" x14ac:dyDescent="0.25">
      <c r="A1861" s="7" t="s">
        <v>3054</v>
      </c>
      <c r="B1861" s="97" t="s">
        <v>8</v>
      </c>
      <c r="C1861" s="98" t="s">
        <v>174</v>
      </c>
      <c r="D1861" s="97"/>
      <c r="E1861" s="99"/>
      <c r="F1861" s="100"/>
      <c r="G1861" s="100">
        <v>295200000</v>
      </c>
    </row>
    <row r="1862" spans="1:7" x14ac:dyDescent="0.25">
      <c r="A1862" s="7" t="s">
        <v>3055</v>
      </c>
      <c r="B1862" s="78" t="s">
        <v>503</v>
      </c>
      <c r="C1862" s="79" t="s">
        <v>7</v>
      </c>
      <c r="D1862" s="78"/>
      <c r="E1862" s="80"/>
      <c r="F1862" s="81"/>
      <c r="G1862" s="81">
        <v>46000000</v>
      </c>
    </row>
    <row r="1863" spans="1:7" x14ac:dyDescent="0.25">
      <c r="A1863" s="7" t="s">
        <v>3056</v>
      </c>
      <c r="B1863" s="89" t="s">
        <v>195</v>
      </c>
      <c r="C1863" s="90" t="s">
        <v>617</v>
      </c>
      <c r="D1863" s="89">
        <v>5</v>
      </c>
      <c r="E1863" s="91" t="s">
        <v>9</v>
      </c>
      <c r="F1863" s="92">
        <v>1500000</v>
      </c>
      <c r="G1863" s="92">
        <v>7500000</v>
      </c>
    </row>
    <row r="1864" spans="1:7" x14ac:dyDescent="0.25">
      <c r="A1864" s="7" t="s">
        <v>3057</v>
      </c>
      <c r="B1864" s="89" t="s">
        <v>195</v>
      </c>
      <c r="C1864" s="90" t="s">
        <v>2745</v>
      </c>
      <c r="D1864" s="89">
        <v>280</v>
      </c>
      <c r="E1864" s="91" t="s">
        <v>10</v>
      </c>
      <c r="F1864" s="92">
        <v>75000</v>
      </c>
      <c r="G1864" s="92">
        <v>21000000</v>
      </c>
    </row>
    <row r="1865" spans="1:7" x14ac:dyDescent="0.25">
      <c r="A1865" s="7" t="s">
        <v>3058</v>
      </c>
      <c r="B1865" s="89" t="s">
        <v>195</v>
      </c>
      <c r="C1865" s="90" t="s">
        <v>2114</v>
      </c>
      <c r="D1865" s="89">
        <v>30</v>
      </c>
      <c r="E1865" s="91" t="s">
        <v>176</v>
      </c>
      <c r="F1865" s="92">
        <v>250000</v>
      </c>
      <c r="G1865" s="92">
        <v>7500000</v>
      </c>
    </row>
    <row r="1866" spans="1:7" x14ac:dyDescent="0.25">
      <c r="A1866" s="7" t="s">
        <v>3059</v>
      </c>
      <c r="B1866" s="89" t="s">
        <v>195</v>
      </c>
      <c r="C1866" s="90" t="s">
        <v>619</v>
      </c>
      <c r="D1866" s="89">
        <v>4</v>
      </c>
      <c r="E1866" s="91" t="s">
        <v>106</v>
      </c>
      <c r="F1866" s="92">
        <v>1000000</v>
      </c>
      <c r="G1866" s="92">
        <v>4000000</v>
      </c>
    </row>
    <row r="1867" spans="1:7" x14ac:dyDescent="0.25">
      <c r="A1867" s="7" t="s">
        <v>3060</v>
      </c>
      <c r="B1867" s="89" t="s">
        <v>195</v>
      </c>
      <c r="C1867" s="90" t="s">
        <v>620</v>
      </c>
      <c r="D1867" s="89">
        <v>4</v>
      </c>
      <c r="E1867" s="91" t="s">
        <v>106</v>
      </c>
      <c r="F1867" s="92">
        <v>1500000</v>
      </c>
      <c r="G1867" s="92">
        <v>6000000</v>
      </c>
    </row>
    <row r="1868" spans="1:7" x14ac:dyDescent="0.25">
      <c r="A1868" s="7" t="s">
        <v>3061</v>
      </c>
      <c r="B1868" s="78" t="s">
        <v>533</v>
      </c>
      <c r="C1868" s="79" t="s">
        <v>53</v>
      </c>
      <c r="D1868" s="78"/>
      <c r="E1868" s="80"/>
      <c r="F1868" s="81"/>
      <c r="G1868" s="81">
        <v>2000000</v>
      </c>
    </row>
    <row r="1869" spans="1:7" ht="27.6" x14ac:dyDescent="0.25">
      <c r="A1869" s="7" t="s">
        <v>3062</v>
      </c>
      <c r="B1869" s="89" t="s">
        <v>195</v>
      </c>
      <c r="C1869" s="90" t="s">
        <v>3063</v>
      </c>
      <c r="D1869" s="89">
        <v>1</v>
      </c>
      <c r="E1869" s="91" t="s">
        <v>153</v>
      </c>
      <c r="F1869" s="92">
        <v>2000000</v>
      </c>
      <c r="G1869" s="92">
        <v>2000000</v>
      </c>
    </row>
    <row r="1870" spans="1:7" x14ac:dyDescent="0.25">
      <c r="A1870" s="7" t="s">
        <v>3064</v>
      </c>
      <c r="B1870" s="78" t="s">
        <v>513</v>
      </c>
      <c r="C1870" s="79" t="s">
        <v>19</v>
      </c>
      <c r="D1870" s="78"/>
      <c r="E1870" s="80"/>
      <c r="F1870" s="81"/>
      <c r="G1870" s="81">
        <v>247200000</v>
      </c>
    </row>
    <row r="1871" spans="1:7" x14ac:dyDescent="0.25">
      <c r="A1871" s="7" t="s">
        <v>3065</v>
      </c>
      <c r="B1871" s="89" t="s">
        <v>195</v>
      </c>
      <c r="C1871" s="90" t="s">
        <v>3066</v>
      </c>
      <c r="D1871" s="89">
        <v>40</v>
      </c>
      <c r="E1871" s="91" t="s">
        <v>10</v>
      </c>
      <c r="F1871" s="92">
        <v>6180000</v>
      </c>
      <c r="G1871" s="92">
        <v>247200000</v>
      </c>
    </row>
    <row r="1872" spans="1:7" x14ac:dyDescent="0.25">
      <c r="A1872" s="7" t="s">
        <v>3067</v>
      </c>
      <c r="B1872" s="97" t="s">
        <v>511</v>
      </c>
      <c r="C1872" s="98" t="s">
        <v>175</v>
      </c>
      <c r="D1872" s="97"/>
      <c r="E1872" s="99"/>
      <c r="F1872" s="100"/>
      <c r="G1872" s="100">
        <v>212000000</v>
      </c>
    </row>
    <row r="1873" spans="1:7" x14ac:dyDescent="0.25">
      <c r="A1873" s="7" t="s">
        <v>3068</v>
      </c>
      <c r="B1873" s="78" t="s">
        <v>503</v>
      </c>
      <c r="C1873" s="79" t="s">
        <v>7</v>
      </c>
      <c r="D1873" s="78"/>
      <c r="E1873" s="80"/>
      <c r="F1873" s="81"/>
      <c r="G1873" s="81">
        <v>41000000</v>
      </c>
    </row>
    <row r="1874" spans="1:7" x14ac:dyDescent="0.25">
      <c r="A1874" s="7" t="s">
        <v>3069</v>
      </c>
      <c r="B1874" s="89" t="s">
        <v>195</v>
      </c>
      <c r="C1874" s="90" t="s">
        <v>617</v>
      </c>
      <c r="D1874" s="89">
        <v>4</v>
      </c>
      <c r="E1874" s="91" t="s">
        <v>9</v>
      </c>
      <c r="F1874" s="92">
        <v>1500000</v>
      </c>
      <c r="G1874" s="92">
        <v>6000000</v>
      </c>
    </row>
    <row r="1875" spans="1:7" x14ac:dyDescent="0.25">
      <c r="A1875" s="7" t="s">
        <v>3070</v>
      </c>
      <c r="B1875" s="89" t="s">
        <v>195</v>
      </c>
      <c r="C1875" s="90" t="s">
        <v>2745</v>
      </c>
      <c r="D1875" s="89">
        <v>180</v>
      </c>
      <c r="E1875" s="91" t="s">
        <v>10</v>
      </c>
      <c r="F1875" s="92">
        <v>75000</v>
      </c>
      <c r="G1875" s="92">
        <v>13500000</v>
      </c>
    </row>
    <row r="1876" spans="1:7" x14ac:dyDescent="0.25">
      <c r="A1876" s="7" t="s">
        <v>3071</v>
      </c>
      <c r="B1876" s="89" t="s">
        <v>195</v>
      </c>
      <c r="C1876" s="90" t="s">
        <v>3072</v>
      </c>
      <c r="D1876" s="89">
        <v>15</v>
      </c>
      <c r="E1876" s="91" t="s">
        <v>176</v>
      </c>
      <c r="F1876" s="92">
        <v>500000</v>
      </c>
      <c r="G1876" s="92">
        <v>7500000</v>
      </c>
    </row>
    <row r="1877" spans="1:7" x14ac:dyDescent="0.25">
      <c r="A1877" s="7" t="s">
        <v>3073</v>
      </c>
      <c r="B1877" s="89" t="s">
        <v>195</v>
      </c>
      <c r="C1877" s="90" t="s">
        <v>619</v>
      </c>
      <c r="D1877" s="89">
        <v>4</v>
      </c>
      <c r="E1877" s="91" t="s">
        <v>106</v>
      </c>
      <c r="F1877" s="92">
        <v>1000000</v>
      </c>
      <c r="G1877" s="92">
        <v>4000000</v>
      </c>
    </row>
    <row r="1878" spans="1:7" x14ac:dyDescent="0.25">
      <c r="A1878" s="7" t="s">
        <v>3074</v>
      </c>
      <c r="B1878" s="89" t="s">
        <v>195</v>
      </c>
      <c r="C1878" s="90" t="s">
        <v>620</v>
      </c>
      <c r="D1878" s="89">
        <v>4</v>
      </c>
      <c r="E1878" s="91" t="s">
        <v>106</v>
      </c>
      <c r="F1878" s="92">
        <v>1500000</v>
      </c>
      <c r="G1878" s="92">
        <v>6000000</v>
      </c>
    </row>
    <row r="1879" spans="1:7" x14ac:dyDescent="0.25">
      <c r="A1879" s="7" t="s">
        <v>3075</v>
      </c>
      <c r="B1879" s="89" t="s">
        <v>195</v>
      </c>
      <c r="C1879" s="90" t="s">
        <v>3076</v>
      </c>
      <c r="D1879" s="89">
        <v>8</v>
      </c>
      <c r="E1879" s="91" t="s">
        <v>58</v>
      </c>
      <c r="F1879" s="92">
        <v>500000</v>
      </c>
      <c r="G1879" s="92">
        <v>4000000</v>
      </c>
    </row>
    <row r="1880" spans="1:7" x14ac:dyDescent="0.25">
      <c r="A1880" s="7" t="s">
        <v>3077</v>
      </c>
      <c r="B1880" s="78" t="s">
        <v>533</v>
      </c>
      <c r="C1880" s="79" t="s">
        <v>53</v>
      </c>
      <c r="D1880" s="78"/>
      <c r="E1880" s="80"/>
      <c r="F1880" s="81"/>
      <c r="G1880" s="81">
        <v>32000000</v>
      </c>
    </row>
    <row r="1881" spans="1:7" x14ac:dyDescent="0.25">
      <c r="A1881" s="7" t="s">
        <v>3078</v>
      </c>
      <c r="B1881" s="89" t="s">
        <v>195</v>
      </c>
      <c r="C1881" s="90" t="s">
        <v>3079</v>
      </c>
      <c r="D1881" s="89">
        <v>2</v>
      </c>
      <c r="E1881" s="91" t="s">
        <v>177</v>
      </c>
      <c r="F1881" s="92">
        <v>15000000</v>
      </c>
      <c r="G1881" s="92">
        <v>30000000</v>
      </c>
    </row>
    <row r="1882" spans="1:7" ht="27.6" x14ac:dyDescent="0.25">
      <c r="A1882" s="7" t="s">
        <v>3080</v>
      </c>
      <c r="B1882" s="89" t="s">
        <v>195</v>
      </c>
      <c r="C1882" s="90" t="s">
        <v>3081</v>
      </c>
      <c r="D1882" s="89">
        <v>1</v>
      </c>
      <c r="E1882" s="91" t="s">
        <v>60</v>
      </c>
      <c r="F1882" s="92">
        <v>2000000</v>
      </c>
      <c r="G1882" s="92">
        <v>2000000</v>
      </c>
    </row>
    <row r="1883" spans="1:7" x14ac:dyDescent="0.25">
      <c r="A1883" s="7" t="s">
        <v>3082</v>
      </c>
      <c r="B1883" s="78" t="s">
        <v>516</v>
      </c>
      <c r="C1883" s="79" t="s">
        <v>11</v>
      </c>
      <c r="D1883" s="78"/>
      <c r="E1883" s="80"/>
      <c r="F1883" s="81"/>
      <c r="G1883" s="81">
        <v>10000000</v>
      </c>
    </row>
    <row r="1884" spans="1:7" x14ac:dyDescent="0.25">
      <c r="A1884" s="7" t="s">
        <v>3083</v>
      </c>
      <c r="B1884" s="89" t="s">
        <v>195</v>
      </c>
      <c r="C1884" s="90" t="s">
        <v>774</v>
      </c>
      <c r="D1884" s="89">
        <v>10</v>
      </c>
      <c r="E1884" s="91" t="s">
        <v>54</v>
      </c>
      <c r="F1884" s="92">
        <v>1000000</v>
      </c>
      <c r="G1884" s="92">
        <v>10000000</v>
      </c>
    </row>
    <row r="1885" spans="1:7" x14ac:dyDescent="0.25">
      <c r="A1885" s="7" t="s">
        <v>3084</v>
      </c>
      <c r="B1885" s="78" t="s">
        <v>513</v>
      </c>
      <c r="C1885" s="79" t="s">
        <v>19</v>
      </c>
      <c r="D1885" s="78"/>
      <c r="E1885" s="80"/>
      <c r="F1885" s="81"/>
      <c r="G1885" s="81">
        <v>120000000</v>
      </c>
    </row>
    <row r="1886" spans="1:7" x14ac:dyDescent="0.25">
      <c r="A1886" s="7" t="s">
        <v>3085</v>
      </c>
      <c r="B1886" s="89" t="s">
        <v>195</v>
      </c>
      <c r="C1886" s="90" t="s">
        <v>3086</v>
      </c>
      <c r="D1886" s="89">
        <v>30</v>
      </c>
      <c r="E1886" s="91" t="s">
        <v>10</v>
      </c>
      <c r="F1886" s="92">
        <v>4000000</v>
      </c>
      <c r="G1886" s="92">
        <v>120000000</v>
      </c>
    </row>
    <row r="1887" spans="1:7" x14ac:dyDescent="0.25">
      <c r="A1887" s="7" t="s">
        <v>3087</v>
      </c>
      <c r="B1887" s="78" t="s">
        <v>507</v>
      </c>
      <c r="C1887" s="79" t="s">
        <v>13</v>
      </c>
      <c r="D1887" s="78"/>
      <c r="E1887" s="80"/>
      <c r="F1887" s="81"/>
      <c r="G1887" s="81">
        <v>9000000</v>
      </c>
    </row>
    <row r="1888" spans="1:7" x14ac:dyDescent="0.25">
      <c r="A1888" s="7" t="s">
        <v>3088</v>
      </c>
      <c r="B1888" s="89" t="s">
        <v>195</v>
      </c>
      <c r="C1888" s="90" t="s">
        <v>630</v>
      </c>
      <c r="D1888" s="89">
        <v>60</v>
      </c>
      <c r="E1888" s="91" t="s">
        <v>25</v>
      </c>
      <c r="F1888" s="92">
        <v>150000</v>
      </c>
      <c r="G1888" s="92">
        <v>9000000</v>
      </c>
    </row>
    <row r="1889" spans="1:7" ht="27.6" x14ac:dyDescent="0.25">
      <c r="A1889" s="7" t="s">
        <v>3089</v>
      </c>
      <c r="B1889" s="93" t="s">
        <v>3090</v>
      </c>
      <c r="C1889" s="94" t="s">
        <v>3091</v>
      </c>
      <c r="D1889" s="93"/>
      <c r="E1889" s="95"/>
      <c r="F1889" s="96"/>
      <c r="G1889" s="96">
        <v>126532000</v>
      </c>
    </row>
    <row r="1890" spans="1:7" x14ac:dyDescent="0.25">
      <c r="A1890" s="7" t="s">
        <v>3092</v>
      </c>
      <c r="B1890" s="97" t="s">
        <v>8</v>
      </c>
      <c r="C1890" s="98" t="s">
        <v>178</v>
      </c>
      <c r="D1890" s="97"/>
      <c r="E1890" s="99"/>
      <c r="F1890" s="100"/>
      <c r="G1890" s="100">
        <v>126532000</v>
      </c>
    </row>
    <row r="1891" spans="1:7" x14ac:dyDescent="0.25">
      <c r="A1891" s="7" t="s">
        <v>3093</v>
      </c>
      <c r="B1891" s="78" t="s">
        <v>503</v>
      </c>
      <c r="C1891" s="79" t="s">
        <v>7</v>
      </c>
      <c r="D1891" s="78"/>
      <c r="E1891" s="80"/>
      <c r="F1891" s="81"/>
      <c r="G1891" s="81">
        <v>35500000</v>
      </c>
    </row>
    <row r="1892" spans="1:7" x14ac:dyDescent="0.25">
      <c r="A1892" s="7" t="s">
        <v>3094</v>
      </c>
      <c r="B1892" s="89" t="s">
        <v>195</v>
      </c>
      <c r="C1892" s="90" t="s">
        <v>617</v>
      </c>
      <c r="D1892" s="89">
        <v>4</v>
      </c>
      <c r="E1892" s="91" t="s">
        <v>9</v>
      </c>
      <c r="F1892" s="92">
        <v>1500000</v>
      </c>
      <c r="G1892" s="92">
        <v>6000000</v>
      </c>
    </row>
    <row r="1893" spans="1:7" x14ac:dyDescent="0.25">
      <c r="A1893" s="7" t="s">
        <v>3095</v>
      </c>
      <c r="B1893" s="89" t="s">
        <v>195</v>
      </c>
      <c r="C1893" s="90" t="s">
        <v>2745</v>
      </c>
      <c r="D1893" s="89">
        <v>180</v>
      </c>
      <c r="E1893" s="91" t="s">
        <v>10</v>
      </c>
      <c r="F1893" s="92">
        <v>75000</v>
      </c>
      <c r="G1893" s="92">
        <v>13500000</v>
      </c>
    </row>
    <row r="1894" spans="1:7" x14ac:dyDescent="0.25">
      <c r="A1894" s="7" t="s">
        <v>3096</v>
      </c>
      <c r="B1894" s="89" t="s">
        <v>195</v>
      </c>
      <c r="C1894" s="90" t="s">
        <v>619</v>
      </c>
      <c r="D1894" s="89">
        <v>4</v>
      </c>
      <c r="E1894" s="91" t="s">
        <v>106</v>
      </c>
      <c r="F1894" s="92">
        <v>1000000</v>
      </c>
      <c r="G1894" s="92">
        <v>4000000</v>
      </c>
    </row>
    <row r="1895" spans="1:7" x14ac:dyDescent="0.25">
      <c r="A1895" s="7" t="s">
        <v>3097</v>
      </c>
      <c r="B1895" s="89" t="s">
        <v>195</v>
      </c>
      <c r="C1895" s="90" t="s">
        <v>620</v>
      </c>
      <c r="D1895" s="89">
        <v>4</v>
      </c>
      <c r="E1895" s="91" t="s">
        <v>106</v>
      </c>
      <c r="F1895" s="92">
        <v>1500000</v>
      </c>
      <c r="G1895" s="92">
        <v>6000000</v>
      </c>
    </row>
    <row r="1896" spans="1:7" x14ac:dyDescent="0.25">
      <c r="A1896" s="7" t="s">
        <v>3098</v>
      </c>
      <c r="B1896" s="89" t="s">
        <v>195</v>
      </c>
      <c r="C1896" s="90" t="s">
        <v>3099</v>
      </c>
      <c r="D1896" s="89">
        <v>12</v>
      </c>
      <c r="E1896" s="91" t="s">
        <v>176</v>
      </c>
      <c r="F1896" s="92">
        <v>500000</v>
      </c>
      <c r="G1896" s="92">
        <v>6000000</v>
      </c>
    </row>
    <row r="1897" spans="1:7" x14ac:dyDescent="0.25">
      <c r="A1897" s="7" t="s">
        <v>3100</v>
      </c>
      <c r="B1897" s="78" t="s">
        <v>533</v>
      </c>
      <c r="C1897" s="79" t="s">
        <v>53</v>
      </c>
      <c r="D1897" s="78"/>
      <c r="E1897" s="80"/>
      <c r="F1897" s="81"/>
      <c r="G1897" s="81">
        <v>2000000</v>
      </c>
    </row>
    <row r="1898" spans="1:7" ht="27.6" x14ac:dyDescent="0.25">
      <c r="A1898" s="7" t="s">
        <v>3101</v>
      </c>
      <c r="B1898" s="89" t="s">
        <v>195</v>
      </c>
      <c r="C1898" s="90" t="s">
        <v>3063</v>
      </c>
      <c r="D1898" s="89">
        <v>1</v>
      </c>
      <c r="E1898" s="91" t="s">
        <v>153</v>
      </c>
      <c r="F1898" s="92">
        <v>2000000</v>
      </c>
      <c r="G1898" s="92">
        <v>2000000</v>
      </c>
    </row>
    <row r="1899" spans="1:7" x14ac:dyDescent="0.25">
      <c r="A1899" s="7" t="s">
        <v>3102</v>
      </c>
      <c r="B1899" s="78" t="s">
        <v>513</v>
      </c>
      <c r="C1899" s="79" t="s">
        <v>19</v>
      </c>
      <c r="D1899" s="78"/>
      <c r="E1899" s="80"/>
      <c r="F1899" s="81"/>
      <c r="G1899" s="81">
        <v>89032000</v>
      </c>
    </row>
    <row r="1900" spans="1:7" x14ac:dyDescent="0.25">
      <c r="A1900" s="7" t="s">
        <v>3103</v>
      </c>
      <c r="B1900" s="89" t="s">
        <v>195</v>
      </c>
      <c r="C1900" s="90" t="s">
        <v>3086</v>
      </c>
      <c r="D1900" s="89">
        <v>22</v>
      </c>
      <c r="E1900" s="91" t="s">
        <v>10</v>
      </c>
      <c r="F1900" s="92">
        <v>4047000</v>
      </c>
      <c r="G1900" s="92">
        <v>89032000</v>
      </c>
    </row>
    <row r="1901" spans="1:7" x14ac:dyDescent="0.25">
      <c r="A1901" s="7" t="s">
        <v>3104</v>
      </c>
      <c r="B1901" s="89" t="s">
        <v>3105</v>
      </c>
      <c r="C1901" s="90" t="s">
        <v>3106</v>
      </c>
      <c r="D1901" s="89"/>
      <c r="E1901" s="91"/>
      <c r="F1901" s="92"/>
      <c r="G1901" s="92">
        <v>3290739000</v>
      </c>
    </row>
    <row r="1902" spans="1:7" ht="27.6" x14ac:dyDescent="0.25">
      <c r="A1902" s="7" t="s">
        <v>3107</v>
      </c>
      <c r="B1902" s="93" t="s">
        <v>826</v>
      </c>
      <c r="C1902" s="94" t="s">
        <v>3108</v>
      </c>
      <c r="D1902" s="93"/>
      <c r="E1902" s="95"/>
      <c r="F1902" s="96"/>
      <c r="G1902" s="96">
        <v>2500000000</v>
      </c>
    </row>
    <row r="1903" spans="1:7" x14ac:dyDescent="0.25">
      <c r="A1903" s="7" t="s">
        <v>3109</v>
      </c>
      <c r="B1903" s="97" t="s">
        <v>8</v>
      </c>
      <c r="C1903" s="98" t="s">
        <v>179</v>
      </c>
      <c r="D1903" s="97"/>
      <c r="E1903" s="99"/>
      <c r="F1903" s="100"/>
      <c r="G1903" s="100">
        <v>899600000</v>
      </c>
    </row>
    <row r="1904" spans="1:7" x14ac:dyDescent="0.25">
      <c r="A1904" s="7" t="s">
        <v>3110</v>
      </c>
      <c r="B1904" s="78" t="s">
        <v>503</v>
      </c>
      <c r="C1904" s="79" t="s">
        <v>7</v>
      </c>
      <c r="D1904" s="78"/>
      <c r="E1904" s="80"/>
      <c r="F1904" s="81"/>
      <c r="G1904" s="81">
        <v>104000000</v>
      </c>
    </row>
    <row r="1905" spans="1:7" x14ac:dyDescent="0.25">
      <c r="A1905" s="7" t="s">
        <v>3111</v>
      </c>
      <c r="B1905" s="89" t="s">
        <v>195</v>
      </c>
      <c r="C1905" s="90" t="s">
        <v>3112</v>
      </c>
      <c r="D1905" s="89">
        <v>3</v>
      </c>
      <c r="E1905" s="91" t="s">
        <v>180</v>
      </c>
      <c r="F1905" s="92">
        <v>1000000</v>
      </c>
      <c r="G1905" s="92">
        <v>3000000</v>
      </c>
    </row>
    <row r="1906" spans="1:7" x14ac:dyDescent="0.25">
      <c r="A1906" s="7" t="s">
        <v>3113</v>
      </c>
      <c r="B1906" s="89" t="s">
        <v>195</v>
      </c>
      <c r="C1906" s="90" t="s">
        <v>3114</v>
      </c>
      <c r="D1906" s="89">
        <v>8</v>
      </c>
      <c r="E1906" s="91" t="s">
        <v>180</v>
      </c>
      <c r="F1906" s="92">
        <v>1000000</v>
      </c>
      <c r="G1906" s="92">
        <v>8000000</v>
      </c>
    </row>
    <row r="1907" spans="1:7" x14ac:dyDescent="0.25">
      <c r="A1907" s="7" t="s">
        <v>3115</v>
      </c>
      <c r="B1907" s="89" t="s">
        <v>195</v>
      </c>
      <c r="C1907" s="90" t="s">
        <v>3116</v>
      </c>
      <c r="D1907" s="89">
        <v>300</v>
      </c>
      <c r="E1907" s="91" t="s">
        <v>106</v>
      </c>
      <c r="F1907" s="92">
        <v>250000</v>
      </c>
      <c r="G1907" s="92">
        <v>75000000</v>
      </c>
    </row>
    <row r="1908" spans="1:7" ht="27.6" x14ac:dyDescent="0.25">
      <c r="A1908" s="7" t="s">
        <v>3117</v>
      </c>
      <c r="B1908" s="89" t="s">
        <v>195</v>
      </c>
      <c r="C1908" s="90" t="s">
        <v>3118</v>
      </c>
      <c r="D1908" s="89">
        <v>12</v>
      </c>
      <c r="E1908" s="91" t="s">
        <v>180</v>
      </c>
      <c r="F1908" s="92">
        <v>1000000</v>
      </c>
      <c r="G1908" s="92">
        <v>12000000</v>
      </c>
    </row>
    <row r="1909" spans="1:7" x14ac:dyDescent="0.25">
      <c r="A1909" s="7" t="s">
        <v>3119</v>
      </c>
      <c r="B1909" s="89" t="s">
        <v>195</v>
      </c>
      <c r="C1909" s="90" t="s">
        <v>619</v>
      </c>
      <c r="D1909" s="89">
        <v>3</v>
      </c>
      <c r="E1909" s="91" t="s">
        <v>106</v>
      </c>
      <c r="F1909" s="92">
        <v>1000000</v>
      </c>
      <c r="G1909" s="92">
        <v>3000000</v>
      </c>
    </row>
    <row r="1910" spans="1:7" x14ac:dyDescent="0.25">
      <c r="A1910" s="7" t="s">
        <v>3120</v>
      </c>
      <c r="B1910" s="89" t="s">
        <v>195</v>
      </c>
      <c r="C1910" s="90" t="s">
        <v>620</v>
      </c>
      <c r="D1910" s="89">
        <v>3</v>
      </c>
      <c r="E1910" s="91" t="s">
        <v>106</v>
      </c>
      <c r="F1910" s="92">
        <v>1000000</v>
      </c>
      <c r="G1910" s="92">
        <v>3000000</v>
      </c>
    </row>
    <row r="1911" spans="1:7" x14ac:dyDescent="0.25">
      <c r="A1911" s="7" t="s">
        <v>3121</v>
      </c>
      <c r="B1911" s="78" t="s">
        <v>537</v>
      </c>
      <c r="C1911" s="79" t="s">
        <v>64</v>
      </c>
      <c r="D1911" s="78"/>
      <c r="E1911" s="80"/>
      <c r="F1911" s="81"/>
      <c r="G1911" s="81">
        <v>24000000</v>
      </c>
    </row>
    <row r="1912" spans="1:7" x14ac:dyDescent="0.25">
      <c r="A1912" s="7" t="s">
        <v>3122</v>
      </c>
      <c r="B1912" s="89" t="s">
        <v>195</v>
      </c>
      <c r="C1912" s="90" t="s">
        <v>619</v>
      </c>
      <c r="D1912" s="89">
        <v>12</v>
      </c>
      <c r="E1912" s="91" t="s">
        <v>106</v>
      </c>
      <c r="F1912" s="92">
        <v>1000000</v>
      </c>
      <c r="G1912" s="92">
        <v>12000000</v>
      </c>
    </row>
    <row r="1913" spans="1:7" x14ac:dyDescent="0.25">
      <c r="A1913" s="7" t="s">
        <v>3123</v>
      </c>
      <c r="B1913" s="89" t="s">
        <v>195</v>
      </c>
      <c r="C1913" s="90" t="s">
        <v>620</v>
      </c>
      <c r="D1913" s="89">
        <v>12</v>
      </c>
      <c r="E1913" s="91" t="s">
        <v>106</v>
      </c>
      <c r="F1913" s="92">
        <v>1000000</v>
      </c>
      <c r="G1913" s="92">
        <v>12000000</v>
      </c>
    </row>
    <row r="1914" spans="1:7" x14ac:dyDescent="0.25">
      <c r="A1914" s="7" t="s">
        <v>3124</v>
      </c>
      <c r="B1914" s="78" t="s">
        <v>516</v>
      </c>
      <c r="C1914" s="79" t="s">
        <v>11</v>
      </c>
      <c r="D1914" s="78"/>
      <c r="E1914" s="80"/>
      <c r="F1914" s="81"/>
      <c r="G1914" s="81">
        <v>21600000</v>
      </c>
    </row>
    <row r="1915" spans="1:7" ht="27.6" x14ac:dyDescent="0.25">
      <c r="A1915" s="7" t="s">
        <v>3125</v>
      </c>
      <c r="B1915" s="89" t="s">
        <v>195</v>
      </c>
      <c r="C1915" s="90" t="s">
        <v>3126</v>
      </c>
      <c r="D1915" s="89">
        <v>24</v>
      </c>
      <c r="E1915" s="91" t="s">
        <v>54</v>
      </c>
      <c r="F1915" s="92">
        <v>900000</v>
      </c>
      <c r="G1915" s="92">
        <v>21600000</v>
      </c>
    </row>
    <row r="1916" spans="1:7" x14ac:dyDescent="0.25">
      <c r="A1916" s="7" t="s">
        <v>3127</v>
      </c>
      <c r="B1916" s="78" t="s">
        <v>513</v>
      </c>
      <c r="C1916" s="79" t="s">
        <v>19</v>
      </c>
      <c r="D1916" s="78"/>
      <c r="E1916" s="80"/>
      <c r="F1916" s="81"/>
      <c r="G1916" s="81">
        <v>720000000</v>
      </c>
    </row>
    <row r="1917" spans="1:7" ht="27.6" x14ac:dyDescent="0.25">
      <c r="A1917" s="7" t="s">
        <v>3128</v>
      </c>
      <c r="B1917" s="89" t="s">
        <v>195</v>
      </c>
      <c r="C1917" s="90" t="s">
        <v>3129</v>
      </c>
      <c r="D1917" s="89">
        <v>24</v>
      </c>
      <c r="E1917" s="91" t="s">
        <v>25</v>
      </c>
      <c r="F1917" s="92">
        <v>5000000</v>
      </c>
      <c r="G1917" s="92">
        <v>120000000</v>
      </c>
    </row>
    <row r="1918" spans="1:7" ht="27.6" x14ac:dyDescent="0.25">
      <c r="A1918" s="7" t="s">
        <v>3130</v>
      </c>
      <c r="B1918" s="89" t="s">
        <v>195</v>
      </c>
      <c r="C1918" s="90" t="s">
        <v>3131</v>
      </c>
      <c r="D1918" s="89">
        <v>50</v>
      </c>
      <c r="E1918" s="91" t="s">
        <v>25</v>
      </c>
      <c r="F1918" s="92">
        <v>5000000</v>
      </c>
      <c r="G1918" s="92">
        <v>250000000</v>
      </c>
    </row>
    <row r="1919" spans="1:7" ht="27.6" x14ac:dyDescent="0.25">
      <c r="A1919" s="7" t="s">
        <v>3132</v>
      </c>
      <c r="B1919" s="89" t="s">
        <v>195</v>
      </c>
      <c r="C1919" s="90" t="s">
        <v>3133</v>
      </c>
      <c r="D1919" s="89">
        <v>20</v>
      </c>
      <c r="E1919" s="91" t="s">
        <v>25</v>
      </c>
      <c r="F1919" s="92">
        <v>5000000</v>
      </c>
      <c r="G1919" s="92">
        <v>100000000</v>
      </c>
    </row>
    <row r="1920" spans="1:7" ht="27.6" x14ac:dyDescent="0.25">
      <c r="A1920" s="7" t="s">
        <v>3134</v>
      </c>
      <c r="B1920" s="89" t="s">
        <v>195</v>
      </c>
      <c r="C1920" s="90" t="s">
        <v>3135</v>
      </c>
      <c r="D1920" s="89">
        <v>50</v>
      </c>
      <c r="E1920" s="91" t="s">
        <v>25</v>
      </c>
      <c r="F1920" s="92">
        <v>5000000</v>
      </c>
      <c r="G1920" s="92">
        <v>250000000</v>
      </c>
    </row>
    <row r="1921" spans="1:7" x14ac:dyDescent="0.25">
      <c r="A1921" s="7" t="s">
        <v>3136</v>
      </c>
      <c r="B1921" s="78" t="s">
        <v>507</v>
      </c>
      <c r="C1921" s="79" t="s">
        <v>13</v>
      </c>
      <c r="D1921" s="78"/>
      <c r="E1921" s="80"/>
      <c r="F1921" s="81"/>
      <c r="G1921" s="81">
        <v>1800000</v>
      </c>
    </row>
    <row r="1922" spans="1:7" x14ac:dyDescent="0.25">
      <c r="A1922" s="7" t="s">
        <v>3137</v>
      </c>
      <c r="B1922" s="89" t="s">
        <v>195</v>
      </c>
      <c r="C1922" s="90" t="s">
        <v>3138</v>
      </c>
      <c r="D1922" s="89">
        <v>5</v>
      </c>
      <c r="E1922" s="91" t="s">
        <v>25</v>
      </c>
      <c r="F1922" s="92">
        <v>150000</v>
      </c>
      <c r="G1922" s="92">
        <v>750000</v>
      </c>
    </row>
    <row r="1923" spans="1:7" x14ac:dyDescent="0.25">
      <c r="A1923" s="7" t="s">
        <v>3139</v>
      </c>
      <c r="B1923" s="89" t="s">
        <v>195</v>
      </c>
      <c r="C1923" s="90" t="s">
        <v>3140</v>
      </c>
      <c r="D1923" s="89">
        <v>5</v>
      </c>
      <c r="E1923" s="91" t="s">
        <v>25</v>
      </c>
      <c r="F1923" s="92">
        <v>210000</v>
      </c>
      <c r="G1923" s="92">
        <v>1050000</v>
      </c>
    </row>
    <row r="1924" spans="1:7" x14ac:dyDescent="0.25">
      <c r="A1924" s="7" t="s">
        <v>3141</v>
      </c>
      <c r="B1924" s="78" t="s">
        <v>510</v>
      </c>
      <c r="C1924" s="79" t="s">
        <v>15</v>
      </c>
      <c r="D1924" s="78"/>
      <c r="E1924" s="80"/>
      <c r="F1924" s="81"/>
      <c r="G1924" s="81">
        <v>28200000</v>
      </c>
    </row>
    <row r="1925" spans="1:7" x14ac:dyDescent="0.25">
      <c r="A1925" s="7" t="s">
        <v>3142</v>
      </c>
      <c r="B1925" s="89" t="s">
        <v>195</v>
      </c>
      <c r="C1925" s="90" t="s">
        <v>3143</v>
      </c>
      <c r="D1925" s="89">
        <v>12</v>
      </c>
      <c r="E1925" s="91" t="s">
        <v>25</v>
      </c>
      <c r="F1925" s="92">
        <v>2350000</v>
      </c>
      <c r="G1925" s="92">
        <v>28200000</v>
      </c>
    </row>
    <row r="1926" spans="1:7" x14ac:dyDescent="0.25">
      <c r="A1926" s="7" t="s">
        <v>3144</v>
      </c>
      <c r="B1926" s="97" t="s">
        <v>511</v>
      </c>
      <c r="C1926" s="98" t="s">
        <v>3145</v>
      </c>
      <c r="D1926" s="97"/>
      <c r="E1926" s="99"/>
      <c r="F1926" s="100"/>
      <c r="G1926" s="100">
        <v>307320000</v>
      </c>
    </row>
    <row r="1927" spans="1:7" x14ac:dyDescent="0.25">
      <c r="A1927" s="7" t="s">
        <v>3146</v>
      </c>
      <c r="B1927" s="78" t="s">
        <v>503</v>
      </c>
      <c r="C1927" s="79" t="s">
        <v>7</v>
      </c>
      <c r="D1927" s="78"/>
      <c r="E1927" s="80"/>
      <c r="F1927" s="81"/>
      <c r="G1927" s="81">
        <v>31400000</v>
      </c>
    </row>
    <row r="1928" spans="1:7" ht="27.6" x14ac:dyDescent="0.25">
      <c r="A1928" s="7" t="s">
        <v>3147</v>
      </c>
      <c r="B1928" s="89" t="s">
        <v>195</v>
      </c>
      <c r="C1928" s="90" t="s">
        <v>3148</v>
      </c>
      <c r="D1928" s="89">
        <v>60</v>
      </c>
      <c r="E1928" s="91" t="s">
        <v>180</v>
      </c>
      <c r="F1928" s="92">
        <v>350000</v>
      </c>
      <c r="G1928" s="92">
        <v>21000000</v>
      </c>
    </row>
    <row r="1929" spans="1:7" x14ac:dyDescent="0.25">
      <c r="A1929" s="7" t="s">
        <v>3149</v>
      </c>
      <c r="B1929" s="89" t="s">
        <v>195</v>
      </c>
      <c r="C1929" s="90" t="s">
        <v>3150</v>
      </c>
      <c r="D1929" s="89">
        <v>1</v>
      </c>
      <c r="E1929" s="91" t="s">
        <v>180</v>
      </c>
      <c r="F1929" s="92">
        <v>1000000</v>
      </c>
      <c r="G1929" s="92">
        <v>1000000</v>
      </c>
    </row>
    <row r="1930" spans="1:7" x14ac:dyDescent="0.25">
      <c r="A1930" s="7" t="s">
        <v>3151</v>
      </c>
      <c r="B1930" s="89" t="s">
        <v>195</v>
      </c>
      <c r="C1930" s="90" t="s">
        <v>3152</v>
      </c>
      <c r="D1930" s="89">
        <v>12</v>
      </c>
      <c r="E1930" s="91" t="s">
        <v>180</v>
      </c>
      <c r="F1930" s="92">
        <v>200000</v>
      </c>
      <c r="G1930" s="92">
        <v>2400000</v>
      </c>
    </row>
    <row r="1931" spans="1:7" x14ac:dyDescent="0.25">
      <c r="A1931" s="7" t="s">
        <v>3153</v>
      </c>
      <c r="B1931" s="89" t="s">
        <v>195</v>
      </c>
      <c r="C1931" s="90" t="s">
        <v>3154</v>
      </c>
      <c r="D1931" s="89">
        <v>5</v>
      </c>
      <c r="E1931" s="91" t="s">
        <v>180</v>
      </c>
      <c r="F1931" s="92">
        <v>1000000</v>
      </c>
      <c r="G1931" s="92">
        <v>5000000</v>
      </c>
    </row>
    <row r="1932" spans="1:7" x14ac:dyDescent="0.25">
      <c r="A1932" s="7" t="s">
        <v>3155</v>
      </c>
      <c r="B1932" s="89" t="s">
        <v>195</v>
      </c>
      <c r="C1932" s="90" t="s">
        <v>619</v>
      </c>
      <c r="D1932" s="89">
        <v>1</v>
      </c>
      <c r="E1932" s="91" t="s">
        <v>106</v>
      </c>
      <c r="F1932" s="92">
        <v>1000000</v>
      </c>
      <c r="G1932" s="92">
        <v>1000000</v>
      </c>
    </row>
    <row r="1933" spans="1:7" x14ac:dyDescent="0.25">
      <c r="A1933" s="7" t="s">
        <v>3156</v>
      </c>
      <c r="B1933" s="89" t="s">
        <v>195</v>
      </c>
      <c r="C1933" s="90" t="s">
        <v>620</v>
      </c>
      <c r="D1933" s="89">
        <v>1</v>
      </c>
      <c r="E1933" s="91" t="s">
        <v>106</v>
      </c>
      <c r="F1933" s="92">
        <v>1000000</v>
      </c>
      <c r="G1933" s="92">
        <v>1000000</v>
      </c>
    </row>
    <row r="1934" spans="1:7" x14ac:dyDescent="0.25">
      <c r="A1934" s="7" t="s">
        <v>3157</v>
      </c>
      <c r="B1934" s="78" t="s">
        <v>537</v>
      </c>
      <c r="C1934" s="79" t="s">
        <v>64</v>
      </c>
      <c r="D1934" s="78"/>
      <c r="E1934" s="80"/>
      <c r="F1934" s="81"/>
      <c r="G1934" s="81">
        <v>24000000</v>
      </c>
    </row>
    <row r="1935" spans="1:7" x14ac:dyDescent="0.25">
      <c r="A1935" s="7" t="s">
        <v>3158</v>
      </c>
      <c r="B1935" s="89" t="s">
        <v>195</v>
      </c>
      <c r="C1935" s="90" t="s">
        <v>619</v>
      </c>
      <c r="D1935" s="89">
        <v>12</v>
      </c>
      <c r="E1935" s="91" t="s">
        <v>106</v>
      </c>
      <c r="F1935" s="92">
        <v>1000000</v>
      </c>
      <c r="G1935" s="92">
        <v>12000000</v>
      </c>
    </row>
    <row r="1936" spans="1:7" x14ac:dyDescent="0.25">
      <c r="A1936" s="7" t="s">
        <v>3159</v>
      </c>
      <c r="B1936" s="89" t="s">
        <v>195</v>
      </c>
      <c r="C1936" s="90" t="s">
        <v>620</v>
      </c>
      <c r="D1936" s="89">
        <v>12</v>
      </c>
      <c r="E1936" s="91" t="s">
        <v>106</v>
      </c>
      <c r="F1936" s="92">
        <v>1000000</v>
      </c>
      <c r="G1936" s="92">
        <v>12000000</v>
      </c>
    </row>
    <row r="1937" spans="1:7" x14ac:dyDescent="0.25">
      <c r="A1937" s="7" t="s">
        <v>3160</v>
      </c>
      <c r="B1937" s="78" t="s">
        <v>516</v>
      </c>
      <c r="C1937" s="79" t="s">
        <v>11</v>
      </c>
      <c r="D1937" s="78"/>
      <c r="E1937" s="80"/>
      <c r="F1937" s="81"/>
      <c r="G1937" s="81">
        <v>3600000</v>
      </c>
    </row>
    <row r="1938" spans="1:7" ht="27.6" x14ac:dyDescent="0.25">
      <c r="A1938" s="7" t="s">
        <v>3161</v>
      </c>
      <c r="B1938" s="89" t="s">
        <v>195</v>
      </c>
      <c r="C1938" s="90" t="s">
        <v>3162</v>
      </c>
      <c r="D1938" s="89">
        <v>4</v>
      </c>
      <c r="E1938" s="91" t="s">
        <v>54</v>
      </c>
      <c r="F1938" s="92">
        <v>900000</v>
      </c>
      <c r="G1938" s="92">
        <v>3600000</v>
      </c>
    </row>
    <row r="1939" spans="1:7" x14ac:dyDescent="0.25">
      <c r="A1939" s="7" t="s">
        <v>3163</v>
      </c>
      <c r="B1939" s="78" t="s">
        <v>513</v>
      </c>
      <c r="C1939" s="79" t="s">
        <v>19</v>
      </c>
      <c r="D1939" s="78"/>
      <c r="E1939" s="80"/>
      <c r="F1939" s="81"/>
      <c r="G1939" s="81">
        <v>241800000</v>
      </c>
    </row>
    <row r="1940" spans="1:7" ht="41.4" x14ac:dyDescent="0.25">
      <c r="A1940" s="7" t="s">
        <v>3164</v>
      </c>
      <c r="B1940" s="89" t="s">
        <v>195</v>
      </c>
      <c r="C1940" s="90" t="s">
        <v>3165</v>
      </c>
      <c r="D1940" s="89">
        <v>60</v>
      </c>
      <c r="E1940" s="91" t="s">
        <v>25</v>
      </c>
      <c r="F1940" s="92">
        <v>1830000</v>
      </c>
      <c r="G1940" s="92">
        <v>109800000</v>
      </c>
    </row>
    <row r="1941" spans="1:7" ht="27.6" x14ac:dyDescent="0.25">
      <c r="A1941" s="7" t="s">
        <v>3166</v>
      </c>
      <c r="B1941" s="89" t="s">
        <v>195</v>
      </c>
      <c r="C1941" s="90" t="s">
        <v>3167</v>
      </c>
      <c r="D1941" s="89">
        <v>24</v>
      </c>
      <c r="E1941" s="91" t="s">
        <v>25</v>
      </c>
      <c r="F1941" s="92">
        <v>5500000</v>
      </c>
      <c r="G1941" s="92">
        <v>132000000</v>
      </c>
    </row>
    <row r="1942" spans="1:7" x14ac:dyDescent="0.25">
      <c r="A1942" s="7" t="s">
        <v>3168</v>
      </c>
      <c r="B1942" s="78" t="s">
        <v>507</v>
      </c>
      <c r="C1942" s="79" t="s">
        <v>13</v>
      </c>
      <c r="D1942" s="78"/>
      <c r="E1942" s="80"/>
      <c r="F1942" s="81"/>
      <c r="G1942" s="81">
        <v>720000</v>
      </c>
    </row>
    <row r="1943" spans="1:7" ht="27.6" x14ac:dyDescent="0.25">
      <c r="A1943" s="7" t="s">
        <v>3169</v>
      </c>
      <c r="B1943" s="89" t="s">
        <v>195</v>
      </c>
      <c r="C1943" s="90" t="s">
        <v>3170</v>
      </c>
      <c r="D1943" s="89">
        <v>2</v>
      </c>
      <c r="E1943" s="91" t="s">
        <v>25</v>
      </c>
      <c r="F1943" s="92">
        <v>150000</v>
      </c>
      <c r="G1943" s="92">
        <v>300000</v>
      </c>
    </row>
    <row r="1944" spans="1:7" x14ac:dyDescent="0.25">
      <c r="A1944" s="7" t="s">
        <v>3171</v>
      </c>
      <c r="B1944" s="89" t="s">
        <v>195</v>
      </c>
      <c r="C1944" s="90" t="s">
        <v>3172</v>
      </c>
      <c r="D1944" s="89">
        <v>2</v>
      </c>
      <c r="E1944" s="91" t="s">
        <v>25</v>
      </c>
      <c r="F1944" s="92">
        <v>210000</v>
      </c>
      <c r="G1944" s="92">
        <v>420000</v>
      </c>
    </row>
    <row r="1945" spans="1:7" x14ac:dyDescent="0.25">
      <c r="A1945" s="7" t="s">
        <v>3173</v>
      </c>
      <c r="B1945" s="78" t="s">
        <v>509</v>
      </c>
      <c r="C1945" s="79" t="s">
        <v>14</v>
      </c>
      <c r="D1945" s="78"/>
      <c r="E1945" s="80"/>
      <c r="F1945" s="81"/>
      <c r="G1945" s="81">
        <v>5800000</v>
      </c>
    </row>
    <row r="1946" spans="1:7" x14ac:dyDescent="0.25">
      <c r="A1946" s="7" t="s">
        <v>3174</v>
      </c>
      <c r="B1946" s="89" t="s">
        <v>195</v>
      </c>
      <c r="C1946" s="90" t="s">
        <v>3175</v>
      </c>
      <c r="D1946" s="89">
        <v>4</v>
      </c>
      <c r="E1946" s="91" t="s">
        <v>73</v>
      </c>
      <c r="F1946" s="92">
        <v>1450000</v>
      </c>
      <c r="G1946" s="92">
        <v>5800000</v>
      </c>
    </row>
    <row r="1947" spans="1:7" ht="27.6" x14ac:dyDescent="0.25">
      <c r="A1947" s="7" t="s">
        <v>3176</v>
      </c>
      <c r="B1947" s="97" t="s">
        <v>512</v>
      </c>
      <c r="C1947" s="98" t="s">
        <v>3177</v>
      </c>
      <c r="D1947" s="97"/>
      <c r="E1947" s="99"/>
      <c r="F1947" s="100"/>
      <c r="G1947" s="100">
        <v>80600000</v>
      </c>
    </row>
    <row r="1948" spans="1:7" x14ac:dyDescent="0.25">
      <c r="A1948" s="7" t="s">
        <v>3178</v>
      </c>
      <c r="B1948" s="78" t="s">
        <v>503</v>
      </c>
      <c r="C1948" s="79" t="s">
        <v>7</v>
      </c>
      <c r="D1948" s="78"/>
      <c r="E1948" s="80"/>
      <c r="F1948" s="81"/>
      <c r="G1948" s="81">
        <v>24000000</v>
      </c>
    </row>
    <row r="1949" spans="1:7" x14ac:dyDescent="0.25">
      <c r="A1949" s="7" t="s">
        <v>3179</v>
      </c>
      <c r="B1949" s="89" t="s">
        <v>195</v>
      </c>
      <c r="C1949" s="90" t="s">
        <v>619</v>
      </c>
      <c r="D1949" s="89">
        <v>1</v>
      </c>
      <c r="E1949" s="91" t="s">
        <v>106</v>
      </c>
      <c r="F1949" s="92">
        <v>1000000</v>
      </c>
      <c r="G1949" s="92">
        <v>1000000</v>
      </c>
    </row>
    <row r="1950" spans="1:7" x14ac:dyDescent="0.25">
      <c r="A1950" s="7" t="s">
        <v>3180</v>
      </c>
      <c r="B1950" s="89" t="s">
        <v>195</v>
      </c>
      <c r="C1950" s="90" t="s">
        <v>620</v>
      </c>
      <c r="D1950" s="89">
        <v>1</v>
      </c>
      <c r="E1950" s="91" t="s">
        <v>106</v>
      </c>
      <c r="F1950" s="92">
        <v>1000000</v>
      </c>
      <c r="G1950" s="92">
        <v>1000000</v>
      </c>
    </row>
    <row r="1951" spans="1:7" x14ac:dyDescent="0.25">
      <c r="A1951" s="7" t="s">
        <v>3181</v>
      </c>
      <c r="B1951" s="89" t="s">
        <v>195</v>
      </c>
      <c r="C1951" s="90" t="s">
        <v>3182</v>
      </c>
      <c r="D1951" s="89">
        <v>1</v>
      </c>
      <c r="E1951" s="91" t="s">
        <v>180</v>
      </c>
      <c r="F1951" s="92">
        <v>1000000</v>
      </c>
      <c r="G1951" s="92">
        <v>1000000</v>
      </c>
    </row>
    <row r="1952" spans="1:7" ht="27.6" x14ac:dyDescent="0.25">
      <c r="A1952" s="7" t="s">
        <v>3183</v>
      </c>
      <c r="B1952" s="89" t="s">
        <v>195</v>
      </c>
      <c r="C1952" s="90" t="s">
        <v>3184</v>
      </c>
      <c r="D1952" s="89">
        <v>60</v>
      </c>
      <c r="E1952" s="91" t="s">
        <v>180</v>
      </c>
      <c r="F1952" s="92">
        <v>350000</v>
      </c>
      <c r="G1952" s="92">
        <v>21000000</v>
      </c>
    </row>
    <row r="1953" spans="1:7" x14ac:dyDescent="0.25">
      <c r="A1953" s="7" t="s">
        <v>3185</v>
      </c>
      <c r="B1953" s="78" t="s">
        <v>513</v>
      </c>
      <c r="C1953" s="79" t="s">
        <v>19</v>
      </c>
      <c r="D1953" s="78"/>
      <c r="E1953" s="80"/>
      <c r="F1953" s="81"/>
      <c r="G1953" s="81">
        <v>56600000</v>
      </c>
    </row>
    <row r="1954" spans="1:7" x14ac:dyDescent="0.25">
      <c r="A1954" s="7" t="s">
        <v>3186</v>
      </c>
      <c r="B1954" s="89" t="s">
        <v>195</v>
      </c>
      <c r="C1954" s="90" t="s">
        <v>3187</v>
      </c>
      <c r="D1954" s="89">
        <v>20</v>
      </c>
      <c r="E1954" s="91" t="s">
        <v>25</v>
      </c>
      <c r="F1954" s="92">
        <v>2830000</v>
      </c>
      <c r="G1954" s="92">
        <v>56600000</v>
      </c>
    </row>
    <row r="1955" spans="1:7" x14ac:dyDescent="0.25">
      <c r="A1955" s="7" t="s">
        <v>3188</v>
      </c>
      <c r="B1955" s="97" t="s">
        <v>514</v>
      </c>
      <c r="C1955" s="98" t="s">
        <v>181</v>
      </c>
      <c r="D1955" s="97"/>
      <c r="E1955" s="99"/>
      <c r="F1955" s="100"/>
      <c r="G1955" s="100">
        <v>304320000</v>
      </c>
    </row>
    <row r="1956" spans="1:7" x14ac:dyDescent="0.25">
      <c r="A1956" s="7" t="s">
        <v>3189</v>
      </c>
      <c r="B1956" s="78" t="s">
        <v>503</v>
      </c>
      <c r="C1956" s="79" t="s">
        <v>7</v>
      </c>
      <c r="D1956" s="78"/>
      <c r="E1956" s="80"/>
      <c r="F1956" s="81"/>
      <c r="G1956" s="81">
        <v>2600000</v>
      </c>
    </row>
    <row r="1957" spans="1:7" x14ac:dyDescent="0.25">
      <c r="A1957" s="7" t="s">
        <v>3190</v>
      </c>
      <c r="B1957" s="89" t="s">
        <v>195</v>
      </c>
      <c r="C1957" s="90" t="s">
        <v>3191</v>
      </c>
      <c r="D1957" s="89">
        <v>12</v>
      </c>
      <c r="E1957" s="91" t="s">
        <v>180</v>
      </c>
      <c r="F1957" s="92">
        <v>150000</v>
      </c>
      <c r="G1957" s="92">
        <v>1800000</v>
      </c>
    </row>
    <row r="1958" spans="1:7" x14ac:dyDescent="0.25">
      <c r="A1958" s="7" t="s">
        <v>3192</v>
      </c>
      <c r="B1958" s="89" t="s">
        <v>195</v>
      </c>
      <c r="C1958" s="90" t="s">
        <v>3193</v>
      </c>
      <c r="D1958" s="89">
        <v>8</v>
      </c>
      <c r="E1958" s="91" t="s">
        <v>180</v>
      </c>
      <c r="F1958" s="92">
        <v>100000</v>
      </c>
      <c r="G1958" s="92">
        <v>800000</v>
      </c>
    </row>
    <row r="1959" spans="1:7" ht="27.6" x14ac:dyDescent="0.25">
      <c r="A1959" s="7" t="s">
        <v>3194</v>
      </c>
      <c r="B1959" s="78" t="s">
        <v>515</v>
      </c>
      <c r="C1959" s="79" t="s">
        <v>642</v>
      </c>
      <c r="D1959" s="78"/>
      <c r="E1959" s="80"/>
      <c r="F1959" s="81"/>
      <c r="G1959" s="81">
        <v>33600000</v>
      </c>
    </row>
    <row r="1960" spans="1:7" x14ac:dyDescent="0.25">
      <c r="A1960" s="7" t="s">
        <v>3195</v>
      </c>
      <c r="B1960" s="89" t="s">
        <v>195</v>
      </c>
      <c r="C1960" s="90" t="s">
        <v>3196</v>
      </c>
      <c r="D1960" s="89">
        <v>168</v>
      </c>
      <c r="E1960" s="91" t="s">
        <v>32</v>
      </c>
      <c r="F1960" s="92">
        <v>200000</v>
      </c>
      <c r="G1960" s="92">
        <v>33600000</v>
      </c>
    </row>
    <row r="1961" spans="1:7" x14ac:dyDescent="0.25">
      <c r="A1961" s="7" t="s">
        <v>3197</v>
      </c>
      <c r="B1961" s="78" t="s">
        <v>537</v>
      </c>
      <c r="C1961" s="79" t="s">
        <v>64</v>
      </c>
      <c r="D1961" s="78"/>
      <c r="E1961" s="80"/>
      <c r="F1961" s="81"/>
      <c r="G1961" s="81">
        <v>24000000</v>
      </c>
    </row>
    <row r="1962" spans="1:7" x14ac:dyDescent="0.25">
      <c r="A1962" s="7" t="s">
        <v>3198</v>
      </c>
      <c r="B1962" s="89" t="s">
        <v>195</v>
      </c>
      <c r="C1962" s="90" t="s">
        <v>619</v>
      </c>
      <c r="D1962" s="89">
        <v>12</v>
      </c>
      <c r="E1962" s="91" t="s">
        <v>106</v>
      </c>
      <c r="F1962" s="92">
        <v>1000000</v>
      </c>
      <c r="G1962" s="92">
        <v>12000000</v>
      </c>
    </row>
    <row r="1963" spans="1:7" x14ac:dyDescent="0.25">
      <c r="A1963" s="7" t="s">
        <v>3199</v>
      </c>
      <c r="B1963" s="89" t="s">
        <v>195</v>
      </c>
      <c r="C1963" s="90" t="s">
        <v>620</v>
      </c>
      <c r="D1963" s="89">
        <v>12</v>
      </c>
      <c r="E1963" s="91" t="s">
        <v>106</v>
      </c>
      <c r="F1963" s="92">
        <v>1000000</v>
      </c>
      <c r="G1963" s="92">
        <v>12000000</v>
      </c>
    </row>
    <row r="1964" spans="1:7" x14ac:dyDescent="0.25">
      <c r="A1964" s="7" t="s">
        <v>3200</v>
      </c>
      <c r="B1964" s="78" t="s">
        <v>516</v>
      </c>
      <c r="C1964" s="79" t="s">
        <v>11</v>
      </c>
      <c r="D1964" s="78"/>
      <c r="E1964" s="80"/>
      <c r="F1964" s="81"/>
      <c r="G1964" s="81">
        <v>18000000</v>
      </c>
    </row>
    <row r="1965" spans="1:7" x14ac:dyDescent="0.25">
      <c r="A1965" s="7" t="s">
        <v>3201</v>
      </c>
      <c r="B1965" s="89" t="s">
        <v>195</v>
      </c>
      <c r="C1965" s="90" t="s">
        <v>3202</v>
      </c>
      <c r="D1965" s="89">
        <v>20</v>
      </c>
      <c r="E1965" s="91" t="s">
        <v>54</v>
      </c>
      <c r="F1965" s="92">
        <v>900000</v>
      </c>
      <c r="G1965" s="92">
        <v>18000000</v>
      </c>
    </row>
    <row r="1966" spans="1:7" x14ac:dyDescent="0.25">
      <c r="A1966" s="7" t="s">
        <v>3203</v>
      </c>
      <c r="B1966" s="78" t="s">
        <v>518</v>
      </c>
      <c r="C1966" s="79" t="s">
        <v>24</v>
      </c>
      <c r="D1966" s="78"/>
      <c r="E1966" s="80"/>
      <c r="F1966" s="81"/>
      <c r="G1966" s="81">
        <v>9000000</v>
      </c>
    </row>
    <row r="1967" spans="1:7" x14ac:dyDescent="0.25">
      <c r="A1967" s="7" t="s">
        <v>3204</v>
      </c>
      <c r="B1967" s="89" t="s">
        <v>195</v>
      </c>
      <c r="C1967" s="90" t="s">
        <v>3205</v>
      </c>
      <c r="D1967" s="89">
        <v>30</v>
      </c>
      <c r="E1967" s="91" t="s">
        <v>25</v>
      </c>
      <c r="F1967" s="92">
        <v>300000</v>
      </c>
      <c r="G1967" s="92">
        <v>9000000</v>
      </c>
    </row>
    <row r="1968" spans="1:7" x14ac:dyDescent="0.25">
      <c r="A1968" s="7" t="s">
        <v>3206</v>
      </c>
      <c r="B1968" s="78" t="s">
        <v>513</v>
      </c>
      <c r="C1968" s="79" t="s">
        <v>19</v>
      </c>
      <c r="D1968" s="78"/>
      <c r="E1968" s="80"/>
      <c r="F1968" s="81"/>
      <c r="G1968" s="81">
        <v>216400000</v>
      </c>
    </row>
    <row r="1969" spans="1:7" ht="27.6" x14ac:dyDescent="0.25">
      <c r="A1969" s="7" t="s">
        <v>3207</v>
      </c>
      <c r="B1969" s="89" t="s">
        <v>195</v>
      </c>
      <c r="C1969" s="90" t="s">
        <v>3208</v>
      </c>
      <c r="D1969" s="89">
        <v>80</v>
      </c>
      <c r="E1969" s="91" t="s">
        <v>25</v>
      </c>
      <c r="F1969" s="92">
        <v>830000</v>
      </c>
      <c r="G1969" s="92">
        <v>66400000</v>
      </c>
    </row>
    <row r="1970" spans="1:7" ht="27.6" x14ac:dyDescent="0.25">
      <c r="A1970" s="7" t="s">
        <v>3209</v>
      </c>
      <c r="B1970" s="89" t="s">
        <v>195</v>
      </c>
      <c r="C1970" s="90" t="s">
        <v>3210</v>
      </c>
      <c r="D1970" s="89">
        <v>30</v>
      </c>
      <c r="E1970" s="91" t="s">
        <v>25</v>
      </c>
      <c r="F1970" s="92">
        <v>5000000</v>
      </c>
      <c r="G1970" s="92">
        <v>150000000</v>
      </c>
    </row>
    <row r="1971" spans="1:7" x14ac:dyDescent="0.25">
      <c r="A1971" s="7" t="s">
        <v>3211</v>
      </c>
      <c r="B1971" s="78" t="s">
        <v>507</v>
      </c>
      <c r="C1971" s="79" t="s">
        <v>13</v>
      </c>
      <c r="D1971" s="78"/>
      <c r="E1971" s="80"/>
      <c r="F1971" s="81"/>
      <c r="G1971" s="81">
        <v>720000</v>
      </c>
    </row>
    <row r="1972" spans="1:7" x14ac:dyDescent="0.25">
      <c r="A1972" s="7" t="s">
        <v>3212</v>
      </c>
      <c r="B1972" s="89" t="s">
        <v>195</v>
      </c>
      <c r="C1972" s="90" t="s">
        <v>3213</v>
      </c>
      <c r="D1972" s="89">
        <v>2</v>
      </c>
      <c r="E1972" s="91" t="s">
        <v>25</v>
      </c>
      <c r="F1972" s="92">
        <v>150000</v>
      </c>
      <c r="G1972" s="92">
        <v>300000</v>
      </c>
    </row>
    <row r="1973" spans="1:7" x14ac:dyDescent="0.25">
      <c r="A1973" s="7" t="s">
        <v>3214</v>
      </c>
      <c r="B1973" s="89" t="s">
        <v>195</v>
      </c>
      <c r="C1973" s="90" t="s">
        <v>3172</v>
      </c>
      <c r="D1973" s="89">
        <v>2</v>
      </c>
      <c r="E1973" s="91" t="s">
        <v>25</v>
      </c>
      <c r="F1973" s="92">
        <v>210000</v>
      </c>
      <c r="G1973" s="92">
        <v>420000</v>
      </c>
    </row>
    <row r="1974" spans="1:7" ht="27.6" x14ac:dyDescent="0.25">
      <c r="A1974" s="7" t="s">
        <v>3215</v>
      </c>
      <c r="B1974" s="97" t="s">
        <v>519</v>
      </c>
      <c r="C1974" s="98" t="s">
        <v>182</v>
      </c>
      <c r="D1974" s="97"/>
      <c r="E1974" s="99"/>
      <c r="F1974" s="100"/>
      <c r="G1974" s="100">
        <v>422620000</v>
      </c>
    </row>
    <row r="1975" spans="1:7" x14ac:dyDescent="0.25">
      <c r="A1975" s="7" t="s">
        <v>3216</v>
      </c>
      <c r="B1975" s="78" t="s">
        <v>503</v>
      </c>
      <c r="C1975" s="79" t="s">
        <v>7</v>
      </c>
      <c r="D1975" s="78"/>
      <c r="E1975" s="80"/>
      <c r="F1975" s="81"/>
      <c r="G1975" s="81">
        <v>20000000</v>
      </c>
    </row>
    <row r="1976" spans="1:7" ht="27.6" x14ac:dyDescent="0.25">
      <c r="A1976" s="7" t="s">
        <v>3217</v>
      </c>
      <c r="B1976" s="89" t="s">
        <v>195</v>
      </c>
      <c r="C1976" s="90" t="s">
        <v>3218</v>
      </c>
      <c r="D1976" s="89">
        <v>28</v>
      </c>
      <c r="E1976" s="91" t="s">
        <v>180</v>
      </c>
      <c r="F1976" s="92">
        <v>500000</v>
      </c>
      <c r="G1976" s="92">
        <v>14000000</v>
      </c>
    </row>
    <row r="1977" spans="1:7" x14ac:dyDescent="0.25">
      <c r="A1977" s="7" t="s">
        <v>3219</v>
      </c>
      <c r="B1977" s="89" t="s">
        <v>195</v>
      </c>
      <c r="C1977" s="90" t="s">
        <v>3220</v>
      </c>
      <c r="D1977" s="89">
        <v>3</v>
      </c>
      <c r="E1977" s="91" t="s">
        <v>180</v>
      </c>
      <c r="F1977" s="92">
        <v>1000000</v>
      </c>
      <c r="G1977" s="92">
        <v>3000000</v>
      </c>
    </row>
    <row r="1978" spans="1:7" x14ac:dyDescent="0.25">
      <c r="A1978" s="7" t="s">
        <v>3221</v>
      </c>
      <c r="B1978" s="89" t="s">
        <v>195</v>
      </c>
      <c r="C1978" s="90" t="s">
        <v>3222</v>
      </c>
      <c r="D1978" s="89">
        <v>2</v>
      </c>
      <c r="E1978" s="91" t="s">
        <v>106</v>
      </c>
      <c r="F1978" s="92">
        <v>500000</v>
      </c>
      <c r="G1978" s="92">
        <v>1000000</v>
      </c>
    </row>
    <row r="1979" spans="1:7" x14ac:dyDescent="0.25">
      <c r="A1979" s="7" t="s">
        <v>3223</v>
      </c>
      <c r="B1979" s="89" t="s">
        <v>195</v>
      </c>
      <c r="C1979" s="90" t="s">
        <v>3224</v>
      </c>
      <c r="D1979" s="89">
        <v>2</v>
      </c>
      <c r="E1979" s="91" t="s">
        <v>180</v>
      </c>
      <c r="F1979" s="92">
        <v>1000000</v>
      </c>
      <c r="G1979" s="92">
        <v>2000000</v>
      </c>
    </row>
    <row r="1980" spans="1:7" x14ac:dyDescent="0.25">
      <c r="A1980" s="7" t="s">
        <v>3225</v>
      </c>
      <c r="B1980" s="78" t="s">
        <v>537</v>
      </c>
      <c r="C1980" s="79" t="s">
        <v>64</v>
      </c>
      <c r="D1980" s="78"/>
      <c r="E1980" s="80"/>
      <c r="F1980" s="81"/>
      <c r="G1980" s="81">
        <v>24000000</v>
      </c>
    </row>
    <row r="1981" spans="1:7" x14ac:dyDescent="0.25">
      <c r="A1981" s="7" t="s">
        <v>3226</v>
      </c>
      <c r="B1981" s="89" t="s">
        <v>195</v>
      </c>
      <c r="C1981" s="90" t="s">
        <v>619</v>
      </c>
      <c r="D1981" s="89">
        <v>12</v>
      </c>
      <c r="E1981" s="91" t="s">
        <v>106</v>
      </c>
      <c r="F1981" s="92">
        <v>1000000</v>
      </c>
      <c r="G1981" s="92">
        <v>12000000</v>
      </c>
    </row>
    <row r="1982" spans="1:7" x14ac:dyDescent="0.25">
      <c r="A1982" s="7" t="s">
        <v>3227</v>
      </c>
      <c r="B1982" s="89" t="s">
        <v>195</v>
      </c>
      <c r="C1982" s="90" t="s">
        <v>620</v>
      </c>
      <c r="D1982" s="89">
        <v>12</v>
      </c>
      <c r="E1982" s="91" t="s">
        <v>106</v>
      </c>
      <c r="F1982" s="92">
        <v>1000000</v>
      </c>
      <c r="G1982" s="92">
        <v>12000000</v>
      </c>
    </row>
    <row r="1983" spans="1:7" x14ac:dyDescent="0.25">
      <c r="A1983" s="7" t="s">
        <v>3228</v>
      </c>
      <c r="B1983" s="78" t="s">
        <v>513</v>
      </c>
      <c r="C1983" s="79" t="s">
        <v>19</v>
      </c>
      <c r="D1983" s="78"/>
      <c r="E1983" s="80"/>
      <c r="F1983" s="81"/>
      <c r="G1983" s="81">
        <v>359100000</v>
      </c>
    </row>
    <row r="1984" spans="1:7" ht="27.6" x14ac:dyDescent="0.25">
      <c r="A1984" s="7" t="s">
        <v>3229</v>
      </c>
      <c r="B1984" s="89" t="s">
        <v>195</v>
      </c>
      <c r="C1984" s="90" t="s">
        <v>3230</v>
      </c>
      <c r="D1984" s="89">
        <v>100</v>
      </c>
      <c r="E1984" s="91" t="s">
        <v>25</v>
      </c>
      <c r="F1984" s="92">
        <v>1830000</v>
      </c>
      <c r="G1984" s="92">
        <v>183000000</v>
      </c>
    </row>
    <row r="1985" spans="1:7" ht="27.6" x14ac:dyDescent="0.25">
      <c r="A1985" s="7" t="s">
        <v>3231</v>
      </c>
      <c r="B1985" s="89" t="s">
        <v>195</v>
      </c>
      <c r="C1985" s="90" t="s">
        <v>3232</v>
      </c>
      <c r="D1985" s="89">
        <v>25</v>
      </c>
      <c r="E1985" s="91" t="s">
        <v>25</v>
      </c>
      <c r="F1985" s="92">
        <v>1260000</v>
      </c>
      <c r="G1985" s="92">
        <v>31500000</v>
      </c>
    </row>
    <row r="1986" spans="1:7" ht="27.6" x14ac:dyDescent="0.25">
      <c r="A1986" s="7" t="s">
        <v>3233</v>
      </c>
      <c r="B1986" s="89" t="s">
        <v>195</v>
      </c>
      <c r="C1986" s="90" t="s">
        <v>3234</v>
      </c>
      <c r="D1986" s="89">
        <v>120</v>
      </c>
      <c r="E1986" s="91" t="s">
        <v>25</v>
      </c>
      <c r="F1986" s="92">
        <v>830000</v>
      </c>
      <c r="G1986" s="92">
        <v>99600000</v>
      </c>
    </row>
    <row r="1987" spans="1:7" ht="27.6" x14ac:dyDescent="0.25">
      <c r="A1987" s="7" t="s">
        <v>3235</v>
      </c>
      <c r="B1987" s="89" t="s">
        <v>195</v>
      </c>
      <c r="C1987" s="90" t="s">
        <v>3236</v>
      </c>
      <c r="D1987" s="89">
        <v>15</v>
      </c>
      <c r="E1987" s="91" t="s">
        <v>25</v>
      </c>
      <c r="F1987" s="92">
        <v>3000000</v>
      </c>
      <c r="G1987" s="92">
        <v>45000000</v>
      </c>
    </row>
    <row r="1988" spans="1:7" x14ac:dyDescent="0.25">
      <c r="A1988" s="7" t="s">
        <v>3237</v>
      </c>
      <c r="B1988" s="78" t="s">
        <v>507</v>
      </c>
      <c r="C1988" s="79" t="s">
        <v>13</v>
      </c>
      <c r="D1988" s="78"/>
      <c r="E1988" s="80"/>
      <c r="F1988" s="81"/>
      <c r="G1988" s="81">
        <v>720000</v>
      </c>
    </row>
    <row r="1989" spans="1:7" x14ac:dyDescent="0.25">
      <c r="A1989" s="7" t="s">
        <v>3238</v>
      </c>
      <c r="B1989" s="89" t="s">
        <v>195</v>
      </c>
      <c r="C1989" s="90" t="s">
        <v>3172</v>
      </c>
      <c r="D1989" s="89">
        <v>2</v>
      </c>
      <c r="E1989" s="91" t="s">
        <v>25</v>
      </c>
      <c r="F1989" s="92">
        <v>210000</v>
      </c>
      <c r="G1989" s="92">
        <v>420000</v>
      </c>
    </row>
    <row r="1990" spans="1:7" ht="27.6" x14ac:dyDescent="0.25">
      <c r="A1990" s="7" t="s">
        <v>3239</v>
      </c>
      <c r="B1990" s="89" t="s">
        <v>195</v>
      </c>
      <c r="C1990" s="90" t="s">
        <v>3170</v>
      </c>
      <c r="D1990" s="89">
        <v>2</v>
      </c>
      <c r="E1990" s="91" t="s">
        <v>25</v>
      </c>
      <c r="F1990" s="92">
        <v>150000</v>
      </c>
      <c r="G1990" s="92">
        <v>300000</v>
      </c>
    </row>
    <row r="1991" spans="1:7" x14ac:dyDescent="0.25">
      <c r="A1991" s="7" t="s">
        <v>3240</v>
      </c>
      <c r="B1991" s="78" t="s">
        <v>510</v>
      </c>
      <c r="C1991" s="79" t="s">
        <v>15</v>
      </c>
      <c r="D1991" s="78"/>
      <c r="E1991" s="80"/>
      <c r="F1991" s="81"/>
      <c r="G1991" s="81">
        <v>18800000</v>
      </c>
    </row>
    <row r="1992" spans="1:7" x14ac:dyDescent="0.25">
      <c r="A1992" s="7" t="s">
        <v>3241</v>
      </c>
      <c r="B1992" s="89" t="s">
        <v>195</v>
      </c>
      <c r="C1992" s="90" t="s">
        <v>3242</v>
      </c>
      <c r="D1992" s="89">
        <v>8</v>
      </c>
      <c r="E1992" s="91" t="s">
        <v>25</v>
      </c>
      <c r="F1992" s="92">
        <v>2350000</v>
      </c>
      <c r="G1992" s="92">
        <v>18800000</v>
      </c>
    </row>
    <row r="1993" spans="1:7" x14ac:dyDescent="0.25">
      <c r="A1993" s="7" t="s">
        <v>3243</v>
      </c>
      <c r="B1993" s="97" t="s">
        <v>578</v>
      </c>
      <c r="C1993" s="98" t="s">
        <v>183</v>
      </c>
      <c r="D1993" s="97"/>
      <c r="E1993" s="99"/>
      <c r="F1993" s="100"/>
      <c r="G1993" s="100">
        <v>485540000</v>
      </c>
    </row>
    <row r="1994" spans="1:7" x14ac:dyDescent="0.25">
      <c r="A1994" s="7" t="s">
        <v>3244</v>
      </c>
      <c r="B1994" s="78" t="s">
        <v>503</v>
      </c>
      <c r="C1994" s="79" t="s">
        <v>7</v>
      </c>
      <c r="D1994" s="78"/>
      <c r="E1994" s="80"/>
      <c r="F1994" s="81"/>
      <c r="G1994" s="81">
        <v>8000000</v>
      </c>
    </row>
    <row r="1995" spans="1:7" x14ac:dyDescent="0.25">
      <c r="A1995" s="7" t="s">
        <v>3245</v>
      </c>
      <c r="B1995" s="89" t="s">
        <v>195</v>
      </c>
      <c r="C1995" s="90" t="s">
        <v>619</v>
      </c>
      <c r="D1995" s="89">
        <v>2</v>
      </c>
      <c r="E1995" s="91" t="s">
        <v>106</v>
      </c>
      <c r="F1995" s="92">
        <v>1000000</v>
      </c>
      <c r="G1995" s="92">
        <v>2000000</v>
      </c>
    </row>
    <row r="1996" spans="1:7" x14ac:dyDescent="0.25">
      <c r="A1996" s="7" t="s">
        <v>3246</v>
      </c>
      <c r="B1996" s="89" t="s">
        <v>195</v>
      </c>
      <c r="C1996" s="90" t="s">
        <v>620</v>
      </c>
      <c r="D1996" s="89">
        <v>2</v>
      </c>
      <c r="E1996" s="91" t="s">
        <v>106</v>
      </c>
      <c r="F1996" s="92">
        <v>1000000</v>
      </c>
      <c r="G1996" s="92">
        <v>2000000</v>
      </c>
    </row>
    <row r="1997" spans="1:7" x14ac:dyDescent="0.25">
      <c r="A1997" s="7" t="s">
        <v>3247</v>
      </c>
      <c r="B1997" s="89" t="s">
        <v>195</v>
      </c>
      <c r="C1997" s="90" t="s">
        <v>3248</v>
      </c>
      <c r="D1997" s="89">
        <v>4</v>
      </c>
      <c r="E1997" s="91" t="s">
        <v>180</v>
      </c>
      <c r="F1997" s="92">
        <v>1000000</v>
      </c>
      <c r="G1997" s="92">
        <v>4000000</v>
      </c>
    </row>
    <row r="1998" spans="1:7" x14ac:dyDescent="0.25">
      <c r="A1998" s="7" t="s">
        <v>3249</v>
      </c>
      <c r="B1998" s="78" t="s">
        <v>537</v>
      </c>
      <c r="C1998" s="79" t="s">
        <v>64</v>
      </c>
      <c r="D1998" s="78"/>
      <c r="E1998" s="80"/>
      <c r="F1998" s="81"/>
      <c r="G1998" s="81">
        <v>24000000</v>
      </c>
    </row>
    <row r="1999" spans="1:7" x14ac:dyDescent="0.25">
      <c r="A1999" s="7" t="s">
        <v>3250</v>
      </c>
      <c r="B1999" s="89" t="s">
        <v>195</v>
      </c>
      <c r="C1999" s="90" t="s">
        <v>619</v>
      </c>
      <c r="D1999" s="89">
        <v>12</v>
      </c>
      <c r="E1999" s="91" t="s">
        <v>106</v>
      </c>
      <c r="F1999" s="92">
        <v>1000000</v>
      </c>
      <c r="G1999" s="92">
        <v>12000000</v>
      </c>
    </row>
    <row r="2000" spans="1:7" x14ac:dyDescent="0.25">
      <c r="A2000" s="7" t="s">
        <v>3251</v>
      </c>
      <c r="B2000" s="89" t="s">
        <v>195</v>
      </c>
      <c r="C2000" s="90" t="s">
        <v>620</v>
      </c>
      <c r="D2000" s="89">
        <v>12</v>
      </c>
      <c r="E2000" s="91" t="s">
        <v>106</v>
      </c>
      <c r="F2000" s="92">
        <v>1000000</v>
      </c>
      <c r="G2000" s="92">
        <v>12000000</v>
      </c>
    </row>
    <row r="2001" spans="1:7" x14ac:dyDescent="0.25">
      <c r="A2001" s="7" t="s">
        <v>3252</v>
      </c>
      <c r="B2001" s="78" t="s">
        <v>513</v>
      </c>
      <c r="C2001" s="79" t="s">
        <v>19</v>
      </c>
      <c r="D2001" s="78"/>
      <c r="E2001" s="80"/>
      <c r="F2001" s="81"/>
      <c r="G2001" s="81">
        <v>436500000</v>
      </c>
    </row>
    <row r="2002" spans="1:7" ht="27.6" x14ac:dyDescent="0.25">
      <c r="A2002" s="7" t="s">
        <v>3253</v>
      </c>
      <c r="B2002" s="89" t="s">
        <v>195</v>
      </c>
      <c r="C2002" s="90" t="s">
        <v>3254</v>
      </c>
      <c r="D2002" s="89">
        <v>60</v>
      </c>
      <c r="E2002" s="91" t="s">
        <v>25</v>
      </c>
      <c r="F2002" s="92">
        <v>5445000</v>
      </c>
      <c r="G2002" s="92">
        <v>326700000</v>
      </c>
    </row>
    <row r="2003" spans="1:7" ht="27.6" x14ac:dyDescent="0.25">
      <c r="A2003" s="7" t="s">
        <v>3255</v>
      </c>
      <c r="B2003" s="89" t="s">
        <v>195</v>
      </c>
      <c r="C2003" s="90" t="s">
        <v>3256</v>
      </c>
      <c r="D2003" s="89">
        <v>60</v>
      </c>
      <c r="E2003" s="91" t="s">
        <v>25</v>
      </c>
      <c r="F2003" s="92">
        <v>1830000</v>
      </c>
      <c r="G2003" s="92">
        <v>109800000</v>
      </c>
    </row>
    <row r="2004" spans="1:7" x14ac:dyDescent="0.25">
      <c r="A2004" s="7" t="s">
        <v>3257</v>
      </c>
      <c r="B2004" s="78" t="s">
        <v>507</v>
      </c>
      <c r="C2004" s="79" t="s">
        <v>13</v>
      </c>
      <c r="D2004" s="78"/>
      <c r="E2004" s="80"/>
      <c r="F2004" s="81"/>
      <c r="G2004" s="81">
        <v>1800000</v>
      </c>
    </row>
    <row r="2005" spans="1:7" ht="27.6" x14ac:dyDescent="0.25">
      <c r="A2005" s="7" t="s">
        <v>3258</v>
      </c>
      <c r="B2005" s="89" t="s">
        <v>195</v>
      </c>
      <c r="C2005" s="90" t="s">
        <v>3259</v>
      </c>
      <c r="D2005" s="89">
        <v>5</v>
      </c>
      <c r="E2005" s="91" t="s">
        <v>25</v>
      </c>
      <c r="F2005" s="92">
        <v>150000</v>
      </c>
      <c r="G2005" s="92">
        <v>750000</v>
      </c>
    </row>
    <row r="2006" spans="1:7" x14ac:dyDescent="0.25">
      <c r="A2006" s="7" t="s">
        <v>3260</v>
      </c>
      <c r="B2006" s="89" t="s">
        <v>195</v>
      </c>
      <c r="C2006" s="90" t="s">
        <v>3261</v>
      </c>
      <c r="D2006" s="89">
        <v>5</v>
      </c>
      <c r="E2006" s="91" t="s">
        <v>25</v>
      </c>
      <c r="F2006" s="92">
        <v>210000</v>
      </c>
      <c r="G2006" s="92">
        <v>1050000</v>
      </c>
    </row>
    <row r="2007" spans="1:7" x14ac:dyDescent="0.25">
      <c r="A2007" s="7" t="s">
        <v>3262</v>
      </c>
      <c r="B2007" s="78" t="s">
        <v>510</v>
      </c>
      <c r="C2007" s="79" t="s">
        <v>15</v>
      </c>
      <c r="D2007" s="78"/>
      <c r="E2007" s="80"/>
      <c r="F2007" s="81"/>
      <c r="G2007" s="81">
        <v>15240000</v>
      </c>
    </row>
    <row r="2008" spans="1:7" x14ac:dyDescent="0.25">
      <c r="A2008" s="7" t="s">
        <v>3263</v>
      </c>
      <c r="B2008" s="89" t="s">
        <v>195</v>
      </c>
      <c r="C2008" s="90" t="s">
        <v>3264</v>
      </c>
      <c r="D2008" s="89">
        <v>12</v>
      </c>
      <c r="E2008" s="91" t="s">
        <v>25</v>
      </c>
      <c r="F2008" s="92">
        <v>1270000</v>
      </c>
      <c r="G2008" s="92">
        <v>15240000</v>
      </c>
    </row>
    <row r="2009" spans="1:7" x14ac:dyDescent="0.25">
      <c r="A2009" s="7" t="s">
        <v>3265</v>
      </c>
      <c r="B2009" s="89" t="s">
        <v>195</v>
      </c>
      <c r="C2009" s="90" t="s">
        <v>3266</v>
      </c>
      <c r="D2009" s="89">
        <v>12</v>
      </c>
      <c r="E2009" s="91" t="s">
        <v>25</v>
      </c>
      <c r="F2009" s="92">
        <v>1270000</v>
      </c>
      <c r="G2009" s="92">
        <v>15240000</v>
      </c>
    </row>
    <row r="2010" spans="1:7" ht="27.6" x14ac:dyDescent="0.25">
      <c r="A2010" s="7" t="s">
        <v>3267</v>
      </c>
      <c r="B2010" s="93" t="s">
        <v>1316</v>
      </c>
      <c r="C2010" s="94" t="s">
        <v>3268</v>
      </c>
      <c r="D2010" s="93"/>
      <c r="E2010" s="95"/>
      <c r="F2010" s="96"/>
      <c r="G2010" s="96">
        <v>500819000</v>
      </c>
    </row>
    <row r="2011" spans="1:7" ht="27.6" x14ac:dyDescent="0.25">
      <c r="A2011" s="7" t="s">
        <v>3269</v>
      </c>
      <c r="B2011" s="97" t="s">
        <v>8</v>
      </c>
      <c r="C2011" s="98" t="s">
        <v>3270</v>
      </c>
      <c r="D2011" s="97"/>
      <c r="E2011" s="99"/>
      <c r="F2011" s="100"/>
      <c r="G2011" s="100">
        <v>188850000</v>
      </c>
    </row>
    <row r="2012" spans="1:7" x14ac:dyDescent="0.25">
      <c r="A2012" s="7" t="s">
        <v>3271</v>
      </c>
      <c r="B2012" s="78" t="s">
        <v>503</v>
      </c>
      <c r="C2012" s="79" t="s">
        <v>7</v>
      </c>
      <c r="D2012" s="78"/>
      <c r="E2012" s="80"/>
      <c r="F2012" s="81"/>
      <c r="G2012" s="81">
        <v>18050000</v>
      </c>
    </row>
    <row r="2013" spans="1:7" x14ac:dyDescent="0.25">
      <c r="A2013" s="7" t="s">
        <v>3272</v>
      </c>
      <c r="B2013" s="89" t="s">
        <v>195</v>
      </c>
      <c r="C2013" s="90" t="s">
        <v>619</v>
      </c>
      <c r="D2013" s="89">
        <v>1</v>
      </c>
      <c r="E2013" s="91" t="s">
        <v>9</v>
      </c>
      <c r="F2013" s="92">
        <v>1000000</v>
      </c>
      <c r="G2013" s="92">
        <v>1000000</v>
      </c>
    </row>
    <row r="2014" spans="1:7" x14ac:dyDescent="0.25">
      <c r="A2014" s="7" t="s">
        <v>3273</v>
      </c>
      <c r="B2014" s="89" t="s">
        <v>195</v>
      </c>
      <c r="C2014" s="90" t="s">
        <v>620</v>
      </c>
      <c r="D2014" s="89">
        <v>2</v>
      </c>
      <c r="E2014" s="91" t="s">
        <v>9</v>
      </c>
      <c r="F2014" s="92">
        <v>1000000</v>
      </c>
      <c r="G2014" s="92">
        <v>2000000</v>
      </c>
    </row>
    <row r="2015" spans="1:7" x14ac:dyDescent="0.25">
      <c r="A2015" s="7" t="s">
        <v>3274</v>
      </c>
      <c r="B2015" s="89" t="s">
        <v>195</v>
      </c>
      <c r="C2015" s="90" t="s">
        <v>3275</v>
      </c>
      <c r="D2015" s="89">
        <v>14</v>
      </c>
      <c r="E2015" s="91" t="s">
        <v>10</v>
      </c>
      <c r="F2015" s="92">
        <v>75000</v>
      </c>
      <c r="G2015" s="92">
        <v>1050000</v>
      </c>
    </row>
    <row r="2016" spans="1:7" x14ac:dyDescent="0.25">
      <c r="A2016" s="7" t="s">
        <v>3276</v>
      </c>
      <c r="B2016" s="89" t="s">
        <v>195</v>
      </c>
      <c r="C2016" s="90" t="s">
        <v>3277</v>
      </c>
      <c r="D2016" s="89">
        <v>40</v>
      </c>
      <c r="E2016" s="91" t="s">
        <v>10</v>
      </c>
      <c r="F2016" s="92">
        <v>350000</v>
      </c>
      <c r="G2016" s="92">
        <v>14000000</v>
      </c>
    </row>
    <row r="2017" spans="1:7" x14ac:dyDescent="0.25">
      <c r="A2017" s="7" t="s">
        <v>3278</v>
      </c>
      <c r="B2017" s="78" t="s">
        <v>516</v>
      </c>
      <c r="C2017" s="79" t="s">
        <v>11</v>
      </c>
      <c r="D2017" s="78"/>
      <c r="E2017" s="80"/>
      <c r="F2017" s="81"/>
      <c r="G2017" s="81">
        <v>6000000</v>
      </c>
    </row>
    <row r="2018" spans="1:7" x14ac:dyDescent="0.25">
      <c r="A2018" s="7" t="s">
        <v>3279</v>
      </c>
      <c r="B2018" s="89" t="s">
        <v>195</v>
      </c>
      <c r="C2018" s="90" t="s">
        <v>3280</v>
      </c>
      <c r="D2018" s="89">
        <v>6</v>
      </c>
      <c r="E2018" s="91" t="s">
        <v>12</v>
      </c>
      <c r="F2018" s="92">
        <v>1000000</v>
      </c>
      <c r="G2018" s="92">
        <v>6000000</v>
      </c>
    </row>
    <row r="2019" spans="1:7" x14ac:dyDescent="0.25">
      <c r="A2019" s="7" t="s">
        <v>3281</v>
      </c>
      <c r="B2019" s="78" t="s">
        <v>510</v>
      </c>
      <c r="C2019" s="79" t="s">
        <v>15</v>
      </c>
      <c r="D2019" s="78"/>
      <c r="E2019" s="80"/>
      <c r="F2019" s="81"/>
      <c r="G2019" s="81">
        <v>164800000</v>
      </c>
    </row>
    <row r="2020" spans="1:7" x14ac:dyDescent="0.25">
      <c r="A2020" s="7" t="s">
        <v>3282</v>
      </c>
      <c r="B2020" s="89" t="s">
        <v>195</v>
      </c>
      <c r="C2020" s="90" t="s">
        <v>3283</v>
      </c>
      <c r="D2020" s="89">
        <v>80</v>
      </c>
      <c r="E2020" s="91" t="s">
        <v>3284</v>
      </c>
      <c r="F2020" s="92">
        <v>750000</v>
      </c>
      <c r="G2020" s="92">
        <v>60000000</v>
      </c>
    </row>
    <row r="2021" spans="1:7" x14ac:dyDescent="0.25">
      <c r="A2021" s="7" t="s">
        <v>3285</v>
      </c>
      <c r="B2021" s="89" t="s">
        <v>195</v>
      </c>
      <c r="C2021" s="90" t="s">
        <v>3286</v>
      </c>
      <c r="D2021" s="89">
        <v>21</v>
      </c>
      <c r="E2021" s="91" t="s">
        <v>10</v>
      </c>
      <c r="F2021" s="92">
        <v>400000</v>
      </c>
      <c r="G2021" s="92">
        <v>8400000</v>
      </c>
    </row>
    <row r="2022" spans="1:7" x14ac:dyDescent="0.25">
      <c r="A2022" s="7" t="s">
        <v>3287</v>
      </c>
      <c r="B2022" s="89" t="s">
        <v>195</v>
      </c>
      <c r="C2022" s="90" t="s">
        <v>3288</v>
      </c>
      <c r="D2022" s="89">
        <v>19</v>
      </c>
      <c r="E2022" s="91" t="s">
        <v>10</v>
      </c>
      <c r="F2022" s="92">
        <v>4000000</v>
      </c>
      <c r="G2022" s="92">
        <v>76000000</v>
      </c>
    </row>
    <row r="2023" spans="1:7" x14ac:dyDescent="0.25">
      <c r="A2023" s="7" t="s">
        <v>3289</v>
      </c>
      <c r="B2023" s="89" t="s">
        <v>195</v>
      </c>
      <c r="C2023" s="90" t="s">
        <v>3290</v>
      </c>
      <c r="D2023" s="89">
        <v>120</v>
      </c>
      <c r="E2023" s="91" t="s">
        <v>16</v>
      </c>
      <c r="F2023" s="92">
        <v>170000</v>
      </c>
      <c r="G2023" s="92">
        <v>20400000</v>
      </c>
    </row>
    <row r="2024" spans="1:7" x14ac:dyDescent="0.25">
      <c r="A2024" s="7" t="s">
        <v>3291</v>
      </c>
      <c r="B2024" s="97" t="s">
        <v>511</v>
      </c>
      <c r="C2024" s="98" t="s">
        <v>138</v>
      </c>
      <c r="D2024" s="97"/>
      <c r="E2024" s="99"/>
      <c r="F2024" s="100"/>
      <c r="G2024" s="100">
        <v>241969000</v>
      </c>
    </row>
    <row r="2025" spans="1:7" x14ac:dyDescent="0.25">
      <c r="A2025" s="7" t="s">
        <v>3292</v>
      </c>
      <c r="B2025" s="78" t="s">
        <v>503</v>
      </c>
      <c r="C2025" s="79" t="s">
        <v>7</v>
      </c>
      <c r="D2025" s="78"/>
      <c r="E2025" s="80"/>
      <c r="F2025" s="81"/>
      <c r="G2025" s="81">
        <v>2940000</v>
      </c>
    </row>
    <row r="2026" spans="1:7" x14ac:dyDescent="0.25">
      <c r="A2026" s="7" t="s">
        <v>3293</v>
      </c>
      <c r="B2026" s="89" t="s">
        <v>195</v>
      </c>
      <c r="C2026" s="90" t="s">
        <v>619</v>
      </c>
      <c r="D2026" s="89">
        <v>1</v>
      </c>
      <c r="E2026" s="91" t="s">
        <v>9</v>
      </c>
      <c r="F2026" s="92">
        <v>1000000</v>
      </c>
      <c r="G2026" s="92">
        <v>1000000</v>
      </c>
    </row>
    <row r="2027" spans="1:7" x14ac:dyDescent="0.25">
      <c r="A2027" s="7" t="s">
        <v>3294</v>
      </c>
      <c r="B2027" s="89" t="s">
        <v>195</v>
      </c>
      <c r="C2027" s="90" t="s">
        <v>620</v>
      </c>
      <c r="D2027" s="89">
        <v>1</v>
      </c>
      <c r="E2027" s="91" t="s">
        <v>9</v>
      </c>
      <c r="F2027" s="92">
        <v>1000000</v>
      </c>
      <c r="G2027" s="92">
        <v>1000000</v>
      </c>
    </row>
    <row r="2028" spans="1:7" x14ac:dyDescent="0.25">
      <c r="A2028" s="7" t="s">
        <v>3295</v>
      </c>
      <c r="B2028" s="89" t="s">
        <v>195</v>
      </c>
      <c r="C2028" s="90" t="s">
        <v>3296</v>
      </c>
      <c r="D2028" s="89">
        <v>1</v>
      </c>
      <c r="E2028" s="91" t="s">
        <v>9</v>
      </c>
      <c r="F2028" s="92">
        <v>500000</v>
      </c>
      <c r="G2028" s="92">
        <v>500000</v>
      </c>
    </row>
    <row r="2029" spans="1:7" x14ac:dyDescent="0.25">
      <c r="A2029" s="7" t="s">
        <v>3297</v>
      </c>
      <c r="B2029" s="89" t="s">
        <v>195</v>
      </c>
      <c r="C2029" s="90" t="s">
        <v>3298</v>
      </c>
      <c r="D2029" s="89">
        <v>20</v>
      </c>
      <c r="E2029" s="91" t="s">
        <v>10</v>
      </c>
      <c r="F2029" s="92">
        <v>22000</v>
      </c>
      <c r="G2029" s="92">
        <v>440000</v>
      </c>
    </row>
    <row r="2030" spans="1:7" x14ac:dyDescent="0.25">
      <c r="A2030" s="7" t="s">
        <v>3299</v>
      </c>
      <c r="B2030" s="78" t="s">
        <v>513</v>
      </c>
      <c r="C2030" s="79" t="s">
        <v>19</v>
      </c>
      <c r="D2030" s="78"/>
      <c r="E2030" s="80"/>
      <c r="F2030" s="81"/>
      <c r="G2030" s="81">
        <v>239029000</v>
      </c>
    </row>
    <row r="2031" spans="1:7" ht="27.6" x14ac:dyDescent="0.25">
      <c r="A2031" s="7" t="s">
        <v>3300</v>
      </c>
      <c r="B2031" s="89" t="s">
        <v>195</v>
      </c>
      <c r="C2031" s="90" t="s">
        <v>3301</v>
      </c>
      <c r="D2031" s="89">
        <v>9</v>
      </c>
      <c r="E2031" s="91" t="s">
        <v>10</v>
      </c>
      <c r="F2031" s="92">
        <v>1500000</v>
      </c>
      <c r="G2031" s="92">
        <v>13500000</v>
      </c>
    </row>
    <row r="2032" spans="1:7" ht="27.6" x14ac:dyDescent="0.25">
      <c r="A2032" s="7" t="s">
        <v>3302</v>
      </c>
      <c r="B2032" s="89" t="s">
        <v>195</v>
      </c>
      <c r="C2032" s="90" t="s">
        <v>3303</v>
      </c>
      <c r="D2032" s="89">
        <v>36</v>
      </c>
      <c r="E2032" s="91" t="s">
        <v>10</v>
      </c>
      <c r="F2032" s="92">
        <v>6265000</v>
      </c>
      <c r="G2032" s="92">
        <v>225529000</v>
      </c>
    </row>
    <row r="2033" spans="1:7" x14ac:dyDescent="0.25">
      <c r="A2033" s="7" t="s">
        <v>3304</v>
      </c>
      <c r="B2033" s="97" t="s">
        <v>512</v>
      </c>
      <c r="C2033" s="98" t="s">
        <v>137</v>
      </c>
      <c r="D2033" s="97"/>
      <c r="E2033" s="99"/>
      <c r="F2033" s="100"/>
      <c r="G2033" s="100">
        <v>8880000</v>
      </c>
    </row>
    <row r="2034" spans="1:7" x14ac:dyDescent="0.25">
      <c r="A2034" s="7" t="s">
        <v>3305</v>
      </c>
      <c r="B2034" s="78" t="s">
        <v>503</v>
      </c>
      <c r="C2034" s="79" t="s">
        <v>7</v>
      </c>
      <c r="D2034" s="78"/>
      <c r="E2034" s="80"/>
      <c r="F2034" s="81"/>
      <c r="G2034" s="81">
        <v>8880000</v>
      </c>
    </row>
    <row r="2035" spans="1:7" x14ac:dyDescent="0.25">
      <c r="A2035" s="7" t="s">
        <v>3306</v>
      </c>
      <c r="B2035" s="89" t="s">
        <v>195</v>
      </c>
      <c r="C2035" s="90" t="s">
        <v>619</v>
      </c>
      <c r="D2035" s="89">
        <v>4</v>
      </c>
      <c r="E2035" s="91" t="s">
        <v>9</v>
      </c>
      <c r="F2035" s="92">
        <v>1000000</v>
      </c>
      <c r="G2035" s="92">
        <v>4000000</v>
      </c>
    </row>
    <row r="2036" spans="1:7" x14ac:dyDescent="0.25">
      <c r="A2036" s="7" t="s">
        <v>3307</v>
      </c>
      <c r="B2036" s="89" t="s">
        <v>195</v>
      </c>
      <c r="C2036" s="90" t="s">
        <v>620</v>
      </c>
      <c r="D2036" s="89">
        <v>4</v>
      </c>
      <c r="E2036" s="91" t="s">
        <v>9</v>
      </c>
      <c r="F2036" s="92">
        <v>1000000</v>
      </c>
      <c r="G2036" s="92">
        <v>4000000</v>
      </c>
    </row>
    <row r="2037" spans="1:7" x14ac:dyDescent="0.25">
      <c r="A2037" s="7" t="s">
        <v>3308</v>
      </c>
      <c r="B2037" s="89" t="s">
        <v>195</v>
      </c>
      <c r="C2037" s="90" t="s">
        <v>3309</v>
      </c>
      <c r="D2037" s="89">
        <v>40</v>
      </c>
      <c r="E2037" s="91" t="s">
        <v>10</v>
      </c>
      <c r="F2037" s="92">
        <v>22000</v>
      </c>
      <c r="G2037" s="92">
        <v>880000</v>
      </c>
    </row>
    <row r="2038" spans="1:7" x14ac:dyDescent="0.25">
      <c r="A2038" s="7" t="s">
        <v>3310</v>
      </c>
      <c r="B2038" s="97" t="s">
        <v>514</v>
      </c>
      <c r="C2038" s="98" t="s">
        <v>3311</v>
      </c>
      <c r="D2038" s="97"/>
      <c r="E2038" s="99"/>
      <c r="F2038" s="100"/>
      <c r="G2038" s="100">
        <v>61120000</v>
      </c>
    </row>
    <row r="2039" spans="1:7" x14ac:dyDescent="0.25">
      <c r="A2039" s="7" t="s">
        <v>3312</v>
      </c>
      <c r="B2039" s="78" t="s">
        <v>503</v>
      </c>
      <c r="C2039" s="79" t="s">
        <v>7</v>
      </c>
      <c r="D2039" s="78"/>
      <c r="E2039" s="80"/>
      <c r="F2039" s="81"/>
      <c r="G2039" s="81">
        <v>2000000</v>
      </c>
    </row>
    <row r="2040" spans="1:7" x14ac:dyDescent="0.25">
      <c r="A2040" s="7" t="s">
        <v>3313</v>
      </c>
      <c r="B2040" s="89" t="s">
        <v>195</v>
      </c>
      <c r="C2040" s="90" t="s">
        <v>619</v>
      </c>
      <c r="D2040" s="89">
        <v>1</v>
      </c>
      <c r="E2040" s="91" t="s">
        <v>9</v>
      </c>
      <c r="F2040" s="92">
        <v>1000000</v>
      </c>
      <c r="G2040" s="92">
        <v>1000000</v>
      </c>
    </row>
    <row r="2041" spans="1:7" x14ac:dyDescent="0.25">
      <c r="A2041" s="7" t="s">
        <v>3314</v>
      </c>
      <c r="B2041" s="89" t="s">
        <v>195</v>
      </c>
      <c r="C2041" s="90" t="s">
        <v>620</v>
      </c>
      <c r="D2041" s="89">
        <v>1</v>
      </c>
      <c r="E2041" s="91" t="s">
        <v>9</v>
      </c>
      <c r="F2041" s="92">
        <v>1000000</v>
      </c>
      <c r="G2041" s="92">
        <v>1000000</v>
      </c>
    </row>
    <row r="2042" spans="1:7" x14ac:dyDescent="0.25">
      <c r="A2042" s="7" t="s">
        <v>3315</v>
      </c>
      <c r="B2042" s="78" t="s">
        <v>513</v>
      </c>
      <c r="C2042" s="79" t="s">
        <v>19</v>
      </c>
      <c r="D2042" s="78"/>
      <c r="E2042" s="80"/>
      <c r="F2042" s="81"/>
      <c r="G2042" s="81">
        <v>59120000</v>
      </c>
    </row>
    <row r="2043" spans="1:7" x14ac:dyDescent="0.25">
      <c r="A2043" s="7" t="s">
        <v>3316</v>
      </c>
      <c r="B2043" s="89" t="s">
        <v>195</v>
      </c>
      <c r="C2043" s="90" t="s">
        <v>3317</v>
      </c>
      <c r="D2043" s="89">
        <v>10</v>
      </c>
      <c r="E2043" s="91" t="s">
        <v>10</v>
      </c>
      <c r="F2043" s="92">
        <v>5912000</v>
      </c>
      <c r="G2043" s="92">
        <v>59120000</v>
      </c>
    </row>
    <row r="2044" spans="1:7" ht="27.6" x14ac:dyDescent="0.25">
      <c r="A2044" s="7" t="s">
        <v>3318</v>
      </c>
      <c r="B2044" s="93" t="s">
        <v>833</v>
      </c>
      <c r="C2044" s="94" t="s">
        <v>3319</v>
      </c>
      <c r="D2044" s="93"/>
      <c r="E2044" s="95"/>
      <c r="F2044" s="96"/>
      <c r="G2044" s="96">
        <v>289920000</v>
      </c>
    </row>
    <row r="2045" spans="1:7" x14ac:dyDescent="0.25">
      <c r="A2045" s="7" t="s">
        <v>3320</v>
      </c>
      <c r="B2045" s="97" t="s">
        <v>8</v>
      </c>
      <c r="C2045" s="98" t="s">
        <v>143</v>
      </c>
      <c r="D2045" s="97"/>
      <c r="E2045" s="99"/>
      <c r="F2045" s="100"/>
      <c r="G2045" s="100">
        <v>40700000</v>
      </c>
    </row>
    <row r="2046" spans="1:7" x14ac:dyDescent="0.25">
      <c r="A2046" s="7" t="s">
        <v>3321</v>
      </c>
      <c r="B2046" s="78" t="s">
        <v>503</v>
      </c>
      <c r="C2046" s="79" t="s">
        <v>7</v>
      </c>
      <c r="D2046" s="78"/>
      <c r="E2046" s="80"/>
      <c r="F2046" s="81"/>
      <c r="G2046" s="81">
        <v>23900000</v>
      </c>
    </row>
    <row r="2047" spans="1:7" x14ac:dyDescent="0.25">
      <c r="A2047" s="7" t="s">
        <v>3322</v>
      </c>
      <c r="B2047" s="89" t="s">
        <v>195</v>
      </c>
      <c r="C2047" s="90" t="s">
        <v>617</v>
      </c>
      <c r="D2047" s="89">
        <v>5</v>
      </c>
      <c r="E2047" s="91" t="s">
        <v>9</v>
      </c>
      <c r="F2047" s="92">
        <v>1500000</v>
      </c>
      <c r="G2047" s="92">
        <v>7500000</v>
      </c>
    </row>
    <row r="2048" spans="1:7" x14ac:dyDescent="0.25">
      <c r="A2048" s="7" t="s">
        <v>3323</v>
      </c>
      <c r="B2048" s="89" t="s">
        <v>195</v>
      </c>
      <c r="C2048" s="90" t="s">
        <v>2745</v>
      </c>
      <c r="D2048" s="89">
        <v>20</v>
      </c>
      <c r="E2048" s="91" t="s">
        <v>10</v>
      </c>
      <c r="F2048" s="92">
        <v>70000</v>
      </c>
      <c r="G2048" s="92">
        <v>1400000</v>
      </c>
    </row>
    <row r="2049" spans="1:7" x14ac:dyDescent="0.25">
      <c r="A2049" s="7" t="s">
        <v>3324</v>
      </c>
      <c r="B2049" s="89" t="s">
        <v>195</v>
      </c>
      <c r="C2049" s="90" t="s">
        <v>619</v>
      </c>
      <c r="D2049" s="89">
        <v>6</v>
      </c>
      <c r="E2049" s="91" t="s">
        <v>106</v>
      </c>
      <c r="F2049" s="92">
        <v>1000000</v>
      </c>
      <c r="G2049" s="92">
        <v>6000000</v>
      </c>
    </row>
    <row r="2050" spans="1:7" x14ac:dyDescent="0.25">
      <c r="A2050" s="7" t="s">
        <v>3325</v>
      </c>
      <c r="B2050" s="89" t="s">
        <v>195</v>
      </c>
      <c r="C2050" s="90" t="s">
        <v>620</v>
      </c>
      <c r="D2050" s="89">
        <v>6</v>
      </c>
      <c r="E2050" s="91" t="s">
        <v>106</v>
      </c>
      <c r="F2050" s="92">
        <v>1500000</v>
      </c>
      <c r="G2050" s="92">
        <v>9000000</v>
      </c>
    </row>
    <row r="2051" spans="1:7" x14ac:dyDescent="0.25">
      <c r="A2051" s="7" t="s">
        <v>3326</v>
      </c>
      <c r="B2051" s="78" t="s">
        <v>513</v>
      </c>
      <c r="C2051" s="79" t="s">
        <v>19</v>
      </c>
      <c r="D2051" s="78"/>
      <c r="E2051" s="80"/>
      <c r="F2051" s="81"/>
      <c r="G2051" s="81">
        <v>15000000</v>
      </c>
    </row>
    <row r="2052" spans="1:7" x14ac:dyDescent="0.25">
      <c r="A2052" s="7" t="s">
        <v>3327</v>
      </c>
      <c r="B2052" s="89" t="s">
        <v>195</v>
      </c>
      <c r="C2052" s="90" t="s">
        <v>3328</v>
      </c>
      <c r="D2052" s="89">
        <v>5</v>
      </c>
      <c r="E2052" s="91" t="s">
        <v>10</v>
      </c>
      <c r="F2052" s="92">
        <v>3000000</v>
      </c>
      <c r="G2052" s="92">
        <v>15000000</v>
      </c>
    </row>
    <row r="2053" spans="1:7" x14ac:dyDescent="0.25">
      <c r="A2053" s="7" t="s">
        <v>3329</v>
      </c>
      <c r="B2053" s="78" t="s">
        <v>507</v>
      </c>
      <c r="C2053" s="79" t="s">
        <v>13</v>
      </c>
      <c r="D2053" s="78"/>
      <c r="E2053" s="80"/>
      <c r="F2053" s="81"/>
      <c r="G2053" s="81">
        <v>1800000</v>
      </c>
    </row>
    <row r="2054" spans="1:7" x14ac:dyDescent="0.25">
      <c r="A2054" s="7" t="s">
        <v>3330</v>
      </c>
      <c r="B2054" s="89" t="s">
        <v>195</v>
      </c>
      <c r="C2054" s="90" t="s">
        <v>622</v>
      </c>
      <c r="D2054" s="89">
        <v>12</v>
      </c>
      <c r="E2054" s="91" t="s">
        <v>10</v>
      </c>
      <c r="F2054" s="92">
        <v>150000</v>
      </c>
      <c r="G2054" s="92">
        <v>1800000</v>
      </c>
    </row>
    <row r="2055" spans="1:7" ht="27.6" x14ac:dyDescent="0.25">
      <c r="A2055" s="7" t="s">
        <v>3331</v>
      </c>
      <c r="B2055" s="97" t="s">
        <v>511</v>
      </c>
      <c r="C2055" s="98" t="s">
        <v>144</v>
      </c>
      <c r="D2055" s="97"/>
      <c r="E2055" s="99"/>
      <c r="F2055" s="100"/>
      <c r="G2055" s="100">
        <v>30900000</v>
      </c>
    </row>
    <row r="2056" spans="1:7" x14ac:dyDescent="0.25">
      <c r="A2056" s="7" t="s">
        <v>3332</v>
      </c>
      <c r="B2056" s="78" t="s">
        <v>503</v>
      </c>
      <c r="C2056" s="79" t="s">
        <v>7</v>
      </c>
      <c r="D2056" s="78"/>
      <c r="E2056" s="80"/>
      <c r="F2056" s="81"/>
      <c r="G2056" s="81">
        <v>11400000</v>
      </c>
    </row>
    <row r="2057" spans="1:7" x14ac:dyDescent="0.25">
      <c r="A2057" s="7" t="s">
        <v>3333</v>
      </c>
      <c r="B2057" s="89" t="s">
        <v>195</v>
      </c>
      <c r="C2057" s="90" t="s">
        <v>620</v>
      </c>
      <c r="D2057" s="89">
        <v>4</v>
      </c>
      <c r="E2057" s="91" t="s">
        <v>9</v>
      </c>
      <c r="F2057" s="92">
        <v>1500000</v>
      </c>
      <c r="G2057" s="92">
        <v>6000000</v>
      </c>
    </row>
    <row r="2058" spans="1:7" x14ac:dyDescent="0.25">
      <c r="A2058" s="7" t="s">
        <v>3334</v>
      </c>
      <c r="B2058" s="89" t="s">
        <v>195</v>
      </c>
      <c r="C2058" s="90" t="s">
        <v>2745</v>
      </c>
      <c r="D2058" s="89">
        <v>20</v>
      </c>
      <c r="E2058" s="91" t="s">
        <v>10</v>
      </c>
      <c r="F2058" s="92">
        <v>70000</v>
      </c>
      <c r="G2058" s="92">
        <v>1400000</v>
      </c>
    </row>
    <row r="2059" spans="1:7" x14ac:dyDescent="0.25">
      <c r="A2059" s="7" t="s">
        <v>3335</v>
      </c>
      <c r="B2059" s="89" t="s">
        <v>195</v>
      </c>
      <c r="C2059" s="90" t="s">
        <v>619</v>
      </c>
      <c r="D2059" s="89">
        <v>4</v>
      </c>
      <c r="E2059" s="91" t="s">
        <v>106</v>
      </c>
      <c r="F2059" s="92">
        <v>1000000</v>
      </c>
      <c r="G2059" s="92">
        <v>4000000</v>
      </c>
    </row>
    <row r="2060" spans="1:7" x14ac:dyDescent="0.25">
      <c r="A2060" s="7" t="s">
        <v>3336</v>
      </c>
      <c r="B2060" s="78" t="s">
        <v>513</v>
      </c>
      <c r="C2060" s="79" t="s">
        <v>19</v>
      </c>
      <c r="D2060" s="78"/>
      <c r="E2060" s="80"/>
      <c r="F2060" s="81"/>
      <c r="G2060" s="81">
        <v>18000000</v>
      </c>
    </row>
    <row r="2061" spans="1:7" x14ac:dyDescent="0.25">
      <c r="A2061" s="7" t="s">
        <v>3337</v>
      </c>
      <c r="B2061" s="89" t="s">
        <v>195</v>
      </c>
      <c r="C2061" s="90" t="s">
        <v>3328</v>
      </c>
      <c r="D2061" s="89">
        <v>6</v>
      </c>
      <c r="E2061" s="91" t="s">
        <v>10</v>
      </c>
      <c r="F2061" s="92">
        <v>3000000</v>
      </c>
      <c r="G2061" s="92">
        <v>18000000</v>
      </c>
    </row>
    <row r="2062" spans="1:7" x14ac:dyDescent="0.25">
      <c r="A2062" s="7" t="s">
        <v>3338</v>
      </c>
      <c r="B2062" s="78" t="s">
        <v>507</v>
      </c>
      <c r="C2062" s="79" t="s">
        <v>13</v>
      </c>
      <c r="D2062" s="78"/>
      <c r="E2062" s="80"/>
      <c r="F2062" s="81"/>
      <c r="G2062" s="81">
        <v>1500000</v>
      </c>
    </row>
    <row r="2063" spans="1:7" x14ac:dyDescent="0.25">
      <c r="A2063" s="7" t="s">
        <v>3339</v>
      </c>
      <c r="B2063" s="89" t="s">
        <v>195</v>
      </c>
      <c r="C2063" s="90" t="s">
        <v>630</v>
      </c>
      <c r="D2063" s="89">
        <v>10</v>
      </c>
      <c r="E2063" s="91" t="s">
        <v>10</v>
      </c>
      <c r="F2063" s="92">
        <v>150000</v>
      </c>
      <c r="G2063" s="92">
        <v>1500000</v>
      </c>
    </row>
    <row r="2064" spans="1:7" x14ac:dyDescent="0.25">
      <c r="A2064" s="7" t="s">
        <v>3340</v>
      </c>
      <c r="B2064" s="97" t="s">
        <v>512</v>
      </c>
      <c r="C2064" s="98" t="s">
        <v>145</v>
      </c>
      <c r="D2064" s="97"/>
      <c r="E2064" s="99"/>
      <c r="F2064" s="100"/>
      <c r="G2064" s="100">
        <v>26500000</v>
      </c>
    </row>
    <row r="2065" spans="1:7" x14ac:dyDescent="0.25">
      <c r="A2065" s="7" t="s">
        <v>3341</v>
      </c>
      <c r="B2065" s="78" t="s">
        <v>503</v>
      </c>
      <c r="C2065" s="79" t="s">
        <v>7</v>
      </c>
      <c r="D2065" s="78"/>
      <c r="E2065" s="80"/>
      <c r="F2065" s="81"/>
      <c r="G2065" s="81">
        <v>10000000</v>
      </c>
    </row>
    <row r="2066" spans="1:7" x14ac:dyDescent="0.25">
      <c r="A2066" s="7" t="s">
        <v>3342</v>
      </c>
      <c r="B2066" s="89" t="s">
        <v>195</v>
      </c>
      <c r="C2066" s="90" t="s">
        <v>620</v>
      </c>
      <c r="D2066" s="89">
        <v>4</v>
      </c>
      <c r="E2066" s="91" t="s">
        <v>9</v>
      </c>
      <c r="F2066" s="92">
        <v>1500000</v>
      </c>
      <c r="G2066" s="92">
        <v>6000000</v>
      </c>
    </row>
    <row r="2067" spans="1:7" x14ac:dyDescent="0.25">
      <c r="A2067" s="7" t="s">
        <v>3343</v>
      </c>
      <c r="B2067" s="89" t="s">
        <v>195</v>
      </c>
      <c r="C2067" s="90" t="s">
        <v>619</v>
      </c>
      <c r="D2067" s="89">
        <v>4</v>
      </c>
      <c r="E2067" s="91" t="s">
        <v>106</v>
      </c>
      <c r="F2067" s="92">
        <v>1000000</v>
      </c>
      <c r="G2067" s="92">
        <v>4000000</v>
      </c>
    </row>
    <row r="2068" spans="1:7" x14ac:dyDescent="0.25">
      <c r="A2068" s="7" t="s">
        <v>3344</v>
      </c>
      <c r="B2068" s="78" t="s">
        <v>513</v>
      </c>
      <c r="C2068" s="79" t="s">
        <v>19</v>
      </c>
      <c r="D2068" s="78"/>
      <c r="E2068" s="80"/>
      <c r="F2068" s="81"/>
      <c r="G2068" s="81">
        <v>15000000</v>
      </c>
    </row>
    <row r="2069" spans="1:7" x14ac:dyDescent="0.25">
      <c r="A2069" s="7" t="s">
        <v>3345</v>
      </c>
      <c r="B2069" s="89" t="s">
        <v>195</v>
      </c>
      <c r="C2069" s="90" t="s">
        <v>3346</v>
      </c>
      <c r="D2069" s="89">
        <v>5</v>
      </c>
      <c r="E2069" s="91" t="s">
        <v>10</v>
      </c>
      <c r="F2069" s="92">
        <v>3000000</v>
      </c>
      <c r="G2069" s="92">
        <v>15000000</v>
      </c>
    </row>
    <row r="2070" spans="1:7" x14ac:dyDescent="0.25">
      <c r="A2070" s="7" t="s">
        <v>3347</v>
      </c>
      <c r="B2070" s="78" t="s">
        <v>507</v>
      </c>
      <c r="C2070" s="79" t="s">
        <v>13</v>
      </c>
      <c r="D2070" s="78"/>
      <c r="E2070" s="80"/>
      <c r="F2070" s="81"/>
      <c r="G2070" s="81">
        <v>1500000</v>
      </c>
    </row>
    <row r="2071" spans="1:7" x14ac:dyDescent="0.25">
      <c r="A2071" s="7" t="s">
        <v>3348</v>
      </c>
      <c r="B2071" s="89" t="s">
        <v>195</v>
      </c>
      <c r="C2071" s="90" t="s">
        <v>630</v>
      </c>
      <c r="D2071" s="89">
        <v>10</v>
      </c>
      <c r="E2071" s="91" t="s">
        <v>10</v>
      </c>
      <c r="F2071" s="92">
        <v>150000</v>
      </c>
      <c r="G2071" s="92">
        <v>1500000</v>
      </c>
    </row>
    <row r="2072" spans="1:7" x14ac:dyDescent="0.25">
      <c r="A2072" s="7" t="s">
        <v>3349</v>
      </c>
      <c r="B2072" s="97" t="s">
        <v>514</v>
      </c>
      <c r="C2072" s="98" t="s">
        <v>3350</v>
      </c>
      <c r="D2072" s="97"/>
      <c r="E2072" s="99"/>
      <c r="F2072" s="100"/>
      <c r="G2072" s="100">
        <v>86700000</v>
      </c>
    </row>
    <row r="2073" spans="1:7" x14ac:dyDescent="0.25">
      <c r="A2073" s="7" t="s">
        <v>3351</v>
      </c>
      <c r="B2073" s="78" t="s">
        <v>503</v>
      </c>
      <c r="C2073" s="79" t="s">
        <v>7</v>
      </c>
      <c r="D2073" s="78"/>
      <c r="E2073" s="80"/>
      <c r="F2073" s="81"/>
      <c r="G2073" s="81">
        <v>32400000</v>
      </c>
    </row>
    <row r="2074" spans="1:7" x14ac:dyDescent="0.25">
      <c r="A2074" s="7" t="s">
        <v>3352</v>
      </c>
      <c r="B2074" s="89" t="s">
        <v>195</v>
      </c>
      <c r="C2074" s="90" t="s">
        <v>620</v>
      </c>
      <c r="D2074" s="89">
        <v>6</v>
      </c>
      <c r="E2074" s="91" t="s">
        <v>9</v>
      </c>
      <c r="F2074" s="92">
        <v>1500000</v>
      </c>
      <c r="G2074" s="92">
        <v>9000000</v>
      </c>
    </row>
    <row r="2075" spans="1:7" x14ac:dyDescent="0.25">
      <c r="A2075" s="7" t="s">
        <v>3353</v>
      </c>
      <c r="B2075" s="89" t="s">
        <v>195</v>
      </c>
      <c r="C2075" s="90" t="s">
        <v>2745</v>
      </c>
      <c r="D2075" s="89">
        <v>20</v>
      </c>
      <c r="E2075" s="91" t="s">
        <v>10</v>
      </c>
      <c r="F2075" s="92">
        <v>70000</v>
      </c>
      <c r="G2075" s="92">
        <v>1400000</v>
      </c>
    </row>
    <row r="2076" spans="1:7" x14ac:dyDescent="0.25">
      <c r="A2076" s="7" t="s">
        <v>3354</v>
      </c>
      <c r="B2076" s="89" t="s">
        <v>195</v>
      </c>
      <c r="C2076" s="90" t="s">
        <v>3355</v>
      </c>
      <c r="D2076" s="89">
        <v>28</v>
      </c>
      <c r="E2076" s="91" t="s">
        <v>176</v>
      </c>
      <c r="F2076" s="92">
        <v>500000</v>
      </c>
      <c r="G2076" s="92">
        <v>14000000</v>
      </c>
    </row>
    <row r="2077" spans="1:7" x14ac:dyDescent="0.25">
      <c r="A2077" s="7" t="s">
        <v>3356</v>
      </c>
      <c r="B2077" s="89" t="s">
        <v>195</v>
      </c>
      <c r="C2077" s="90" t="s">
        <v>3357</v>
      </c>
      <c r="D2077" s="89">
        <v>4</v>
      </c>
      <c r="E2077" s="91" t="s">
        <v>58</v>
      </c>
      <c r="F2077" s="92">
        <v>500000</v>
      </c>
      <c r="G2077" s="92">
        <v>2000000</v>
      </c>
    </row>
    <row r="2078" spans="1:7" x14ac:dyDescent="0.25">
      <c r="A2078" s="7" t="s">
        <v>3358</v>
      </c>
      <c r="B2078" s="89" t="s">
        <v>195</v>
      </c>
      <c r="C2078" s="90" t="s">
        <v>619</v>
      </c>
      <c r="D2078" s="89">
        <v>6</v>
      </c>
      <c r="E2078" s="91" t="s">
        <v>106</v>
      </c>
      <c r="F2078" s="92">
        <v>1000000</v>
      </c>
      <c r="G2078" s="92">
        <v>6000000</v>
      </c>
    </row>
    <row r="2079" spans="1:7" x14ac:dyDescent="0.25">
      <c r="A2079" s="7" t="s">
        <v>3359</v>
      </c>
      <c r="B2079" s="78" t="s">
        <v>516</v>
      </c>
      <c r="C2079" s="79" t="s">
        <v>11</v>
      </c>
      <c r="D2079" s="78"/>
      <c r="E2079" s="80"/>
      <c r="F2079" s="81"/>
      <c r="G2079" s="81">
        <v>9000000</v>
      </c>
    </row>
    <row r="2080" spans="1:7" x14ac:dyDescent="0.25">
      <c r="A2080" s="7" t="s">
        <v>3360</v>
      </c>
      <c r="B2080" s="89" t="s">
        <v>195</v>
      </c>
      <c r="C2080" s="90" t="s">
        <v>774</v>
      </c>
      <c r="D2080" s="89">
        <v>10</v>
      </c>
      <c r="E2080" s="91" t="s">
        <v>12</v>
      </c>
      <c r="F2080" s="92">
        <v>900000</v>
      </c>
      <c r="G2080" s="92">
        <v>9000000</v>
      </c>
    </row>
    <row r="2081" spans="1:7" x14ac:dyDescent="0.25">
      <c r="A2081" s="7" t="s">
        <v>3361</v>
      </c>
      <c r="B2081" s="78" t="s">
        <v>513</v>
      </c>
      <c r="C2081" s="79" t="s">
        <v>19</v>
      </c>
      <c r="D2081" s="78"/>
      <c r="E2081" s="80"/>
      <c r="F2081" s="81"/>
      <c r="G2081" s="81">
        <v>42000000</v>
      </c>
    </row>
    <row r="2082" spans="1:7" ht="27.6" x14ac:dyDescent="0.25">
      <c r="A2082" s="7" t="s">
        <v>3362</v>
      </c>
      <c r="B2082" s="89" t="s">
        <v>195</v>
      </c>
      <c r="C2082" s="90" t="s">
        <v>3363</v>
      </c>
      <c r="D2082" s="89">
        <v>14</v>
      </c>
      <c r="E2082" s="91" t="s">
        <v>10</v>
      </c>
      <c r="F2082" s="92">
        <v>3000000</v>
      </c>
      <c r="G2082" s="92">
        <v>42000000</v>
      </c>
    </row>
    <row r="2083" spans="1:7" x14ac:dyDescent="0.25">
      <c r="A2083" s="7" t="s">
        <v>3364</v>
      </c>
      <c r="B2083" s="78" t="s">
        <v>507</v>
      </c>
      <c r="C2083" s="79" t="s">
        <v>13</v>
      </c>
      <c r="D2083" s="78"/>
      <c r="E2083" s="80"/>
      <c r="F2083" s="81"/>
      <c r="G2083" s="81">
        <v>3300000</v>
      </c>
    </row>
    <row r="2084" spans="1:7" ht="27.6" x14ac:dyDescent="0.25">
      <c r="A2084" s="7" t="s">
        <v>3365</v>
      </c>
      <c r="B2084" s="89" t="s">
        <v>195</v>
      </c>
      <c r="C2084" s="90" t="s">
        <v>3366</v>
      </c>
      <c r="D2084" s="89">
        <v>22</v>
      </c>
      <c r="E2084" s="91" t="s">
        <v>10</v>
      </c>
      <c r="F2084" s="92">
        <v>150000</v>
      </c>
      <c r="G2084" s="92">
        <v>3300000</v>
      </c>
    </row>
    <row r="2085" spans="1:7" x14ac:dyDescent="0.25">
      <c r="A2085" s="7" t="s">
        <v>3367</v>
      </c>
      <c r="B2085" s="97" t="s">
        <v>519</v>
      </c>
      <c r="C2085" s="98" t="s">
        <v>146</v>
      </c>
      <c r="D2085" s="97"/>
      <c r="E2085" s="99"/>
      <c r="F2085" s="100"/>
      <c r="G2085" s="100">
        <v>28800000</v>
      </c>
    </row>
    <row r="2086" spans="1:7" x14ac:dyDescent="0.25">
      <c r="A2086" s="7" t="s">
        <v>3368</v>
      </c>
      <c r="B2086" s="78" t="s">
        <v>503</v>
      </c>
      <c r="C2086" s="79" t="s">
        <v>7</v>
      </c>
      <c r="D2086" s="78"/>
      <c r="E2086" s="80"/>
      <c r="F2086" s="81"/>
      <c r="G2086" s="81">
        <v>15000000</v>
      </c>
    </row>
    <row r="2087" spans="1:7" x14ac:dyDescent="0.25">
      <c r="A2087" s="7" t="s">
        <v>3369</v>
      </c>
      <c r="B2087" s="89" t="s">
        <v>195</v>
      </c>
      <c r="C2087" s="90" t="s">
        <v>620</v>
      </c>
      <c r="D2087" s="89">
        <v>6</v>
      </c>
      <c r="E2087" s="91" t="s">
        <v>9</v>
      </c>
      <c r="F2087" s="92">
        <v>1500000</v>
      </c>
      <c r="G2087" s="92">
        <v>9000000</v>
      </c>
    </row>
    <row r="2088" spans="1:7" x14ac:dyDescent="0.25">
      <c r="A2088" s="7" t="s">
        <v>3370</v>
      </c>
      <c r="B2088" s="89" t="s">
        <v>195</v>
      </c>
      <c r="C2088" s="90" t="s">
        <v>619</v>
      </c>
      <c r="D2088" s="89">
        <v>6</v>
      </c>
      <c r="E2088" s="91" t="s">
        <v>106</v>
      </c>
      <c r="F2088" s="92">
        <v>1000000</v>
      </c>
      <c r="G2088" s="92">
        <v>6000000</v>
      </c>
    </row>
    <row r="2089" spans="1:7" x14ac:dyDescent="0.25">
      <c r="A2089" s="7" t="s">
        <v>3371</v>
      </c>
      <c r="B2089" s="78" t="s">
        <v>513</v>
      </c>
      <c r="C2089" s="79" t="s">
        <v>19</v>
      </c>
      <c r="D2089" s="78"/>
      <c r="E2089" s="80"/>
      <c r="F2089" s="81"/>
      <c r="G2089" s="81">
        <v>12000000</v>
      </c>
    </row>
    <row r="2090" spans="1:7" x14ac:dyDescent="0.25">
      <c r="A2090" s="7" t="s">
        <v>3372</v>
      </c>
      <c r="B2090" s="89" t="s">
        <v>195</v>
      </c>
      <c r="C2090" s="90" t="s">
        <v>3373</v>
      </c>
      <c r="D2090" s="89">
        <v>4</v>
      </c>
      <c r="E2090" s="91" t="s">
        <v>10</v>
      </c>
      <c r="F2090" s="92">
        <v>3000000</v>
      </c>
      <c r="G2090" s="92">
        <v>12000000</v>
      </c>
    </row>
    <row r="2091" spans="1:7" x14ac:dyDescent="0.25">
      <c r="A2091" s="7" t="s">
        <v>3374</v>
      </c>
      <c r="B2091" s="78" t="s">
        <v>507</v>
      </c>
      <c r="C2091" s="79" t="s">
        <v>13</v>
      </c>
      <c r="D2091" s="78"/>
      <c r="E2091" s="80"/>
      <c r="F2091" s="81"/>
      <c r="G2091" s="81">
        <v>1800000</v>
      </c>
    </row>
    <row r="2092" spans="1:7" x14ac:dyDescent="0.25">
      <c r="A2092" s="7" t="s">
        <v>3375</v>
      </c>
      <c r="B2092" s="89" t="s">
        <v>195</v>
      </c>
      <c r="C2092" s="90" t="s">
        <v>3376</v>
      </c>
      <c r="D2092" s="89">
        <v>12</v>
      </c>
      <c r="E2092" s="91" t="s">
        <v>10</v>
      </c>
      <c r="F2092" s="92">
        <v>150000</v>
      </c>
      <c r="G2092" s="92">
        <v>1800000</v>
      </c>
    </row>
    <row r="2093" spans="1:7" ht="27.6" x14ac:dyDescent="0.25">
      <c r="A2093" s="7" t="s">
        <v>3377</v>
      </c>
      <c r="B2093" s="97" t="s">
        <v>578</v>
      </c>
      <c r="C2093" s="98" t="s">
        <v>147</v>
      </c>
      <c r="D2093" s="97"/>
      <c r="E2093" s="99"/>
      <c r="F2093" s="100"/>
      <c r="G2093" s="100">
        <v>76320000</v>
      </c>
    </row>
    <row r="2094" spans="1:7" x14ac:dyDescent="0.25">
      <c r="A2094" s="7" t="s">
        <v>3378</v>
      </c>
      <c r="B2094" s="78" t="s">
        <v>503</v>
      </c>
      <c r="C2094" s="79" t="s">
        <v>7</v>
      </c>
      <c r="D2094" s="78"/>
      <c r="E2094" s="80"/>
      <c r="F2094" s="81"/>
      <c r="G2094" s="81">
        <v>4800000</v>
      </c>
    </row>
    <row r="2095" spans="1:7" x14ac:dyDescent="0.25">
      <c r="A2095" s="7" t="s">
        <v>3379</v>
      </c>
      <c r="B2095" s="89" t="s">
        <v>195</v>
      </c>
      <c r="C2095" s="90" t="s">
        <v>3380</v>
      </c>
      <c r="D2095" s="89">
        <v>24</v>
      </c>
      <c r="E2095" s="91" t="s">
        <v>176</v>
      </c>
      <c r="F2095" s="92">
        <v>200000</v>
      </c>
      <c r="G2095" s="92">
        <v>4800000</v>
      </c>
    </row>
    <row r="2096" spans="1:7" x14ac:dyDescent="0.25">
      <c r="A2096" s="7" t="s">
        <v>3381</v>
      </c>
      <c r="B2096" s="78" t="s">
        <v>537</v>
      </c>
      <c r="C2096" s="79" t="s">
        <v>64</v>
      </c>
      <c r="D2096" s="78"/>
      <c r="E2096" s="80"/>
      <c r="F2096" s="81"/>
      <c r="G2096" s="81">
        <v>25000000</v>
      </c>
    </row>
    <row r="2097" spans="1:7" x14ac:dyDescent="0.25">
      <c r="A2097" s="7" t="s">
        <v>3382</v>
      </c>
      <c r="B2097" s="89" t="s">
        <v>195</v>
      </c>
      <c r="C2097" s="90" t="s">
        <v>620</v>
      </c>
      <c r="D2097" s="89">
        <v>10</v>
      </c>
      <c r="E2097" s="91" t="s">
        <v>9</v>
      </c>
      <c r="F2097" s="92">
        <v>1500000</v>
      </c>
      <c r="G2097" s="92">
        <v>15000000</v>
      </c>
    </row>
    <row r="2098" spans="1:7" x14ac:dyDescent="0.25">
      <c r="A2098" s="7" t="s">
        <v>3383</v>
      </c>
      <c r="B2098" s="89" t="s">
        <v>195</v>
      </c>
      <c r="C2098" s="90" t="s">
        <v>619</v>
      </c>
      <c r="D2098" s="89">
        <v>10</v>
      </c>
      <c r="E2098" s="91" t="s">
        <v>2749</v>
      </c>
      <c r="F2098" s="92">
        <v>1000000</v>
      </c>
      <c r="G2098" s="92">
        <v>10000000</v>
      </c>
    </row>
    <row r="2099" spans="1:7" x14ac:dyDescent="0.25">
      <c r="A2099" s="7" t="s">
        <v>3384</v>
      </c>
      <c r="B2099" s="78" t="s">
        <v>513</v>
      </c>
      <c r="C2099" s="79" t="s">
        <v>19</v>
      </c>
      <c r="D2099" s="78"/>
      <c r="E2099" s="80"/>
      <c r="F2099" s="81"/>
      <c r="G2099" s="81">
        <v>42770000</v>
      </c>
    </row>
    <row r="2100" spans="1:7" x14ac:dyDescent="0.25">
      <c r="A2100" s="7" t="s">
        <v>3385</v>
      </c>
      <c r="B2100" s="89" t="s">
        <v>195</v>
      </c>
      <c r="C2100" s="90" t="s">
        <v>3386</v>
      </c>
      <c r="D2100" s="89">
        <v>14</v>
      </c>
      <c r="E2100" s="91" t="s">
        <v>10</v>
      </c>
      <c r="F2100" s="92">
        <v>3055000</v>
      </c>
      <c r="G2100" s="92">
        <v>42770000</v>
      </c>
    </row>
    <row r="2101" spans="1:7" x14ac:dyDescent="0.25">
      <c r="A2101" s="7" t="s">
        <v>3387</v>
      </c>
      <c r="B2101" s="78" t="s">
        <v>507</v>
      </c>
      <c r="C2101" s="79" t="s">
        <v>13</v>
      </c>
      <c r="D2101" s="78"/>
      <c r="E2101" s="80"/>
      <c r="F2101" s="81"/>
      <c r="G2101" s="81">
        <v>3750000</v>
      </c>
    </row>
    <row r="2102" spans="1:7" x14ac:dyDescent="0.25">
      <c r="A2102" s="7" t="s">
        <v>3388</v>
      </c>
      <c r="B2102" s="89" t="s">
        <v>195</v>
      </c>
      <c r="C2102" s="90" t="s">
        <v>638</v>
      </c>
      <c r="D2102" s="89">
        <v>25</v>
      </c>
      <c r="E2102" s="91" t="s">
        <v>10</v>
      </c>
      <c r="F2102" s="92">
        <v>150000</v>
      </c>
      <c r="G2102" s="92">
        <v>3750000</v>
      </c>
    </row>
    <row r="2103" spans="1:7" x14ac:dyDescent="0.25">
      <c r="A2103" s="7" t="s">
        <v>3389</v>
      </c>
      <c r="B2103" s="89" t="s">
        <v>3390</v>
      </c>
      <c r="C2103" s="90" t="s">
        <v>3391</v>
      </c>
      <c r="D2103" s="89"/>
      <c r="E2103" s="91"/>
      <c r="F2103" s="92"/>
      <c r="G2103" s="92">
        <v>1000000000</v>
      </c>
    </row>
    <row r="2104" spans="1:7" ht="27.6" x14ac:dyDescent="0.25">
      <c r="A2104" s="7" t="s">
        <v>3392</v>
      </c>
      <c r="B2104" s="93" t="s">
        <v>826</v>
      </c>
      <c r="C2104" s="94" t="s">
        <v>3393</v>
      </c>
      <c r="D2104" s="93"/>
      <c r="E2104" s="95"/>
      <c r="F2104" s="96"/>
      <c r="G2104" s="96">
        <v>1000000000</v>
      </c>
    </row>
    <row r="2105" spans="1:7" ht="27.6" x14ac:dyDescent="0.25">
      <c r="A2105" s="7" t="s">
        <v>3394</v>
      </c>
      <c r="B2105" s="97" t="s">
        <v>8</v>
      </c>
      <c r="C2105" s="98" t="s">
        <v>133</v>
      </c>
      <c r="D2105" s="97"/>
      <c r="E2105" s="99"/>
      <c r="F2105" s="100"/>
      <c r="G2105" s="100">
        <v>176950000</v>
      </c>
    </row>
    <row r="2106" spans="1:7" x14ac:dyDescent="0.25">
      <c r="A2106" s="7" t="s">
        <v>3395</v>
      </c>
      <c r="B2106" s="78" t="s">
        <v>503</v>
      </c>
      <c r="C2106" s="79" t="s">
        <v>7</v>
      </c>
      <c r="D2106" s="78"/>
      <c r="E2106" s="80"/>
      <c r="F2106" s="81"/>
      <c r="G2106" s="81">
        <v>2950000</v>
      </c>
    </row>
    <row r="2107" spans="1:7" x14ac:dyDescent="0.25">
      <c r="A2107" s="7" t="s">
        <v>3396</v>
      </c>
      <c r="B2107" s="89" t="s">
        <v>195</v>
      </c>
      <c r="C2107" s="90" t="s">
        <v>1276</v>
      </c>
      <c r="D2107" s="89">
        <v>2</v>
      </c>
      <c r="E2107" s="91" t="s">
        <v>106</v>
      </c>
      <c r="F2107" s="92">
        <v>1475000</v>
      </c>
      <c r="G2107" s="92">
        <v>2950000</v>
      </c>
    </row>
    <row r="2108" spans="1:7" x14ac:dyDescent="0.25">
      <c r="A2108" s="7" t="s">
        <v>3397</v>
      </c>
      <c r="B2108" s="78" t="s">
        <v>537</v>
      </c>
      <c r="C2108" s="79" t="s">
        <v>64</v>
      </c>
      <c r="D2108" s="78"/>
      <c r="E2108" s="80"/>
      <c r="F2108" s="81"/>
      <c r="G2108" s="81">
        <v>24000000</v>
      </c>
    </row>
    <row r="2109" spans="1:7" x14ac:dyDescent="0.25">
      <c r="A2109" s="7" t="s">
        <v>3398</v>
      </c>
      <c r="B2109" s="89" t="s">
        <v>195</v>
      </c>
      <c r="C2109" s="90" t="s">
        <v>619</v>
      </c>
      <c r="D2109" s="89">
        <v>12</v>
      </c>
      <c r="E2109" s="91" t="s">
        <v>106</v>
      </c>
      <c r="F2109" s="92">
        <v>1000000</v>
      </c>
      <c r="G2109" s="92">
        <v>12000000</v>
      </c>
    </row>
    <row r="2110" spans="1:7" x14ac:dyDescent="0.25">
      <c r="A2110" s="7" t="s">
        <v>3399</v>
      </c>
      <c r="B2110" s="89" t="s">
        <v>195</v>
      </c>
      <c r="C2110" s="90" t="s">
        <v>620</v>
      </c>
      <c r="D2110" s="89">
        <v>12</v>
      </c>
      <c r="E2110" s="91" t="s">
        <v>106</v>
      </c>
      <c r="F2110" s="92">
        <v>1000000</v>
      </c>
      <c r="G2110" s="92">
        <v>12000000</v>
      </c>
    </row>
    <row r="2111" spans="1:7" x14ac:dyDescent="0.25">
      <c r="A2111" s="7" t="s">
        <v>3400</v>
      </c>
      <c r="B2111" s="78" t="s">
        <v>513</v>
      </c>
      <c r="C2111" s="79" t="s">
        <v>19</v>
      </c>
      <c r="D2111" s="78"/>
      <c r="E2111" s="80"/>
      <c r="F2111" s="81"/>
      <c r="G2111" s="81">
        <v>150000000</v>
      </c>
    </row>
    <row r="2112" spans="1:7" x14ac:dyDescent="0.25">
      <c r="A2112" s="7" t="s">
        <v>3401</v>
      </c>
      <c r="B2112" s="89" t="s">
        <v>195</v>
      </c>
      <c r="C2112" s="90" t="s">
        <v>3402</v>
      </c>
      <c r="D2112" s="89">
        <v>30</v>
      </c>
      <c r="E2112" s="91" t="s">
        <v>73</v>
      </c>
      <c r="F2112" s="92">
        <v>5000000</v>
      </c>
      <c r="G2112" s="92">
        <v>150000000</v>
      </c>
    </row>
    <row r="2113" spans="1:7" x14ac:dyDescent="0.25">
      <c r="A2113" s="7" t="s">
        <v>3403</v>
      </c>
      <c r="B2113" s="97" t="s">
        <v>511</v>
      </c>
      <c r="C2113" s="98" t="s">
        <v>3404</v>
      </c>
      <c r="D2113" s="97"/>
      <c r="E2113" s="99"/>
      <c r="F2113" s="100"/>
      <c r="G2113" s="100">
        <v>197800000</v>
      </c>
    </row>
    <row r="2114" spans="1:7" x14ac:dyDescent="0.25">
      <c r="A2114" s="7" t="s">
        <v>3405</v>
      </c>
      <c r="B2114" s="78" t="s">
        <v>503</v>
      </c>
      <c r="C2114" s="79" t="s">
        <v>7</v>
      </c>
      <c r="D2114" s="78"/>
      <c r="E2114" s="80"/>
      <c r="F2114" s="81"/>
      <c r="G2114" s="81">
        <v>12000000</v>
      </c>
    </row>
    <row r="2115" spans="1:7" x14ac:dyDescent="0.25">
      <c r="A2115" s="7" t="s">
        <v>3406</v>
      </c>
      <c r="B2115" s="89" t="s">
        <v>195</v>
      </c>
      <c r="C2115" s="90" t="s">
        <v>3407</v>
      </c>
      <c r="D2115" s="89">
        <v>12</v>
      </c>
      <c r="E2115" s="91" t="s">
        <v>180</v>
      </c>
      <c r="F2115" s="92">
        <v>1000000</v>
      </c>
      <c r="G2115" s="92">
        <v>12000000</v>
      </c>
    </row>
    <row r="2116" spans="1:7" x14ac:dyDescent="0.25">
      <c r="A2116" s="7" t="s">
        <v>3408</v>
      </c>
      <c r="B2116" s="78" t="s">
        <v>537</v>
      </c>
      <c r="C2116" s="79" t="s">
        <v>64</v>
      </c>
      <c r="D2116" s="78"/>
      <c r="E2116" s="80"/>
      <c r="F2116" s="81"/>
      <c r="G2116" s="81">
        <v>24000000</v>
      </c>
    </row>
    <row r="2117" spans="1:7" x14ac:dyDescent="0.25">
      <c r="A2117" s="7" t="s">
        <v>3409</v>
      </c>
      <c r="B2117" s="89" t="s">
        <v>195</v>
      </c>
      <c r="C2117" s="90" t="s">
        <v>619</v>
      </c>
      <c r="D2117" s="89">
        <v>12</v>
      </c>
      <c r="E2117" s="91" t="s">
        <v>106</v>
      </c>
      <c r="F2117" s="92">
        <v>1000000</v>
      </c>
      <c r="G2117" s="92">
        <v>12000000</v>
      </c>
    </row>
    <row r="2118" spans="1:7" x14ac:dyDescent="0.25">
      <c r="A2118" s="7" t="s">
        <v>3410</v>
      </c>
      <c r="B2118" s="89" t="s">
        <v>195</v>
      </c>
      <c r="C2118" s="90" t="s">
        <v>620</v>
      </c>
      <c r="D2118" s="89">
        <v>12</v>
      </c>
      <c r="E2118" s="91" t="s">
        <v>106</v>
      </c>
      <c r="F2118" s="92">
        <v>1000000</v>
      </c>
      <c r="G2118" s="92">
        <v>12000000</v>
      </c>
    </row>
    <row r="2119" spans="1:7" x14ac:dyDescent="0.25">
      <c r="A2119" s="7" t="s">
        <v>3411</v>
      </c>
      <c r="B2119" s="78" t="s">
        <v>516</v>
      </c>
      <c r="C2119" s="79" t="s">
        <v>11</v>
      </c>
      <c r="D2119" s="78"/>
      <c r="E2119" s="80"/>
      <c r="F2119" s="81"/>
      <c r="G2119" s="81">
        <v>21600000</v>
      </c>
    </row>
    <row r="2120" spans="1:7" ht="27.6" x14ac:dyDescent="0.25">
      <c r="A2120" s="7" t="s">
        <v>3412</v>
      </c>
      <c r="B2120" s="89" t="s">
        <v>195</v>
      </c>
      <c r="C2120" s="90" t="s">
        <v>3413</v>
      </c>
      <c r="D2120" s="89">
        <v>24</v>
      </c>
      <c r="E2120" s="91" t="s">
        <v>54</v>
      </c>
      <c r="F2120" s="92">
        <v>900000</v>
      </c>
      <c r="G2120" s="92">
        <v>21600000</v>
      </c>
    </row>
    <row r="2121" spans="1:7" x14ac:dyDescent="0.25">
      <c r="A2121" s="7" t="s">
        <v>3414</v>
      </c>
      <c r="B2121" s="78" t="s">
        <v>513</v>
      </c>
      <c r="C2121" s="79" t="s">
        <v>19</v>
      </c>
      <c r="D2121" s="78"/>
      <c r="E2121" s="80"/>
      <c r="F2121" s="81"/>
      <c r="G2121" s="81">
        <v>115000000</v>
      </c>
    </row>
    <row r="2122" spans="1:7" ht="27.6" x14ac:dyDescent="0.25">
      <c r="A2122" s="7" t="s">
        <v>3415</v>
      </c>
      <c r="B2122" s="89" t="s">
        <v>195</v>
      </c>
      <c r="C2122" s="90" t="s">
        <v>3416</v>
      </c>
      <c r="D2122" s="89">
        <v>7</v>
      </c>
      <c r="E2122" s="91" t="s">
        <v>25</v>
      </c>
      <c r="F2122" s="92">
        <v>5000000</v>
      </c>
      <c r="G2122" s="92">
        <v>35000000</v>
      </c>
    </row>
    <row r="2123" spans="1:7" x14ac:dyDescent="0.25">
      <c r="A2123" s="7" t="s">
        <v>3417</v>
      </c>
      <c r="B2123" s="89" t="s">
        <v>195</v>
      </c>
      <c r="C2123" s="90" t="s">
        <v>3418</v>
      </c>
      <c r="D2123" s="89">
        <v>8</v>
      </c>
      <c r="E2123" s="91" t="s">
        <v>25</v>
      </c>
      <c r="F2123" s="92">
        <v>5000000</v>
      </c>
      <c r="G2123" s="92">
        <v>40000000</v>
      </c>
    </row>
    <row r="2124" spans="1:7" ht="27.6" x14ac:dyDescent="0.25">
      <c r="A2124" s="7" t="s">
        <v>3419</v>
      </c>
      <c r="B2124" s="89" t="s">
        <v>195</v>
      </c>
      <c r="C2124" s="90" t="s">
        <v>3420</v>
      </c>
      <c r="D2124" s="89">
        <v>8</v>
      </c>
      <c r="E2124" s="91" t="s">
        <v>25</v>
      </c>
      <c r="F2124" s="92">
        <v>5000000</v>
      </c>
      <c r="G2124" s="92">
        <v>40000000</v>
      </c>
    </row>
    <row r="2125" spans="1:7" x14ac:dyDescent="0.25">
      <c r="A2125" s="7" t="s">
        <v>3421</v>
      </c>
      <c r="B2125" s="78" t="s">
        <v>509</v>
      </c>
      <c r="C2125" s="79" t="s">
        <v>14</v>
      </c>
      <c r="D2125" s="78"/>
      <c r="E2125" s="80"/>
      <c r="F2125" s="81"/>
      <c r="G2125" s="81">
        <v>25200000</v>
      </c>
    </row>
    <row r="2126" spans="1:7" x14ac:dyDescent="0.25">
      <c r="A2126" s="7" t="s">
        <v>3422</v>
      </c>
      <c r="B2126" s="89" t="s">
        <v>195</v>
      </c>
      <c r="C2126" s="90" t="s">
        <v>3423</v>
      </c>
      <c r="D2126" s="89">
        <v>70</v>
      </c>
      <c r="E2126" s="91" t="s">
        <v>73</v>
      </c>
      <c r="F2126" s="92">
        <v>210000</v>
      </c>
      <c r="G2126" s="92">
        <v>14700000</v>
      </c>
    </row>
    <row r="2127" spans="1:7" x14ac:dyDescent="0.25">
      <c r="A2127" s="7" t="s">
        <v>3424</v>
      </c>
      <c r="B2127" s="89" t="s">
        <v>195</v>
      </c>
      <c r="C2127" s="90" t="s">
        <v>3425</v>
      </c>
      <c r="D2127" s="89">
        <v>70</v>
      </c>
      <c r="E2127" s="91" t="s">
        <v>73</v>
      </c>
      <c r="F2127" s="92">
        <v>150000</v>
      </c>
      <c r="G2127" s="92">
        <v>10500000</v>
      </c>
    </row>
    <row r="2128" spans="1:7" ht="27.6" x14ac:dyDescent="0.25">
      <c r="A2128" s="7" t="s">
        <v>3426</v>
      </c>
      <c r="B2128" s="97" t="s">
        <v>512</v>
      </c>
      <c r="C2128" s="98" t="s">
        <v>3427</v>
      </c>
      <c r="D2128" s="97"/>
      <c r="E2128" s="99"/>
      <c r="F2128" s="100"/>
      <c r="G2128" s="100">
        <v>126000000</v>
      </c>
    </row>
    <row r="2129" spans="1:7" x14ac:dyDescent="0.25">
      <c r="A2129" s="7" t="s">
        <v>3428</v>
      </c>
      <c r="B2129" s="78" t="s">
        <v>503</v>
      </c>
      <c r="C2129" s="79" t="s">
        <v>7</v>
      </c>
      <c r="D2129" s="78"/>
      <c r="E2129" s="80"/>
      <c r="F2129" s="81"/>
      <c r="G2129" s="81">
        <v>2000000</v>
      </c>
    </row>
    <row r="2130" spans="1:7" x14ac:dyDescent="0.25">
      <c r="A2130" s="7" t="s">
        <v>3429</v>
      </c>
      <c r="B2130" s="89" t="s">
        <v>195</v>
      </c>
      <c r="C2130" s="90" t="s">
        <v>1276</v>
      </c>
      <c r="D2130" s="89">
        <v>2</v>
      </c>
      <c r="E2130" s="91" t="s">
        <v>106</v>
      </c>
      <c r="F2130" s="92">
        <v>1000000</v>
      </c>
      <c r="G2130" s="92">
        <v>2000000</v>
      </c>
    </row>
    <row r="2131" spans="1:7" x14ac:dyDescent="0.25">
      <c r="A2131" s="7" t="s">
        <v>3430</v>
      </c>
      <c r="B2131" s="78" t="s">
        <v>537</v>
      </c>
      <c r="C2131" s="79" t="s">
        <v>64</v>
      </c>
      <c r="D2131" s="78"/>
      <c r="E2131" s="80"/>
      <c r="F2131" s="81"/>
      <c r="G2131" s="81">
        <v>24000000</v>
      </c>
    </row>
    <row r="2132" spans="1:7" x14ac:dyDescent="0.25">
      <c r="A2132" s="7" t="s">
        <v>3431</v>
      </c>
      <c r="B2132" s="89" t="s">
        <v>195</v>
      </c>
      <c r="C2132" s="90" t="s">
        <v>619</v>
      </c>
      <c r="D2132" s="89">
        <v>12</v>
      </c>
      <c r="E2132" s="91" t="s">
        <v>106</v>
      </c>
      <c r="F2132" s="92">
        <v>1000000</v>
      </c>
      <c r="G2132" s="92">
        <v>12000000</v>
      </c>
    </row>
    <row r="2133" spans="1:7" x14ac:dyDescent="0.25">
      <c r="A2133" s="7" t="s">
        <v>3432</v>
      </c>
      <c r="B2133" s="89" t="s">
        <v>195</v>
      </c>
      <c r="C2133" s="90" t="s">
        <v>620</v>
      </c>
      <c r="D2133" s="89">
        <v>12</v>
      </c>
      <c r="E2133" s="91" t="s">
        <v>106</v>
      </c>
      <c r="F2133" s="92">
        <v>1000000</v>
      </c>
      <c r="G2133" s="92">
        <v>12000000</v>
      </c>
    </row>
    <row r="2134" spans="1:7" x14ac:dyDescent="0.25">
      <c r="A2134" s="7" t="s">
        <v>3433</v>
      </c>
      <c r="B2134" s="78" t="s">
        <v>513</v>
      </c>
      <c r="C2134" s="79" t="s">
        <v>19</v>
      </c>
      <c r="D2134" s="78"/>
      <c r="E2134" s="80"/>
      <c r="F2134" s="81"/>
      <c r="G2134" s="81">
        <v>100000000</v>
      </c>
    </row>
    <row r="2135" spans="1:7" x14ac:dyDescent="0.25">
      <c r="A2135" s="7" t="s">
        <v>3434</v>
      </c>
      <c r="B2135" s="89" t="s">
        <v>195</v>
      </c>
      <c r="C2135" s="90" t="s">
        <v>3435</v>
      </c>
      <c r="D2135" s="89">
        <v>20</v>
      </c>
      <c r="E2135" s="91" t="s">
        <v>25</v>
      </c>
      <c r="F2135" s="92">
        <v>5000000</v>
      </c>
      <c r="G2135" s="92">
        <v>100000000</v>
      </c>
    </row>
    <row r="2136" spans="1:7" x14ac:dyDescent="0.25">
      <c r="A2136" s="7" t="s">
        <v>3436</v>
      </c>
      <c r="B2136" s="97" t="s">
        <v>514</v>
      </c>
      <c r="C2136" s="98" t="s">
        <v>3437</v>
      </c>
      <c r="D2136" s="97"/>
      <c r="E2136" s="99"/>
      <c r="F2136" s="100"/>
      <c r="G2136" s="100">
        <v>127000000</v>
      </c>
    </row>
    <row r="2137" spans="1:7" x14ac:dyDescent="0.25">
      <c r="A2137" s="7" t="s">
        <v>3438</v>
      </c>
      <c r="B2137" s="78" t="s">
        <v>503</v>
      </c>
      <c r="C2137" s="79" t="s">
        <v>7</v>
      </c>
      <c r="D2137" s="78"/>
      <c r="E2137" s="80"/>
      <c r="F2137" s="81"/>
      <c r="G2137" s="81">
        <v>3000000</v>
      </c>
    </row>
    <row r="2138" spans="1:7" x14ac:dyDescent="0.25">
      <c r="A2138" s="7" t="s">
        <v>3439</v>
      </c>
      <c r="B2138" s="89" t="s">
        <v>195</v>
      </c>
      <c r="C2138" s="90" t="s">
        <v>1276</v>
      </c>
      <c r="D2138" s="89">
        <v>2</v>
      </c>
      <c r="E2138" s="91" t="s">
        <v>106</v>
      </c>
      <c r="F2138" s="92">
        <v>1500000</v>
      </c>
      <c r="G2138" s="92">
        <v>3000000</v>
      </c>
    </row>
    <row r="2139" spans="1:7" x14ac:dyDescent="0.25">
      <c r="A2139" s="7" t="s">
        <v>3440</v>
      </c>
      <c r="B2139" s="78" t="s">
        <v>537</v>
      </c>
      <c r="C2139" s="79" t="s">
        <v>64</v>
      </c>
      <c r="D2139" s="78"/>
      <c r="E2139" s="80"/>
      <c r="F2139" s="81"/>
      <c r="G2139" s="81">
        <v>24000000</v>
      </c>
    </row>
    <row r="2140" spans="1:7" x14ac:dyDescent="0.25">
      <c r="A2140" s="7" t="s">
        <v>3441</v>
      </c>
      <c r="B2140" s="89" t="s">
        <v>195</v>
      </c>
      <c r="C2140" s="90" t="s">
        <v>619</v>
      </c>
      <c r="D2140" s="89">
        <v>12</v>
      </c>
      <c r="E2140" s="91" t="s">
        <v>106</v>
      </c>
      <c r="F2140" s="92">
        <v>1000000</v>
      </c>
      <c r="G2140" s="92">
        <v>12000000</v>
      </c>
    </row>
    <row r="2141" spans="1:7" x14ac:dyDescent="0.25">
      <c r="A2141" s="7" t="s">
        <v>3442</v>
      </c>
      <c r="B2141" s="89" t="s">
        <v>195</v>
      </c>
      <c r="C2141" s="90" t="s">
        <v>620</v>
      </c>
      <c r="D2141" s="89">
        <v>12</v>
      </c>
      <c r="E2141" s="91" t="s">
        <v>106</v>
      </c>
      <c r="F2141" s="92">
        <v>1000000</v>
      </c>
      <c r="G2141" s="92">
        <v>12000000</v>
      </c>
    </row>
    <row r="2142" spans="1:7" x14ac:dyDescent="0.25">
      <c r="A2142" s="7" t="s">
        <v>3443</v>
      </c>
      <c r="B2142" s="78" t="s">
        <v>513</v>
      </c>
      <c r="C2142" s="79" t="s">
        <v>19</v>
      </c>
      <c r="D2142" s="78"/>
      <c r="E2142" s="80"/>
      <c r="F2142" s="81"/>
      <c r="G2142" s="81">
        <v>100000000</v>
      </c>
    </row>
    <row r="2143" spans="1:7" ht="27.6" x14ac:dyDescent="0.25">
      <c r="A2143" s="7" t="s">
        <v>3444</v>
      </c>
      <c r="B2143" s="89" t="s">
        <v>195</v>
      </c>
      <c r="C2143" s="90" t="s">
        <v>3445</v>
      </c>
      <c r="D2143" s="89">
        <v>20</v>
      </c>
      <c r="E2143" s="91" t="s">
        <v>25</v>
      </c>
      <c r="F2143" s="92">
        <v>5000000</v>
      </c>
      <c r="G2143" s="92">
        <v>100000000</v>
      </c>
    </row>
    <row r="2144" spans="1:7" x14ac:dyDescent="0.25">
      <c r="A2144" s="7" t="s">
        <v>3446</v>
      </c>
      <c r="B2144" s="97" t="s">
        <v>519</v>
      </c>
      <c r="C2144" s="98" t="s">
        <v>135</v>
      </c>
      <c r="D2144" s="97"/>
      <c r="E2144" s="99"/>
      <c r="F2144" s="100"/>
      <c r="G2144" s="100">
        <v>372250000</v>
      </c>
    </row>
    <row r="2145" spans="1:7" x14ac:dyDescent="0.25">
      <c r="A2145" s="7" t="s">
        <v>3447</v>
      </c>
      <c r="B2145" s="78" t="s">
        <v>503</v>
      </c>
      <c r="C2145" s="79" t="s">
        <v>7</v>
      </c>
      <c r="D2145" s="78"/>
      <c r="E2145" s="80"/>
      <c r="F2145" s="81"/>
      <c r="G2145" s="81">
        <v>6000000</v>
      </c>
    </row>
    <row r="2146" spans="1:7" x14ac:dyDescent="0.25">
      <c r="A2146" s="7" t="s">
        <v>3448</v>
      </c>
      <c r="B2146" s="89" t="s">
        <v>195</v>
      </c>
      <c r="C2146" s="90" t="s">
        <v>619</v>
      </c>
      <c r="D2146" s="89">
        <v>1</v>
      </c>
      <c r="E2146" s="91" t="s">
        <v>106</v>
      </c>
      <c r="F2146" s="92">
        <v>1000000</v>
      </c>
      <c r="G2146" s="92">
        <v>1000000</v>
      </c>
    </row>
    <row r="2147" spans="1:7" x14ac:dyDescent="0.25">
      <c r="A2147" s="7" t="s">
        <v>3449</v>
      </c>
      <c r="B2147" s="89" t="s">
        <v>195</v>
      </c>
      <c r="C2147" s="90" t="s">
        <v>620</v>
      </c>
      <c r="D2147" s="89">
        <v>1</v>
      </c>
      <c r="E2147" s="91" t="s">
        <v>106</v>
      </c>
      <c r="F2147" s="92">
        <v>1000000</v>
      </c>
      <c r="G2147" s="92">
        <v>1000000</v>
      </c>
    </row>
    <row r="2148" spans="1:7" x14ac:dyDescent="0.25">
      <c r="A2148" s="7" t="s">
        <v>3450</v>
      </c>
      <c r="B2148" s="89" t="s">
        <v>195</v>
      </c>
      <c r="C2148" s="90" t="s">
        <v>2591</v>
      </c>
      <c r="D2148" s="89">
        <v>1</v>
      </c>
      <c r="E2148" s="91" t="s">
        <v>180</v>
      </c>
      <c r="F2148" s="92">
        <v>1000000</v>
      </c>
      <c r="G2148" s="92">
        <v>1000000</v>
      </c>
    </row>
    <row r="2149" spans="1:7" x14ac:dyDescent="0.25">
      <c r="A2149" s="7" t="s">
        <v>3451</v>
      </c>
      <c r="B2149" s="89" t="s">
        <v>195</v>
      </c>
      <c r="C2149" s="90" t="s">
        <v>1276</v>
      </c>
      <c r="D2149" s="89">
        <v>3</v>
      </c>
      <c r="E2149" s="91" t="s">
        <v>180</v>
      </c>
      <c r="F2149" s="92">
        <v>1000000</v>
      </c>
      <c r="G2149" s="92">
        <v>3000000</v>
      </c>
    </row>
    <row r="2150" spans="1:7" x14ac:dyDescent="0.25">
      <c r="A2150" s="7" t="s">
        <v>3452</v>
      </c>
      <c r="B2150" s="78" t="s">
        <v>517</v>
      </c>
      <c r="C2150" s="79" t="s">
        <v>22</v>
      </c>
      <c r="D2150" s="78"/>
      <c r="E2150" s="80"/>
      <c r="F2150" s="81"/>
      <c r="G2150" s="81">
        <v>175000000</v>
      </c>
    </row>
    <row r="2151" spans="1:7" x14ac:dyDescent="0.25">
      <c r="A2151" s="7" t="s">
        <v>3453</v>
      </c>
      <c r="B2151" s="89" t="s">
        <v>195</v>
      </c>
      <c r="C2151" s="90" t="s">
        <v>3454</v>
      </c>
      <c r="D2151" s="89">
        <v>500</v>
      </c>
      <c r="E2151" s="91" t="s">
        <v>136</v>
      </c>
      <c r="F2151" s="92">
        <v>350000</v>
      </c>
      <c r="G2151" s="92">
        <v>175000000</v>
      </c>
    </row>
    <row r="2152" spans="1:7" x14ac:dyDescent="0.25">
      <c r="A2152" s="7" t="s">
        <v>3455</v>
      </c>
      <c r="B2152" s="78" t="s">
        <v>510</v>
      </c>
      <c r="C2152" s="79" t="s">
        <v>15</v>
      </c>
      <c r="D2152" s="78"/>
      <c r="E2152" s="80"/>
      <c r="F2152" s="81"/>
      <c r="G2152" s="81">
        <v>191250000</v>
      </c>
    </row>
    <row r="2153" spans="1:7" x14ac:dyDescent="0.25">
      <c r="A2153" s="7" t="s">
        <v>3456</v>
      </c>
      <c r="B2153" s="89" t="s">
        <v>195</v>
      </c>
      <c r="C2153" s="90" t="s">
        <v>3457</v>
      </c>
      <c r="D2153" s="89">
        <v>1125</v>
      </c>
      <c r="E2153" s="91" t="s">
        <v>73</v>
      </c>
      <c r="F2153" s="92">
        <v>150000</v>
      </c>
      <c r="G2153" s="92">
        <v>168750000</v>
      </c>
    </row>
    <row r="2154" spans="1:7" x14ac:dyDescent="0.25">
      <c r="A2154" s="7" t="s">
        <v>3458</v>
      </c>
      <c r="B2154" s="89" t="s">
        <v>195</v>
      </c>
      <c r="C2154" s="90" t="s">
        <v>3459</v>
      </c>
      <c r="D2154" s="89">
        <v>150</v>
      </c>
      <c r="E2154" s="91" t="s">
        <v>73</v>
      </c>
      <c r="F2154" s="92">
        <v>150000</v>
      </c>
      <c r="G2154" s="92">
        <v>22500000</v>
      </c>
    </row>
    <row r="2155" spans="1:7" x14ac:dyDescent="0.25">
      <c r="A2155" s="7" t="s">
        <v>3460</v>
      </c>
      <c r="B2155" s="101" t="s">
        <v>3461</v>
      </c>
      <c r="C2155" s="102" t="s">
        <v>3462</v>
      </c>
      <c r="D2155" s="101"/>
      <c r="E2155" s="103"/>
      <c r="F2155" s="104"/>
      <c r="G2155" s="104">
        <v>80000000</v>
      </c>
    </row>
    <row r="2156" spans="1:7" ht="27.6" x14ac:dyDescent="0.25">
      <c r="A2156" s="7" t="s">
        <v>3463</v>
      </c>
      <c r="B2156" s="89" t="s">
        <v>3464</v>
      </c>
      <c r="C2156" s="90" t="s">
        <v>3465</v>
      </c>
      <c r="D2156" s="89"/>
      <c r="E2156" s="91"/>
      <c r="F2156" s="92"/>
      <c r="G2156" s="92">
        <v>80000000</v>
      </c>
    </row>
    <row r="2157" spans="1:7" ht="41.4" x14ac:dyDescent="0.25">
      <c r="A2157" s="7" t="s">
        <v>3466</v>
      </c>
      <c r="B2157" s="93" t="s">
        <v>1119</v>
      </c>
      <c r="C2157" s="94" t="s">
        <v>3467</v>
      </c>
      <c r="D2157" s="93"/>
      <c r="E2157" s="95"/>
      <c r="F2157" s="96"/>
      <c r="G2157" s="96">
        <v>80000000</v>
      </c>
    </row>
    <row r="2158" spans="1:7" x14ac:dyDescent="0.25">
      <c r="A2158" s="7" t="s">
        <v>3468</v>
      </c>
      <c r="B2158" s="97" t="s">
        <v>8</v>
      </c>
      <c r="C2158" s="98" t="s">
        <v>3469</v>
      </c>
      <c r="D2158" s="97"/>
      <c r="E2158" s="99"/>
      <c r="F2158" s="100"/>
      <c r="G2158" s="100">
        <v>80000000</v>
      </c>
    </row>
    <row r="2159" spans="1:7" x14ac:dyDescent="0.25">
      <c r="A2159" s="7" t="s">
        <v>3470</v>
      </c>
      <c r="B2159" s="78" t="s">
        <v>517</v>
      </c>
      <c r="C2159" s="79" t="s">
        <v>22</v>
      </c>
      <c r="D2159" s="78"/>
      <c r="E2159" s="80"/>
      <c r="F2159" s="81"/>
      <c r="G2159" s="81">
        <v>80000000</v>
      </c>
    </row>
    <row r="2160" spans="1:7" x14ac:dyDescent="0.25">
      <c r="A2160" s="7" t="s">
        <v>3471</v>
      </c>
      <c r="B2160" s="89" t="s">
        <v>195</v>
      </c>
      <c r="C2160" s="90" t="s">
        <v>3472</v>
      </c>
      <c r="D2160" s="89">
        <v>2</v>
      </c>
      <c r="E2160" s="91" t="s">
        <v>106</v>
      </c>
      <c r="F2160" s="92">
        <v>40000000</v>
      </c>
      <c r="G2160" s="92">
        <v>80000000</v>
      </c>
    </row>
    <row r="2161" spans="1:7" x14ac:dyDescent="0.25">
      <c r="A2161" s="7" t="s">
        <v>495</v>
      </c>
      <c r="B2161" s="105" t="s">
        <v>198</v>
      </c>
      <c r="C2161" s="106" t="s">
        <v>188</v>
      </c>
      <c r="D2161" s="105"/>
      <c r="E2161" s="107"/>
      <c r="F2161" s="108"/>
      <c r="G2161" s="108">
        <v>8582500000</v>
      </c>
    </row>
    <row r="2162" spans="1:7" x14ac:dyDescent="0.25">
      <c r="A2162" s="7" t="s">
        <v>3473</v>
      </c>
      <c r="B2162" s="101" t="s">
        <v>3474</v>
      </c>
      <c r="C2162" s="102" t="s">
        <v>2312</v>
      </c>
      <c r="D2162" s="101"/>
      <c r="E2162" s="103"/>
      <c r="F2162" s="104"/>
      <c r="G2162" s="104">
        <v>8582500000</v>
      </c>
    </row>
    <row r="2163" spans="1:7" x14ac:dyDescent="0.25">
      <c r="A2163" s="7" t="s">
        <v>3475</v>
      </c>
      <c r="B2163" s="89" t="s">
        <v>3476</v>
      </c>
      <c r="C2163" s="90" t="s">
        <v>3477</v>
      </c>
      <c r="D2163" s="89"/>
      <c r="E2163" s="91"/>
      <c r="F2163" s="92"/>
      <c r="G2163" s="92">
        <v>8582500000</v>
      </c>
    </row>
    <row r="2164" spans="1:7" x14ac:dyDescent="0.25">
      <c r="A2164" s="7" t="s">
        <v>3478</v>
      </c>
      <c r="B2164" s="93" t="s">
        <v>833</v>
      </c>
      <c r="C2164" s="94" t="s">
        <v>189</v>
      </c>
      <c r="D2164" s="93"/>
      <c r="E2164" s="95"/>
      <c r="F2164" s="96"/>
      <c r="G2164" s="96">
        <v>8473300000</v>
      </c>
    </row>
    <row r="2165" spans="1:7" x14ac:dyDescent="0.25">
      <c r="A2165" s="7" t="s">
        <v>3479</v>
      </c>
      <c r="B2165" s="97" t="s">
        <v>8</v>
      </c>
      <c r="C2165" s="98" t="s">
        <v>190</v>
      </c>
      <c r="D2165" s="97"/>
      <c r="E2165" s="99"/>
      <c r="F2165" s="100"/>
      <c r="G2165" s="100">
        <v>1713564000</v>
      </c>
    </row>
    <row r="2166" spans="1:7" x14ac:dyDescent="0.25">
      <c r="A2166" s="7" t="s">
        <v>3480</v>
      </c>
      <c r="B2166" s="78" t="s">
        <v>503</v>
      </c>
      <c r="C2166" s="79" t="s">
        <v>7</v>
      </c>
      <c r="D2166" s="78"/>
      <c r="E2166" s="80"/>
      <c r="F2166" s="81"/>
      <c r="G2166" s="81">
        <v>99100000</v>
      </c>
    </row>
    <row r="2167" spans="1:7" x14ac:dyDescent="0.25">
      <c r="A2167" s="7" t="s">
        <v>3481</v>
      </c>
      <c r="B2167" s="89" t="s">
        <v>195</v>
      </c>
      <c r="C2167" s="90" t="s">
        <v>2745</v>
      </c>
      <c r="D2167" s="89">
        <v>400</v>
      </c>
      <c r="E2167" s="91" t="s">
        <v>10</v>
      </c>
      <c r="F2167" s="92">
        <v>70000</v>
      </c>
      <c r="G2167" s="92">
        <v>28000000</v>
      </c>
    </row>
    <row r="2168" spans="1:7" x14ac:dyDescent="0.25">
      <c r="A2168" s="7" t="s">
        <v>3482</v>
      </c>
      <c r="B2168" s="89" t="s">
        <v>195</v>
      </c>
      <c r="C2168" s="90" t="s">
        <v>3483</v>
      </c>
      <c r="D2168" s="89">
        <v>10</v>
      </c>
      <c r="E2168" s="91" t="s">
        <v>9</v>
      </c>
      <c r="F2168" s="92">
        <v>1500000</v>
      </c>
      <c r="G2168" s="92">
        <v>15000000</v>
      </c>
    </row>
    <row r="2169" spans="1:7" x14ac:dyDescent="0.25">
      <c r="A2169" s="7" t="s">
        <v>3484</v>
      </c>
      <c r="B2169" s="89" t="s">
        <v>195</v>
      </c>
      <c r="C2169" s="90" t="s">
        <v>3485</v>
      </c>
      <c r="D2169" s="89">
        <v>120</v>
      </c>
      <c r="E2169" s="91" t="s">
        <v>25</v>
      </c>
      <c r="F2169" s="92">
        <v>280000</v>
      </c>
      <c r="G2169" s="92">
        <v>33600000</v>
      </c>
    </row>
    <row r="2170" spans="1:7" x14ac:dyDescent="0.25">
      <c r="A2170" s="7" t="s">
        <v>3486</v>
      </c>
      <c r="B2170" s="89" t="s">
        <v>195</v>
      </c>
      <c r="C2170" s="90" t="s">
        <v>3487</v>
      </c>
      <c r="D2170" s="89">
        <v>150</v>
      </c>
      <c r="E2170" s="91" t="s">
        <v>25</v>
      </c>
      <c r="F2170" s="92">
        <v>150000</v>
      </c>
      <c r="G2170" s="92">
        <v>22500000</v>
      </c>
    </row>
    <row r="2171" spans="1:7" x14ac:dyDescent="0.25">
      <c r="A2171" s="7" t="s">
        <v>3488</v>
      </c>
      <c r="B2171" s="78" t="s">
        <v>533</v>
      </c>
      <c r="C2171" s="79" t="s">
        <v>53</v>
      </c>
      <c r="D2171" s="78"/>
      <c r="E2171" s="80"/>
      <c r="F2171" s="81"/>
      <c r="G2171" s="81">
        <v>1333864000</v>
      </c>
    </row>
    <row r="2172" spans="1:7" x14ac:dyDescent="0.25">
      <c r="A2172" s="7" t="s">
        <v>3489</v>
      </c>
      <c r="B2172" s="89" t="s">
        <v>195</v>
      </c>
      <c r="C2172" s="90" t="s">
        <v>3490</v>
      </c>
      <c r="D2172" s="89">
        <v>33</v>
      </c>
      <c r="E2172" s="91" t="s">
        <v>155</v>
      </c>
      <c r="F2172" s="92">
        <v>40413000</v>
      </c>
      <c r="G2172" s="92">
        <v>1333614000</v>
      </c>
    </row>
    <row r="2173" spans="1:7" x14ac:dyDescent="0.25">
      <c r="A2173" s="7" t="s">
        <v>3491</v>
      </c>
      <c r="B2173" s="89" t="s">
        <v>195</v>
      </c>
      <c r="C2173" s="90" t="s">
        <v>785</v>
      </c>
      <c r="D2173" s="89">
        <v>1</v>
      </c>
      <c r="E2173" s="91" t="s">
        <v>9</v>
      </c>
      <c r="F2173" s="92">
        <v>250000</v>
      </c>
      <c r="G2173" s="92">
        <v>250000</v>
      </c>
    </row>
    <row r="2174" spans="1:7" x14ac:dyDescent="0.25">
      <c r="A2174" s="7" t="s">
        <v>3492</v>
      </c>
      <c r="B2174" s="78" t="s">
        <v>537</v>
      </c>
      <c r="C2174" s="79" t="s">
        <v>64</v>
      </c>
      <c r="D2174" s="78"/>
      <c r="E2174" s="80"/>
      <c r="F2174" s="81"/>
      <c r="G2174" s="81">
        <v>25000000</v>
      </c>
    </row>
    <row r="2175" spans="1:7" x14ac:dyDescent="0.25">
      <c r="A2175" s="7" t="s">
        <v>3493</v>
      </c>
      <c r="B2175" s="89" t="s">
        <v>195</v>
      </c>
      <c r="C2175" s="90" t="s">
        <v>620</v>
      </c>
      <c r="D2175" s="89">
        <v>10</v>
      </c>
      <c r="E2175" s="91" t="s">
        <v>9</v>
      </c>
      <c r="F2175" s="92">
        <v>1000000</v>
      </c>
      <c r="G2175" s="92">
        <v>10000000</v>
      </c>
    </row>
    <row r="2176" spans="1:7" x14ac:dyDescent="0.25">
      <c r="A2176" s="7" t="s">
        <v>3494</v>
      </c>
      <c r="B2176" s="89" t="s">
        <v>195</v>
      </c>
      <c r="C2176" s="90" t="s">
        <v>619</v>
      </c>
      <c r="D2176" s="89">
        <v>10</v>
      </c>
      <c r="E2176" s="91" t="s">
        <v>9</v>
      </c>
      <c r="F2176" s="92">
        <v>1500000</v>
      </c>
      <c r="G2176" s="92">
        <v>15000000</v>
      </c>
    </row>
    <row r="2177" spans="1:7" x14ac:dyDescent="0.25">
      <c r="A2177" s="7" t="s">
        <v>3495</v>
      </c>
      <c r="B2177" s="78" t="s">
        <v>516</v>
      </c>
      <c r="C2177" s="79" t="s">
        <v>11</v>
      </c>
      <c r="D2177" s="78"/>
      <c r="E2177" s="80"/>
      <c r="F2177" s="81"/>
      <c r="G2177" s="81">
        <v>15000000</v>
      </c>
    </row>
    <row r="2178" spans="1:7" x14ac:dyDescent="0.25">
      <c r="A2178" s="7" t="s">
        <v>3496</v>
      </c>
      <c r="B2178" s="89" t="s">
        <v>195</v>
      </c>
      <c r="C2178" s="90" t="s">
        <v>774</v>
      </c>
      <c r="D2178" s="89">
        <v>15</v>
      </c>
      <c r="E2178" s="91" t="s">
        <v>12</v>
      </c>
      <c r="F2178" s="92">
        <v>1000000</v>
      </c>
      <c r="G2178" s="92">
        <v>15000000</v>
      </c>
    </row>
    <row r="2179" spans="1:7" x14ac:dyDescent="0.25">
      <c r="A2179" s="7" t="s">
        <v>3497</v>
      </c>
      <c r="B2179" s="78" t="s">
        <v>517</v>
      </c>
      <c r="C2179" s="79" t="s">
        <v>22</v>
      </c>
      <c r="D2179" s="78"/>
      <c r="E2179" s="80"/>
      <c r="F2179" s="81"/>
      <c r="G2179" s="81">
        <v>102600000</v>
      </c>
    </row>
    <row r="2180" spans="1:7" x14ac:dyDescent="0.25">
      <c r="A2180" s="7" t="s">
        <v>3498</v>
      </c>
      <c r="B2180" s="89" t="s">
        <v>195</v>
      </c>
      <c r="C2180" s="90" t="s">
        <v>3499</v>
      </c>
      <c r="D2180" s="89">
        <v>120</v>
      </c>
      <c r="E2180" s="91" t="s">
        <v>155</v>
      </c>
      <c r="F2180" s="92">
        <v>855000</v>
      </c>
      <c r="G2180" s="92">
        <v>102600000</v>
      </c>
    </row>
    <row r="2181" spans="1:7" x14ac:dyDescent="0.25">
      <c r="A2181" s="7" t="s">
        <v>3500</v>
      </c>
      <c r="B2181" s="78" t="s">
        <v>513</v>
      </c>
      <c r="C2181" s="79" t="s">
        <v>19</v>
      </c>
      <c r="D2181" s="78"/>
      <c r="E2181" s="80"/>
      <c r="F2181" s="81"/>
      <c r="G2181" s="81">
        <v>138000000</v>
      </c>
    </row>
    <row r="2182" spans="1:7" x14ac:dyDescent="0.25">
      <c r="A2182" s="7" t="s">
        <v>3501</v>
      </c>
      <c r="B2182" s="89" t="s">
        <v>195</v>
      </c>
      <c r="C2182" s="90" t="s">
        <v>3502</v>
      </c>
      <c r="D2182" s="89">
        <v>50</v>
      </c>
      <c r="E2182" s="91" t="s">
        <v>10</v>
      </c>
      <c r="F2182" s="92">
        <v>1200000</v>
      </c>
      <c r="G2182" s="92">
        <v>60000000</v>
      </c>
    </row>
    <row r="2183" spans="1:7" ht="27.6" x14ac:dyDescent="0.25">
      <c r="A2183" s="7" t="s">
        <v>3503</v>
      </c>
      <c r="B2183" s="89" t="s">
        <v>195</v>
      </c>
      <c r="C2183" s="90" t="s">
        <v>3504</v>
      </c>
      <c r="D2183" s="89">
        <v>12</v>
      </c>
      <c r="E2183" s="91" t="s">
        <v>10</v>
      </c>
      <c r="F2183" s="92">
        <v>6500000</v>
      </c>
      <c r="G2183" s="92">
        <v>78000000</v>
      </c>
    </row>
    <row r="2184" spans="1:7" x14ac:dyDescent="0.25">
      <c r="A2184" s="7" t="s">
        <v>3505</v>
      </c>
      <c r="B2184" s="97" t="s">
        <v>511</v>
      </c>
      <c r="C2184" s="98" t="s">
        <v>191</v>
      </c>
      <c r="D2184" s="97"/>
      <c r="E2184" s="99"/>
      <c r="F2184" s="100"/>
      <c r="G2184" s="100">
        <v>6555695000</v>
      </c>
    </row>
    <row r="2185" spans="1:7" x14ac:dyDescent="0.25">
      <c r="A2185" s="7" t="s">
        <v>3506</v>
      </c>
      <c r="B2185" s="78" t="s">
        <v>503</v>
      </c>
      <c r="C2185" s="79" t="s">
        <v>7</v>
      </c>
      <c r="D2185" s="78"/>
      <c r="E2185" s="80"/>
      <c r="F2185" s="81"/>
      <c r="G2185" s="81">
        <v>25000000</v>
      </c>
    </row>
    <row r="2186" spans="1:7" x14ac:dyDescent="0.25">
      <c r="A2186" s="7" t="s">
        <v>3507</v>
      </c>
      <c r="B2186" s="89" t="s">
        <v>195</v>
      </c>
      <c r="C2186" s="90" t="s">
        <v>2745</v>
      </c>
      <c r="D2186" s="89">
        <v>100</v>
      </c>
      <c r="E2186" s="91" t="s">
        <v>10</v>
      </c>
      <c r="F2186" s="92">
        <v>70000</v>
      </c>
      <c r="G2186" s="92">
        <v>7000000</v>
      </c>
    </row>
    <row r="2187" spans="1:7" x14ac:dyDescent="0.25">
      <c r="A2187" s="7" t="s">
        <v>3508</v>
      </c>
      <c r="B2187" s="89" t="s">
        <v>195</v>
      </c>
      <c r="C2187" s="90" t="s">
        <v>3483</v>
      </c>
      <c r="D2187" s="89">
        <v>12</v>
      </c>
      <c r="E2187" s="91" t="s">
        <v>9</v>
      </c>
      <c r="F2187" s="92">
        <v>1500000</v>
      </c>
      <c r="G2187" s="92">
        <v>18000000</v>
      </c>
    </row>
    <row r="2188" spans="1:7" x14ac:dyDescent="0.25">
      <c r="A2188" s="7" t="s">
        <v>3509</v>
      </c>
      <c r="B2188" s="78" t="s">
        <v>533</v>
      </c>
      <c r="C2188" s="79" t="s">
        <v>53</v>
      </c>
      <c r="D2188" s="78"/>
      <c r="E2188" s="80"/>
      <c r="F2188" s="81"/>
      <c r="G2188" s="81">
        <v>6308695000</v>
      </c>
    </row>
    <row r="2189" spans="1:7" x14ac:dyDescent="0.25">
      <c r="A2189" s="7" t="s">
        <v>3510</v>
      </c>
      <c r="B2189" s="89" t="s">
        <v>195</v>
      </c>
      <c r="C2189" s="90" t="s">
        <v>3490</v>
      </c>
      <c r="D2189" s="89">
        <v>157</v>
      </c>
      <c r="E2189" s="91" t="s">
        <v>155</v>
      </c>
      <c r="F2189" s="92">
        <v>40130000</v>
      </c>
      <c r="G2189" s="92">
        <v>6300445000</v>
      </c>
    </row>
    <row r="2190" spans="1:7" x14ac:dyDescent="0.25">
      <c r="A2190" s="7" t="s">
        <v>3511</v>
      </c>
      <c r="B2190" s="89" t="s">
        <v>195</v>
      </c>
      <c r="C2190" s="90" t="s">
        <v>785</v>
      </c>
      <c r="D2190" s="89">
        <v>3</v>
      </c>
      <c r="E2190" s="91" t="s">
        <v>9</v>
      </c>
      <c r="F2190" s="92">
        <v>250000</v>
      </c>
      <c r="G2190" s="92">
        <v>750000</v>
      </c>
    </row>
    <row r="2191" spans="1:7" x14ac:dyDescent="0.25">
      <c r="A2191" s="7" t="s">
        <v>3512</v>
      </c>
      <c r="B2191" s="89" t="s">
        <v>195</v>
      </c>
      <c r="C2191" s="90" t="s">
        <v>3513</v>
      </c>
      <c r="D2191" s="89">
        <v>15</v>
      </c>
      <c r="E2191" s="91" t="s">
        <v>106</v>
      </c>
      <c r="F2191" s="92">
        <v>500000</v>
      </c>
      <c r="G2191" s="92">
        <v>7500000</v>
      </c>
    </row>
    <row r="2192" spans="1:7" x14ac:dyDescent="0.25">
      <c r="A2192" s="7" t="s">
        <v>3514</v>
      </c>
      <c r="B2192" s="78" t="s">
        <v>537</v>
      </c>
      <c r="C2192" s="79" t="s">
        <v>64</v>
      </c>
      <c r="D2192" s="78"/>
      <c r="E2192" s="80"/>
      <c r="F2192" s="81"/>
      <c r="G2192" s="81">
        <v>30000000</v>
      </c>
    </row>
    <row r="2193" spans="1:7" x14ac:dyDescent="0.25">
      <c r="A2193" s="7" t="s">
        <v>3515</v>
      </c>
      <c r="B2193" s="89" t="s">
        <v>195</v>
      </c>
      <c r="C2193" s="90" t="s">
        <v>620</v>
      </c>
      <c r="D2193" s="89">
        <v>12</v>
      </c>
      <c r="E2193" s="91" t="s">
        <v>9</v>
      </c>
      <c r="F2193" s="92">
        <v>1000000</v>
      </c>
      <c r="G2193" s="92">
        <v>12000000</v>
      </c>
    </row>
    <row r="2194" spans="1:7" x14ac:dyDescent="0.25">
      <c r="A2194" s="7" t="s">
        <v>3516</v>
      </c>
      <c r="B2194" s="89" t="s">
        <v>195</v>
      </c>
      <c r="C2194" s="90" t="s">
        <v>619</v>
      </c>
      <c r="D2194" s="89">
        <v>12</v>
      </c>
      <c r="E2194" s="91" t="s">
        <v>9</v>
      </c>
      <c r="F2194" s="92">
        <v>1500000</v>
      </c>
      <c r="G2194" s="92">
        <v>18000000</v>
      </c>
    </row>
    <row r="2195" spans="1:7" x14ac:dyDescent="0.25">
      <c r="A2195" s="7" t="s">
        <v>3517</v>
      </c>
      <c r="B2195" s="78" t="s">
        <v>516</v>
      </c>
      <c r="C2195" s="79" t="s">
        <v>11</v>
      </c>
      <c r="D2195" s="78"/>
      <c r="E2195" s="80"/>
      <c r="F2195" s="81"/>
      <c r="G2195" s="81">
        <v>6000000</v>
      </c>
    </row>
    <row r="2196" spans="1:7" x14ac:dyDescent="0.25">
      <c r="A2196" s="7" t="s">
        <v>3518</v>
      </c>
      <c r="B2196" s="89" t="s">
        <v>195</v>
      </c>
      <c r="C2196" s="90" t="s">
        <v>774</v>
      </c>
      <c r="D2196" s="89">
        <v>6</v>
      </c>
      <c r="E2196" s="91" t="s">
        <v>12</v>
      </c>
      <c r="F2196" s="92">
        <v>1000000</v>
      </c>
      <c r="G2196" s="92">
        <v>6000000</v>
      </c>
    </row>
    <row r="2197" spans="1:7" x14ac:dyDescent="0.25">
      <c r="A2197" s="7" t="s">
        <v>3519</v>
      </c>
      <c r="B2197" s="78" t="s">
        <v>513</v>
      </c>
      <c r="C2197" s="79" t="s">
        <v>19</v>
      </c>
      <c r="D2197" s="78"/>
      <c r="E2197" s="80"/>
      <c r="F2197" s="81"/>
      <c r="G2197" s="81">
        <v>186000000</v>
      </c>
    </row>
    <row r="2198" spans="1:7" x14ac:dyDescent="0.25">
      <c r="A2198" s="7" t="s">
        <v>3520</v>
      </c>
      <c r="B2198" s="89" t="s">
        <v>195</v>
      </c>
      <c r="C2198" s="90" t="s">
        <v>3502</v>
      </c>
      <c r="D2198" s="89">
        <v>20</v>
      </c>
      <c r="E2198" s="91" t="s">
        <v>10</v>
      </c>
      <c r="F2198" s="92">
        <v>1500000</v>
      </c>
      <c r="G2198" s="92">
        <v>30000000</v>
      </c>
    </row>
    <row r="2199" spans="1:7" ht="27.6" x14ac:dyDescent="0.25">
      <c r="A2199" s="7" t="s">
        <v>3521</v>
      </c>
      <c r="B2199" s="89" t="s">
        <v>195</v>
      </c>
      <c r="C2199" s="90" t="s">
        <v>3504</v>
      </c>
      <c r="D2199" s="89">
        <v>24</v>
      </c>
      <c r="E2199" s="91" t="s">
        <v>10</v>
      </c>
      <c r="F2199" s="92">
        <v>6500000</v>
      </c>
      <c r="G2199" s="92">
        <v>156000000</v>
      </c>
    </row>
    <row r="2200" spans="1:7" x14ac:dyDescent="0.25">
      <c r="A2200" s="7" t="s">
        <v>3522</v>
      </c>
      <c r="B2200" s="97" t="s">
        <v>512</v>
      </c>
      <c r="C2200" s="98" t="s">
        <v>192</v>
      </c>
      <c r="D2200" s="97"/>
      <c r="E2200" s="99"/>
      <c r="F2200" s="100"/>
      <c r="G2200" s="100">
        <v>174041000</v>
      </c>
    </row>
    <row r="2201" spans="1:7" x14ac:dyDescent="0.25">
      <c r="A2201" s="7" t="s">
        <v>3523</v>
      </c>
      <c r="B2201" s="78" t="s">
        <v>503</v>
      </c>
      <c r="C2201" s="79" t="s">
        <v>7</v>
      </c>
      <c r="D2201" s="78"/>
      <c r="E2201" s="80"/>
      <c r="F2201" s="81"/>
      <c r="G2201" s="81">
        <v>12000000</v>
      </c>
    </row>
    <row r="2202" spans="1:7" x14ac:dyDescent="0.25">
      <c r="A2202" s="7" t="s">
        <v>3524</v>
      </c>
      <c r="B2202" s="89" t="s">
        <v>195</v>
      </c>
      <c r="C2202" s="90" t="s">
        <v>3483</v>
      </c>
      <c r="D2202" s="89">
        <v>3</v>
      </c>
      <c r="E2202" s="91" t="s">
        <v>9</v>
      </c>
      <c r="F2202" s="92">
        <v>1500000</v>
      </c>
      <c r="G2202" s="92">
        <v>4500000</v>
      </c>
    </row>
    <row r="2203" spans="1:7" x14ac:dyDescent="0.25">
      <c r="A2203" s="7" t="s">
        <v>3525</v>
      </c>
      <c r="B2203" s="89" t="s">
        <v>195</v>
      </c>
      <c r="C2203" s="90" t="s">
        <v>620</v>
      </c>
      <c r="D2203" s="89">
        <v>3</v>
      </c>
      <c r="E2203" s="91" t="s">
        <v>9</v>
      </c>
      <c r="F2203" s="92">
        <v>1000000</v>
      </c>
      <c r="G2203" s="92">
        <v>3000000</v>
      </c>
    </row>
    <row r="2204" spans="1:7" x14ac:dyDescent="0.25">
      <c r="A2204" s="7" t="s">
        <v>3526</v>
      </c>
      <c r="B2204" s="89" t="s">
        <v>195</v>
      </c>
      <c r="C2204" s="90" t="s">
        <v>619</v>
      </c>
      <c r="D2204" s="89">
        <v>3</v>
      </c>
      <c r="E2204" s="91" t="s">
        <v>9</v>
      </c>
      <c r="F2204" s="92">
        <v>1500000</v>
      </c>
      <c r="G2204" s="92">
        <v>4500000</v>
      </c>
    </row>
    <row r="2205" spans="1:7" x14ac:dyDescent="0.25">
      <c r="A2205" s="7" t="s">
        <v>3527</v>
      </c>
      <c r="B2205" s="78" t="s">
        <v>533</v>
      </c>
      <c r="C2205" s="79" t="s">
        <v>53</v>
      </c>
      <c r="D2205" s="78"/>
      <c r="E2205" s="80"/>
      <c r="F2205" s="81"/>
      <c r="G2205" s="81">
        <v>20000000</v>
      </c>
    </row>
    <row r="2206" spans="1:7" x14ac:dyDescent="0.25">
      <c r="A2206" s="7" t="s">
        <v>3528</v>
      </c>
      <c r="B2206" s="89" t="s">
        <v>195</v>
      </c>
      <c r="C2206" s="90" t="s">
        <v>3529</v>
      </c>
      <c r="D2206" s="89">
        <v>2</v>
      </c>
      <c r="E2206" s="91" t="s">
        <v>155</v>
      </c>
      <c r="F2206" s="92">
        <v>10000000</v>
      </c>
      <c r="G2206" s="92">
        <v>20000000</v>
      </c>
    </row>
    <row r="2207" spans="1:7" x14ac:dyDescent="0.25">
      <c r="A2207" s="7" t="s">
        <v>3530</v>
      </c>
      <c r="B2207" s="78" t="s">
        <v>1150</v>
      </c>
      <c r="C2207" s="79" t="s">
        <v>1151</v>
      </c>
      <c r="D2207" s="78"/>
      <c r="E2207" s="80"/>
      <c r="F2207" s="81"/>
      <c r="G2207" s="81">
        <v>142041000</v>
      </c>
    </row>
    <row r="2208" spans="1:7" ht="27.6" x14ac:dyDescent="0.25">
      <c r="A2208" s="7" t="s">
        <v>3531</v>
      </c>
      <c r="B2208" s="89" t="s">
        <v>195</v>
      </c>
      <c r="C2208" s="90" t="s">
        <v>3532</v>
      </c>
      <c r="D2208" s="89">
        <v>3</v>
      </c>
      <c r="E2208" s="91" t="s">
        <v>10</v>
      </c>
      <c r="F2208" s="92">
        <v>47347000</v>
      </c>
      <c r="G2208" s="92">
        <v>142041000</v>
      </c>
    </row>
    <row r="2209" spans="1:7" x14ac:dyDescent="0.25">
      <c r="A2209" s="7" t="s">
        <v>3533</v>
      </c>
      <c r="B2209" s="97" t="s">
        <v>514</v>
      </c>
      <c r="C2209" s="98" t="s">
        <v>3534</v>
      </c>
      <c r="D2209" s="97"/>
      <c r="E2209" s="99"/>
      <c r="F2209" s="100"/>
      <c r="G2209" s="100">
        <v>30000000</v>
      </c>
    </row>
    <row r="2210" spans="1:7" x14ac:dyDescent="0.25">
      <c r="A2210" s="7" t="s">
        <v>3535</v>
      </c>
      <c r="B2210" s="78" t="s">
        <v>518</v>
      </c>
      <c r="C2210" s="79" t="s">
        <v>24</v>
      </c>
      <c r="D2210" s="78"/>
      <c r="E2210" s="80"/>
      <c r="F2210" s="81"/>
      <c r="G2210" s="81">
        <v>30000000</v>
      </c>
    </row>
    <row r="2211" spans="1:7" x14ac:dyDescent="0.25">
      <c r="A2211" s="7" t="s">
        <v>3536</v>
      </c>
      <c r="B2211" s="89" t="s">
        <v>195</v>
      </c>
      <c r="C2211" s="90" t="s">
        <v>3537</v>
      </c>
      <c r="D2211" s="89">
        <v>120</v>
      </c>
      <c r="E2211" s="91" t="s">
        <v>776</v>
      </c>
      <c r="F2211" s="92">
        <v>250000</v>
      </c>
      <c r="G2211" s="92">
        <v>30000000</v>
      </c>
    </row>
    <row r="2212" spans="1:7" x14ac:dyDescent="0.25">
      <c r="A2212" s="7" t="s">
        <v>3538</v>
      </c>
      <c r="B2212" s="93" t="s">
        <v>3090</v>
      </c>
      <c r="C2212" s="94" t="s">
        <v>193</v>
      </c>
      <c r="D2212" s="93"/>
      <c r="E2212" s="95"/>
      <c r="F2212" s="96"/>
      <c r="G2212" s="96">
        <v>109200000</v>
      </c>
    </row>
    <row r="2213" spans="1:7" x14ac:dyDescent="0.25">
      <c r="A2213" s="7" t="s">
        <v>3539</v>
      </c>
      <c r="B2213" s="97" t="s">
        <v>8</v>
      </c>
      <c r="C2213" s="98" t="s">
        <v>193</v>
      </c>
      <c r="D2213" s="97"/>
      <c r="E2213" s="99"/>
      <c r="F2213" s="100"/>
      <c r="G2213" s="100">
        <v>109200000</v>
      </c>
    </row>
    <row r="2214" spans="1:7" x14ac:dyDescent="0.25">
      <c r="A2214" s="7" t="s">
        <v>3540</v>
      </c>
      <c r="B2214" s="78" t="s">
        <v>503</v>
      </c>
      <c r="C2214" s="79" t="s">
        <v>7</v>
      </c>
      <c r="D2214" s="78"/>
      <c r="E2214" s="80"/>
      <c r="F2214" s="81"/>
      <c r="G2214" s="81">
        <v>25000000</v>
      </c>
    </row>
    <row r="2215" spans="1:7" x14ac:dyDescent="0.25">
      <c r="A2215" s="7" t="s">
        <v>3541</v>
      </c>
      <c r="B2215" s="89" t="s">
        <v>195</v>
      </c>
      <c r="C2215" s="90" t="s">
        <v>2745</v>
      </c>
      <c r="D2215" s="89">
        <v>100</v>
      </c>
      <c r="E2215" s="91" t="s">
        <v>10</v>
      </c>
      <c r="F2215" s="92">
        <v>70000</v>
      </c>
      <c r="G2215" s="92">
        <v>7000000</v>
      </c>
    </row>
    <row r="2216" spans="1:7" x14ac:dyDescent="0.25">
      <c r="A2216" s="7" t="s">
        <v>3542</v>
      </c>
      <c r="B2216" s="89" t="s">
        <v>195</v>
      </c>
      <c r="C2216" s="90" t="s">
        <v>3483</v>
      </c>
      <c r="D2216" s="89">
        <v>12</v>
      </c>
      <c r="E2216" s="91" t="s">
        <v>9</v>
      </c>
      <c r="F2216" s="92">
        <v>1500000</v>
      </c>
      <c r="G2216" s="92">
        <v>18000000</v>
      </c>
    </row>
    <row r="2217" spans="1:7" x14ac:dyDescent="0.25">
      <c r="A2217" s="7" t="s">
        <v>3543</v>
      </c>
      <c r="B2217" s="78" t="s">
        <v>537</v>
      </c>
      <c r="C2217" s="79" t="s">
        <v>64</v>
      </c>
      <c r="D2217" s="78"/>
      <c r="E2217" s="80"/>
      <c r="F2217" s="81"/>
      <c r="G2217" s="81">
        <v>30000000</v>
      </c>
    </row>
    <row r="2218" spans="1:7" x14ac:dyDescent="0.25">
      <c r="A2218" s="7" t="s">
        <v>3544</v>
      </c>
      <c r="B2218" s="89" t="s">
        <v>195</v>
      </c>
      <c r="C2218" s="90" t="s">
        <v>620</v>
      </c>
      <c r="D2218" s="89">
        <v>12</v>
      </c>
      <c r="E2218" s="91" t="s">
        <v>9</v>
      </c>
      <c r="F2218" s="92">
        <v>1000000</v>
      </c>
      <c r="G2218" s="92">
        <v>12000000</v>
      </c>
    </row>
    <row r="2219" spans="1:7" x14ac:dyDescent="0.25">
      <c r="A2219" s="7" t="s">
        <v>3545</v>
      </c>
      <c r="B2219" s="89" t="s">
        <v>195</v>
      </c>
      <c r="C2219" s="90" t="s">
        <v>619</v>
      </c>
      <c r="D2219" s="89">
        <v>12</v>
      </c>
      <c r="E2219" s="91" t="s">
        <v>9</v>
      </c>
      <c r="F2219" s="92">
        <v>1500000</v>
      </c>
      <c r="G2219" s="92">
        <v>18000000</v>
      </c>
    </row>
    <row r="2220" spans="1:7" x14ac:dyDescent="0.25">
      <c r="A2220" s="7" t="s">
        <v>3546</v>
      </c>
      <c r="B2220" s="78" t="s">
        <v>513</v>
      </c>
      <c r="C2220" s="79" t="s">
        <v>19</v>
      </c>
      <c r="D2220" s="78"/>
      <c r="E2220" s="80"/>
      <c r="F2220" s="81"/>
      <c r="G2220" s="81">
        <v>54200000</v>
      </c>
    </row>
    <row r="2221" spans="1:7" ht="27.6" x14ac:dyDescent="0.25">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8"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144780</xdr:rowOff>
              </from>
              <to>
                <xdr:col>9</xdr:col>
                <xdr:colOff>7620</xdr:colOff>
                <xdr:row>23</xdr:row>
                <xdr:rowOff>76200</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731520</xdr:colOff>
                <xdr:row>587</xdr:row>
                <xdr:rowOff>0</xdr:rowOff>
              </from>
              <to>
                <xdr:col>9</xdr:col>
                <xdr:colOff>7620</xdr:colOff>
                <xdr:row>589</xdr:row>
                <xdr:rowOff>22860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1173480</xdr:colOff>
                <xdr:row>589</xdr:row>
                <xdr:rowOff>0</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327660</xdr:colOff>
                <xdr:row>1</xdr:row>
                <xdr:rowOff>22860</xdr:rowOff>
              </from>
              <to>
                <xdr:col>8</xdr:col>
                <xdr:colOff>1402080</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G56" sqref="G56"/>
    </sheetView>
  </sheetViews>
  <sheetFormatPr defaultColWidth="9.109375" defaultRowHeight="13.2" x14ac:dyDescent="0.25"/>
  <cols>
    <col min="1" max="1" width="37.6640625" style="178" hidden="1" customWidth="1"/>
    <col min="2" max="2" width="20.33203125" style="173"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11" width="16.88671875" style="182" customWidth="1"/>
    <col min="12" max="12" width="19.33203125" style="117" customWidth="1"/>
    <col min="13" max="13" width="14" style="117" bestFit="1" customWidth="1"/>
    <col min="14" max="14" width="14.5546875" style="117" customWidth="1"/>
    <col min="15" max="16384" width="9.109375" style="117"/>
  </cols>
  <sheetData>
    <row r="1" spans="1:13" ht="15.6" x14ac:dyDescent="0.25">
      <c r="B1" s="424" t="s">
        <v>598</v>
      </c>
      <c r="C1" s="424"/>
      <c r="D1" s="424"/>
      <c r="E1" s="424"/>
      <c r="F1" s="424"/>
      <c r="G1" s="432"/>
      <c r="H1" s="332"/>
      <c r="I1" s="332"/>
      <c r="J1" s="332"/>
      <c r="K1" s="332"/>
    </row>
    <row r="2" spans="1:13" ht="15.6" x14ac:dyDescent="0.3">
      <c r="B2" s="433" t="s">
        <v>5025</v>
      </c>
      <c r="C2" s="433"/>
      <c r="D2" s="433"/>
      <c r="E2" s="433"/>
      <c r="F2" s="433"/>
      <c r="G2" s="434"/>
      <c r="H2" s="334"/>
      <c r="I2" s="334"/>
      <c r="J2" s="334"/>
      <c r="K2" s="334"/>
    </row>
    <row r="3" spans="1:13" ht="15.6" x14ac:dyDescent="0.3">
      <c r="B3" s="333"/>
      <c r="C3" s="333"/>
      <c r="D3" s="333"/>
      <c r="E3" s="333"/>
      <c r="F3" s="333"/>
      <c r="G3" s="334"/>
      <c r="H3" s="334"/>
      <c r="I3" s="334"/>
      <c r="J3" s="334"/>
      <c r="K3" s="334"/>
    </row>
    <row r="4" spans="1:13" ht="15" x14ac:dyDescent="0.25">
      <c r="B4" s="185" t="s">
        <v>599</v>
      </c>
      <c r="C4" s="185" t="s">
        <v>600</v>
      </c>
      <c r="D4" s="186"/>
      <c r="E4" s="186"/>
      <c r="F4" s="185"/>
      <c r="G4" s="187"/>
      <c r="H4" s="187"/>
      <c r="I4" s="187"/>
      <c r="J4" s="187"/>
      <c r="K4" s="187"/>
    </row>
    <row r="5" spans="1:13" ht="15" x14ac:dyDescent="0.25">
      <c r="B5" s="185" t="s">
        <v>601</v>
      </c>
      <c r="C5" s="185" t="s">
        <v>602</v>
      </c>
      <c r="D5" s="53"/>
      <c r="E5" s="53"/>
      <c r="F5" s="50"/>
      <c r="G5" s="143"/>
      <c r="H5" s="143"/>
      <c r="I5" s="143"/>
      <c r="J5" s="143"/>
      <c r="K5" s="143"/>
    </row>
    <row r="6" spans="1:13" ht="15" x14ac:dyDescent="0.25">
      <c r="B6" s="185" t="s">
        <v>603</v>
      </c>
      <c r="C6" s="185" t="s">
        <v>604</v>
      </c>
      <c r="D6" s="53"/>
      <c r="E6" s="53"/>
      <c r="F6" s="50"/>
      <c r="G6" s="143"/>
      <c r="H6" s="143"/>
      <c r="I6" s="143"/>
      <c r="J6" s="143"/>
      <c r="K6" s="143"/>
    </row>
    <row r="7" spans="1:13" ht="15.6" x14ac:dyDescent="0.3">
      <c r="B7" s="185" t="s">
        <v>605</v>
      </c>
      <c r="C7" s="188" t="str">
        <f>":  Rp. " &amp; TEXT(G12,"#.##")</f>
        <v>:  Rp. 6.478.996.000</v>
      </c>
      <c r="D7" s="53"/>
      <c r="E7" s="53"/>
      <c r="F7" s="50"/>
      <c r="G7" s="143"/>
      <c r="H7" s="143"/>
      <c r="I7" s="143"/>
      <c r="J7" s="143"/>
      <c r="K7" s="143"/>
    </row>
    <row r="8" spans="1:13" ht="15" x14ac:dyDescent="0.25">
      <c r="B8" s="189"/>
      <c r="C8" s="189"/>
      <c r="D8" s="189"/>
      <c r="E8" s="189"/>
      <c r="F8" s="189"/>
      <c r="G8" s="190"/>
      <c r="H8" s="190"/>
      <c r="I8" s="190"/>
      <c r="J8" s="190"/>
      <c r="K8" s="190"/>
    </row>
    <row r="9" spans="1:13" ht="15" customHeight="1" x14ac:dyDescent="0.25">
      <c r="B9" s="435" t="s">
        <v>606</v>
      </c>
      <c r="C9" s="436" t="s">
        <v>607</v>
      </c>
      <c r="D9" s="437" t="s">
        <v>608</v>
      </c>
      <c r="E9" s="435" t="s">
        <v>609</v>
      </c>
      <c r="F9" s="437" t="s">
        <v>610</v>
      </c>
      <c r="G9" s="431" t="s">
        <v>4650</v>
      </c>
      <c r="H9" s="431" t="s">
        <v>4651</v>
      </c>
      <c r="I9" s="431" t="s">
        <v>4648</v>
      </c>
      <c r="J9" s="431" t="s">
        <v>4652</v>
      </c>
      <c r="K9" s="431" t="s">
        <v>4648</v>
      </c>
    </row>
    <row r="10" spans="1:13" s="180" customFormat="1" ht="14.25" customHeight="1" x14ac:dyDescent="0.25">
      <c r="A10" s="179" t="s">
        <v>499</v>
      </c>
      <c r="B10" s="427"/>
      <c r="C10" s="427"/>
      <c r="D10" s="430"/>
      <c r="E10" s="430"/>
      <c r="F10" s="427"/>
      <c r="G10" s="427"/>
      <c r="H10" s="431"/>
      <c r="I10" s="431"/>
      <c r="J10" s="431"/>
      <c r="K10" s="431"/>
    </row>
    <row r="11" spans="1:13" s="180" customFormat="1" x14ac:dyDescent="0.25">
      <c r="A11" s="179"/>
      <c r="B11" s="176">
        <v>1</v>
      </c>
      <c r="C11" s="176">
        <v>2</v>
      </c>
      <c r="D11" s="176">
        <v>3</v>
      </c>
      <c r="E11" s="176">
        <v>4</v>
      </c>
      <c r="F11" s="176">
        <v>5</v>
      </c>
      <c r="G11" s="177">
        <v>6</v>
      </c>
      <c r="H11" s="176">
        <v>7</v>
      </c>
      <c r="I11" s="177">
        <v>8</v>
      </c>
      <c r="J11" s="176">
        <v>9</v>
      </c>
      <c r="K11" s="177">
        <v>10</v>
      </c>
    </row>
    <row r="12" spans="1:13" s="180" customFormat="1" x14ac:dyDescent="0.25">
      <c r="A12" s="179"/>
      <c r="B12" s="127"/>
      <c r="C12" s="128" t="s">
        <v>613</v>
      </c>
      <c r="D12" s="129"/>
      <c r="E12" s="130"/>
      <c r="F12" s="129"/>
      <c r="G12" s="175">
        <f t="shared" ref="G12:H14" si="0">G13</f>
        <v>6478996000</v>
      </c>
      <c r="H12" s="210">
        <f t="shared" si="0"/>
        <v>2186906895</v>
      </c>
      <c r="I12" s="337">
        <f t="shared" ref="I12:I17" si="1">H12/G12*100</f>
        <v>33.753792948784039</v>
      </c>
      <c r="J12" s="175">
        <f t="shared" ref="J12:J17" si="2">G12-H12</f>
        <v>4292089105</v>
      </c>
      <c r="K12" s="337">
        <f t="shared" ref="K12:K17" si="3">J12/G12*100</f>
        <v>66.246207051215961</v>
      </c>
    </row>
    <row r="13" spans="1:13" ht="13.8" x14ac:dyDescent="0.25">
      <c r="A13" s="7" t="s">
        <v>0</v>
      </c>
      <c r="B13" s="192" t="s">
        <v>0</v>
      </c>
      <c r="C13" s="191" t="s">
        <v>1</v>
      </c>
      <c r="D13" s="192"/>
      <c r="E13" s="192"/>
      <c r="F13" s="193"/>
      <c r="G13" s="193">
        <f t="shared" si="0"/>
        <v>6478996000</v>
      </c>
      <c r="H13" s="338">
        <f t="shared" si="0"/>
        <v>2186906895</v>
      </c>
      <c r="I13" s="337">
        <f t="shared" si="1"/>
        <v>33.753792948784039</v>
      </c>
      <c r="J13" s="175">
        <f t="shared" si="2"/>
        <v>4292089105</v>
      </c>
      <c r="K13" s="337">
        <f t="shared" si="3"/>
        <v>66.246207051215961</v>
      </c>
    </row>
    <row r="14" spans="1:13" ht="13.8" x14ac:dyDescent="0.25">
      <c r="A14" s="7" t="s">
        <v>1699</v>
      </c>
      <c r="B14" s="192" t="s">
        <v>3986</v>
      </c>
      <c r="C14" s="191" t="s">
        <v>1701</v>
      </c>
      <c r="D14" s="192">
        <v>1</v>
      </c>
      <c r="E14" s="192" t="s">
        <v>3740</v>
      </c>
      <c r="F14" s="193"/>
      <c r="G14" s="193">
        <f t="shared" si="0"/>
        <v>6478996000</v>
      </c>
      <c r="H14" s="339">
        <f t="shared" si="0"/>
        <v>2186906895</v>
      </c>
      <c r="I14" s="337">
        <f t="shared" si="1"/>
        <v>33.753792948784039</v>
      </c>
      <c r="J14" s="175">
        <f t="shared" si="2"/>
        <v>4292089105</v>
      </c>
      <c r="K14" s="337">
        <f t="shared" si="3"/>
        <v>66.246207051215961</v>
      </c>
    </row>
    <row r="15" spans="1:13" ht="13.8" x14ac:dyDescent="0.25">
      <c r="A15" s="7" t="s">
        <v>1702</v>
      </c>
      <c r="B15" s="195" t="s">
        <v>501</v>
      </c>
      <c r="C15" s="194" t="s">
        <v>76</v>
      </c>
      <c r="D15" s="195"/>
      <c r="E15" s="195"/>
      <c r="F15" s="196"/>
      <c r="G15" s="196">
        <f>SUM(G16,G55)</f>
        <v>6478996000</v>
      </c>
      <c r="H15" s="340">
        <f>SUM(H16,H55)</f>
        <v>2186906895</v>
      </c>
      <c r="I15" s="337">
        <f t="shared" si="1"/>
        <v>33.753792948784039</v>
      </c>
      <c r="J15" s="175">
        <f t="shared" si="2"/>
        <v>4292089105</v>
      </c>
      <c r="K15" s="337">
        <f t="shared" si="3"/>
        <v>66.246207051215961</v>
      </c>
    </row>
    <row r="16" spans="1:13" ht="13.8" x14ac:dyDescent="0.25">
      <c r="A16" s="7" t="s">
        <v>1806</v>
      </c>
      <c r="B16" s="192" t="s">
        <v>1807</v>
      </c>
      <c r="C16" s="191" t="s">
        <v>1808</v>
      </c>
      <c r="D16" s="192"/>
      <c r="E16" s="192"/>
      <c r="F16" s="193"/>
      <c r="G16" s="193">
        <f>SUM(G17,G21,G25,G29,G33,G37,G41,G45,G47,G49,G53)</f>
        <v>6155047000</v>
      </c>
      <c r="H16" s="339">
        <f>H17+H21+H25+H29+H33+H37+H41+H45+H47+H49+H53</f>
        <v>2186906895</v>
      </c>
      <c r="I16" s="337">
        <f t="shared" si="1"/>
        <v>35.53030374910216</v>
      </c>
      <c r="J16" s="175">
        <f t="shared" si="2"/>
        <v>3968140105</v>
      </c>
      <c r="K16" s="337">
        <f t="shared" si="3"/>
        <v>64.46969625089784</v>
      </c>
      <c r="L16" s="343">
        <v>210863345</v>
      </c>
      <c r="M16" s="344">
        <f>H16-L16</f>
        <v>1976043550</v>
      </c>
    </row>
    <row r="17" spans="1:13" ht="13.8" x14ac:dyDescent="0.25">
      <c r="A17" s="7" t="s">
        <v>1809</v>
      </c>
      <c r="B17" s="192">
        <v>511111</v>
      </c>
      <c r="C17" s="191" t="s">
        <v>77</v>
      </c>
      <c r="D17" s="192"/>
      <c r="E17" s="192"/>
      <c r="F17" s="193"/>
      <c r="G17" s="193">
        <f>SUM(G18:G20)</f>
        <v>2483477000</v>
      </c>
      <c r="H17" s="339">
        <v>1010194000</v>
      </c>
      <c r="I17" s="337">
        <f t="shared" si="1"/>
        <v>40.676599783287706</v>
      </c>
      <c r="J17" s="175">
        <f t="shared" si="2"/>
        <v>1473283000</v>
      </c>
      <c r="K17" s="337">
        <f t="shared" si="3"/>
        <v>59.323400216712294</v>
      </c>
      <c r="L17" s="344">
        <f>H17-'[4]PER BULAN'!$AQ$234</f>
        <v>165522900</v>
      </c>
      <c r="M17" s="344"/>
    </row>
    <row r="18" spans="1:13" ht="13.8" hidden="1" x14ac:dyDescent="0.25">
      <c r="A18" s="7" t="s">
        <v>1810</v>
      </c>
      <c r="B18" s="152"/>
      <c r="C18" s="151" t="s">
        <v>3987</v>
      </c>
      <c r="D18" s="152">
        <v>1</v>
      </c>
      <c r="E18" s="152" t="s">
        <v>97</v>
      </c>
      <c r="F18" s="153">
        <v>180000000</v>
      </c>
      <c r="G18" s="153">
        <f>ROUNDDOWN(D18*F18,-3)</f>
        <v>180000000</v>
      </c>
      <c r="H18" s="336"/>
      <c r="I18" s="153"/>
      <c r="J18" s="153"/>
      <c r="K18" s="153"/>
    </row>
    <row r="19" spans="1:13" ht="13.8" hidden="1" x14ac:dyDescent="0.25">
      <c r="A19" s="7" t="s">
        <v>1811</v>
      </c>
      <c r="B19" s="152"/>
      <c r="C19" s="151" t="s">
        <v>3988</v>
      </c>
      <c r="D19" s="152">
        <v>1</v>
      </c>
      <c r="E19" s="152" t="s">
        <v>60</v>
      </c>
      <c r="F19" s="153">
        <v>2123477000</v>
      </c>
      <c r="G19" s="153">
        <f>ROUNDDOWN(D19*F19,-3)</f>
        <v>2123477000</v>
      </c>
      <c r="H19" s="336"/>
      <c r="I19" s="153"/>
      <c r="J19" s="153"/>
      <c r="K19" s="153"/>
    </row>
    <row r="20" spans="1:13" ht="13.8" hidden="1" x14ac:dyDescent="0.25">
      <c r="A20" s="7" t="s">
        <v>1812</v>
      </c>
      <c r="B20" s="152"/>
      <c r="C20" s="151" t="s">
        <v>3989</v>
      </c>
      <c r="D20" s="152">
        <v>1</v>
      </c>
      <c r="E20" s="152" t="s">
        <v>97</v>
      </c>
      <c r="F20" s="153">
        <v>180000000</v>
      </c>
      <c r="G20" s="153">
        <f>ROUNDDOWN(D20*F20,-3)</f>
        <v>180000000</v>
      </c>
      <c r="H20" s="336"/>
      <c r="I20" s="153"/>
      <c r="J20" s="153"/>
      <c r="K20" s="153"/>
    </row>
    <row r="21" spans="1:13" ht="13.8" x14ac:dyDescent="0.25">
      <c r="A21" s="7" t="s">
        <v>1813</v>
      </c>
      <c r="B21" s="192">
        <v>511119</v>
      </c>
      <c r="C21" s="191" t="s">
        <v>79</v>
      </c>
      <c r="D21" s="192"/>
      <c r="E21" s="192"/>
      <c r="F21" s="193"/>
      <c r="G21" s="193">
        <f>SUM(G22:G24)</f>
        <v>38000</v>
      </c>
      <c r="H21" s="339">
        <v>15786</v>
      </c>
      <c r="I21" s="337">
        <f>H21/G21*100</f>
        <v>41.5421052631579</v>
      </c>
      <c r="J21" s="175">
        <f>G21-H21</f>
        <v>22214</v>
      </c>
      <c r="K21" s="337">
        <f>J21/G21*100</f>
        <v>58.457894736842107</v>
      </c>
      <c r="L21" s="344">
        <f>H21-'[4]PER BULAN'!$AQ$235</f>
        <v>2454</v>
      </c>
    </row>
    <row r="22" spans="1:13" ht="13.8" hidden="1" x14ac:dyDescent="0.25">
      <c r="A22" s="7" t="s">
        <v>1814</v>
      </c>
      <c r="B22" s="152"/>
      <c r="C22" s="151" t="s">
        <v>3990</v>
      </c>
      <c r="D22" s="152">
        <v>1</v>
      </c>
      <c r="E22" s="152" t="s">
        <v>97</v>
      </c>
      <c r="F22" s="153">
        <v>3000</v>
      </c>
      <c r="G22" s="153">
        <f>ROUNDDOWN(D22*F22,-3)</f>
        <v>3000</v>
      </c>
      <c r="H22" s="336"/>
      <c r="I22" s="153"/>
      <c r="J22" s="153"/>
      <c r="K22" s="153"/>
    </row>
    <row r="23" spans="1:13" ht="13.8" hidden="1" x14ac:dyDescent="0.25">
      <c r="A23" s="7" t="s">
        <v>1815</v>
      </c>
      <c r="B23" s="152"/>
      <c r="C23" s="151" t="s">
        <v>3991</v>
      </c>
      <c r="D23" s="152">
        <v>1</v>
      </c>
      <c r="E23" s="152" t="s">
        <v>153</v>
      </c>
      <c r="F23" s="153">
        <v>32000</v>
      </c>
      <c r="G23" s="153">
        <f>ROUNDDOWN(D23*F23,-3)</f>
        <v>32000</v>
      </c>
      <c r="H23" s="336"/>
      <c r="I23" s="153"/>
      <c r="J23" s="153"/>
      <c r="K23" s="153"/>
    </row>
    <row r="24" spans="1:13" ht="13.8" hidden="1" x14ac:dyDescent="0.25">
      <c r="A24" s="7" t="s">
        <v>1816</v>
      </c>
      <c r="B24" s="152"/>
      <c r="C24" s="151" t="s">
        <v>3992</v>
      </c>
      <c r="D24" s="152">
        <v>1</v>
      </c>
      <c r="E24" s="152" t="s">
        <v>97</v>
      </c>
      <c r="F24" s="153">
        <v>3000</v>
      </c>
      <c r="G24" s="153">
        <f>ROUNDDOWN(D24*F24,-3)</f>
        <v>3000</v>
      </c>
      <c r="H24" s="336"/>
      <c r="I24" s="153"/>
      <c r="J24" s="153"/>
      <c r="K24" s="153"/>
    </row>
    <row r="25" spans="1:13" ht="13.8" x14ac:dyDescent="0.25">
      <c r="A25" s="7" t="s">
        <v>1817</v>
      </c>
      <c r="B25" s="192">
        <v>511121</v>
      </c>
      <c r="C25" s="191" t="s">
        <v>80</v>
      </c>
      <c r="D25" s="192"/>
      <c r="E25" s="192"/>
      <c r="F25" s="193"/>
      <c r="G25" s="193">
        <f>SUM(G26:G28)</f>
        <v>171959000</v>
      </c>
      <c r="H25" s="339">
        <v>65751610</v>
      </c>
      <c r="I25" s="337">
        <f>H25/G25*100</f>
        <v>38.236794817369258</v>
      </c>
      <c r="J25" s="175">
        <f>G25-H25</f>
        <v>106207390</v>
      </c>
      <c r="K25" s="337">
        <f>J25/G25*100</f>
        <v>61.763205182630742</v>
      </c>
      <c r="L25" s="344">
        <f>H25-'[4]PER BULAN'!$AQ$236</f>
        <v>10849200</v>
      </c>
    </row>
    <row r="26" spans="1:13" ht="13.8" hidden="1" x14ac:dyDescent="0.25">
      <c r="A26" s="7" t="s">
        <v>1818</v>
      </c>
      <c r="B26" s="152"/>
      <c r="C26" s="151" t="s">
        <v>3993</v>
      </c>
      <c r="D26" s="152">
        <v>1</v>
      </c>
      <c r="E26" s="152" t="s">
        <v>153</v>
      </c>
      <c r="F26" s="153">
        <v>147267000</v>
      </c>
      <c r="G26" s="153">
        <f>ROUNDDOWN(D26*F26,-3)</f>
        <v>147267000</v>
      </c>
      <c r="H26" s="336"/>
      <c r="I26" s="153"/>
      <c r="J26" s="153"/>
      <c r="K26" s="153"/>
    </row>
    <row r="27" spans="1:13" ht="13.8" hidden="1" x14ac:dyDescent="0.25">
      <c r="A27" s="7" t="s">
        <v>1819</v>
      </c>
      <c r="B27" s="152"/>
      <c r="C27" s="151" t="s">
        <v>3994</v>
      </c>
      <c r="D27" s="152">
        <v>1</v>
      </c>
      <c r="E27" s="152" t="s">
        <v>97</v>
      </c>
      <c r="F27" s="153">
        <v>12494000</v>
      </c>
      <c r="G27" s="153">
        <f>ROUNDDOWN(D27*F27,-3)</f>
        <v>12494000</v>
      </c>
      <c r="H27" s="336"/>
      <c r="I27" s="153"/>
      <c r="J27" s="153"/>
      <c r="K27" s="153"/>
    </row>
    <row r="28" spans="1:13" ht="13.8" hidden="1" x14ac:dyDescent="0.25">
      <c r="A28" s="7" t="s">
        <v>1820</v>
      </c>
      <c r="B28" s="152"/>
      <c r="C28" s="151" t="s">
        <v>3995</v>
      </c>
      <c r="D28" s="152">
        <v>1</v>
      </c>
      <c r="E28" s="152" t="s">
        <v>97</v>
      </c>
      <c r="F28" s="153">
        <v>12198000</v>
      </c>
      <c r="G28" s="153">
        <f>ROUNDDOWN(D28*F28,-3)</f>
        <v>12198000</v>
      </c>
      <c r="H28" s="336"/>
      <c r="I28" s="153"/>
      <c r="J28" s="153"/>
      <c r="K28" s="153"/>
    </row>
    <row r="29" spans="1:13" ht="13.8" x14ac:dyDescent="0.25">
      <c r="A29" s="7" t="s">
        <v>1821</v>
      </c>
      <c r="B29" s="192">
        <v>511122</v>
      </c>
      <c r="C29" s="191" t="s">
        <v>81</v>
      </c>
      <c r="D29" s="192"/>
      <c r="E29" s="192"/>
      <c r="F29" s="193"/>
      <c r="G29" s="193">
        <f>SUM(G30:G32)</f>
        <v>46700000</v>
      </c>
      <c r="H29" s="339">
        <v>19499258</v>
      </c>
      <c r="I29" s="337">
        <f>H29/G29*100</f>
        <v>41.754299785867239</v>
      </c>
      <c r="J29" s="175">
        <f>G29-H29</f>
        <v>27200742</v>
      </c>
      <c r="K29" s="337">
        <f>J29/G29*100</f>
        <v>58.245700214132768</v>
      </c>
      <c r="L29" s="344">
        <f>H29-'[4]PER BULAN'!$AQ$237</f>
        <v>3260746</v>
      </c>
    </row>
    <row r="30" spans="1:13" ht="13.8" hidden="1" x14ac:dyDescent="0.25">
      <c r="A30" s="7" t="s">
        <v>1822</v>
      </c>
      <c r="B30" s="152"/>
      <c r="C30" s="151" t="s">
        <v>3996</v>
      </c>
      <c r="D30" s="152">
        <v>1</v>
      </c>
      <c r="E30" s="152" t="s">
        <v>97</v>
      </c>
      <c r="F30" s="153">
        <v>3282000</v>
      </c>
      <c r="G30" s="153">
        <f>ROUNDDOWN(D30*F30,-3)</f>
        <v>3282000</v>
      </c>
      <c r="H30" s="336"/>
      <c r="I30" s="153"/>
      <c r="J30" s="153"/>
      <c r="K30" s="153"/>
    </row>
    <row r="31" spans="1:13" ht="13.8" hidden="1" x14ac:dyDescent="0.25">
      <c r="A31" s="7" t="s">
        <v>1823</v>
      </c>
      <c r="B31" s="152"/>
      <c r="C31" s="151" t="s">
        <v>3997</v>
      </c>
      <c r="D31" s="152">
        <v>1</v>
      </c>
      <c r="E31" s="152" t="s">
        <v>153</v>
      </c>
      <c r="F31" s="153">
        <v>40080000</v>
      </c>
      <c r="G31" s="153">
        <f>ROUNDDOWN(D31*F31,-3)</f>
        <v>40080000</v>
      </c>
      <c r="H31" s="336"/>
      <c r="I31" s="153"/>
      <c r="J31" s="153"/>
      <c r="K31" s="153"/>
    </row>
    <row r="32" spans="1:13" ht="13.8" hidden="1" x14ac:dyDescent="0.25">
      <c r="A32" s="7" t="s">
        <v>1824</v>
      </c>
      <c r="B32" s="152"/>
      <c r="C32" s="151" t="s">
        <v>3998</v>
      </c>
      <c r="D32" s="152">
        <v>1</v>
      </c>
      <c r="E32" s="152" t="s">
        <v>97</v>
      </c>
      <c r="F32" s="153">
        <v>3338000</v>
      </c>
      <c r="G32" s="153">
        <f>ROUNDDOWN(D32*F32,-3)</f>
        <v>3338000</v>
      </c>
      <c r="H32" s="336"/>
      <c r="I32" s="153"/>
      <c r="J32" s="153"/>
      <c r="K32" s="153"/>
    </row>
    <row r="33" spans="1:12" ht="13.8" x14ac:dyDescent="0.25">
      <c r="A33" s="7" t="s">
        <v>1825</v>
      </c>
      <c r="B33" s="192">
        <v>511123</v>
      </c>
      <c r="C33" s="191" t="s">
        <v>82</v>
      </c>
      <c r="D33" s="192"/>
      <c r="E33" s="192"/>
      <c r="F33" s="193"/>
      <c r="G33" s="193">
        <f>SUM(G34:G36)</f>
        <v>158000000</v>
      </c>
      <c r="H33" s="339">
        <v>58380000</v>
      </c>
      <c r="I33" s="337">
        <f>H33/G33*100</f>
        <v>36.949367088607595</v>
      </c>
      <c r="J33" s="175">
        <f>G33-H33</f>
        <v>99620000</v>
      </c>
      <c r="K33" s="337">
        <f>J33/G33*100</f>
        <v>63.050632911392398</v>
      </c>
      <c r="L33" s="344">
        <f>H33-'[4]PER BULAN'!$AQ$238</f>
        <v>9718696</v>
      </c>
    </row>
    <row r="34" spans="1:12" ht="13.8" hidden="1" x14ac:dyDescent="0.25">
      <c r="A34" s="7" t="s">
        <v>1826</v>
      </c>
      <c r="B34" s="152"/>
      <c r="C34" s="151" t="s">
        <v>3999</v>
      </c>
      <c r="D34" s="152">
        <v>1</v>
      </c>
      <c r="E34" s="152" t="s">
        <v>97</v>
      </c>
      <c r="F34" s="153">
        <v>12070000</v>
      </c>
      <c r="G34" s="153">
        <f>ROUNDDOWN(D34*F34,-3)</f>
        <v>12070000</v>
      </c>
      <c r="H34" s="336"/>
      <c r="I34" s="153"/>
      <c r="J34" s="153"/>
      <c r="K34" s="153"/>
    </row>
    <row r="35" spans="1:12" ht="13.8" hidden="1" x14ac:dyDescent="0.25">
      <c r="A35" s="7" t="s">
        <v>1827</v>
      </c>
      <c r="B35" s="152"/>
      <c r="C35" s="151" t="s">
        <v>4000</v>
      </c>
      <c r="D35" s="152">
        <v>1</v>
      </c>
      <c r="E35" s="152" t="s">
        <v>60</v>
      </c>
      <c r="F35" s="153">
        <v>133860000</v>
      </c>
      <c r="G35" s="153">
        <f>ROUNDDOWN(D35*F35,-3)</f>
        <v>133860000</v>
      </c>
      <c r="H35" s="336"/>
      <c r="I35" s="153"/>
      <c r="J35" s="153"/>
      <c r="K35" s="153"/>
    </row>
    <row r="36" spans="1:12" ht="13.8" hidden="1" x14ac:dyDescent="0.25">
      <c r="A36" s="7" t="s">
        <v>1828</v>
      </c>
      <c r="B36" s="152"/>
      <c r="C36" s="151" t="s">
        <v>4001</v>
      </c>
      <c r="D36" s="152">
        <v>1</v>
      </c>
      <c r="E36" s="152" t="s">
        <v>97</v>
      </c>
      <c r="F36" s="153">
        <v>12070000</v>
      </c>
      <c r="G36" s="153">
        <f>ROUNDDOWN(D36*F36,-3)</f>
        <v>12070000</v>
      </c>
      <c r="H36" s="336"/>
      <c r="I36" s="153"/>
      <c r="J36" s="153"/>
      <c r="K36" s="153"/>
    </row>
    <row r="37" spans="1:12" ht="13.8" x14ac:dyDescent="0.25">
      <c r="A37" s="7" t="s">
        <v>1829</v>
      </c>
      <c r="B37" s="192">
        <v>511124</v>
      </c>
      <c r="C37" s="191" t="s">
        <v>83</v>
      </c>
      <c r="D37" s="192"/>
      <c r="E37" s="192"/>
      <c r="F37" s="193"/>
      <c r="G37" s="193">
        <f>SUM(G38:G40)</f>
        <v>48180000</v>
      </c>
      <c r="H37" s="339">
        <v>28515000</v>
      </c>
      <c r="I37" s="337">
        <f>H37/G37*100</f>
        <v>59.184308841843091</v>
      </c>
      <c r="J37" s="175">
        <f>G37-H37</f>
        <v>19665000</v>
      </c>
      <c r="K37" s="337">
        <f>J37/G37*100</f>
        <v>40.815691158156916</v>
      </c>
      <c r="L37" s="344">
        <f>H37-'[4]PER BULAN'!$AQ$239</f>
        <v>4807000</v>
      </c>
    </row>
    <row r="38" spans="1:12" ht="13.8" hidden="1" x14ac:dyDescent="0.25">
      <c r="A38" s="7" t="s">
        <v>1830</v>
      </c>
      <c r="B38" s="152"/>
      <c r="C38" s="151" t="s">
        <v>4002</v>
      </c>
      <c r="D38" s="152">
        <v>1</v>
      </c>
      <c r="E38" s="152" t="s">
        <v>97</v>
      </c>
      <c r="F38" s="153">
        <v>2000000</v>
      </c>
      <c r="G38" s="153">
        <f>ROUNDDOWN(D38*F38,-3)</f>
        <v>2000000</v>
      </c>
      <c r="H38" s="336"/>
      <c r="I38" s="153"/>
      <c r="J38" s="153"/>
      <c r="K38" s="153"/>
    </row>
    <row r="39" spans="1:12" ht="13.8" hidden="1" x14ac:dyDescent="0.25">
      <c r="A39" s="7" t="s">
        <v>1831</v>
      </c>
      <c r="B39" s="152"/>
      <c r="C39" s="151" t="s">
        <v>4003</v>
      </c>
      <c r="D39" s="152">
        <v>1</v>
      </c>
      <c r="E39" s="152" t="s">
        <v>60</v>
      </c>
      <c r="F39" s="153">
        <v>44180000</v>
      </c>
      <c r="G39" s="153">
        <f>ROUNDDOWN(D39*F39,-3)</f>
        <v>44180000</v>
      </c>
      <c r="H39" s="336"/>
      <c r="I39" s="153"/>
      <c r="J39" s="153"/>
      <c r="K39" s="153"/>
    </row>
    <row r="40" spans="1:12" ht="13.8" hidden="1" x14ac:dyDescent="0.25">
      <c r="A40" s="7" t="s">
        <v>1832</v>
      </c>
      <c r="B40" s="152"/>
      <c r="C40" s="151" t="s">
        <v>4004</v>
      </c>
      <c r="D40" s="152">
        <v>1</v>
      </c>
      <c r="E40" s="152" t="s">
        <v>97</v>
      </c>
      <c r="F40" s="153">
        <v>2000000</v>
      </c>
      <c r="G40" s="153">
        <f>ROUNDDOWN(D40*F40,-3)</f>
        <v>2000000</v>
      </c>
      <c r="H40" s="336"/>
      <c r="I40" s="153"/>
      <c r="J40" s="153"/>
      <c r="K40" s="153"/>
    </row>
    <row r="41" spans="1:12" ht="13.8" x14ac:dyDescent="0.25">
      <c r="A41" s="7" t="s">
        <v>1833</v>
      </c>
      <c r="B41" s="192">
        <v>511125</v>
      </c>
      <c r="C41" s="191" t="s">
        <v>84</v>
      </c>
      <c r="D41" s="192"/>
      <c r="E41" s="192"/>
      <c r="F41" s="193"/>
      <c r="G41" s="193">
        <f>SUM(G42:G44)</f>
        <v>13133000</v>
      </c>
      <c r="H41" s="339">
        <v>4084719</v>
      </c>
      <c r="I41" s="337">
        <f>H41/G41*100</f>
        <v>31.102710728698696</v>
      </c>
      <c r="J41" s="175">
        <f>G41-H41</f>
        <v>9048281</v>
      </c>
      <c r="K41" s="337">
        <f>J41/G41*100</f>
        <v>68.897289271301304</v>
      </c>
      <c r="L41" s="344">
        <f>H41-'[4]PER BULAN'!$AQ$240</f>
        <v>273209</v>
      </c>
    </row>
    <row r="42" spans="1:12" ht="13.8" hidden="1" x14ac:dyDescent="0.25">
      <c r="A42" s="7" t="s">
        <v>1834</v>
      </c>
      <c r="B42" s="152"/>
      <c r="C42" s="151" t="s">
        <v>4005</v>
      </c>
      <c r="D42" s="152">
        <v>1</v>
      </c>
      <c r="E42" s="152" t="s">
        <v>97</v>
      </c>
      <c r="F42" s="153">
        <v>3360000</v>
      </c>
      <c r="G42" s="153">
        <f>ROUNDDOWN(D42*F42,-3)</f>
        <v>3360000</v>
      </c>
      <c r="H42" s="336"/>
      <c r="I42" s="153"/>
      <c r="J42" s="153"/>
      <c r="K42" s="153"/>
    </row>
    <row r="43" spans="1:12" ht="13.8" hidden="1" x14ac:dyDescent="0.25">
      <c r="A43" s="7" t="s">
        <v>1835</v>
      </c>
      <c r="B43" s="152"/>
      <c r="C43" s="151" t="s">
        <v>4006</v>
      </c>
      <c r="D43" s="152">
        <v>1</v>
      </c>
      <c r="E43" s="152" t="s">
        <v>153</v>
      </c>
      <c r="F43" s="153">
        <v>6407000</v>
      </c>
      <c r="G43" s="153">
        <f>ROUNDDOWN(D43*F43,-3)</f>
        <v>6407000</v>
      </c>
      <c r="H43" s="336"/>
      <c r="I43" s="153"/>
      <c r="J43" s="153"/>
      <c r="K43" s="153"/>
    </row>
    <row r="44" spans="1:12" ht="13.8" hidden="1" x14ac:dyDescent="0.25">
      <c r="A44" s="7" t="s">
        <v>1836</v>
      </c>
      <c r="B44" s="152"/>
      <c r="C44" s="151" t="s">
        <v>4007</v>
      </c>
      <c r="D44" s="152">
        <v>1</v>
      </c>
      <c r="E44" s="152" t="s">
        <v>97</v>
      </c>
      <c r="F44" s="153">
        <v>3366000</v>
      </c>
      <c r="G44" s="153">
        <f>ROUNDDOWN(D44*F44,-3)</f>
        <v>3366000</v>
      </c>
      <c r="H44" s="336"/>
      <c r="I44" s="153"/>
      <c r="J44" s="153"/>
      <c r="K44" s="153"/>
    </row>
    <row r="45" spans="1:12" ht="13.8" x14ac:dyDescent="0.25">
      <c r="A45" s="7" t="s">
        <v>1837</v>
      </c>
      <c r="B45" s="192">
        <v>511126</v>
      </c>
      <c r="C45" s="191" t="s">
        <v>85</v>
      </c>
      <c r="D45" s="192"/>
      <c r="E45" s="192"/>
      <c r="F45" s="193"/>
      <c r="G45" s="193">
        <f>G46</f>
        <v>130333000</v>
      </c>
      <c r="H45" s="339">
        <v>44248620</v>
      </c>
      <c r="I45" s="337">
        <f>H45/G45*100</f>
        <v>33.950434655843111</v>
      </c>
      <c r="J45" s="175">
        <f>G45-H45</f>
        <v>86084380</v>
      </c>
      <c r="K45" s="337">
        <f>J45/G45*100</f>
        <v>66.049565344156889</v>
      </c>
      <c r="L45" s="344">
        <f>H45-'[4]PER BULAN'!$AQ$241</f>
        <v>8835240</v>
      </c>
    </row>
    <row r="46" spans="1:12" ht="13.8" hidden="1" x14ac:dyDescent="0.25">
      <c r="A46" s="7" t="s">
        <v>1838</v>
      </c>
      <c r="B46" s="152"/>
      <c r="C46" s="151" t="s">
        <v>4008</v>
      </c>
      <c r="D46" s="152">
        <v>1</v>
      </c>
      <c r="E46" s="152" t="s">
        <v>60</v>
      </c>
      <c r="F46" s="153">
        <v>130333000</v>
      </c>
      <c r="G46" s="153">
        <f>ROUNDDOWN(D46*F46,-3)</f>
        <v>130333000</v>
      </c>
      <c r="H46" s="336"/>
      <c r="I46" s="153"/>
      <c r="J46" s="153"/>
      <c r="K46" s="153"/>
    </row>
    <row r="47" spans="1:12" ht="13.8" x14ac:dyDescent="0.25">
      <c r="A47" s="7" t="s">
        <v>1839</v>
      </c>
      <c r="B47" s="192">
        <v>511129</v>
      </c>
      <c r="C47" s="191" t="s">
        <v>86</v>
      </c>
      <c r="D47" s="192"/>
      <c r="E47" s="192"/>
      <c r="F47" s="193"/>
      <c r="G47" s="193">
        <f>G48</f>
        <v>379379000</v>
      </c>
      <c r="H47" s="339">
        <v>83417000</v>
      </c>
      <c r="I47" s="337">
        <f>H47/G47*100</f>
        <v>21.987774758223306</v>
      </c>
      <c r="J47" s="175">
        <f>G47-H47</f>
        <v>295962000</v>
      </c>
      <c r="K47" s="337">
        <f>J47/G47*100</f>
        <v>78.01222524177669</v>
      </c>
      <c r="L47" s="344">
        <f>H47-'[4]PER BULAN'!$AQ$242</f>
        <v>-185000</v>
      </c>
    </row>
    <row r="48" spans="1:12" ht="13.8" hidden="1" x14ac:dyDescent="0.25">
      <c r="A48" s="7" t="s">
        <v>1840</v>
      </c>
      <c r="B48" s="152"/>
      <c r="C48" s="151" t="s">
        <v>4009</v>
      </c>
      <c r="D48" s="152">
        <v>1</v>
      </c>
      <c r="E48" s="152" t="s">
        <v>153</v>
      </c>
      <c r="F48" s="153">
        <v>379379000</v>
      </c>
      <c r="G48" s="153">
        <f>ROUNDDOWN(D48*F48,-3)</f>
        <v>379379000</v>
      </c>
      <c r="H48" s="336"/>
      <c r="I48" s="153"/>
      <c r="J48" s="153"/>
      <c r="K48" s="153"/>
    </row>
    <row r="49" spans="1:12" ht="13.8" x14ac:dyDescent="0.25">
      <c r="A49" s="7" t="s">
        <v>1841</v>
      </c>
      <c r="B49" s="192">
        <v>511151</v>
      </c>
      <c r="C49" s="191" t="s">
        <v>87</v>
      </c>
      <c r="D49" s="192"/>
      <c r="E49" s="192"/>
      <c r="F49" s="193"/>
      <c r="G49" s="193">
        <f>SUM(G50:G52)</f>
        <v>88360000</v>
      </c>
      <c r="H49" s="339">
        <v>33430000</v>
      </c>
      <c r="I49" s="337">
        <f>H49/G49*100</f>
        <v>37.833861475780893</v>
      </c>
      <c r="J49" s="175">
        <f>G49-H49</f>
        <v>54930000</v>
      </c>
      <c r="K49" s="337">
        <f>J49/G49*100</f>
        <v>62.166138524219107</v>
      </c>
      <c r="L49" s="344">
        <f>H49-'[4]PER BULAN'!$AQ$243</f>
        <v>5720000</v>
      </c>
    </row>
    <row r="50" spans="1:12" ht="13.8" hidden="1" x14ac:dyDescent="0.25">
      <c r="A50" s="7" t="s">
        <v>1842</v>
      </c>
      <c r="B50" s="152"/>
      <c r="C50" s="151" t="s">
        <v>4010</v>
      </c>
      <c r="D50" s="152">
        <v>1</v>
      </c>
      <c r="E50" s="152" t="s">
        <v>97</v>
      </c>
      <c r="F50" s="153">
        <v>6655000</v>
      </c>
      <c r="G50" s="153">
        <f>ROUNDDOWN(D50*F50,-3)</f>
        <v>6655000</v>
      </c>
      <c r="H50" s="336"/>
      <c r="I50" s="153"/>
      <c r="J50" s="153"/>
      <c r="K50" s="153"/>
    </row>
    <row r="51" spans="1:12" ht="13.8" hidden="1" x14ac:dyDescent="0.25">
      <c r="A51" s="7" t="s">
        <v>1843</v>
      </c>
      <c r="B51" s="152"/>
      <c r="C51" s="151" t="s">
        <v>4011</v>
      </c>
      <c r="D51" s="152">
        <v>1</v>
      </c>
      <c r="E51" s="152" t="s">
        <v>60</v>
      </c>
      <c r="F51" s="153">
        <v>75605000</v>
      </c>
      <c r="G51" s="153">
        <f>ROUNDDOWN(D51*F51,-3)</f>
        <v>75605000</v>
      </c>
      <c r="H51" s="336"/>
      <c r="I51" s="153"/>
      <c r="J51" s="153"/>
      <c r="K51" s="153"/>
    </row>
    <row r="52" spans="1:12" ht="13.8" hidden="1" x14ac:dyDescent="0.25">
      <c r="A52" s="7" t="s">
        <v>1844</v>
      </c>
      <c r="B52" s="152"/>
      <c r="C52" s="151" t="s">
        <v>4012</v>
      </c>
      <c r="D52" s="152">
        <v>1</v>
      </c>
      <c r="E52" s="152" t="s">
        <v>97</v>
      </c>
      <c r="F52" s="153">
        <v>6100000</v>
      </c>
      <c r="G52" s="153">
        <f>ROUNDDOWN(D52*F52,-3)</f>
        <v>6100000</v>
      </c>
      <c r="H52" s="336"/>
      <c r="I52" s="153"/>
      <c r="J52" s="153"/>
      <c r="K52" s="153"/>
    </row>
    <row r="53" spans="1:12" ht="13.8" x14ac:dyDescent="0.25">
      <c r="A53" s="7" t="s">
        <v>1845</v>
      </c>
      <c r="B53" s="192">
        <v>512411</v>
      </c>
      <c r="C53" s="191" t="s">
        <v>88</v>
      </c>
      <c r="D53" s="192"/>
      <c r="E53" s="192"/>
      <c r="F53" s="193"/>
      <c r="G53" s="193">
        <f>G54</f>
        <v>2635488000</v>
      </c>
      <c r="H53" s="339">
        <v>839370902</v>
      </c>
      <c r="I53" s="337">
        <f>H53/G53*100</f>
        <v>31.848784817081317</v>
      </c>
      <c r="J53" s="175">
        <f>G53-H53</f>
        <v>1796117098</v>
      </c>
      <c r="K53" s="337">
        <f>J53/G53*100</f>
        <v>68.151215182918691</v>
      </c>
      <c r="L53" s="344">
        <f>H53-'[4]PER BULAN'!$AQ$244</f>
        <v>3000</v>
      </c>
    </row>
    <row r="54" spans="1:12" ht="13.8" hidden="1" x14ac:dyDescent="0.25">
      <c r="A54" s="7" t="s">
        <v>1846</v>
      </c>
      <c r="B54" s="152"/>
      <c r="C54" s="151" t="s">
        <v>4013</v>
      </c>
      <c r="D54" s="152">
        <v>1</v>
      </c>
      <c r="E54" s="152" t="s">
        <v>153</v>
      </c>
      <c r="F54" s="153">
        <v>2635488000</v>
      </c>
      <c r="G54" s="153">
        <f>ROUNDDOWN(D54*F54,-3)</f>
        <v>2635488000</v>
      </c>
      <c r="H54" s="336"/>
      <c r="I54" s="153"/>
      <c r="J54" s="153"/>
      <c r="K54" s="153"/>
    </row>
    <row r="55" spans="1:12" ht="13.8" x14ac:dyDescent="0.25">
      <c r="A55" s="7" t="s">
        <v>4041</v>
      </c>
      <c r="B55" s="192" t="s">
        <v>2208</v>
      </c>
      <c r="C55" s="191" t="s">
        <v>4042</v>
      </c>
      <c r="D55" s="192"/>
      <c r="E55" s="192"/>
      <c r="F55" s="193"/>
      <c r="G55" s="193">
        <f>G56</f>
        <v>323949000</v>
      </c>
      <c r="H55" s="339">
        <f>H56</f>
        <v>0</v>
      </c>
      <c r="I55" s="337">
        <f>H55/G55*100</f>
        <v>0</v>
      </c>
      <c r="J55" s="175">
        <f>G55-H55</f>
        <v>323949000</v>
      </c>
      <c r="K55" s="337">
        <f>J55/G55*100</f>
        <v>100</v>
      </c>
    </row>
    <row r="56" spans="1:12" ht="13.8" x14ac:dyDescent="0.25">
      <c r="A56" s="7" t="s">
        <v>4043</v>
      </c>
      <c r="B56" s="192">
        <v>512411</v>
      </c>
      <c r="C56" s="191" t="s">
        <v>88</v>
      </c>
      <c r="D56" s="192"/>
      <c r="E56" s="192"/>
      <c r="F56" s="193"/>
      <c r="G56" s="193">
        <f>G57</f>
        <v>323949000</v>
      </c>
      <c r="H56" s="339">
        <v>0</v>
      </c>
      <c r="I56" s="337">
        <f>H56/G56*100</f>
        <v>0</v>
      </c>
      <c r="J56" s="175">
        <f>G56-H56</f>
        <v>323949000</v>
      </c>
      <c r="K56" s="337">
        <f>J56/G56*100</f>
        <v>100</v>
      </c>
    </row>
    <row r="57" spans="1:12" ht="13.8" hidden="1" x14ac:dyDescent="0.25">
      <c r="A57" s="7" t="s">
        <v>4044</v>
      </c>
      <c r="B57" s="152"/>
      <c r="C57" s="151" t="s">
        <v>4045</v>
      </c>
      <c r="D57" s="152">
        <v>1</v>
      </c>
      <c r="E57" s="152" t="s">
        <v>4046</v>
      </c>
      <c r="F57" s="153">
        <v>323949000</v>
      </c>
      <c r="G57" s="153">
        <f>ROUNDDOWN(D57*F57,-3)</f>
        <v>323949000</v>
      </c>
      <c r="H57" s="153"/>
      <c r="I57" s="335"/>
      <c r="J57" s="335"/>
      <c r="K57" s="210"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595" priority="18">
      <formula>NOT(_xlfn.ISFORMULA(G12))</formula>
    </cfRule>
  </conditionalFormatting>
  <conditionalFormatting sqref="B11:K12 K56:K57">
    <cfRule type="expression" dxfId="594" priority="19">
      <formula>AND(#REF!="Ya",#REF!=ROW())</formula>
    </cfRule>
  </conditionalFormatting>
  <conditionalFormatting sqref="B13:J57">
    <cfRule type="expression" dxfId="593" priority="22">
      <formula>AND(#REF!="Ya",#REF!=ROW())</formula>
    </cfRule>
  </conditionalFormatting>
  <conditionalFormatting sqref="K13:K56">
    <cfRule type="expression" dxfId="592" priority="4">
      <formula>AND(#REF!="Ya",#REF!=ROW())</formula>
    </cfRule>
  </conditionalFormatting>
  <conditionalFormatting sqref="I55:I56 I53 I49 I47 I45 I41 I37 I33 I29 I25 I21 I13:I17">
    <cfRule type="expression" dxfId="591" priority="3">
      <formula>AND(#REF!="Ya",#REF!=ROW())</formula>
    </cfRule>
  </conditionalFormatting>
  <conditionalFormatting sqref="J55:J56 J53 J49 J47 J45 J41 J37 J33 J29 J25 J21 J13:J17">
    <cfRule type="expression" dxfId="590" priority="2">
      <formula>AND(#REF!="Ya",#REF!=ROW())</formula>
    </cfRule>
  </conditionalFormatting>
  <conditionalFormatting sqref="K55 K53 K49 K47 K45 K41 K37 K33 K29 K25 K21 K13:K17">
    <cfRule type="expression" dxfId="589"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6"/>
  <sheetViews>
    <sheetView showGridLines="0" tabSelected="1" view="pageBreakPreview" zoomScaleNormal="100" zoomScaleSheetLayoutView="100" workbookViewId="0">
      <pane xSplit="3" ySplit="11" topLeftCell="D398" activePane="bottomRight" state="frozen"/>
      <selection activeCell="B1" sqref="B1"/>
      <selection pane="topRight" activeCell="D1" sqref="D1"/>
      <selection pane="bottomLeft" activeCell="B12" sqref="B12"/>
      <selection pane="bottomRight" activeCell="J404" sqref="J404"/>
    </sheetView>
  </sheetViews>
  <sheetFormatPr defaultColWidth="9.109375" defaultRowHeight="13.2" x14ac:dyDescent="0.25"/>
  <cols>
    <col min="1" max="1" width="35.88671875" style="178" customWidth="1"/>
    <col min="2" max="2" width="16.33203125" style="173" bestFit="1"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10" width="16.88671875" style="182" customWidth="1"/>
    <col min="11" max="13" width="20" style="117" customWidth="1"/>
    <col min="14" max="14" width="9.109375" style="117"/>
    <col min="15" max="15" width="15" style="117" customWidth="1"/>
    <col min="16" max="16384" width="9.109375" style="117"/>
  </cols>
  <sheetData>
    <row r="1" spans="1:24" ht="15.6" x14ac:dyDescent="0.25">
      <c r="B1" s="424" t="s">
        <v>598</v>
      </c>
      <c r="C1" s="424"/>
      <c r="D1" s="424"/>
      <c r="E1" s="424"/>
      <c r="F1" s="424"/>
      <c r="G1" s="432"/>
      <c r="H1" s="294"/>
      <c r="I1" s="294"/>
      <c r="J1" s="294"/>
    </row>
    <row r="2" spans="1:24" ht="15.6" x14ac:dyDescent="0.3">
      <c r="B2" s="433" t="s">
        <v>4850</v>
      </c>
      <c r="C2" s="433"/>
      <c r="D2" s="433"/>
      <c r="E2" s="433"/>
      <c r="F2" s="433"/>
      <c r="G2" s="434"/>
      <c r="H2" s="296"/>
      <c r="I2" s="296"/>
      <c r="J2" s="296"/>
    </row>
    <row r="3" spans="1:24" ht="15.6" x14ac:dyDescent="0.3">
      <c r="B3" s="295"/>
      <c r="C3" s="295"/>
      <c r="D3" s="295"/>
      <c r="E3" s="295"/>
      <c r="F3" s="295"/>
      <c r="G3" s="296"/>
      <c r="H3" s="296"/>
      <c r="I3" s="296"/>
      <c r="J3" s="296"/>
    </row>
    <row r="4" spans="1:24" ht="15" x14ac:dyDescent="0.25">
      <c r="B4" s="185" t="s">
        <v>599</v>
      </c>
      <c r="C4" s="185" t="s">
        <v>600</v>
      </c>
      <c r="D4" s="186"/>
      <c r="E4" s="186"/>
      <c r="F4" s="185"/>
      <c r="G4" s="187"/>
      <c r="H4" s="187"/>
      <c r="I4" s="187"/>
      <c r="J4" s="187"/>
    </row>
    <row r="5" spans="1:24" ht="15" x14ac:dyDescent="0.25">
      <c r="B5" s="185" t="s">
        <v>601</v>
      </c>
      <c r="C5" s="185" t="s">
        <v>602</v>
      </c>
      <c r="D5" s="53"/>
      <c r="E5" s="53"/>
      <c r="F5" s="50"/>
      <c r="G5" s="143"/>
      <c r="H5" s="143"/>
      <c r="I5" s="143"/>
      <c r="J5" s="143"/>
    </row>
    <row r="6" spans="1:24" ht="15" x14ac:dyDescent="0.25">
      <c r="B6" s="185" t="s">
        <v>603</v>
      </c>
      <c r="C6" s="185" t="s">
        <v>604</v>
      </c>
      <c r="D6" s="53"/>
      <c r="E6" s="53"/>
      <c r="F6" s="50"/>
      <c r="G6" s="143"/>
      <c r="H6" s="143"/>
      <c r="I6" s="143"/>
      <c r="J6" s="143"/>
    </row>
    <row r="7" spans="1:24" ht="15.6" x14ac:dyDescent="0.3">
      <c r="B7" s="185" t="s">
        <v>605</v>
      </c>
      <c r="C7" s="188" t="str">
        <f>":  Rp. " &amp; TEXT(G12,"#.##")</f>
        <v>:  Rp. 16.863.164.000</v>
      </c>
      <c r="D7" s="53"/>
      <c r="E7" s="53"/>
      <c r="F7" s="50"/>
      <c r="G7" s="143"/>
      <c r="H7" s="143"/>
      <c r="I7" s="143"/>
      <c r="J7" s="143"/>
    </row>
    <row r="8" spans="1:24" ht="15" x14ac:dyDescent="0.25">
      <c r="B8" s="189"/>
      <c r="C8" s="189"/>
      <c r="D8" s="189"/>
      <c r="E8" s="189"/>
      <c r="F8" s="189"/>
      <c r="G8" s="190"/>
      <c r="H8" s="190"/>
      <c r="I8" s="190"/>
      <c r="J8" s="190"/>
    </row>
    <row r="9" spans="1:24" ht="13.8" x14ac:dyDescent="0.25">
      <c r="B9" s="435" t="s">
        <v>606</v>
      </c>
      <c r="C9" s="436" t="s">
        <v>607</v>
      </c>
      <c r="D9" s="437" t="s">
        <v>608</v>
      </c>
      <c r="E9" s="435" t="s">
        <v>609</v>
      </c>
      <c r="F9" s="437" t="s">
        <v>610</v>
      </c>
      <c r="G9" s="431" t="s">
        <v>611</v>
      </c>
      <c r="H9" s="208"/>
      <c r="I9" s="208"/>
      <c r="J9" s="208"/>
      <c r="K9" s="438" t="s">
        <v>4629</v>
      </c>
      <c r="L9" s="438"/>
      <c r="M9" s="438"/>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3.8" x14ac:dyDescent="0.25">
      <c r="A10" s="179" t="s">
        <v>499</v>
      </c>
      <c r="B10" s="427"/>
      <c r="C10" s="427"/>
      <c r="D10" s="430"/>
      <c r="E10" s="430"/>
      <c r="F10" s="427"/>
      <c r="G10" s="427"/>
      <c r="H10" s="217"/>
      <c r="I10" s="217"/>
      <c r="J10" s="217"/>
      <c r="K10" s="293" t="s">
        <v>4641</v>
      </c>
      <c r="L10" s="293" t="s">
        <v>4642</v>
      </c>
      <c r="M10" s="293" t="s">
        <v>4643</v>
      </c>
    </row>
    <row r="11" spans="1:24" s="180" customFormat="1" x14ac:dyDescent="0.25">
      <c r="A11" s="179"/>
      <c r="B11" s="176">
        <v>1</v>
      </c>
      <c r="C11" s="176">
        <v>2</v>
      </c>
      <c r="D11" s="176">
        <v>3</v>
      </c>
      <c r="E11" s="176">
        <v>4</v>
      </c>
      <c r="F11" s="176">
        <v>5</v>
      </c>
      <c r="G11" s="177">
        <v>6</v>
      </c>
      <c r="H11" s="209"/>
      <c r="I11" s="209"/>
      <c r="J11" s="209"/>
    </row>
    <row r="12" spans="1:24" s="180" customFormat="1" x14ac:dyDescent="0.25">
      <c r="A12" s="179"/>
      <c r="B12" s="127" t="s">
        <v>4645</v>
      </c>
      <c r="C12" s="128" t="s">
        <v>613</v>
      </c>
      <c r="D12" s="129"/>
      <c r="E12" s="130"/>
      <c r="F12" s="129"/>
      <c r="G12" s="175">
        <f>SUM(G13,G114)</f>
        <v>16863164000</v>
      </c>
      <c r="H12" s="210" t="b">
        <f>_xlfn.ISFORMULA(G12)</f>
        <v>1</v>
      </c>
      <c r="I12" s="210"/>
      <c r="J12" s="210"/>
    </row>
    <row r="13" spans="1:24" ht="13.8" x14ac:dyDescent="0.25">
      <c r="A13" s="7" t="s">
        <v>0</v>
      </c>
      <c r="B13" s="54" t="s">
        <v>0</v>
      </c>
      <c r="C13" s="23" t="s">
        <v>1</v>
      </c>
      <c r="D13" s="54"/>
      <c r="E13" s="54"/>
      <c r="F13" s="24"/>
      <c r="G13" s="24">
        <f>G14</f>
        <v>1000000000</v>
      </c>
      <c r="H13" s="210" t="b">
        <f>_xlfn.ISFORMULA(G13)</f>
        <v>1</v>
      </c>
      <c r="I13" s="210"/>
      <c r="J13" s="210"/>
    </row>
    <row r="14" spans="1:24" ht="13.8" x14ac:dyDescent="0.25">
      <c r="A14" s="21" t="s">
        <v>419</v>
      </c>
      <c r="B14" s="55">
        <v>2376</v>
      </c>
      <c r="C14" s="26" t="s">
        <v>47</v>
      </c>
      <c r="D14" s="68"/>
      <c r="E14" s="55"/>
      <c r="F14" s="27"/>
      <c r="G14" s="27">
        <f>G15</f>
        <v>1000000000</v>
      </c>
      <c r="H14" s="210" t="b">
        <f t="shared" ref="H14:H77" si="0">_xlfn.ISFORMULA(G14)</f>
        <v>1</v>
      </c>
      <c r="I14" s="210"/>
      <c r="J14" s="210"/>
    </row>
    <row r="15" spans="1:24" ht="13.8" x14ac:dyDescent="0.25">
      <c r="A15" s="21" t="s">
        <v>420</v>
      </c>
      <c r="B15" s="135" t="s">
        <v>48</v>
      </c>
      <c r="C15" s="133" t="s">
        <v>615</v>
      </c>
      <c r="D15" s="134">
        <v>4</v>
      </c>
      <c r="E15" s="135" t="s">
        <v>3596</v>
      </c>
      <c r="F15" s="136"/>
      <c r="G15" s="136">
        <f>G16</f>
        <v>1000000000</v>
      </c>
      <c r="H15" s="210" t="b">
        <f t="shared" si="0"/>
        <v>1</v>
      </c>
      <c r="I15" s="210"/>
      <c r="J15" s="210"/>
    </row>
    <row r="16" spans="1:24" ht="26.4" x14ac:dyDescent="0.25">
      <c r="A16" s="21" t="s">
        <v>421</v>
      </c>
      <c r="B16" s="138" t="s">
        <v>3712</v>
      </c>
      <c r="C16" s="137" t="s">
        <v>49</v>
      </c>
      <c r="D16" s="138">
        <v>4</v>
      </c>
      <c r="E16" s="138" t="s">
        <v>3596</v>
      </c>
      <c r="F16" s="139"/>
      <c r="G16" s="139">
        <f>SUM(G17,G38,G49,G98)</f>
        <v>1000000000</v>
      </c>
      <c r="H16" s="210" t="b">
        <f t="shared" si="0"/>
        <v>1</v>
      </c>
      <c r="I16" s="210"/>
      <c r="J16" s="210"/>
    </row>
    <row r="17" spans="1:12" ht="13.8" x14ac:dyDescent="0.25">
      <c r="A17" s="21" t="s">
        <v>422</v>
      </c>
      <c r="B17" s="58" t="s">
        <v>502</v>
      </c>
      <c r="C17" s="35" t="s">
        <v>50</v>
      </c>
      <c r="D17" s="69"/>
      <c r="E17" s="58"/>
      <c r="F17" s="36"/>
      <c r="G17" s="36">
        <f>SUM(G18,G28)</f>
        <v>124100000</v>
      </c>
      <c r="H17" s="210" t="b">
        <f t="shared" si="0"/>
        <v>1</v>
      </c>
      <c r="I17" s="210"/>
      <c r="J17" s="210"/>
    </row>
    <row r="18" spans="1:12" ht="13.8" x14ac:dyDescent="0.25">
      <c r="A18" s="21" t="s">
        <v>423</v>
      </c>
      <c r="B18" s="59" t="s">
        <v>8</v>
      </c>
      <c r="C18" s="38" t="s">
        <v>51</v>
      </c>
      <c r="D18" s="59"/>
      <c r="E18" s="59"/>
      <c r="F18" s="39"/>
      <c r="G18" s="39">
        <f>SUM(G19,G24,G26)</f>
        <v>83135000</v>
      </c>
      <c r="H18" s="210" t="b">
        <f t="shared" si="0"/>
        <v>1</v>
      </c>
      <c r="I18" s="210"/>
      <c r="J18" s="210"/>
    </row>
    <row r="19" spans="1:12" ht="13.8" x14ac:dyDescent="0.25">
      <c r="A19" s="21" t="s">
        <v>424</v>
      </c>
      <c r="B19" s="60">
        <v>521211</v>
      </c>
      <c r="C19" s="41" t="s">
        <v>7</v>
      </c>
      <c r="D19" s="71"/>
      <c r="E19" s="60"/>
      <c r="F19" s="42"/>
      <c r="G19" s="42">
        <f>SUM(G20:G23)</f>
        <v>8375000</v>
      </c>
      <c r="H19" s="210" t="b">
        <f t="shared" si="0"/>
        <v>1</v>
      </c>
      <c r="I19" s="210"/>
      <c r="J19" s="210"/>
    </row>
    <row r="20" spans="1:12" ht="13.8" x14ac:dyDescent="0.25">
      <c r="A20" s="21" t="s">
        <v>425</v>
      </c>
      <c r="B20" s="152"/>
      <c r="C20" s="151" t="s">
        <v>3713</v>
      </c>
      <c r="D20" s="213">
        <v>65</v>
      </c>
      <c r="E20" s="152" t="s">
        <v>10</v>
      </c>
      <c r="F20" s="153">
        <v>75000</v>
      </c>
      <c r="G20" s="153">
        <f>ROUNDDOWN(D20*F20,-3)</f>
        <v>4875000</v>
      </c>
      <c r="H20" s="210" t="b">
        <f t="shared" si="0"/>
        <v>1</v>
      </c>
      <c r="I20" s="210"/>
      <c r="J20" s="210"/>
      <c r="L20" s="117" t="s">
        <v>4644</v>
      </c>
    </row>
    <row r="21" spans="1:12" ht="13.8" x14ac:dyDescent="0.25">
      <c r="A21" s="21" t="s">
        <v>426</v>
      </c>
      <c r="B21" s="152"/>
      <c r="C21" s="151" t="s">
        <v>3714</v>
      </c>
      <c r="D21" s="152">
        <v>1</v>
      </c>
      <c r="E21" s="152" t="s">
        <v>106</v>
      </c>
      <c r="F21" s="153">
        <v>1000000</v>
      </c>
      <c r="G21" s="153">
        <f>ROUNDDOWN(D21*F21,-3)</f>
        <v>1000000</v>
      </c>
      <c r="H21" s="210" t="b">
        <f t="shared" si="0"/>
        <v>1</v>
      </c>
      <c r="I21" s="210"/>
      <c r="J21" s="210"/>
    </row>
    <row r="22" spans="1:12" ht="13.8" x14ac:dyDescent="0.25">
      <c r="A22" s="21" t="s">
        <v>427</v>
      </c>
      <c r="B22" s="152"/>
      <c r="C22" s="151" t="s">
        <v>3600</v>
      </c>
      <c r="D22" s="213">
        <v>1</v>
      </c>
      <c r="E22" s="152" t="s">
        <v>106</v>
      </c>
      <c r="F22" s="153">
        <v>1000000</v>
      </c>
      <c r="G22" s="153">
        <f>ROUNDDOWN(D22*F22,-3)</f>
        <v>1000000</v>
      </c>
      <c r="H22" s="210" t="b">
        <f t="shared" si="0"/>
        <v>1</v>
      </c>
      <c r="I22" s="210"/>
      <c r="J22" s="210"/>
    </row>
    <row r="23" spans="1:12" ht="13.8" x14ac:dyDescent="0.25">
      <c r="A23" s="21" t="s">
        <v>428</v>
      </c>
      <c r="B23" s="152"/>
      <c r="C23" s="151" t="s">
        <v>3601</v>
      </c>
      <c r="D23" s="152">
        <v>1</v>
      </c>
      <c r="E23" s="152" t="s">
        <v>106</v>
      </c>
      <c r="F23" s="153">
        <v>1500000</v>
      </c>
      <c r="G23" s="153">
        <f>ROUNDDOWN(D23*F23,-3)</f>
        <v>1500000</v>
      </c>
      <c r="H23" s="210" t="b">
        <f t="shared" si="0"/>
        <v>1</v>
      </c>
      <c r="I23" s="210"/>
      <c r="J23" s="210"/>
    </row>
    <row r="24" spans="1:12" ht="13.8" x14ac:dyDescent="0.25">
      <c r="A24" s="21" t="s">
        <v>772</v>
      </c>
      <c r="B24" s="60">
        <v>522151</v>
      </c>
      <c r="C24" s="41" t="s">
        <v>11</v>
      </c>
      <c r="D24" s="71"/>
      <c r="E24" s="60"/>
      <c r="F24" s="42"/>
      <c r="G24" s="42">
        <f>G25</f>
        <v>1000000</v>
      </c>
      <c r="H24" s="210" t="b">
        <f>_xlfn.ISFORMULA(G24)</f>
        <v>1</v>
      </c>
      <c r="I24" s="210"/>
      <c r="J24" s="210"/>
    </row>
    <row r="25" spans="1:12" ht="13.8" x14ac:dyDescent="0.25">
      <c r="A25" s="21" t="s">
        <v>773</v>
      </c>
      <c r="B25" s="152"/>
      <c r="C25" s="151" t="s">
        <v>3715</v>
      </c>
      <c r="D25" s="152">
        <v>1</v>
      </c>
      <c r="E25" s="152" t="s">
        <v>54</v>
      </c>
      <c r="F25" s="153">
        <v>1000000</v>
      </c>
      <c r="G25" s="153">
        <f>ROUNDDOWN(D25*F25,-3)</f>
        <v>1000000</v>
      </c>
      <c r="H25" s="210" t="b">
        <f t="shared" si="0"/>
        <v>1</v>
      </c>
      <c r="I25" s="210"/>
      <c r="J25" s="210"/>
    </row>
    <row r="26" spans="1:12" ht="13.8" x14ac:dyDescent="0.25">
      <c r="A26" s="21" t="s">
        <v>429</v>
      </c>
      <c r="B26" s="60">
        <v>524111</v>
      </c>
      <c r="C26" s="41" t="s">
        <v>19</v>
      </c>
      <c r="D26" s="60"/>
      <c r="E26" s="60"/>
      <c r="F26" s="42"/>
      <c r="G26" s="42">
        <f>G27</f>
        <v>73760000</v>
      </c>
      <c r="H26" s="210" t="b">
        <f t="shared" si="0"/>
        <v>1</v>
      </c>
      <c r="I26" s="210"/>
      <c r="J26" s="210"/>
    </row>
    <row r="27" spans="1:12" ht="26.4" x14ac:dyDescent="0.25">
      <c r="A27" s="21" t="s">
        <v>430</v>
      </c>
      <c r="B27" s="152"/>
      <c r="C27" s="151" t="s">
        <v>3716</v>
      </c>
      <c r="D27" s="213">
        <v>12</v>
      </c>
      <c r="E27" s="152" t="s">
        <v>776</v>
      </c>
      <c r="F27" s="153">
        <v>6146667</v>
      </c>
      <c r="G27" s="153">
        <f>ROUNDDOWN(D27*F27,-3)</f>
        <v>73760000</v>
      </c>
      <c r="H27" s="210" t="b">
        <f t="shared" si="0"/>
        <v>1</v>
      </c>
      <c r="I27" s="210"/>
      <c r="J27" s="210"/>
    </row>
    <row r="28" spans="1:12" ht="13.8" x14ac:dyDescent="0.25">
      <c r="A28" s="21" t="s">
        <v>431</v>
      </c>
      <c r="B28" s="59" t="s">
        <v>511</v>
      </c>
      <c r="C28" s="38" t="s">
        <v>55</v>
      </c>
      <c r="D28" s="70"/>
      <c r="E28" s="59"/>
      <c r="F28" s="39"/>
      <c r="G28" s="39">
        <f>SUM(G29,G34,G36)</f>
        <v>40965000</v>
      </c>
      <c r="H28" s="210" t="b">
        <f t="shared" si="0"/>
        <v>1</v>
      </c>
      <c r="I28" s="210"/>
      <c r="J28" s="210"/>
    </row>
    <row r="29" spans="1:12" ht="13.8" x14ac:dyDescent="0.25">
      <c r="A29" s="21" t="s">
        <v>432</v>
      </c>
      <c r="B29" s="60">
        <v>521211</v>
      </c>
      <c r="C29" s="41" t="s">
        <v>7</v>
      </c>
      <c r="D29" s="71"/>
      <c r="E29" s="60"/>
      <c r="F29" s="42"/>
      <c r="G29" s="42">
        <f>SUM(G30:G33)</f>
        <v>6725000</v>
      </c>
      <c r="H29" s="210" t="b">
        <f t="shared" si="0"/>
        <v>1</v>
      </c>
      <c r="I29" s="210"/>
      <c r="J29" s="210"/>
    </row>
    <row r="30" spans="1:12" ht="13.8" x14ac:dyDescent="0.25">
      <c r="A30" s="21" t="s">
        <v>433</v>
      </c>
      <c r="B30" s="152"/>
      <c r="C30" s="151" t="s">
        <v>3713</v>
      </c>
      <c r="D30" s="152">
        <v>43</v>
      </c>
      <c r="E30" s="152" t="s">
        <v>10</v>
      </c>
      <c r="F30" s="153">
        <v>75000</v>
      </c>
      <c r="G30" s="153">
        <f>ROUNDDOWN(D30*F30,-3)</f>
        <v>3225000</v>
      </c>
      <c r="H30" s="210" t="b">
        <f t="shared" si="0"/>
        <v>1</v>
      </c>
      <c r="I30" s="210"/>
      <c r="J30" s="210"/>
    </row>
    <row r="31" spans="1:12" ht="13.8" x14ac:dyDescent="0.25">
      <c r="A31" s="21" t="s">
        <v>434</v>
      </c>
      <c r="B31" s="152"/>
      <c r="C31" s="151" t="s">
        <v>3714</v>
      </c>
      <c r="D31" s="213">
        <v>1</v>
      </c>
      <c r="E31" s="152" t="s">
        <v>106</v>
      </c>
      <c r="F31" s="153">
        <v>1000000</v>
      </c>
      <c r="G31" s="153">
        <f>ROUNDDOWN(D31*F31,-3)</f>
        <v>1000000</v>
      </c>
      <c r="H31" s="210" t="b">
        <f t="shared" si="0"/>
        <v>1</v>
      </c>
      <c r="I31" s="210"/>
      <c r="J31" s="210"/>
    </row>
    <row r="32" spans="1:12" ht="13.8" x14ac:dyDescent="0.25">
      <c r="A32" s="21" t="s">
        <v>435</v>
      </c>
      <c r="B32" s="152"/>
      <c r="C32" s="151" t="s">
        <v>3600</v>
      </c>
      <c r="D32" s="152">
        <v>1</v>
      </c>
      <c r="E32" s="152" t="s">
        <v>106</v>
      </c>
      <c r="F32" s="153">
        <v>1000000</v>
      </c>
      <c r="G32" s="153">
        <f>ROUNDDOWN(D32*F32,-3)</f>
        <v>1000000</v>
      </c>
      <c r="H32" s="210" t="b">
        <f t="shared" si="0"/>
        <v>1</v>
      </c>
      <c r="I32" s="210"/>
      <c r="J32" s="210"/>
    </row>
    <row r="33" spans="1:10" ht="13.8" x14ac:dyDescent="0.25">
      <c r="A33" s="21" t="s">
        <v>436</v>
      </c>
      <c r="B33" s="152"/>
      <c r="C33" s="151" t="s">
        <v>3601</v>
      </c>
      <c r="D33" s="213">
        <v>1</v>
      </c>
      <c r="E33" s="152" t="s">
        <v>106</v>
      </c>
      <c r="F33" s="153">
        <v>1500000</v>
      </c>
      <c r="G33" s="153">
        <f>ROUNDDOWN(D33*F33,-3)</f>
        <v>1500000</v>
      </c>
      <c r="H33" s="210" t="b">
        <f t="shared" si="0"/>
        <v>1</v>
      </c>
      <c r="I33" s="210"/>
      <c r="J33" s="210"/>
    </row>
    <row r="34" spans="1:10" ht="13.8" x14ac:dyDescent="0.25">
      <c r="A34" s="21" t="s">
        <v>777</v>
      </c>
      <c r="B34" s="60">
        <v>522151</v>
      </c>
      <c r="C34" s="41" t="s">
        <v>11</v>
      </c>
      <c r="D34" s="71"/>
      <c r="E34" s="60"/>
      <c r="F34" s="42"/>
      <c r="G34" s="42">
        <f>G35</f>
        <v>1000000</v>
      </c>
      <c r="H34" s="210" t="b">
        <f t="shared" si="0"/>
        <v>1</v>
      </c>
      <c r="I34" s="210"/>
      <c r="J34" s="210"/>
    </row>
    <row r="35" spans="1:10" ht="13.8" x14ac:dyDescent="0.25">
      <c r="A35" s="21" t="s">
        <v>778</v>
      </c>
      <c r="B35" s="152"/>
      <c r="C35" s="151" t="s">
        <v>3715</v>
      </c>
      <c r="D35" s="152">
        <v>1</v>
      </c>
      <c r="E35" s="152" t="s">
        <v>54</v>
      </c>
      <c r="F35" s="153">
        <v>1000000</v>
      </c>
      <c r="G35" s="153">
        <f>ROUNDDOWN(D35*F35,-3)</f>
        <v>1000000</v>
      </c>
      <c r="H35" s="210" t="b">
        <f t="shared" si="0"/>
        <v>1</v>
      </c>
      <c r="I35" s="210"/>
      <c r="J35" s="210"/>
    </row>
    <row r="36" spans="1:10" ht="13.8" x14ac:dyDescent="0.25">
      <c r="A36" s="21" t="s">
        <v>437</v>
      </c>
      <c r="B36" s="60">
        <v>524111</v>
      </c>
      <c r="C36" s="41" t="s">
        <v>19</v>
      </c>
      <c r="D36" s="71"/>
      <c r="E36" s="60"/>
      <c r="F36" s="42"/>
      <c r="G36" s="42">
        <f>G37</f>
        <v>33240000</v>
      </c>
      <c r="H36" s="210" t="b">
        <f t="shared" si="0"/>
        <v>1</v>
      </c>
      <c r="I36" s="210"/>
      <c r="J36" s="210"/>
    </row>
    <row r="37" spans="1:10" ht="26.4" x14ac:dyDescent="0.25">
      <c r="A37" s="21" t="s">
        <v>438</v>
      </c>
      <c r="B37" s="152"/>
      <c r="C37" s="151" t="s">
        <v>3716</v>
      </c>
      <c r="D37" s="152">
        <v>12</v>
      </c>
      <c r="E37" s="152" t="s">
        <v>776</v>
      </c>
      <c r="F37" s="153">
        <v>2770000</v>
      </c>
      <c r="G37" s="153">
        <f>ROUNDDOWN(D37*F37,-3)</f>
        <v>33240000</v>
      </c>
      <c r="H37" s="210" t="b">
        <f t="shared" si="0"/>
        <v>1</v>
      </c>
      <c r="I37" s="210"/>
      <c r="J37" s="210"/>
    </row>
    <row r="38" spans="1:10" ht="13.8" x14ac:dyDescent="0.25">
      <c r="A38" s="21" t="s">
        <v>439</v>
      </c>
      <c r="B38" s="58" t="s">
        <v>520</v>
      </c>
      <c r="C38" s="35" t="s">
        <v>57</v>
      </c>
      <c r="D38" s="69"/>
      <c r="E38" s="58"/>
      <c r="F38" s="36"/>
      <c r="G38" s="36">
        <f>G39</f>
        <v>54500000</v>
      </c>
      <c r="H38" s="210" t="b">
        <f t="shared" si="0"/>
        <v>1</v>
      </c>
      <c r="I38" s="210"/>
      <c r="J38" s="210"/>
    </row>
    <row r="39" spans="1:10" ht="26.4" x14ac:dyDescent="0.25">
      <c r="A39" s="21" t="s">
        <v>440</v>
      </c>
      <c r="B39" s="59" t="s">
        <v>8</v>
      </c>
      <c r="C39" s="38" t="s">
        <v>59</v>
      </c>
      <c r="D39" s="59"/>
      <c r="E39" s="59"/>
      <c r="F39" s="39"/>
      <c r="G39" s="39">
        <f>SUM(G40,G47)</f>
        <v>54500000</v>
      </c>
      <c r="H39" s="210" t="b">
        <f t="shared" si="0"/>
        <v>1</v>
      </c>
      <c r="I39" s="210"/>
      <c r="J39" s="210"/>
    </row>
    <row r="40" spans="1:10" ht="13.8" x14ac:dyDescent="0.25">
      <c r="A40" s="21" t="s">
        <v>441</v>
      </c>
      <c r="B40" s="60">
        <v>521211</v>
      </c>
      <c r="C40" s="41" t="s">
        <v>7</v>
      </c>
      <c r="D40" s="60"/>
      <c r="E40" s="60"/>
      <c r="F40" s="42"/>
      <c r="G40" s="42">
        <f>SUM(G41:G46)</f>
        <v>19225000</v>
      </c>
      <c r="H40" s="210" t="b">
        <f t="shared" si="0"/>
        <v>1</v>
      </c>
      <c r="I40" s="210"/>
      <c r="J40" s="210"/>
    </row>
    <row r="41" spans="1:10" ht="13.8" x14ac:dyDescent="0.25">
      <c r="A41" s="21" t="s">
        <v>442</v>
      </c>
      <c r="B41" s="152"/>
      <c r="C41" s="151" t="s">
        <v>3713</v>
      </c>
      <c r="D41" s="213">
        <v>23</v>
      </c>
      <c r="E41" s="152" t="s">
        <v>10</v>
      </c>
      <c r="F41" s="153">
        <v>75000</v>
      </c>
      <c r="G41" s="153">
        <f t="shared" ref="G41:G46" si="1">ROUNDDOWN(D41*F41,-3)</f>
        <v>1725000</v>
      </c>
      <c r="H41" s="210" t="b">
        <f t="shared" si="0"/>
        <v>1</v>
      </c>
      <c r="I41" s="210"/>
      <c r="J41" s="210"/>
    </row>
    <row r="42" spans="1:10" ht="13.8" x14ac:dyDescent="0.25">
      <c r="A42" s="7" t="s">
        <v>443</v>
      </c>
      <c r="B42" s="152"/>
      <c r="C42" s="151" t="s">
        <v>3714</v>
      </c>
      <c r="D42" s="213">
        <v>1</v>
      </c>
      <c r="E42" s="152" t="s">
        <v>106</v>
      </c>
      <c r="F42" s="153">
        <v>1000000</v>
      </c>
      <c r="G42" s="153">
        <f t="shared" si="1"/>
        <v>1000000</v>
      </c>
      <c r="H42" s="210" t="b">
        <f t="shared" si="0"/>
        <v>1</v>
      </c>
      <c r="I42" s="210"/>
      <c r="J42" s="210"/>
    </row>
    <row r="43" spans="1:10" ht="13.8" x14ac:dyDescent="0.25">
      <c r="A43" s="7" t="s">
        <v>444</v>
      </c>
      <c r="B43" s="152"/>
      <c r="C43" s="151" t="s">
        <v>3600</v>
      </c>
      <c r="D43" s="152">
        <v>2</v>
      </c>
      <c r="E43" s="152" t="s">
        <v>106</v>
      </c>
      <c r="F43" s="153">
        <v>1000000</v>
      </c>
      <c r="G43" s="153">
        <f t="shared" si="1"/>
        <v>2000000</v>
      </c>
      <c r="H43" s="210" t="b">
        <f t="shared" si="0"/>
        <v>1</v>
      </c>
      <c r="I43" s="210"/>
      <c r="J43" s="210"/>
    </row>
    <row r="44" spans="1:10" ht="13.8" x14ac:dyDescent="0.25">
      <c r="A44" s="21" t="s">
        <v>445</v>
      </c>
      <c r="B44" s="152"/>
      <c r="C44" s="151" t="s">
        <v>3601</v>
      </c>
      <c r="D44" s="152">
        <v>2</v>
      </c>
      <c r="E44" s="152" t="s">
        <v>106</v>
      </c>
      <c r="F44" s="153">
        <v>1500000</v>
      </c>
      <c r="G44" s="153">
        <f t="shared" si="1"/>
        <v>3000000</v>
      </c>
      <c r="H44" s="210" t="b">
        <f t="shared" si="0"/>
        <v>1</v>
      </c>
      <c r="I44" s="210"/>
      <c r="J44" s="210"/>
    </row>
    <row r="45" spans="1:10" ht="13.8" x14ac:dyDescent="0.25">
      <c r="A45" s="21" t="s">
        <v>446</v>
      </c>
      <c r="B45" s="152"/>
      <c r="C45" s="151" t="s">
        <v>3717</v>
      </c>
      <c r="D45" s="152">
        <v>23</v>
      </c>
      <c r="E45" s="152" t="s">
        <v>176</v>
      </c>
      <c r="F45" s="153">
        <v>250000</v>
      </c>
      <c r="G45" s="153">
        <f t="shared" si="1"/>
        <v>5750000</v>
      </c>
      <c r="H45" s="210" t="b">
        <f t="shared" si="0"/>
        <v>1</v>
      </c>
      <c r="I45" s="210"/>
      <c r="J45" s="210"/>
    </row>
    <row r="46" spans="1:10" ht="13.8" x14ac:dyDescent="0.25">
      <c r="A46" s="21" t="s">
        <v>447</v>
      </c>
      <c r="B46" s="152"/>
      <c r="C46" s="151" t="s">
        <v>3718</v>
      </c>
      <c r="D46" s="152">
        <v>23</v>
      </c>
      <c r="E46" s="152" t="s">
        <v>58</v>
      </c>
      <c r="F46" s="153">
        <v>250000</v>
      </c>
      <c r="G46" s="153">
        <f t="shared" si="1"/>
        <v>5750000</v>
      </c>
      <c r="H46" s="210" t="b">
        <f t="shared" si="0"/>
        <v>1</v>
      </c>
      <c r="I46" s="210"/>
      <c r="J46" s="210"/>
    </row>
    <row r="47" spans="1:10" ht="13.8" x14ac:dyDescent="0.25">
      <c r="A47" s="21" t="s">
        <v>448</v>
      </c>
      <c r="B47" s="60">
        <v>524111</v>
      </c>
      <c r="C47" s="41" t="s">
        <v>19</v>
      </c>
      <c r="D47" s="71"/>
      <c r="E47" s="60"/>
      <c r="F47" s="42"/>
      <c r="G47" s="42">
        <f>G48</f>
        <v>35275000</v>
      </c>
      <c r="H47" s="210" t="b">
        <f t="shared" si="0"/>
        <v>1</v>
      </c>
      <c r="I47" s="210"/>
      <c r="J47" s="210"/>
    </row>
    <row r="48" spans="1:10" ht="26.4" x14ac:dyDescent="0.25">
      <c r="A48" s="21" t="s">
        <v>449</v>
      </c>
      <c r="B48" s="152"/>
      <c r="C48" s="151" t="s">
        <v>3719</v>
      </c>
      <c r="D48" s="213">
        <v>10</v>
      </c>
      <c r="E48" s="152" t="s">
        <v>776</v>
      </c>
      <c r="F48" s="153">
        <v>3527550</v>
      </c>
      <c r="G48" s="153">
        <f>ROUNDDOWN(D48*F48,-3)</f>
        <v>35275000</v>
      </c>
      <c r="H48" s="210" t="b">
        <f t="shared" si="0"/>
        <v>1</v>
      </c>
      <c r="I48" s="210"/>
      <c r="J48" s="210"/>
    </row>
    <row r="49" spans="1:10" ht="13.8" x14ac:dyDescent="0.25">
      <c r="A49" s="21" t="s">
        <v>450</v>
      </c>
      <c r="B49" s="58" t="s">
        <v>523</v>
      </c>
      <c r="C49" s="35" t="s">
        <v>61</v>
      </c>
      <c r="D49" s="69"/>
      <c r="E49" s="58"/>
      <c r="F49" s="36"/>
      <c r="G49" s="36">
        <f>SUM(G50,G69,G86)</f>
        <v>686300000</v>
      </c>
      <c r="H49" s="210" t="b">
        <f t="shared" si="0"/>
        <v>1</v>
      </c>
      <c r="I49" s="210"/>
      <c r="J49" s="210"/>
    </row>
    <row r="50" spans="1:10" ht="13.8" x14ac:dyDescent="0.25">
      <c r="A50" s="21" t="s">
        <v>451</v>
      </c>
      <c r="B50" s="59" t="s">
        <v>8</v>
      </c>
      <c r="C50" s="38" t="s">
        <v>62</v>
      </c>
      <c r="D50" s="59"/>
      <c r="E50" s="59"/>
      <c r="F50" s="39"/>
      <c r="G50" s="39">
        <f>SUM(G51,G55,G58,G61,G63,G65,G67)</f>
        <v>386924000</v>
      </c>
      <c r="H50" s="210" t="b">
        <f t="shared" si="0"/>
        <v>1</v>
      </c>
      <c r="I50" s="210"/>
      <c r="J50" s="210"/>
    </row>
    <row r="51" spans="1:10" ht="13.8" x14ac:dyDescent="0.25">
      <c r="A51" s="21" t="s">
        <v>452</v>
      </c>
      <c r="B51" s="60">
        <v>521211</v>
      </c>
      <c r="C51" s="41" t="s">
        <v>7</v>
      </c>
      <c r="D51" s="71"/>
      <c r="E51" s="60"/>
      <c r="F51" s="42"/>
      <c r="G51" s="42">
        <f>SUM(G52:G54)</f>
        <v>64900000</v>
      </c>
      <c r="H51" s="210" t="b">
        <f t="shared" si="0"/>
        <v>1</v>
      </c>
      <c r="I51" s="210"/>
      <c r="J51" s="210"/>
    </row>
    <row r="52" spans="1:10" ht="13.8" x14ac:dyDescent="0.25">
      <c r="A52" s="21" t="s">
        <v>453</v>
      </c>
      <c r="B52" s="152"/>
      <c r="C52" s="151" t="s">
        <v>3598</v>
      </c>
      <c r="D52" s="213">
        <v>12</v>
      </c>
      <c r="E52" s="152" t="s">
        <v>106</v>
      </c>
      <c r="F52" s="153">
        <v>1500000</v>
      </c>
      <c r="G52" s="153">
        <f>ROUNDDOWN(D52*F52,-3)</f>
        <v>18000000</v>
      </c>
      <c r="H52" s="210" t="b">
        <f t="shared" si="0"/>
        <v>1</v>
      </c>
      <c r="I52" s="210"/>
      <c r="J52" s="210"/>
    </row>
    <row r="53" spans="1:10" ht="13.8" x14ac:dyDescent="0.25">
      <c r="A53" s="21" t="s">
        <v>454</v>
      </c>
      <c r="B53" s="152"/>
      <c r="C53" s="151" t="s">
        <v>3720</v>
      </c>
      <c r="D53" s="152">
        <v>100</v>
      </c>
      <c r="E53" s="152" t="s">
        <v>25</v>
      </c>
      <c r="F53" s="153">
        <v>69000</v>
      </c>
      <c r="G53" s="153">
        <f>ROUNDDOWN(D53*F53,-3)</f>
        <v>6900000</v>
      </c>
      <c r="H53" s="210" t="b">
        <f t="shared" si="0"/>
        <v>1</v>
      </c>
      <c r="I53" s="210"/>
      <c r="J53" s="210"/>
    </row>
    <row r="54" spans="1:10" ht="13.8" x14ac:dyDescent="0.25">
      <c r="A54" s="21" t="s">
        <v>783</v>
      </c>
      <c r="B54" s="152"/>
      <c r="C54" s="151" t="s">
        <v>3721</v>
      </c>
      <c r="D54" s="213">
        <v>80</v>
      </c>
      <c r="E54" s="152" t="s">
        <v>58</v>
      </c>
      <c r="F54" s="153">
        <v>500000</v>
      </c>
      <c r="G54" s="153">
        <f>ROUNDDOWN(D54*F54,-3)</f>
        <v>40000000</v>
      </c>
      <c r="H54" s="210" t="b">
        <f t="shared" si="0"/>
        <v>1</v>
      </c>
      <c r="I54" s="210"/>
      <c r="J54" s="210"/>
    </row>
    <row r="55" spans="1:10" ht="13.8" x14ac:dyDescent="0.25">
      <c r="A55" s="21" t="s">
        <v>455</v>
      </c>
      <c r="B55" s="60">
        <v>521219</v>
      </c>
      <c r="C55" s="41" t="s">
        <v>53</v>
      </c>
      <c r="D55" s="60"/>
      <c r="E55" s="60"/>
      <c r="F55" s="42"/>
      <c r="G55" s="42">
        <f>SUM(G56:G57)</f>
        <v>6000000</v>
      </c>
      <c r="H55" s="210" t="b">
        <f t="shared" si="0"/>
        <v>1</v>
      </c>
      <c r="I55" s="210"/>
      <c r="J55" s="210"/>
    </row>
    <row r="56" spans="1:10" ht="13.8" x14ac:dyDescent="0.25">
      <c r="A56" s="21" t="s">
        <v>456</v>
      </c>
      <c r="B56" s="152"/>
      <c r="C56" s="151" t="s">
        <v>3722</v>
      </c>
      <c r="D56" s="152">
        <v>4</v>
      </c>
      <c r="E56" s="152" t="s">
        <v>106</v>
      </c>
      <c r="F56" s="153">
        <v>250000</v>
      </c>
      <c r="G56" s="153">
        <f>ROUNDDOWN(D56*F56,-3)</f>
        <v>1000000</v>
      </c>
      <c r="H56" s="210" t="b">
        <f t="shared" si="0"/>
        <v>1</v>
      </c>
      <c r="I56" s="210"/>
      <c r="J56" s="210"/>
    </row>
    <row r="57" spans="1:10" ht="13.8" x14ac:dyDescent="0.25">
      <c r="A57" s="21" t="s">
        <v>457</v>
      </c>
      <c r="B57" s="152"/>
      <c r="C57" s="151" t="s">
        <v>3723</v>
      </c>
      <c r="D57" s="213">
        <v>10</v>
      </c>
      <c r="E57" s="152" t="s">
        <v>106</v>
      </c>
      <c r="F57" s="153">
        <v>500000</v>
      </c>
      <c r="G57" s="153">
        <f>ROUNDDOWN(D57*F57,-3)</f>
        <v>5000000</v>
      </c>
      <c r="H57" s="210" t="b">
        <f t="shared" si="0"/>
        <v>1</v>
      </c>
      <c r="I57" s="210"/>
      <c r="J57" s="210"/>
    </row>
    <row r="58" spans="1:10" ht="13.8" x14ac:dyDescent="0.25">
      <c r="A58" s="21" t="s">
        <v>458</v>
      </c>
      <c r="B58" s="60">
        <v>521811</v>
      </c>
      <c r="C58" s="41" t="s">
        <v>64</v>
      </c>
      <c r="D58" s="71"/>
      <c r="E58" s="60"/>
      <c r="F58" s="42"/>
      <c r="G58" s="42">
        <f>SUM(G59:G60)</f>
        <v>30000000</v>
      </c>
      <c r="H58" s="210" t="b">
        <f t="shared" si="0"/>
        <v>1</v>
      </c>
      <c r="I58" s="210"/>
      <c r="J58" s="210"/>
    </row>
    <row r="59" spans="1:10" ht="13.8" x14ac:dyDescent="0.25">
      <c r="A59" s="21" t="s">
        <v>459</v>
      </c>
      <c r="B59" s="152"/>
      <c r="C59" s="151" t="s">
        <v>3625</v>
      </c>
      <c r="D59" s="213">
        <v>12</v>
      </c>
      <c r="E59" s="152" t="s">
        <v>106</v>
      </c>
      <c r="F59" s="153">
        <v>1000000</v>
      </c>
      <c r="G59" s="153">
        <f>ROUNDDOWN(D59*F59,-3)</f>
        <v>12000000</v>
      </c>
      <c r="H59" s="210" t="b">
        <f t="shared" si="0"/>
        <v>1</v>
      </c>
      <c r="I59" s="210"/>
      <c r="J59" s="210"/>
    </row>
    <row r="60" spans="1:10" ht="13.8" x14ac:dyDescent="0.25">
      <c r="A60" s="21" t="s">
        <v>460</v>
      </c>
      <c r="B60" s="152"/>
      <c r="C60" s="151" t="s">
        <v>3626</v>
      </c>
      <c r="D60" s="213">
        <v>12</v>
      </c>
      <c r="E60" s="152" t="s">
        <v>106</v>
      </c>
      <c r="F60" s="153">
        <v>1500000</v>
      </c>
      <c r="G60" s="153">
        <f>ROUNDDOWN(D60*F60,-3)</f>
        <v>18000000</v>
      </c>
      <c r="H60" s="210" t="b">
        <f t="shared" si="0"/>
        <v>1</v>
      </c>
      <c r="I60" s="210"/>
      <c r="J60" s="210"/>
    </row>
    <row r="61" spans="1:10" ht="13.8" x14ac:dyDescent="0.25">
      <c r="A61" s="21" t="s">
        <v>461</v>
      </c>
      <c r="B61" s="60">
        <v>522151</v>
      </c>
      <c r="C61" s="41" t="s">
        <v>11</v>
      </c>
      <c r="D61" s="60"/>
      <c r="E61" s="60"/>
      <c r="F61" s="42"/>
      <c r="G61" s="42">
        <f>G62</f>
        <v>25200000</v>
      </c>
      <c r="H61" s="210" t="b">
        <f t="shared" si="0"/>
        <v>1</v>
      </c>
      <c r="I61" s="210"/>
      <c r="J61" s="210"/>
    </row>
    <row r="62" spans="1:10" ht="13.8" x14ac:dyDescent="0.25">
      <c r="A62" s="21" t="s">
        <v>462</v>
      </c>
      <c r="B62" s="152"/>
      <c r="C62" s="151" t="s">
        <v>3715</v>
      </c>
      <c r="D62" s="213">
        <v>28</v>
      </c>
      <c r="E62" s="152" t="s">
        <v>54</v>
      </c>
      <c r="F62" s="153">
        <v>900000</v>
      </c>
      <c r="G62" s="153">
        <f>ROUNDDOWN(D62*F62,-3)</f>
        <v>25200000</v>
      </c>
      <c r="H62" s="210" t="b">
        <f t="shared" si="0"/>
        <v>1</v>
      </c>
      <c r="I62" s="210"/>
      <c r="J62" s="210"/>
    </row>
    <row r="63" spans="1:10" ht="13.8" x14ac:dyDescent="0.25">
      <c r="A63" s="21" t="s">
        <v>463</v>
      </c>
      <c r="B63" s="60">
        <v>522192</v>
      </c>
      <c r="C63" s="41" t="s">
        <v>24</v>
      </c>
      <c r="D63" s="60"/>
      <c r="E63" s="60"/>
      <c r="F63" s="42"/>
      <c r="G63" s="42">
        <f>G64</f>
        <v>6000000</v>
      </c>
      <c r="H63" s="210" t="b">
        <f t="shared" si="0"/>
        <v>1</v>
      </c>
      <c r="I63" s="210"/>
      <c r="J63" s="210"/>
    </row>
    <row r="64" spans="1:10" ht="13.8" x14ac:dyDescent="0.25">
      <c r="A64" s="21" t="s">
        <v>464</v>
      </c>
      <c r="B64" s="152"/>
      <c r="C64" s="151" t="s">
        <v>3724</v>
      </c>
      <c r="D64" s="152">
        <v>1</v>
      </c>
      <c r="E64" s="152" t="s">
        <v>60</v>
      </c>
      <c r="F64" s="153">
        <v>6000000</v>
      </c>
      <c r="G64" s="153">
        <f>ROUNDDOWN(D64*F64,-3)</f>
        <v>6000000</v>
      </c>
      <c r="H64" s="210" t="b">
        <f t="shared" si="0"/>
        <v>1</v>
      </c>
      <c r="I64" s="210"/>
      <c r="J64" s="210"/>
    </row>
    <row r="65" spans="1:10" ht="13.8" x14ac:dyDescent="0.25">
      <c r="A65" s="21" t="s">
        <v>465</v>
      </c>
      <c r="B65" s="60">
        <v>524111</v>
      </c>
      <c r="C65" s="41" t="s">
        <v>19</v>
      </c>
      <c r="D65" s="71"/>
      <c r="E65" s="60"/>
      <c r="F65" s="42"/>
      <c r="G65" s="42">
        <f>G66</f>
        <v>253324000</v>
      </c>
      <c r="H65" s="210" t="b">
        <f t="shared" si="0"/>
        <v>1</v>
      </c>
      <c r="I65" s="210"/>
      <c r="J65" s="210"/>
    </row>
    <row r="66" spans="1:10" ht="26.4" x14ac:dyDescent="0.25">
      <c r="A66" s="21" t="s">
        <v>466</v>
      </c>
      <c r="B66" s="152"/>
      <c r="C66" s="151" t="s">
        <v>3725</v>
      </c>
      <c r="D66" s="213">
        <v>44</v>
      </c>
      <c r="E66" s="152" t="s">
        <v>776</v>
      </c>
      <c r="F66" s="153">
        <v>5757364</v>
      </c>
      <c r="G66" s="153">
        <f>ROUNDDOWN(D66*F66,-3)</f>
        <v>253324000</v>
      </c>
      <c r="H66" s="210" t="b">
        <f t="shared" si="0"/>
        <v>1</v>
      </c>
      <c r="I66" s="210"/>
      <c r="J66" s="210"/>
    </row>
    <row r="67" spans="1:10" ht="13.8" x14ac:dyDescent="0.25">
      <c r="A67" s="21" t="s">
        <v>467</v>
      </c>
      <c r="B67" s="60">
        <v>524113</v>
      </c>
      <c r="C67" s="41" t="s">
        <v>13</v>
      </c>
      <c r="D67" s="60"/>
      <c r="E67" s="60"/>
      <c r="F67" s="42"/>
      <c r="G67" s="42">
        <f>G68</f>
        <v>1500000</v>
      </c>
      <c r="H67" s="210" t="b">
        <f t="shared" si="0"/>
        <v>1</v>
      </c>
      <c r="I67" s="210"/>
      <c r="J67" s="210"/>
    </row>
    <row r="68" spans="1:10" ht="13.8" x14ac:dyDescent="0.25">
      <c r="A68" s="21" t="s">
        <v>468</v>
      </c>
      <c r="B68" s="152"/>
      <c r="C68" s="151" t="s">
        <v>3618</v>
      </c>
      <c r="D68" s="213">
        <v>10</v>
      </c>
      <c r="E68" s="152" t="s">
        <v>10</v>
      </c>
      <c r="F68" s="153">
        <v>150000</v>
      </c>
      <c r="G68" s="153">
        <f>ROUNDDOWN(D68*F68,-3)</f>
        <v>1500000</v>
      </c>
      <c r="H68" s="210" t="b">
        <f t="shared" si="0"/>
        <v>1</v>
      </c>
      <c r="I68" s="210"/>
      <c r="J68" s="210"/>
    </row>
    <row r="69" spans="1:10" ht="13.8" x14ac:dyDescent="0.25">
      <c r="A69" s="21" t="s">
        <v>469</v>
      </c>
      <c r="B69" s="59" t="s">
        <v>511</v>
      </c>
      <c r="C69" s="38" t="s">
        <v>65</v>
      </c>
      <c r="D69" s="70"/>
      <c r="E69" s="59"/>
      <c r="F69" s="39"/>
      <c r="G69" s="39">
        <f>SUM(G70,G74,G77,G80,G82,G84)</f>
        <v>247816000</v>
      </c>
      <c r="H69" s="210" t="b">
        <f t="shared" si="0"/>
        <v>1</v>
      </c>
      <c r="I69" s="210"/>
      <c r="J69" s="210"/>
    </row>
    <row r="70" spans="1:10" ht="13.8" x14ac:dyDescent="0.25">
      <c r="A70" s="21" t="s">
        <v>470</v>
      </c>
      <c r="B70" s="60">
        <v>521211</v>
      </c>
      <c r="C70" s="41" t="s">
        <v>7</v>
      </c>
      <c r="D70" s="60"/>
      <c r="E70" s="60"/>
      <c r="F70" s="42"/>
      <c r="G70" s="42">
        <f>SUM(G71:G73)</f>
        <v>71456000</v>
      </c>
      <c r="H70" s="210" t="b">
        <f t="shared" si="0"/>
        <v>1</v>
      </c>
      <c r="I70" s="210"/>
      <c r="J70" s="210"/>
    </row>
    <row r="71" spans="1:10" ht="13.8" x14ac:dyDescent="0.25">
      <c r="A71" s="21" t="s">
        <v>471</v>
      </c>
      <c r="B71" s="152"/>
      <c r="C71" s="151" t="s">
        <v>3726</v>
      </c>
      <c r="D71" s="213">
        <v>224</v>
      </c>
      <c r="E71" s="152" t="s">
        <v>25</v>
      </c>
      <c r="F71" s="153">
        <v>69000</v>
      </c>
      <c r="G71" s="153">
        <f>ROUNDDOWN(D71*F71,-3)</f>
        <v>15456000</v>
      </c>
      <c r="H71" s="210" t="b">
        <f t="shared" si="0"/>
        <v>1</v>
      </c>
      <c r="I71" s="210"/>
      <c r="J71" s="210"/>
    </row>
    <row r="72" spans="1:10" ht="13.8" x14ac:dyDescent="0.25">
      <c r="A72" s="21" t="s">
        <v>472</v>
      </c>
      <c r="B72" s="152"/>
      <c r="C72" s="151" t="s">
        <v>3714</v>
      </c>
      <c r="D72" s="152">
        <v>4</v>
      </c>
      <c r="E72" s="152" t="s">
        <v>106</v>
      </c>
      <c r="F72" s="153">
        <v>1500000</v>
      </c>
      <c r="G72" s="153">
        <f>ROUNDDOWN(D72*F72,-3)</f>
        <v>6000000</v>
      </c>
      <c r="H72" s="210" t="b">
        <f t="shared" si="0"/>
        <v>1</v>
      </c>
      <c r="I72" s="210"/>
      <c r="J72" s="210"/>
    </row>
    <row r="73" spans="1:10" ht="13.8" x14ac:dyDescent="0.25">
      <c r="A73" s="21" t="s">
        <v>789</v>
      </c>
      <c r="B73" s="152"/>
      <c r="C73" s="151" t="s">
        <v>3727</v>
      </c>
      <c r="D73" s="152">
        <v>100</v>
      </c>
      <c r="E73" s="152" t="s">
        <v>791</v>
      </c>
      <c r="F73" s="153">
        <v>500000</v>
      </c>
      <c r="G73" s="153">
        <f>ROUNDDOWN(D73*F73,-3)</f>
        <v>50000000</v>
      </c>
      <c r="H73" s="210" t="b">
        <f t="shared" si="0"/>
        <v>1</v>
      </c>
      <c r="I73" s="210"/>
      <c r="J73" s="210"/>
    </row>
    <row r="74" spans="1:10" ht="13.8" x14ac:dyDescent="0.25">
      <c r="A74" s="21" t="s">
        <v>473</v>
      </c>
      <c r="B74" s="60">
        <v>521219</v>
      </c>
      <c r="C74" s="41" t="s">
        <v>53</v>
      </c>
      <c r="D74" s="71"/>
      <c r="E74" s="60"/>
      <c r="F74" s="42"/>
      <c r="G74" s="42">
        <f>SUM(G75:G76)</f>
        <v>5000000</v>
      </c>
      <c r="H74" s="210" t="b">
        <f t="shared" si="0"/>
        <v>1</v>
      </c>
      <c r="I74" s="210"/>
      <c r="J74" s="210"/>
    </row>
    <row r="75" spans="1:10" ht="13.8" x14ac:dyDescent="0.25">
      <c r="A75" s="21" t="s">
        <v>474</v>
      </c>
      <c r="B75" s="152"/>
      <c r="C75" s="151" t="s">
        <v>3722</v>
      </c>
      <c r="D75" s="213">
        <v>4</v>
      </c>
      <c r="E75" s="152" t="s">
        <v>106</v>
      </c>
      <c r="F75" s="153">
        <v>250000</v>
      </c>
      <c r="G75" s="153">
        <f>ROUNDDOWN(D75*F75,-3)</f>
        <v>1000000</v>
      </c>
      <c r="H75" s="210" t="b">
        <f t="shared" si="0"/>
        <v>1</v>
      </c>
      <c r="I75" s="210"/>
      <c r="J75" s="210"/>
    </row>
    <row r="76" spans="1:10" ht="13.8" x14ac:dyDescent="0.25">
      <c r="A76" s="21" t="s">
        <v>792</v>
      </c>
      <c r="B76" s="152"/>
      <c r="C76" s="151" t="s">
        <v>3723</v>
      </c>
      <c r="D76" s="152">
        <v>8</v>
      </c>
      <c r="E76" s="152" t="s">
        <v>106</v>
      </c>
      <c r="F76" s="153">
        <v>500000</v>
      </c>
      <c r="G76" s="153">
        <f>ROUNDDOWN(D76*F76,-3)</f>
        <v>4000000</v>
      </c>
      <c r="H76" s="210" t="b">
        <f t="shared" si="0"/>
        <v>1</v>
      </c>
      <c r="I76" s="210"/>
      <c r="J76" s="210"/>
    </row>
    <row r="77" spans="1:10" ht="13.8" x14ac:dyDescent="0.25">
      <c r="A77" s="21" t="s">
        <v>475</v>
      </c>
      <c r="B77" s="60">
        <v>521811</v>
      </c>
      <c r="C77" s="41" t="s">
        <v>64</v>
      </c>
      <c r="D77" s="71"/>
      <c r="E77" s="60"/>
      <c r="F77" s="42"/>
      <c r="G77" s="42">
        <f>SUM(G78:G79)</f>
        <v>15000000</v>
      </c>
      <c r="H77" s="210" t="b">
        <f t="shared" si="0"/>
        <v>1</v>
      </c>
      <c r="I77" s="210"/>
      <c r="J77" s="210"/>
    </row>
    <row r="78" spans="1:10" ht="13.8" x14ac:dyDescent="0.25">
      <c r="A78" s="21" t="s">
        <v>476</v>
      </c>
      <c r="B78" s="152"/>
      <c r="C78" s="151" t="s">
        <v>3625</v>
      </c>
      <c r="D78" s="213">
        <v>6</v>
      </c>
      <c r="E78" s="152" t="s">
        <v>106</v>
      </c>
      <c r="F78" s="153">
        <v>1000000</v>
      </c>
      <c r="G78" s="153">
        <f>ROUNDDOWN(D78*F78,-3)</f>
        <v>6000000</v>
      </c>
      <c r="H78" s="210" t="b">
        <f t="shared" ref="H78:H141" si="2">_xlfn.ISFORMULA(G78)</f>
        <v>1</v>
      </c>
      <c r="I78" s="210"/>
      <c r="J78" s="210"/>
    </row>
    <row r="79" spans="1:10" ht="13.8" x14ac:dyDescent="0.25">
      <c r="A79" s="21" t="s">
        <v>477</v>
      </c>
      <c r="B79" s="152"/>
      <c r="C79" s="151" t="s">
        <v>3626</v>
      </c>
      <c r="D79" s="152">
        <v>6</v>
      </c>
      <c r="E79" s="152" t="s">
        <v>106</v>
      </c>
      <c r="F79" s="153">
        <v>1500000</v>
      </c>
      <c r="G79" s="153">
        <f>ROUNDDOWN(D79*F79,-3)</f>
        <v>9000000</v>
      </c>
      <c r="H79" s="210" t="b">
        <f t="shared" si="2"/>
        <v>1</v>
      </c>
      <c r="I79" s="210"/>
      <c r="J79" s="210"/>
    </row>
    <row r="80" spans="1:10" ht="13.8" x14ac:dyDescent="0.25">
      <c r="A80" s="21" t="s">
        <v>478</v>
      </c>
      <c r="B80" s="60">
        <v>522151</v>
      </c>
      <c r="C80" s="41" t="s">
        <v>11</v>
      </c>
      <c r="D80" s="71"/>
      <c r="E80" s="60"/>
      <c r="F80" s="42"/>
      <c r="G80" s="42">
        <f>G81</f>
        <v>16200000</v>
      </c>
      <c r="H80" s="210" t="b">
        <f t="shared" si="2"/>
        <v>1</v>
      </c>
      <c r="I80" s="210"/>
      <c r="J80" s="210"/>
    </row>
    <row r="81" spans="1:10" ht="13.8" x14ac:dyDescent="0.25">
      <c r="A81" s="21" t="s">
        <v>479</v>
      </c>
      <c r="B81" s="152"/>
      <c r="C81" s="151" t="s">
        <v>3715</v>
      </c>
      <c r="D81" s="152">
        <v>18</v>
      </c>
      <c r="E81" s="152" t="s">
        <v>54</v>
      </c>
      <c r="F81" s="153">
        <v>900000</v>
      </c>
      <c r="G81" s="153">
        <f>ROUNDDOWN(D81*F81,-3)</f>
        <v>16200000</v>
      </c>
      <c r="H81" s="210" t="b">
        <f t="shared" si="2"/>
        <v>1</v>
      </c>
      <c r="I81" s="210"/>
      <c r="J81" s="210"/>
    </row>
    <row r="82" spans="1:10" ht="13.8" x14ac:dyDescent="0.25">
      <c r="A82" s="21" t="s">
        <v>480</v>
      </c>
      <c r="B82" s="60">
        <v>522192</v>
      </c>
      <c r="C82" s="41" t="s">
        <v>24</v>
      </c>
      <c r="D82" s="60"/>
      <c r="E82" s="60"/>
      <c r="F82" s="42"/>
      <c r="G82" s="42">
        <f>G83</f>
        <v>2000000</v>
      </c>
      <c r="H82" s="210" t="b">
        <f t="shared" si="2"/>
        <v>1</v>
      </c>
      <c r="I82" s="210"/>
      <c r="J82" s="210"/>
    </row>
    <row r="83" spans="1:10" ht="13.8" x14ac:dyDescent="0.25">
      <c r="A83" s="21" t="s">
        <v>481</v>
      </c>
      <c r="B83" s="152"/>
      <c r="C83" s="151" t="s">
        <v>3724</v>
      </c>
      <c r="D83" s="213">
        <v>1</v>
      </c>
      <c r="E83" s="152" t="s">
        <v>60</v>
      </c>
      <c r="F83" s="153">
        <v>2000000</v>
      </c>
      <c r="G83" s="153">
        <f>ROUNDDOWN(D83*F83,-3)</f>
        <v>2000000</v>
      </c>
      <c r="H83" s="210" t="b">
        <f t="shared" si="2"/>
        <v>1</v>
      </c>
      <c r="I83" s="210"/>
      <c r="J83" s="210"/>
    </row>
    <row r="84" spans="1:10" ht="13.8" x14ac:dyDescent="0.25">
      <c r="A84" s="21" t="s">
        <v>482</v>
      </c>
      <c r="B84" s="60">
        <v>524111</v>
      </c>
      <c r="C84" s="41" t="s">
        <v>19</v>
      </c>
      <c r="D84" s="71"/>
      <c r="E84" s="60"/>
      <c r="F84" s="42"/>
      <c r="G84" s="42">
        <f>G85</f>
        <v>138160000</v>
      </c>
      <c r="H84" s="210" t="b">
        <f t="shared" si="2"/>
        <v>1</v>
      </c>
      <c r="I84" s="210"/>
      <c r="J84" s="210"/>
    </row>
    <row r="85" spans="1:10" ht="13.8" x14ac:dyDescent="0.25">
      <c r="A85" s="21" t="s">
        <v>483</v>
      </c>
      <c r="B85" s="152"/>
      <c r="C85" s="151" t="s">
        <v>3728</v>
      </c>
      <c r="D85" s="152">
        <v>22</v>
      </c>
      <c r="E85" s="152" t="s">
        <v>776</v>
      </c>
      <c r="F85" s="153">
        <v>6280000</v>
      </c>
      <c r="G85" s="153">
        <f>ROUNDDOWN(D85*F85,-3)</f>
        <v>138160000</v>
      </c>
      <c r="H85" s="210" t="b">
        <f t="shared" si="2"/>
        <v>1</v>
      </c>
      <c r="I85" s="210"/>
      <c r="J85" s="210"/>
    </row>
    <row r="86" spans="1:10" ht="13.8" x14ac:dyDescent="0.25">
      <c r="A86" s="21" t="s">
        <v>794</v>
      </c>
      <c r="B86" s="59" t="s">
        <v>512</v>
      </c>
      <c r="C86" s="38" t="s">
        <v>795</v>
      </c>
      <c r="D86" s="70"/>
      <c r="E86" s="59"/>
      <c r="F86" s="39"/>
      <c r="G86" s="39">
        <f>SUM(G87,G92,G94,G96)</f>
        <v>51560000</v>
      </c>
      <c r="H86" s="210" t="b">
        <f t="shared" si="2"/>
        <v>1</v>
      </c>
      <c r="I86" s="210"/>
      <c r="J86" s="210"/>
    </row>
    <row r="87" spans="1:10" ht="13.8" x14ac:dyDescent="0.25">
      <c r="A87" s="21" t="s">
        <v>796</v>
      </c>
      <c r="B87" s="60">
        <v>521211</v>
      </c>
      <c r="C87" s="41" t="s">
        <v>7</v>
      </c>
      <c r="D87" s="71"/>
      <c r="E87" s="60"/>
      <c r="F87" s="42"/>
      <c r="G87" s="42">
        <f>SUM(G88:G91)</f>
        <v>20830000</v>
      </c>
      <c r="H87" s="210" t="b">
        <f t="shared" si="2"/>
        <v>1</v>
      </c>
      <c r="I87" s="210"/>
      <c r="J87" s="210"/>
    </row>
    <row r="88" spans="1:10" ht="13.8" x14ac:dyDescent="0.25">
      <c r="A88" s="21" t="s">
        <v>797</v>
      </c>
      <c r="B88" s="152"/>
      <c r="C88" s="151" t="s">
        <v>3625</v>
      </c>
      <c r="D88" s="152">
        <v>4</v>
      </c>
      <c r="E88" s="152" t="s">
        <v>106</v>
      </c>
      <c r="F88" s="153">
        <v>1000000</v>
      </c>
      <c r="G88" s="153">
        <f>ROUNDDOWN(D88*F88,-3)</f>
        <v>4000000</v>
      </c>
      <c r="H88" s="210" t="b">
        <f t="shared" si="2"/>
        <v>1</v>
      </c>
      <c r="I88" s="210"/>
      <c r="J88" s="210"/>
    </row>
    <row r="89" spans="1:10" ht="13.8" x14ac:dyDescent="0.25">
      <c r="A89" s="21" t="s">
        <v>798</v>
      </c>
      <c r="B89" s="152"/>
      <c r="C89" s="151" t="s">
        <v>3626</v>
      </c>
      <c r="D89" s="213">
        <v>4</v>
      </c>
      <c r="E89" s="152" t="s">
        <v>106</v>
      </c>
      <c r="F89" s="153">
        <v>1500000</v>
      </c>
      <c r="G89" s="153">
        <f>ROUNDDOWN(D89*F89,-3)</f>
        <v>6000000</v>
      </c>
      <c r="H89" s="210" t="b">
        <f t="shared" si="2"/>
        <v>1</v>
      </c>
      <c r="I89" s="210"/>
      <c r="J89" s="210"/>
    </row>
    <row r="90" spans="1:10" ht="13.8" x14ac:dyDescent="0.25">
      <c r="A90" s="21" t="s">
        <v>799</v>
      </c>
      <c r="B90" s="152"/>
      <c r="C90" s="151" t="s">
        <v>3729</v>
      </c>
      <c r="D90" s="152">
        <v>70</v>
      </c>
      <c r="E90" s="152" t="s">
        <v>25</v>
      </c>
      <c r="F90" s="153">
        <v>69000</v>
      </c>
      <c r="G90" s="153">
        <f>ROUNDDOWN(D90*F90,-3)</f>
        <v>4830000</v>
      </c>
      <c r="H90" s="210" t="b">
        <f t="shared" si="2"/>
        <v>1</v>
      </c>
      <c r="I90" s="210"/>
      <c r="J90" s="210"/>
    </row>
    <row r="91" spans="1:10" ht="13.8" x14ac:dyDescent="0.25">
      <c r="A91" s="21" t="s">
        <v>800</v>
      </c>
      <c r="B91" s="152"/>
      <c r="C91" s="151" t="s">
        <v>3730</v>
      </c>
      <c r="D91" s="152">
        <v>4</v>
      </c>
      <c r="E91" s="152" t="s">
        <v>106</v>
      </c>
      <c r="F91" s="153">
        <v>1500000</v>
      </c>
      <c r="G91" s="153">
        <f>ROUNDDOWN(D91*F91,-3)</f>
        <v>6000000</v>
      </c>
      <c r="H91" s="210" t="b">
        <f t="shared" si="2"/>
        <v>1</v>
      </c>
      <c r="I91" s="210"/>
      <c r="J91" s="210"/>
    </row>
    <row r="92" spans="1:10" ht="13.8" x14ac:dyDescent="0.25">
      <c r="A92" s="21" t="s">
        <v>801</v>
      </c>
      <c r="B92" s="60">
        <v>521219</v>
      </c>
      <c r="C92" s="41" t="s">
        <v>53</v>
      </c>
      <c r="D92" s="71"/>
      <c r="E92" s="60"/>
      <c r="F92" s="42"/>
      <c r="G92" s="42">
        <f>G93</f>
        <v>500000</v>
      </c>
      <c r="H92" s="210" t="b">
        <f t="shared" si="2"/>
        <v>1</v>
      </c>
      <c r="I92" s="210"/>
      <c r="J92" s="210"/>
    </row>
    <row r="93" spans="1:10" ht="13.8" x14ac:dyDescent="0.25">
      <c r="A93" s="21" t="s">
        <v>802</v>
      </c>
      <c r="B93" s="152"/>
      <c r="C93" s="151" t="s">
        <v>3722</v>
      </c>
      <c r="D93" s="213">
        <v>2</v>
      </c>
      <c r="E93" s="152" t="s">
        <v>106</v>
      </c>
      <c r="F93" s="153">
        <v>250000</v>
      </c>
      <c r="G93" s="153">
        <f>ROUNDDOWN(D93*F93,-3)</f>
        <v>500000</v>
      </c>
      <c r="H93" s="210" t="b">
        <f t="shared" si="2"/>
        <v>1</v>
      </c>
      <c r="I93" s="210"/>
      <c r="J93" s="210"/>
    </row>
    <row r="94" spans="1:10" ht="13.8" x14ac:dyDescent="0.25">
      <c r="A94" s="21" t="s">
        <v>803</v>
      </c>
      <c r="B94" s="60">
        <v>522151</v>
      </c>
      <c r="C94" s="41" t="s">
        <v>11</v>
      </c>
      <c r="D94" s="60"/>
      <c r="E94" s="60"/>
      <c r="F94" s="42"/>
      <c r="G94" s="42">
        <f>G95</f>
        <v>7200000</v>
      </c>
      <c r="H94" s="210" t="b">
        <f t="shared" si="2"/>
        <v>1</v>
      </c>
      <c r="I94" s="210"/>
      <c r="J94" s="210"/>
    </row>
    <row r="95" spans="1:10" ht="13.8" x14ac:dyDescent="0.25">
      <c r="A95" s="21" t="s">
        <v>804</v>
      </c>
      <c r="B95" s="152"/>
      <c r="C95" s="151" t="s">
        <v>3715</v>
      </c>
      <c r="D95" s="213">
        <v>8</v>
      </c>
      <c r="E95" s="152" t="s">
        <v>54</v>
      </c>
      <c r="F95" s="153">
        <v>900000</v>
      </c>
      <c r="G95" s="153">
        <f>ROUNDDOWN(D95*F95,-3)</f>
        <v>7200000</v>
      </c>
      <c r="H95" s="210" t="b">
        <f t="shared" si="2"/>
        <v>1</v>
      </c>
      <c r="I95" s="210"/>
      <c r="J95" s="210"/>
    </row>
    <row r="96" spans="1:10" ht="13.8" x14ac:dyDescent="0.25">
      <c r="A96" s="21" t="s">
        <v>805</v>
      </c>
      <c r="B96" s="60">
        <v>524111</v>
      </c>
      <c r="C96" s="41" t="s">
        <v>19</v>
      </c>
      <c r="D96" s="71"/>
      <c r="E96" s="60"/>
      <c r="F96" s="42"/>
      <c r="G96" s="42">
        <f>G97</f>
        <v>23030000</v>
      </c>
      <c r="H96" s="210" t="b">
        <f t="shared" si="2"/>
        <v>1</v>
      </c>
      <c r="I96" s="210"/>
      <c r="J96" s="210"/>
    </row>
    <row r="97" spans="1:10" ht="26.4" x14ac:dyDescent="0.25">
      <c r="A97" s="21" t="s">
        <v>806</v>
      </c>
      <c r="B97" s="152"/>
      <c r="C97" s="151" t="s">
        <v>3731</v>
      </c>
      <c r="D97" s="152">
        <v>6</v>
      </c>
      <c r="E97" s="152" t="s">
        <v>776</v>
      </c>
      <c r="F97" s="153">
        <v>3838335</v>
      </c>
      <c r="G97" s="153">
        <f>ROUNDDOWN(D97*F97,-3)</f>
        <v>23030000</v>
      </c>
      <c r="H97" s="210" t="b">
        <f t="shared" si="2"/>
        <v>1</v>
      </c>
      <c r="I97" s="210"/>
      <c r="J97" s="210"/>
    </row>
    <row r="98" spans="1:10" ht="13.8" x14ac:dyDescent="0.25">
      <c r="A98" s="21" t="s">
        <v>484</v>
      </c>
      <c r="B98" s="58" t="s">
        <v>526</v>
      </c>
      <c r="C98" s="35" t="s">
        <v>67</v>
      </c>
      <c r="D98" s="69"/>
      <c r="E98" s="58"/>
      <c r="F98" s="36"/>
      <c r="G98" s="36">
        <f>G99</f>
        <v>135100000</v>
      </c>
      <c r="H98" s="210" t="b">
        <f t="shared" si="2"/>
        <v>1</v>
      </c>
      <c r="I98" s="210"/>
      <c r="J98" s="210"/>
    </row>
    <row r="99" spans="1:10" ht="13.8" x14ac:dyDescent="0.25">
      <c r="A99" s="21" t="s">
        <v>485</v>
      </c>
      <c r="B99" s="59" t="s">
        <v>8</v>
      </c>
      <c r="C99" s="38" t="s">
        <v>68</v>
      </c>
      <c r="D99" s="59"/>
      <c r="E99" s="59"/>
      <c r="F99" s="39"/>
      <c r="G99" s="39">
        <f>SUM(G100,G106,G108,G110,G112)</f>
        <v>135100000</v>
      </c>
      <c r="H99" s="210" t="b">
        <f t="shared" si="2"/>
        <v>1</v>
      </c>
      <c r="I99" s="210"/>
      <c r="J99" s="210"/>
    </row>
    <row r="100" spans="1:10" ht="13.8" x14ac:dyDescent="0.25">
      <c r="A100" s="21" t="s">
        <v>486</v>
      </c>
      <c r="B100" s="60">
        <v>521211</v>
      </c>
      <c r="C100" s="41" t="s">
        <v>7</v>
      </c>
      <c r="D100" s="71"/>
      <c r="E100" s="60"/>
      <c r="F100" s="42"/>
      <c r="G100" s="42">
        <f>SUM(G101:G105)</f>
        <v>21100000</v>
      </c>
      <c r="H100" s="210" t="b">
        <f t="shared" si="2"/>
        <v>1</v>
      </c>
      <c r="I100" s="210"/>
      <c r="J100" s="210"/>
    </row>
    <row r="101" spans="1:10" ht="13.8" x14ac:dyDescent="0.25">
      <c r="A101" s="21" t="s">
        <v>487</v>
      </c>
      <c r="B101" s="152"/>
      <c r="C101" s="151" t="s">
        <v>3598</v>
      </c>
      <c r="D101" s="152">
        <v>2</v>
      </c>
      <c r="E101" s="152" t="s">
        <v>106</v>
      </c>
      <c r="F101" s="153">
        <v>1500000</v>
      </c>
      <c r="G101" s="153">
        <f>ROUNDDOWN(D101*F101,-3)</f>
        <v>3000000</v>
      </c>
      <c r="H101" s="210" t="b">
        <f t="shared" si="2"/>
        <v>1</v>
      </c>
      <c r="I101" s="210"/>
      <c r="J101" s="210"/>
    </row>
    <row r="102" spans="1:10" ht="13.8" x14ac:dyDescent="0.25">
      <c r="A102" s="21" t="s">
        <v>488</v>
      </c>
      <c r="B102" s="152"/>
      <c r="C102" s="151" t="s">
        <v>3732</v>
      </c>
      <c r="D102" s="152">
        <v>90</v>
      </c>
      <c r="E102" s="152" t="s">
        <v>25</v>
      </c>
      <c r="F102" s="153">
        <v>65556</v>
      </c>
      <c r="G102" s="153">
        <f>ROUNDDOWN(D102*F102,-3)</f>
        <v>5900000</v>
      </c>
      <c r="H102" s="210" t="b">
        <f t="shared" si="2"/>
        <v>1</v>
      </c>
      <c r="I102" s="210"/>
      <c r="J102" s="210"/>
    </row>
    <row r="103" spans="1:10" ht="13.8" x14ac:dyDescent="0.25">
      <c r="A103" s="21" t="s">
        <v>489</v>
      </c>
      <c r="B103" s="152"/>
      <c r="C103" s="151" t="s">
        <v>3600</v>
      </c>
      <c r="D103" s="152">
        <v>2</v>
      </c>
      <c r="E103" s="152" t="s">
        <v>106</v>
      </c>
      <c r="F103" s="153">
        <v>1000000</v>
      </c>
      <c r="G103" s="153">
        <f>ROUNDDOWN(D103*F103,-3)</f>
        <v>2000000</v>
      </c>
      <c r="H103" s="210" t="b">
        <f t="shared" si="2"/>
        <v>1</v>
      </c>
      <c r="I103" s="210"/>
      <c r="J103" s="210"/>
    </row>
    <row r="104" spans="1:10" ht="13.8" x14ac:dyDescent="0.25">
      <c r="A104" s="21" t="s">
        <v>809</v>
      </c>
      <c r="B104" s="152"/>
      <c r="C104" s="151" t="s">
        <v>3601</v>
      </c>
      <c r="D104" s="213">
        <v>2</v>
      </c>
      <c r="E104" s="152" t="s">
        <v>106</v>
      </c>
      <c r="F104" s="153">
        <v>1500000</v>
      </c>
      <c r="G104" s="153">
        <f>ROUNDDOWN(D104*F104,-3)</f>
        <v>3000000</v>
      </c>
      <c r="H104" s="210" t="b">
        <f t="shared" si="2"/>
        <v>1</v>
      </c>
      <c r="I104" s="210"/>
      <c r="J104" s="210"/>
    </row>
    <row r="105" spans="1:10" ht="13.8" x14ac:dyDescent="0.25">
      <c r="A105" s="21" t="s">
        <v>810</v>
      </c>
      <c r="B105" s="152"/>
      <c r="C105" s="151" t="s">
        <v>3733</v>
      </c>
      <c r="D105" s="213">
        <v>36</v>
      </c>
      <c r="E105" s="152" t="s">
        <v>25</v>
      </c>
      <c r="F105" s="153">
        <v>200000</v>
      </c>
      <c r="G105" s="153">
        <f>ROUNDDOWN(D105*F105,-3)</f>
        <v>7200000</v>
      </c>
      <c r="H105" s="210" t="b">
        <f t="shared" si="2"/>
        <v>1</v>
      </c>
      <c r="I105" s="210"/>
      <c r="J105" s="210"/>
    </row>
    <row r="106" spans="1:10" ht="13.8" x14ac:dyDescent="0.25">
      <c r="A106" s="21" t="s">
        <v>490</v>
      </c>
      <c r="B106" s="60">
        <v>521219</v>
      </c>
      <c r="C106" s="41" t="s">
        <v>53</v>
      </c>
      <c r="D106" s="71"/>
      <c r="E106" s="60"/>
      <c r="F106" s="42"/>
      <c r="G106" s="42">
        <f>G107</f>
        <v>1584000</v>
      </c>
      <c r="H106" s="210" t="b">
        <f t="shared" si="2"/>
        <v>1</v>
      </c>
      <c r="I106" s="210"/>
      <c r="J106" s="210"/>
    </row>
    <row r="107" spans="1:10" ht="26.4" x14ac:dyDescent="0.25">
      <c r="A107" s="21" t="s">
        <v>491</v>
      </c>
      <c r="B107" s="152"/>
      <c r="C107" s="151" t="s">
        <v>3734</v>
      </c>
      <c r="D107" s="213">
        <v>36</v>
      </c>
      <c r="E107" s="152" t="s">
        <v>25</v>
      </c>
      <c r="F107" s="153">
        <v>44000</v>
      </c>
      <c r="G107" s="153">
        <f>ROUNDDOWN(D107*F107,-3)</f>
        <v>1584000</v>
      </c>
      <c r="H107" s="210" t="b">
        <f t="shared" si="2"/>
        <v>1</v>
      </c>
      <c r="I107" s="210"/>
      <c r="J107" s="210"/>
    </row>
    <row r="108" spans="1:10" ht="13.8" x14ac:dyDescent="0.25">
      <c r="A108" s="21" t="s">
        <v>492</v>
      </c>
      <c r="B108" s="60">
        <v>522151</v>
      </c>
      <c r="C108" s="41" t="s">
        <v>11</v>
      </c>
      <c r="D108" s="60"/>
      <c r="E108" s="60"/>
      <c r="F108" s="42"/>
      <c r="G108" s="42">
        <f>G109</f>
        <v>10000000</v>
      </c>
      <c r="H108" s="210" t="b">
        <f t="shared" si="2"/>
        <v>1</v>
      </c>
      <c r="I108" s="210"/>
      <c r="J108" s="210"/>
    </row>
    <row r="109" spans="1:10" ht="13.8" x14ac:dyDescent="0.25">
      <c r="A109" s="21" t="s">
        <v>493</v>
      </c>
      <c r="B109" s="152"/>
      <c r="C109" s="151" t="s">
        <v>3715</v>
      </c>
      <c r="D109" s="213">
        <v>10</v>
      </c>
      <c r="E109" s="152" t="s">
        <v>54</v>
      </c>
      <c r="F109" s="153">
        <v>1000000</v>
      </c>
      <c r="G109" s="153">
        <f>ROUNDDOWN(D109*F109,-3)</f>
        <v>10000000</v>
      </c>
      <c r="H109" s="210" t="b">
        <f t="shared" si="2"/>
        <v>1</v>
      </c>
      <c r="I109" s="210"/>
      <c r="J109" s="210"/>
    </row>
    <row r="110" spans="1:10" ht="13.8" x14ac:dyDescent="0.25">
      <c r="A110" s="21" t="s">
        <v>813</v>
      </c>
      <c r="B110" s="60">
        <v>522192</v>
      </c>
      <c r="C110" s="41" t="s">
        <v>24</v>
      </c>
      <c r="D110" s="60"/>
      <c r="E110" s="60"/>
      <c r="F110" s="42"/>
      <c r="G110" s="42">
        <f>G111</f>
        <v>5000000</v>
      </c>
      <c r="H110" s="210" t="b">
        <f t="shared" si="2"/>
        <v>1</v>
      </c>
      <c r="I110" s="210"/>
      <c r="J110" s="210"/>
    </row>
    <row r="111" spans="1:10" ht="13.8" x14ac:dyDescent="0.25">
      <c r="A111" s="21" t="s">
        <v>814</v>
      </c>
      <c r="B111" s="152"/>
      <c r="C111" s="151" t="s">
        <v>3735</v>
      </c>
      <c r="D111" s="213">
        <v>1</v>
      </c>
      <c r="E111" s="152" t="s">
        <v>153</v>
      </c>
      <c r="F111" s="153">
        <v>5000000</v>
      </c>
      <c r="G111" s="153">
        <f>ROUNDDOWN(D111*F111,-3)</f>
        <v>5000000</v>
      </c>
      <c r="H111" s="210" t="b">
        <f t="shared" si="2"/>
        <v>1</v>
      </c>
      <c r="I111" s="210"/>
      <c r="J111" s="210"/>
    </row>
    <row r="112" spans="1:10" ht="13.8" x14ac:dyDescent="0.25">
      <c r="A112" s="21" t="s">
        <v>816</v>
      </c>
      <c r="B112" s="60">
        <v>524111</v>
      </c>
      <c r="C112" s="41" t="s">
        <v>19</v>
      </c>
      <c r="D112" s="60"/>
      <c r="E112" s="60"/>
      <c r="F112" s="42"/>
      <c r="G112" s="42">
        <f>G113</f>
        <v>97416000</v>
      </c>
      <c r="H112" s="210" t="b">
        <f t="shared" si="2"/>
        <v>1</v>
      </c>
      <c r="I112" s="210"/>
      <c r="J112" s="210"/>
    </row>
    <row r="113" spans="1:10" ht="13.8" x14ac:dyDescent="0.25">
      <c r="A113" s="21" t="s">
        <v>817</v>
      </c>
      <c r="B113" s="152"/>
      <c r="C113" s="151" t="s">
        <v>3736</v>
      </c>
      <c r="D113" s="152">
        <v>36</v>
      </c>
      <c r="E113" s="152" t="s">
        <v>776</v>
      </c>
      <c r="F113" s="153">
        <v>2706000</v>
      </c>
      <c r="G113" s="153">
        <f>ROUNDDOWN(D113*F113,-3)</f>
        <v>97416000</v>
      </c>
      <c r="H113" s="210" t="b">
        <f t="shared" si="2"/>
        <v>1</v>
      </c>
      <c r="I113" s="210"/>
      <c r="J113" s="210"/>
    </row>
    <row r="114" spans="1:10" ht="13.8" x14ac:dyDescent="0.25">
      <c r="A114" s="21" t="s">
        <v>69</v>
      </c>
      <c r="B114" s="54" t="s">
        <v>69</v>
      </c>
      <c r="C114" s="23" t="s">
        <v>70</v>
      </c>
      <c r="D114" s="54"/>
      <c r="E114" s="54"/>
      <c r="F114" s="24"/>
      <c r="G114" s="24">
        <f>SUM(G115,G486)</f>
        <v>15863164000</v>
      </c>
      <c r="H114" s="210" t="b">
        <f t="shared" si="2"/>
        <v>1</v>
      </c>
      <c r="I114" s="210"/>
      <c r="J114" s="210"/>
    </row>
    <row r="115" spans="1:10" ht="26.4" x14ac:dyDescent="0.25">
      <c r="A115" s="21" t="s">
        <v>494</v>
      </c>
      <c r="B115" s="55">
        <v>2378</v>
      </c>
      <c r="C115" s="26" t="s">
        <v>71</v>
      </c>
      <c r="D115" s="68"/>
      <c r="E115" s="55"/>
      <c r="F115" s="27"/>
      <c r="G115" s="27">
        <f>SUM(G116,G122,G337,G343)</f>
        <v>7280664000</v>
      </c>
      <c r="H115" s="210" t="b">
        <f t="shared" si="2"/>
        <v>1</v>
      </c>
      <c r="I115" s="210"/>
      <c r="J115" s="210"/>
    </row>
    <row r="116" spans="1:10" ht="13.8" x14ac:dyDescent="0.25">
      <c r="A116" s="21" t="s">
        <v>819</v>
      </c>
      <c r="B116" s="135" t="s">
        <v>820</v>
      </c>
      <c r="C116" s="133" t="s">
        <v>821</v>
      </c>
      <c r="D116" s="134">
        <v>1</v>
      </c>
      <c r="E116" s="135" t="s">
        <v>42</v>
      </c>
      <c r="F116" s="136"/>
      <c r="G116" s="136">
        <f>G117</f>
        <v>115000000</v>
      </c>
      <c r="H116" s="210" t="b">
        <f t="shared" si="2"/>
        <v>1</v>
      </c>
      <c r="I116" s="210"/>
      <c r="J116" s="210"/>
    </row>
    <row r="117" spans="1:10" ht="26.4" x14ac:dyDescent="0.25">
      <c r="A117" s="21" t="s">
        <v>822</v>
      </c>
      <c r="B117" s="138" t="s">
        <v>3737</v>
      </c>
      <c r="C117" s="137" t="s">
        <v>824</v>
      </c>
      <c r="D117" s="140">
        <v>1</v>
      </c>
      <c r="E117" s="138" t="s">
        <v>42</v>
      </c>
      <c r="F117" s="139"/>
      <c r="G117" s="139">
        <f>G118</f>
        <v>115000000</v>
      </c>
      <c r="H117" s="210" t="b">
        <f t="shared" si="2"/>
        <v>1</v>
      </c>
      <c r="I117" s="210"/>
      <c r="J117" s="210"/>
    </row>
    <row r="118" spans="1:10" ht="26.4" x14ac:dyDescent="0.25">
      <c r="A118" s="21" t="s">
        <v>832</v>
      </c>
      <c r="B118" s="58">
        <v>301</v>
      </c>
      <c r="C118" s="35" t="s">
        <v>834</v>
      </c>
      <c r="D118" s="58"/>
      <c r="E118" s="58"/>
      <c r="F118" s="36"/>
      <c r="G118" s="36">
        <f>G119</f>
        <v>115000000</v>
      </c>
      <c r="H118" s="210" t="b">
        <f t="shared" si="2"/>
        <v>1</v>
      </c>
      <c r="I118" s="210"/>
      <c r="J118" s="210"/>
    </row>
    <row r="119" spans="1:10" ht="13.8" x14ac:dyDescent="0.25">
      <c r="A119" s="21" t="s">
        <v>835</v>
      </c>
      <c r="B119" s="59" t="s">
        <v>8</v>
      </c>
      <c r="C119" s="38" t="s">
        <v>836</v>
      </c>
      <c r="D119" s="70"/>
      <c r="E119" s="59"/>
      <c r="F119" s="39"/>
      <c r="G119" s="39">
        <f>G120</f>
        <v>115000000</v>
      </c>
      <c r="H119" s="210" t="b">
        <f t="shared" si="2"/>
        <v>1</v>
      </c>
      <c r="I119" s="210"/>
      <c r="J119" s="210"/>
    </row>
    <row r="120" spans="1:10" ht="13.8" x14ac:dyDescent="0.25">
      <c r="A120" s="21" t="s">
        <v>837</v>
      </c>
      <c r="B120" s="60">
        <v>532111</v>
      </c>
      <c r="C120" s="41" t="s">
        <v>43</v>
      </c>
      <c r="D120" s="60"/>
      <c r="E120" s="60"/>
      <c r="F120" s="42"/>
      <c r="G120" s="42">
        <f>G121</f>
        <v>115000000</v>
      </c>
      <c r="H120" s="210" t="b">
        <f t="shared" si="2"/>
        <v>1</v>
      </c>
      <c r="I120" s="210"/>
      <c r="J120" s="210"/>
    </row>
    <row r="121" spans="1:10" ht="13.8" x14ac:dyDescent="0.25">
      <c r="A121" s="21" t="s">
        <v>838</v>
      </c>
      <c r="B121" s="152"/>
      <c r="C121" s="151" t="s">
        <v>3739</v>
      </c>
      <c r="D121" s="213">
        <v>1</v>
      </c>
      <c r="E121" s="152" t="s">
        <v>23</v>
      </c>
      <c r="F121" s="153">
        <v>115000000</v>
      </c>
      <c r="G121" s="153">
        <f>ROUNDDOWN(D121*F121,-3)</f>
        <v>115000000</v>
      </c>
      <c r="H121" s="210" t="b">
        <f t="shared" si="2"/>
        <v>1</v>
      </c>
      <c r="I121" s="210"/>
      <c r="J121" s="210"/>
    </row>
    <row r="122" spans="1:10" ht="13.8" x14ac:dyDescent="0.25">
      <c r="A122" s="21" t="s">
        <v>840</v>
      </c>
      <c r="B122" s="135" t="s">
        <v>841</v>
      </c>
      <c r="C122" s="133" t="s">
        <v>842</v>
      </c>
      <c r="D122" s="135">
        <v>9</v>
      </c>
      <c r="E122" s="135" t="s">
        <v>3740</v>
      </c>
      <c r="F122" s="136"/>
      <c r="G122" s="136">
        <f>SUM(G123,G138,G263)</f>
        <v>5085940000</v>
      </c>
      <c r="H122" s="210" t="b">
        <f t="shared" si="2"/>
        <v>1</v>
      </c>
      <c r="I122" s="210"/>
      <c r="J122" s="210"/>
    </row>
    <row r="123" spans="1:10" ht="13.8" x14ac:dyDescent="0.25">
      <c r="A123" s="21" t="s">
        <v>1035</v>
      </c>
      <c r="B123" s="138" t="s">
        <v>3792</v>
      </c>
      <c r="C123" s="137" t="s">
        <v>1037</v>
      </c>
      <c r="D123" s="138">
        <v>2</v>
      </c>
      <c r="E123" s="138" t="s">
        <v>3740</v>
      </c>
      <c r="F123" s="139"/>
      <c r="G123" s="139">
        <f>G124</f>
        <v>153780000</v>
      </c>
      <c r="H123" s="210" t="b">
        <f t="shared" si="2"/>
        <v>1</v>
      </c>
      <c r="I123" s="210"/>
      <c r="J123" s="210"/>
    </row>
    <row r="124" spans="1:10" ht="13.8" x14ac:dyDescent="0.25">
      <c r="A124" s="7" t="s">
        <v>1184</v>
      </c>
      <c r="B124" s="58">
        <v>311</v>
      </c>
      <c r="C124" s="35" t="s">
        <v>1186</v>
      </c>
      <c r="D124" s="58"/>
      <c r="E124" s="58"/>
      <c r="F124" s="36"/>
      <c r="G124" s="36">
        <f>G125</f>
        <v>153780000</v>
      </c>
      <c r="H124" s="210" t="b">
        <f t="shared" si="2"/>
        <v>1</v>
      </c>
      <c r="I124" s="210"/>
      <c r="J124" s="210"/>
    </row>
    <row r="125" spans="1:10" ht="13.8" x14ac:dyDescent="0.25">
      <c r="A125" s="7" t="s">
        <v>1187</v>
      </c>
      <c r="B125" s="59" t="s">
        <v>8</v>
      </c>
      <c r="C125" s="38" t="s">
        <v>75</v>
      </c>
      <c r="D125" s="59"/>
      <c r="E125" s="59"/>
      <c r="F125" s="39"/>
      <c r="G125" s="39">
        <f>SUM(G126,G129,G131,G134,G136)</f>
        <v>153780000</v>
      </c>
      <c r="H125" s="210" t="b">
        <f t="shared" si="2"/>
        <v>1</v>
      </c>
      <c r="I125" s="210"/>
      <c r="J125" s="210"/>
    </row>
    <row r="126" spans="1:10" ht="13.8" x14ac:dyDescent="0.25">
      <c r="A126" s="7" t="s">
        <v>1188</v>
      </c>
      <c r="B126" s="60">
        <v>521211</v>
      </c>
      <c r="C126" s="41" t="s">
        <v>7</v>
      </c>
      <c r="D126" s="60"/>
      <c r="E126" s="60"/>
      <c r="F126" s="42"/>
      <c r="G126" s="42">
        <f>SUM(G127:G128)</f>
        <v>14400000</v>
      </c>
      <c r="H126" s="210" t="b">
        <f t="shared" si="2"/>
        <v>1</v>
      </c>
      <c r="I126" s="210"/>
      <c r="J126" s="210"/>
    </row>
    <row r="127" spans="1:10" ht="13.8" x14ac:dyDescent="0.25">
      <c r="A127" s="7" t="s">
        <v>1189</v>
      </c>
      <c r="B127" s="152"/>
      <c r="C127" s="151" t="s">
        <v>3598</v>
      </c>
      <c r="D127" s="152">
        <v>6</v>
      </c>
      <c r="E127" s="152" t="s">
        <v>52</v>
      </c>
      <c r="F127" s="153">
        <v>1000000</v>
      </c>
      <c r="G127" s="153">
        <f>ROUNDDOWN(D127*F127,-3)</f>
        <v>6000000</v>
      </c>
      <c r="H127" s="210" t="b">
        <f t="shared" si="2"/>
        <v>1</v>
      </c>
      <c r="I127" s="210"/>
      <c r="J127" s="210"/>
    </row>
    <row r="128" spans="1:10" ht="13.8" x14ac:dyDescent="0.25">
      <c r="A128" s="7" t="s">
        <v>1190</v>
      </c>
      <c r="B128" s="152"/>
      <c r="C128" s="151" t="s">
        <v>3720</v>
      </c>
      <c r="D128" s="152">
        <v>120</v>
      </c>
      <c r="E128" s="152" t="s">
        <v>25</v>
      </c>
      <c r="F128" s="153">
        <v>70000</v>
      </c>
      <c r="G128" s="153">
        <f>ROUNDDOWN(D128*F128,-3)</f>
        <v>8400000</v>
      </c>
      <c r="H128" s="210" t="b">
        <f t="shared" si="2"/>
        <v>1</v>
      </c>
      <c r="I128" s="210"/>
      <c r="J128" s="210"/>
    </row>
    <row r="129" spans="1:10" ht="13.8" x14ac:dyDescent="0.25">
      <c r="A129" s="7" t="s">
        <v>1191</v>
      </c>
      <c r="B129" s="60">
        <v>521219</v>
      </c>
      <c r="C129" s="41" t="s">
        <v>53</v>
      </c>
      <c r="D129" s="60"/>
      <c r="E129" s="60"/>
      <c r="F129" s="42"/>
      <c r="G129" s="42">
        <f>G130</f>
        <v>8000000</v>
      </c>
      <c r="H129" s="210" t="b">
        <f t="shared" si="2"/>
        <v>1</v>
      </c>
      <c r="I129" s="210"/>
      <c r="J129" s="210"/>
    </row>
    <row r="130" spans="1:10" ht="13.8" x14ac:dyDescent="0.25">
      <c r="A130" s="7" t="s">
        <v>1192</v>
      </c>
      <c r="B130" s="152"/>
      <c r="C130" s="151" t="s">
        <v>3840</v>
      </c>
      <c r="D130" s="152">
        <v>1</v>
      </c>
      <c r="E130" s="152" t="s">
        <v>106</v>
      </c>
      <c r="F130" s="153">
        <v>8000000</v>
      </c>
      <c r="G130" s="153">
        <f>ROUNDDOWN(D130*F130,-3)</f>
        <v>8000000</v>
      </c>
      <c r="H130" s="210" t="b">
        <f t="shared" si="2"/>
        <v>1</v>
      </c>
      <c r="I130" s="210"/>
      <c r="J130" s="210"/>
    </row>
    <row r="131" spans="1:10" ht="13.8" x14ac:dyDescent="0.25">
      <c r="A131" s="7" t="s">
        <v>1194</v>
      </c>
      <c r="B131" s="60">
        <v>521811</v>
      </c>
      <c r="C131" s="41" t="s">
        <v>64</v>
      </c>
      <c r="D131" s="60"/>
      <c r="E131" s="60"/>
      <c r="F131" s="42"/>
      <c r="G131" s="42">
        <f>SUM(G132:G133)</f>
        <v>12000000</v>
      </c>
      <c r="H131" s="210" t="b">
        <f t="shared" si="2"/>
        <v>1</v>
      </c>
      <c r="I131" s="210"/>
      <c r="J131" s="210"/>
    </row>
    <row r="132" spans="1:10" ht="13.8" x14ac:dyDescent="0.25">
      <c r="A132" s="7" t="s">
        <v>1195</v>
      </c>
      <c r="B132" s="152"/>
      <c r="C132" s="151" t="s">
        <v>3625</v>
      </c>
      <c r="D132" s="152">
        <v>6</v>
      </c>
      <c r="E132" s="152" t="s">
        <v>52</v>
      </c>
      <c r="F132" s="153">
        <v>1000000</v>
      </c>
      <c r="G132" s="153">
        <f>ROUNDDOWN(D132*F132,-3)</f>
        <v>6000000</v>
      </c>
      <c r="H132" s="210" t="b">
        <f t="shared" si="2"/>
        <v>1</v>
      </c>
      <c r="I132" s="210"/>
      <c r="J132" s="210"/>
    </row>
    <row r="133" spans="1:10" ht="13.8" x14ac:dyDescent="0.25">
      <c r="A133" s="7" t="s">
        <v>1196</v>
      </c>
      <c r="B133" s="152"/>
      <c r="C133" s="151" t="s">
        <v>3841</v>
      </c>
      <c r="D133" s="152">
        <v>6</v>
      </c>
      <c r="E133" s="152" t="s">
        <v>52</v>
      </c>
      <c r="F133" s="153">
        <v>1000000</v>
      </c>
      <c r="G133" s="153">
        <f>ROUNDDOWN(D133*F133,-3)</f>
        <v>6000000</v>
      </c>
      <c r="H133" s="210" t="b">
        <f t="shared" si="2"/>
        <v>1</v>
      </c>
      <c r="I133" s="210"/>
      <c r="J133" s="210"/>
    </row>
    <row r="134" spans="1:10" ht="13.8" x14ac:dyDescent="0.25">
      <c r="A134" s="7" t="s">
        <v>1198</v>
      </c>
      <c r="B134" s="60">
        <v>522151</v>
      </c>
      <c r="C134" s="41" t="s">
        <v>11</v>
      </c>
      <c r="D134" s="60"/>
      <c r="E134" s="60"/>
      <c r="F134" s="42"/>
      <c r="G134" s="42">
        <f>G135</f>
        <v>4000000</v>
      </c>
      <c r="H134" s="210" t="b">
        <f t="shared" si="2"/>
        <v>1</v>
      </c>
      <c r="I134" s="210"/>
      <c r="J134" s="210"/>
    </row>
    <row r="135" spans="1:10" ht="13.8" x14ac:dyDescent="0.25">
      <c r="A135" s="7" t="s">
        <v>1199</v>
      </c>
      <c r="B135" s="152"/>
      <c r="C135" s="151" t="s">
        <v>3715</v>
      </c>
      <c r="D135" s="152">
        <v>4</v>
      </c>
      <c r="E135" s="152" t="s">
        <v>54</v>
      </c>
      <c r="F135" s="153">
        <v>1000000</v>
      </c>
      <c r="G135" s="153">
        <f>ROUNDDOWN(D135*F135,-3)</f>
        <v>4000000</v>
      </c>
      <c r="H135" s="210" t="b">
        <f t="shared" si="2"/>
        <v>1</v>
      </c>
      <c r="I135" s="210"/>
      <c r="J135" s="210"/>
    </row>
    <row r="136" spans="1:10" ht="13.8" x14ac:dyDescent="0.25">
      <c r="A136" s="7" t="s">
        <v>1200</v>
      </c>
      <c r="B136" s="60">
        <v>524111</v>
      </c>
      <c r="C136" s="41" t="s">
        <v>19</v>
      </c>
      <c r="D136" s="60"/>
      <c r="E136" s="60"/>
      <c r="F136" s="42"/>
      <c r="G136" s="42">
        <f>G137</f>
        <v>115380000</v>
      </c>
      <c r="H136" s="210" t="b">
        <f t="shared" si="2"/>
        <v>1</v>
      </c>
      <c r="I136" s="210"/>
      <c r="J136" s="210"/>
    </row>
    <row r="137" spans="1:10" ht="13.8" x14ac:dyDescent="0.25">
      <c r="A137" s="7" t="s">
        <v>1201</v>
      </c>
      <c r="B137" s="152"/>
      <c r="C137" s="151" t="s">
        <v>3842</v>
      </c>
      <c r="D137" s="152">
        <v>20</v>
      </c>
      <c r="E137" s="152" t="s">
        <v>25</v>
      </c>
      <c r="F137" s="153">
        <v>5769000</v>
      </c>
      <c r="G137" s="153">
        <f>ROUNDDOWN(D137*F137,-3)</f>
        <v>115380000</v>
      </c>
      <c r="H137" s="210" t="b">
        <f t="shared" si="2"/>
        <v>1</v>
      </c>
      <c r="I137" s="210"/>
      <c r="J137" s="210"/>
    </row>
    <row r="138" spans="1:10" ht="13.8" x14ac:dyDescent="0.25">
      <c r="A138" s="7" t="s">
        <v>1268</v>
      </c>
      <c r="B138" s="138" t="s">
        <v>3855</v>
      </c>
      <c r="C138" s="137" t="s">
        <v>1270</v>
      </c>
      <c r="D138" s="138">
        <v>1</v>
      </c>
      <c r="E138" s="138" t="s">
        <v>3740</v>
      </c>
      <c r="F138" s="139"/>
      <c r="G138" s="139">
        <f>G139</f>
        <v>2736502000</v>
      </c>
      <c r="H138" s="210" t="b">
        <f t="shared" si="2"/>
        <v>1</v>
      </c>
      <c r="I138" s="210"/>
      <c r="J138" s="210"/>
    </row>
    <row r="139" spans="1:10" ht="26.4" x14ac:dyDescent="0.25">
      <c r="A139" s="7" t="s">
        <v>1388</v>
      </c>
      <c r="B139" s="58">
        <v>301</v>
      </c>
      <c r="C139" s="35" t="s">
        <v>1389</v>
      </c>
      <c r="D139" s="58"/>
      <c r="E139" s="58"/>
      <c r="F139" s="36"/>
      <c r="G139" s="36">
        <f>SUM(G140,G150,G161,G174,G184,G200,G216,G228,G248)</f>
        <v>2736502000</v>
      </c>
      <c r="H139" s="210" t="b">
        <f t="shared" si="2"/>
        <v>1</v>
      </c>
      <c r="I139" s="210"/>
      <c r="J139" s="210"/>
    </row>
    <row r="140" spans="1:10" ht="13.8" x14ac:dyDescent="0.25">
      <c r="A140" s="7" t="s">
        <v>1390</v>
      </c>
      <c r="B140" s="59" t="s">
        <v>8</v>
      </c>
      <c r="C140" s="38" t="s">
        <v>148</v>
      </c>
      <c r="D140" s="59"/>
      <c r="E140" s="59"/>
      <c r="F140" s="39"/>
      <c r="G140" s="39">
        <f>SUM(G141,G146,G148)</f>
        <v>42100000</v>
      </c>
      <c r="H140" s="210" t="b">
        <f t="shared" si="2"/>
        <v>1</v>
      </c>
      <c r="I140" s="210"/>
      <c r="J140" s="210"/>
    </row>
    <row r="141" spans="1:10" ht="13.8" x14ac:dyDescent="0.25">
      <c r="A141" s="7" t="s">
        <v>1391</v>
      </c>
      <c r="B141" s="60">
        <v>521211</v>
      </c>
      <c r="C141" s="41" t="s">
        <v>7</v>
      </c>
      <c r="D141" s="60"/>
      <c r="E141" s="60"/>
      <c r="F141" s="42"/>
      <c r="G141" s="42">
        <f>SUM(G142:G145)</f>
        <v>22000000</v>
      </c>
      <c r="H141" s="210" t="b">
        <f t="shared" si="2"/>
        <v>1</v>
      </c>
      <c r="I141" s="210"/>
      <c r="J141" s="210"/>
    </row>
    <row r="142" spans="1:10" ht="13.8" x14ac:dyDescent="0.25">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3.8" x14ac:dyDescent="0.25">
      <c r="A143" s="7" t="s">
        <v>1393</v>
      </c>
      <c r="B143" s="152"/>
      <c r="C143" s="151" t="s">
        <v>3626</v>
      </c>
      <c r="D143" s="152">
        <v>4</v>
      </c>
      <c r="E143" s="152" t="s">
        <v>9</v>
      </c>
      <c r="F143" s="153">
        <v>1000000</v>
      </c>
      <c r="G143" s="153">
        <f>ROUNDDOWN(D143*F143,-3)</f>
        <v>4000000</v>
      </c>
      <c r="H143" s="210" t="b">
        <f t="shared" si="3"/>
        <v>1</v>
      </c>
      <c r="I143" s="210"/>
      <c r="J143" s="210"/>
    </row>
    <row r="144" spans="1:10" ht="13.8" x14ac:dyDescent="0.25">
      <c r="A144" s="7" t="s">
        <v>1394</v>
      </c>
      <c r="B144" s="152"/>
      <c r="C144" s="151" t="s">
        <v>3627</v>
      </c>
      <c r="D144" s="152">
        <v>4</v>
      </c>
      <c r="E144" s="152" t="s">
        <v>9</v>
      </c>
      <c r="F144" s="153">
        <v>1500000</v>
      </c>
      <c r="G144" s="153">
        <f>ROUNDDOWN(D144*F144,-3)</f>
        <v>6000000</v>
      </c>
      <c r="H144" s="210" t="b">
        <f t="shared" si="3"/>
        <v>1</v>
      </c>
      <c r="I144" s="210"/>
      <c r="J144" s="210"/>
    </row>
    <row r="145" spans="1:10" ht="13.8" x14ac:dyDescent="0.25">
      <c r="A145" s="7" t="s">
        <v>1395</v>
      </c>
      <c r="B145" s="152"/>
      <c r="C145" s="151" t="s">
        <v>3887</v>
      </c>
      <c r="D145" s="152">
        <v>12</v>
      </c>
      <c r="E145" s="152" t="s">
        <v>176</v>
      </c>
      <c r="F145" s="153">
        <v>500000</v>
      </c>
      <c r="G145" s="153">
        <f>ROUNDDOWN(D145*F145,-3)</f>
        <v>6000000</v>
      </c>
      <c r="H145" s="210" t="b">
        <f t="shared" si="3"/>
        <v>1</v>
      </c>
      <c r="I145" s="210"/>
      <c r="J145" s="210"/>
    </row>
    <row r="146" spans="1:10" ht="13.8" x14ac:dyDescent="0.25">
      <c r="A146" s="7" t="s">
        <v>1397</v>
      </c>
      <c r="B146" s="60">
        <v>524111</v>
      </c>
      <c r="C146" s="41" t="s">
        <v>19</v>
      </c>
      <c r="D146" s="60"/>
      <c r="E146" s="60"/>
      <c r="F146" s="42"/>
      <c r="G146" s="42">
        <f>G147</f>
        <v>18000000</v>
      </c>
      <c r="H146" s="210" t="b">
        <f t="shared" si="3"/>
        <v>1</v>
      </c>
      <c r="I146" s="210"/>
      <c r="J146" s="210"/>
    </row>
    <row r="147" spans="1:10" ht="13.8" x14ac:dyDescent="0.25">
      <c r="A147" s="7" t="s">
        <v>1398</v>
      </c>
      <c r="B147" s="152"/>
      <c r="C147" s="151" t="s">
        <v>3888</v>
      </c>
      <c r="D147" s="152">
        <v>6</v>
      </c>
      <c r="E147" s="152" t="s">
        <v>10</v>
      </c>
      <c r="F147" s="153">
        <v>3000000</v>
      </c>
      <c r="G147" s="153">
        <f>ROUNDDOWN(D147*F147,-3)</f>
        <v>18000000</v>
      </c>
      <c r="H147" s="210" t="b">
        <f t="shared" si="3"/>
        <v>1</v>
      </c>
      <c r="I147" s="210"/>
      <c r="J147" s="210"/>
    </row>
    <row r="148" spans="1:10" ht="13.8" x14ac:dyDescent="0.25">
      <c r="A148" s="7" t="s">
        <v>1400</v>
      </c>
      <c r="B148" s="60">
        <v>524113</v>
      </c>
      <c r="C148" s="41" t="s">
        <v>13</v>
      </c>
      <c r="D148" s="60"/>
      <c r="E148" s="60"/>
      <c r="F148" s="42"/>
      <c r="G148" s="42">
        <f>G149</f>
        <v>2100000</v>
      </c>
      <c r="H148" s="210" t="b">
        <f t="shared" si="3"/>
        <v>1</v>
      </c>
      <c r="I148" s="210"/>
      <c r="J148" s="210"/>
    </row>
    <row r="149" spans="1:10" ht="13.8" x14ac:dyDescent="0.25">
      <c r="A149" s="7" t="s">
        <v>1401</v>
      </c>
      <c r="B149" s="152"/>
      <c r="C149" s="151" t="s">
        <v>3889</v>
      </c>
      <c r="D149" s="152">
        <v>14</v>
      </c>
      <c r="E149" s="152" t="s">
        <v>10</v>
      </c>
      <c r="F149" s="153">
        <v>150000</v>
      </c>
      <c r="G149" s="153">
        <f>ROUNDDOWN(D149*F149,-3)</f>
        <v>2100000</v>
      </c>
      <c r="H149" s="210" t="b">
        <f t="shared" si="3"/>
        <v>1</v>
      </c>
      <c r="I149" s="210"/>
      <c r="J149" s="210"/>
    </row>
    <row r="150" spans="1:10" ht="13.8" x14ac:dyDescent="0.25">
      <c r="A150" s="7" t="s">
        <v>1403</v>
      </c>
      <c r="B150" s="59" t="s">
        <v>511</v>
      </c>
      <c r="C150" s="38" t="s">
        <v>150</v>
      </c>
      <c r="D150" s="59"/>
      <c r="E150" s="59"/>
      <c r="F150" s="39"/>
      <c r="G150" s="39">
        <f>SUM(G151,G154,G156,G158)</f>
        <v>571380000</v>
      </c>
      <c r="H150" s="210" t="b">
        <f t="shared" si="3"/>
        <v>1</v>
      </c>
      <c r="I150" s="210"/>
      <c r="J150" s="210"/>
    </row>
    <row r="151" spans="1:10" ht="13.8" x14ac:dyDescent="0.25">
      <c r="A151" s="7" t="s">
        <v>1404</v>
      </c>
      <c r="B151" s="60">
        <v>521211</v>
      </c>
      <c r="C151" s="41" t="s">
        <v>7</v>
      </c>
      <c r="D151" s="60"/>
      <c r="E151" s="60"/>
      <c r="F151" s="42"/>
      <c r="G151" s="42">
        <f>SUM(G152:G153)</f>
        <v>10000000</v>
      </c>
      <c r="H151" s="210" t="b">
        <f t="shared" si="3"/>
        <v>1</v>
      </c>
      <c r="I151" s="210"/>
      <c r="J151" s="210"/>
    </row>
    <row r="152" spans="1:10" ht="13.8" x14ac:dyDescent="0.25">
      <c r="A152" s="7" t="s">
        <v>1405</v>
      </c>
      <c r="B152" s="152"/>
      <c r="C152" s="151" t="s">
        <v>3625</v>
      </c>
      <c r="D152" s="152">
        <v>4</v>
      </c>
      <c r="E152" s="152" t="s">
        <v>9</v>
      </c>
      <c r="F152" s="153">
        <v>1500000</v>
      </c>
      <c r="G152" s="153">
        <f>ROUNDDOWN(D152*F152,-3)</f>
        <v>6000000</v>
      </c>
      <c r="H152" s="210" t="b">
        <f t="shared" si="3"/>
        <v>1</v>
      </c>
      <c r="I152" s="210"/>
      <c r="J152" s="210"/>
    </row>
    <row r="153" spans="1:10" ht="13.8" x14ac:dyDescent="0.25">
      <c r="A153" s="7" t="s">
        <v>1406</v>
      </c>
      <c r="B153" s="152"/>
      <c r="C153" s="151" t="s">
        <v>3626</v>
      </c>
      <c r="D153" s="152">
        <v>4</v>
      </c>
      <c r="E153" s="152" t="s">
        <v>9</v>
      </c>
      <c r="F153" s="153">
        <v>1000000</v>
      </c>
      <c r="G153" s="153">
        <f>ROUNDDOWN(D153*F153,-3)</f>
        <v>4000000</v>
      </c>
      <c r="H153" s="210" t="b">
        <f t="shared" si="3"/>
        <v>1</v>
      </c>
      <c r="I153" s="210"/>
      <c r="J153" s="210"/>
    </row>
    <row r="154" spans="1:10" ht="13.8" x14ac:dyDescent="0.25">
      <c r="A154" s="7" t="s">
        <v>1407</v>
      </c>
      <c r="B154" s="60">
        <v>521219</v>
      </c>
      <c r="C154" s="41" t="s">
        <v>53</v>
      </c>
      <c r="D154" s="60"/>
      <c r="E154" s="60"/>
      <c r="F154" s="42"/>
      <c r="G154" s="42">
        <f>G155</f>
        <v>7800000</v>
      </c>
      <c r="H154" s="210" t="b">
        <f t="shared" si="3"/>
        <v>1</v>
      </c>
      <c r="I154" s="210"/>
      <c r="J154" s="210"/>
    </row>
    <row r="155" spans="1:10" ht="13.8" x14ac:dyDescent="0.25">
      <c r="A155" s="7" t="s">
        <v>1408</v>
      </c>
      <c r="B155" s="152"/>
      <c r="C155" s="151" t="s">
        <v>3722</v>
      </c>
      <c r="D155" s="152">
        <v>12</v>
      </c>
      <c r="E155" s="152" t="s">
        <v>66</v>
      </c>
      <c r="F155" s="153">
        <v>650000</v>
      </c>
      <c r="G155" s="153">
        <f>ROUNDDOWN(D155*F155,-3)</f>
        <v>7800000</v>
      </c>
      <c r="H155" s="210" t="b">
        <f t="shared" si="3"/>
        <v>1</v>
      </c>
      <c r="I155" s="210"/>
      <c r="J155" s="210"/>
    </row>
    <row r="156" spans="1:10" ht="13.8" x14ac:dyDescent="0.25">
      <c r="A156" s="7" t="s">
        <v>1409</v>
      </c>
      <c r="B156" s="60">
        <v>522192</v>
      </c>
      <c r="C156" s="41" t="s">
        <v>24</v>
      </c>
      <c r="D156" s="60"/>
      <c r="E156" s="60"/>
      <c r="F156" s="42"/>
      <c r="G156" s="42">
        <f>G157</f>
        <v>39080000</v>
      </c>
      <c r="H156" s="210" t="b">
        <f t="shared" si="3"/>
        <v>1</v>
      </c>
      <c r="I156" s="210"/>
      <c r="J156" s="210"/>
    </row>
    <row r="157" spans="1:10" ht="13.8" x14ac:dyDescent="0.25">
      <c r="A157" s="7" t="s">
        <v>1410</v>
      </c>
      <c r="B157" s="152"/>
      <c r="C157" s="151" t="s">
        <v>3890</v>
      </c>
      <c r="D157" s="152">
        <v>80</v>
      </c>
      <c r="E157" s="152" t="s">
        <v>25</v>
      </c>
      <c r="F157" s="153">
        <v>488500</v>
      </c>
      <c r="G157" s="153">
        <f>ROUNDDOWN(D157*F157,-3)</f>
        <v>39080000</v>
      </c>
      <c r="H157" s="210" t="b">
        <f t="shared" si="3"/>
        <v>1</v>
      </c>
      <c r="I157" s="210"/>
      <c r="J157" s="210"/>
    </row>
    <row r="158" spans="1:10" ht="13.8" x14ac:dyDescent="0.25">
      <c r="A158" s="7" t="s">
        <v>1412</v>
      </c>
      <c r="B158" s="60">
        <v>524111</v>
      </c>
      <c r="C158" s="41" t="s">
        <v>19</v>
      </c>
      <c r="D158" s="60"/>
      <c r="E158" s="60"/>
      <c r="F158" s="42"/>
      <c r="G158" s="42">
        <f>SUM(G159:G160)</f>
        <v>514500000</v>
      </c>
      <c r="H158" s="210" t="b">
        <f t="shared" si="3"/>
        <v>1</v>
      </c>
      <c r="I158" s="210"/>
      <c r="J158" s="210"/>
    </row>
    <row r="159" spans="1:10" ht="13.8" x14ac:dyDescent="0.25">
      <c r="A159" s="7" t="s">
        <v>1413</v>
      </c>
      <c r="B159" s="152"/>
      <c r="C159" s="151" t="s">
        <v>3891</v>
      </c>
      <c r="D159" s="152">
        <v>55</v>
      </c>
      <c r="E159" s="152" t="s">
        <v>10</v>
      </c>
      <c r="F159" s="153">
        <v>6075000</v>
      </c>
      <c r="G159" s="153">
        <f>ROUNDDOWN(D159*F159,-3)</f>
        <v>334125000</v>
      </c>
      <c r="H159" s="210" t="b">
        <f t="shared" si="3"/>
        <v>1</v>
      </c>
      <c r="I159" s="210"/>
      <c r="J159" s="210"/>
    </row>
    <row r="160" spans="1:10" ht="26.4" x14ac:dyDescent="0.25">
      <c r="A160" s="7" t="s">
        <v>1415</v>
      </c>
      <c r="B160" s="152"/>
      <c r="C160" s="151" t="s">
        <v>3892</v>
      </c>
      <c r="D160" s="152">
        <v>30</v>
      </c>
      <c r="E160" s="152" t="s">
        <v>776</v>
      </c>
      <c r="F160" s="153">
        <v>6012500</v>
      </c>
      <c r="G160" s="153">
        <f>ROUNDDOWN(D160*F160,-3)</f>
        <v>180375000</v>
      </c>
      <c r="H160" s="210" t="b">
        <f t="shared" si="3"/>
        <v>1</v>
      </c>
      <c r="I160" s="210"/>
      <c r="J160" s="210"/>
    </row>
    <row r="161" spans="1:10" ht="26.4" x14ac:dyDescent="0.25">
      <c r="A161" s="7" t="s">
        <v>1417</v>
      </c>
      <c r="B161" s="59" t="s">
        <v>512</v>
      </c>
      <c r="C161" s="38" t="s">
        <v>1418</v>
      </c>
      <c r="D161" s="59"/>
      <c r="E161" s="59"/>
      <c r="F161" s="39"/>
      <c r="G161" s="39">
        <f>SUM(G162,G168,G170,G172)</f>
        <v>83500000</v>
      </c>
      <c r="H161" s="210" t="b">
        <f t="shared" si="3"/>
        <v>1</v>
      </c>
      <c r="I161" s="210"/>
      <c r="J161" s="210"/>
    </row>
    <row r="162" spans="1:10" ht="13.8" x14ac:dyDescent="0.25">
      <c r="A162" s="7" t="s">
        <v>1419</v>
      </c>
      <c r="B162" s="60">
        <v>521211</v>
      </c>
      <c r="C162" s="41" t="s">
        <v>7</v>
      </c>
      <c r="D162" s="60"/>
      <c r="E162" s="60"/>
      <c r="F162" s="42"/>
      <c r="G162" s="42">
        <f>SUM(G163:G167)</f>
        <v>46000000</v>
      </c>
      <c r="H162" s="210" t="b">
        <f t="shared" si="3"/>
        <v>1</v>
      </c>
      <c r="I162" s="210"/>
      <c r="J162" s="210"/>
    </row>
    <row r="163" spans="1:10" ht="13.8" x14ac:dyDescent="0.25">
      <c r="A163" s="7" t="s">
        <v>1420</v>
      </c>
      <c r="B163" s="152"/>
      <c r="C163" s="151" t="s">
        <v>3893</v>
      </c>
      <c r="D163" s="152">
        <v>500</v>
      </c>
      <c r="E163" s="152" t="s">
        <v>1422</v>
      </c>
      <c r="F163" s="153">
        <v>36000</v>
      </c>
      <c r="G163" s="153">
        <f>ROUNDDOWN(D163*F163,-3)</f>
        <v>18000000</v>
      </c>
      <c r="H163" s="210" t="b">
        <f t="shared" si="3"/>
        <v>1</v>
      </c>
      <c r="I163" s="210"/>
      <c r="J163" s="210"/>
    </row>
    <row r="164" spans="1:10" ht="13.8" x14ac:dyDescent="0.25">
      <c r="A164" s="7" t="s">
        <v>1423</v>
      </c>
      <c r="B164" s="152"/>
      <c r="C164" s="151" t="s">
        <v>3714</v>
      </c>
      <c r="D164" s="152">
        <v>4</v>
      </c>
      <c r="E164" s="152" t="s">
        <v>9</v>
      </c>
      <c r="F164" s="153">
        <v>1500000</v>
      </c>
      <c r="G164" s="153">
        <f>ROUNDDOWN(D164*F164,-3)</f>
        <v>6000000</v>
      </c>
      <c r="H164" s="210" t="b">
        <f t="shared" si="3"/>
        <v>1</v>
      </c>
      <c r="I164" s="210"/>
      <c r="J164" s="210"/>
    </row>
    <row r="165" spans="1:10" ht="13.8" x14ac:dyDescent="0.25">
      <c r="A165" s="7" t="s">
        <v>1424</v>
      </c>
      <c r="B165" s="152"/>
      <c r="C165" s="151" t="s">
        <v>3600</v>
      </c>
      <c r="D165" s="152">
        <v>4</v>
      </c>
      <c r="E165" s="152" t="s">
        <v>9</v>
      </c>
      <c r="F165" s="153">
        <v>1000000</v>
      </c>
      <c r="G165" s="153">
        <f>ROUNDDOWN(D165*F165,-3)</f>
        <v>4000000</v>
      </c>
      <c r="H165" s="210" t="b">
        <f t="shared" si="3"/>
        <v>1</v>
      </c>
      <c r="I165" s="210"/>
      <c r="J165" s="210"/>
    </row>
    <row r="166" spans="1:10" ht="13.8" x14ac:dyDescent="0.25">
      <c r="A166" s="7" t="s">
        <v>1425</v>
      </c>
      <c r="B166" s="152"/>
      <c r="C166" s="151" t="s">
        <v>3601</v>
      </c>
      <c r="D166" s="152">
        <v>4</v>
      </c>
      <c r="E166" s="152" t="s">
        <v>9</v>
      </c>
      <c r="F166" s="153">
        <v>1500000</v>
      </c>
      <c r="G166" s="153">
        <f>ROUNDDOWN(D166*F166,-3)</f>
        <v>6000000</v>
      </c>
      <c r="H166" s="210" t="b">
        <f t="shared" si="3"/>
        <v>1</v>
      </c>
      <c r="I166" s="210"/>
      <c r="J166" s="210"/>
    </row>
    <row r="167" spans="1:10" ht="13.8" x14ac:dyDescent="0.25">
      <c r="A167" s="7" t="s">
        <v>1426</v>
      </c>
      <c r="B167" s="152"/>
      <c r="C167" s="151" t="s">
        <v>3894</v>
      </c>
      <c r="D167" s="152">
        <v>24</v>
      </c>
      <c r="E167" s="152" t="s">
        <v>176</v>
      </c>
      <c r="F167" s="153">
        <v>500000</v>
      </c>
      <c r="G167" s="153">
        <f>ROUNDDOWN(D167*F167,-3)</f>
        <v>12000000</v>
      </c>
      <c r="H167" s="210" t="b">
        <f t="shared" si="3"/>
        <v>1</v>
      </c>
      <c r="I167" s="210"/>
      <c r="J167" s="210"/>
    </row>
    <row r="168" spans="1:10" ht="13.8" x14ac:dyDescent="0.25">
      <c r="A168" s="7" t="s">
        <v>1428</v>
      </c>
      <c r="B168" s="60">
        <v>522141</v>
      </c>
      <c r="C168" s="41" t="s">
        <v>95</v>
      </c>
      <c r="D168" s="60"/>
      <c r="E168" s="60"/>
      <c r="F168" s="42"/>
      <c r="G168" s="42">
        <f>G169</f>
        <v>6000000</v>
      </c>
      <c r="H168" s="210" t="b">
        <f t="shared" si="3"/>
        <v>1</v>
      </c>
      <c r="I168" s="210"/>
      <c r="J168" s="210"/>
    </row>
    <row r="169" spans="1:10" ht="13.8" x14ac:dyDescent="0.25">
      <c r="A169" s="7" t="s">
        <v>1429</v>
      </c>
      <c r="B169" s="152"/>
      <c r="C169" s="151" t="s">
        <v>3895</v>
      </c>
      <c r="D169" s="152">
        <v>4</v>
      </c>
      <c r="E169" s="152" t="s">
        <v>149</v>
      </c>
      <c r="F169" s="153">
        <v>1500000</v>
      </c>
      <c r="G169" s="153">
        <f>ROUNDDOWN(D169*F169,-3)</f>
        <v>6000000</v>
      </c>
      <c r="H169" s="210" t="b">
        <f t="shared" si="3"/>
        <v>1</v>
      </c>
      <c r="I169" s="210"/>
      <c r="J169" s="210"/>
    </row>
    <row r="170" spans="1:10" ht="13.8" x14ac:dyDescent="0.25">
      <c r="A170" s="7" t="s">
        <v>1431</v>
      </c>
      <c r="B170" s="60">
        <v>524111</v>
      </c>
      <c r="C170" s="41" t="s">
        <v>19</v>
      </c>
      <c r="D170" s="60"/>
      <c r="E170" s="60"/>
      <c r="F170" s="42"/>
      <c r="G170" s="42">
        <f>G171</f>
        <v>27000000</v>
      </c>
      <c r="H170" s="210" t="b">
        <f t="shared" si="3"/>
        <v>1</v>
      </c>
      <c r="I170" s="210"/>
      <c r="J170" s="210"/>
    </row>
    <row r="171" spans="1:10" ht="26.4" x14ac:dyDescent="0.25">
      <c r="A171" s="7" t="s">
        <v>1432</v>
      </c>
      <c r="B171" s="152"/>
      <c r="C171" s="151" t="s">
        <v>3896</v>
      </c>
      <c r="D171" s="152">
        <v>9</v>
      </c>
      <c r="E171" s="152" t="s">
        <v>10</v>
      </c>
      <c r="F171" s="153">
        <v>3000000</v>
      </c>
      <c r="G171" s="153">
        <f>ROUNDDOWN(D171*F171,-3)</f>
        <v>27000000</v>
      </c>
      <c r="H171" s="210" t="b">
        <f t="shared" si="3"/>
        <v>1</v>
      </c>
      <c r="I171" s="210"/>
      <c r="J171" s="210"/>
    </row>
    <row r="172" spans="1:10" ht="13.8" x14ac:dyDescent="0.25">
      <c r="A172" s="7" t="s">
        <v>1434</v>
      </c>
      <c r="B172" s="60">
        <v>524113</v>
      </c>
      <c r="C172" s="41" t="s">
        <v>13</v>
      </c>
      <c r="D172" s="60"/>
      <c r="E172" s="60"/>
      <c r="F172" s="42"/>
      <c r="G172" s="42">
        <f>G173</f>
        <v>4500000</v>
      </c>
      <c r="H172" s="210" t="b">
        <f t="shared" si="3"/>
        <v>1</v>
      </c>
      <c r="I172" s="210"/>
      <c r="J172" s="210"/>
    </row>
    <row r="173" spans="1:10" ht="13.8" x14ac:dyDescent="0.25">
      <c r="A173" s="7" t="s">
        <v>1435</v>
      </c>
      <c r="B173" s="152"/>
      <c r="C173" s="151" t="s">
        <v>3897</v>
      </c>
      <c r="D173" s="152">
        <v>30</v>
      </c>
      <c r="E173" s="152" t="s">
        <v>10</v>
      </c>
      <c r="F173" s="153">
        <v>150000</v>
      </c>
      <c r="G173" s="153">
        <f>ROUNDDOWN(D173*F173,-3)</f>
        <v>4500000</v>
      </c>
      <c r="H173" s="210" t="b">
        <f t="shared" si="3"/>
        <v>1</v>
      </c>
      <c r="I173" s="210"/>
      <c r="J173" s="210"/>
    </row>
    <row r="174" spans="1:10" ht="13.8" x14ac:dyDescent="0.25">
      <c r="A174" s="7" t="s">
        <v>1437</v>
      </c>
      <c r="B174" s="59" t="s">
        <v>514</v>
      </c>
      <c r="C174" s="38" t="s">
        <v>151</v>
      </c>
      <c r="D174" s="59"/>
      <c r="E174" s="59"/>
      <c r="F174" s="39"/>
      <c r="G174" s="39">
        <f>SUM(G175,G180,G182)</f>
        <v>101050000</v>
      </c>
      <c r="H174" s="210" t="b">
        <f t="shared" si="3"/>
        <v>1</v>
      </c>
      <c r="I174" s="210"/>
      <c r="J174" s="210"/>
    </row>
    <row r="175" spans="1:10" ht="13.8" x14ac:dyDescent="0.25">
      <c r="A175" s="7" t="s">
        <v>1438</v>
      </c>
      <c r="B175" s="60">
        <v>521211</v>
      </c>
      <c r="C175" s="41" t="s">
        <v>7</v>
      </c>
      <c r="D175" s="60"/>
      <c r="E175" s="60"/>
      <c r="F175" s="42"/>
      <c r="G175" s="42">
        <f>SUM(G176:G179)</f>
        <v>28000000</v>
      </c>
      <c r="H175" s="210" t="b">
        <f t="shared" si="3"/>
        <v>1</v>
      </c>
      <c r="I175" s="210"/>
      <c r="J175" s="210"/>
    </row>
    <row r="176" spans="1:10" ht="13.8" x14ac:dyDescent="0.25">
      <c r="A176" s="7" t="s">
        <v>1439</v>
      </c>
      <c r="B176" s="152"/>
      <c r="C176" s="151" t="s">
        <v>3625</v>
      </c>
      <c r="D176" s="152">
        <v>4</v>
      </c>
      <c r="E176" s="152" t="s">
        <v>9</v>
      </c>
      <c r="F176" s="153">
        <v>1000000</v>
      </c>
      <c r="G176" s="153">
        <f>ROUNDDOWN(D176*F176,-3)</f>
        <v>4000000</v>
      </c>
      <c r="H176" s="210" t="b">
        <f t="shared" si="3"/>
        <v>1</v>
      </c>
      <c r="I176" s="210"/>
      <c r="J176" s="210"/>
    </row>
    <row r="177" spans="1:10" ht="13.8" x14ac:dyDescent="0.25">
      <c r="A177" s="7" t="s">
        <v>1440</v>
      </c>
      <c r="B177" s="152"/>
      <c r="C177" s="151" t="s">
        <v>3626</v>
      </c>
      <c r="D177" s="152">
        <v>4</v>
      </c>
      <c r="E177" s="152" t="s">
        <v>9</v>
      </c>
      <c r="F177" s="153">
        <v>1500000</v>
      </c>
      <c r="G177" s="153">
        <f>ROUNDDOWN(D177*F177,-3)</f>
        <v>6000000</v>
      </c>
      <c r="H177" s="210" t="b">
        <f t="shared" si="3"/>
        <v>1</v>
      </c>
      <c r="I177" s="210"/>
      <c r="J177" s="210"/>
    </row>
    <row r="178" spans="1:10" ht="13.8" x14ac:dyDescent="0.25">
      <c r="A178" s="7" t="s">
        <v>1441</v>
      </c>
      <c r="B178" s="152"/>
      <c r="C178" s="151" t="s">
        <v>3627</v>
      </c>
      <c r="D178" s="152">
        <v>4</v>
      </c>
      <c r="E178" s="152" t="s">
        <v>9</v>
      </c>
      <c r="F178" s="153">
        <v>1500000</v>
      </c>
      <c r="G178" s="153">
        <f>ROUNDDOWN(D178*F178,-3)</f>
        <v>6000000</v>
      </c>
      <c r="H178" s="210" t="b">
        <f t="shared" si="3"/>
        <v>1</v>
      </c>
      <c r="I178" s="210"/>
      <c r="J178" s="210"/>
    </row>
    <row r="179" spans="1:10" ht="13.8" x14ac:dyDescent="0.25">
      <c r="A179" s="7" t="s">
        <v>1442</v>
      </c>
      <c r="B179" s="152"/>
      <c r="C179" s="151" t="s">
        <v>3898</v>
      </c>
      <c r="D179" s="152">
        <v>24</v>
      </c>
      <c r="E179" s="152" t="s">
        <v>176</v>
      </c>
      <c r="F179" s="153">
        <v>500000</v>
      </c>
      <c r="G179" s="153">
        <f>ROUNDDOWN(D179*F179,-3)</f>
        <v>12000000</v>
      </c>
      <c r="H179" s="210" t="b">
        <f t="shared" si="3"/>
        <v>1</v>
      </c>
      <c r="I179" s="210"/>
      <c r="J179" s="210"/>
    </row>
    <row r="180" spans="1:10" ht="13.8" x14ac:dyDescent="0.25">
      <c r="A180" s="7" t="s">
        <v>1443</v>
      </c>
      <c r="B180" s="60">
        <v>524111</v>
      </c>
      <c r="C180" s="41" t="s">
        <v>19</v>
      </c>
      <c r="D180" s="60"/>
      <c r="E180" s="60"/>
      <c r="F180" s="42"/>
      <c r="G180" s="42">
        <f>G181</f>
        <v>71250000</v>
      </c>
      <c r="H180" s="210" t="b">
        <f t="shared" si="3"/>
        <v>1</v>
      </c>
      <c r="I180" s="210"/>
      <c r="J180" s="210"/>
    </row>
    <row r="181" spans="1:10" ht="26.4" x14ac:dyDescent="0.25">
      <c r="A181" s="7" t="s">
        <v>1444</v>
      </c>
      <c r="B181" s="152"/>
      <c r="C181" s="151" t="s">
        <v>3899</v>
      </c>
      <c r="D181" s="152">
        <v>15</v>
      </c>
      <c r="E181" s="152" t="s">
        <v>10</v>
      </c>
      <c r="F181" s="153">
        <v>4750000</v>
      </c>
      <c r="G181" s="153">
        <f>ROUNDDOWN(D181*F181,-3)</f>
        <v>71250000</v>
      </c>
      <c r="H181" s="210" t="b">
        <f t="shared" si="3"/>
        <v>1</v>
      </c>
      <c r="I181" s="210"/>
      <c r="J181" s="210"/>
    </row>
    <row r="182" spans="1:10" ht="13.8" x14ac:dyDescent="0.25">
      <c r="A182" s="7" t="s">
        <v>1446</v>
      </c>
      <c r="B182" s="60">
        <v>524113</v>
      </c>
      <c r="C182" s="41" t="s">
        <v>13</v>
      </c>
      <c r="D182" s="60"/>
      <c r="E182" s="60"/>
      <c r="F182" s="42"/>
      <c r="G182" s="42">
        <f>G183</f>
        <v>1800000</v>
      </c>
      <c r="H182" s="210" t="b">
        <f t="shared" si="3"/>
        <v>1</v>
      </c>
      <c r="I182" s="210"/>
      <c r="J182" s="210"/>
    </row>
    <row r="183" spans="1:10" ht="13.8" x14ac:dyDescent="0.25">
      <c r="A183" s="7" t="s">
        <v>1447</v>
      </c>
      <c r="B183" s="152"/>
      <c r="C183" s="151" t="s">
        <v>3897</v>
      </c>
      <c r="D183" s="152">
        <v>12</v>
      </c>
      <c r="E183" s="152" t="s">
        <v>10</v>
      </c>
      <c r="F183" s="153">
        <v>150000</v>
      </c>
      <c r="G183" s="153">
        <f>ROUNDDOWN(D183*F183,-3)</f>
        <v>1800000</v>
      </c>
      <c r="H183" s="210" t="b">
        <f t="shared" si="3"/>
        <v>1</v>
      </c>
      <c r="I183" s="210"/>
      <c r="J183" s="210"/>
    </row>
    <row r="184" spans="1:10" ht="13.8" x14ac:dyDescent="0.25">
      <c r="A184" s="7" t="s">
        <v>1448</v>
      </c>
      <c r="B184" s="59" t="s">
        <v>519</v>
      </c>
      <c r="C184" s="38" t="s">
        <v>152</v>
      </c>
      <c r="D184" s="59"/>
      <c r="E184" s="59"/>
      <c r="F184" s="39"/>
      <c r="G184" s="39">
        <f>SUM(G185,G190,G194,G196,G198)</f>
        <v>388472000</v>
      </c>
      <c r="H184" s="210" t="b">
        <f t="shared" si="3"/>
        <v>1</v>
      </c>
      <c r="I184" s="210"/>
      <c r="J184" s="210"/>
    </row>
    <row r="185" spans="1:10" ht="13.8" x14ac:dyDescent="0.25">
      <c r="A185" s="7" t="s">
        <v>1449</v>
      </c>
      <c r="B185" s="60">
        <v>521211</v>
      </c>
      <c r="C185" s="41" t="s">
        <v>7</v>
      </c>
      <c r="D185" s="60"/>
      <c r="E185" s="60"/>
      <c r="F185" s="42"/>
      <c r="G185" s="42">
        <f>SUM(G186:G189)</f>
        <v>46000000</v>
      </c>
      <c r="H185" s="210" t="b">
        <f t="shared" si="3"/>
        <v>1</v>
      </c>
      <c r="I185" s="210"/>
      <c r="J185" s="210"/>
    </row>
    <row r="186" spans="1:10" ht="13.8" x14ac:dyDescent="0.25">
      <c r="A186" s="7" t="s">
        <v>1450</v>
      </c>
      <c r="B186" s="152"/>
      <c r="C186" s="151" t="s">
        <v>3598</v>
      </c>
      <c r="D186" s="152">
        <v>4</v>
      </c>
      <c r="E186" s="152" t="s">
        <v>9</v>
      </c>
      <c r="F186" s="153">
        <v>1500000</v>
      </c>
      <c r="G186" s="153">
        <f>ROUNDDOWN(D186*F186,-3)</f>
        <v>6000000</v>
      </c>
      <c r="H186" s="210" t="b">
        <f t="shared" si="3"/>
        <v>1</v>
      </c>
      <c r="I186" s="210"/>
      <c r="J186" s="210"/>
    </row>
    <row r="187" spans="1:10" ht="13.8" x14ac:dyDescent="0.25">
      <c r="A187" s="7" t="s">
        <v>1451</v>
      </c>
      <c r="B187" s="152"/>
      <c r="C187" s="151" t="s">
        <v>3632</v>
      </c>
      <c r="D187" s="152">
        <v>4</v>
      </c>
      <c r="E187" s="152" t="s">
        <v>9</v>
      </c>
      <c r="F187" s="153">
        <v>1000000</v>
      </c>
      <c r="G187" s="153">
        <f>ROUNDDOWN(D187*F187,-3)</f>
        <v>4000000</v>
      </c>
      <c r="H187" s="210" t="b">
        <f t="shared" si="3"/>
        <v>1</v>
      </c>
      <c r="I187" s="210"/>
      <c r="J187" s="210"/>
    </row>
    <row r="188" spans="1:10" ht="13.8" x14ac:dyDescent="0.25">
      <c r="A188" s="7" t="s">
        <v>1452</v>
      </c>
      <c r="B188" s="152"/>
      <c r="C188" s="151" t="s">
        <v>3633</v>
      </c>
      <c r="D188" s="152">
        <v>4</v>
      </c>
      <c r="E188" s="152" t="s">
        <v>9</v>
      </c>
      <c r="F188" s="153">
        <v>1500000</v>
      </c>
      <c r="G188" s="153">
        <f>ROUNDDOWN(D188*F188,-3)</f>
        <v>6000000</v>
      </c>
      <c r="H188" s="210" t="b">
        <f t="shared" si="3"/>
        <v>1</v>
      </c>
      <c r="I188" s="210"/>
      <c r="J188" s="210"/>
    </row>
    <row r="189" spans="1:10" ht="26.4" x14ac:dyDescent="0.25">
      <c r="A189" s="7" t="s">
        <v>1453</v>
      </c>
      <c r="B189" s="152"/>
      <c r="C189" s="151" t="s">
        <v>3900</v>
      </c>
      <c r="D189" s="152">
        <v>60</v>
      </c>
      <c r="E189" s="152" t="s">
        <v>176</v>
      </c>
      <c r="F189" s="153">
        <v>500000</v>
      </c>
      <c r="G189" s="153">
        <f>ROUNDDOWN(D189*F189,-3)</f>
        <v>30000000</v>
      </c>
      <c r="H189" s="210" t="b">
        <f t="shared" si="3"/>
        <v>1</v>
      </c>
      <c r="I189" s="210"/>
      <c r="J189" s="210"/>
    </row>
    <row r="190" spans="1:10" ht="26.4" x14ac:dyDescent="0.25">
      <c r="A190" s="7" t="s">
        <v>1455</v>
      </c>
      <c r="B190" s="60">
        <v>521241</v>
      </c>
      <c r="C190" s="41" t="s">
        <v>642</v>
      </c>
      <c r="D190" s="60"/>
      <c r="E190" s="60"/>
      <c r="F190" s="42"/>
      <c r="G190" s="42">
        <f>SUM(G191:G193)</f>
        <v>249600000</v>
      </c>
      <c r="H190" s="210" t="b">
        <f t="shared" si="3"/>
        <v>1</v>
      </c>
      <c r="I190" s="210"/>
      <c r="J190" s="210"/>
    </row>
    <row r="191" spans="1:10" ht="13.8" x14ac:dyDescent="0.25">
      <c r="A191" s="7" t="s">
        <v>1456</v>
      </c>
      <c r="B191" s="152"/>
      <c r="C191" s="151" t="s">
        <v>3901</v>
      </c>
      <c r="D191" s="152">
        <v>720</v>
      </c>
      <c r="E191" s="152" t="s">
        <v>32</v>
      </c>
      <c r="F191" s="153">
        <v>200000</v>
      </c>
      <c r="G191" s="153">
        <f>ROUNDDOWN(D191*F191,-3)</f>
        <v>144000000</v>
      </c>
      <c r="H191" s="210" t="b">
        <f t="shared" si="3"/>
        <v>1</v>
      </c>
      <c r="I191" s="210"/>
      <c r="J191" s="210"/>
    </row>
    <row r="192" spans="1:10" ht="26.4" x14ac:dyDescent="0.25">
      <c r="A192" s="7" t="s">
        <v>1458</v>
      </c>
      <c r="B192" s="152"/>
      <c r="C192" s="151" t="s">
        <v>3902</v>
      </c>
      <c r="D192" s="152">
        <v>360</v>
      </c>
      <c r="E192" s="152" t="s">
        <v>776</v>
      </c>
      <c r="F192" s="153">
        <v>280000</v>
      </c>
      <c r="G192" s="153">
        <f>ROUNDDOWN(D192*F192,-3)</f>
        <v>100800000</v>
      </c>
      <c r="H192" s="210" t="b">
        <f t="shared" si="3"/>
        <v>1</v>
      </c>
      <c r="I192" s="210"/>
      <c r="J192" s="210"/>
    </row>
    <row r="193" spans="1:10" ht="13.8" x14ac:dyDescent="0.25">
      <c r="A193" s="7" t="s">
        <v>1460</v>
      </c>
      <c r="B193" s="152"/>
      <c r="C193" s="151" t="s">
        <v>3903</v>
      </c>
      <c r="D193" s="152">
        <v>12</v>
      </c>
      <c r="E193" s="152" t="s">
        <v>32</v>
      </c>
      <c r="F193" s="153">
        <v>400000</v>
      </c>
      <c r="G193" s="153">
        <f>ROUNDDOWN(D193*F193,-3)</f>
        <v>4800000</v>
      </c>
      <c r="H193" s="210" t="b">
        <f t="shared" si="3"/>
        <v>1</v>
      </c>
      <c r="I193" s="210"/>
      <c r="J193" s="210"/>
    </row>
    <row r="194" spans="1:10" ht="13.8" x14ac:dyDescent="0.25">
      <c r="A194" s="7" t="s">
        <v>1462</v>
      </c>
      <c r="B194" s="60">
        <v>522192</v>
      </c>
      <c r="C194" s="41" t="s">
        <v>24</v>
      </c>
      <c r="D194" s="60"/>
      <c r="E194" s="60"/>
      <c r="F194" s="42"/>
      <c r="G194" s="42">
        <f>G195</f>
        <v>48000000</v>
      </c>
      <c r="H194" s="210" t="b">
        <f t="shared" si="3"/>
        <v>1</v>
      </c>
      <c r="I194" s="210"/>
      <c r="J194" s="210"/>
    </row>
    <row r="195" spans="1:10" ht="13.8" x14ac:dyDescent="0.25">
      <c r="A195" s="7" t="s">
        <v>1463</v>
      </c>
      <c r="B195" s="152"/>
      <c r="C195" s="151" t="s">
        <v>3890</v>
      </c>
      <c r="D195" s="152">
        <v>480</v>
      </c>
      <c r="E195" s="152" t="s">
        <v>25</v>
      </c>
      <c r="F195" s="153">
        <v>100000</v>
      </c>
      <c r="G195" s="153">
        <f>ROUNDDOWN(D195*F195,-3)</f>
        <v>48000000</v>
      </c>
      <c r="H195" s="210" t="b">
        <f t="shared" si="3"/>
        <v>1</v>
      </c>
      <c r="I195" s="210"/>
      <c r="J195" s="210"/>
    </row>
    <row r="196" spans="1:10" ht="13.8" x14ac:dyDescent="0.25">
      <c r="A196" s="7" t="s">
        <v>1464</v>
      </c>
      <c r="B196" s="60">
        <v>524111</v>
      </c>
      <c r="C196" s="41" t="s">
        <v>19</v>
      </c>
      <c r="D196" s="60"/>
      <c r="E196" s="60"/>
      <c r="F196" s="42"/>
      <c r="G196" s="42">
        <f>G197</f>
        <v>42772000</v>
      </c>
      <c r="H196" s="210" t="b">
        <f t="shared" si="3"/>
        <v>1</v>
      </c>
      <c r="I196" s="210"/>
      <c r="J196" s="210"/>
    </row>
    <row r="197" spans="1:10" ht="13.8" x14ac:dyDescent="0.25">
      <c r="A197" s="7" t="s">
        <v>1465</v>
      </c>
      <c r="B197" s="152"/>
      <c r="C197" s="151" t="s">
        <v>3904</v>
      </c>
      <c r="D197" s="152">
        <v>10</v>
      </c>
      <c r="E197" s="152" t="s">
        <v>10</v>
      </c>
      <c r="F197" s="153">
        <v>4277200</v>
      </c>
      <c r="G197" s="153">
        <f>ROUNDDOWN(D197*F197,-3)</f>
        <v>42772000</v>
      </c>
      <c r="H197" s="210" t="b">
        <f t="shared" si="3"/>
        <v>1</v>
      </c>
      <c r="I197" s="210"/>
      <c r="J197" s="210"/>
    </row>
    <row r="198" spans="1:10" ht="13.8" x14ac:dyDescent="0.25">
      <c r="A198" s="7" t="s">
        <v>1467</v>
      </c>
      <c r="B198" s="60">
        <v>524113</v>
      </c>
      <c r="C198" s="41" t="s">
        <v>13</v>
      </c>
      <c r="D198" s="60"/>
      <c r="E198" s="60"/>
      <c r="F198" s="42"/>
      <c r="G198" s="42">
        <f>G199</f>
        <v>2100000</v>
      </c>
      <c r="H198" s="210" t="b">
        <f t="shared" si="3"/>
        <v>1</v>
      </c>
      <c r="I198" s="210"/>
      <c r="J198" s="210"/>
    </row>
    <row r="199" spans="1:10" ht="13.8" x14ac:dyDescent="0.25">
      <c r="A199" s="7" t="s">
        <v>1468</v>
      </c>
      <c r="B199" s="152"/>
      <c r="C199" s="151" t="s">
        <v>3897</v>
      </c>
      <c r="D199" s="152">
        <v>14</v>
      </c>
      <c r="E199" s="152" t="s">
        <v>10</v>
      </c>
      <c r="F199" s="153">
        <v>150000</v>
      </c>
      <c r="G199" s="153">
        <f>ROUNDDOWN(D199*F199,-3)</f>
        <v>2100000</v>
      </c>
      <c r="H199" s="210" t="b">
        <f t="shared" si="3"/>
        <v>1</v>
      </c>
      <c r="I199" s="210"/>
      <c r="J199" s="210"/>
    </row>
    <row r="200" spans="1:10" ht="26.4" x14ac:dyDescent="0.25">
      <c r="A200" s="7" t="s">
        <v>1469</v>
      </c>
      <c r="B200" s="59" t="s">
        <v>578</v>
      </c>
      <c r="C200" s="38" t="s">
        <v>154</v>
      </c>
      <c r="D200" s="59"/>
      <c r="E200" s="59"/>
      <c r="F200" s="39"/>
      <c r="G200" s="39">
        <f>SUM(G201,G205,G210,G212,G214)</f>
        <v>450000000</v>
      </c>
      <c r="H200" s="210" t="b">
        <f t="shared" si="3"/>
        <v>1</v>
      </c>
      <c r="I200" s="210"/>
      <c r="J200" s="210"/>
    </row>
    <row r="201" spans="1:10" ht="13.8" x14ac:dyDescent="0.25">
      <c r="A201" s="7" t="s">
        <v>1470</v>
      </c>
      <c r="B201" s="60">
        <v>521211</v>
      </c>
      <c r="C201" s="41" t="s">
        <v>7</v>
      </c>
      <c r="D201" s="60"/>
      <c r="E201" s="60"/>
      <c r="F201" s="42"/>
      <c r="G201" s="42">
        <f>SUM(G202:G204)</f>
        <v>32000000</v>
      </c>
      <c r="H201" s="210" t="b">
        <f t="shared" si="3"/>
        <v>1</v>
      </c>
      <c r="I201" s="210"/>
      <c r="J201" s="210"/>
    </row>
    <row r="202" spans="1:10" ht="13.8" x14ac:dyDescent="0.25">
      <c r="A202" s="7" t="s">
        <v>1471</v>
      </c>
      <c r="B202" s="152"/>
      <c r="C202" s="151" t="s">
        <v>3598</v>
      </c>
      <c r="D202" s="152">
        <v>8</v>
      </c>
      <c r="E202" s="152" t="s">
        <v>9</v>
      </c>
      <c r="F202" s="153">
        <v>1500000</v>
      </c>
      <c r="G202" s="153">
        <f>ROUNDDOWN(D202*F202,-3)</f>
        <v>12000000</v>
      </c>
      <c r="H202" s="210" t="b">
        <f t="shared" si="3"/>
        <v>1</v>
      </c>
      <c r="I202" s="210"/>
      <c r="J202" s="210"/>
    </row>
    <row r="203" spans="1:10" ht="13.8" x14ac:dyDescent="0.25">
      <c r="A203" s="7" t="s">
        <v>1472</v>
      </c>
      <c r="B203" s="152"/>
      <c r="C203" s="151" t="s">
        <v>3632</v>
      </c>
      <c r="D203" s="152">
        <v>8</v>
      </c>
      <c r="E203" s="152" t="s">
        <v>9</v>
      </c>
      <c r="F203" s="153">
        <v>1000000</v>
      </c>
      <c r="G203" s="153">
        <f>ROUNDDOWN(D203*F203,-3)</f>
        <v>8000000</v>
      </c>
      <c r="H203" s="210" t="b">
        <f t="shared" si="3"/>
        <v>1</v>
      </c>
      <c r="I203" s="210"/>
      <c r="J203" s="210"/>
    </row>
    <row r="204" spans="1:10" ht="13.8" x14ac:dyDescent="0.25">
      <c r="A204" s="7" t="s">
        <v>1473</v>
      </c>
      <c r="B204" s="152"/>
      <c r="C204" s="151" t="s">
        <v>3633</v>
      </c>
      <c r="D204" s="152">
        <v>8</v>
      </c>
      <c r="E204" s="152" t="s">
        <v>9</v>
      </c>
      <c r="F204" s="153">
        <v>1500000</v>
      </c>
      <c r="G204" s="153">
        <f>ROUNDDOWN(D204*F204,-3)</f>
        <v>12000000</v>
      </c>
      <c r="H204" s="210" t="b">
        <f t="shared" si="3"/>
        <v>1</v>
      </c>
      <c r="I204" s="210"/>
      <c r="J204" s="210"/>
    </row>
    <row r="205" spans="1:10" ht="13.8" x14ac:dyDescent="0.25">
      <c r="A205" s="7" t="s">
        <v>1474</v>
      </c>
      <c r="B205" s="60">
        <v>521219</v>
      </c>
      <c r="C205" s="41" t="s">
        <v>53</v>
      </c>
      <c r="D205" s="60"/>
      <c r="E205" s="60"/>
      <c r="F205" s="42"/>
      <c r="G205" s="42">
        <f>SUM(G206:G209)</f>
        <v>298141000</v>
      </c>
      <c r="H205" s="210" t="b">
        <f t="shared" si="3"/>
        <v>1</v>
      </c>
      <c r="I205" s="210"/>
      <c r="J205" s="210"/>
    </row>
    <row r="206" spans="1:10" ht="13.8" x14ac:dyDescent="0.25">
      <c r="A206" s="7" t="s">
        <v>1475</v>
      </c>
      <c r="B206" s="152"/>
      <c r="C206" s="151" t="s">
        <v>3905</v>
      </c>
      <c r="D206" s="152">
        <v>40</v>
      </c>
      <c r="E206" s="152" t="s">
        <v>10</v>
      </c>
      <c r="F206" s="153">
        <v>1000000</v>
      </c>
      <c r="G206" s="153">
        <f>ROUNDDOWN(D206*F206,-3)</f>
        <v>40000000</v>
      </c>
      <c r="H206" s="210" t="b">
        <f t="shared" ref="H206:H263" si="4">_xlfn.ISFORMULA(G206)</f>
        <v>1</v>
      </c>
      <c r="I206" s="210"/>
      <c r="J206" s="210"/>
    </row>
    <row r="207" spans="1:10" ht="13.8" x14ac:dyDescent="0.25">
      <c r="A207" s="7" t="s">
        <v>1477</v>
      </c>
      <c r="B207" s="152"/>
      <c r="C207" s="151" t="s">
        <v>3906</v>
      </c>
      <c r="D207" s="152">
        <v>30</v>
      </c>
      <c r="E207" s="152" t="s">
        <v>776</v>
      </c>
      <c r="F207" s="153">
        <v>8000000</v>
      </c>
      <c r="G207" s="153">
        <f>ROUNDDOWN(D207*F207,-3)</f>
        <v>240000000</v>
      </c>
      <c r="H207" s="210" t="b">
        <f t="shared" si="4"/>
        <v>1</v>
      </c>
      <c r="I207" s="210"/>
      <c r="J207" s="210"/>
    </row>
    <row r="208" spans="1:10" ht="26.4" x14ac:dyDescent="0.25">
      <c r="A208" s="7" t="s">
        <v>1479</v>
      </c>
      <c r="B208" s="152"/>
      <c r="C208" s="151" t="s">
        <v>3907</v>
      </c>
      <c r="D208" s="152">
        <v>400</v>
      </c>
      <c r="E208" s="152" t="s">
        <v>10</v>
      </c>
      <c r="F208" s="153">
        <v>15000</v>
      </c>
      <c r="G208" s="153">
        <f>ROUNDDOWN(D208*F208,-3)</f>
        <v>6000000</v>
      </c>
      <c r="H208" s="210" t="b">
        <f t="shared" si="4"/>
        <v>1</v>
      </c>
      <c r="I208" s="210"/>
      <c r="J208" s="210"/>
    </row>
    <row r="209" spans="1:10" ht="13.8" x14ac:dyDescent="0.25">
      <c r="A209" s="7" t="s">
        <v>1481</v>
      </c>
      <c r="B209" s="152"/>
      <c r="C209" s="151" t="s">
        <v>3908</v>
      </c>
      <c r="D209" s="152">
        <v>1</v>
      </c>
      <c r="E209" s="152" t="s">
        <v>60</v>
      </c>
      <c r="F209" s="153">
        <v>12141000</v>
      </c>
      <c r="G209" s="153">
        <f>ROUNDDOWN(D209*F209,-3)</f>
        <v>12141000</v>
      </c>
      <c r="H209" s="210" t="b">
        <f t="shared" si="4"/>
        <v>1</v>
      </c>
      <c r="I209" s="210"/>
      <c r="J209" s="210"/>
    </row>
    <row r="210" spans="1:10" ht="13.8" x14ac:dyDescent="0.25">
      <c r="A210" s="7" t="s">
        <v>1483</v>
      </c>
      <c r="B210" s="60">
        <v>522151</v>
      </c>
      <c r="C210" s="41" t="s">
        <v>11</v>
      </c>
      <c r="D210" s="60"/>
      <c r="E210" s="60"/>
      <c r="F210" s="42"/>
      <c r="G210" s="42">
        <f>G211</f>
        <v>30000000</v>
      </c>
      <c r="H210" s="210" t="b">
        <f t="shared" si="4"/>
        <v>1</v>
      </c>
      <c r="I210" s="210"/>
      <c r="J210" s="210"/>
    </row>
    <row r="211" spans="1:10" ht="13.8" x14ac:dyDescent="0.25">
      <c r="A211" s="7" t="s">
        <v>1484</v>
      </c>
      <c r="B211" s="152"/>
      <c r="C211" s="151" t="s">
        <v>3715</v>
      </c>
      <c r="D211" s="152">
        <v>30</v>
      </c>
      <c r="E211" s="152" t="s">
        <v>54</v>
      </c>
      <c r="F211" s="153">
        <v>1000000</v>
      </c>
      <c r="G211" s="153">
        <f>ROUNDDOWN(D211*F211,-3)</f>
        <v>30000000</v>
      </c>
      <c r="H211" s="210" t="b">
        <f t="shared" si="4"/>
        <v>1</v>
      </c>
      <c r="I211" s="210"/>
      <c r="J211" s="210"/>
    </row>
    <row r="212" spans="1:10" ht="13.8" x14ac:dyDescent="0.25">
      <c r="A212" s="7" t="s">
        <v>1485</v>
      </c>
      <c r="B212" s="60">
        <v>522192</v>
      </c>
      <c r="C212" s="41" t="s">
        <v>24</v>
      </c>
      <c r="D212" s="60"/>
      <c r="E212" s="60"/>
      <c r="F212" s="42"/>
      <c r="G212" s="42">
        <f>G213</f>
        <v>8000000</v>
      </c>
      <c r="H212" s="210" t="b">
        <f t="shared" si="4"/>
        <v>1</v>
      </c>
      <c r="I212" s="210"/>
      <c r="J212" s="210"/>
    </row>
    <row r="213" spans="1:10" ht="13.8" x14ac:dyDescent="0.25">
      <c r="A213" s="7" t="s">
        <v>1486</v>
      </c>
      <c r="B213" s="152"/>
      <c r="C213" s="151" t="s">
        <v>3735</v>
      </c>
      <c r="D213" s="152">
        <v>1</v>
      </c>
      <c r="E213" s="152" t="s">
        <v>60</v>
      </c>
      <c r="F213" s="153">
        <v>8000000</v>
      </c>
      <c r="G213" s="153">
        <f>ROUNDDOWN(D213*F213,-3)</f>
        <v>8000000</v>
      </c>
      <c r="H213" s="210" t="b">
        <f t="shared" si="4"/>
        <v>1</v>
      </c>
      <c r="I213" s="210"/>
      <c r="J213" s="210"/>
    </row>
    <row r="214" spans="1:10" ht="13.8" x14ac:dyDescent="0.25">
      <c r="A214" s="7" t="s">
        <v>1487</v>
      </c>
      <c r="B214" s="60">
        <v>524111</v>
      </c>
      <c r="C214" s="41" t="s">
        <v>19</v>
      </c>
      <c r="D214" s="60"/>
      <c r="E214" s="60"/>
      <c r="F214" s="42"/>
      <c r="G214" s="42">
        <f>G215</f>
        <v>81859000</v>
      </c>
      <c r="H214" s="210" t="b">
        <f t="shared" si="4"/>
        <v>1</v>
      </c>
      <c r="I214" s="210"/>
      <c r="J214" s="210"/>
    </row>
    <row r="215" spans="1:10" ht="26.4" x14ac:dyDescent="0.25">
      <c r="A215" s="7" t="s">
        <v>1488</v>
      </c>
      <c r="B215" s="152"/>
      <c r="C215" s="151" t="s">
        <v>3909</v>
      </c>
      <c r="D215" s="152">
        <v>32</v>
      </c>
      <c r="E215" s="152" t="s">
        <v>10</v>
      </c>
      <c r="F215" s="153">
        <v>2558095</v>
      </c>
      <c r="G215" s="153">
        <f>ROUNDDOWN(D215*F215,-3)</f>
        <v>81859000</v>
      </c>
      <c r="H215" s="210" t="b">
        <f t="shared" si="4"/>
        <v>1</v>
      </c>
      <c r="I215" s="210"/>
      <c r="J215" s="210"/>
    </row>
    <row r="216" spans="1:10" ht="13.8" x14ac:dyDescent="0.25">
      <c r="A216" s="7" t="s">
        <v>1490</v>
      </c>
      <c r="B216" s="59" t="s">
        <v>579</v>
      </c>
      <c r="C216" s="38" t="s">
        <v>56</v>
      </c>
      <c r="D216" s="59"/>
      <c r="E216" s="59"/>
      <c r="F216" s="39"/>
      <c r="G216" s="39">
        <f>SUM(G217,G222,G224,G226)</f>
        <v>350000000</v>
      </c>
      <c r="H216" s="210" t="b">
        <f t="shared" si="4"/>
        <v>1</v>
      </c>
      <c r="I216" s="210"/>
      <c r="J216" s="210"/>
    </row>
    <row r="217" spans="1:10" ht="13.8" x14ac:dyDescent="0.25">
      <c r="A217" s="7" t="s">
        <v>1491</v>
      </c>
      <c r="B217" s="60">
        <v>521211</v>
      </c>
      <c r="C217" s="41" t="s">
        <v>7</v>
      </c>
      <c r="D217" s="60"/>
      <c r="E217" s="60"/>
      <c r="F217" s="42"/>
      <c r="G217" s="42">
        <f>SUM(G218:G221)</f>
        <v>31000000</v>
      </c>
      <c r="H217" s="210" t="b">
        <f t="shared" si="4"/>
        <v>1</v>
      </c>
      <c r="I217" s="210"/>
      <c r="J217" s="210"/>
    </row>
    <row r="218" spans="1:10" ht="13.8" x14ac:dyDescent="0.25">
      <c r="A218" s="7" t="s">
        <v>1492</v>
      </c>
      <c r="B218" s="152"/>
      <c r="C218" s="151" t="s">
        <v>3713</v>
      </c>
      <c r="D218" s="152">
        <v>300</v>
      </c>
      <c r="E218" s="152" t="s">
        <v>10</v>
      </c>
      <c r="F218" s="153">
        <v>75000</v>
      </c>
      <c r="G218" s="153">
        <f>ROUNDDOWN(D218*F218,-3)</f>
        <v>22500000</v>
      </c>
      <c r="H218" s="210" t="b">
        <f t="shared" si="4"/>
        <v>1</v>
      </c>
      <c r="I218" s="210"/>
      <c r="J218" s="210"/>
    </row>
    <row r="219" spans="1:10" ht="13.8" x14ac:dyDescent="0.25">
      <c r="A219" s="7" t="s">
        <v>1493</v>
      </c>
      <c r="B219" s="152"/>
      <c r="C219" s="151" t="s">
        <v>3714</v>
      </c>
      <c r="D219" s="152">
        <v>1</v>
      </c>
      <c r="E219" s="152" t="s">
        <v>9</v>
      </c>
      <c r="F219" s="153">
        <v>1000000</v>
      </c>
      <c r="G219" s="153">
        <f>ROUNDDOWN(D219*F219,-3)</f>
        <v>1000000</v>
      </c>
      <c r="H219" s="210" t="b">
        <f t="shared" si="4"/>
        <v>1</v>
      </c>
      <c r="I219" s="210"/>
      <c r="J219" s="210"/>
    </row>
    <row r="220" spans="1:10" ht="13.8" x14ac:dyDescent="0.25">
      <c r="A220" s="7" t="s">
        <v>1494</v>
      </c>
      <c r="B220" s="152"/>
      <c r="C220" s="151" t="s">
        <v>3600</v>
      </c>
      <c r="D220" s="152">
        <v>3</v>
      </c>
      <c r="E220" s="152" t="s">
        <v>9</v>
      </c>
      <c r="F220" s="153">
        <v>1000000</v>
      </c>
      <c r="G220" s="153">
        <f>ROUNDDOWN(D220*F220,-3)</f>
        <v>3000000</v>
      </c>
      <c r="H220" s="210" t="b">
        <f t="shared" si="4"/>
        <v>1</v>
      </c>
      <c r="I220" s="210"/>
      <c r="J220" s="210"/>
    </row>
    <row r="221" spans="1:10" ht="13.8" x14ac:dyDescent="0.25">
      <c r="A221" s="7" t="s">
        <v>1495</v>
      </c>
      <c r="B221" s="152"/>
      <c r="C221" s="151" t="s">
        <v>3601</v>
      </c>
      <c r="D221" s="152">
        <v>3</v>
      </c>
      <c r="E221" s="152" t="s">
        <v>9</v>
      </c>
      <c r="F221" s="153">
        <v>1500000</v>
      </c>
      <c r="G221" s="153">
        <f>ROUNDDOWN(D221*F221,-3)</f>
        <v>4500000</v>
      </c>
      <c r="H221" s="210" t="b">
        <f t="shared" si="4"/>
        <v>1</v>
      </c>
      <c r="I221" s="210"/>
      <c r="J221" s="210"/>
    </row>
    <row r="222" spans="1:10" ht="13.8" x14ac:dyDescent="0.25">
      <c r="A222" s="7" t="s">
        <v>1496</v>
      </c>
      <c r="B222" s="60">
        <v>521219</v>
      </c>
      <c r="C222" s="41" t="s">
        <v>53</v>
      </c>
      <c r="D222" s="60"/>
      <c r="E222" s="60"/>
      <c r="F222" s="42"/>
      <c r="G222" s="42">
        <f>G223</f>
        <v>3000000</v>
      </c>
      <c r="H222" s="210" t="b">
        <f t="shared" si="4"/>
        <v>1</v>
      </c>
      <c r="I222" s="210"/>
      <c r="J222" s="210"/>
    </row>
    <row r="223" spans="1:10" ht="13.8" x14ac:dyDescent="0.25">
      <c r="A223" s="7" t="s">
        <v>1497</v>
      </c>
      <c r="B223" s="152"/>
      <c r="C223" s="151" t="s">
        <v>3722</v>
      </c>
      <c r="D223" s="152">
        <v>12</v>
      </c>
      <c r="E223" s="152" t="s">
        <v>78</v>
      </c>
      <c r="F223" s="153">
        <v>250000</v>
      </c>
      <c r="G223" s="153">
        <f>ROUNDDOWN(D223*F223,-3)</f>
        <v>3000000</v>
      </c>
      <c r="H223" s="210" t="b">
        <f t="shared" si="4"/>
        <v>1</v>
      </c>
      <c r="I223" s="210"/>
      <c r="J223" s="210"/>
    </row>
    <row r="224" spans="1:10" ht="13.8" x14ac:dyDescent="0.25">
      <c r="A224" s="7" t="s">
        <v>1498</v>
      </c>
      <c r="B224" s="60">
        <v>522151</v>
      </c>
      <c r="C224" s="41" t="s">
        <v>11</v>
      </c>
      <c r="D224" s="60"/>
      <c r="E224" s="60"/>
      <c r="F224" s="42"/>
      <c r="G224" s="42">
        <f>G225</f>
        <v>70000000</v>
      </c>
      <c r="H224" s="210" t="b">
        <f t="shared" si="4"/>
        <v>1</v>
      </c>
      <c r="I224" s="210"/>
      <c r="J224" s="210"/>
    </row>
    <row r="225" spans="1:10" ht="13.8" x14ac:dyDescent="0.25">
      <c r="A225" s="7" t="s">
        <v>1499</v>
      </c>
      <c r="B225" s="152"/>
      <c r="C225" s="151" t="s">
        <v>3910</v>
      </c>
      <c r="D225" s="152">
        <v>70</v>
      </c>
      <c r="E225" s="152" t="s">
        <v>12</v>
      </c>
      <c r="F225" s="153">
        <v>1000000</v>
      </c>
      <c r="G225" s="153">
        <f>ROUNDDOWN(D225*F225,-3)</f>
        <v>70000000</v>
      </c>
      <c r="H225" s="210" t="b">
        <f t="shared" si="4"/>
        <v>1</v>
      </c>
      <c r="I225" s="210"/>
      <c r="J225" s="210"/>
    </row>
    <row r="226" spans="1:10" ht="13.8" x14ac:dyDescent="0.25">
      <c r="A226" s="7" t="s">
        <v>1501</v>
      </c>
      <c r="B226" s="60">
        <v>524111</v>
      </c>
      <c r="C226" s="41" t="s">
        <v>19</v>
      </c>
      <c r="D226" s="60"/>
      <c r="E226" s="60"/>
      <c r="F226" s="42"/>
      <c r="G226" s="42">
        <f>G227</f>
        <v>246000000</v>
      </c>
      <c r="H226" s="210" t="b">
        <f t="shared" si="4"/>
        <v>1</v>
      </c>
      <c r="I226" s="210"/>
      <c r="J226" s="210"/>
    </row>
    <row r="227" spans="1:10" ht="13.8" x14ac:dyDescent="0.25">
      <c r="A227" s="7" t="s">
        <v>1502</v>
      </c>
      <c r="B227" s="152"/>
      <c r="C227" s="151" t="s">
        <v>3911</v>
      </c>
      <c r="D227" s="152">
        <v>39</v>
      </c>
      <c r="E227" s="152" t="s">
        <v>10</v>
      </c>
      <c r="F227" s="153">
        <v>6307694</v>
      </c>
      <c r="G227" s="153">
        <f>ROUNDDOWN(D227*F227,-3)</f>
        <v>246000000</v>
      </c>
      <c r="H227" s="210" t="b">
        <f t="shared" si="4"/>
        <v>1</v>
      </c>
      <c r="I227" s="210"/>
      <c r="J227" s="210"/>
    </row>
    <row r="228" spans="1:10" ht="26.4" x14ac:dyDescent="0.25">
      <c r="A228" s="7" t="s">
        <v>1504</v>
      </c>
      <c r="B228" s="59" t="s">
        <v>580</v>
      </c>
      <c r="C228" s="38" t="s">
        <v>1505</v>
      </c>
      <c r="D228" s="59"/>
      <c r="E228" s="59"/>
      <c r="F228" s="39"/>
      <c r="G228" s="39">
        <f>SUM(G229,G239,G242,G246)</f>
        <v>668000000</v>
      </c>
      <c r="H228" s="210" t="b">
        <f t="shared" si="4"/>
        <v>1</v>
      </c>
      <c r="I228" s="210"/>
      <c r="J228" s="210"/>
    </row>
    <row r="229" spans="1:10" ht="13.8" x14ac:dyDescent="0.25">
      <c r="A229" s="7" t="s">
        <v>1506</v>
      </c>
      <c r="B229" s="60">
        <v>521211</v>
      </c>
      <c r="C229" s="41" t="s">
        <v>7</v>
      </c>
      <c r="D229" s="60"/>
      <c r="E229" s="60"/>
      <c r="F229" s="42"/>
      <c r="G229" s="42">
        <f>SUM(G230:G238)</f>
        <v>84800000</v>
      </c>
      <c r="H229" s="210" t="b">
        <f t="shared" si="4"/>
        <v>1</v>
      </c>
      <c r="I229" s="210"/>
      <c r="J229" s="210"/>
    </row>
    <row r="230" spans="1:10" ht="13.8" x14ac:dyDescent="0.25">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3.8" x14ac:dyDescent="0.25">
      <c r="A231" s="7" t="s">
        <v>1508</v>
      </c>
      <c r="B231" s="152"/>
      <c r="C231" s="151" t="s">
        <v>3714</v>
      </c>
      <c r="D231" s="152">
        <v>2</v>
      </c>
      <c r="E231" s="152" t="s">
        <v>9</v>
      </c>
      <c r="F231" s="153">
        <v>1000000</v>
      </c>
      <c r="G231" s="153">
        <f t="shared" si="5"/>
        <v>2000000</v>
      </c>
      <c r="H231" s="210" t="b">
        <f t="shared" si="4"/>
        <v>1</v>
      </c>
      <c r="I231" s="210"/>
      <c r="J231" s="210"/>
    </row>
    <row r="232" spans="1:10" ht="13.8" x14ac:dyDescent="0.25">
      <c r="A232" s="7" t="s">
        <v>1509</v>
      </c>
      <c r="B232" s="152"/>
      <c r="C232" s="151" t="s">
        <v>3600</v>
      </c>
      <c r="D232" s="152">
        <v>2</v>
      </c>
      <c r="E232" s="152" t="s">
        <v>9</v>
      </c>
      <c r="F232" s="153">
        <v>1000000</v>
      </c>
      <c r="G232" s="153">
        <f t="shared" si="5"/>
        <v>2000000</v>
      </c>
      <c r="H232" s="210" t="b">
        <f t="shared" si="4"/>
        <v>1</v>
      </c>
      <c r="I232" s="210"/>
      <c r="J232" s="210"/>
    </row>
    <row r="233" spans="1:10" ht="13.8" x14ac:dyDescent="0.25">
      <c r="A233" s="7" t="s">
        <v>1510</v>
      </c>
      <c r="B233" s="152"/>
      <c r="C233" s="151" t="s">
        <v>3601</v>
      </c>
      <c r="D233" s="152">
        <v>2</v>
      </c>
      <c r="E233" s="152" t="s">
        <v>9</v>
      </c>
      <c r="F233" s="153">
        <v>1500000</v>
      </c>
      <c r="G233" s="153">
        <f t="shared" si="5"/>
        <v>3000000</v>
      </c>
      <c r="H233" s="210" t="b">
        <f t="shared" si="4"/>
        <v>1</v>
      </c>
      <c r="I233" s="210"/>
      <c r="J233" s="210"/>
    </row>
    <row r="234" spans="1:10" ht="13.8" x14ac:dyDescent="0.25">
      <c r="A234" s="7" t="s">
        <v>1511</v>
      </c>
      <c r="B234" s="152"/>
      <c r="C234" s="151" t="s">
        <v>3912</v>
      </c>
      <c r="D234" s="152">
        <v>20</v>
      </c>
      <c r="E234" s="152" t="s">
        <v>58</v>
      </c>
      <c r="F234" s="153">
        <v>450000</v>
      </c>
      <c r="G234" s="153">
        <f t="shared" si="5"/>
        <v>9000000</v>
      </c>
      <c r="H234" s="210" t="b">
        <f t="shared" si="4"/>
        <v>1</v>
      </c>
      <c r="I234" s="210"/>
      <c r="J234" s="210"/>
    </row>
    <row r="235" spans="1:10" ht="13.8" x14ac:dyDescent="0.25">
      <c r="A235" s="7" t="s">
        <v>1513</v>
      </c>
      <c r="B235" s="152"/>
      <c r="C235" s="151" t="s">
        <v>3913</v>
      </c>
      <c r="D235" s="152">
        <v>20</v>
      </c>
      <c r="E235" s="152" t="s">
        <v>58</v>
      </c>
      <c r="F235" s="153">
        <v>450000</v>
      </c>
      <c r="G235" s="153">
        <f t="shared" si="5"/>
        <v>9000000</v>
      </c>
      <c r="H235" s="210" t="b">
        <f t="shared" si="4"/>
        <v>1</v>
      </c>
      <c r="I235" s="210"/>
      <c r="J235" s="210"/>
    </row>
    <row r="236" spans="1:10" ht="13.8" x14ac:dyDescent="0.25">
      <c r="A236" s="7" t="s">
        <v>1515</v>
      </c>
      <c r="B236" s="152"/>
      <c r="C236" s="151" t="s">
        <v>3914</v>
      </c>
      <c r="D236" s="152">
        <v>1</v>
      </c>
      <c r="E236" s="152" t="s">
        <v>23</v>
      </c>
      <c r="F236" s="153">
        <v>27575000</v>
      </c>
      <c r="G236" s="153">
        <f t="shared" si="5"/>
        <v>27575000</v>
      </c>
      <c r="H236" s="210" t="b">
        <f t="shared" si="4"/>
        <v>1</v>
      </c>
      <c r="I236" s="210"/>
      <c r="J236" s="210"/>
    </row>
    <row r="237" spans="1:10" ht="13.8" x14ac:dyDescent="0.25">
      <c r="A237" s="7" t="s">
        <v>1517</v>
      </c>
      <c r="B237" s="152"/>
      <c r="C237" s="151" t="s">
        <v>3915</v>
      </c>
      <c r="D237" s="152">
        <v>1</v>
      </c>
      <c r="E237" s="152" t="s">
        <v>23</v>
      </c>
      <c r="F237" s="153">
        <v>27575000</v>
      </c>
      <c r="G237" s="153">
        <f t="shared" si="5"/>
        <v>27575000</v>
      </c>
      <c r="H237" s="210" t="b">
        <f t="shared" si="4"/>
        <v>1</v>
      </c>
      <c r="I237" s="210"/>
      <c r="J237" s="210"/>
    </row>
    <row r="238" spans="1:10" ht="13.8" x14ac:dyDescent="0.25">
      <c r="A238" s="7" t="s">
        <v>1519</v>
      </c>
      <c r="B238" s="152"/>
      <c r="C238" s="151" t="s">
        <v>3916</v>
      </c>
      <c r="D238" s="152">
        <v>3</v>
      </c>
      <c r="E238" s="152" t="s">
        <v>58</v>
      </c>
      <c r="F238" s="153">
        <v>300000</v>
      </c>
      <c r="G238" s="153">
        <f t="shared" si="5"/>
        <v>900000</v>
      </c>
      <c r="H238" s="210" t="b">
        <f t="shared" si="4"/>
        <v>1</v>
      </c>
      <c r="I238" s="210"/>
      <c r="J238" s="210"/>
    </row>
    <row r="239" spans="1:10" ht="13.8" x14ac:dyDescent="0.25">
      <c r="A239" s="7" t="s">
        <v>1521</v>
      </c>
      <c r="B239" s="60">
        <v>521219</v>
      </c>
      <c r="C239" s="41" t="s">
        <v>53</v>
      </c>
      <c r="D239" s="60"/>
      <c r="E239" s="60"/>
      <c r="F239" s="42"/>
      <c r="G239" s="42">
        <f>SUM(G240:G241)</f>
        <v>393200000</v>
      </c>
      <c r="H239" s="210" t="b">
        <f t="shared" si="4"/>
        <v>1</v>
      </c>
      <c r="I239" s="210"/>
      <c r="J239" s="210"/>
    </row>
    <row r="240" spans="1:10" ht="13.8" x14ac:dyDescent="0.25">
      <c r="A240" s="7" t="s">
        <v>1522</v>
      </c>
      <c r="B240" s="152"/>
      <c r="C240" s="151" t="s">
        <v>3917</v>
      </c>
      <c r="D240" s="152">
        <v>1</v>
      </c>
      <c r="E240" s="152" t="s">
        <v>66</v>
      </c>
      <c r="F240" s="153">
        <v>196600000</v>
      </c>
      <c r="G240" s="153">
        <f>ROUNDDOWN(D240*F240,-3)</f>
        <v>196600000</v>
      </c>
      <c r="H240" s="210" t="b">
        <f t="shared" si="4"/>
        <v>1</v>
      </c>
      <c r="I240" s="210"/>
      <c r="J240" s="210"/>
    </row>
    <row r="241" spans="1:10" ht="13.8" x14ac:dyDescent="0.25">
      <c r="A241" s="7" t="s">
        <v>1524</v>
      </c>
      <c r="B241" s="152"/>
      <c r="C241" s="151" t="s">
        <v>3918</v>
      </c>
      <c r="D241" s="152">
        <v>1</v>
      </c>
      <c r="E241" s="152" t="s">
        <v>66</v>
      </c>
      <c r="F241" s="153">
        <v>196600000</v>
      </c>
      <c r="G241" s="153">
        <f>ROUNDDOWN(D241*F241,-3)</f>
        <v>196600000</v>
      </c>
      <c r="H241" s="210" t="b">
        <f t="shared" si="4"/>
        <v>1</v>
      </c>
      <c r="I241" s="210"/>
      <c r="J241" s="210"/>
    </row>
    <row r="242" spans="1:10" ht="13.8" x14ac:dyDescent="0.25">
      <c r="A242" s="7" t="s">
        <v>1526</v>
      </c>
      <c r="B242" s="60">
        <v>522141</v>
      </c>
      <c r="C242" s="41" t="s">
        <v>95</v>
      </c>
      <c r="D242" s="60"/>
      <c r="E242" s="60"/>
      <c r="F242" s="42"/>
      <c r="G242" s="42">
        <f>SUM(G243:G245)</f>
        <v>160000000</v>
      </c>
      <c r="H242" s="210" t="b">
        <f t="shared" si="4"/>
        <v>1</v>
      </c>
      <c r="I242" s="210"/>
      <c r="J242" s="210"/>
    </row>
    <row r="243" spans="1:10" ht="13.8" x14ac:dyDescent="0.25">
      <c r="A243" s="7" t="s">
        <v>1527</v>
      </c>
      <c r="B243" s="152"/>
      <c r="C243" s="151" t="s">
        <v>3919</v>
      </c>
      <c r="D243" s="152">
        <v>2</v>
      </c>
      <c r="E243" s="152" t="s">
        <v>23</v>
      </c>
      <c r="F243" s="153">
        <v>50000000</v>
      </c>
      <c r="G243" s="153">
        <f>ROUNDDOWN(D243*F243,-3)</f>
        <v>100000000</v>
      </c>
      <c r="H243" s="210" t="b">
        <f t="shared" si="4"/>
        <v>1</v>
      </c>
      <c r="I243" s="210"/>
      <c r="J243" s="210"/>
    </row>
    <row r="244" spans="1:10" ht="13.8" x14ac:dyDescent="0.25">
      <c r="A244" s="7" t="s">
        <v>1529</v>
      </c>
      <c r="B244" s="152"/>
      <c r="C244" s="151" t="s">
        <v>3920</v>
      </c>
      <c r="D244" s="152">
        <v>2</v>
      </c>
      <c r="E244" s="152" t="s">
        <v>23</v>
      </c>
      <c r="F244" s="153">
        <v>10000000</v>
      </c>
      <c r="G244" s="153">
        <f>ROUNDDOWN(D244*F244,-3)</f>
        <v>20000000</v>
      </c>
      <c r="H244" s="210" t="b">
        <f t="shared" si="4"/>
        <v>1</v>
      </c>
      <c r="I244" s="210"/>
      <c r="J244" s="210"/>
    </row>
    <row r="245" spans="1:10" ht="13.8" x14ac:dyDescent="0.25">
      <c r="A245" s="7" t="s">
        <v>1531</v>
      </c>
      <c r="B245" s="152"/>
      <c r="C245" s="151" t="s">
        <v>3921</v>
      </c>
      <c r="D245" s="152">
        <v>4</v>
      </c>
      <c r="E245" s="152" t="s">
        <v>23</v>
      </c>
      <c r="F245" s="153">
        <v>10000000</v>
      </c>
      <c r="G245" s="153">
        <f>ROUNDDOWN(D245*F245,-3)</f>
        <v>40000000</v>
      </c>
      <c r="H245" s="210" t="b">
        <f t="shared" si="4"/>
        <v>1</v>
      </c>
      <c r="I245" s="210"/>
      <c r="J245" s="210"/>
    </row>
    <row r="246" spans="1:10" ht="13.8" x14ac:dyDescent="0.25">
      <c r="A246" s="7" t="s">
        <v>1533</v>
      </c>
      <c r="B246" s="60">
        <v>524111</v>
      </c>
      <c r="C246" s="41" t="s">
        <v>19</v>
      </c>
      <c r="D246" s="60"/>
      <c r="E246" s="60"/>
      <c r="F246" s="42"/>
      <c r="G246" s="42">
        <f>G247</f>
        <v>30000000</v>
      </c>
      <c r="H246" s="210" t="b">
        <f t="shared" si="4"/>
        <v>1</v>
      </c>
      <c r="I246" s="210"/>
      <c r="J246" s="210"/>
    </row>
    <row r="247" spans="1:10" ht="26.4" x14ac:dyDescent="0.25">
      <c r="A247" s="7" t="s">
        <v>1534</v>
      </c>
      <c r="B247" s="152"/>
      <c r="C247" s="151" t="s">
        <v>3922</v>
      </c>
      <c r="D247" s="152">
        <v>12</v>
      </c>
      <c r="E247" s="152" t="s">
        <v>10</v>
      </c>
      <c r="F247" s="153">
        <v>2500000</v>
      </c>
      <c r="G247" s="153">
        <f>ROUNDDOWN(D247*F247,-3)</f>
        <v>30000000</v>
      </c>
      <c r="H247" s="210" t="b">
        <f t="shared" si="4"/>
        <v>1</v>
      </c>
      <c r="I247" s="210"/>
      <c r="J247" s="210"/>
    </row>
    <row r="248" spans="1:10" ht="26.4" x14ac:dyDescent="0.25">
      <c r="A248" s="7" t="s">
        <v>1536</v>
      </c>
      <c r="B248" s="59" t="s">
        <v>581</v>
      </c>
      <c r="C248" s="38" t="s">
        <v>1537</v>
      </c>
      <c r="D248" s="59"/>
      <c r="E248" s="59"/>
      <c r="F248" s="39"/>
      <c r="G248" s="39">
        <f>SUM(G249,G257,G259,G261)</f>
        <v>82000000</v>
      </c>
      <c r="H248" s="210" t="b">
        <f t="shared" si="4"/>
        <v>1</v>
      </c>
      <c r="I248" s="210"/>
      <c r="J248" s="210"/>
    </row>
    <row r="249" spans="1:10" ht="13.8" x14ac:dyDescent="0.25">
      <c r="A249" s="7" t="s">
        <v>1538</v>
      </c>
      <c r="B249" s="60">
        <v>521211</v>
      </c>
      <c r="C249" s="41" t="s">
        <v>7</v>
      </c>
      <c r="D249" s="60"/>
      <c r="E249" s="60"/>
      <c r="F249" s="42"/>
      <c r="G249" s="42">
        <f>SUM(G250:G256)</f>
        <v>17550000</v>
      </c>
      <c r="H249" s="210" t="b">
        <f t="shared" si="4"/>
        <v>1</v>
      </c>
      <c r="I249" s="210"/>
      <c r="J249" s="210"/>
    </row>
    <row r="250" spans="1:10" ht="13.8" x14ac:dyDescent="0.25">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3.8" x14ac:dyDescent="0.25">
      <c r="A251" s="7" t="s">
        <v>1540</v>
      </c>
      <c r="B251" s="152"/>
      <c r="C251" s="151" t="s">
        <v>3714</v>
      </c>
      <c r="D251" s="152">
        <v>2</v>
      </c>
      <c r="E251" s="152" t="s">
        <v>9</v>
      </c>
      <c r="F251" s="153">
        <v>1000000</v>
      </c>
      <c r="G251" s="153">
        <f t="shared" si="6"/>
        <v>2000000</v>
      </c>
      <c r="H251" s="210" t="b">
        <f t="shared" si="4"/>
        <v>1</v>
      </c>
      <c r="I251" s="210"/>
      <c r="J251" s="210"/>
    </row>
    <row r="252" spans="1:10" ht="13.8" x14ac:dyDescent="0.25">
      <c r="A252" s="7" t="s">
        <v>1541</v>
      </c>
      <c r="B252" s="152"/>
      <c r="C252" s="151" t="s">
        <v>3600</v>
      </c>
      <c r="D252" s="152">
        <v>2</v>
      </c>
      <c r="E252" s="152" t="s">
        <v>9</v>
      </c>
      <c r="F252" s="153">
        <v>1000000</v>
      </c>
      <c r="G252" s="153">
        <f t="shared" si="6"/>
        <v>2000000</v>
      </c>
      <c r="H252" s="210" t="b">
        <f t="shared" si="4"/>
        <v>1</v>
      </c>
      <c r="I252" s="210"/>
      <c r="J252" s="210"/>
    </row>
    <row r="253" spans="1:10" ht="13.8" x14ac:dyDescent="0.25">
      <c r="A253" s="7" t="s">
        <v>1542</v>
      </c>
      <c r="B253" s="152"/>
      <c r="C253" s="151" t="s">
        <v>3601</v>
      </c>
      <c r="D253" s="152">
        <v>2</v>
      </c>
      <c r="E253" s="152" t="s">
        <v>9</v>
      </c>
      <c r="F253" s="153">
        <v>1500000</v>
      </c>
      <c r="G253" s="153">
        <f t="shared" si="6"/>
        <v>3000000</v>
      </c>
      <c r="H253" s="210" t="b">
        <f t="shared" si="4"/>
        <v>1</v>
      </c>
      <c r="I253" s="210"/>
      <c r="J253" s="210"/>
    </row>
    <row r="254" spans="1:10" ht="13.8" x14ac:dyDescent="0.25">
      <c r="A254" s="7" t="s">
        <v>1543</v>
      </c>
      <c r="B254" s="152"/>
      <c r="C254" s="151" t="s">
        <v>3923</v>
      </c>
      <c r="D254" s="152">
        <v>10</v>
      </c>
      <c r="E254" s="152" t="s">
        <v>58</v>
      </c>
      <c r="F254" s="153">
        <v>250000</v>
      </c>
      <c r="G254" s="153">
        <f t="shared" si="6"/>
        <v>2500000</v>
      </c>
      <c r="H254" s="210" t="b">
        <f t="shared" si="4"/>
        <v>1</v>
      </c>
      <c r="I254" s="210"/>
      <c r="J254" s="210"/>
    </row>
    <row r="255" spans="1:10" ht="13.8" x14ac:dyDescent="0.25">
      <c r="A255" s="7" t="s">
        <v>1545</v>
      </c>
      <c r="B255" s="152"/>
      <c r="C255" s="151" t="s">
        <v>3924</v>
      </c>
      <c r="D255" s="152">
        <v>500</v>
      </c>
      <c r="E255" s="152" t="s">
        <v>58</v>
      </c>
      <c r="F255" s="153">
        <v>6000</v>
      </c>
      <c r="G255" s="153">
        <f t="shared" si="6"/>
        <v>3000000</v>
      </c>
      <c r="H255" s="210" t="b">
        <f t="shared" si="4"/>
        <v>1</v>
      </c>
      <c r="I255" s="210"/>
      <c r="J255" s="210"/>
    </row>
    <row r="256" spans="1:10" ht="13.8" x14ac:dyDescent="0.25">
      <c r="A256" s="7" t="s">
        <v>1547</v>
      </c>
      <c r="B256" s="152"/>
      <c r="C256" s="151" t="s">
        <v>3925</v>
      </c>
      <c r="D256" s="152">
        <v>100</v>
      </c>
      <c r="E256" s="152" t="s">
        <v>58</v>
      </c>
      <c r="F256" s="153">
        <v>35500</v>
      </c>
      <c r="G256" s="153">
        <f t="shared" si="6"/>
        <v>3550000</v>
      </c>
      <c r="H256" s="210" t="b">
        <f t="shared" si="4"/>
        <v>1</v>
      </c>
      <c r="I256" s="210"/>
      <c r="J256" s="210"/>
    </row>
    <row r="257" spans="1:10" ht="13.8" x14ac:dyDescent="0.25">
      <c r="A257" s="7" t="s">
        <v>1549</v>
      </c>
      <c r="B257" s="60">
        <v>521219</v>
      </c>
      <c r="C257" s="41" t="s">
        <v>53</v>
      </c>
      <c r="D257" s="60"/>
      <c r="E257" s="60"/>
      <c r="F257" s="42"/>
      <c r="G257" s="42">
        <f>G258</f>
        <v>3000000</v>
      </c>
      <c r="H257" s="210" t="b">
        <f t="shared" si="4"/>
        <v>1</v>
      </c>
      <c r="I257" s="210"/>
      <c r="J257" s="210"/>
    </row>
    <row r="258" spans="1:10" ht="13.8" x14ac:dyDescent="0.25">
      <c r="A258" s="7" t="s">
        <v>1550</v>
      </c>
      <c r="B258" s="152"/>
      <c r="C258" s="151" t="s">
        <v>3722</v>
      </c>
      <c r="D258" s="152">
        <v>12</v>
      </c>
      <c r="E258" s="152" t="s">
        <v>66</v>
      </c>
      <c r="F258" s="153">
        <v>250000</v>
      </c>
      <c r="G258" s="153">
        <f>ROUNDDOWN(D258*F258,-3)</f>
        <v>3000000</v>
      </c>
      <c r="H258" s="210" t="b">
        <f t="shared" si="4"/>
        <v>1</v>
      </c>
      <c r="I258" s="210"/>
      <c r="J258" s="210"/>
    </row>
    <row r="259" spans="1:10" ht="13.8" x14ac:dyDescent="0.25">
      <c r="A259" s="7" t="s">
        <v>1551</v>
      </c>
      <c r="B259" s="60">
        <v>522151</v>
      </c>
      <c r="C259" s="41" t="s">
        <v>11</v>
      </c>
      <c r="D259" s="60"/>
      <c r="E259" s="60"/>
      <c r="F259" s="42"/>
      <c r="G259" s="42">
        <f>G260</f>
        <v>40000000</v>
      </c>
      <c r="H259" s="210" t="b">
        <f t="shared" si="4"/>
        <v>1</v>
      </c>
      <c r="I259" s="210"/>
      <c r="J259" s="210"/>
    </row>
    <row r="260" spans="1:10" ht="13.8" x14ac:dyDescent="0.25">
      <c r="A260" s="7" t="s">
        <v>1552</v>
      </c>
      <c r="B260" s="152"/>
      <c r="C260" s="151" t="s">
        <v>3910</v>
      </c>
      <c r="D260" s="152">
        <v>40</v>
      </c>
      <c r="E260" s="152" t="s">
        <v>54</v>
      </c>
      <c r="F260" s="153">
        <v>1000000</v>
      </c>
      <c r="G260" s="153">
        <f>ROUNDDOWN(D260*F260,-3)</f>
        <v>40000000</v>
      </c>
      <c r="H260" s="210" t="b">
        <f t="shared" si="4"/>
        <v>1</v>
      </c>
      <c r="I260" s="210"/>
      <c r="J260" s="210"/>
    </row>
    <row r="261" spans="1:10" ht="13.8" x14ac:dyDescent="0.25">
      <c r="A261" s="7" t="s">
        <v>1553</v>
      </c>
      <c r="B261" s="60">
        <v>524111</v>
      </c>
      <c r="C261" s="41" t="s">
        <v>19</v>
      </c>
      <c r="D261" s="60"/>
      <c r="E261" s="60"/>
      <c r="F261" s="42"/>
      <c r="G261" s="42">
        <f>G262</f>
        <v>21450000</v>
      </c>
      <c r="H261" s="210" t="b">
        <f t="shared" si="4"/>
        <v>1</v>
      </c>
      <c r="I261" s="210"/>
      <c r="J261" s="210"/>
    </row>
    <row r="262" spans="1:10" ht="26.4" x14ac:dyDescent="0.25">
      <c r="A262" s="7" t="s">
        <v>1554</v>
      </c>
      <c r="B262" s="152"/>
      <c r="C262" s="151" t="s">
        <v>3926</v>
      </c>
      <c r="D262" s="152">
        <v>10</v>
      </c>
      <c r="E262" s="152" t="s">
        <v>10</v>
      </c>
      <c r="F262" s="153">
        <v>2145000</v>
      </c>
      <c r="G262" s="153">
        <f>ROUNDDOWN(D262*F262,-3)</f>
        <v>21450000</v>
      </c>
      <c r="H262" s="210" t="b">
        <f t="shared" si="4"/>
        <v>1</v>
      </c>
      <c r="I262" s="210"/>
      <c r="J262" s="210"/>
    </row>
    <row r="263" spans="1:10" ht="13.8" x14ac:dyDescent="0.25">
      <c r="A263" s="7" t="s">
        <v>1699</v>
      </c>
      <c r="B263" s="138" t="s">
        <v>3986</v>
      </c>
      <c r="C263" s="137" t="s">
        <v>1701</v>
      </c>
      <c r="D263" s="138">
        <v>1</v>
      </c>
      <c r="E263" s="138" t="s">
        <v>3740</v>
      </c>
      <c r="F263" s="139"/>
      <c r="G263" s="139">
        <f>SUM(G264)</f>
        <v>2195658000</v>
      </c>
      <c r="H263" s="210" t="b">
        <f t="shared" si="4"/>
        <v>1</v>
      </c>
      <c r="I263" s="210"/>
      <c r="J263" s="210"/>
    </row>
    <row r="264" spans="1:10" ht="13.8" x14ac:dyDescent="0.25">
      <c r="A264" s="7" t="s">
        <v>1847</v>
      </c>
      <c r="B264" s="58" t="s">
        <v>557</v>
      </c>
      <c r="C264" s="35" t="s">
        <v>89</v>
      </c>
      <c r="D264" s="58"/>
      <c r="E264" s="58"/>
      <c r="F264" s="36"/>
      <c r="G264" s="36">
        <f>SUM(G265,G286,G292,G305,G320)</f>
        <v>2195658000</v>
      </c>
      <c r="H264" s="210" t="b">
        <f t="shared" ref="H264:H290" si="7">_xlfn.ISFORMULA(G264)</f>
        <v>1</v>
      </c>
      <c r="I264" s="210"/>
      <c r="J264" s="210"/>
    </row>
    <row r="265" spans="1:10" ht="26.4" x14ac:dyDescent="0.25">
      <c r="A265" s="7" t="s">
        <v>2170</v>
      </c>
      <c r="B265" s="59" t="s">
        <v>1807</v>
      </c>
      <c r="C265" s="38" t="s">
        <v>2171</v>
      </c>
      <c r="D265" s="59"/>
      <c r="E265" s="59"/>
      <c r="F265" s="39"/>
      <c r="G265" s="39">
        <f>SUM(G266,G276)</f>
        <v>1254380000</v>
      </c>
      <c r="H265" s="210" t="b">
        <f t="shared" si="7"/>
        <v>1</v>
      </c>
      <c r="I265" s="210"/>
      <c r="J265" s="210"/>
    </row>
    <row r="266" spans="1:10" ht="13.8" x14ac:dyDescent="0.25">
      <c r="A266" s="7" t="s">
        <v>2172</v>
      </c>
      <c r="B266" s="60">
        <v>521111</v>
      </c>
      <c r="C266" s="41" t="s">
        <v>90</v>
      </c>
      <c r="D266" s="60"/>
      <c r="E266" s="60"/>
      <c r="F266" s="42"/>
      <c r="G266" s="42">
        <f>SUM(G267:G275)</f>
        <v>1076220000</v>
      </c>
      <c r="H266" s="210" t="b">
        <f t="shared" si="7"/>
        <v>1</v>
      </c>
      <c r="I266" s="210"/>
      <c r="J266" s="210"/>
    </row>
    <row r="267" spans="1:10" ht="13.8" x14ac:dyDescent="0.25">
      <c r="A267" s="7" t="s">
        <v>2173</v>
      </c>
      <c r="B267" s="152"/>
      <c r="C267" s="151" t="s">
        <v>4154</v>
      </c>
      <c r="D267" s="152">
        <v>60</v>
      </c>
      <c r="E267" s="152" t="s">
        <v>116</v>
      </c>
      <c r="F267" s="153">
        <v>1300000</v>
      </c>
      <c r="G267" s="153">
        <f t="shared" ref="G267:G275" si="8">ROUNDDOWN(D267*F267,-3)</f>
        <v>78000000</v>
      </c>
      <c r="H267" s="210" t="b">
        <f t="shared" si="7"/>
        <v>1</v>
      </c>
      <c r="I267" s="210"/>
      <c r="J267" s="210"/>
    </row>
    <row r="268" spans="1:10" ht="13.8" x14ac:dyDescent="0.25">
      <c r="A268" s="7" t="s">
        <v>2174</v>
      </c>
      <c r="B268" s="152"/>
      <c r="C268" s="151" t="s">
        <v>4182</v>
      </c>
      <c r="D268" s="152">
        <v>1</v>
      </c>
      <c r="E268" s="152" t="s">
        <v>60</v>
      </c>
      <c r="F268" s="153">
        <v>60000000</v>
      </c>
      <c r="G268" s="153">
        <f t="shared" si="8"/>
        <v>60000000</v>
      </c>
      <c r="H268" s="210" t="b">
        <f t="shared" si="7"/>
        <v>1</v>
      </c>
      <c r="I268" s="210"/>
      <c r="J268" s="210"/>
    </row>
    <row r="269" spans="1:10" ht="13.8" x14ac:dyDescent="0.25">
      <c r="A269" s="7" t="s">
        <v>2176</v>
      </c>
      <c r="B269" s="152"/>
      <c r="C269" s="151" t="s">
        <v>4183</v>
      </c>
      <c r="D269" s="152">
        <v>156</v>
      </c>
      <c r="E269" s="152" t="s">
        <v>21</v>
      </c>
      <c r="F269" s="153">
        <v>4858000</v>
      </c>
      <c r="G269" s="153">
        <f t="shared" si="8"/>
        <v>757848000</v>
      </c>
      <c r="H269" s="210" t="b">
        <f t="shared" si="7"/>
        <v>1</v>
      </c>
      <c r="I269" s="210"/>
      <c r="J269" s="210"/>
    </row>
    <row r="270" spans="1:10" ht="13.8" x14ac:dyDescent="0.25">
      <c r="A270" s="7" t="s">
        <v>2178</v>
      </c>
      <c r="B270" s="152"/>
      <c r="C270" s="151" t="s">
        <v>4184</v>
      </c>
      <c r="D270" s="152">
        <v>13</v>
      </c>
      <c r="E270" s="152" t="s">
        <v>32</v>
      </c>
      <c r="F270" s="153">
        <v>5344000</v>
      </c>
      <c r="G270" s="153">
        <f t="shared" si="8"/>
        <v>69472000</v>
      </c>
      <c r="H270" s="210" t="b">
        <f t="shared" si="7"/>
        <v>1</v>
      </c>
      <c r="I270" s="210"/>
      <c r="J270" s="210"/>
    </row>
    <row r="271" spans="1:10" ht="13.8" x14ac:dyDescent="0.25">
      <c r="A271" s="7" t="s">
        <v>2179</v>
      </c>
      <c r="B271" s="152"/>
      <c r="C271" s="151" t="s">
        <v>4185</v>
      </c>
      <c r="D271" s="152">
        <v>12</v>
      </c>
      <c r="E271" s="152" t="s">
        <v>78</v>
      </c>
      <c r="F271" s="153">
        <v>500000</v>
      </c>
      <c r="G271" s="153">
        <f t="shared" si="8"/>
        <v>6000000</v>
      </c>
      <c r="H271" s="210" t="b">
        <f t="shared" si="7"/>
        <v>1</v>
      </c>
      <c r="I271" s="210"/>
      <c r="J271" s="210"/>
    </row>
    <row r="272" spans="1:10" ht="13.8" x14ac:dyDescent="0.25">
      <c r="A272" s="7" t="s">
        <v>2181</v>
      </c>
      <c r="B272" s="152"/>
      <c r="C272" s="151" t="s">
        <v>4186</v>
      </c>
      <c r="D272" s="152">
        <v>100</v>
      </c>
      <c r="E272" s="152" t="s">
        <v>58</v>
      </c>
      <c r="F272" s="153">
        <v>500000</v>
      </c>
      <c r="G272" s="153">
        <f t="shared" si="8"/>
        <v>50000000</v>
      </c>
      <c r="H272" s="210" t="b">
        <f t="shared" si="7"/>
        <v>1</v>
      </c>
      <c r="I272" s="210"/>
      <c r="J272" s="210"/>
    </row>
    <row r="273" spans="1:10" ht="13.8" x14ac:dyDescent="0.25">
      <c r="A273" s="7" t="s">
        <v>2183</v>
      </c>
      <c r="B273" s="152"/>
      <c r="C273" s="151" t="s">
        <v>4187</v>
      </c>
      <c r="D273" s="152">
        <v>12</v>
      </c>
      <c r="E273" s="152" t="s">
        <v>115</v>
      </c>
      <c r="F273" s="153">
        <v>750000</v>
      </c>
      <c r="G273" s="153">
        <f t="shared" si="8"/>
        <v>9000000</v>
      </c>
      <c r="H273" s="210" t="b">
        <f t="shared" si="7"/>
        <v>1</v>
      </c>
      <c r="I273" s="210"/>
      <c r="J273" s="210"/>
    </row>
    <row r="274" spans="1:10" ht="13.8" x14ac:dyDescent="0.25">
      <c r="A274" s="7" t="s">
        <v>2185</v>
      </c>
      <c r="B274" s="152"/>
      <c r="C274" s="151" t="s">
        <v>4188</v>
      </c>
      <c r="D274" s="152">
        <v>12</v>
      </c>
      <c r="E274" s="152" t="s">
        <v>115</v>
      </c>
      <c r="F274" s="153">
        <v>1325000</v>
      </c>
      <c r="G274" s="153">
        <f t="shared" si="8"/>
        <v>15900000</v>
      </c>
      <c r="H274" s="210" t="b">
        <f t="shared" si="7"/>
        <v>1</v>
      </c>
      <c r="I274" s="210"/>
      <c r="J274" s="210"/>
    </row>
    <row r="275" spans="1:10" ht="13.8" x14ac:dyDescent="0.25">
      <c r="A275" s="7" t="s">
        <v>2187</v>
      </c>
      <c r="B275" s="152"/>
      <c r="C275" s="151" t="s">
        <v>4189</v>
      </c>
      <c r="D275" s="152">
        <v>12</v>
      </c>
      <c r="E275" s="152" t="s">
        <v>78</v>
      </c>
      <c r="F275" s="153">
        <v>2500000</v>
      </c>
      <c r="G275" s="153">
        <f t="shared" si="8"/>
        <v>30000000</v>
      </c>
      <c r="H275" s="210" t="b">
        <f t="shared" si="7"/>
        <v>1</v>
      </c>
      <c r="I275" s="210"/>
      <c r="J275" s="210"/>
    </row>
    <row r="276" spans="1:10" ht="13.8" x14ac:dyDescent="0.25">
      <c r="A276" s="7" t="s">
        <v>2189</v>
      </c>
      <c r="B276" s="60">
        <v>521811</v>
      </c>
      <c r="C276" s="41" t="s">
        <v>64</v>
      </c>
      <c r="D276" s="60"/>
      <c r="E276" s="60"/>
      <c r="F276" s="42"/>
      <c r="G276" s="42">
        <f>SUM(G277:G285)</f>
        <v>178160000</v>
      </c>
      <c r="H276" s="210" t="b">
        <f t="shared" si="7"/>
        <v>1</v>
      </c>
      <c r="I276" s="210"/>
      <c r="J276" s="210"/>
    </row>
    <row r="277" spans="1:10" ht="13.8" x14ac:dyDescent="0.25">
      <c r="A277" s="7" t="s">
        <v>2190</v>
      </c>
      <c r="B277" s="152"/>
      <c r="C277" s="151" t="s">
        <v>3625</v>
      </c>
      <c r="D277" s="152">
        <v>40</v>
      </c>
      <c r="E277" s="152" t="s">
        <v>9</v>
      </c>
      <c r="F277" s="153">
        <v>1000000</v>
      </c>
      <c r="G277" s="153">
        <f t="shared" ref="G277:G285" si="9">ROUNDDOWN(D277*F277,-3)</f>
        <v>40000000</v>
      </c>
      <c r="H277" s="210" t="b">
        <f t="shared" si="7"/>
        <v>1</v>
      </c>
      <c r="I277" s="210"/>
      <c r="J277" s="210"/>
    </row>
    <row r="278" spans="1:10" ht="13.8" x14ac:dyDescent="0.25">
      <c r="A278" s="7" t="s">
        <v>2191</v>
      </c>
      <c r="B278" s="152"/>
      <c r="C278" s="151" t="s">
        <v>3626</v>
      </c>
      <c r="D278" s="152">
        <v>40</v>
      </c>
      <c r="E278" s="152" t="s">
        <v>9</v>
      </c>
      <c r="F278" s="153">
        <v>1500000</v>
      </c>
      <c r="G278" s="153">
        <f t="shared" si="9"/>
        <v>60000000</v>
      </c>
      <c r="H278" s="210" t="b">
        <f t="shared" si="7"/>
        <v>1</v>
      </c>
      <c r="I278" s="210"/>
      <c r="J278" s="210"/>
    </row>
    <row r="279" spans="1:10" ht="13.8" x14ac:dyDescent="0.25">
      <c r="A279" s="7" t="s">
        <v>2192</v>
      </c>
      <c r="B279" s="152"/>
      <c r="C279" s="151" t="s">
        <v>4190</v>
      </c>
      <c r="D279" s="152">
        <v>192</v>
      </c>
      <c r="E279" s="152" t="s">
        <v>9</v>
      </c>
      <c r="F279" s="153">
        <v>50000</v>
      </c>
      <c r="G279" s="153">
        <f t="shared" si="9"/>
        <v>9600000</v>
      </c>
      <c r="H279" s="210" t="b">
        <f t="shared" si="7"/>
        <v>1</v>
      </c>
      <c r="I279" s="210"/>
      <c r="J279" s="210"/>
    </row>
    <row r="280" spans="1:10" ht="13.8" x14ac:dyDescent="0.25">
      <c r="A280" s="7" t="s">
        <v>2194</v>
      </c>
      <c r="B280" s="152"/>
      <c r="C280" s="151" t="s">
        <v>4191</v>
      </c>
      <c r="D280" s="152">
        <v>192</v>
      </c>
      <c r="E280" s="152" t="s">
        <v>9</v>
      </c>
      <c r="F280" s="153">
        <v>55000</v>
      </c>
      <c r="G280" s="153">
        <f t="shared" si="9"/>
        <v>10560000</v>
      </c>
      <c r="H280" s="210" t="b">
        <f t="shared" si="7"/>
        <v>1</v>
      </c>
      <c r="I280" s="210"/>
      <c r="J280" s="210"/>
    </row>
    <row r="281" spans="1:10" ht="13.8" x14ac:dyDescent="0.25">
      <c r="A281" s="7" t="s">
        <v>2196</v>
      </c>
      <c r="B281" s="152"/>
      <c r="C281" s="151" t="s">
        <v>4192</v>
      </c>
      <c r="D281" s="152">
        <v>50</v>
      </c>
      <c r="E281" s="152" t="s">
        <v>2198</v>
      </c>
      <c r="F281" s="153">
        <v>220000</v>
      </c>
      <c r="G281" s="153">
        <f t="shared" si="9"/>
        <v>11000000</v>
      </c>
      <c r="H281" s="210" t="b">
        <f t="shared" si="7"/>
        <v>1</v>
      </c>
      <c r="I281" s="210"/>
      <c r="J281" s="210"/>
    </row>
    <row r="282" spans="1:10" ht="13.8" x14ac:dyDescent="0.25">
      <c r="A282" s="7" t="s">
        <v>2199</v>
      </c>
      <c r="B282" s="152"/>
      <c r="C282" s="151" t="s">
        <v>4193</v>
      </c>
      <c r="D282" s="152">
        <v>50</v>
      </c>
      <c r="E282" s="152" t="s">
        <v>2198</v>
      </c>
      <c r="F282" s="153">
        <v>240000</v>
      </c>
      <c r="G282" s="153">
        <f t="shared" si="9"/>
        <v>12000000</v>
      </c>
      <c r="H282" s="210" t="b">
        <f t="shared" si="7"/>
        <v>1</v>
      </c>
      <c r="I282" s="210"/>
      <c r="J282" s="210"/>
    </row>
    <row r="283" spans="1:10" ht="13.8" x14ac:dyDescent="0.25">
      <c r="A283" s="7" t="s">
        <v>2201</v>
      </c>
      <c r="B283" s="152"/>
      <c r="C283" s="151" t="s">
        <v>4194</v>
      </c>
      <c r="D283" s="152">
        <v>800</v>
      </c>
      <c r="E283" s="152" t="s">
        <v>120</v>
      </c>
      <c r="F283" s="153">
        <v>5000</v>
      </c>
      <c r="G283" s="153">
        <f t="shared" si="9"/>
        <v>4000000</v>
      </c>
      <c r="H283" s="210" t="b">
        <f t="shared" si="7"/>
        <v>1</v>
      </c>
      <c r="I283" s="210"/>
      <c r="J283" s="210"/>
    </row>
    <row r="284" spans="1:10" ht="13.8" x14ac:dyDescent="0.25">
      <c r="A284" s="7" t="s">
        <v>2203</v>
      </c>
      <c r="B284" s="152"/>
      <c r="C284" s="151" t="s">
        <v>4195</v>
      </c>
      <c r="D284" s="152">
        <v>50</v>
      </c>
      <c r="E284" s="152" t="s">
        <v>1422</v>
      </c>
      <c r="F284" s="153">
        <v>220000</v>
      </c>
      <c r="G284" s="153">
        <f t="shared" si="9"/>
        <v>11000000</v>
      </c>
      <c r="H284" s="210" t="b">
        <f t="shared" si="7"/>
        <v>1</v>
      </c>
      <c r="I284" s="210"/>
      <c r="J284" s="210"/>
    </row>
    <row r="285" spans="1:10" ht="13.8" x14ac:dyDescent="0.25">
      <c r="A285" s="7" t="s">
        <v>2205</v>
      </c>
      <c r="B285" s="152"/>
      <c r="C285" s="151" t="s">
        <v>4196</v>
      </c>
      <c r="D285" s="152">
        <v>800</v>
      </c>
      <c r="E285" s="152" t="s">
        <v>120</v>
      </c>
      <c r="F285" s="153">
        <v>25000</v>
      </c>
      <c r="G285" s="153">
        <f t="shared" si="9"/>
        <v>20000000</v>
      </c>
      <c r="H285" s="210" t="b">
        <f t="shared" si="7"/>
        <v>1</v>
      </c>
      <c r="I285" s="210"/>
      <c r="J285" s="210"/>
    </row>
    <row r="286" spans="1:10" ht="13.8" x14ac:dyDescent="0.25">
      <c r="A286" s="7" t="s">
        <v>2207</v>
      </c>
      <c r="B286" s="59" t="s">
        <v>2208</v>
      </c>
      <c r="C286" s="38" t="s">
        <v>2209</v>
      </c>
      <c r="D286" s="59"/>
      <c r="E286" s="59"/>
      <c r="F286" s="39"/>
      <c r="G286" s="39">
        <f>SUM(G287,G289)</f>
        <v>148852000</v>
      </c>
      <c r="H286" s="210" t="b">
        <f t="shared" si="7"/>
        <v>1</v>
      </c>
      <c r="I286" s="210"/>
      <c r="J286" s="210"/>
    </row>
    <row r="287" spans="1:10" ht="13.8" x14ac:dyDescent="0.25">
      <c r="A287" s="7" t="s">
        <v>2210</v>
      </c>
      <c r="B287" s="60">
        <v>521114</v>
      </c>
      <c r="C287" s="41" t="s">
        <v>94</v>
      </c>
      <c r="D287" s="60"/>
      <c r="E287" s="60"/>
      <c r="F287" s="42"/>
      <c r="G287" s="42">
        <f>G288</f>
        <v>30000000</v>
      </c>
      <c r="H287" s="210" t="b">
        <f t="shared" si="7"/>
        <v>1</v>
      </c>
      <c r="I287" s="210"/>
      <c r="J287" s="210"/>
    </row>
    <row r="288" spans="1:10" ht="13.8" x14ac:dyDescent="0.25">
      <c r="A288" s="7" t="s">
        <v>2211</v>
      </c>
      <c r="B288" s="152"/>
      <c r="C288" s="151" t="s">
        <v>4197</v>
      </c>
      <c r="D288" s="152">
        <v>12</v>
      </c>
      <c r="E288" s="152" t="s">
        <v>78</v>
      </c>
      <c r="F288" s="153">
        <v>2500000</v>
      </c>
      <c r="G288" s="153">
        <f>ROUNDDOWN(D288*F288,-3)</f>
        <v>30000000</v>
      </c>
      <c r="H288" s="210" t="b">
        <f t="shared" si="7"/>
        <v>1</v>
      </c>
      <c r="I288" s="210"/>
      <c r="J288" s="210"/>
    </row>
    <row r="289" spans="1:10" ht="13.8" x14ac:dyDescent="0.25">
      <c r="A289" s="7" t="s">
        <v>2213</v>
      </c>
      <c r="B289" s="60">
        <v>522141</v>
      </c>
      <c r="C289" s="41" t="s">
        <v>95</v>
      </c>
      <c r="D289" s="60"/>
      <c r="E289" s="60"/>
      <c r="F289" s="42"/>
      <c r="G289" s="42">
        <f>SUM(G290:G291)</f>
        <v>118852000</v>
      </c>
      <c r="H289" s="210" t="b">
        <f t="shared" si="7"/>
        <v>1</v>
      </c>
      <c r="I289" s="210"/>
      <c r="J289" s="210"/>
    </row>
    <row r="290" spans="1:10" ht="13.8" x14ac:dyDescent="0.25">
      <c r="A290" s="7" t="s">
        <v>2214</v>
      </c>
      <c r="B290" s="152"/>
      <c r="C290" s="151" t="s">
        <v>4198</v>
      </c>
      <c r="D290" s="152">
        <v>12</v>
      </c>
      <c r="E290" s="152" t="s">
        <v>78</v>
      </c>
      <c r="F290" s="153">
        <v>5000000</v>
      </c>
      <c r="G290" s="153">
        <f>ROUNDDOWN(D290*F290,-3)</f>
        <v>60000000</v>
      </c>
      <c r="H290" s="210" t="b">
        <f t="shared" si="7"/>
        <v>1</v>
      </c>
      <c r="I290" s="210"/>
      <c r="J290" s="210"/>
    </row>
    <row r="291" spans="1:10" ht="13.8" x14ac:dyDescent="0.25">
      <c r="A291" s="7" t="s">
        <v>2216</v>
      </c>
      <c r="B291" s="152"/>
      <c r="C291" s="151" t="s">
        <v>4199</v>
      </c>
      <c r="D291" s="152">
        <v>1</v>
      </c>
      <c r="E291" s="152" t="s">
        <v>60</v>
      </c>
      <c r="F291" s="153">
        <v>58852000</v>
      </c>
      <c r="G291" s="153">
        <f>ROUNDDOWN(D291*F291,-3)</f>
        <v>58852000</v>
      </c>
      <c r="H291" s="210" t="b">
        <f t="shared" ref="H291:H354" si="10">_xlfn.ISFORMULA(G291)</f>
        <v>1</v>
      </c>
      <c r="I291" s="210"/>
      <c r="J291" s="210"/>
    </row>
    <row r="292" spans="1:10" ht="13.8" x14ac:dyDescent="0.25">
      <c r="A292" s="7" t="s">
        <v>2218</v>
      </c>
      <c r="B292" s="59" t="s">
        <v>2219</v>
      </c>
      <c r="C292" s="38" t="s">
        <v>2220</v>
      </c>
      <c r="D292" s="59"/>
      <c r="E292" s="59"/>
      <c r="F292" s="39"/>
      <c r="G292" s="39">
        <f>SUM(G293,G303)</f>
        <v>533050000</v>
      </c>
      <c r="H292" s="210" t="b">
        <f t="shared" si="10"/>
        <v>1</v>
      </c>
      <c r="I292" s="210"/>
      <c r="J292" s="210"/>
    </row>
    <row r="293" spans="1:10" ht="13.8" x14ac:dyDescent="0.25">
      <c r="A293" s="7" t="s">
        <v>2221</v>
      </c>
      <c r="B293" s="60">
        <v>523121</v>
      </c>
      <c r="C293" s="41" t="s">
        <v>99</v>
      </c>
      <c r="D293" s="60"/>
      <c r="E293" s="60"/>
      <c r="F293" s="42"/>
      <c r="G293" s="42">
        <f>SUM(G294:G302)</f>
        <v>497050000</v>
      </c>
      <c r="H293" s="210" t="b">
        <f t="shared" si="10"/>
        <v>1</v>
      </c>
      <c r="I293" s="210"/>
      <c r="J293" s="210"/>
    </row>
    <row r="294" spans="1:10" ht="26.4" x14ac:dyDescent="0.25">
      <c r="A294" s="7" t="s">
        <v>2222</v>
      </c>
      <c r="B294" s="152"/>
      <c r="C294" s="151" t="s">
        <v>4200</v>
      </c>
      <c r="D294" s="152">
        <v>1</v>
      </c>
      <c r="E294" s="152" t="s">
        <v>44</v>
      </c>
      <c r="F294" s="153">
        <v>38730000</v>
      </c>
      <c r="G294" s="153">
        <f t="shared" ref="G294:G302" si="11">ROUNDDOWN(D294*F294,-3)</f>
        <v>38730000</v>
      </c>
      <c r="H294" s="210" t="b">
        <f t="shared" si="10"/>
        <v>1</v>
      </c>
      <c r="I294" s="210"/>
      <c r="J294" s="210"/>
    </row>
    <row r="295" spans="1:10" ht="13.8" x14ac:dyDescent="0.25">
      <c r="A295" s="7" t="s">
        <v>2224</v>
      </c>
      <c r="B295" s="152"/>
      <c r="C295" s="151" t="s">
        <v>4201</v>
      </c>
      <c r="D295" s="152">
        <v>9</v>
      </c>
      <c r="E295" s="152" t="s">
        <v>4202</v>
      </c>
      <c r="F295" s="153">
        <v>32850000</v>
      </c>
      <c r="G295" s="153">
        <f t="shared" si="11"/>
        <v>295650000</v>
      </c>
      <c r="H295" s="210" t="b">
        <f t="shared" si="10"/>
        <v>1</v>
      </c>
      <c r="I295" s="210"/>
      <c r="J295" s="210"/>
    </row>
    <row r="296" spans="1:10" ht="13.8" x14ac:dyDescent="0.25">
      <c r="A296" s="7" t="s">
        <v>2226</v>
      </c>
      <c r="B296" s="152"/>
      <c r="C296" s="151" t="s">
        <v>4203</v>
      </c>
      <c r="D296" s="152">
        <v>5</v>
      </c>
      <c r="E296" s="152" t="s">
        <v>42</v>
      </c>
      <c r="F296" s="153">
        <v>3640000</v>
      </c>
      <c r="G296" s="153">
        <f t="shared" si="11"/>
        <v>18200000</v>
      </c>
      <c r="H296" s="210" t="b">
        <f t="shared" si="10"/>
        <v>1</v>
      </c>
      <c r="I296" s="210"/>
      <c r="J296" s="210"/>
    </row>
    <row r="297" spans="1:10" ht="13.8" x14ac:dyDescent="0.25">
      <c r="A297" s="7" t="s">
        <v>2228</v>
      </c>
      <c r="B297" s="152"/>
      <c r="C297" s="151" t="s">
        <v>4204</v>
      </c>
      <c r="D297" s="152">
        <v>40</v>
      </c>
      <c r="E297" s="152" t="s">
        <v>42</v>
      </c>
      <c r="F297" s="153">
        <v>730000</v>
      </c>
      <c r="G297" s="153">
        <f t="shared" si="11"/>
        <v>29200000</v>
      </c>
      <c r="H297" s="210" t="b">
        <f t="shared" si="10"/>
        <v>1</v>
      </c>
      <c r="I297" s="210"/>
      <c r="J297" s="210"/>
    </row>
    <row r="298" spans="1:10" ht="13.8" x14ac:dyDescent="0.25">
      <c r="A298" s="7" t="s">
        <v>2229</v>
      </c>
      <c r="B298" s="152"/>
      <c r="C298" s="151" t="s">
        <v>4205</v>
      </c>
      <c r="D298" s="152">
        <v>35</v>
      </c>
      <c r="E298" s="152" t="s">
        <v>44</v>
      </c>
      <c r="F298" s="153">
        <v>730000</v>
      </c>
      <c r="G298" s="153">
        <f t="shared" si="11"/>
        <v>25550000</v>
      </c>
      <c r="H298" s="210" t="b">
        <f t="shared" si="10"/>
        <v>1</v>
      </c>
      <c r="I298" s="210"/>
      <c r="J298" s="210"/>
    </row>
    <row r="299" spans="1:10" ht="13.8" x14ac:dyDescent="0.25">
      <c r="A299" s="7" t="s">
        <v>2230</v>
      </c>
      <c r="B299" s="152"/>
      <c r="C299" s="151" t="s">
        <v>4206</v>
      </c>
      <c r="D299" s="152">
        <v>35</v>
      </c>
      <c r="E299" s="152" t="s">
        <v>44</v>
      </c>
      <c r="F299" s="153">
        <v>690000</v>
      </c>
      <c r="G299" s="153">
        <f t="shared" si="11"/>
        <v>24150000</v>
      </c>
      <c r="H299" s="210" t="b">
        <f t="shared" si="10"/>
        <v>1</v>
      </c>
      <c r="I299" s="210"/>
      <c r="J299" s="210"/>
    </row>
    <row r="300" spans="1:10" ht="13.8" x14ac:dyDescent="0.25">
      <c r="A300" s="7" t="s">
        <v>2231</v>
      </c>
      <c r="B300" s="152"/>
      <c r="C300" s="151" t="s">
        <v>4207</v>
      </c>
      <c r="D300" s="152">
        <v>3</v>
      </c>
      <c r="E300" s="152" t="s">
        <v>44</v>
      </c>
      <c r="F300" s="153">
        <v>3500000</v>
      </c>
      <c r="G300" s="153">
        <f t="shared" si="11"/>
        <v>10500000</v>
      </c>
      <c r="H300" s="210" t="b">
        <f t="shared" si="10"/>
        <v>1</v>
      </c>
      <c r="I300" s="210"/>
      <c r="J300" s="210"/>
    </row>
    <row r="301" spans="1:10" ht="13.8" x14ac:dyDescent="0.25">
      <c r="A301" s="7" t="s">
        <v>2232</v>
      </c>
      <c r="B301" s="152"/>
      <c r="C301" s="151" t="s">
        <v>4208</v>
      </c>
      <c r="D301" s="152">
        <v>6</v>
      </c>
      <c r="E301" s="152" t="s">
        <v>44</v>
      </c>
      <c r="F301" s="153">
        <v>470000</v>
      </c>
      <c r="G301" s="153">
        <f t="shared" si="11"/>
        <v>2820000</v>
      </c>
      <c r="H301" s="210" t="b">
        <f t="shared" si="10"/>
        <v>1</v>
      </c>
      <c r="I301" s="210"/>
      <c r="J301" s="210"/>
    </row>
    <row r="302" spans="1:10" ht="13.8" x14ac:dyDescent="0.25">
      <c r="A302" s="7" t="s">
        <v>2234</v>
      </c>
      <c r="B302" s="152"/>
      <c r="C302" s="151" t="s">
        <v>4209</v>
      </c>
      <c r="D302" s="152">
        <v>1</v>
      </c>
      <c r="E302" s="152" t="s">
        <v>60</v>
      </c>
      <c r="F302" s="153">
        <v>52250000</v>
      </c>
      <c r="G302" s="153">
        <f t="shared" si="11"/>
        <v>52250000</v>
      </c>
      <c r="H302" s="210" t="b">
        <f t="shared" si="10"/>
        <v>1</v>
      </c>
      <c r="I302" s="210"/>
      <c r="J302" s="210"/>
    </row>
    <row r="303" spans="1:10" ht="13.8" x14ac:dyDescent="0.25">
      <c r="A303" s="7" t="s">
        <v>2235</v>
      </c>
      <c r="B303" s="60">
        <v>523199</v>
      </c>
      <c r="C303" s="41" t="s">
        <v>102</v>
      </c>
      <c r="D303" s="60"/>
      <c r="E303" s="60"/>
      <c r="F303" s="42"/>
      <c r="G303" s="42">
        <f>G304</f>
        <v>36000000</v>
      </c>
      <c r="H303" s="210" t="b">
        <f t="shared" si="10"/>
        <v>1</v>
      </c>
      <c r="I303" s="210"/>
      <c r="J303" s="210"/>
    </row>
    <row r="304" spans="1:10" ht="13.8" x14ac:dyDescent="0.25">
      <c r="A304" s="7" t="s">
        <v>2236</v>
      </c>
      <c r="B304" s="152"/>
      <c r="C304" s="151" t="s">
        <v>4210</v>
      </c>
      <c r="D304" s="152">
        <v>24</v>
      </c>
      <c r="E304" s="152" t="s">
        <v>96</v>
      </c>
      <c r="F304" s="153">
        <v>1500000</v>
      </c>
      <c r="G304" s="153">
        <f>ROUNDDOWN(D304*F304,-3)</f>
        <v>36000000</v>
      </c>
      <c r="H304" s="210" t="b">
        <f t="shared" si="10"/>
        <v>1</v>
      </c>
      <c r="I304" s="210"/>
      <c r="J304" s="210"/>
    </row>
    <row r="305" spans="1:10" ht="26.4" x14ac:dyDescent="0.25">
      <c r="A305" s="7" t="s">
        <v>2238</v>
      </c>
      <c r="B305" s="59" t="s">
        <v>2239</v>
      </c>
      <c r="C305" s="38" t="s">
        <v>2240</v>
      </c>
      <c r="D305" s="59"/>
      <c r="E305" s="59"/>
      <c r="F305" s="39"/>
      <c r="G305" s="39">
        <f>SUM(G306,G309)</f>
        <v>159376000</v>
      </c>
      <c r="H305" s="210" t="b">
        <f t="shared" si="10"/>
        <v>1</v>
      </c>
      <c r="I305" s="210"/>
      <c r="J305" s="210"/>
    </row>
    <row r="306" spans="1:10" ht="13.8" x14ac:dyDescent="0.25">
      <c r="A306" s="7" t="s">
        <v>2241</v>
      </c>
      <c r="B306" s="60">
        <v>521111</v>
      </c>
      <c r="C306" s="41" t="s">
        <v>90</v>
      </c>
      <c r="D306" s="60"/>
      <c r="E306" s="60"/>
      <c r="F306" s="42"/>
      <c r="G306" s="42">
        <f>SUM(G307:G308)</f>
        <v>101040000</v>
      </c>
      <c r="H306" s="210" t="b">
        <f t="shared" si="10"/>
        <v>1</v>
      </c>
      <c r="I306" s="210"/>
      <c r="J306" s="210"/>
    </row>
    <row r="307" spans="1:10" s="212" customFormat="1" ht="13.8" x14ac:dyDescent="0.25">
      <c r="A307" s="211" t="s">
        <v>2242</v>
      </c>
      <c r="B307" s="152"/>
      <c r="C307" s="151" t="s">
        <v>4211</v>
      </c>
      <c r="D307" s="152">
        <v>100</v>
      </c>
      <c r="E307" s="152" t="s">
        <v>2244</v>
      </c>
      <c r="F307" s="153">
        <v>857000</v>
      </c>
      <c r="G307" s="153">
        <f>ROUNDDOWN(D307*F307,-3)</f>
        <v>85700000</v>
      </c>
      <c r="H307" s="210" t="b">
        <f t="shared" si="10"/>
        <v>1</v>
      </c>
      <c r="I307" s="210"/>
      <c r="J307" s="210"/>
    </row>
    <row r="308" spans="1:10" ht="13.8" x14ac:dyDescent="0.25">
      <c r="A308" s="7" t="s">
        <v>2245</v>
      </c>
      <c r="B308" s="152"/>
      <c r="C308" s="151" t="s">
        <v>4212</v>
      </c>
      <c r="D308" s="152">
        <v>26</v>
      </c>
      <c r="E308" s="152" t="s">
        <v>121</v>
      </c>
      <c r="F308" s="153">
        <v>590000</v>
      </c>
      <c r="G308" s="153">
        <f>ROUNDDOWN(D308*F308,-3)</f>
        <v>15340000</v>
      </c>
      <c r="H308" s="210" t="b">
        <f t="shared" si="10"/>
        <v>1</v>
      </c>
      <c r="I308" s="210"/>
      <c r="J308" s="210"/>
    </row>
    <row r="309" spans="1:10" ht="13.8" x14ac:dyDescent="0.25">
      <c r="A309" s="7" t="s">
        <v>2247</v>
      </c>
      <c r="B309" s="60">
        <v>521115</v>
      </c>
      <c r="C309" s="41" t="s">
        <v>104</v>
      </c>
      <c r="D309" s="60"/>
      <c r="E309" s="60"/>
      <c r="F309" s="42"/>
      <c r="G309" s="42">
        <f>SUM(G310:G319)</f>
        <v>58336000</v>
      </c>
      <c r="H309" s="210" t="b">
        <f t="shared" si="10"/>
        <v>1</v>
      </c>
      <c r="I309" s="210"/>
      <c r="J309" s="210"/>
    </row>
    <row r="310" spans="1:10" ht="13.8" x14ac:dyDescent="0.25">
      <c r="A310" s="7" t="s">
        <v>2248</v>
      </c>
      <c r="B310" s="152"/>
      <c r="C310" s="151" t="s">
        <v>4213</v>
      </c>
      <c r="D310" s="152">
        <v>12</v>
      </c>
      <c r="E310" s="152" t="s">
        <v>32</v>
      </c>
      <c r="F310" s="153">
        <v>2920000</v>
      </c>
      <c r="G310" s="153">
        <f t="shared" ref="G310:G319" si="12">ROUNDDOWN(D310*F310,-3)</f>
        <v>35040000</v>
      </c>
      <c r="H310" s="210" t="b">
        <f t="shared" si="10"/>
        <v>1</v>
      </c>
      <c r="I310" s="210"/>
      <c r="J310" s="210"/>
    </row>
    <row r="311" spans="1:10" ht="13.8" x14ac:dyDescent="0.25">
      <c r="A311" s="7" t="s">
        <v>2250</v>
      </c>
      <c r="B311" s="152"/>
      <c r="C311" s="151" t="s">
        <v>4214</v>
      </c>
      <c r="D311" s="152">
        <v>12</v>
      </c>
      <c r="E311" s="152" t="s">
        <v>32</v>
      </c>
      <c r="F311" s="153">
        <v>324000</v>
      </c>
      <c r="G311" s="153">
        <f t="shared" si="12"/>
        <v>3888000</v>
      </c>
      <c r="H311" s="210" t="b">
        <f t="shared" si="10"/>
        <v>1</v>
      </c>
      <c r="I311" s="210"/>
      <c r="J311" s="210"/>
    </row>
    <row r="312" spans="1:10" ht="13.8" x14ac:dyDescent="0.25">
      <c r="A312" s="7" t="s">
        <v>2252</v>
      </c>
      <c r="B312" s="152"/>
      <c r="C312" s="151" t="s">
        <v>4215</v>
      </c>
      <c r="D312" s="152">
        <v>12</v>
      </c>
      <c r="E312" s="152" t="s">
        <v>32</v>
      </c>
      <c r="F312" s="153">
        <v>324000</v>
      </c>
      <c r="G312" s="153">
        <f t="shared" si="12"/>
        <v>3888000</v>
      </c>
      <c r="H312" s="210" t="b">
        <f t="shared" si="10"/>
        <v>1</v>
      </c>
      <c r="I312" s="210"/>
      <c r="J312" s="210"/>
    </row>
    <row r="313" spans="1:10" s="212" customFormat="1" ht="26.4" x14ac:dyDescent="0.25">
      <c r="A313" s="211" t="s">
        <v>2254</v>
      </c>
      <c r="B313" s="152"/>
      <c r="C313" s="151" t="s">
        <v>4216</v>
      </c>
      <c r="D313" s="152">
        <v>12</v>
      </c>
      <c r="E313" s="152" t="s">
        <v>32</v>
      </c>
      <c r="F313" s="153">
        <v>680000</v>
      </c>
      <c r="G313" s="153">
        <f t="shared" si="12"/>
        <v>8160000</v>
      </c>
      <c r="H313" s="210" t="b">
        <f t="shared" si="10"/>
        <v>1</v>
      </c>
      <c r="I313" s="210"/>
      <c r="J313" s="210"/>
    </row>
    <row r="314" spans="1:10" ht="13.8" x14ac:dyDescent="0.25">
      <c r="A314" s="7" t="s">
        <v>2256</v>
      </c>
      <c r="B314" s="152"/>
      <c r="C314" s="151" t="s">
        <v>4217</v>
      </c>
      <c r="D314" s="152">
        <v>12</v>
      </c>
      <c r="E314" s="152" t="s">
        <v>32</v>
      </c>
      <c r="F314" s="153">
        <v>200000</v>
      </c>
      <c r="G314" s="153">
        <f t="shared" si="12"/>
        <v>2400000</v>
      </c>
      <c r="H314" s="210" t="b">
        <f t="shared" si="10"/>
        <v>1</v>
      </c>
      <c r="I314" s="210"/>
      <c r="J314" s="210"/>
    </row>
    <row r="315" spans="1:10" ht="13.8" x14ac:dyDescent="0.25">
      <c r="A315" s="7" t="s">
        <v>2258</v>
      </c>
      <c r="B315" s="152"/>
      <c r="C315" s="151" t="s">
        <v>4218</v>
      </c>
      <c r="D315" s="152">
        <v>12</v>
      </c>
      <c r="E315" s="152" t="s">
        <v>32</v>
      </c>
      <c r="F315" s="153">
        <v>80000</v>
      </c>
      <c r="G315" s="153">
        <f t="shared" si="12"/>
        <v>960000</v>
      </c>
      <c r="H315" s="210" t="b">
        <f t="shared" si="10"/>
        <v>1</v>
      </c>
      <c r="I315" s="210"/>
      <c r="J315" s="210"/>
    </row>
    <row r="316" spans="1:10" ht="13.8" x14ac:dyDescent="0.25">
      <c r="A316" s="7" t="s">
        <v>2260</v>
      </c>
      <c r="B316" s="152"/>
      <c r="C316" s="151" t="s">
        <v>4219</v>
      </c>
      <c r="D316" s="152">
        <v>12</v>
      </c>
      <c r="E316" s="152" t="s">
        <v>32</v>
      </c>
      <c r="F316" s="153">
        <v>200000</v>
      </c>
      <c r="G316" s="153">
        <f t="shared" si="12"/>
        <v>2400000</v>
      </c>
      <c r="H316" s="210" t="b">
        <f t="shared" si="10"/>
        <v>1</v>
      </c>
      <c r="I316" s="210"/>
      <c r="J316" s="210"/>
    </row>
    <row r="317" spans="1:10" ht="13.8" x14ac:dyDescent="0.25">
      <c r="A317" s="7" t="s">
        <v>2262</v>
      </c>
      <c r="B317" s="152"/>
      <c r="C317" s="151" t="s">
        <v>4220</v>
      </c>
      <c r="D317" s="152">
        <v>1</v>
      </c>
      <c r="E317" s="152" t="s">
        <v>776</v>
      </c>
      <c r="F317" s="153">
        <v>400000</v>
      </c>
      <c r="G317" s="153">
        <f t="shared" si="12"/>
        <v>400000</v>
      </c>
      <c r="H317" s="210" t="b">
        <f t="shared" si="10"/>
        <v>1</v>
      </c>
      <c r="I317" s="210"/>
      <c r="J317" s="210"/>
    </row>
    <row r="318" spans="1:10" s="212" customFormat="1" ht="13.8" x14ac:dyDescent="0.25">
      <c r="A318" s="211" t="s">
        <v>2264</v>
      </c>
      <c r="B318" s="152"/>
      <c r="C318" s="151" t="s">
        <v>4221</v>
      </c>
      <c r="D318" s="152">
        <v>1</v>
      </c>
      <c r="E318" s="152" t="s">
        <v>25</v>
      </c>
      <c r="F318" s="153">
        <v>300000</v>
      </c>
      <c r="G318" s="153">
        <f t="shared" si="12"/>
        <v>300000</v>
      </c>
      <c r="H318" s="210" t="b">
        <f t="shared" si="10"/>
        <v>1</v>
      </c>
      <c r="I318" s="210"/>
      <c r="J318" s="210"/>
    </row>
    <row r="319" spans="1:10" ht="13.8" x14ac:dyDescent="0.25">
      <c r="A319" s="7" t="s">
        <v>2266</v>
      </c>
      <c r="B319" s="152"/>
      <c r="C319" s="151" t="s">
        <v>4222</v>
      </c>
      <c r="D319" s="152">
        <v>3</v>
      </c>
      <c r="E319" s="152" t="s">
        <v>25</v>
      </c>
      <c r="F319" s="153">
        <v>300000</v>
      </c>
      <c r="G319" s="153">
        <f t="shared" si="12"/>
        <v>900000</v>
      </c>
      <c r="H319" s="210" t="b">
        <f t="shared" si="10"/>
        <v>1</v>
      </c>
      <c r="I319" s="210"/>
      <c r="J319" s="210"/>
    </row>
    <row r="320" spans="1:10" ht="13.8" x14ac:dyDescent="0.25">
      <c r="A320" s="7" t="s">
        <v>4223</v>
      </c>
      <c r="B320" s="59" t="s">
        <v>4224</v>
      </c>
      <c r="C320" s="38" t="s">
        <v>4225</v>
      </c>
      <c r="D320" s="59"/>
      <c r="E320" s="59"/>
      <c r="F320" s="39"/>
      <c r="G320" s="39">
        <f>SUM(G321,G326,G331)</f>
        <v>100000000</v>
      </c>
      <c r="H320" s="210" t="b">
        <f t="shared" si="10"/>
        <v>1</v>
      </c>
      <c r="I320" s="210"/>
      <c r="J320" s="210"/>
    </row>
    <row r="321" spans="1:10" ht="13.8" x14ac:dyDescent="0.25">
      <c r="A321" s="7" t="s">
        <v>4226</v>
      </c>
      <c r="B321" s="60">
        <v>521111</v>
      </c>
      <c r="C321" s="41" t="s">
        <v>90</v>
      </c>
      <c r="D321" s="60"/>
      <c r="E321" s="60"/>
      <c r="F321" s="42"/>
      <c r="G321" s="42">
        <f>SUM(G322:G325)</f>
        <v>45000000</v>
      </c>
      <c r="H321" s="210" t="b">
        <f t="shared" si="10"/>
        <v>1</v>
      </c>
      <c r="I321" s="210"/>
      <c r="J321" s="210"/>
    </row>
    <row r="322" spans="1:10" ht="13.8" x14ac:dyDescent="0.25">
      <c r="A322" s="7" t="s">
        <v>4227</v>
      </c>
      <c r="B322" s="152"/>
      <c r="C322" s="151" t="s">
        <v>4228</v>
      </c>
      <c r="D322" s="152">
        <v>1</v>
      </c>
      <c r="E322" s="152" t="s">
        <v>60</v>
      </c>
      <c r="F322" s="153">
        <v>3000000</v>
      </c>
      <c r="G322" s="153">
        <f>ROUNDDOWN(D322*F322,-3)</f>
        <v>3000000</v>
      </c>
      <c r="H322" s="210" t="b">
        <f t="shared" si="10"/>
        <v>1</v>
      </c>
      <c r="I322" s="210"/>
      <c r="J322" s="210"/>
    </row>
    <row r="323" spans="1:10" s="212" customFormat="1" ht="13.8" x14ac:dyDescent="0.25">
      <c r="A323" s="211" t="s">
        <v>4229</v>
      </c>
      <c r="B323" s="152"/>
      <c r="C323" s="151" t="s">
        <v>4230</v>
      </c>
      <c r="D323" s="152">
        <v>48</v>
      </c>
      <c r="E323" s="152" t="s">
        <v>58</v>
      </c>
      <c r="F323" s="153">
        <v>500000</v>
      </c>
      <c r="G323" s="153">
        <f>ROUNDDOWN(D323*F323,-3)</f>
        <v>24000000</v>
      </c>
      <c r="H323" s="210" t="b">
        <f t="shared" si="10"/>
        <v>1</v>
      </c>
      <c r="I323" s="210"/>
      <c r="J323" s="210"/>
    </row>
    <row r="324" spans="1:10" ht="13.8" x14ac:dyDescent="0.25">
      <c r="A324" s="7" t="s">
        <v>4231</v>
      </c>
      <c r="B324" s="152"/>
      <c r="C324" s="151" t="s">
        <v>4232</v>
      </c>
      <c r="D324" s="152">
        <v>12</v>
      </c>
      <c r="E324" s="152" t="s">
        <v>78</v>
      </c>
      <c r="F324" s="153">
        <v>500000</v>
      </c>
      <c r="G324" s="153">
        <f>ROUNDDOWN(D324*F324,-3)</f>
        <v>6000000</v>
      </c>
      <c r="H324" s="210" t="b">
        <f t="shared" si="10"/>
        <v>1</v>
      </c>
      <c r="I324" s="210"/>
      <c r="J324" s="210"/>
    </row>
    <row r="325" spans="1:10" ht="13.8" x14ac:dyDescent="0.25">
      <c r="A325" s="7" t="s">
        <v>4233</v>
      </c>
      <c r="B325" s="152"/>
      <c r="C325" s="151" t="s">
        <v>4234</v>
      </c>
      <c r="D325" s="152">
        <v>60</v>
      </c>
      <c r="E325" s="152" t="s">
        <v>116</v>
      </c>
      <c r="F325" s="153">
        <v>200000</v>
      </c>
      <c r="G325" s="153">
        <f>ROUNDDOWN(D325*F325,-3)</f>
        <v>12000000</v>
      </c>
      <c r="H325" s="210" t="b">
        <f t="shared" si="10"/>
        <v>1</v>
      </c>
      <c r="I325" s="210"/>
      <c r="J325" s="210"/>
    </row>
    <row r="326" spans="1:10" ht="13.8" x14ac:dyDescent="0.25">
      <c r="A326" s="7" t="s">
        <v>4235</v>
      </c>
      <c r="B326" s="60">
        <v>521811</v>
      </c>
      <c r="C326" s="41" t="s">
        <v>64</v>
      </c>
      <c r="D326" s="60"/>
      <c r="E326" s="60"/>
      <c r="F326" s="42"/>
      <c r="G326" s="42">
        <f>SUM(G327:G330)</f>
        <v>26000000</v>
      </c>
      <c r="H326" s="210" t="b">
        <f t="shared" si="10"/>
        <v>1</v>
      </c>
      <c r="I326" s="210"/>
      <c r="J326" s="210"/>
    </row>
    <row r="327" spans="1:10" ht="13.8" x14ac:dyDescent="0.25">
      <c r="A327" s="7" t="s">
        <v>4236</v>
      </c>
      <c r="B327" s="152"/>
      <c r="C327" s="151" t="s">
        <v>3625</v>
      </c>
      <c r="D327" s="152">
        <v>8</v>
      </c>
      <c r="E327" s="152" t="s">
        <v>9</v>
      </c>
      <c r="F327" s="153">
        <v>1000000</v>
      </c>
      <c r="G327" s="153">
        <f>ROUNDDOWN(D327*F327,-3)</f>
        <v>8000000</v>
      </c>
      <c r="H327" s="210" t="b">
        <f t="shared" si="10"/>
        <v>1</v>
      </c>
      <c r="I327" s="210"/>
      <c r="J327" s="210"/>
    </row>
    <row r="328" spans="1:10" ht="13.8" x14ac:dyDescent="0.25">
      <c r="A328" s="7" t="s">
        <v>4237</v>
      </c>
      <c r="B328" s="152"/>
      <c r="C328" s="151" t="s">
        <v>3626</v>
      </c>
      <c r="D328" s="152">
        <v>8</v>
      </c>
      <c r="E328" s="152" t="s">
        <v>9</v>
      </c>
      <c r="F328" s="153">
        <v>1500000</v>
      </c>
      <c r="G328" s="153">
        <f>ROUNDDOWN(D328*F328,-3)</f>
        <v>12000000</v>
      </c>
      <c r="H328" s="210" t="b">
        <f t="shared" si="10"/>
        <v>1</v>
      </c>
      <c r="I328" s="210"/>
      <c r="J328" s="210"/>
    </row>
    <row r="329" spans="1:10" ht="13.8" x14ac:dyDescent="0.25">
      <c r="A329" s="7" t="s">
        <v>4238</v>
      </c>
      <c r="B329" s="152"/>
      <c r="C329" s="151" t="s">
        <v>4239</v>
      </c>
      <c r="D329" s="152">
        <v>200</v>
      </c>
      <c r="E329" s="152" t="s">
        <v>120</v>
      </c>
      <c r="F329" s="153">
        <v>5000</v>
      </c>
      <c r="G329" s="153">
        <f>ROUNDDOWN(D329*F329,-3)</f>
        <v>1000000</v>
      </c>
      <c r="H329" s="210" t="b">
        <f t="shared" si="10"/>
        <v>1</v>
      </c>
      <c r="I329" s="210"/>
      <c r="J329" s="210"/>
    </row>
    <row r="330" spans="1:10" s="212" customFormat="1" ht="13.8" x14ac:dyDescent="0.25">
      <c r="A330" s="211" t="s">
        <v>4240</v>
      </c>
      <c r="B330" s="152"/>
      <c r="C330" s="151" t="s">
        <v>4241</v>
      </c>
      <c r="D330" s="152">
        <v>200</v>
      </c>
      <c r="E330" s="152" t="s">
        <v>120</v>
      </c>
      <c r="F330" s="153">
        <v>25000</v>
      </c>
      <c r="G330" s="153">
        <f>ROUNDDOWN(D330*F330,-3)</f>
        <v>5000000</v>
      </c>
      <c r="H330" s="210" t="b">
        <f t="shared" si="10"/>
        <v>1</v>
      </c>
      <c r="I330" s="210"/>
      <c r="J330" s="210"/>
    </row>
    <row r="331" spans="1:10" ht="13.8" x14ac:dyDescent="0.25">
      <c r="A331" s="7" t="s">
        <v>4242</v>
      </c>
      <c r="B331" s="60">
        <v>523121</v>
      </c>
      <c r="C331" s="41" t="s">
        <v>99</v>
      </c>
      <c r="D331" s="60"/>
      <c r="E331" s="60"/>
      <c r="F331" s="42"/>
      <c r="G331" s="42">
        <f>SUM(G332:G336)</f>
        <v>29000000</v>
      </c>
      <c r="H331" s="210" t="b">
        <f t="shared" si="10"/>
        <v>1</v>
      </c>
      <c r="I331" s="210"/>
      <c r="J331" s="210"/>
    </row>
    <row r="332" spans="1:10" s="212" customFormat="1" ht="13.8" x14ac:dyDescent="0.25">
      <c r="A332" s="211" t="s">
        <v>4243</v>
      </c>
      <c r="B332" s="152"/>
      <c r="C332" s="151" t="s">
        <v>4244</v>
      </c>
      <c r="D332" s="152">
        <v>1</v>
      </c>
      <c r="E332" s="152" t="s">
        <v>42</v>
      </c>
      <c r="F332" s="153">
        <v>7200000</v>
      </c>
      <c r="G332" s="153">
        <f>ROUNDDOWN(D332*F332,-3)</f>
        <v>7200000</v>
      </c>
      <c r="H332" s="210" t="b">
        <f t="shared" si="10"/>
        <v>1</v>
      </c>
      <c r="I332" s="210"/>
      <c r="J332" s="210"/>
    </row>
    <row r="333" spans="1:10" ht="13.8" x14ac:dyDescent="0.25">
      <c r="A333" s="7" t="s">
        <v>4245</v>
      </c>
      <c r="B333" s="152"/>
      <c r="C333" s="151" t="s">
        <v>4246</v>
      </c>
      <c r="D333" s="152">
        <v>10</v>
      </c>
      <c r="E333" s="152" t="s">
        <v>42</v>
      </c>
      <c r="F333" s="153">
        <v>730000</v>
      </c>
      <c r="G333" s="153">
        <f>ROUNDDOWN(D333*F333,-3)</f>
        <v>7300000</v>
      </c>
      <c r="H333" s="210" t="b">
        <f t="shared" si="10"/>
        <v>1</v>
      </c>
      <c r="I333" s="210"/>
      <c r="J333" s="210"/>
    </row>
    <row r="334" spans="1:10" ht="13.8" x14ac:dyDescent="0.25">
      <c r="A334" s="7" t="s">
        <v>4247</v>
      </c>
      <c r="B334" s="152"/>
      <c r="C334" s="151" t="s">
        <v>4248</v>
      </c>
      <c r="D334" s="152">
        <v>10</v>
      </c>
      <c r="E334" s="152" t="s">
        <v>44</v>
      </c>
      <c r="F334" s="153">
        <v>730000</v>
      </c>
      <c r="G334" s="153">
        <f>ROUNDDOWN(D334*F334,-3)</f>
        <v>7300000</v>
      </c>
      <c r="H334" s="210" t="b">
        <f t="shared" si="10"/>
        <v>1</v>
      </c>
      <c r="I334" s="210"/>
      <c r="J334" s="210"/>
    </row>
    <row r="335" spans="1:10" ht="13.8" x14ac:dyDescent="0.25">
      <c r="A335" s="7" t="s">
        <v>4249</v>
      </c>
      <c r="B335" s="152"/>
      <c r="C335" s="151" t="s">
        <v>4250</v>
      </c>
      <c r="D335" s="152">
        <v>10</v>
      </c>
      <c r="E335" s="152" t="s">
        <v>44</v>
      </c>
      <c r="F335" s="153">
        <v>690000</v>
      </c>
      <c r="G335" s="153">
        <f>ROUNDDOWN(D335*F335,-3)</f>
        <v>6900000</v>
      </c>
      <c r="H335" s="210" t="b">
        <f t="shared" si="10"/>
        <v>1</v>
      </c>
      <c r="I335" s="210"/>
      <c r="J335" s="210"/>
    </row>
    <row r="336" spans="1:10" ht="13.8" x14ac:dyDescent="0.25">
      <c r="A336" s="7" t="s">
        <v>4251</v>
      </c>
      <c r="B336" s="152"/>
      <c r="C336" s="151" t="s">
        <v>4252</v>
      </c>
      <c r="D336" s="152">
        <v>1</v>
      </c>
      <c r="E336" s="152" t="s">
        <v>60</v>
      </c>
      <c r="F336" s="153">
        <v>300000</v>
      </c>
      <c r="G336" s="153">
        <f>ROUNDDOWN(D336*F336,-3)</f>
        <v>300000</v>
      </c>
      <c r="H336" s="210" t="b">
        <f t="shared" si="10"/>
        <v>1</v>
      </c>
      <c r="I336" s="210"/>
      <c r="J336" s="210"/>
    </row>
    <row r="337" spans="1:10" ht="13.8" x14ac:dyDescent="0.25">
      <c r="A337" s="7" t="s">
        <v>2268</v>
      </c>
      <c r="B337" s="135" t="s">
        <v>2269</v>
      </c>
      <c r="C337" s="133" t="s">
        <v>2270</v>
      </c>
      <c r="D337" s="135">
        <v>2</v>
      </c>
      <c r="E337" s="135" t="s">
        <v>42</v>
      </c>
      <c r="F337" s="136"/>
      <c r="G337" s="136">
        <f>G338</f>
        <v>540934000</v>
      </c>
      <c r="H337" s="210" t="b">
        <f t="shared" si="10"/>
        <v>1</v>
      </c>
      <c r="I337" s="210"/>
      <c r="J337" s="210"/>
    </row>
    <row r="338" spans="1:10" ht="13.8" x14ac:dyDescent="0.25">
      <c r="A338" s="7" t="s">
        <v>2271</v>
      </c>
      <c r="B338" s="138" t="s">
        <v>4253</v>
      </c>
      <c r="C338" s="137" t="s">
        <v>2273</v>
      </c>
      <c r="D338" s="138">
        <v>1</v>
      </c>
      <c r="E338" s="138" t="s">
        <v>42</v>
      </c>
      <c r="F338" s="139"/>
      <c r="G338" s="139">
        <f>G339</f>
        <v>540934000</v>
      </c>
      <c r="H338" s="210" t="b">
        <f t="shared" si="10"/>
        <v>1</v>
      </c>
      <c r="I338" s="210"/>
      <c r="J338" s="210"/>
    </row>
    <row r="339" spans="1:10" ht="13.8" x14ac:dyDescent="0.25">
      <c r="A339" s="7" t="s">
        <v>2289</v>
      </c>
      <c r="B339" s="58">
        <v>301</v>
      </c>
      <c r="C339" s="35" t="s">
        <v>2290</v>
      </c>
      <c r="D339" s="58"/>
      <c r="E339" s="58"/>
      <c r="F339" s="36"/>
      <c r="G339" s="36">
        <f>G340</f>
        <v>540934000</v>
      </c>
      <c r="H339" s="210" t="b">
        <f t="shared" si="10"/>
        <v>1</v>
      </c>
      <c r="I339" s="210"/>
      <c r="J339" s="210"/>
    </row>
    <row r="340" spans="1:10" ht="13.8" x14ac:dyDescent="0.25">
      <c r="A340" s="7" t="s">
        <v>2291</v>
      </c>
      <c r="B340" s="59" t="s">
        <v>8</v>
      </c>
      <c r="C340" s="38" t="s">
        <v>2292</v>
      </c>
      <c r="D340" s="59"/>
      <c r="E340" s="59"/>
      <c r="F340" s="39"/>
      <c r="G340" s="39">
        <f>G341</f>
        <v>540934000</v>
      </c>
      <c r="H340" s="210" t="b">
        <f t="shared" si="10"/>
        <v>1</v>
      </c>
      <c r="I340" s="210"/>
      <c r="J340" s="210"/>
    </row>
    <row r="341" spans="1:10" ht="13.8" x14ac:dyDescent="0.25">
      <c r="A341" s="7" t="s">
        <v>2293</v>
      </c>
      <c r="B341" s="60">
        <v>532111</v>
      </c>
      <c r="C341" s="41" t="s">
        <v>43</v>
      </c>
      <c r="D341" s="60"/>
      <c r="E341" s="60"/>
      <c r="F341" s="42"/>
      <c r="G341" s="42">
        <f>G342</f>
        <v>540934000</v>
      </c>
      <c r="H341" s="210" t="b">
        <f t="shared" si="10"/>
        <v>1</v>
      </c>
      <c r="I341" s="210"/>
      <c r="J341" s="210"/>
    </row>
    <row r="342" spans="1:10" ht="13.8" x14ac:dyDescent="0.25">
      <c r="A342" s="7" t="s">
        <v>2294</v>
      </c>
      <c r="B342" s="152"/>
      <c r="C342" s="151" t="s">
        <v>4258</v>
      </c>
      <c r="D342" s="152">
        <v>1</v>
      </c>
      <c r="E342" s="152" t="s">
        <v>42</v>
      </c>
      <c r="F342" s="153">
        <v>540934000</v>
      </c>
      <c r="G342" s="153">
        <f>ROUNDDOWN(D342*F342,-3)</f>
        <v>540934000</v>
      </c>
      <c r="H342" s="210" t="b">
        <f t="shared" si="10"/>
        <v>1</v>
      </c>
      <c r="I342" s="210"/>
      <c r="J342" s="210"/>
    </row>
    <row r="343" spans="1:10" ht="13.8" x14ac:dyDescent="0.25">
      <c r="A343" s="7" t="s">
        <v>2465</v>
      </c>
      <c r="B343" s="135" t="s">
        <v>2466</v>
      </c>
      <c r="C343" s="133" t="s">
        <v>2467</v>
      </c>
      <c r="D343" s="135">
        <v>5</v>
      </c>
      <c r="E343" s="135" t="s">
        <v>4315</v>
      </c>
      <c r="F343" s="136"/>
      <c r="G343" s="136">
        <f>SUM(G344,G384,G426)</f>
        <v>1538790000</v>
      </c>
      <c r="H343" s="210" t="b">
        <f t="shared" si="10"/>
        <v>1</v>
      </c>
      <c r="I343" s="210"/>
      <c r="J343" s="210"/>
    </row>
    <row r="344" spans="1:10" ht="13.8" x14ac:dyDescent="0.25">
      <c r="A344" s="7" t="s">
        <v>2468</v>
      </c>
      <c r="B344" s="138" t="s">
        <v>4316</v>
      </c>
      <c r="C344" s="137" t="s">
        <v>2470</v>
      </c>
      <c r="D344" s="138">
        <v>1</v>
      </c>
      <c r="E344" s="138" t="s">
        <v>4315</v>
      </c>
      <c r="F344" s="139"/>
      <c r="G344" s="139">
        <f>G345</f>
        <v>615138000</v>
      </c>
      <c r="H344" s="210" t="b">
        <f t="shared" si="10"/>
        <v>1</v>
      </c>
      <c r="I344" s="210"/>
      <c r="J344" s="210"/>
    </row>
    <row r="345" spans="1:10" ht="26.4" x14ac:dyDescent="0.25">
      <c r="A345" s="7" t="s">
        <v>2739</v>
      </c>
      <c r="B345" s="58">
        <v>301</v>
      </c>
      <c r="C345" s="35" t="s">
        <v>2740</v>
      </c>
      <c r="D345" s="58"/>
      <c r="E345" s="58"/>
      <c r="F345" s="36"/>
      <c r="G345" s="36">
        <f>SUM(G346,G358,G372)</f>
        <v>615138000</v>
      </c>
      <c r="H345" s="210" t="b">
        <f t="shared" si="10"/>
        <v>1</v>
      </c>
      <c r="I345" s="210"/>
      <c r="J345" s="210"/>
    </row>
    <row r="346" spans="1:10" ht="13.8" x14ac:dyDescent="0.25">
      <c r="A346" s="7" t="s">
        <v>2741</v>
      </c>
      <c r="B346" s="59" t="s">
        <v>8</v>
      </c>
      <c r="C346" s="38" t="s">
        <v>129</v>
      </c>
      <c r="D346" s="59"/>
      <c r="E346" s="59"/>
      <c r="F346" s="39"/>
      <c r="G346" s="39">
        <f>SUM(G347,G351,G353,G356)</f>
        <v>101050000</v>
      </c>
      <c r="H346" s="210" t="b">
        <f t="shared" si="10"/>
        <v>1</v>
      </c>
      <c r="I346" s="210"/>
      <c r="J346" s="210"/>
    </row>
    <row r="347" spans="1:10" ht="13.8" x14ac:dyDescent="0.25">
      <c r="A347" s="7" t="s">
        <v>2742</v>
      </c>
      <c r="B347" s="60">
        <v>521211</v>
      </c>
      <c r="C347" s="41" t="s">
        <v>7</v>
      </c>
      <c r="D347" s="60"/>
      <c r="E347" s="60"/>
      <c r="F347" s="42"/>
      <c r="G347" s="42">
        <f>SUM(G348:G350)</f>
        <v>22650000</v>
      </c>
      <c r="H347" s="210" t="b">
        <f t="shared" si="10"/>
        <v>1</v>
      </c>
      <c r="I347" s="210"/>
      <c r="J347" s="210"/>
    </row>
    <row r="348" spans="1:10" ht="13.8" x14ac:dyDescent="0.25">
      <c r="A348" s="7" t="s">
        <v>2743</v>
      </c>
      <c r="B348" s="152"/>
      <c r="C348" s="151" t="s">
        <v>3598</v>
      </c>
      <c r="D348" s="152">
        <v>6</v>
      </c>
      <c r="E348" s="152" t="s">
        <v>9</v>
      </c>
      <c r="F348" s="153">
        <v>1500000</v>
      </c>
      <c r="G348" s="153">
        <f>ROUNDDOWN(D348*F348,-3)</f>
        <v>9000000</v>
      </c>
      <c r="H348" s="210" t="b">
        <f t="shared" si="10"/>
        <v>1</v>
      </c>
      <c r="I348" s="210"/>
      <c r="J348" s="210"/>
    </row>
    <row r="349" spans="1:10" ht="13.8" x14ac:dyDescent="0.25">
      <c r="A349" s="7" t="s">
        <v>2744</v>
      </c>
      <c r="B349" s="152"/>
      <c r="C349" s="151" t="s">
        <v>4420</v>
      </c>
      <c r="D349" s="152">
        <v>70</v>
      </c>
      <c r="E349" s="152" t="s">
        <v>10</v>
      </c>
      <c r="F349" s="153">
        <v>70000</v>
      </c>
      <c r="G349" s="153">
        <f>ROUNDDOWN(D349*F349,-3)</f>
        <v>4900000</v>
      </c>
      <c r="H349" s="210" t="b">
        <f t="shared" si="10"/>
        <v>1</v>
      </c>
      <c r="I349" s="210"/>
      <c r="J349" s="210"/>
    </row>
    <row r="350" spans="1:10" ht="13.8" x14ac:dyDescent="0.25">
      <c r="A350" s="7" t="s">
        <v>2746</v>
      </c>
      <c r="B350" s="152"/>
      <c r="C350" s="151" t="s">
        <v>4421</v>
      </c>
      <c r="D350" s="152">
        <v>25</v>
      </c>
      <c r="E350" s="152" t="s">
        <v>176</v>
      </c>
      <c r="F350" s="153">
        <v>350000</v>
      </c>
      <c r="G350" s="153">
        <f>ROUNDDOWN(D350*F350,-3)</f>
        <v>8750000</v>
      </c>
      <c r="H350" s="210" t="b">
        <f t="shared" si="10"/>
        <v>1</v>
      </c>
      <c r="I350" s="210"/>
      <c r="J350" s="210"/>
    </row>
    <row r="351" spans="1:10" ht="13.8" x14ac:dyDescent="0.25">
      <c r="A351" s="7" t="s">
        <v>2747</v>
      </c>
      <c r="B351" s="60">
        <v>521219</v>
      </c>
      <c r="C351" s="41" t="s">
        <v>53</v>
      </c>
      <c r="D351" s="60"/>
      <c r="E351" s="60"/>
      <c r="F351" s="42"/>
      <c r="G351" s="42">
        <f>G352</f>
        <v>1000000</v>
      </c>
      <c r="H351" s="210" t="b">
        <f t="shared" si="10"/>
        <v>1</v>
      </c>
      <c r="I351" s="210"/>
      <c r="J351" s="210"/>
    </row>
    <row r="352" spans="1:10" ht="13.8" x14ac:dyDescent="0.25">
      <c r="A352" s="7" t="s">
        <v>2748</v>
      </c>
      <c r="B352" s="152"/>
      <c r="C352" s="151" t="s">
        <v>3722</v>
      </c>
      <c r="D352" s="152">
        <v>4</v>
      </c>
      <c r="E352" s="152" t="s">
        <v>2749</v>
      </c>
      <c r="F352" s="153">
        <v>250000</v>
      </c>
      <c r="G352" s="153">
        <f>ROUNDDOWN(D352*F352,-3)</f>
        <v>1000000</v>
      </c>
      <c r="H352" s="210" t="b">
        <f t="shared" si="10"/>
        <v>1</v>
      </c>
      <c r="I352" s="210"/>
      <c r="J352" s="210"/>
    </row>
    <row r="353" spans="1:10" ht="13.8" x14ac:dyDescent="0.25">
      <c r="A353" s="7" t="s">
        <v>2750</v>
      </c>
      <c r="B353" s="60">
        <v>521811</v>
      </c>
      <c r="C353" s="41" t="s">
        <v>64</v>
      </c>
      <c r="D353" s="60"/>
      <c r="E353" s="60"/>
      <c r="F353" s="42"/>
      <c r="G353" s="42">
        <f>SUM(G354:G355)</f>
        <v>15000000</v>
      </c>
      <c r="H353" s="210" t="b">
        <f t="shared" si="10"/>
        <v>1</v>
      </c>
      <c r="I353" s="210"/>
      <c r="J353" s="210"/>
    </row>
    <row r="354" spans="1:10" ht="13.8" x14ac:dyDescent="0.25">
      <c r="A354" s="7" t="s">
        <v>2751</v>
      </c>
      <c r="B354" s="152"/>
      <c r="C354" s="151" t="s">
        <v>3625</v>
      </c>
      <c r="D354" s="152">
        <v>6</v>
      </c>
      <c r="E354" s="152" t="s">
        <v>106</v>
      </c>
      <c r="F354" s="153">
        <v>1000000</v>
      </c>
      <c r="G354" s="153">
        <f>ROUNDDOWN(D354*F354,-3)</f>
        <v>6000000</v>
      </c>
      <c r="H354" s="210" t="b">
        <f t="shared" si="10"/>
        <v>1</v>
      </c>
      <c r="I354" s="210"/>
      <c r="J354" s="210"/>
    </row>
    <row r="355" spans="1:10" ht="13.8" x14ac:dyDescent="0.25">
      <c r="A355" s="7" t="s">
        <v>2752</v>
      </c>
      <c r="B355" s="152"/>
      <c r="C355" s="151" t="s">
        <v>3626</v>
      </c>
      <c r="D355" s="152">
        <v>6</v>
      </c>
      <c r="E355" s="152" t="s">
        <v>106</v>
      </c>
      <c r="F355" s="153">
        <v>1500000</v>
      </c>
      <c r="G355" s="153">
        <f>ROUNDDOWN(D355*F355,-3)</f>
        <v>9000000</v>
      </c>
      <c r="H355" s="210" t="b">
        <f t="shared" ref="H355:H418" si="13">_xlfn.ISFORMULA(G355)</f>
        <v>1</v>
      </c>
      <c r="I355" s="210"/>
      <c r="J355" s="210"/>
    </row>
    <row r="356" spans="1:10" ht="13.8" x14ac:dyDescent="0.25">
      <c r="A356" s="7" t="s">
        <v>2753</v>
      </c>
      <c r="B356" s="60">
        <v>524111</v>
      </c>
      <c r="C356" s="41" t="s">
        <v>19</v>
      </c>
      <c r="D356" s="60"/>
      <c r="E356" s="60"/>
      <c r="F356" s="42"/>
      <c r="G356" s="42">
        <f>G357</f>
        <v>62400000</v>
      </c>
      <c r="H356" s="210" t="b">
        <f t="shared" si="13"/>
        <v>1</v>
      </c>
      <c r="I356" s="210"/>
      <c r="J356" s="210"/>
    </row>
    <row r="357" spans="1:10" ht="13.8" x14ac:dyDescent="0.25">
      <c r="A357" s="7" t="s">
        <v>2754</v>
      </c>
      <c r="B357" s="152"/>
      <c r="C357" s="151" t="s">
        <v>4422</v>
      </c>
      <c r="D357" s="152">
        <v>12</v>
      </c>
      <c r="E357" s="152" t="s">
        <v>10</v>
      </c>
      <c r="F357" s="153">
        <v>5200000</v>
      </c>
      <c r="G357" s="153">
        <f>ROUNDDOWN(D357*F357,-3)</f>
        <v>62400000</v>
      </c>
      <c r="H357" s="210" t="b">
        <f t="shared" si="13"/>
        <v>1</v>
      </c>
      <c r="I357" s="210"/>
      <c r="J357" s="210"/>
    </row>
    <row r="358" spans="1:10" ht="13.8" x14ac:dyDescent="0.25">
      <c r="A358" s="7" t="s">
        <v>2756</v>
      </c>
      <c r="B358" s="59" t="s">
        <v>511</v>
      </c>
      <c r="C358" s="38" t="s">
        <v>130</v>
      </c>
      <c r="D358" s="59"/>
      <c r="E358" s="59"/>
      <c r="F358" s="39"/>
      <c r="G358" s="39">
        <f>SUM(G359,G363,G365,G368,G370)</f>
        <v>345988000</v>
      </c>
      <c r="H358" s="210" t="b">
        <f t="shared" si="13"/>
        <v>1</v>
      </c>
      <c r="I358" s="210"/>
      <c r="J358" s="210"/>
    </row>
    <row r="359" spans="1:10" ht="13.8" x14ac:dyDescent="0.25">
      <c r="A359" s="7" t="s">
        <v>2757</v>
      </c>
      <c r="B359" s="60">
        <v>521211</v>
      </c>
      <c r="C359" s="41" t="s">
        <v>7</v>
      </c>
      <c r="D359" s="60"/>
      <c r="E359" s="60"/>
      <c r="F359" s="42"/>
      <c r="G359" s="42">
        <f>SUM(G360:G362)</f>
        <v>49300000</v>
      </c>
      <c r="H359" s="210" t="b">
        <f t="shared" si="13"/>
        <v>1</v>
      </c>
      <c r="I359" s="210"/>
      <c r="J359" s="210"/>
    </row>
    <row r="360" spans="1:10" ht="13.8" x14ac:dyDescent="0.25">
      <c r="A360" s="7" t="s">
        <v>2758</v>
      </c>
      <c r="B360" s="152"/>
      <c r="C360" s="151" t="s">
        <v>3598</v>
      </c>
      <c r="D360" s="152">
        <v>10</v>
      </c>
      <c r="E360" s="152" t="s">
        <v>9</v>
      </c>
      <c r="F360" s="153">
        <v>1500000</v>
      </c>
      <c r="G360" s="153">
        <f>ROUNDDOWN(D360*F360,-3)</f>
        <v>15000000</v>
      </c>
      <c r="H360" s="210" t="b">
        <f t="shared" si="13"/>
        <v>1</v>
      </c>
      <c r="I360" s="210"/>
      <c r="J360" s="210"/>
    </row>
    <row r="361" spans="1:10" ht="13.8" x14ac:dyDescent="0.25">
      <c r="A361" s="7" t="s">
        <v>2759</v>
      </c>
      <c r="B361" s="152"/>
      <c r="C361" s="151" t="s">
        <v>4420</v>
      </c>
      <c r="D361" s="152">
        <v>290</v>
      </c>
      <c r="E361" s="152" t="s">
        <v>10</v>
      </c>
      <c r="F361" s="153">
        <v>70000</v>
      </c>
      <c r="G361" s="153">
        <f>ROUNDDOWN(D361*F361,-3)</f>
        <v>20300000</v>
      </c>
      <c r="H361" s="210" t="b">
        <f t="shared" si="13"/>
        <v>1</v>
      </c>
      <c r="I361" s="210"/>
      <c r="J361" s="210"/>
    </row>
    <row r="362" spans="1:10" ht="13.8" x14ac:dyDescent="0.25">
      <c r="A362" s="7" t="s">
        <v>2760</v>
      </c>
      <c r="B362" s="152"/>
      <c r="C362" s="151" t="s">
        <v>4421</v>
      </c>
      <c r="D362" s="152">
        <v>40</v>
      </c>
      <c r="E362" s="152" t="s">
        <v>176</v>
      </c>
      <c r="F362" s="153">
        <v>350000</v>
      </c>
      <c r="G362" s="153">
        <f>ROUNDDOWN(D362*F362,-3)</f>
        <v>14000000</v>
      </c>
      <c r="H362" s="210" t="b">
        <f t="shared" si="13"/>
        <v>1</v>
      </c>
      <c r="I362" s="210"/>
      <c r="J362" s="210"/>
    </row>
    <row r="363" spans="1:10" ht="13.8" x14ac:dyDescent="0.25">
      <c r="A363" s="7" t="s">
        <v>2761</v>
      </c>
      <c r="B363" s="60">
        <v>521219</v>
      </c>
      <c r="C363" s="41" t="s">
        <v>53</v>
      </c>
      <c r="D363" s="60"/>
      <c r="E363" s="60"/>
      <c r="F363" s="42"/>
      <c r="G363" s="42">
        <f>G364</f>
        <v>1000000</v>
      </c>
      <c r="H363" s="210" t="b">
        <f t="shared" si="13"/>
        <v>1</v>
      </c>
      <c r="I363" s="210"/>
      <c r="J363" s="210"/>
    </row>
    <row r="364" spans="1:10" ht="13.8" x14ac:dyDescent="0.25">
      <c r="A364" s="7" t="s">
        <v>2762</v>
      </c>
      <c r="B364" s="152"/>
      <c r="C364" s="151" t="s">
        <v>3722</v>
      </c>
      <c r="D364" s="152">
        <v>4</v>
      </c>
      <c r="E364" s="152" t="s">
        <v>9</v>
      </c>
      <c r="F364" s="153">
        <v>250000</v>
      </c>
      <c r="G364" s="153">
        <f>ROUNDDOWN(D364*F364,-3)</f>
        <v>1000000</v>
      </c>
      <c r="H364" s="210" t="b">
        <f t="shared" si="13"/>
        <v>1</v>
      </c>
      <c r="I364" s="210"/>
      <c r="J364" s="210"/>
    </row>
    <row r="365" spans="1:10" ht="13.8" x14ac:dyDescent="0.25">
      <c r="A365" s="7" t="s">
        <v>2763</v>
      </c>
      <c r="B365" s="60">
        <v>521811</v>
      </c>
      <c r="C365" s="41" t="s">
        <v>64</v>
      </c>
      <c r="D365" s="60"/>
      <c r="E365" s="60"/>
      <c r="F365" s="42"/>
      <c r="G365" s="42">
        <f>SUM(G366:G367)</f>
        <v>25000000</v>
      </c>
      <c r="H365" s="210" t="b">
        <f t="shared" si="13"/>
        <v>1</v>
      </c>
      <c r="I365" s="210"/>
      <c r="J365" s="210"/>
    </row>
    <row r="366" spans="1:10" ht="13.8" x14ac:dyDescent="0.25">
      <c r="A366" s="7" t="s">
        <v>2764</v>
      </c>
      <c r="B366" s="152"/>
      <c r="C366" s="151" t="s">
        <v>3625</v>
      </c>
      <c r="D366" s="152">
        <v>10</v>
      </c>
      <c r="E366" s="152" t="s">
        <v>106</v>
      </c>
      <c r="F366" s="153">
        <v>1000000</v>
      </c>
      <c r="G366" s="153">
        <f>ROUNDDOWN(D366*F366,-3)</f>
        <v>10000000</v>
      </c>
      <c r="H366" s="210" t="b">
        <f t="shared" si="13"/>
        <v>1</v>
      </c>
      <c r="I366" s="210"/>
      <c r="J366" s="210"/>
    </row>
    <row r="367" spans="1:10" ht="13.8" x14ac:dyDescent="0.25">
      <c r="A367" s="7" t="s">
        <v>2765</v>
      </c>
      <c r="B367" s="152"/>
      <c r="C367" s="151" t="s">
        <v>3626</v>
      </c>
      <c r="D367" s="152">
        <v>10</v>
      </c>
      <c r="E367" s="152" t="s">
        <v>106</v>
      </c>
      <c r="F367" s="153">
        <v>1500000</v>
      </c>
      <c r="G367" s="153">
        <f>ROUNDDOWN(D367*F367,-3)</f>
        <v>15000000</v>
      </c>
      <c r="H367" s="210" t="b">
        <f t="shared" si="13"/>
        <v>1</v>
      </c>
      <c r="I367" s="210"/>
      <c r="J367" s="210"/>
    </row>
    <row r="368" spans="1:10" ht="13.8" x14ac:dyDescent="0.25">
      <c r="A368" s="7" t="s">
        <v>2766</v>
      </c>
      <c r="B368" s="60">
        <v>522151</v>
      </c>
      <c r="C368" s="41" t="s">
        <v>11</v>
      </c>
      <c r="D368" s="60"/>
      <c r="E368" s="60"/>
      <c r="F368" s="42"/>
      <c r="G368" s="42">
        <f>G369</f>
        <v>12000000</v>
      </c>
      <c r="H368" s="210" t="b">
        <f t="shared" si="13"/>
        <v>1</v>
      </c>
      <c r="I368" s="210"/>
      <c r="J368" s="210"/>
    </row>
    <row r="369" spans="1:10" ht="13.8" x14ac:dyDescent="0.25">
      <c r="A369" s="7" t="s">
        <v>2767</v>
      </c>
      <c r="B369" s="152"/>
      <c r="C369" s="151" t="s">
        <v>3715</v>
      </c>
      <c r="D369" s="152">
        <v>12</v>
      </c>
      <c r="E369" s="152" t="s">
        <v>54</v>
      </c>
      <c r="F369" s="153">
        <v>1000000</v>
      </c>
      <c r="G369" s="153">
        <f>ROUNDDOWN(D369*F369,-3)</f>
        <v>12000000</v>
      </c>
      <c r="H369" s="210" t="b">
        <f t="shared" si="13"/>
        <v>1</v>
      </c>
      <c r="I369" s="210"/>
      <c r="J369" s="210"/>
    </row>
    <row r="370" spans="1:10" ht="13.8" x14ac:dyDescent="0.25">
      <c r="A370" s="7" t="s">
        <v>2768</v>
      </c>
      <c r="B370" s="60">
        <v>524111</v>
      </c>
      <c r="C370" s="41" t="s">
        <v>19</v>
      </c>
      <c r="D370" s="60"/>
      <c r="E370" s="60"/>
      <c r="F370" s="42"/>
      <c r="G370" s="42">
        <f>G371</f>
        <v>258688000</v>
      </c>
      <c r="H370" s="210" t="b">
        <f t="shared" si="13"/>
        <v>1</v>
      </c>
      <c r="I370" s="210"/>
      <c r="J370" s="210"/>
    </row>
    <row r="371" spans="1:10" ht="13.8" x14ac:dyDescent="0.25">
      <c r="A371" s="7" t="s">
        <v>2769</v>
      </c>
      <c r="B371" s="152"/>
      <c r="C371" s="151" t="s">
        <v>4423</v>
      </c>
      <c r="D371" s="152">
        <v>40</v>
      </c>
      <c r="E371" s="152" t="s">
        <v>10</v>
      </c>
      <c r="F371" s="153">
        <v>6467200</v>
      </c>
      <c r="G371" s="153">
        <f>ROUNDDOWN(D371*F371,-3)</f>
        <v>258688000</v>
      </c>
      <c r="H371" s="210" t="b">
        <f t="shared" si="13"/>
        <v>1</v>
      </c>
      <c r="I371" s="210"/>
      <c r="J371" s="210"/>
    </row>
    <row r="372" spans="1:10" ht="13.8" x14ac:dyDescent="0.25">
      <c r="A372" s="7" t="s">
        <v>2771</v>
      </c>
      <c r="B372" s="59" t="s">
        <v>512</v>
      </c>
      <c r="C372" s="38" t="s">
        <v>131</v>
      </c>
      <c r="D372" s="59"/>
      <c r="E372" s="59"/>
      <c r="F372" s="39"/>
      <c r="G372" s="39">
        <f>SUM(G373,G377,G380,G382)</f>
        <v>168100000</v>
      </c>
      <c r="H372" s="210" t="b">
        <f t="shared" si="13"/>
        <v>1</v>
      </c>
      <c r="I372" s="210"/>
      <c r="J372" s="210"/>
    </row>
    <row r="373" spans="1:10" ht="13.8" x14ac:dyDescent="0.25">
      <c r="A373" s="7" t="s">
        <v>2772</v>
      </c>
      <c r="B373" s="60">
        <v>521211</v>
      </c>
      <c r="C373" s="41" t="s">
        <v>7</v>
      </c>
      <c r="D373" s="60"/>
      <c r="E373" s="60"/>
      <c r="F373" s="42"/>
      <c r="G373" s="42">
        <f>SUM(G374:G376)</f>
        <v>39500000</v>
      </c>
      <c r="H373" s="210" t="b">
        <f t="shared" si="13"/>
        <v>1</v>
      </c>
      <c r="I373" s="210"/>
      <c r="J373" s="210"/>
    </row>
    <row r="374" spans="1:10" ht="13.8" x14ac:dyDescent="0.25">
      <c r="A374" s="7" t="s">
        <v>2773</v>
      </c>
      <c r="B374" s="152"/>
      <c r="C374" s="151" t="s">
        <v>3598</v>
      </c>
      <c r="D374" s="152">
        <v>10</v>
      </c>
      <c r="E374" s="152" t="s">
        <v>9</v>
      </c>
      <c r="F374" s="153">
        <v>1500000</v>
      </c>
      <c r="G374" s="153">
        <f>ROUNDDOWN(D374*F374,-3)</f>
        <v>15000000</v>
      </c>
      <c r="H374" s="210" t="b">
        <f t="shared" si="13"/>
        <v>1</v>
      </c>
      <c r="I374" s="210"/>
      <c r="J374" s="210"/>
    </row>
    <row r="375" spans="1:10" ht="13.8" x14ac:dyDescent="0.25">
      <c r="A375" s="7" t="s">
        <v>2774</v>
      </c>
      <c r="B375" s="152"/>
      <c r="C375" s="151" t="s">
        <v>4420</v>
      </c>
      <c r="D375" s="152">
        <v>150</v>
      </c>
      <c r="E375" s="152" t="s">
        <v>10</v>
      </c>
      <c r="F375" s="153">
        <v>70000</v>
      </c>
      <c r="G375" s="153">
        <f>ROUNDDOWN(D375*F375,-3)</f>
        <v>10500000</v>
      </c>
      <c r="H375" s="210" t="b">
        <f t="shared" si="13"/>
        <v>1</v>
      </c>
      <c r="I375" s="210"/>
      <c r="J375" s="210"/>
    </row>
    <row r="376" spans="1:10" ht="13.8" x14ac:dyDescent="0.25">
      <c r="A376" s="7" t="s">
        <v>2775</v>
      </c>
      <c r="B376" s="152"/>
      <c r="C376" s="151" t="s">
        <v>4421</v>
      </c>
      <c r="D376" s="152">
        <v>40</v>
      </c>
      <c r="E376" s="152" t="s">
        <v>176</v>
      </c>
      <c r="F376" s="153">
        <v>350000</v>
      </c>
      <c r="G376" s="153">
        <f>ROUNDDOWN(D376*F376,-3)</f>
        <v>14000000</v>
      </c>
      <c r="H376" s="210" t="b">
        <f t="shared" si="13"/>
        <v>1</v>
      </c>
      <c r="I376" s="210"/>
      <c r="J376" s="210"/>
    </row>
    <row r="377" spans="1:10" ht="13.8" x14ac:dyDescent="0.25">
      <c r="A377" s="7" t="s">
        <v>2776</v>
      </c>
      <c r="B377" s="60">
        <v>521811</v>
      </c>
      <c r="C377" s="41" t="s">
        <v>64</v>
      </c>
      <c r="D377" s="60"/>
      <c r="E377" s="60"/>
      <c r="F377" s="42"/>
      <c r="G377" s="42">
        <f>SUM(G378:G379)</f>
        <v>25000000</v>
      </c>
      <c r="H377" s="210" t="b">
        <f t="shared" si="13"/>
        <v>1</v>
      </c>
      <c r="I377" s="210"/>
      <c r="J377" s="210"/>
    </row>
    <row r="378" spans="1:10" ht="13.8" x14ac:dyDescent="0.25">
      <c r="A378" s="7" t="s">
        <v>2777</v>
      </c>
      <c r="B378" s="152"/>
      <c r="C378" s="151" t="s">
        <v>3625</v>
      </c>
      <c r="D378" s="152">
        <v>10</v>
      </c>
      <c r="E378" s="152" t="s">
        <v>106</v>
      </c>
      <c r="F378" s="153">
        <v>1000000</v>
      </c>
      <c r="G378" s="153">
        <f>ROUNDDOWN(D378*F378,-3)</f>
        <v>10000000</v>
      </c>
      <c r="H378" s="210" t="b">
        <f t="shared" si="13"/>
        <v>1</v>
      </c>
      <c r="I378" s="210"/>
      <c r="J378" s="210"/>
    </row>
    <row r="379" spans="1:10" ht="13.8" x14ac:dyDescent="0.25">
      <c r="A379" s="7" t="s">
        <v>2778</v>
      </c>
      <c r="B379" s="152"/>
      <c r="C379" s="151" t="s">
        <v>3626</v>
      </c>
      <c r="D379" s="152">
        <v>10</v>
      </c>
      <c r="E379" s="152" t="s">
        <v>106</v>
      </c>
      <c r="F379" s="153">
        <v>1500000</v>
      </c>
      <c r="G379" s="153">
        <f>ROUNDDOWN(D379*F379,-3)</f>
        <v>15000000</v>
      </c>
      <c r="H379" s="210" t="b">
        <f t="shared" si="13"/>
        <v>1</v>
      </c>
      <c r="I379" s="210"/>
      <c r="J379" s="210"/>
    </row>
    <row r="380" spans="1:10" ht="13.8" x14ac:dyDescent="0.25">
      <c r="A380" s="7" t="s">
        <v>2779</v>
      </c>
      <c r="B380" s="60">
        <v>522151</v>
      </c>
      <c r="C380" s="41" t="s">
        <v>11</v>
      </c>
      <c r="D380" s="60"/>
      <c r="E380" s="60"/>
      <c r="F380" s="42"/>
      <c r="G380" s="42">
        <f>G381</f>
        <v>10000000</v>
      </c>
      <c r="H380" s="210" t="b">
        <f t="shared" si="13"/>
        <v>1</v>
      </c>
      <c r="I380" s="210"/>
      <c r="J380" s="210"/>
    </row>
    <row r="381" spans="1:10" ht="13.8" x14ac:dyDescent="0.25">
      <c r="A381" s="7" t="s">
        <v>2780</v>
      </c>
      <c r="B381" s="152"/>
      <c r="C381" s="151" t="s">
        <v>3715</v>
      </c>
      <c r="D381" s="152">
        <v>10</v>
      </c>
      <c r="E381" s="152" t="s">
        <v>54</v>
      </c>
      <c r="F381" s="153">
        <v>1000000</v>
      </c>
      <c r="G381" s="153">
        <f>ROUNDDOWN(D381*F381,-3)</f>
        <v>10000000</v>
      </c>
      <c r="H381" s="210" t="b">
        <f t="shared" si="13"/>
        <v>1</v>
      </c>
      <c r="I381" s="210"/>
      <c r="J381" s="210"/>
    </row>
    <row r="382" spans="1:10" ht="13.8" x14ac:dyDescent="0.25">
      <c r="A382" s="7" t="s">
        <v>2781</v>
      </c>
      <c r="B382" s="60">
        <v>524111</v>
      </c>
      <c r="C382" s="41" t="s">
        <v>19</v>
      </c>
      <c r="D382" s="60"/>
      <c r="E382" s="60"/>
      <c r="F382" s="42"/>
      <c r="G382" s="42">
        <f>G383</f>
        <v>93600000</v>
      </c>
      <c r="H382" s="210" t="b">
        <f t="shared" si="13"/>
        <v>1</v>
      </c>
      <c r="I382" s="210"/>
      <c r="J382" s="210"/>
    </row>
    <row r="383" spans="1:10" ht="26.4" x14ac:dyDescent="0.25">
      <c r="A383" s="7" t="s">
        <v>2782</v>
      </c>
      <c r="B383" s="152"/>
      <c r="C383" s="151" t="s">
        <v>4424</v>
      </c>
      <c r="D383" s="152">
        <v>18</v>
      </c>
      <c r="E383" s="152" t="s">
        <v>10</v>
      </c>
      <c r="F383" s="153">
        <v>5200000</v>
      </c>
      <c r="G383" s="153">
        <f>ROUNDDOWN(D383*F383,-3)</f>
        <v>93600000</v>
      </c>
      <c r="H383" s="210" t="b">
        <f t="shared" si="13"/>
        <v>1</v>
      </c>
      <c r="I383" s="210"/>
      <c r="J383" s="210"/>
    </row>
    <row r="384" spans="1:10" ht="13.8" x14ac:dyDescent="0.25">
      <c r="A384" s="7" t="s">
        <v>2784</v>
      </c>
      <c r="B384" s="138" t="s">
        <v>4425</v>
      </c>
      <c r="C384" s="137" t="s">
        <v>2786</v>
      </c>
      <c r="D384" s="138">
        <v>2</v>
      </c>
      <c r="E384" s="138" t="s">
        <v>4315</v>
      </c>
      <c r="F384" s="139"/>
      <c r="G384" s="139">
        <f>SUM(G385,G414)</f>
        <v>633732000</v>
      </c>
      <c r="H384" s="210" t="b">
        <f t="shared" si="13"/>
        <v>1</v>
      </c>
      <c r="I384" s="210"/>
      <c r="J384" s="210"/>
    </row>
    <row r="385" spans="1:10" ht="26.4" x14ac:dyDescent="0.25">
      <c r="A385" s="7" t="s">
        <v>3052</v>
      </c>
      <c r="B385" s="58">
        <v>301</v>
      </c>
      <c r="C385" s="35" t="s">
        <v>3053</v>
      </c>
      <c r="D385" s="58"/>
      <c r="E385" s="58"/>
      <c r="F385" s="36"/>
      <c r="G385" s="36">
        <f>SUM(G386,G397)</f>
        <v>507200000</v>
      </c>
      <c r="H385" s="210" t="b">
        <f t="shared" si="13"/>
        <v>1</v>
      </c>
      <c r="I385" s="210"/>
      <c r="J385" s="210"/>
    </row>
    <row r="386" spans="1:10" ht="13.8" x14ac:dyDescent="0.25">
      <c r="A386" s="7" t="s">
        <v>3054</v>
      </c>
      <c r="B386" s="59" t="s">
        <v>8</v>
      </c>
      <c r="C386" s="38" t="s">
        <v>174</v>
      </c>
      <c r="D386" s="59"/>
      <c r="E386" s="59"/>
      <c r="F386" s="39"/>
      <c r="G386" s="39">
        <f>SUM(G387,G393,G395)</f>
        <v>295200000</v>
      </c>
      <c r="H386" s="210" t="b">
        <f t="shared" si="13"/>
        <v>1</v>
      </c>
      <c r="I386" s="210"/>
      <c r="J386" s="210"/>
    </row>
    <row r="387" spans="1:10" ht="13.8" x14ac:dyDescent="0.25">
      <c r="A387" s="7" t="s">
        <v>3055</v>
      </c>
      <c r="B387" s="60">
        <v>521211</v>
      </c>
      <c r="C387" s="41" t="s">
        <v>7</v>
      </c>
      <c r="D387" s="60"/>
      <c r="E387" s="60"/>
      <c r="F387" s="42"/>
      <c r="G387" s="42">
        <f>SUM(G388:G392)</f>
        <v>46000000</v>
      </c>
      <c r="H387" s="210" t="b">
        <f t="shared" si="13"/>
        <v>1</v>
      </c>
      <c r="I387" s="210"/>
      <c r="J387" s="210"/>
    </row>
    <row r="388" spans="1:10" ht="13.8" x14ac:dyDescent="0.25">
      <c r="A388" s="7" t="s">
        <v>3056</v>
      </c>
      <c r="B388" s="152"/>
      <c r="C388" s="151" t="s">
        <v>3598</v>
      </c>
      <c r="D388" s="152">
        <v>5</v>
      </c>
      <c r="E388" s="152" t="s">
        <v>9</v>
      </c>
      <c r="F388" s="153">
        <v>1500000</v>
      </c>
      <c r="G388" s="153">
        <f>ROUNDDOWN(D388*F388,-3)</f>
        <v>7500000</v>
      </c>
      <c r="H388" s="210" t="b">
        <f t="shared" si="13"/>
        <v>1</v>
      </c>
      <c r="I388" s="210"/>
      <c r="J388" s="210"/>
    </row>
    <row r="389" spans="1:10" ht="13.8" x14ac:dyDescent="0.25">
      <c r="A389" s="7" t="s">
        <v>3057</v>
      </c>
      <c r="B389" s="152"/>
      <c r="C389" s="151" t="s">
        <v>4420</v>
      </c>
      <c r="D389" s="152">
        <v>280</v>
      </c>
      <c r="E389" s="152" t="s">
        <v>10</v>
      </c>
      <c r="F389" s="153">
        <v>75000</v>
      </c>
      <c r="G389" s="153">
        <f>ROUNDDOWN(D389*F389,-3)</f>
        <v>21000000</v>
      </c>
      <c r="H389" s="210" t="b">
        <f t="shared" si="13"/>
        <v>1</v>
      </c>
      <c r="I389" s="210"/>
      <c r="J389" s="210"/>
    </row>
    <row r="390" spans="1:10" ht="13.8" x14ac:dyDescent="0.25">
      <c r="A390" s="7" t="s">
        <v>3058</v>
      </c>
      <c r="B390" s="152"/>
      <c r="C390" s="151" t="s">
        <v>4421</v>
      </c>
      <c r="D390" s="152">
        <v>30</v>
      </c>
      <c r="E390" s="152" t="s">
        <v>176</v>
      </c>
      <c r="F390" s="153">
        <v>250000</v>
      </c>
      <c r="G390" s="153">
        <f>ROUNDDOWN(D390*F390,-3)</f>
        <v>7500000</v>
      </c>
      <c r="H390" s="210" t="b">
        <f t="shared" si="13"/>
        <v>1</v>
      </c>
      <c r="I390" s="210"/>
      <c r="J390" s="210"/>
    </row>
    <row r="391" spans="1:10" ht="13.8" x14ac:dyDescent="0.25">
      <c r="A391" s="7" t="s">
        <v>3059</v>
      </c>
      <c r="B391" s="152"/>
      <c r="C391" s="151" t="s">
        <v>3610</v>
      </c>
      <c r="D391" s="152">
        <v>4</v>
      </c>
      <c r="E391" s="152" t="s">
        <v>106</v>
      </c>
      <c r="F391" s="153">
        <v>1000000</v>
      </c>
      <c r="G391" s="153">
        <f>ROUNDDOWN(D391*F391,-3)</f>
        <v>4000000</v>
      </c>
      <c r="H391" s="210" t="b">
        <f t="shared" si="13"/>
        <v>1</v>
      </c>
      <c r="I391" s="210"/>
      <c r="J391" s="210"/>
    </row>
    <row r="392" spans="1:10" ht="13.8" x14ac:dyDescent="0.25">
      <c r="A392" s="7" t="s">
        <v>3060</v>
      </c>
      <c r="B392" s="152"/>
      <c r="C392" s="151" t="s">
        <v>3611</v>
      </c>
      <c r="D392" s="152">
        <v>4</v>
      </c>
      <c r="E392" s="152" t="s">
        <v>106</v>
      </c>
      <c r="F392" s="153">
        <v>1500000</v>
      </c>
      <c r="G392" s="153">
        <f>ROUNDDOWN(D392*F392,-3)</f>
        <v>6000000</v>
      </c>
      <c r="H392" s="210" t="b">
        <f t="shared" si="13"/>
        <v>1</v>
      </c>
      <c r="I392" s="210"/>
      <c r="J392" s="210"/>
    </row>
    <row r="393" spans="1:10" ht="13.8" x14ac:dyDescent="0.25">
      <c r="A393" s="7" t="s">
        <v>3061</v>
      </c>
      <c r="B393" s="60">
        <v>521219</v>
      </c>
      <c r="C393" s="41" t="s">
        <v>53</v>
      </c>
      <c r="D393" s="60"/>
      <c r="E393" s="60"/>
      <c r="F393" s="42"/>
      <c r="G393" s="42">
        <f>G394</f>
        <v>2000000</v>
      </c>
      <c r="H393" s="210" t="b">
        <f t="shared" si="13"/>
        <v>1</v>
      </c>
      <c r="I393" s="210"/>
      <c r="J393" s="210"/>
    </row>
    <row r="394" spans="1:10" ht="26.4" x14ac:dyDescent="0.25">
      <c r="A394" s="7" t="s">
        <v>3062</v>
      </c>
      <c r="B394" s="152"/>
      <c r="C394" s="151" t="s">
        <v>4508</v>
      </c>
      <c r="D394" s="152">
        <v>1</v>
      </c>
      <c r="E394" s="152" t="s">
        <v>153</v>
      </c>
      <c r="F394" s="153">
        <v>2000000</v>
      </c>
      <c r="G394" s="153">
        <f>ROUNDDOWN(D394*F394,-3)</f>
        <v>2000000</v>
      </c>
      <c r="H394" s="210" t="b">
        <f t="shared" si="13"/>
        <v>1</v>
      </c>
      <c r="I394" s="210"/>
      <c r="J394" s="210"/>
    </row>
    <row r="395" spans="1:10" ht="13.8" x14ac:dyDescent="0.25">
      <c r="A395" s="7" t="s">
        <v>3064</v>
      </c>
      <c r="B395" s="60">
        <v>524111</v>
      </c>
      <c r="C395" s="41" t="s">
        <v>19</v>
      </c>
      <c r="D395" s="60"/>
      <c r="E395" s="60"/>
      <c r="F395" s="42"/>
      <c r="G395" s="42">
        <f>G396</f>
        <v>247200000</v>
      </c>
      <c r="H395" s="210" t="b">
        <f t="shared" si="13"/>
        <v>1</v>
      </c>
      <c r="I395" s="210"/>
      <c r="J395" s="210"/>
    </row>
    <row r="396" spans="1:10" ht="13.8" x14ac:dyDescent="0.25">
      <c r="A396" s="7" t="s">
        <v>3065</v>
      </c>
      <c r="B396" s="152"/>
      <c r="C396" s="151" t="s">
        <v>4509</v>
      </c>
      <c r="D396" s="152">
        <v>40</v>
      </c>
      <c r="E396" s="152" t="s">
        <v>10</v>
      </c>
      <c r="F396" s="153">
        <v>6180000</v>
      </c>
      <c r="G396" s="153">
        <f>ROUNDDOWN(D396*F396,-3)</f>
        <v>247200000</v>
      </c>
      <c r="H396" s="210" t="b">
        <f t="shared" si="13"/>
        <v>1</v>
      </c>
      <c r="I396" s="210"/>
      <c r="J396" s="210"/>
    </row>
    <row r="397" spans="1:10" ht="13.8" x14ac:dyDescent="0.25">
      <c r="A397" s="7" t="s">
        <v>3067</v>
      </c>
      <c r="B397" s="59" t="s">
        <v>511</v>
      </c>
      <c r="C397" s="38" t="s">
        <v>175</v>
      </c>
      <c r="D397" s="59"/>
      <c r="E397" s="59"/>
      <c r="F397" s="39"/>
      <c r="G397" s="39">
        <f>SUM(G398,G405,G408,G410,G412)</f>
        <v>212000000</v>
      </c>
      <c r="H397" s="210" t="b">
        <f t="shared" si="13"/>
        <v>1</v>
      </c>
      <c r="I397" s="210"/>
      <c r="J397" s="210"/>
    </row>
    <row r="398" spans="1:10" ht="13.8" x14ac:dyDescent="0.25">
      <c r="A398" s="7" t="s">
        <v>3068</v>
      </c>
      <c r="B398" s="60">
        <v>521211</v>
      </c>
      <c r="C398" s="41" t="s">
        <v>7</v>
      </c>
      <c r="D398" s="60"/>
      <c r="E398" s="60"/>
      <c r="F398" s="42"/>
      <c r="G398" s="42">
        <f>SUM(G399:G404)</f>
        <v>41000000</v>
      </c>
      <c r="H398" s="210" t="b">
        <f t="shared" si="13"/>
        <v>1</v>
      </c>
      <c r="I398" s="210"/>
      <c r="J398" s="210"/>
    </row>
    <row r="399" spans="1:10" ht="13.8" x14ac:dyDescent="0.25">
      <c r="A399" s="7" t="s">
        <v>3069</v>
      </c>
      <c r="B399" s="152"/>
      <c r="C399" s="151" t="s">
        <v>3598</v>
      </c>
      <c r="D399" s="152">
        <v>4</v>
      </c>
      <c r="E399" s="152" t="s">
        <v>9</v>
      </c>
      <c r="F399" s="153">
        <v>1500000</v>
      </c>
      <c r="G399" s="153">
        <f t="shared" ref="G399:G404" si="14">ROUNDDOWN(D399*F399,-3)</f>
        <v>6000000</v>
      </c>
      <c r="H399" s="210" t="b">
        <f t="shared" si="13"/>
        <v>1</v>
      </c>
      <c r="I399" s="210"/>
      <c r="J399" s="210"/>
    </row>
    <row r="400" spans="1:10" ht="13.8" x14ac:dyDescent="0.25">
      <c r="A400" s="7" t="s">
        <v>3070</v>
      </c>
      <c r="B400" s="152"/>
      <c r="C400" s="151" t="s">
        <v>4420</v>
      </c>
      <c r="D400" s="152">
        <v>180</v>
      </c>
      <c r="E400" s="152" t="s">
        <v>10</v>
      </c>
      <c r="F400" s="153">
        <v>75000</v>
      </c>
      <c r="G400" s="153">
        <f t="shared" si="14"/>
        <v>13500000</v>
      </c>
      <c r="H400" s="210" t="b">
        <f t="shared" si="13"/>
        <v>1</v>
      </c>
      <c r="I400" s="210"/>
      <c r="J400" s="210"/>
    </row>
    <row r="401" spans="1:10" ht="13.8" x14ac:dyDescent="0.25">
      <c r="A401" s="7" t="s">
        <v>3071</v>
      </c>
      <c r="B401" s="152"/>
      <c r="C401" s="151" t="s">
        <v>4510</v>
      </c>
      <c r="D401" s="152">
        <v>15</v>
      </c>
      <c r="E401" s="152" t="s">
        <v>176</v>
      </c>
      <c r="F401" s="153">
        <v>500000</v>
      </c>
      <c r="G401" s="153">
        <f t="shared" si="14"/>
        <v>7500000</v>
      </c>
      <c r="H401" s="210" t="b">
        <f t="shared" si="13"/>
        <v>1</v>
      </c>
      <c r="I401" s="210"/>
      <c r="J401" s="210"/>
    </row>
    <row r="402" spans="1:10" ht="13.8" x14ac:dyDescent="0.25">
      <c r="A402" s="7" t="s">
        <v>3073</v>
      </c>
      <c r="B402" s="152"/>
      <c r="C402" s="151" t="s">
        <v>3610</v>
      </c>
      <c r="D402" s="152">
        <v>4</v>
      </c>
      <c r="E402" s="152" t="s">
        <v>106</v>
      </c>
      <c r="F402" s="153">
        <v>1000000</v>
      </c>
      <c r="G402" s="153">
        <f t="shared" si="14"/>
        <v>4000000</v>
      </c>
      <c r="H402" s="210" t="b">
        <f t="shared" si="13"/>
        <v>1</v>
      </c>
      <c r="I402" s="210"/>
      <c r="J402" s="210"/>
    </row>
    <row r="403" spans="1:10" ht="13.8" x14ac:dyDescent="0.25">
      <c r="A403" s="7" t="s">
        <v>3074</v>
      </c>
      <c r="B403" s="152"/>
      <c r="C403" s="151" t="s">
        <v>3611</v>
      </c>
      <c r="D403" s="152">
        <v>4</v>
      </c>
      <c r="E403" s="152" t="s">
        <v>106</v>
      </c>
      <c r="F403" s="153">
        <v>1500000</v>
      </c>
      <c r="G403" s="153">
        <f t="shared" si="14"/>
        <v>6000000</v>
      </c>
      <c r="H403" s="210" t="b">
        <f t="shared" si="13"/>
        <v>1</v>
      </c>
      <c r="I403" s="210"/>
      <c r="J403" s="210"/>
    </row>
    <row r="404" spans="1:10" ht="13.8" x14ac:dyDescent="0.25">
      <c r="A404" s="7" t="s">
        <v>3075</v>
      </c>
      <c r="B404" s="152"/>
      <c r="C404" s="151" t="s">
        <v>4511</v>
      </c>
      <c r="D404" s="152">
        <v>8</v>
      </c>
      <c r="E404" s="152" t="s">
        <v>58</v>
      </c>
      <c r="F404" s="153">
        <v>500000</v>
      </c>
      <c r="G404" s="153">
        <f t="shared" si="14"/>
        <v>4000000</v>
      </c>
      <c r="H404" s="210" t="b">
        <f t="shared" si="13"/>
        <v>1</v>
      </c>
      <c r="I404" s="210"/>
      <c r="J404" s="210"/>
    </row>
    <row r="405" spans="1:10" ht="13.8" x14ac:dyDescent="0.25">
      <c r="A405" s="7" t="s">
        <v>3077</v>
      </c>
      <c r="B405" s="60">
        <v>521219</v>
      </c>
      <c r="C405" s="41" t="s">
        <v>53</v>
      </c>
      <c r="D405" s="60"/>
      <c r="E405" s="60"/>
      <c r="F405" s="42"/>
      <c r="G405" s="42">
        <f>SUM(G406:G407)</f>
        <v>32000000</v>
      </c>
      <c r="H405" s="210" t="b">
        <f t="shared" si="13"/>
        <v>1</v>
      </c>
      <c r="I405" s="210"/>
      <c r="J405" s="210"/>
    </row>
    <row r="406" spans="1:10" ht="26.4" x14ac:dyDescent="0.25">
      <c r="A406" s="7" t="s">
        <v>3078</v>
      </c>
      <c r="B406" s="152"/>
      <c r="C406" s="151" t="s">
        <v>4512</v>
      </c>
      <c r="D406" s="152">
        <v>2</v>
      </c>
      <c r="E406" s="152" t="s">
        <v>177</v>
      </c>
      <c r="F406" s="153">
        <v>15000000</v>
      </c>
      <c r="G406" s="153">
        <f>ROUNDDOWN(D406*F406,-3)</f>
        <v>30000000</v>
      </c>
      <c r="H406" s="210" t="b">
        <f t="shared" si="13"/>
        <v>1</v>
      </c>
      <c r="I406" s="210"/>
      <c r="J406" s="210"/>
    </row>
    <row r="407" spans="1:10" ht="26.4" x14ac:dyDescent="0.25">
      <c r="A407" s="7" t="s">
        <v>3080</v>
      </c>
      <c r="B407" s="152"/>
      <c r="C407" s="151" t="s">
        <v>4513</v>
      </c>
      <c r="D407" s="152">
        <v>1</v>
      </c>
      <c r="E407" s="152" t="s">
        <v>60</v>
      </c>
      <c r="F407" s="153">
        <v>2000000</v>
      </c>
      <c r="G407" s="153">
        <f>ROUNDDOWN(D407*F407,-3)</f>
        <v>2000000</v>
      </c>
      <c r="H407" s="210" t="b">
        <f t="shared" si="13"/>
        <v>1</v>
      </c>
      <c r="I407" s="210"/>
      <c r="J407" s="210"/>
    </row>
    <row r="408" spans="1:10" ht="13.8" x14ac:dyDescent="0.25">
      <c r="A408" s="7" t="s">
        <v>3082</v>
      </c>
      <c r="B408" s="60">
        <v>522151</v>
      </c>
      <c r="C408" s="41" t="s">
        <v>11</v>
      </c>
      <c r="D408" s="60"/>
      <c r="E408" s="60"/>
      <c r="F408" s="42"/>
      <c r="G408" s="42">
        <f>G409</f>
        <v>10000000</v>
      </c>
      <c r="H408" s="210" t="b">
        <f t="shared" si="13"/>
        <v>1</v>
      </c>
      <c r="I408" s="210"/>
      <c r="J408" s="210"/>
    </row>
    <row r="409" spans="1:10" ht="13.8" x14ac:dyDescent="0.25">
      <c r="A409" s="7" t="s">
        <v>3083</v>
      </c>
      <c r="B409" s="152"/>
      <c r="C409" s="151" t="s">
        <v>3715</v>
      </c>
      <c r="D409" s="152">
        <v>10</v>
      </c>
      <c r="E409" s="152" t="s">
        <v>54</v>
      </c>
      <c r="F409" s="153">
        <v>1000000</v>
      </c>
      <c r="G409" s="153">
        <f>ROUNDDOWN(D409*F409,-3)</f>
        <v>10000000</v>
      </c>
      <c r="H409" s="210" t="b">
        <f t="shared" si="13"/>
        <v>1</v>
      </c>
      <c r="I409" s="210"/>
      <c r="J409" s="210"/>
    </row>
    <row r="410" spans="1:10" ht="13.8" x14ac:dyDescent="0.25">
      <c r="A410" s="7" t="s">
        <v>3084</v>
      </c>
      <c r="B410" s="60">
        <v>524111</v>
      </c>
      <c r="C410" s="41" t="s">
        <v>19</v>
      </c>
      <c r="D410" s="60"/>
      <c r="E410" s="60"/>
      <c r="F410" s="42"/>
      <c r="G410" s="42">
        <f>G411</f>
        <v>120000000</v>
      </c>
      <c r="H410" s="210" t="b">
        <f t="shared" si="13"/>
        <v>1</v>
      </c>
      <c r="I410" s="210"/>
      <c r="J410" s="210"/>
    </row>
    <row r="411" spans="1:10" ht="13.8" x14ac:dyDescent="0.25">
      <c r="A411" s="7" t="s">
        <v>3085</v>
      </c>
      <c r="B411" s="152"/>
      <c r="C411" s="151" t="s">
        <v>4514</v>
      </c>
      <c r="D411" s="152">
        <v>30</v>
      </c>
      <c r="E411" s="152" t="s">
        <v>10</v>
      </c>
      <c r="F411" s="153">
        <v>4000000</v>
      </c>
      <c r="G411" s="153">
        <f>ROUNDDOWN(D411*F411,-3)</f>
        <v>120000000</v>
      </c>
      <c r="H411" s="210" t="b">
        <f t="shared" si="13"/>
        <v>1</v>
      </c>
      <c r="I411" s="210"/>
      <c r="J411" s="210"/>
    </row>
    <row r="412" spans="1:10" ht="13.8" x14ac:dyDescent="0.25">
      <c r="A412" s="7" t="s">
        <v>3087</v>
      </c>
      <c r="B412" s="60">
        <v>524113</v>
      </c>
      <c r="C412" s="41" t="s">
        <v>13</v>
      </c>
      <c r="D412" s="60"/>
      <c r="E412" s="60"/>
      <c r="F412" s="42"/>
      <c r="G412" s="42">
        <f>G413</f>
        <v>9000000</v>
      </c>
      <c r="H412" s="210" t="b">
        <f t="shared" si="13"/>
        <v>1</v>
      </c>
      <c r="I412" s="210"/>
      <c r="J412" s="210"/>
    </row>
    <row r="413" spans="1:10" ht="13.8" x14ac:dyDescent="0.25">
      <c r="A413" s="7" t="s">
        <v>3088</v>
      </c>
      <c r="B413" s="152"/>
      <c r="C413" s="151" t="s">
        <v>3613</v>
      </c>
      <c r="D413" s="152">
        <v>60</v>
      </c>
      <c r="E413" s="152" t="s">
        <v>25</v>
      </c>
      <c r="F413" s="153">
        <v>150000</v>
      </c>
      <c r="G413" s="153">
        <f>ROUNDDOWN(D413*F413,-3)</f>
        <v>9000000</v>
      </c>
      <c r="H413" s="210" t="b">
        <f t="shared" si="13"/>
        <v>1</v>
      </c>
      <c r="I413" s="210"/>
      <c r="J413" s="210"/>
    </row>
    <row r="414" spans="1:10" ht="26.4" x14ac:dyDescent="0.25">
      <c r="A414" s="7" t="s">
        <v>3089</v>
      </c>
      <c r="B414" s="58">
        <v>302</v>
      </c>
      <c r="C414" s="35" t="s">
        <v>3091</v>
      </c>
      <c r="D414" s="58"/>
      <c r="E414" s="58"/>
      <c r="F414" s="36"/>
      <c r="G414" s="36">
        <f>G415</f>
        <v>126532000</v>
      </c>
      <c r="H414" s="210" t="b">
        <f t="shared" si="13"/>
        <v>1</v>
      </c>
      <c r="I414" s="210"/>
      <c r="J414" s="210"/>
    </row>
    <row r="415" spans="1:10" ht="13.8" x14ac:dyDescent="0.25">
      <c r="A415" s="7" t="s">
        <v>3092</v>
      </c>
      <c r="B415" s="59" t="s">
        <v>8</v>
      </c>
      <c r="C415" s="38" t="s">
        <v>178</v>
      </c>
      <c r="D415" s="59"/>
      <c r="E415" s="59"/>
      <c r="F415" s="39"/>
      <c r="G415" s="39">
        <f>SUM(G416,G422,G424)</f>
        <v>126532000</v>
      </c>
      <c r="H415" s="210" t="b">
        <f t="shared" si="13"/>
        <v>1</v>
      </c>
      <c r="I415" s="210"/>
      <c r="J415" s="210"/>
    </row>
    <row r="416" spans="1:10" ht="13.8" x14ac:dyDescent="0.25">
      <c r="A416" s="7" t="s">
        <v>3093</v>
      </c>
      <c r="B416" s="60">
        <v>521211</v>
      </c>
      <c r="C416" s="41" t="s">
        <v>7</v>
      </c>
      <c r="D416" s="60"/>
      <c r="E416" s="60"/>
      <c r="F416" s="42"/>
      <c r="G416" s="42">
        <f>SUM(G417:G421)</f>
        <v>35500000</v>
      </c>
      <c r="H416" s="210" t="b">
        <f t="shared" si="13"/>
        <v>1</v>
      </c>
      <c r="I416" s="210"/>
      <c r="J416" s="210"/>
    </row>
    <row r="417" spans="1:10" ht="13.8" x14ac:dyDescent="0.25">
      <c r="A417" s="7" t="s">
        <v>3094</v>
      </c>
      <c r="B417" s="152"/>
      <c r="C417" s="151" t="s">
        <v>3598</v>
      </c>
      <c r="D417" s="152">
        <v>4</v>
      </c>
      <c r="E417" s="152" t="s">
        <v>9</v>
      </c>
      <c r="F417" s="153">
        <v>1500000</v>
      </c>
      <c r="G417" s="153">
        <f>ROUNDDOWN(D417*F417,-3)</f>
        <v>6000000</v>
      </c>
      <c r="H417" s="210" t="b">
        <f t="shared" si="13"/>
        <v>1</v>
      </c>
      <c r="I417" s="210"/>
      <c r="J417" s="210"/>
    </row>
    <row r="418" spans="1:10" ht="13.8" x14ac:dyDescent="0.25">
      <c r="A418" s="7" t="s">
        <v>3095</v>
      </c>
      <c r="B418" s="152"/>
      <c r="C418" s="151" t="s">
        <v>4420</v>
      </c>
      <c r="D418" s="152">
        <v>180</v>
      </c>
      <c r="E418" s="152" t="s">
        <v>10</v>
      </c>
      <c r="F418" s="153">
        <v>75000</v>
      </c>
      <c r="G418" s="153">
        <f>ROUNDDOWN(D418*F418,-3)</f>
        <v>13500000</v>
      </c>
      <c r="H418" s="210" t="b">
        <f t="shared" si="13"/>
        <v>1</v>
      </c>
      <c r="I418" s="210"/>
      <c r="J418" s="210"/>
    </row>
    <row r="419" spans="1:10" ht="13.8" x14ac:dyDescent="0.25">
      <c r="A419" s="7" t="s">
        <v>3096</v>
      </c>
      <c r="B419" s="152"/>
      <c r="C419" s="151" t="s">
        <v>3600</v>
      </c>
      <c r="D419" s="152">
        <v>4</v>
      </c>
      <c r="E419" s="152" t="s">
        <v>106</v>
      </c>
      <c r="F419" s="153">
        <v>1000000</v>
      </c>
      <c r="G419" s="153">
        <f>ROUNDDOWN(D419*F419,-3)</f>
        <v>4000000</v>
      </c>
      <c r="H419" s="210" t="b">
        <f t="shared" ref="H419:H482" si="15">_xlfn.ISFORMULA(G419)</f>
        <v>1</v>
      </c>
      <c r="I419" s="210"/>
      <c r="J419" s="210"/>
    </row>
    <row r="420" spans="1:10" ht="13.8" x14ac:dyDescent="0.25">
      <c r="A420" s="7" t="s">
        <v>3097</v>
      </c>
      <c r="B420" s="152"/>
      <c r="C420" s="151" t="s">
        <v>3601</v>
      </c>
      <c r="D420" s="152">
        <v>4</v>
      </c>
      <c r="E420" s="152" t="s">
        <v>106</v>
      </c>
      <c r="F420" s="153">
        <v>1500000</v>
      </c>
      <c r="G420" s="153">
        <f>ROUNDDOWN(D420*F420,-3)</f>
        <v>6000000</v>
      </c>
      <c r="H420" s="210" t="b">
        <f t="shared" si="15"/>
        <v>1</v>
      </c>
      <c r="I420" s="210"/>
      <c r="J420" s="210"/>
    </row>
    <row r="421" spans="1:10" ht="13.8" x14ac:dyDescent="0.25">
      <c r="A421" s="7" t="s">
        <v>3098</v>
      </c>
      <c r="B421" s="152"/>
      <c r="C421" s="151" t="s">
        <v>4515</v>
      </c>
      <c r="D421" s="152">
        <v>12</v>
      </c>
      <c r="E421" s="152" t="s">
        <v>176</v>
      </c>
      <c r="F421" s="153">
        <v>500000</v>
      </c>
      <c r="G421" s="153">
        <f>ROUNDDOWN(D421*F421,-3)</f>
        <v>6000000</v>
      </c>
      <c r="H421" s="210" t="b">
        <f t="shared" si="15"/>
        <v>1</v>
      </c>
      <c r="I421" s="210"/>
      <c r="J421" s="210"/>
    </row>
    <row r="422" spans="1:10" ht="13.8" x14ac:dyDescent="0.25">
      <c r="A422" s="7" t="s">
        <v>3100</v>
      </c>
      <c r="B422" s="60">
        <v>521219</v>
      </c>
      <c r="C422" s="41" t="s">
        <v>53</v>
      </c>
      <c r="D422" s="60"/>
      <c r="E422" s="60"/>
      <c r="F422" s="42"/>
      <c r="G422" s="42">
        <f>G423</f>
        <v>2000000</v>
      </c>
      <c r="H422" s="210" t="b">
        <f t="shared" si="15"/>
        <v>1</v>
      </c>
      <c r="I422" s="210"/>
      <c r="J422" s="210"/>
    </row>
    <row r="423" spans="1:10" ht="26.4" x14ac:dyDescent="0.25">
      <c r="A423" s="7" t="s">
        <v>3101</v>
      </c>
      <c r="B423" s="152"/>
      <c r="C423" s="151" t="s">
        <v>4508</v>
      </c>
      <c r="D423" s="152">
        <v>1</v>
      </c>
      <c r="E423" s="152" t="s">
        <v>153</v>
      </c>
      <c r="F423" s="153">
        <v>2000000</v>
      </c>
      <c r="G423" s="153">
        <f>ROUNDDOWN(D423*F423,-3)</f>
        <v>2000000</v>
      </c>
      <c r="H423" s="210" t="b">
        <f t="shared" si="15"/>
        <v>1</v>
      </c>
      <c r="I423" s="210"/>
      <c r="J423" s="210"/>
    </row>
    <row r="424" spans="1:10" ht="13.8" x14ac:dyDescent="0.25">
      <c r="A424" s="7" t="s">
        <v>3102</v>
      </c>
      <c r="B424" s="60">
        <v>524111</v>
      </c>
      <c r="C424" s="41" t="s">
        <v>19</v>
      </c>
      <c r="D424" s="60"/>
      <c r="E424" s="60"/>
      <c r="F424" s="42"/>
      <c r="G424" s="42">
        <f>G425</f>
        <v>89032000</v>
      </c>
      <c r="H424" s="210" t="b">
        <f t="shared" si="15"/>
        <v>1</v>
      </c>
      <c r="I424" s="210"/>
      <c r="J424" s="210"/>
    </row>
    <row r="425" spans="1:10" ht="13.8" x14ac:dyDescent="0.25">
      <c r="A425" s="7" t="s">
        <v>3103</v>
      </c>
      <c r="B425" s="152"/>
      <c r="C425" s="151" t="s">
        <v>4514</v>
      </c>
      <c r="D425" s="152">
        <v>22</v>
      </c>
      <c r="E425" s="152" t="s">
        <v>10</v>
      </c>
      <c r="F425" s="153">
        <v>4046950</v>
      </c>
      <c r="G425" s="153">
        <f>ROUNDDOWN(D425*F425,-3)</f>
        <v>89032000</v>
      </c>
      <c r="H425" s="210" t="b">
        <f t="shared" si="15"/>
        <v>1</v>
      </c>
      <c r="I425" s="210"/>
      <c r="J425" s="210"/>
    </row>
    <row r="426" spans="1:10" ht="13.8" x14ac:dyDescent="0.25">
      <c r="A426" s="7" t="s">
        <v>3104</v>
      </c>
      <c r="B426" s="138" t="s">
        <v>4516</v>
      </c>
      <c r="C426" s="137" t="s">
        <v>3106</v>
      </c>
      <c r="D426" s="138">
        <v>1</v>
      </c>
      <c r="E426" s="138" t="s">
        <v>4315</v>
      </c>
      <c r="F426" s="139"/>
      <c r="G426" s="139">
        <f>G427</f>
        <v>289920000</v>
      </c>
      <c r="H426" s="210" t="b">
        <f t="shared" si="15"/>
        <v>1</v>
      </c>
      <c r="I426" s="210"/>
      <c r="J426" s="210"/>
    </row>
    <row r="427" spans="1:10" ht="13.8" x14ac:dyDescent="0.25">
      <c r="A427" s="7" t="s">
        <v>3318</v>
      </c>
      <c r="B427" s="58">
        <v>301</v>
      </c>
      <c r="C427" s="35" t="s">
        <v>3319</v>
      </c>
      <c r="D427" s="58"/>
      <c r="E427" s="58"/>
      <c r="F427" s="36"/>
      <c r="G427" s="36">
        <f>SUM(G428,G438,G447,G455,G468,G476)</f>
        <v>289920000</v>
      </c>
      <c r="H427" s="210" t="b">
        <f t="shared" si="15"/>
        <v>1</v>
      </c>
      <c r="I427" s="210"/>
      <c r="J427" s="210"/>
    </row>
    <row r="428" spans="1:10" ht="13.8" x14ac:dyDescent="0.25">
      <c r="A428" s="7" t="s">
        <v>3320</v>
      </c>
      <c r="B428" s="59" t="s">
        <v>8</v>
      </c>
      <c r="C428" s="38" t="s">
        <v>143</v>
      </c>
      <c r="D428" s="59"/>
      <c r="E428" s="59"/>
      <c r="F428" s="39"/>
      <c r="G428" s="39">
        <f>SUM(G429,G434,G436)</f>
        <v>40700000</v>
      </c>
      <c r="H428" s="210" t="b">
        <f t="shared" si="15"/>
        <v>1</v>
      </c>
      <c r="I428" s="210"/>
      <c r="J428" s="210"/>
    </row>
    <row r="429" spans="1:10" ht="13.8" x14ac:dyDescent="0.25">
      <c r="A429" s="7" t="s">
        <v>3321</v>
      </c>
      <c r="B429" s="60">
        <v>521211</v>
      </c>
      <c r="C429" s="41" t="s">
        <v>7</v>
      </c>
      <c r="D429" s="60"/>
      <c r="E429" s="60"/>
      <c r="F429" s="42"/>
      <c r="G429" s="42">
        <f>SUM(G430:G433)</f>
        <v>23900000</v>
      </c>
      <c r="H429" s="210" t="b">
        <f t="shared" si="15"/>
        <v>1</v>
      </c>
      <c r="I429" s="210"/>
      <c r="J429" s="210"/>
    </row>
    <row r="430" spans="1:10" ht="13.8" x14ac:dyDescent="0.25">
      <c r="A430" s="7" t="s">
        <v>3322</v>
      </c>
      <c r="B430" s="152"/>
      <c r="C430" s="151" t="s">
        <v>3598</v>
      </c>
      <c r="D430" s="152">
        <v>5</v>
      </c>
      <c r="E430" s="152" t="s">
        <v>9</v>
      </c>
      <c r="F430" s="153">
        <v>1500000</v>
      </c>
      <c r="G430" s="153">
        <f>ROUNDDOWN(D430*F430,-3)</f>
        <v>7500000</v>
      </c>
      <c r="H430" s="210" t="b">
        <f t="shared" si="15"/>
        <v>1</v>
      </c>
      <c r="I430" s="210"/>
      <c r="J430" s="210"/>
    </row>
    <row r="431" spans="1:10" ht="13.8" x14ac:dyDescent="0.25">
      <c r="A431" s="7" t="s">
        <v>3323</v>
      </c>
      <c r="B431" s="152"/>
      <c r="C431" s="151" t="s">
        <v>4420</v>
      </c>
      <c r="D431" s="152">
        <v>20</v>
      </c>
      <c r="E431" s="152" t="s">
        <v>10</v>
      </c>
      <c r="F431" s="153">
        <v>70000</v>
      </c>
      <c r="G431" s="153">
        <f>ROUNDDOWN(D431*F431,-3)</f>
        <v>1400000</v>
      </c>
      <c r="H431" s="210" t="b">
        <f t="shared" si="15"/>
        <v>1</v>
      </c>
      <c r="I431" s="210"/>
      <c r="J431" s="210"/>
    </row>
    <row r="432" spans="1:10" ht="13.8" x14ac:dyDescent="0.25">
      <c r="A432" s="7" t="s">
        <v>3324</v>
      </c>
      <c r="B432" s="152"/>
      <c r="C432" s="151" t="s">
        <v>3600</v>
      </c>
      <c r="D432" s="152">
        <v>6</v>
      </c>
      <c r="E432" s="152" t="s">
        <v>106</v>
      </c>
      <c r="F432" s="153">
        <v>1000000</v>
      </c>
      <c r="G432" s="153">
        <f>ROUNDDOWN(D432*F432,-3)</f>
        <v>6000000</v>
      </c>
      <c r="H432" s="210" t="b">
        <f t="shared" si="15"/>
        <v>1</v>
      </c>
      <c r="I432" s="210"/>
      <c r="J432" s="210"/>
    </row>
    <row r="433" spans="1:10" ht="13.8" x14ac:dyDescent="0.25">
      <c r="A433" s="7" t="s">
        <v>3325</v>
      </c>
      <c r="B433" s="152"/>
      <c r="C433" s="151" t="s">
        <v>3601</v>
      </c>
      <c r="D433" s="152">
        <v>6</v>
      </c>
      <c r="E433" s="152" t="s">
        <v>106</v>
      </c>
      <c r="F433" s="153">
        <v>1500000</v>
      </c>
      <c r="G433" s="153">
        <f>ROUNDDOWN(D433*F433,-3)</f>
        <v>9000000</v>
      </c>
      <c r="H433" s="210" t="b">
        <f t="shared" si="15"/>
        <v>1</v>
      </c>
      <c r="I433" s="210"/>
      <c r="J433" s="210"/>
    </row>
    <row r="434" spans="1:10" ht="13.8" x14ac:dyDescent="0.25">
      <c r="A434" s="7" t="s">
        <v>3326</v>
      </c>
      <c r="B434" s="60">
        <v>524111</v>
      </c>
      <c r="C434" s="41" t="s">
        <v>19</v>
      </c>
      <c r="D434" s="60"/>
      <c r="E434" s="60"/>
      <c r="F434" s="42"/>
      <c r="G434" s="42">
        <f>G435</f>
        <v>15000000</v>
      </c>
      <c r="H434" s="210" t="b">
        <f t="shared" si="15"/>
        <v>1</v>
      </c>
      <c r="I434" s="210"/>
      <c r="J434" s="210"/>
    </row>
    <row r="435" spans="1:10" ht="13.8" x14ac:dyDescent="0.25">
      <c r="A435" s="7" t="s">
        <v>3327</v>
      </c>
      <c r="B435" s="152"/>
      <c r="C435" s="151" t="s">
        <v>4582</v>
      </c>
      <c r="D435" s="152">
        <v>5</v>
      </c>
      <c r="E435" s="152" t="s">
        <v>10</v>
      </c>
      <c r="F435" s="153">
        <v>3000000</v>
      </c>
      <c r="G435" s="153">
        <f>ROUNDDOWN(D435*F435,-3)</f>
        <v>15000000</v>
      </c>
      <c r="H435" s="210" t="b">
        <f t="shared" si="15"/>
        <v>1</v>
      </c>
      <c r="I435" s="210"/>
      <c r="J435" s="210"/>
    </row>
    <row r="436" spans="1:10" ht="13.8" x14ac:dyDescent="0.25">
      <c r="A436" s="7" t="s">
        <v>3329</v>
      </c>
      <c r="B436" s="60">
        <v>524113</v>
      </c>
      <c r="C436" s="41" t="s">
        <v>13</v>
      </c>
      <c r="D436" s="60"/>
      <c r="E436" s="60"/>
      <c r="F436" s="42"/>
      <c r="G436" s="42">
        <f>G437</f>
        <v>1800000</v>
      </c>
      <c r="H436" s="210" t="b">
        <f t="shared" si="15"/>
        <v>1</v>
      </c>
      <c r="I436" s="210"/>
      <c r="J436" s="210"/>
    </row>
    <row r="437" spans="1:10" ht="13.8" x14ac:dyDescent="0.25">
      <c r="A437" s="7" t="s">
        <v>3330</v>
      </c>
      <c r="B437" s="152"/>
      <c r="C437" s="151" t="s">
        <v>3603</v>
      </c>
      <c r="D437" s="152">
        <v>12</v>
      </c>
      <c r="E437" s="152" t="s">
        <v>10</v>
      </c>
      <c r="F437" s="153">
        <v>150000</v>
      </c>
      <c r="G437" s="153">
        <f>ROUNDDOWN(D437*F437,-3)</f>
        <v>1800000</v>
      </c>
      <c r="H437" s="210" t="b">
        <f t="shared" si="15"/>
        <v>1</v>
      </c>
      <c r="I437" s="210"/>
      <c r="J437" s="210"/>
    </row>
    <row r="438" spans="1:10" ht="13.8" x14ac:dyDescent="0.25">
      <c r="A438" s="7" t="s">
        <v>3331</v>
      </c>
      <c r="B438" s="59" t="s">
        <v>511</v>
      </c>
      <c r="C438" s="38" t="s">
        <v>144</v>
      </c>
      <c r="D438" s="59"/>
      <c r="E438" s="59"/>
      <c r="F438" s="39"/>
      <c r="G438" s="39">
        <f>SUM(G439,G443,G445)</f>
        <v>30900000</v>
      </c>
      <c r="H438" s="210" t="b">
        <f t="shared" si="15"/>
        <v>1</v>
      </c>
      <c r="I438" s="210"/>
      <c r="J438" s="210"/>
    </row>
    <row r="439" spans="1:10" ht="13.8" x14ac:dyDescent="0.25">
      <c r="A439" s="7" t="s">
        <v>3332</v>
      </c>
      <c r="B439" s="60">
        <v>521211</v>
      </c>
      <c r="C439" s="41" t="s">
        <v>7</v>
      </c>
      <c r="D439" s="60"/>
      <c r="E439" s="60"/>
      <c r="F439" s="42"/>
      <c r="G439" s="42">
        <f>SUM(G440:G442)</f>
        <v>11400000</v>
      </c>
      <c r="H439" s="210" t="b">
        <f t="shared" si="15"/>
        <v>1</v>
      </c>
      <c r="I439" s="210"/>
      <c r="J439" s="210"/>
    </row>
    <row r="440" spans="1:10" ht="13.8" x14ac:dyDescent="0.25">
      <c r="A440" s="7" t="s">
        <v>3333</v>
      </c>
      <c r="B440" s="152"/>
      <c r="C440" s="151" t="s">
        <v>4269</v>
      </c>
      <c r="D440" s="152">
        <v>4</v>
      </c>
      <c r="E440" s="152" t="s">
        <v>9</v>
      </c>
      <c r="F440" s="153">
        <v>1500000</v>
      </c>
      <c r="G440" s="153">
        <f>ROUNDDOWN(D440*F440,-3)</f>
        <v>6000000</v>
      </c>
      <c r="H440" s="210" t="b">
        <f t="shared" si="15"/>
        <v>1</v>
      </c>
      <c r="I440" s="210"/>
      <c r="J440" s="210"/>
    </row>
    <row r="441" spans="1:10" ht="13.8" x14ac:dyDescent="0.25">
      <c r="A441" s="7" t="s">
        <v>3334</v>
      </c>
      <c r="B441" s="152"/>
      <c r="C441" s="151" t="s">
        <v>4420</v>
      </c>
      <c r="D441" s="152">
        <v>20</v>
      </c>
      <c r="E441" s="152" t="s">
        <v>10</v>
      </c>
      <c r="F441" s="153">
        <v>70000</v>
      </c>
      <c r="G441" s="153">
        <f>ROUNDDOWN(D441*F441,-3)</f>
        <v>1400000</v>
      </c>
      <c r="H441" s="210" t="b">
        <f t="shared" si="15"/>
        <v>1</v>
      </c>
      <c r="I441" s="210"/>
      <c r="J441" s="210"/>
    </row>
    <row r="442" spans="1:10" ht="13.8" x14ac:dyDescent="0.25">
      <c r="A442" s="7" t="s">
        <v>3335</v>
      </c>
      <c r="B442" s="152"/>
      <c r="C442" s="151" t="s">
        <v>3600</v>
      </c>
      <c r="D442" s="152">
        <v>4</v>
      </c>
      <c r="E442" s="152" t="s">
        <v>106</v>
      </c>
      <c r="F442" s="153">
        <v>1000000</v>
      </c>
      <c r="G442" s="153">
        <f>ROUNDDOWN(D442*F442,-3)</f>
        <v>4000000</v>
      </c>
      <c r="H442" s="210" t="b">
        <f t="shared" si="15"/>
        <v>1</v>
      </c>
      <c r="I442" s="210"/>
      <c r="J442" s="210"/>
    </row>
    <row r="443" spans="1:10" ht="13.8" x14ac:dyDescent="0.25">
      <c r="A443" s="7" t="s">
        <v>3336</v>
      </c>
      <c r="B443" s="60">
        <v>524111</v>
      </c>
      <c r="C443" s="41" t="s">
        <v>19</v>
      </c>
      <c r="D443" s="60"/>
      <c r="E443" s="60"/>
      <c r="F443" s="42"/>
      <c r="G443" s="42">
        <f>G444</f>
        <v>18000000</v>
      </c>
      <c r="H443" s="210" t="b">
        <f t="shared" si="15"/>
        <v>1</v>
      </c>
      <c r="I443" s="210"/>
      <c r="J443" s="210"/>
    </row>
    <row r="444" spans="1:10" ht="13.8" x14ac:dyDescent="0.25">
      <c r="A444" s="7" t="s">
        <v>3337</v>
      </c>
      <c r="B444" s="152"/>
      <c r="C444" s="151" t="s">
        <v>4582</v>
      </c>
      <c r="D444" s="152">
        <v>6</v>
      </c>
      <c r="E444" s="152" t="s">
        <v>10</v>
      </c>
      <c r="F444" s="153">
        <v>3000000</v>
      </c>
      <c r="G444" s="153">
        <f>ROUNDDOWN(D444*F444,-3)</f>
        <v>18000000</v>
      </c>
      <c r="H444" s="210" t="b">
        <f t="shared" si="15"/>
        <v>1</v>
      </c>
      <c r="I444" s="210"/>
      <c r="J444" s="210"/>
    </row>
    <row r="445" spans="1:10" ht="13.8" x14ac:dyDescent="0.25">
      <c r="A445" s="7" t="s">
        <v>3338</v>
      </c>
      <c r="B445" s="60">
        <v>524113</v>
      </c>
      <c r="C445" s="41" t="s">
        <v>13</v>
      </c>
      <c r="D445" s="60"/>
      <c r="E445" s="60"/>
      <c r="F445" s="42"/>
      <c r="G445" s="42">
        <f>G446</f>
        <v>1500000</v>
      </c>
      <c r="H445" s="210" t="b">
        <f t="shared" si="15"/>
        <v>1</v>
      </c>
      <c r="I445" s="210"/>
      <c r="J445" s="210"/>
    </row>
    <row r="446" spans="1:10" ht="13.8" x14ac:dyDescent="0.25">
      <c r="A446" s="7" t="s">
        <v>3339</v>
      </c>
      <c r="B446" s="152"/>
      <c r="C446" s="151" t="s">
        <v>3613</v>
      </c>
      <c r="D446" s="152">
        <v>10</v>
      </c>
      <c r="E446" s="152" t="s">
        <v>10</v>
      </c>
      <c r="F446" s="153">
        <v>150000</v>
      </c>
      <c r="G446" s="153">
        <f>ROUNDDOWN(D446*F446,-3)</f>
        <v>1500000</v>
      </c>
      <c r="H446" s="210" t="b">
        <f t="shared" si="15"/>
        <v>1</v>
      </c>
      <c r="I446" s="210"/>
      <c r="J446" s="210"/>
    </row>
    <row r="447" spans="1:10" ht="13.8" x14ac:dyDescent="0.25">
      <c r="A447" s="7" t="s">
        <v>3340</v>
      </c>
      <c r="B447" s="59" t="s">
        <v>512</v>
      </c>
      <c r="C447" s="38" t="s">
        <v>145</v>
      </c>
      <c r="D447" s="59"/>
      <c r="E447" s="59"/>
      <c r="F447" s="39"/>
      <c r="G447" s="39">
        <f>SUM(G448,G451,G453)</f>
        <v>26500000</v>
      </c>
      <c r="H447" s="210" t="b">
        <f t="shared" si="15"/>
        <v>1</v>
      </c>
      <c r="I447" s="210"/>
      <c r="J447" s="210"/>
    </row>
    <row r="448" spans="1:10" ht="13.8" x14ac:dyDescent="0.25">
      <c r="A448" s="7" t="s">
        <v>3341</v>
      </c>
      <c r="B448" s="60">
        <v>521211</v>
      </c>
      <c r="C448" s="41" t="s">
        <v>7</v>
      </c>
      <c r="D448" s="60"/>
      <c r="E448" s="60"/>
      <c r="F448" s="42"/>
      <c r="G448" s="42">
        <f>SUM(G449:G450)</f>
        <v>10000000</v>
      </c>
      <c r="H448" s="210" t="b">
        <f t="shared" si="15"/>
        <v>1</v>
      </c>
      <c r="I448" s="210"/>
      <c r="J448" s="210"/>
    </row>
    <row r="449" spans="1:10" ht="13.8" x14ac:dyDescent="0.25">
      <c r="A449" s="7" t="s">
        <v>3342</v>
      </c>
      <c r="B449" s="152"/>
      <c r="C449" s="151" t="s">
        <v>4269</v>
      </c>
      <c r="D449" s="152">
        <v>4</v>
      </c>
      <c r="E449" s="152" t="s">
        <v>9</v>
      </c>
      <c r="F449" s="153">
        <v>1500000</v>
      </c>
      <c r="G449" s="153">
        <f>ROUNDDOWN(D449*F449,-3)</f>
        <v>6000000</v>
      </c>
      <c r="H449" s="210" t="b">
        <f t="shared" si="15"/>
        <v>1</v>
      </c>
      <c r="I449" s="210"/>
      <c r="J449" s="210"/>
    </row>
    <row r="450" spans="1:10" ht="13.8" x14ac:dyDescent="0.25">
      <c r="A450" s="7" t="s">
        <v>3343</v>
      </c>
      <c r="B450" s="152"/>
      <c r="C450" s="151" t="s">
        <v>3632</v>
      </c>
      <c r="D450" s="152">
        <v>4</v>
      </c>
      <c r="E450" s="152" t="s">
        <v>106</v>
      </c>
      <c r="F450" s="153">
        <v>1000000</v>
      </c>
      <c r="G450" s="153">
        <f>ROUNDDOWN(D450*F450,-3)</f>
        <v>4000000</v>
      </c>
      <c r="H450" s="210" t="b">
        <f t="shared" si="15"/>
        <v>1</v>
      </c>
      <c r="I450" s="210"/>
      <c r="J450" s="210"/>
    </row>
    <row r="451" spans="1:10" ht="13.8" x14ac:dyDescent="0.25">
      <c r="A451" s="7" t="s">
        <v>3344</v>
      </c>
      <c r="B451" s="60">
        <v>524111</v>
      </c>
      <c r="C451" s="41" t="s">
        <v>19</v>
      </c>
      <c r="D451" s="60"/>
      <c r="E451" s="60"/>
      <c r="F451" s="42"/>
      <c r="G451" s="42">
        <f>G452</f>
        <v>15000000</v>
      </c>
      <c r="H451" s="210" t="b">
        <f t="shared" si="15"/>
        <v>1</v>
      </c>
      <c r="I451" s="210"/>
      <c r="J451" s="210"/>
    </row>
    <row r="452" spans="1:10" ht="13.8" x14ac:dyDescent="0.25">
      <c r="A452" s="7" t="s">
        <v>3345</v>
      </c>
      <c r="B452" s="152"/>
      <c r="C452" s="151" t="s">
        <v>4583</v>
      </c>
      <c r="D452" s="152">
        <v>5</v>
      </c>
      <c r="E452" s="152" t="s">
        <v>10</v>
      </c>
      <c r="F452" s="153">
        <v>3000000</v>
      </c>
      <c r="G452" s="153">
        <f>ROUNDDOWN(D452*F452,-3)</f>
        <v>15000000</v>
      </c>
      <c r="H452" s="210" t="b">
        <f t="shared" si="15"/>
        <v>1</v>
      </c>
      <c r="I452" s="210"/>
      <c r="J452" s="210"/>
    </row>
    <row r="453" spans="1:10" ht="13.8" x14ac:dyDescent="0.25">
      <c r="A453" s="7" t="s">
        <v>3347</v>
      </c>
      <c r="B453" s="60">
        <v>524113</v>
      </c>
      <c r="C453" s="41" t="s">
        <v>13</v>
      </c>
      <c r="D453" s="60"/>
      <c r="E453" s="60"/>
      <c r="F453" s="42"/>
      <c r="G453" s="42">
        <f>G454</f>
        <v>1500000</v>
      </c>
      <c r="H453" s="210" t="b">
        <f t="shared" si="15"/>
        <v>1</v>
      </c>
      <c r="I453" s="210"/>
      <c r="J453" s="210"/>
    </row>
    <row r="454" spans="1:10" ht="13.8" x14ac:dyDescent="0.25">
      <c r="A454" s="7" t="s">
        <v>3348</v>
      </c>
      <c r="B454" s="152"/>
      <c r="C454" s="151" t="s">
        <v>3613</v>
      </c>
      <c r="D454" s="152">
        <v>10</v>
      </c>
      <c r="E454" s="152" t="s">
        <v>10</v>
      </c>
      <c r="F454" s="153">
        <v>150000</v>
      </c>
      <c r="G454" s="153">
        <f>ROUNDDOWN(D454*F454,-3)</f>
        <v>1500000</v>
      </c>
      <c r="H454" s="210" t="b">
        <f t="shared" si="15"/>
        <v>1</v>
      </c>
      <c r="I454" s="210"/>
      <c r="J454" s="210"/>
    </row>
    <row r="455" spans="1:10" ht="13.8" x14ac:dyDescent="0.25">
      <c r="A455" s="7" t="s">
        <v>3349</v>
      </c>
      <c r="B455" s="59" t="s">
        <v>514</v>
      </c>
      <c r="C455" s="38" t="s">
        <v>3350</v>
      </c>
      <c r="D455" s="59"/>
      <c r="E455" s="59"/>
      <c r="F455" s="39"/>
      <c r="G455" s="39">
        <f>SUM(G456,G462,G464,G466)</f>
        <v>86700000</v>
      </c>
      <c r="H455" s="210" t="b">
        <f t="shared" si="15"/>
        <v>1</v>
      </c>
      <c r="I455" s="210"/>
      <c r="J455" s="210"/>
    </row>
    <row r="456" spans="1:10" ht="13.8" x14ac:dyDescent="0.25">
      <c r="A456" s="7" t="s">
        <v>3351</v>
      </c>
      <c r="B456" s="60">
        <v>521211</v>
      </c>
      <c r="C456" s="41" t="s">
        <v>7</v>
      </c>
      <c r="D456" s="60"/>
      <c r="E456" s="60"/>
      <c r="F456" s="42"/>
      <c r="G456" s="42">
        <f>SUM(G457:G461)</f>
        <v>32400000</v>
      </c>
      <c r="H456" s="210" t="b">
        <f t="shared" si="15"/>
        <v>1</v>
      </c>
      <c r="I456" s="210"/>
      <c r="J456" s="210"/>
    </row>
    <row r="457" spans="1:10" ht="13.8" x14ac:dyDescent="0.25">
      <c r="A457" s="7" t="s">
        <v>3352</v>
      </c>
      <c r="B457" s="152"/>
      <c r="C457" s="151" t="s">
        <v>4269</v>
      </c>
      <c r="D457" s="152">
        <v>6</v>
      </c>
      <c r="E457" s="152" t="s">
        <v>9</v>
      </c>
      <c r="F457" s="153">
        <v>1500000</v>
      </c>
      <c r="G457" s="153">
        <f>ROUNDDOWN(D457*F457,-3)</f>
        <v>9000000</v>
      </c>
      <c r="H457" s="210" t="b">
        <f t="shared" si="15"/>
        <v>1</v>
      </c>
      <c r="I457" s="210"/>
      <c r="J457" s="210"/>
    </row>
    <row r="458" spans="1:10" ht="13.8" x14ac:dyDescent="0.25">
      <c r="A458" s="7" t="s">
        <v>3353</v>
      </c>
      <c r="B458" s="152"/>
      <c r="C458" s="151" t="s">
        <v>4420</v>
      </c>
      <c r="D458" s="152">
        <v>20</v>
      </c>
      <c r="E458" s="152" t="s">
        <v>10</v>
      </c>
      <c r="F458" s="153">
        <v>70000</v>
      </c>
      <c r="G458" s="153">
        <f>ROUNDDOWN(D458*F458,-3)</f>
        <v>1400000</v>
      </c>
      <c r="H458" s="210" t="b">
        <f t="shared" si="15"/>
        <v>1</v>
      </c>
      <c r="I458" s="210"/>
      <c r="J458" s="210"/>
    </row>
    <row r="459" spans="1:10" s="212" customFormat="1" ht="13.8" x14ac:dyDescent="0.25">
      <c r="A459" s="211" t="s">
        <v>3354</v>
      </c>
      <c r="B459" s="152"/>
      <c r="C459" s="151" t="s">
        <v>4584</v>
      </c>
      <c r="D459" s="152">
        <v>28</v>
      </c>
      <c r="E459" s="152" t="s">
        <v>176</v>
      </c>
      <c r="F459" s="153">
        <v>500000</v>
      </c>
      <c r="G459" s="153">
        <f>ROUNDDOWN(D459*F459,-3)</f>
        <v>14000000</v>
      </c>
      <c r="H459" s="210" t="b">
        <f t="shared" si="15"/>
        <v>1</v>
      </c>
      <c r="I459" s="210"/>
      <c r="J459" s="210"/>
    </row>
    <row r="460" spans="1:10" ht="13.8" x14ac:dyDescent="0.25">
      <c r="A460" s="7" t="s">
        <v>3356</v>
      </c>
      <c r="B460" s="152"/>
      <c r="C460" s="151" t="s">
        <v>4585</v>
      </c>
      <c r="D460" s="152">
        <v>4</v>
      </c>
      <c r="E460" s="152" t="s">
        <v>58</v>
      </c>
      <c r="F460" s="153">
        <v>500000</v>
      </c>
      <c r="G460" s="153">
        <f>ROUNDDOWN(D460*F460,-3)</f>
        <v>2000000</v>
      </c>
      <c r="H460" s="210" t="b">
        <f t="shared" si="15"/>
        <v>1</v>
      </c>
      <c r="I460" s="210"/>
      <c r="J460" s="210"/>
    </row>
    <row r="461" spans="1:10" ht="13.8" x14ac:dyDescent="0.25">
      <c r="A461" s="7" t="s">
        <v>3358</v>
      </c>
      <c r="B461" s="152"/>
      <c r="C461" s="151" t="s">
        <v>4521</v>
      </c>
      <c r="D461" s="152">
        <v>6</v>
      </c>
      <c r="E461" s="152" t="s">
        <v>106</v>
      </c>
      <c r="F461" s="153">
        <v>1000000</v>
      </c>
      <c r="G461" s="153">
        <f>ROUNDDOWN(D461*F461,-3)</f>
        <v>6000000</v>
      </c>
      <c r="H461" s="210" t="b">
        <f t="shared" si="15"/>
        <v>1</v>
      </c>
      <c r="I461" s="210"/>
      <c r="J461" s="210"/>
    </row>
    <row r="462" spans="1:10" ht="13.8" x14ac:dyDescent="0.25">
      <c r="A462" s="7" t="s">
        <v>3359</v>
      </c>
      <c r="B462" s="60">
        <v>522151</v>
      </c>
      <c r="C462" s="41" t="s">
        <v>11</v>
      </c>
      <c r="D462" s="60"/>
      <c r="E462" s="60"/>
      <c r="F462" s="42"/>
      <c r="G462" s="42">
        <f>G463</f>
        <v>9000000</v>
      </c>
      <c r="H462" s="210" t="b">
        <f t="shared" si="15"/>
        <v>1</v>
      </c>
      <c r="I462" s="210"/>
      <c r="J462" s="210"/>
    </row>
    <row r="463" spans="1:10" ht="13.8" x14ac:dyDescent="0.25">
      <c r="A463" s="7" t="s">
        <v>3360</v>
      </c>
      <c r="B463" s="152"/>
      <c r="C463" s="151" t="s">
        <v>3715</v>
      </c>
      <c r="D463" s="152">
        <v>10</v>
      </c>
      <c r="E463" s="152" t="s">
        <v>12</v>
      </c>
      <c r="F463" s="153">
        <v>900000</v>
      </c>
      <c r="G463" s="153">
        <f>ROUNDDOWN(D463*F463,-3)</f>
        <v>9000000</v>
      </c>
      <c r="H463" s="210" t="b">
        <f t="shared" si="15"/>
        <v>1</v>
      </c>
      <c r="I463" s="210"/>
      <c r="J463" s="210"/>
    </row>
    <row r="464" spans="1:10" ht="13.8" x14ac:dyDescent="0.25">
      <c r="A464" s="7" t="s">
        <v>3361</v>
      </c>
      <c r="B464" s="60">
        <v>524111</v>
      </c>
      <c r="C464" s="41" t="s">
        <v>19</v>
      </c>
      <c r="D464" s="60"/>
      <c r="E464" s="60"/>
      <c r="F464" s="42"/>
      <c r="G464" s="42">
        <f>G465</f>
        <v>42000000</v>
      </c>
      <c r="H464" s="210" t="b">
        <f t="shared" si="15"/>
        <v>1</v>
      </c>
      <c r="I464" s="210"/>
      <c r="J464" s="210"/>
    </row>
    <row r="465" spans="1:10" ht="26.4" x14ac:dyDescent="0.25">
      <c r="A465" s="7" t="s">
        <v>3362</v>
      </c>
      <c r="B465" s="152"/>
      <c r="C465" s="151" t="s">
        <v>4586</v>
      </c>
      <c r="D465" s="152">
        <v>14</v>
      </c>
      <c r="E465" s="152" t="s">
        <v>10</v>
      </c>
      <c r="F465" s="153">
        <v>3000000</v>
      </c>
      <c r="G465" s="153">
        <f>ROUNDDOWN(D465*F465,-3)</f>
        <v>42000000</v>
      </c>
      <c r="H465" s="210" t="b">
        <f t="shared" si="15"/>
        <v>1</v>
      </c>
      <c r="I465" s="210"/>
      <c r="J465" s="210"/>
    </row>
    <row r="466" spans="1:10" ht="13.8" x14ac:dyDescent="0.25">
      <c r="A466" s="7" t="s">
        <v>3364</v>
      </c>
      <c r="B466" s="60">
        <v>524113</v>
      </c>
      <c r="C466" s="41" t="s">
        <v>13</v>
      </c>
      <c r="D466" s="60"/>
      <c r="E466" s="60"/>
      <c r="F466" s="42"/>
      <c r="G466" s="42">
        <f>G467</f>
        <v>3300000</v>
      </c>
      <c r="H466" s="210" t="b">
        <f t="shared" si="15"/>
        <v>1</v>
      </c>
      <c r="I466" s="210"/>
      <c r="J466" s="210"/>
    </row>
    <row r="467" spans="1:10" ht="26.4" x14ac:dyDescent="0.25">
      <c r="A467" s="7" t="s">
        <v>3365</v>
      </c>
      <c r="B467" s="152"/>
      <c r="C467" s="151" t="s">
        <v>4587</v>
      </c>
      <c r="D467" s="152">
        <v>22</v>
      </c>
      <c r="E467" s="152" t="s">
        <v>10</v>
      </c>
      <c r="F467" s="153">
        <v>150000</v>
      </c>
      <c r="G467" s="153">
        <f>ROUNDDOWN(D467*F467,-3)</f>
        <v>3300000</v>
      </c>
      <c r="H467" s="210" t="b">
        <f t="shared" si="15"/>
        <v>1</v>
      </c>
      <c r="I467" s="210"/>
      <c r="J467" s="210"/>
    </row>
    <row r="468" spans="1:10" ht="13.8" x14ac:dyDescent="0.25">
      <c r="A468" s="7" t="s">
        <v>3367</v>
      </c>
      <c r="B468" s="59" t="s">
        <v>519</v>
      </c>
      <c r="C468" s="38" t="s">
        <v>146</v>
      </c>
      <c r="D468" s="59"/>
      <c r="E468" s="59"/>
      <c r="F468" s="39"/>
      <c r="G468" s="39">
        <f>SUM(G469,G472,G474)</f>
        <v>28800000</v>
      </c>
      <c r="H468" s="210" t="b">
        <f t="shared" si="15"/>
        <v>1</v>
      </c>
      <c r="I468" s="210"/>
      <c r="J468" s="210"/>
    </row>
    <row r="469" spans="1:10" ht="13.8" x14ac:dyDescent="0.25">
      <c r="A469" s="7" t="s">
        <v>3368</v>
      </c>
      <c r="B469" s="60">
        <v>521211</v>
      </c>
      <c r="C469" s="41" t="s">
        <v>7</v>
      </c>
      <c r="D469" s="60"/>
      <c r="E469" s="60"/>
      <c r="F469" s="42"/>
      <c r="G469" s="42">
        <f>SUM(G470:G471)</f>
        <v>15000000</v>
      </c>
      <c r="H469" s="210" t="b">
        <f t="shared" si="15"/>
        <v>1</v>
      </c>
      <c r="I469" s="210"/>
      <c r="J469" s="210"/>
    </row>
    <row r="470" spans="1:10" ht="13.8" x14ac:dyDescent="0.25">
      <c r="A470" s="7" t="s">
        <v>3369</v>
      </c>
      <c r="B470" s="152"/>
      <c r="C470" s="151" t="s">
        <v>4269</v>
      </c>
      <c r="D470" s="152">
        <v>6</v>
      </c>
      <c r="E470" s="152" t="s">
        <v>9</v>
      </c>
      <c r="F470" s="153">
        <v>1500000</v>
      </c>
      <c r="G470" s="153">
        <f>ROUNDDOWN(D470*F470,-3)</f>
        <v>9000000</v>
      </c>
      <c r="H470" s="210" t="b">
        <f t="shared" si="15"/>
        <v>1</v>
      </c>
      <c r="I470" s="210"/>
      <c r="J470" s="210"/>
    </row>
    <row r="471" spans="1:10" ht="13.8" x14ac:dyDescent="0.25">
      <c r="A471" s="7" t="s">
        <v>3370</v>
      </c>
      <c r="B471" s="152"/>
      <c r="C471" s="151" t="s">
        <v>3632</v>
      </c>
      <c r="D471" s="152">
        <v>6</v>
      </c>
      <c r="E471" s="152" t="s">
        <v>106</v>
      </c>
      <c r="F471" s="153">
        <v>1000000</v>
      </c>
      <c r="G471" s="153">
        <f>ROUNDDOWN(D471*F471,-3)</f>
        <v>6000000</v>
      </c>
      <c r="H471" s="210" t="b">
        <f t="shared" si="15"/>
        <v>1</v>
      </c>
      <c r="I471" s="210"/>
      <c r="J471" s="210"/>
    </row>
    <row r="472" spans="1:10" ht="13.8" x14ac:dyDescent="0.25">
      <c r="A472" s="7" t="s">
        <v>3371</v>
      </c>
      <c r="B472" s="60">
        <v>524111</v>
      </c>
      <c r="C472" s="41" t="s">
        <v>19</v>
      </c>
      <c r="D472" s="60"/>
      <c r="E472" s="60"/>
      <c r="F472" s="42"/>
      <c r="G472" s="42">
        <f>G473</f>
        <v>12000000</v>
      </c>
      <c r="H472" s="210" t="b">
        <f t="shared" si="15"/>
        <v>1</v>
      </c>
      <c r="I472" s="210"/>
      <c r="J472" s="210"/>
    </row>
    <row r="473" spans="1:10" ht="13.8" x14ac:dyDescent="0.25">
      <c r="A473" s="7" t="s">
        <v>3372</v>
      </c>
      <c r="B473" s="152"/>
      <c r="C473" s="151" t="s">
        <v>4588</v>
      </c>
      <c r="D473" s="152">
        <v>4</v>
      </c>
      <c r="E473" s="152" t="s">
        <v>10</v>
      </c>
      <c r="F473" s="153">
        <v>3000000</v>
      </c>
      <c r="G473" s="153">
        <f>ROUNDDOWN(D473*F473,-3)</f>
        <v>12000000</v>
      </c>
      <c r="H473" s="210" t="b">
        <f t="shared" si="15"/>
        <v>1</v>
      </c>
      <c r="I473" s="210"/>
      <c r="J473" s="210"/>
    </row>
    <row r="474" spans="1:10" ht="13.8" x14ac:dyDescent="0.25">
      <c r="A474" s="7" t="s">
        <v>3374</v>
      </c>
      <c r="B474" s="60">
        <v>524113</v>
      </c>
      <c r="C474" s="41" t="s">
        <v>13</v>
      </c>
      <c r="D474" s="60"/>
      <c r="E474" s="60"/>
      <c r="F474" s="42"/>
      <c r="G474" s="42">
        <f>G475</f>
        <v>1800000</v>
      </c>
      <c r="H474" s="210" t="b">
        <f t="shared" si="15"/>
        <v>1</v>
      </c>
      <c r="I474" s="210"/>
      <c r="J474" s="210"/>
    </row>
    <row r="475" spans="1:10" ht="13.8" x14ac:dyDescent="0.25">
      <c r="A475" s="7" t="s">
        <v>3375</v>
      </c>
      <c r="B475" s="152"/>
      <c r="C475" s="151" t="s">
        <v>4589</v>
      </c>
      <c r="D475" s="152">
        <v>12</v>
      </c>
      <c r="E475" s="152" t="s">
        <v>10</v>
      </c>
      <c r="F475" s="153">
        <v>150000</v>
      </c>
      <c r="G475" s="153">
        <f>ROUNDDOWN(D475*F475,-3)</f>
        <v>1800000</v>
      </c>
      <c r="H475" s="210" t="b">
        <f t="shared" si="15"/>
        <v>1</v>
      </c>
      <c r="I475" s="210"/>
      <c r="J475" s="210"/>
    </row>
    <row r="476" spans="1:10" ht="13.8" x14ac:dyDescent="0.25">
      <c r="A476" s="7" t="s">
        <v>3377</v>
      </c>
      <c r="B476" s="59" t="s">
        <v>578</v>
      </c>
      <c r="C476" s="38" t="s">
        <v>147</v>
      </c>
      <c r="D476" s="59"/>
      <c r="E476" s="59"/>
      <c r="F476" s="39"/>
      <c r="G476" s="39">
        <f>SUM(G477,G479,G482,G484)</f>
        <v>76320000</v>
      </c>
      <c r="H476" s="210" t="b">
        <f t="shared" si="15"/>
        <v>1</v>
      </c>
      <c r="I476" s="210"/>
      <c r="J476" s="210"/>
    </row>
    <row r="477" spans="1:10" ht="13.8" x14ac:dyDescent="0.25">
      <c r="A477" s="7" t="s">
        <v>3378</v>
      </c>
      <c r="B477" s="60">
        <v>521211</v>
      </c>
      <c r="C477" s="41" t="s">
        <v>7</v>
      </c>
      <c r="D477" s="60"/>
      <c r="E477" s="60"/>
      <c r="F477" s="42"/>
      <c r="G477" s="42">
        <f>G478</f>
        <v>4800000</v>
      </c>
      <c r="H477" s="210" t="b">
        <f t="shared" si="15"/>
        <v>1</v>
      </c>
      <c r="I477" s="210"/>
      <c r="J477" s="210"/>
    </row>
    <row r="478" spans="1:10" ht="13.8" x14ac:dyDescent="0.25">
      <c r="A478" s="7" t="s">
        <v>3379</v>
      </c>
      <c r="B478" s="152"/>
      <c r="C478" s="151" t="s">
        <v>4590</v>
      </c>
      <c r="D478" s="152">
        <v>24</v>
      </c>
      <c r="E478" s="152" t="s">
        <v>176</v>
      </c>
      <c r="F478" s="153">
        <v>200000</v>
      </c>
      <c r="G478" s="153">
        <f>ROUNDDOWN(D478*F478,-3)</f>
        <v>4800000</v>
      </c>
      <c r="H478" s="210" t="b">
        <f t="shared" si="15"/>
        <v>1</v>
      </c>
      <c r="I478" s="210"/>
      <c r="J478" s="210"/>
    </row>
    <row r="479" spans="1:10" ht="13.8" x14ac:dyDescent="0.25">
      <c r="A479" s="7" t="s">
        <v>3381</v>
      </c>
      <c r="B479" s="60">
        <v>521811</v>
      </c>
      <c r="C479" s="41" t="s">
        <v>64</v>
      </c>
      <c r="D479" s="60"/>
      <c r="E479" s="60"/>
      <c r="F479" s="42"/>
      <c r="G479" s="42">
        <f>SUM(G480:G481)</f>
        <v>25000000</v>
      </c>
      <c r="H479" s="210" t="b">
        <f t="shared" si="15"/>
        <v>1</v>
      </c>
      <c r="I479" s="210"/>
      <c r="J479" s="210"/>
    </row>
    <row r="480" spans="1:10" ht="13.8" x14ac:dyDescent="0.25">
      <c r="A480" s="7" t="s">
        <v>3382</v>
      </c>
      <c r="B480" s="152"/>
      <c r="C480" s="151" t="s">
        <v>4269</v>
      </c>
      <c r="D480" s="152">
        <v>10</v>
      </c>
      <c r="E480" s="152" t="s">
        <v>9</v>
      </c>
      <c r="F480" s="153">
        <v>1500000</v>
      </c>
      <c r="G480" s="153">
        <f>ROUNDDOWN(D480*F480,-3)</f>
        <v>15000000</v>
      </c>
      <c r="H480" s="210" t="b">
        <f t="shared" si="15"/>
        <v>1</v>
      </c>
      <c r="I480" s="210"/>
      <c r="J480" s="210"/>
    </row>
    <row r="481" spans="1:10" ht="13.8" x14ac:dyDescent="0.25">
      <c r="A481" s="7" t="s">
        <v>3383</v>
      </c>
      <c r="B481" s="152"/>
      <c r="C481" s="151" t="s">
        <v>3632</v>
      </c>
      <c r="D481" s="152">
        <v>10</v>
      </c>
      <c r="E481" s="152" t="s">
        <v>2749</v>
      </c>
      <c r="F481" s="153">
        <v>1000000</v>
      </c>
      <c r="G481" s="153">
        <f>ROUNDDOWN(D481*F481,-3)</f>
        <v>10000000</v>
      </c>
      <c r="H481" s="210" t="b">
        <f t="shared" si="15"/>
        <v>1</v>
      </c>
      <c r="I481" s="210"/>
      <c r="J481" s="210"/>
    </row>
    <row r="482" spans="1:10" ht="13.8" x14ac:dyDescent="0.25">
      <c r="A482" s="7" t="s">
        <v>3384</v>
      </c>
      <c r="B482" s="60">
        <v>524111</v>
      </c>
      <c r="C482" s="41" t="s">
        <v>19</v>
      </c>
      <c r="D482" s="60"/>
      <c r="E482" s="60"/>
      <c r="F482" s="42"/>
      <c r="G482" s="42">
        <f>G483</f>
        <v>42770000</v>
      </c>
      <c r="H482" s="210" t="b">
        <f t="shared" si="15"/>
        <v>1</v>
      </c>
      <c r="I482" s="210"/>
      <c r="J482" s="210"/>
    </row>
    <row r="483" spans="1:10" ht="13.8" x14ac:dyDescent="0.25">
      <c r="A483" s="7" t="s">
        <v>3385</v>
      </c>
      <c r="B483" s="152"/>
      <c r="C483" s="151" t="s">
        <v>4591</v>
      </c>
      <c r="D483" s="152">
        <v>14</v>
      </c>
      <c r="E483" s="152" t="s">
        <v>10</v>
      </c>
      <c r="F483" s="153">
        <v>3055000</v>
      </c>
      <c r="G483" s="153">
        <f>ROUNDDOWN(D483*F483,-3)</f>
        <v>42770000</v>
      </c>
      <c r="H483" s="210" t="b">
        <f t="shared" ref="H483:H546" si="16">_xlfn.ISFORMULA(G483)</f>
        <v>1</v>
      </c>
      <c r="I483" s="210"/>
      <c r="J483" s="210"/>
    </row>
    <row r="484" spans="1:10" ht="13.8" x14ac:dyDescent="0.25">
      <c r="A484" s="7" t="s">
        <v>3387</v>
      </c>
      <c r="B484" s="60">
        <v>524113</v>
      </c>
      <c r="C484" s="41" t="s">
        <v>13</v>
      </c>
      <c r="D484" s="60"/>
      <c r="E484" s="60"/>
      <c r="F484" s="42"/>
      <c r="G484" s="42">
        <f>G485</f>
        <v>3750000</v>
      </c>
      <c r="H484" s="210" t="b">
        <f t="shared" si="16"/>
        <v>1</v>
      </c>
      <c r="I484" s="210"/>
      <c r="J484" s="210"/>
    </row>
    <row r="485" spans="1:10" ht="13.8" x14ac:dyDescent="0.25">
      <c r="A485" s="7" t="s">
        <v>3388</v>
      </c>
      <c r="B485" s="152"/>
      <c r="C485" s="151" t="s">
        <v>3618</v>
      </c>
      <c r="D485" s="152">
        <v>25</v>
      </c>
      <c r="E485" s="152" t="s">
        <v>10</v>
      </c>
      <c r="F485" s="153">
        <v>150000</v>
      </c>
      <c r="G485" s="153">
        <f>ROUNDDOWN(D485*F485,-3)</f>
        <v>3750000</v>
      </c>
      <c r="H485" s="210" t="b">
        <f t="shared" si="16"/>
        <v>1</v>
      </c>
      <c r="I485" s="210"/>
      <c r="J485" s="210"/>
    </row>
    <row r="486" spans="1:10" ht="13.8" x14ac:dyDescent="0.25">
      <c r="A486" s="7" t="s">
        <v>495</v>
      </c>
      <c r="B486" s="55">
        <v>4345</v>
      </c>
      <c r="C486" s="26" t="s">
        <v>188</v>
      </c>
      <c r="D486" s="55"/>
      <c r="E486" s="55"/>
      <c r="F486" s="27"/>
      <c r="G486" s="27">
        <f>G487</f>
        <v>8582500000</v>
      </c>
      <c r="H486" s="210" t="b">
        <f t="shared" si="16"/>
        <v>1</v>
      </c>
      <c r="I486" s="210"/>
      <c r="J486" s="210"/>
    </row>
    <row r="487" spans="1:10" ht="13.8" x14ac:dyDescent="0.25">
      <c r="A487" s="7" t="s">
        <v>3473</v>
      </c>
      <c r="B487" s="135" t="s">
        <v>3474</v>
      </c>
      <c r="C487" s="133" t="s">
        <v>2312</v>
      </c>
      <c r="D487" s="135">
        <v>4725</v>
      </c>
      <c r="E487" s="135" t="s">
        <v>155</v>
      </c>
      <c r="F487" s="136"/>
      <c r="G487" s="136">
        <f>G488</f>
        <v>8582500000</v>
      </c>
      <c r="H487" s="210" t="b">
        <f t="shared" si="16"/>
        <v>1</v>
      </c>
      <c r="I487" s="210"/>
      <c r="J487" s="210"/>
    </row>
    <row r="488" spans="1:10" ht="13.8" x14ac:dyDescent="0.25">
      <c r="A488" s="7" t="s">
        <v>3475</v>
      </c>
      <c r="B488" s="138" t="s">
        <v>4611</v>
      </c>
      <c r="C488" s="137" t="s">
        <v>3477</v>
      </c>
      <c r="D488" s="138">
        <v>4725</v>
      </c>
      <c r="E488" s="138" t="s">
        <v>155</v>
      </c>
      <c r="F488" s="139"/>
      <c r="G488" s="139">
        <f>SUM(G489,G537)</f>
        <v>8582500000</v>
      </c>
      <c r="H488" s="210" t="b">
        <f t="shared" si="16"/>
        <v>1</v>
      </c>
      <c r="I488" s="210"/>
      <c r="J488" s="210"/>
    </row>
    <row r="489" spans="1:10" ht="13.8" x14ac:dyDescent="0.25">
      <c r="A489" s="7" t="s">
        <v>3478</v>
      </c>
      <c r="B489" s="58">
        <v>301</v>
      </c>
      <c r="C489" s="35" t="s">
        <v>189</v>
      </c>
      <c r="D489" s="58"/>
      <c r="E489" s="58"/>
      <c r="F489" s="36"/>
      <c r="G489" s="36">
        <f>SUM(G490,G509,G525,G534)</f>
        <v>8473300000</v>
      </c>
      <c r="H489" s="210" t="b">
        <f t="shared" si="16"/>
        <v>1</v>
      </c>
      <c r="I489" s="210"/>
      <c r="J489" s="210"/>
    </row>
    <row r="490" spans="1:10" ht="13.8" x14ac:dyDescent="0.25">
      <c r="A490" s="7" t="s">
        <v>3479</v>
      </c>
      <c r="B490" s="59" t="s">
        <v>8</v>
      </c>
      <c r="C490" s="38" t="s">
        <v>190</v>
      </c>
      <c r="D490" s="59"/>
      <c r="E490" s="59"/>
      <c r="F490" s="39"/>
      <c r="G490" s="39">
        <f>SUM(G491,G496,G499,G502,G504,G506)</f>
        <v>1713564000</v>
      </c>
      <c r="H490" s="210" t="b">
        <f t="shared" si="16"/>
        <v>1</v>
      </c>
      <c r="I490" s="210"/>
      <c r="J490" s="210"/>
    </row>
    <row r="491" spans="1:10" ht="13.8" x14ac:dyDescent="0.25">
      <c r="A491" s="7" t="s">
        <v>3480</v>
      </c>
      <c r="B491" s="60">
        <v>521211</v>
      </c>
      <c r="C491" s="41" t="s">
        <v>7</v>
      </c>
      <c r="D491" s="60"/>
      <c r="E491" s="60"/>
      <c r="F491" s="42"/>
      <c r="G491" s="42">
        <f>SUM(G492:G495)</f>
        <v>99100000</v>
      </c>
      <c r="H491" s="210" t="b">
        <f t="shared" si="16"/>
        <v>1</v>
      </c>
      <c r="I491" s="210"/>
      <c r="J491" s="210"/>
    </row>
    <row r="492" spans="1:10" ht="13.8" x14ac:dyDescent="0.25">
      <c r="A492" s="7" t="s">
        <v>3481</v>
      </c>
      <c r="B492" s="152"/>
      <c r="C492" s="151" t="s">
        <v>4612</v>
      </c>
      <c r="D492" s="152">
        <v>400</v>
      </c>
      <c r="E492" s="152" t="s">
        <v>10</v>
      </c>
      <c r="F492" s="153">
        <v>70000</v>
      </c>
      <c r="G492" s="153">
        <f>ROUNDDOWN(D492*F492,-3)</f>
        <v>28000000</v>
      </c>
      <c r="H492" s="210" t="b">
        <f t="shared" si="16"/>
        <v>1</v>
      </c>
      <c r="I492" s="210"/>
      <c r="J492" s="210"/>
    </row>
    <row r="493" spans="1:10" ht="13.8" x14ac:dyDescent="0.25">
      <c r="A493" s="7" t="s">
        <v>3482</v>
      </c>
      <c r="B493" s="152"/>
      <c r="C493" s="151" t="s">
        <v>4613</v>
      </c>
      <c r="D493" s="152">
        <v>10</v>
      </c>
      <c r="E493" s="152" t="s">
        <v>9</v>
      </c>
      <c r="F493" s="153">
        <v>1500000</v>
      </c>
      <c r="G493" s="153">
        <f>ROUNDDOWN(D493*F493,-3)</f>
        <v>15000000</v>
      </c>
      <c r="H493" s="210" t="b">
        <f t="shared" si="16"/>
        <v>1</v>
      </c>
      <c r="I493" s="210"/>
      <c r="J493" s="210"/>
    </row>
    <row r="494" spans="1:10" ht="13.8" x14ac:dyDescent="0.25">
      <c r="A494" s="7" t="s">
        <v>3484</v>
      </c>
      <c r="B494" s="152"/>
      <c r="C494" s="151" t="s">
        <v>4614</v>
      </c>
      <c r="D494" s="152">
        <v>120</v>
      </c>
      <c r="E494" s="152" t="s">
        <v>25</v>
      </c>
      <c r="F494" s="153">
        <v>280000</v>
      </c>
      <c r="G494" s="153">
        <f>ROUNDDOWN(D494*F494,-3)</f>
        <v>33600000</v>
      </c>
      <c r="H494" s="210" t="b">
        <f t="shared" si="16"/>
        <v>1</v>
      </c>
      <c r="I494" s="210"/>
      <c r="J494" s="210"/>
    </row>
    <row r="495" spans="1:10" ht="13.8" x14ac:dyDescent="0.25">
      <c r="A495" s="7" t="s">
        <v>3486</v>
      </c>
      <c r="B495" s="152"/>
      <c r="C495" s="151" t="s">
        <v>4615</v>
      </c>
      <c r="D495" s="152">
        <v>150</v>
      </c>
      <c r="E495" s="152" t="s">
        <v>25</v>
      </c>
      <c r="F495" s="153">
        <v>150000</v>
      </c>
      <c r="G495" s="153">
        <f>ROUNDDOWN(D495*F495,-3)</f>
        <v>22500000</v>
      </c>
      <c r="H495" s="210" t="b">
        <f t="shared" si="16"/>
        <v>1</v>
      </c>
      <c r="I495" s="210"/>
      <c r="J495" s="210"/>
    </row>
    <row r="496" spans="1:10" ht="13.8" x14ac:dyDescent="0.25">
      <c r="A496" s="7" t="s">
        <v>3488</v>
      </c>
      <c r="B496" s="60">
        <v>521219</v>
      </c>
      <c r="C496" s="41" t="s">
        <v>53</v>
      </c>
      <c r="D496" s="60"/>
      <c r="E496" s="60"/>
      <c r="F496" s="42"/>
      <c r="G496" s="42">
        <f>SUM(G497:G498)</f>
        <v>1333864000</v>
      </c>
      <c r="H496" s="210" t="b">
        <f t="shared" si="16"/>
        <v>1</v>
      </c>
      <c r="I496" s="210"/>
      <c r="J496" s="210"/>
    </row>
    <row r="497" spans="1:10" ht="13.8" x14ac:dyDescent="0.25">
      <c r="A497" s="7" t="s">
        <v>3489</v>
      </c>
      <c r="B497" s="152"/>
      <c r="C497" s="151" t="s">
        <v>4616</v>
      </c>
      <c r="D497" s="152">
        <v>33</v>
      </c>
      <c r="E497" s="152" t="s">
        <v>155</v>
      </c>
      <c r="F497" s="153">
        <v>40412550</v>
      </c>
      <c r="G497" s="153">
        <f>ROUNDDOWN(D497*F497,-3)</f>
        <v>1333614000</v>
      </c>
      <c r="H497" s="210" t="b">
        <f t="shared" si="16"/>
        <v>1</v>
      </c>
      <c r="I497" s="210"/>
      <c r="J497" s="210"/>
    </row>
    <row r="498" spans="1:10" ht="13.8" x14ac:dyDescent="0.25">
      <c r="A498" s="7" t="s">
        <v>3491</v>
      </c>
      <c r="B498" s="152"/>
      <c r="C498" s="151" t="s">
        <v>4617</v>
      </c>
      <c r="D498" s="152">
        <v>1</v>
      </c>
      <c r="E498" s="152" t="s">
        <v>9</v>
      </c>
      <c r="F498" s="153">
        <v>250000</v>
      </c>
      <c r="G498" s="153">
        <f>ROUNDDOWN(D498*F498,-3)</f>
        <v>250000</v>
      </c>
      <c r="H498" s="210" t="b">
        <f t="shared" si="16"/>
        <v>1</v>
      </c>
      <c r="I498" s="210"/>
      <c r="J498" s="210"/>
    </row>
    <row r="499" spans="1:10" ht="13.8" x14ac:dyDescent="0.25">
      <c r="A499" s="7" t="s">
        <v>3492</v>
      </c>
      <c r="B499" s="60">
        <v>521811</v>
      </c>
      <c r="C499" s="41" t="s">
        <v>64</v>
      </c>
      <c r="D499" s="60"/>
      <c r="E499" s="60"/>
      <c r="F499" s="42"/>
      <c r="G499" s="42">
        <f>SUM(G500:G501)</f>
        <v>25000000</v>
      </c>
      <c r="H499" s="210" t="b">
        <f t="shared" si="16"/>
        <v>1</v>
      </c>
      <c r="I499" s="210"/>
      <c r="J499" s="210"/>
    </row>
    <row r="500" spans="1:10" ht="13.8" x14ac:dyDescent="0.25">
      <c r="A500" s="7" t="s">
        <v>3493</v>
      </c>
      <c r="B500" s="152"/>
      <c r="C500" s="151" t="s">
        <v>4269</v>
      </c>
      <c r="D500" s="152">
        <v>10</v>
      </c>
      <c r="E500" s="152" t="s">
        <v>9</v>
      </c>
      <c r="F500" s="153">
        <v>1000000</v>
      </c>
      <c r="G500" s="153">
        <f>ROUNDDOWN(D500*F500,-3)</f>
        <v>10000000</v>
      </c>
      <c r="H500" s="210" t="b">
        <f t="shared" si="16"/>
        <v>1</v>
      </c>
      <c r="I500" s="210"/>
      <c r="J500" s="210"/>
    </row>
    <row r="501" spans="1:10" ht="13.8" x14ac:dyDescent="0.25">
      <c r="A501" s="7" t="s">
        <v>3494</v>
      </c>
      <c r="B501" s="152"/>
      <c r="C501" s="151" t="s">
        <v>3632</v>
      </c>
      <c r="D501" s="152">
        <v>10</v>
      </c>
      <c r="E501" s="152" t="s">
        <v>9</v>
      </c>
      <c r="F501" s="153">
        <v>1500000</v>
      </c>
      <c r="G501" s="153">
        <f>ROUNDDOWN(D501*F501,-3)</f>
        <v>15000000</v>
      </c>
      <c r="H501" s="210" t="b">
        <f t="shared" si="16"/>
        <v>1</v>
      </c>
      <c r="I501" s="210"/>
      <c r="J501" s="210"/>
    </row>
    <row r="502" spans="1:10" ht="13.8" x14ac:dyDescent="0.25">
      <c r="A502" s="7" t="s">
        <v>3495</v>
      </c>
      <c r="B502" s="60">
        <v>522151</v>
      </c>
      <c r="C502" s="41" t="s">
        <v>11</v>
      </c>
      <c r="D502" s="60"/>
      <c r="E502" s="60"/>
      <c r="F502" s="42"/>
      <c r="G502" s="42">
        <f>G503</f>
        <v>15000000</v>
      </c>
      <c r="H502" s="210" t="b">
        <f t="shared" si="16"/>
        <v>1</v>
      </c>
      <c r="I502" s="210"/>
      <c r="J502" s="210"/>
    </row>
    <row r="503" spans="1:10" ht="13.8" x14ac:dyDescent="0.25">
      <c r="A503" s="7" t="s">
        <v>3496</v>
      </c>
      <c r="B503" s="152"/>
      <c r="C503" s="151" t="s">
        <v>3715</v>
      </c>
      <c r="D503" s="152">
        <v>15</v>
      </c>
      <c r="E503" s="152" t="s">
        <v>12</v>
      </c>
      <c r="F503" s="153">
        <v>1000000</v>
      </c>
      <c r="G503" s="153">
        <f>ROUNDDOWN(D503*F503,-3)</f>
        <v>15000000</v>
      </c>
      <c r="H503" s="210" t="b">
        <f t="shared" si="16"/>
        <v>1</v>
      </c>
      <c r="I503" s="210"/>
      <c r="J503" s="210"/>
    </row>
    <row r="504" spans="1:10" ht="13.8" x14ac:dyDescent="0.25">
      <c r="A504" s="7" t="s">
        <v>3497</v>
      </c>
      <c r="B504" s="60">
        <v>522191</v>
      </c>
      <c r="C504" s="41" t="s">
        <v>22</v>
      </c>
      <c r="D504" s="60"/>
      <c r="E504" s="60"/>
      <c r="F504" s="42"/>
      <c r="G504" s="42">
        <f>G505</f>
        <v>102600000</v>
      </c>
      <c r="H504" s="210" t="b">
        <f t="shared" si="16"/>
        <v>1</v>
      </c>
      <c r="I504" s="210"/>
      <c r="J504" s="210"/>
    </row>
    <row r="505" spans="1:10" ht="13.8" x14ac:dyDescent="0.25">
      <c r="A505" s="7" t="s">
        <v>3498</v>
      </c>
      <c r="B505" s="152"/>
      <c r="C505" s="151" t="s">
        <v>4618</v>
      </c>
      <c r="D505" s="152">
        <v>120</v>
      </c>
      <c r="E505" s="152" t="s">
        <v>155</v>
      </c>
      <c r="F505" s="153">
        <v>855000</v>
      </c>
      <c r="G505" s="153">
        <f>ROUNDDOWN(D505*F505,-3)</f>
        <v>102600000</v>
      </c>
      <c r="H505" s="210" t="b">
        <f t="shared" si="16"/>
        <v>1</v>
      </c>
      <c r="I505" s="210"/>
      <c r="J505" s="210"/>
    </row>
    <row r="506" spans="1:10" ht="13.8" x14ac:dyDescent="0.25">
      <c r="A506" s="7" t="s">
        <v>3500</v>
      </c>
      <c r="B506" s="60">
        <v>524111</v>
      </c>
      <c r="C506" s="41" t="s">
        <v>19</v>
      </c>
      <c r="D506" s="60"/>
      <c r="E506" s="60"/>
      <c r="F506" s="42"/>
      <c r="G506" s="42">
        <f>SUM(G507:G508)</f>
        <v>138000000</v>
      </c>
      <c r="H506" s="210" t="b">
        <f t="shared" si="16"/>
        <v>1</v>
      </c>
      <c r="I506" s="210"/>
      <c r="J506" s="210"/>
    </row>
    <row r="507" spans="1:10" ht="13.8" x14ac:dyDescent="0.25">
      <c r="A507" s="7" t="s">
        <v>3501</v>
      </c>
      <c r="B507" s="152"/>
      <c r="C507" s="151" t="s">
        <v>4619</v>
      </c>
      <c r="D507" s="152">
        <v>50</v>
      </c>
      <c r="E507" s="152" t="s">
        <v>10</v>
      </c>
      <c r="F507" s="153">
        <v>1200000</v>
      </c>
      <c r="G507" s="153">
        <f>ROUNDDOWN(D507*F507,-3)</f>
        <v>60000000</v>
      </c>
      <c r="H507" s="210" t="b">
        <f t="shared" si="16"/>
        <v>1</v>
      </c>
      <c r="I507" s="210"/>
      <c r="J507" s="210"/>
    </row>
    <row r="508" spans="1:10" ht="26.4" x14ac:dyDescent="0.25">
      <c r="A508" s="7" t="s">
        <v>3503</v>
      </c>
      <c r="B508" s="152"/>
      <c r="C508" s="151" t="s">
        <v>4620</v>
      </c>
      <c r="D508" s="152">
        <v>12</v>
      </c>
      <c r="E508" s="152" t="s">
        <v>10</v>
      </c>
      <c r="F508" s="153">
        <v>6500000</v>
      </c>
      <c r="G508" s="153">
        <f>ROUNDDOWN(D508*F508,-3)</f>
        <v>78000000</v>
      </c>
      <c r="H508" s="210" t="b">
        <f t="shared" si="16"/>
        <v>1</v>
      </c>
      <c r="I508" s="210"/>
      <c r="J508" s="210"/>
    </row>
    <row r="509" spans="1:10" ht="13.8" x14ac:dyDescent="0.25">
      <c r="A509" s="7" t="s">
        <v>3505</v>
      </c>
      <c r="B509" s="59" t="s">
        <v>511</v>
      </c>
      <c r="C509" s="38" t="s">
        <v>191</v>
      </c>
      <c r="D509" s="59"/>
      <c r="E509" s="59"/>
      <c r="F509" s="39"/>
      <c r="G509" s="39">
        <f>SUM(G510,G513,G517,G520,G522)</f>
        <v>6555695000</v>
      </c>
      <c r="H509" s="210" t="b">
        <f t="shared" si="16"/>
        <v>1</v>
      </c>
      <c r="I509" s="210"/>
      <c r="J509" s="210"/>
    </row>
    <row r="510" spans="1:10" ht="13.8" x14ac:dyDescent="0.25">
      <c r="A510" s="7" t="s">
        <v>3506</v>
      </c>
      <c r="B510" s="60">
        <v>521211</v>
      </c>
      <c r="C510" s="41" t="s">
        <v>7</v>
      </c>
      <c r="D510" s="60"/>
      <c r="E510" s="60"/>
      <c r="F510" s="42"/>
      <c r="G510" s="42">
        <f>SUM(G511:G512)</f>
        <v>25000000</v>
      </c>
      <c r="H510" s="210" t="b">
        <f t="shared" si="16"/>
        <v>1</v>
      </c>
      <c r="I510" s="210"/>
      <c r="J510" s="210"/>
    </row>
    <row r="511" spans="1:10" ht="13.8" x14ac:dyDescent="0.25">
      <c r="A511" s="7" t="s">
        <v>3507</v>
      </c>
      <c r="B511" s="152"/>
      <c r="C511" s="151" t="s">
        <v>4612</v>
      </c>
      <c r="D511" s="152">
        <v>100</v>
      </c>
      <c r="E511" s="152" t="s">
        <v>10</v>
      </c>
      <c r="F511" s="153">
        <v>70000</v>
      </c>
      <c r="G511" s="153">
        <f>ROUNDDOWN(D511*F511,-3)</f>
        <v>7000000</v>
      </c>
      <c r="H511" s="210" t="b">
        <f t="shared" si="16"/>
        <v>1</v>
      </c>
      <c r="I511" s="210"/>
      <c r="J511" s="210"/>
    </row>
    <row r="512" spans="1:10" ht="13.8" x14ac:dyDescent="0.25">
      <c r="A512" s="7" t="s">
        <v>3508</v>
      </c>
      <c r="B512" s="152"/>
      <c r="C512" s="151" t="s">
        <v>4613</v>
      </c>
      <c r="D512" s="152">
        <v>12</v>
      </c>
      <c r="E512" s="152" t="s">
        <v>9</v>
      </c>
      <c r="F512" s="153">
        <v>1500000</v>
      </c>
      <c r="G512" s="153">
        <f>ROUNDDOWN(D512*F512,-3)</f>
        <v>18000000</v>
      </c>
      <c r="H512" s="210" t="b">
        <f t="shared" si="16"/>
        <v>1</v>
      </c>
      <c r="I512" s="210"/>
      <c r="J512" s="210"/>
    </row>
    <row r="513" spans="1:10" ht="13.8" x14ac:dyDescent="0.25">
      <c r="A513" s="7" t="s">
        <v>3509</v>
      </c>
      <c r="B513" s="60">
        <v>521219</v>
      </c>
      <c r="C513" s="41" t="s">
        <v>53</v>
      </c>
      <c r="D513" s="60"/>
      <c r="E513" s="60"/>
      <c r="F513" s="42"/>
      <c r="G513" s="42">
        <f>SUM(G514:G516)</f>
        <v>6308695000</v>
      </c>
      <c r="H513" s="210" t="b">
        <f t="shared" si="16"/>
        <v>1</v>
      </c>
      <c r="I513" s="210"/>
      <c r="J513" s="210"/>
    </row>
    <row r="514" spans="1:10" ht="13.8" x14ac:dyDescent="0.25">
      <c r="A514" s="7" t="s">
        <v>3510</v>
      </c>
      <c r="B514" s="152"/>
      <c r="C514" s="151" t="s">
        <v>4616</v>
      </c>
      <c r="D514" s="152">
        <v>157</v>
      </c>
      <c r="E514" s="152" t="s">
        <v>155</v>
      </c>
      <c r="F514" s="153">
        <v>40130229</v>
      </c>
      <c r="G514" s="153">
        <f>ROUNDDOWN(D514*F514,-3)</f>
        <v>6300445000</v>
      </c>
      <c r="H514" s="210" t="b">
        <f t="shared" si="16"/>
        <v>1</v>
      </c>
      <c r="I514" s="210"/>
      <c r="J514" s="210"/>
    </row>
    <row r="515" spans="1:10" ht="13.8" x14ac:dyDescent="0.25">
      <c r="A515" s="7" t="s">
        <v>3511</v>
      </c>
      <c r="B515" s="152"/>
      <c r="C515" s="151" t="s">
        <v>4617</v>
      </c>
      <c r="D515" s="152">
        <v>3</v>
      </c>
      <c r="E515" s="152" t="s">
        <v>9</v>
      </c>
      <c r="F515" s="153">
        <v>250000</v>
      </c>
      <c r="G515" s="153">
        <f>ROUNDDOWN(D515*F515,-3)</f>
        <v>750000</v>
      </c>
      <c r="H515" s="210" t="b">
        <f t="shared" si="16"/>
        <v>1</v>
      </c>
      <c r="I515" s="210"/>
      <c r="J515" s="210"/>
    </row>
    <row r="516" spans="1:10" ht="13.8" x14ac:dyDescent="0.25">
      <c r="A516" s="7" t="s">
        <v>3512</v>
      </c>
      <c r="B516" s="152"/>
      <c r="C516" s="151" t="s">
        <v>4621</v>
      </c>
      <c r="D516" s="152">
        <v>15</v>
      </c>
      <c r="E516" s="152" t="s">
        <v>106</v>
      </c>
      <c r="F516" s="153">
        <v>500000</v>
      </c>
      <c r="G516" s="153">
        <f>ROUNDDOWN(D516*F516,-3)</f>
        <v>7500000</v>
      </c>
      <c r="H516" s="210" t="b">
        <f t="shared" si="16"/>
        <v>1</v>
      </c>
      <c r="I516" s="210"/>
      <c r="J516" s="210"/>
    </row>
    <row r="517" spans="1:10" ht="13.8" x14ac:dyDescent="0.25">
      <c r="A517" s="7" t="s">
        <v>3514</v>
      </c>
      <c r="B517" s="60">
        <v>521811</v>
      </c>
      <c r="C517" s="41" t="s">
        <v>64</v>
      </c>
      <c r="D517" s="60"/>
      <c r="E517" s="60"/>
      <c r="F517" s="42"/>
      <c r="G517" s="42">
        <f>SUM(G518:G519)</f>
        <v>30000000</v>
      </c>
      <c r="H517" s="210" t="b">
        <f t="shared" si="16"/>
        <v>1</v>
      </c>
      <c r="I517" s="210"/>
      <c r="J517" s="210"/>
    </row>
    <row r="518" spans="1:10" ht="13.8" x14ac:dyDescent="0.25">
      <c r="A518" s="7" t="s">
        <v>3515</v>
      </c>
      <c r="B518" s="152"/>
      <c r="C518" s="151" t="s">
        <v>4269</v>
      </c>
      <c r="D518" s="152">
        <v>12</v>
      </c>
      <c r="E518" s="152" t="s">
        <v>9</v>
      </c>
      <c r="F518" s="153">
        <v>1000000</v>
      </c>
      <c r="G518" s="153">
        <f>ROUNDDOWN(D518*F518,-3)</f>
        <v>12000000</v>
      </c>
      <c r="H518" s="210" t="b">
        <f t="shared" si="16"/>
        <v>1</v>
      </c>
      <c r="I518" s="210"/>
      <c r="J518" s="210"/>
    </row>
    <row r="519" spans="1:10" ht="13.8" x14ac:dyDescent="0.25">
      <c r="A519" s="7" t="s">
        <v>3516</v>
      </c>
      <c r="B519" s="152"/>
      <c r="C519" s="151" t="s">
        <v>3632</v>
      </c>
      <c r="D519" s="152">
        <v>12</v>
      </c>
      <c r="E519" s="152" t="s">
        <v>9</v>
      </c>
      <c r="F519" s="153">
        <v>1500000</v>
      </c>
      <c r="G519" s="153">
        <f>ROUNDDOWN(D519*F519,-3)</f>
        <v>18000000</v>
      </c>
      <c r="H519" s="210" t="b">
        <f t="shared" si="16"/>
        <v>1</v>
      </c>
      <c r="I519" s="210"/>
      <c r="J519" s="210"/>
    </row>
    <row r="520" spans="1:10" ht="13.8" x14ac:dyDescent="0.25">
      <c r="A520" s="7" t="s">
        <v>3517</v>
      </c>
      <c r="B520" s="60">
        <v>522151</v>
      </c>
      <c r="C520" s="41" t="s">
        <v>11</v>
      </c>
      <c r="D520" s="60"/>
      <c r="E520" s="60"/>
      <c r="F520" s="42"/>
      <c r="G520" s="42">
        <f>G521</f>
        <v>6000000</v>
      </c>
      <c r="H520" s="210" t="b">
        <f t="shared" si="16"/>
        <v>1</v>
      </c>
      <c r="I520" s="210"/>
      <c r="J520" s="210"/>
    </row>
    <row r="521" spans="1:10" ht="13.8" x14ac:dyDescent="0.25">
      <c r="A521" s="7" t="s">
        <v>3518</v>
      </c>
      <c r="B521" s="152"/>
      <c r="C521" s="151" t="s">
        <v>3715</v>
      </c>
      <c r="D521" s="152">
        <v>6</v>
      </c>
      <c r="E521" s="152" t="s">
        <v>12</v>
      </c>
      <c r="F521" s="153">
        <v>1000000</v>
      </c>
      <c r="G521" s="153">
        <f>ROUNDDOWN(D521*F521,-3)</f>
        <v>6000000</v>
      </c>
      <c r="H521" s="210" t="b">
        <f t="shared" si="16"/>
        <v>1</v>
      </c>
      <c r="I521" s="210"/>
      <c r="J521" s="210"/>
    </row>
    <row r="522" spans="1:10" ht="13.8" x14ac:dyDescent="0.25">
      <c r="A522" s="7" t="s">
        <v>3519</v>
      </c>
      <c r="B522" s="60">
        <v>524111</v>
      </c>
      <c r="C522" s="41" t="s">
        <v>19</v>
      </c>
      <c r="D522" s="60"/>
      <c r="E522" s="60"/>
      <c r="F522" s="42"/>
      <c r="G522" s="42">
        <f>SUM(G523:G524)</f>
        <v>186000000</v>
      </c>
      <c r="H522" s="210" t="b">
        <f t="shared" si="16"/>
        <v>1</v>
      </c>
      <c r="I522" s="210"/>
      <c r="J522" s="210"/>
    </row>
    <row r="523" spans="1:10" ht="13.8" x14ac:dyDescent="0.25">
      <c r="A523" s="7" t="s">
        <v>3520</v>
      </c>
      <c r="B523" s="152"/>
      <c r="C523" s="151" t="s">
        <v>4619</v>
      </c>
      <c r="D523" s="152">
        <v>20</v>
      </c>
      <c r="E523" s="152" t="s">
        <v>10</v>
      </c>
      <c r="F523" s="153">
        <v>1500000</v>
      </c>
      <c r="G523" s="153">
        <f>ROUNDDOWN(D523*F523,-3)</f>
        <v>30000000</v>
      </c>
      <c r="H523" s="210" t="b">
        <f t="shared" si="16"/>
        <v>1</v>
      </c>
      <c r="I523" s="210"/>
      <c r="J523" s="210"/>
    </row>
    <row r="524" spans="1:10" ht="26.4" x14ac:dyDescent="0.25">
      <c r="A524" s="7" t="s">
        <v>3521</v>
      </c>
      <c r="B524" s="152"/>
      <c r="C524" s="151" t="s">
        <v>4620</v>
      </c>
      <c r="D524" s="152">
        <v>24</v>
      </c>
      <c r="E524" s="152" t="s">
        <v>10</v>
      </c>
      <c r="F524" s="153">
        <v>6500000</v>
      </c>
      <c r="G524" s="153">
        <f>ROUNDDOWN(D524*F524,-3)</f>
        <v>156000000</v>
      </c>
      <c r="H524" s="210" t="b">
        <f t="shared" si="16"/>
        <v>1</v>
      </c>
      <c r="I524" s="210"/>
      <c r="J524" s="210"/>
    </row>
    <row r="525" spans="1:10" ht="13.8" x14ac:dyDescent="0.25">
      <c r="A525" s="7" t="s">
        <v>3522</v>
      </c>
      <c r="B525" s="59" t="s">
        <v>512</v>
      </c>
      <c r="C525" s="38" t="s">
        <v>192</v>
      </c>
      <c r="D525" s="59"/>
      <c r="E525" s="59"/>
      <c r="F525" s="39"/>
      <c r="G525" s="39">
        <f>SUM(G526,G530,G532)</f>
        <v>174041000</v>
      </c>
      <c r="H525" s="210" t="b">
        <f t="shared" si="16"/>
        <v>1</v>
      </c>
      <c r="I525" s="210"/>
      <c r="J525" s="210"/>
    </row>
    <row r="526" spans="1:10" ht="13.8" x14ac:dyDescent="0.25">
      <c r="A526" s="7" t="s">
        <v>3523</v>
      </c>
      <c r="B526" s="60">
        <v>521211</v>
      </c>
      <c r="C526" s="41" t="s">
        <v>7</v>
      </c>
      <c r="D526" s="60"/>
      <c r="E526" s="60"/>
      <c r="F526" s="42"/>
      <c r="G526" s="42">
        <f>SUM(G527:G529)</f>
        <v>12000000</v>
      </c>
      <c r="H526" s="210" t="b">
        <f t="shared" si="16"/>
        <v>1</v>
      </c>
      <c r="I526" s="210"/>
      <c r="J526" s="210"/>
    </row>
    <row r="527" spans="1:10" ht="13.8" x14ac:dyDescent="0.25">
      <c r="A527" s="7" t="s">
        <v>3524</v>
      </c>
      <c r="B527" s="152"/>
      <c r="C527" s="151" t="s">
        <v>4622</v>
      </c>
      <c r="D527" s="152">
        <v>3</v>
      </c>
      <c r="E527" s="152" t="s">
        <v>9</v>
      </c>
      <c r="F527" s="153">
        <v>1500000</v>
      </c>
      <c r="G527" s="153">
        <f>ROUNDDOWN(D527*F527,-3)</f>
        <v>4500000</v>
      </c>
      <c r="H527" s="210" t="b">
        <f t="shared" si="16"/>
        <v>1</v>
      </c>
      <c r="I527" s="210"/>
      <c r="J527" s="210"/>
    </row>
    <row r="528" spans="1:10" ht="13.8" x14ac:dyDescent="0.25">
      <c r="A528" s="7" t="s">
        <v>3525</v>
      </c>
      <c r="B528" s="152"/>
      <c r="C528" s="151" t="s">
        <v>3626</v>
      </c>
      <c r="D528" s="152">
        <v>3</v>
      </c>
      <c r="E528" s="152" t="s">
        <v>9</v>
      </c>
      <c r="F528" s="153">
        <v>1000000</v>
      </c>
      <c r="G528" s="153">
        <f>ROUNDDOWN(D528*F528,-3)</f>
        <v>3000000</v>
      </c>
      <c r="H528" s="210" t="b">
        <f t="shared" si="16"/>
        <v>1</v>
      </c>
      <c r="I528" s="210"/>
      <c r="J528" s="210"/>
    </row>
    <row r="529" spans="1:10" ht="13.8" x14ac:dyDescent="0.25">
      <c r="A529" s="7" t="s">
        <v>3526</v>
      </c>
      <c r="B529" s="152"/>
      <c r="C529" s="151" t="s">
        <v>3600</v>
      </c>
      <c r="D529" s="152">
        <v>3</v>
      </c>
      <c r="E529" s="152" t="s">
        <v>9</v>
      </c>
      <c r="F529" s="153">
        <v>1500000</v>
      </c>
      <c r="G529" s="153">
        <f>ROUNDDOWN(D529*F529,-3)</f>
        <v>4500000</v>
      </c>
      <c r="H529" s="210" t="b">
        <f t="shared" si="16"/>
        <v>1</v>
      </c>
      <c r="I529" s="210"/>
      <c r="J529" s="210"/>
    </row>
    <row r="530" spans="1:10" ht="13.8" x14ac:dyDescent="0.25">
      <c r="A530" s="7" t="s">
        <v>3527</v>
      </c>
      <c r="B530" s="60">
        <v>521219</v>
      </c>
      <c r="C530" s="41" t="s">
        <v>53</v>
      </c>
      <c r="D530" s="60"/>
      <c r="E530" s="60"/>
      <c r="F530" s="42"/>
      <c r="G530" s="42">
        <f>G531</f>
        <v>20000000</v>
      </c>
      <c r="H530" s="210" t="b">
        <f t="shared" si="16"/>
        <v>1</v>
      </c>
      <c r="I530" s="210"/>
      <c r="J530" s="210"/>
    </row>
    <row r="531" spans="1:10" ht="26.4" x14ac:dyDescent="0.25">
      <c r="A531" s="7" t="s">
        <v>3528</v>
      </c>
      <c r="B531" s="152"/>
      <c r="C531" s="151" t="s">
        <v>4623</v>
      </c>
      <c r="D531" s="152">
        <v>2</v>
      </c>
      <c r="E531" s="152" t="s">
        <v>155</v>
      </c>
      <c r="F531" s="153">
        <v>10000000</v>
      </c>
      <c r="G531" s="153">
        <f>ROUNDDOWN(D531*F531,-3)</f>
        <v>20000000</v>
      </c>
      <c r="H531" s="210" t="b">
        <f t="shared" si="16"/>
        <v>1</v>
      </c>
      <c r="I531" s="210"/>
      <c r="J531" s="210"/>
    </row>
    <row r="532" spans="1:10" ht="13.8" x14ac:dyDescent="0.25">
      <c r="A532" s="7" t="s">
        <v>3530</v>
      </c>
      <c r="B532" s="60">
        <v>524211</v>
      </c>
      <c r="C532" s="41" t="s">
        <v>1151</v>
      </c>
      <c r="D532" s="60"/>
      <c r="E532" s="60"/>
      <c r="F532" s="42"/>
      <c r="G532" s="42">
        <f>G533</f>
        <v>142041000</v>
      </c>
      <c r="H532" s="210" t="b">
        <f t="shared" si="16"/>
        <v>1</v>
      </c>
      <c r="I532" s="210"/>
      <c r="J532" s="210"/>
    </row>
    <row r="533" spans="1:10" ht="26.4" x14ac:dyDescent="0.25">
      <c r="A533" s="7" t="s">
        <v>3531</v>
      </c>
      <c r="B533" s="152"/>
      <c r="C533" s="151" t="s">
        <v>4624</v>
      </c>
      <c r="D533" s="152">
        <v>3</v>
      </c>
      <c r="E533" s="152" t="s">
        <v>10</v>
      </c>
      <c r="F533" s="153">
        <v>47347000</v>
      </c>
      <c r="G533" s="153">
        <f>ROUNDDOWN(D533*F533,-3)</f>
        <v>142041000</v>
      </c>
      <c r="H533" s="210" t="b">
        <f t="shared" si="16"/>
        <v>1</v>
      </c>
      <c r="I533" s="210"/>
      <c r="J533" s="210"/>
    </row>
    <row r="534" spans="1:10" ht="13.8" x14ac:dyDescent="0.25">
      <c r="A534" s="7" t="s">
        <v>3533</v>
      </c>
      <c r="B534" s="59" t="s">
        <v>514</v>
      </c>
      <c r="C534" s="38" t="s">
        <v>3534</v>
      </c>
      <c r="D534" s="59"/>
      <c r="E534" s="59"/>
      <c r="F534" s="39"/>
      <c r="G534" s="39">
        <f>G535</f>
        <v>30000000</v>
      </c>
      <c r="H534" s="210" t="b">
        <f t="shared" si="16"/>
        <v>1</v>
      </c>
      <c r="I534" s="210"/>
      <c r="J534" s="210"/>
    </row>
    <row r="535" spans="1:10" ht="13.8" x14ac:dyDescent="0.25">
      <c r="A535" s="7" t="s">
        <v>3535</v>
      </c>
      <c r="B535" s="60">
        <v>522192</v>
      </c>
      <c r="C535" s="41" t="s">
        <v>24</v>
      </c>
      <c r="D535" s="60"/>
      <c r="E535" s="60"/>
      <c r="F535" s="42"/>
      <c r="G535" s="42">
        <f>G536</f>
        <v>30000000</v>
      </c>
      <c r="H535" s="210" t="b">
        <f t="shared" si="16"/>
        <v>1</v>
      </c>
      <c r="I535" s="210"/>
      <c r="J535" s="210"/>
    </row>
    <row r="536" spans="1:10" ht="13.8" x14ac:dyDescent="0.25">
      <c r="A536" s="7" t="s">
        <v>3536</v>
      </c>
      <c r="B536" s="152"/>
      <c r="C536" s="151" t="s">
        <v>4625</v>
      </c>
      <c r="D536" s="152">
        <v>120</v>
      </c>
      <c r="E536" s="152" t="s">
        <v>776</v>
      </c>
      <c r="F536" s="153">
        <v>250000</v>
      </c>
      <c r="G536" s="153">
        <f>ROUNDDOWN(D536*F536,-3)</f>
        <v>30000000</v>
      </c>
      <c r="H536" s="210" t="b">
        <f t="shared" si="16"/>
        <v>1</v>
      </c>
      <c r="I536" s="210"/>
      <c r="J536" s="210"/>
    </row>
    <row r="537" spans="1:10" ht="13.8" x14ac:dyDescent="0.25">
      <c r="A537" s="7" t="s">
        <v>3538</v>
      </c>
      <c r="B537" s="58">
        <v>302</v>
      </c>
      <c r="C537" s="35" t="s">
        <v>193</v>
      </c>
      <c r="D537" s="58"/>
      <c r="E537" s="58"/>
      <c r="F537" s="36"/>
      <c r="G537" s="36">
        <f>G538</f>
        <v>109200000</v>
      </c>
      <c r="H537" s="210" t="b">
        <f t="shared" si="16"/>
        <v>1</v>
      </c>
      <c r="I537" s="210"/>
      <c r="J537" s="210"/>
    </row>
    <row r="538" spans="1:10" ht="13.8" x14ac:dyDescent="0.25">
      <c r="A538" s="7" t="s">
        <v>3539</v>
      </c>
      <c r="B538" s="59" t="s">
        <v>8</v>
      </c>
      <c r="C538" s="38" t="s">
        <v>193</v>
      </c>
      <c r="D538" s="59"/>
      <c r="E538" s="59"/>
      <c r="F538" s="39"/>
      <c r="G538" s="39">
        <f>SUM(G539,G542,G545)</f>
        <v>109200000</v>
      </c>
      <c r="H538" s="210" t="b">
        <f t="shared" si="16"/>
        <v>1</v>
      </c>
      <c r="I538" s="210"/>
      <c r="J538" s="210"/>
    </row>
    <row r="539" spans="1:10" ht="13.8" x14ac:dyDescent="0.25">
      <c r="A539" s="7" t="s">
        <v>3540</v>
      </c>
      <c r="B539" s="60">
        <v>521211</v>
      </c>
      <c r="C539" s="41" t="s">
        <v>7</v>
      </c>
      <c r="D539" s="60"/>
      <c r="E539" s="60"/>
      <c r="F539" s="42"/>
      <c r="G539" s="42">
        <f>SUM(G540:G541)</f>
        <v>25000000</v>
      </c>
      <c r="H539" s="210" t="b">
        <f t="shared" si="16"/>
        <v>1</v>
      </c>
      <c r="I539" s="210"/>
      <c r="J539" s="210"/>
    </row>
    <row r="540" spans="1:10" ht="13.8" x14ac:dyDescent="0.25">
      <c r="A540" s="7" t="s">
        <v>3541</v>
      </c>
      <c r="B540" s="152"/>
      <c r="C540" s="151" t="s">
        <v>4612</v>
      </c>
      <c r="D540" s="152">
        <v>100</v>
      </c>
      <c r="E540" s="152" t="s">
        <v>10</v>
      </c>
      <c r="F540" s="153">
        <v>70000</v>
      </c>
      <c r="G540" s="153">
        <f>ROUNDDOWN(D540*F540,-3)</f>
        <v>7000000</v>
      </c>
      <c r="H540" s="210" t="b">
        <f t="shared" si="16"/>
        <v>1</v>
      </c>
      <c r="I540" s="210"/>
      <c r="J540" s="210"/>
    </row>
    <row r="541" spans="1:10" ht="13.8" x14ac:dyDescent="0.25">
      <c r="A541" s="7" t="s">
        <v>3542</v>
      </c>
      <c r="B541" s="152"/>
      <c r="C541" s="151" t="s">
        <v>4613</v>
      </c>
      <c r="D541" s="152">
        <v>12</v>
      </c>
      <c r="E541" s="152" t="s">
        <v>9</v>
      </c>
      <c r="F541" s="153">
        <v>1500000</v>
      </c>
      <c r="G541" s="153">
        <f>ROUNDDOWN(D541*F541,-3)</f>
        <v>18000000</v>
      </c>
      <c r="H541" s="210" t="b">
        <f t="shared" si="16"/>
        <v>1</v>
      </c>
      <c r="I541" s="210"/>
      <c r="J541" s="210"/>
    </row>
    <row r="542" spans="1:10" ht="13.8" x14ac:dyDescent="0.25">
      <c r="A542" s="7" t="s">
        <v>3543</v>
      </c>
      <c r="B542" s="60">
        <v>521811</v>
      </c>
      <c r="C542" s="41" t="s">
        <v>64</v>
      </c>
      <c r="D542" s="60"/>
      <c r="E542" s="60"/>
      <c r="F542" s="42"/>
      <c r="G542" s="42">
        <f>SUM(G543:G544)</f>
        <v>30000000</v>
      </c>
      <c r="H542" s="210" t="b">
        <f t="shared" si="16"/>
        <v>1</v>
      </c>
      <c r="I542" s="210"/>
      <c r="J542" s="210"/>
    </row>
    <row r="543" spans="1:10" ht="13.8" x14ac:dyDescent="0.25">
      <c r="A543" s="7" t="s">
        <v>3544</v>
      </c>
      <c r="B543" s="152"/>
      <c r="C543" s="151" t="s">
        <v>4269</v>
      </c>
      <c r="D543" s="152">
        <v>12</v>
      </c>
      <c r="E543" s="152" t="s">
        <v>9</v>
      </c>
      <c r="F543" s="153">
        <v>1000000</v>
      </c>
      <c r="G543" s="153">
        <f>ROUNDDOWN(D543*F543,-3)</f>
        <v>12000000</v>
      </c>
      <c r="H543" s="210" t="b">
        <f t="shared" si="16"/>
        <v>1</v>
      </c>
      <c r="I543" s="210"/>
      <c r="J543" s="210"/>
    </row>
    <row r="544" spans="1:10" ht="13.8" x14ac:dyDescent="0.25">
      <c r="A544" s="7" t="s">
        <v>3545</v>
      </c>
      <c r="B544" s="152"/>
      <c r="C544" s="151" t="s">
        <v>3632</v>
      </c>
      <c r="D544" s="152">
        <v>12</v>
      </c>
      <c r="E544" s="152" t="s">
        <v>9</v>
      </c>
      <c r="F544" s="153">
        <v>1500000</v>
      </c>
      <c r="G544" s="153">
        <f>ROUNDDOWN(D544*F544,-3)</f>
        <v>18000000</v>
      </c>
      <c r="H544" s="210" t="b">
        <f t="shared" si="16"/>
        <v>1</v>
      </c>
      <c r="I544" s="210"/>
      <c r="J544" s="210"/>
    </row>
    <row r="545" spans="1:10" ht="13.8" x14ac:dyDescent="0.25">
      <c r="A545" s="7" t="s">
        <v>3546</v>
      </c>
      <c r="B545" s="60">
        <v>524111</v>
      </c>
      <c r="C545" s="41" t="s">
        <v>19</v>
      </c>
      <c r="D545" s="60"/>
      <c r="E545" s="60"/>
      <c r="F545" s="42"/>
      <c r="G545" s="42">
        <f>G546</f>
        <v>54200000</v>
      </c>
      <c r="H545" s="210" t="b">
        <f t="shared" si="16"/>
        <v>1</v>
      </c>
      <c r="I545" s="210"/>
      <c r="J545" s="210"/>
    </row>
    <row r="546" spans="1:10" ht="26.4" x14ac:dyDescent="0.25">
      <c r="A546" s="7" t="s">
        <v>3547</v>
      </c>
      <c r="B546" s="152"/>
      <c r="C546" s="151" t="s">
        <v>4626</v>
      </c>
      <c r="D546" s="152">
        <v>10</v>
      </c>
      <c r="E546" s="152" t="s">
        <v>10</v>
      </c>
      <c r="F546" s="153">
        <v>5420000</v>
      </c>
      <c r="G546" s="153">
        <f>ROUNDDOWN(D546*F546,-3)</f>
        <v>54200000</v>
      </c>
      <c r="H546" s="210" t="b">
        <f t="shared" si="16"/>
        <v>1</v>
      </c>
      <c r="I546" s="210"/>
      <c r="J546" s="210"/>
    </row>
  </sheetData>
  <autoFilter ref="A11:H546" xr:uid="{5F23D4AB-6461-4F6C-ABE4-63EB0BAA35CF}"/>
  <mergeCells count="9">
    <mergeCell ref="K9:M9"/>
    <mergeCell ref="B1:G1"/>
    <mergeCell ref="B2:G2"/>
    <mergeCell ref="B9:B10"/>
    <mergeCell ref="C9:C10"/>
    <mergeCell ref="D9:D10"/>
    <mergeCell ref="E9:E10"/>
    <mergeCell ref="F9:F10"/>
    <mergeCell ref="G9:G10"/>
  </mergeCells>
  <conditionalFormatting sqref="G12:J12 G13:G517 H13:J546">
    <cfRule type="expression" dxfId="588" priority="14">
      <formula>NOT(_xlfn.ISFORMULA(G12))</formula>
    </cfRule>
  </conditionalFormatting>
  <conditionalFormatting sqref="B11:J12 H13:J546">
    <cfRule type="expression" dxfId="587" priority="15">
      <formula>AND(#REF!="Ya",#REF!=ROW())</formula>
    </cfRule>
  </conditionalFormatting>
  <conditionalFormatting sqref="B518:F518 G543:G544 G540:G541 G536 G533 G531 G527:G529 G523:G524 G521 G518:G519 B13:G517">
    <cfRule type="expression" dxfId="586" priority="13">
      <formula>AND($R$4="Ya",$Q$2=ROW())</formula>
    </cfRule>
  </conditionalFormatting>
  <conditionalFormatting sqref="G546">
    <cfRule type="expression" dxfId="585" priority="12">
      <formula>AND($R$4="Ya",$Q$2=ROW())</formula>
    </cfRule>
  </conditionalFormatting>
  <conditionalFormatting sqref="G546 G543:G544 G540:G541 G536 G533 G531 G527:G529 G523:G524 G521 G518:G519">
    <cfRule type="expression" dxfId="584" priority="11">
      <formula>NOT(_xlfn.ISFORMULA(G518))</formula>
    </cfRule>
  </conditionalFormatting>
  <conditionalFormatting sqref="G530">
    <cfRule type="expression" dxfId="583" priority="10">
      <formula>NOT(_xlfn.ISFORMULA(G530))</formula>
    </cfRule>
  </conditionalFormatting>
  <conditionalFormatting sqref="G530">
    <cfRule type="expression" dxfId="582" priority="9">
      <formula>AND($R$4="Ya",$Q$2=ROW())</formula>
    </cfRule>
  </conditionalFormatting>
  <conditionalFormatting sqref="G520">
    <cfRule type="expression" dxfId="581" priority="8">
      <formula>NOT(_xlfn.ISFORMULA(G520))</formula>
    </cfRule>
  </conditionalFormatting>
  <conditionalFormatting sqref="G520">
    <cfRule type="expression" dxfId="580" priority="7">
      <formula>AND($R$4="Ya",$Q$2=ROW())</formula>
    </cfRule>
  </conditionalFormatting>
  <conditionalFormatting sqref="G545">
    <cfRule type="expression" dxfId="579" priority="6">
      <formula>NOT(_xlfn.ISFORMULA(G545))</formula>
    </cfRule>
  </conditionalFormatting>
  <conditionalFormatting sqref="G545">
    <cfRule type="expression" dxfId="578" priority="5">
      <formula>AND($R$4="Ya",$Q$2=ROW())</formula>
    </cfRule>
  </conditionalFormatting>
  <conditionalFormatting sqref="G542">
    <cfRule type="expression" dxfId="577" priority="4">
      <formula>NOT(_xlfn.ISFORMULA(G542))</formula>
    </cfRule>
  </conditionalFormatting>
  <conditionalFormatting sqref="G542">
    <cfRule type="expression" dxfId="576" priority="3">
      <formula>AND($R$4="Ya",$Q$2=ROW())</formula>
    </cfRule>
  </conditionalFormatting>
  <conditionalFormatting sqref="G539">
    <cfRule type="expression" dxfId="575" priority="2">
      <formula>NOT(_xlfn.ISFORMULA(G539))</formula>
    </cfRule>
  </conditionalFormatting>
  <conditionalFormatting sqref="G539">
    <cfRule type="expression" dxfId="574"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59" fitToHeight="0" orientation="portrait" r:id="rId1"/>
  <headerFooter>
    <oddFooter>&amp;LDIPA Revisi 1 POK 1 TA. 2022&amp;RHal &amp;P dari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555" activePane="bottomRight" state="frozen"/>
      <selection activeCell="B1" sqref="B1"/>
      <selection pane="topRight" activeCell="D1" sqref="D1"/>
      <selection pane="bottomLeft" activeCell="B12" sqref="B12"/>
      <selection pane="bottomRight" activeCell="C536" sqref="C536"/>
    </sheetView>
  </sheetViews>
  <sheetFormatPr defaultColWidth="9.109375" defaultRowHeight="13.2" x14ac:dyDescent="0.25"/>
  <cols>
    <col min="1" max="1" width="37.109375" style="178" bestFit="1" customWidth="1"/>
    <col min="2" max="2" width="18" style="173" bestFit="1" customWidth="1"/>
    <col min="3" max="3" width="83.88671875" style="181" bestFit="1" customWidth="1"/>
    <col min="4" max="4" width="7" style="174" bestFit="1" customWidth="1"/>
    <col min="5" max="5" width="9.5546875" style="174" customWidth="1"/>
    <col min="6" max="6" width="14" style="182" bestFit="1" customWidth="1"/>
    <col min="7" max="7" width="15" style="182" bestFit="1" customWidth="1"/>
    <col min="8" max="8" width="7" style="182" bestFit="1" customWidth="1"/>
    <col min="9" max="10" width="16.88671875" style="182" customWidth="1"/>
    <col min="11" max="11" width="5" style="117" bestFit="1" customWidth="1"/>
    <col min="12" max="12" width="4.6640625" style="117" bestFit="1" customWidth="1"/>
    <col min="13" max="13" width="3.44140625" style="117" bestFit="1" customWidth="1"/>
    <col min="14" max="14" width="10.33203125" style="117" bestFit="1" customWidth="1"/>
    <col min="15" max="15" width="7.44140625" style="117" bestFit="1" customWidth="1"/>
    <col min="16" max="16" width="6.33203125" style="117" bestFit="1" customWidth="1"/>
    <col min="17" max="17" width="4.33203125" style="117" bestFit="1" customWidth="1"/>
    <col min="18" max="18" width="4.88671875" style="117" bestFit="1" customWidth="1"/>
    <col min="19" max="19" width="4.5546875" style="117" bestFit="1" customWidth="1"/>
    <col min="20" max="20" width="9.88671875" style="117" bestFit="1" customWidth="1"/>
    <col min="21" max="21" width="12.5546875" style="117" bestFit="1" customWidth="1"/>
    <col min="22" max="22" width="10" style="117" bestFit="1" customWidth="1"/>
    <col min="23" max="23" width="11.6640625" style="117" bestFit="1" customWidth="1"/>
    <col min="24" max="24" width="11.5546875" style="117" bestFit="1" customWidth="1"/>
    <col min="25" max="16384" width="9.109375" style="117"/>
  </cols>
  <sheetData>
    <row r="1" spans="1:24" ht="15.6" x14ac:dyDescent="0.25">
      <c r="B1" s="424" t="s">
        <v>598</v>
      </c>
      <c r="C1" s="424"/>
      <c r="D1" s="424"/>
      <c r="E1" s="424"/>
      <c r="F1" s="424"/>
      <c r="G1" s="432"/>
      <c r="H1" s="214"/>
      <c r="I1" s="233"/>
      <c r="J1" s="233"/>
    </row>
    <row r="2" spans="1:24" ht="15.6" x14ac:dyDescent="0.3">
      <c r="B2" s="433" t="s">
        <v>4628</v>
      </c>
      <c r="C2" s="433"/>
      <c r="D2" s="433"/>
      <c r="E2" s="433"/>
      <c r="F2" s="433"/>
      <c r="G2" s="434"/>
      <c r="H2" s="216"/>
      <c r="I2" s="234"/>
      <c r="J2" s="234"/>
    </row>
    <row r="3" spans="1:24" ht="15.6" x14ac:dyDescent="0.3">
      <c r="B3" s="215"/>
      <c r="C3" s="215"/>
      <c r="D3" s="215"/>
      <c r="E3" s="215"/>
      <c r="F3" s="215"/>
      <c r="G3" s="216"/>
      <c r="H3" s="216"/>
      <c r="I3" s="234"/>
      <c r="J3" s="234"/>
    </row>
    <row r="4" spans="1:24" ht="15" x14ac:dyDescent="0.25">
      <c r="B4" s="185" t="s">
        <v>599</v>
      </c>
      <c r="C4" s="185" t="s">
        <v>600</v>
      </c>
      <c r="D4" s="186"/>
      <c r="E4" s="186"/>
      <c r="F4" s="185"/>
      <c r="G4" s="187"/>
      <c r="H4" s="187"/>
      <c r="I4" s="187"/>
      <c r="J4" s="187"/>
    </row>
    <row r="5" spans="1:24" ht="15" x14ac:dyDescent="0.25">
      <c r="B5" s="185" t="s">
        <v>601</v>
      </c>
      <c r="C5" s="185" t="s">
        <v>602</v>
      </c>
      <c r="D5" s="53"/>
      <c r="E5" s="53"/>
      <c r="F5" s="50"/>
      <c r="G5" s="143"/>
      <c r="H5" s="143"/>
      <c r="I5" s="143"/>
      <c r="J5" s="143"/>
    </row>
    <row r="6" spans="1:24" ht="15" x14ac:dyDescent="0.25">
      <c r="B6" s="185" t="s">
        <v>603</v>
      </c>
      <c r="C6" s="185" t="s">
        <v>604</v>
      </c>
      <c r="D6" s="53"/>
      <c r="E6" s="53"/>
      <c r="F6" s="50"/>
      <c r="G6" s="143"/>
      <c r="H6" s="143"/>
      <c r="I6" s="143"/>
      <c r="J6" s="143"/>
    </row>
    <row r="7" spans="1:24" ht="15.6" x14ac:dyDescent="0.3">
      <c r="B7" s="185" t="s">
        <v>605</v>
      </c>
      <c r="C7" s="188" t="str">
        <f>":  Rp. " &amp; TEXT(G12,"#.##")</f>
        <v>:  Rp. 23.342.160.000</v>
      </c>
      <c r="D7" s="53"/>
      <c r="E7" s="53"/>
      <c r="F7" s="50"/>
      <c r="G7" s="143"/>
      <c r="H7" s="143"/>
      <c r="I7" s="143"/>
      <c r="J7" s="143"/>
    </row>
    <row r="8" spans="1:24" ht="15" x14ac:dyDescent="0.25">
      <c r="B8" s="189"/>
      <c r="C8" s="189"/>
      <c r="D8" s="189"/>
      <c r="E8" s="189"/>
      <c r="F8" s="189"/>
      <c r="G8" s="190"/>
      <c r="H8" s="190"/>
      <c r="I8" s="190"/>
      <c r="J8" s="190"/>
    </row>
    <row r="9" spans="1:24" ht="13.8" x14ac:dyDescent="0.25">
      <c r="B9" s="435" t="s">
        <v>606</v>
      </c>
      <c r="C9" s="436" t="s">
        <v>607</v>
      </c>
      <c r="D9" s="437" t="s">
        <v>608</v>
      </c>
      <c r="E9" s="435" t="s">
        <v>609</v>
      </c>
      <c r="F9" s="437" t="s">
        <v>610</v>
      </c>
      <c r="G9" s="431" t="s">
        <v>611</v>
      </c>
      <c r="H9" s="208"/>
      <c r="I9" s="208"/>
      <c r="J9" s="208"/>
      <c r="K9" s="438" t="s">
        <v>4629</v>
      </c>
      <c r="L9" s="438"/>
      <c r="M9" s="438"/>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3.8" x14ac:dyDescent="0.25">
      <c r="A10" s="179" t="s">
        <v>499</v>
      </c>
      <c r="B10" s="427"/>
      <c r="C10" s="427"/>
      <c r="D10" s="430"/>
      <c r="E10" s="430"/>
      <c r="F10" s="427"/>
      <c r="G10" s="427"/>
      <c r="H10" s="217"/>
      <c r="I10" s="217"/>
      <c r="J10" s="217"/>
      <c r="K10" s="218" t="s">
        <v>4641</v>
      </c>
      <c r="L10" s="218" t="s">
        <v>4642</v>
      </c>
      <c r="M10" s="218" t="s">
        <v>4643</v>
      </c>
    </row>
    <row r="11" spans="1:24" s="180" customFormat="1" x14ac:dyDescent="0.25">
      <c r="A11" s="179"/>
      <c r="B11" s="176">
        <v>1</v>
      </c>
      <c r="C11" s="176">
        <v>2</v>
      </c>
      <c r="D11" s="176">
        <v>3</v>
      </c>
      <c r="E11" s="176">
        <v>4</v>
      </c>
      <c r="F11" s="176">
        <v>5</v>
      </c>
      <c r="G11" s="177">
        <v>6</v>
      </c>
      <c r="H11" s="209"/>
      <c r="I11" s="209"/>
      <c r="J11" s="209"/>
    </row>
    <row r="12" spans="1:24" s="180" customFormat="1" x14ac:dyDescent="0.25">
      <c r="A12" s="179"/>
      <c r="B12" s="127" t="s">
        <v>4645</v>
      </c>
      <c r="C12" s="128" t="s">
        <v>613</v>
      </c>
      <c r="D12" s="129"/>
      <c r="E12" s="130"/>
      <c r="F12" s="129"/>
      <c r="G12" s="175">
        <f>SUM(G13,G114)</f>
        <v>23342160000</v>
      </c>
      <c r="H12" s="210" t="b">
        <f>_xlfn.ISFORMULA(G12)</f>
        <v>1</v>
      </c>
      <c r="I12" s="210"/>
      <c r="J12" s="210"/>
    </row>
    <row r="13" spans="1:24" ht="13.8" x14ac:dyDescent="0.25">
      <c r="A13" s="7" t="s">
        <v>0</v>
      </c>
      <c r="B13" s="54" t="s">
        <v>0</v>
      </c>
      <c r="C13" s="23" t="s">
        <v>1</v>
      </c>
      <c r="D13" s="54"/>
      <c r="E13" s="54"/>
      <c r="F13" s="24"/>
      <c r="G13" s="24">
        <f>G14</f>
        <v>1000000000</v>
      </c>
      <c r="H13" s="210" t="b">
        <f>_xlfn.ISFORMULA(G13)</f>
        <v>1</v>
      </c>
      <c r="I13" s="210"/>
      <c r="J13" s="210"/>
    </row>
    <row r="14" spans="1:24" ht="13.8" x14ac:dyDescent="0.25">
      <c r="A14" s="21" t="s">
        <v>419</v>
      </c>
      <c r="B14" s="55">
        <v>2376</v>
      </c>
      <c r="C14" s="26" t="s">
        <v>47</v>
      </c>
      <c r="D14" s="68"/>
      <c r="E14" s="55"/>
      <c r="F14" s="27"/>
      <c r="G14" s="27">
        <f>G15</f>
        <v>1000000000</v>
      </c>
      <c r="H14" s="210" t="b">
        <f t="shared" ref="H14:H77" si="0">_xlfn.ISFORMULA(G14)</f>
        <v>1</v>
      </c>
      <c r="I14" s="210"/>
      <c r="J14" s="210"/>
    </row>
    <row r="15" spans="1:24" ht="13.8" x14ac:dyDescent="0.25">
      <c r="A15" s="21" t="s">
        <v>420</v>
      </c>
      <c r="B15" s="135" t="s">
        <v>48</v>
      </c>
      <c r="C15" s="133" t="s">
        <v>615</v>
      </c>
      <c r="D15" s="134">
        <v>4</v>
      </c>
      <c r="E15" s="135" t="s">
        <v>3596</v>
      </c>
      <c r="F15" s="136"/>
      <c r="G15" s="136">
        <f>G16</f>
        <v>1000000000</v>
      </c>
      <c r="H15" s="210" t="b">
        <f t="shared" si="0"/>
        <v>1</v>
      </c>
      <c r="I15" s="210"/>
      <c r="J15" s="210"/>
    </row>
    <row r="16" spans="1:24" ht="13.8" x14ac:dyDescent="0.25">
      <c r="A16" s="21" t="s">
        <v>421</v>
      </c>
      <c r="B16" s="138" t="s">
        <v>3712</v>
      </c>
      <c r="C16" s="137" t="s">
        <v>49</v>
      </c>
      <c r="D16" s="138">
        <v>4</v>
      </c>
      <c r="E16" s="138" t="s">
        <v>3596</v>
      </c>
      <c r="F16" s="139"/>
      <c r="G16" s="139">
        <f>SUM(G17,G38,G49,G98)</f>
        <v>1000000000</v>
      </c>
      <c r="H16" s="210" t="b">
        <f t="shared" si="0"/>
        <v>1</v>
      </c>
      <c r="I16" s="210"/>
      <c r="J16" s="210"/>
    </row>
    <row r="17" spans="1:12" ht="13.8" x14ac:dyDescent="0.25">
      <c r="A17" s="21" t="s">
        <v>422</v>
      </c>
      <c r="B17" s="58" t="s">
        <v>502</v>
      </c>
      <c r="C17" s="35" t="s">
        <v>50</v>
      </c>
      <c r="D17" s="69"/>
      <c r="E17" s="58"/>
      <c r="F17" s="36"/>
      <c r="G17" s="36">
        <f>SUM(G18,G28)</f>
        <v>124100000</v>
      </c>
      <c r="H17" s="210" t="b">
        <f t="shared" si="0"/>
        <v>1</v>
      </c>
      <c r="I17" s="210"/>
      <c r="J17" s="210"/>
    </row>
    <row r="18" spans="1:12" ht="13.8" x14ac:dyDescent="0.25">
      <c r="A18" s="21" t="s">
        <v>423</v>
      </c>
      <c r="B18" s="59" t="s">
        <v>8</v>
      </c>
      <c r="C18" s="38" t="s">
        <v>51</v>
      </c>
      <c r="D18" s="59"/>
      <c r="E18" s="59"/>
      <c r="F18" s="39"/>
      <c r="G18" s="39">
        <f>SUM(G19,G24,G26)</f>
        <v>83135000</v>
      </c>
      <c r="H18" s="210" t="b">
        <f t="shared" si="0"/>
        <v>1</v>
      </c>
      <c r="I18" s="210"/>
      <c r="J18" s="210"/>
    </row>
    <row r="19" spans="1:12" ht="13.8" x14ac:dyDescent="0.25">
      <c r="A19" s="21" t="s">
        <v>424</v>
      </c>
      <c r="B19" s="60">
        <v>521211</v>
      </c>
      <c r="C19" s="41" t="s">
        <v>7</v>
      </c>
      <c r="D19" s="71"/>
      <c r="E19" s="60"/>
      <c r="F19" s="42"/>
      <c r="G19" s="42">
        <f>SUM(G20:G23)</f>
        <v>8375000</v>
      </c>
      <c r="H19" s="210" t="b">
        <f t="shared" si="0"/>
        <v>1</v>
      </c>
      <c r="I19" s="210"/>
      <c r="J19" s="210"/>
    </row>
    <row r="20" spans="1:12" ht="13.8" x14ac:dyDescent="0.25">
      <c r="A20" s="21" t="s">
        <v>425</v>
      </c>
      <c r="B20" s="152"/>
      <c r="C20" s="151" t="s">
        <v>3713</v>
      </c>
      <c r="D20" s="213">
        <v>65</v>
      </c>
      <c r="E20" s="152" t="s">
        <v>10</v>
      </c>
      <c r="F20" s="153">
        <v>75000</v>
      </c>
      <c r="G20" s="153">
        <f>ROUNDDOWN(D20*F20,-3)</f>
        <v>4875000</v>
      </c>
      <c r="H20" s="210" t="b">
        <f t="shared" si="0"/>
        <v>1</v>
      </c>
      <c r="I20" s="210"/>
      <c r="J20" s="210"/>
      <c r="L20" s="117" t="s">
        <v>4644</v>
      </c>
    </row>
    <row r="21" spans="1:12" ht="13.8" x14ac:dyDescent="0.25">
      <c r="A21" s="21" t="s">
        <v>426</v>
      </c>
      <c r="B21" s="152"/>
      <c r="C21" s="151" t="s">
        <v>3714</v>
      </c>
      <c r="D21" s="152">
        <v>1</v>
      </c>
      <c r="E21" s="152" t="s">
        <v>106</v>
      </c>
      <c r="F21" s="153">
        <v>1000000</v>
      </c>
      <c r="G21" s="153">
        <f>ROUNDDOWN(D21*F21,-3)</f>
        <v>1000000</v>
      </c>
      <c r="H21" s="210" t="b">
        <f t="shared" si="0"/>
        <v>1</v>
      </c>
      <c r="I21" s="210"/>
      <c r="J21" s="210"/>
    </row>
    <row r="22" spans="1:12" ht="13.8" x14ac:dyDescent="0.25">
      <c r="A22" s="21" t="s">
        <v>427</v>
      </c>
      <c r="B22" s="152"/>
      <c r="C22" s="151" t="s">
        <v>3600</v>
      </c>
      <c r="D22" s="213">
        <v>1</v>
      </c>
      <c r="E22" s="152" t="s">
        <v>106</v>
      </c>
      <c r="F22" s="153">
        <v>1000000</v>
      </c>
      <c r="G22" s="153">
        <f>ROUNDDOWN(D22*F22,-3)</f>
        <v>1000000</v>
      </c>
      <c r="H22" s="210" t="b">
        <f t="shared" si="0"/>
        <v>1</v>
      </c>
      <c r="I22" s="210"/>
      <c r="J22" s="210"/>
    </row>
    <row r="23" spans="1:12" ht="13.8" x14ac:dyDescent="0.25">
      <c r="A23" s="21" t="s">
        <v>428</v>
      </c>
      <c r="B23" s="152"/>
      <c r="C23" s="151" t="s">
        <v>3601</v>
      </c>
      <c r="D23" s="152">
        <v>1</v>
      </c>
      <c r="E23" s="152" t="s">
        <v>106</v>
      </c>
      <c r="F23" s="153">
        <v>1500000</v>
      </c>
      <c r="G23" s="153">
        <f>ROUNDDOWN(D23*F23,-3)</f>
        <v>1500000</v>
      </c>
      <c r="H23" s="210" t="b">
        <f t="shared" si="0"/>
        <v>1</v>
      </c>
      <c r="I23" s="210"/>
      <c r="J23" s="210"/>
    </row>
    <row r="24" spans="1:12" ht="13.8" x14ac:dyDescent="0.25">
      <c r="A24" s="21" t="s">
        <v>772</v>
      </c>
      <c r="B24" s="60">
        <v>522151</v>
      </c>
      <c r="C24" s="41" t="s">
        <v>11</v>
      </c>
      <c r="D24" s="71"/>
      <c r="E24" s="60"/>
      <c r="F24" s="42"/>
      <c r="G24" s="42">
        <f>G25</f>
        <v>1000000</v>
      </c>
      <c r="H24" s="210" t="b">
        <f>_xlfn.ISFORMULA(G24)</f>
        <v>1</v>
      </c>
      <c r="I24" s="210"/>
      <c r="J24" s="210"/>
    </row>
    <row r="25" spans="1:12" ht="13.8" x14ac:dyDescent="0.25">
      <c r="A25" s="21" t="s">
        <v>773</v>
      </c>
      <c r="B25" s="152"/>
      <c r="C25" s="151" t="s">
        <v>3715</v>
      </c>
      <c r="D25" s="152">
        <v>1</v>
      </c>
      <c r="E25" s="152" t="s">
        <v>54</v>
      </c>
      <c r="F25" s="153">
        <v>1000000</v>
      </c>
      <c r="G25" s="153">
        <f>ROUNDDOWN(D25*F25,-3)</f>
        <v>1000000</v>
      </c>
      <c r="H25" s="210" t="b">
        <f t="shared" si="0"/>
        <v>1</v>
      </c>
      <c r="I25" s="210"/>
      <c r="J25" s="210"/>
    </row>
    <row r="26" spans="1:12" ht="13.8" x14ac:dyDescent="0.25">
      <c r="A26" s="21" t="s">
        <v>429</v>
      </c>
      <c r="B26" s="60">
        <v>524111</v>
      </c>
      <c r="C26" s="41" t="s">
        <v>19</v>
      </c>
      <c r="D26" s="60"/>
      <c r="E26" s="60"/>
      <c r="F26" s="42"/>
      <c r="G26" s="42">
        <f>G27</f>
        <v>73760000</v>
      </c>
      <c r="H26" s="210" t="b">
        <f t="shared" si="0"/>
        <v>1</v>
      </c>
      <c r="I26" s="210"/>
      <c r="J26" s="210"/>
    </row>
    <row r="27" spans="1:12" ht="13.8" x14ac:dyDescent="0.25">
      <c r="A27" s="21" t="s">
        <v>430</v>
      </c>
      <c r="B27" s="152"/>
      <c r="C27" s="151" t="s">
        <v>3716</v>
      </c>
      <c r="D27" s="213">
        <v>12</v>
      </c>
      <c r="E27" s="152" t="s">
        <v>776</v>
      </c>
      <c r="F27" s="153">
        <v>6146667</v>
      </c>
      <c r="G27" s="153">
        <f>ROUNDDOWN(D27*F27,-3)</f>
        <v>73760000</v>
      </c>
      <c r="H27" s="210" t="b">
        <f t="shared" si="0"/>
        <v>1</v>
      </c>
      <c r="I27" s="210"/>
      <c r="J27" s="210"/>
    </row>
    <row r="28" spans="1:12" ht="13.8" x14ac:dyDescent="0.25">
      <c r="A28" s="21" t="s">
        <v>431</v>
      </c>
      <c r="B28" s="59" t="s">
        <v>511</v>
      </c>
      <c r="C28" s="38" t="s">
        <v>55</v>
      </c>
      <c r="D28" s="70"/>
      <c r="E28" s="59"/>
      <c r="F28" s="39"/>
      <c r="G28" s="39">
        <f>SUM(G29,G34,G36)</f>
        <v>40965000</v>
      </c>
      <c r="H28" s="210" t="b">
        <f t="shared" si="0"/>
        <v>1</v>
      </c>
      <c r="I28" s="210"/>
      <c r="J28" s="210"/>
    </row>
    <row r="29" spans="1:12" ht="13.8" x14ac:dyDescent="0.25">
      <c r="A29" s="21" t="s">
        <v>432</v>
      </c>
      <c r="B29" s="60">
        <v>521211</v>
      </c>
      <c r="C29" s="41" t="s">
        <v>7</v>
      </c>
      <c r="D29" s="71"/>
      <c r="E29" s="60"/>
      <c r="F29" s="42"/>
      <c r="G29" s="42">
        <f>SUM(G30:G33)</f>
        <v>6725000</v>
      </c>
      <c r="H29" s="210" t="b">
        <f t="shared" si="0"/>
        <v>1</v>
      </c>
      <c r="I29" s="210"/>
      <c r="J29" s="210"/>
    </row>
    <row r="30" spans="1:12" ht="13.8" x14ac:dyDescent="0.25">
      <c r="A30" s="21" t="s">
        <v>433</v>
      </c>
      <c r="B30" s="152"/>
      <c r="C30" s="151" t="s">
        <v>3713</v>
      </c>
      <c r="D30" s="152">
        <v>43</v>
      </c>
      <c r="E30" s="152" t="s">
        <v>10</v>
      </c>
      <c r="F30" s="153">
        <v>75000</v>
      </c>
      <c r="G30" s="153">
        <f>ROUNDDOWN(D30*F30,-3)</f>
        <v>3225000</v>
      </c>
      <c r="H30" s="210" t="b">
        <f t="shared" si="0"/>
        <v>1</v>
      </c>
      <c r="I30" s="210"/>
      <c r="J30" s="210"/>
    </row>
    <row r="31" spans="1:12" ht="13.8" x14ac:dyDescent="0.25">
      <c r="A31" s="21" t="s">
        <v>434</v>
      </c>
      <c r="B31" s="152"/>
      <c r="C31" s="151" t="s">
        <v>3714</v>
      </c>
      <c r="D31" s="213">
        <v>1</v>
      </c>
      <c r="E31" s="152" t="s">
        <v>106</v>
      </c>
      <c r="F31" s="153">
        <v>1000000</v>
      </c>
      <c r="G31" s="153">
        <f>ROUNDDOWN(D31*F31,-3)</f>
        <v>1000000</v>
      </c>
      <c r="H31" s="210" t="b">
        <f t="shared" si="0"/>
        <v>1</v>
      </c>
      <c r="I31" s="210"/>
      <c r="J31" s="210"/>
    </row>
    <row r="32" spans="1:12" ht="13.8" x14ac:dyDescent="0.25">
      <c r="A32" s="21" t="s">
        <v>435</v>
      </c>
      <c r="B32" s="152"/>
      <c r="C32" s="151" t="s">
        <v>3600</v>
      </c>
      <c r="D32" s="152">
        <v>1</v>
      </c>
      <c r="E32" s="152" t="s">
        <v>106</v>
      </c>
      <c r="F32" s="153">
        <v>1000000</v>
      </c>
      <c r="G32" s="153">
        <f>ROUNDDOWN(D32*F32,-3)</f>
        <v>1000000</v>
      </c>
      <c r="H32" s="210" t="b">
        <f t="shared" si="0"/>
        <v>1</v>
      </c>
      <c r="I32" s="210"/>
      <c r="J32" s="210"/>
    </row>
    <row r="33" spans="1:10" ht="13.8" x14ac:dyDescent="0.25">
      <c r="A33" s="21" t="s">
        <v>436</v>
      </c>
      <c r="B33" s="152"/>
      <c r="C33" s="151" t="s">
        <v>3601</v>
      </c>
      <c r="D33" s="213">
        <v>1</v>
      </c>
      <c r="E33" s="152" t="s">
        <v>106</v>
      </c>
      <c r="F33" s="153">
        <v>1500000</v>
      </c>
      <c r="G33" s="153">
        <f>ROUNDDOWN(D33*F33,-3)</f>
        <v>1500000</v>
      </c>
      <c r="H33" s="210" t="b">
        <f t="shared" si="0"/>
        <v>1</v>
      </c>
      <c r="I33" s="210"/>
      <c r="J33" s="210"/>
    </row>
    <row r="34" spans="1:10" ht="13.8" x14ac:dyDescent="0.25">
      <c r="A34" s="21" t="s">
        <v>777</v>
      </c>
      <c r="B34" s="60">
        <v>522151</v>
      </c>
      <c r="C34" s="41" t="s">
        <v>11</v>
      </c>
      <c r="D34" s="71"/>
      <c r="E34" s="60"/>
      <c r="F34" s="42"/>
      <c r="G34" s="42">
        <f>G35</f>
        <v>1000000</v>
      </c>
      <c r="H34" s="210" t="b">
        <f t="shared" si="0"/>
        <v>1</v>
      </c>
      <c r="I34" s="210"/>
      <c r="J34" s="210"/>
    </row>
    <row r="35" spans="1:10" ht="13.8" x14ac:dyDescent="0.25">
      <c r="A35" s="21" t="s">
        <v>778</v>
      </c>
      <c r="B35" s="152"/>
      <c r="C35" s="151" t="s">
        <v>3715</v>
      </c>
      <c r="D35" s="152">
        <v>1</v>
      </c>
      <c r="E35" s="152" t="s">
        <v>54</v>
      </c>
      <c r="F35" s="153">
        <v>1000000</v>
      </c>
      <c r="G35" s="153">
        <f>ROUNDDOWN(D35*F35,-3)</f>
        <v>1000000</v>
      </c>
      <c r="H35" s="210" t="b">
        <f t="shared" si="0"/>
        <v>1</v>
      </c>
      <c r="I35" s="210"/>
      <c r="J35" s="210"/>
    </row>
    <row r="36" spans="1:10" ht="13.8" x14ac:dyDescent="0.25">
      <c r="A36" s="21" t="s">
        <v>437</v>
      </c>
      <c r="B36" s="60">
        <v>524111</v>
      </c>
      <c r="C36" s="41" t="s">
        <v>19</v>
      </c>
      <c r="D36" s="71"/>
      <c r="E36" s="60"/>
      <c r="F36" s="42"/>
      <c r="G36" s="42">
        <f>G37</f>
        <v>33240000</v>
      </c>
      <c r="H36" s="210" t="b">
        <f t="shared" si="0"/>
        <v>1</v>
      </c>
      <c r="I36" s="210"/>
      <c r="J36" s="210"/>
    </row>
    <row r="37" spans="1:10" ht="13.8" x14ac:dyDescent="0.25">
      <c r="A37" s="21" t="s">
        <v>438</v>
      </c>
      <c r="B37" s="152"/>
      <c r="C37" s="151" t="s">
        <v>3716</v>
      </c>
      <c r="D37" s="152">
        <v>12</v>
      </c>
      <c r="E37" s="152" t="s">
        <v>776</v>
      </c>
      <c r="F37" s="153">
        <v>2770000</v>
      </c>
      <c r="G37" s="153">
        <f>ROUNDDOWN(D37*F37,-3)</f>
        <v>33240000</v>
      </c>
      <c r="H37" s="210" t="b">
        <f t="shared" si="0"/>
        <v>1</v>
      </c>
      <c r="I37" s="210"/>
      <c r="J37" s="210"/>
    </row>
    <row r="38" spans="1:10" ht="13.8" x14ac:dyDescent="0.25">
      <c r="A38" s="21" t="s">
        <v>439</v>
      </c>
      <c r="B38" s="58" t="s">
        <v>520</v>
      </c>
      <c r="C38" s="35" t="s">
        <v>57</v>
      </c>
      <c r="D38" s="69"/>
      <c r="E38" s="58"/>
      <c r="F38" s="36"/>
      <c r="G38" s="36">
        <f>G39</f>
        <v>54500000</v>
      </c>
      <c r="H38" s="210" t="b">
        <f t="shared" si="0"/>
        <v>1</v>
      </c>
      <c r="I38" s="210"/>
      <c r="J38" s="210"/>
    </row>
    <row r="39" spans="1:10" ht="13.8" x14ac:dyDescent="0.25">
      <c r="A39" s="21" t="s">
        <v>440</v>
      </c>
      <c r="B39" s="59" t="s">
        <v>8</v>
      </c>
      <c r="C39" s="38" t="s">
        <v>59</v>
      </c>
      <c r="D39" s="59"/>
      <c r="E39" s="59"/>
      <c r="F39" s="39"/>
      <c r="G39" s="39">
        <f>SUM(G40,G47)</f>
        <v>54500000</v>
      </c>
      <c r="H39" s="210" t="b">
        <f t="shared" si="0"/>
        <v>1</v>
      </c>
      <c r="I39" s="210"/>
      <c r="J39" s="210"/>
    </row>
    <row r="40" spans="1:10" ht="13.8" x14ac:dyDescent="0.25">
      <c r="A40" s="21" t="s">
        <v>441</v>
      </c>
      <c r="B40" s="60">
        <v>521211</v>
      </c>
      <c r="C40" s="41" t="s">
        <v>7</v>
      </c>
      <c r="D40" s="60"/>
      <c r="E40" s="60"/>
      <c r="F40" s="42"/>
      <c r="G40" s="42">
        <f>SUM(G41:G46)</f>
        <v>19225000</v>
      </c>
      <c r="H40" s="210" t="b">
        <f t="shared" si="0"/>
        <v>1</v>
      </c>
      <c r="I40" s="210"/>
      <c r="J40" s="210"/>
    </row>
    <row r="41" spans="1:10" ht="13.8" x14ac:dyDescent="0.25">
      <c r="A41" s="21" t="s">
        <v>442</v>
      </c>
      <c r="B41" s="152"/>
      <c r="C41" s="151" t="s">
        <v>3713</v>
      </c>
      <c r="D41" s="213">
        <v>23</v>
      </c>
      <c r="E41" s="152" t="s">
        <v>10</v>
      </c>
      <c r="F41" s="153">
        <v>75000</v>
      </c>
      <c r="G41" s="153">
        <f t="shared" ref="G41:G46" si="1">ROUNDDOWN(D41*F41,-3)</f>
        <v>1725000</v>
      </c>
      <c r="H41" s="210" t="b">
        <f t="shared" si="0"/>
        <v>1</v>
      </c>
      <c r="I41" s="210"/>
      <c r="J41" s="210"/>
    </row>
    <row r="42" spans="1:10" ht="13.8" x14ac:dyDescent="0.25">
      <c r="A42" s="7" t="s">
        <v>443</v>
      </c>
      <c r="B42" s="152"/>
      <c r="C42" s="151" t="s">
        <v>3714</v>
      </c>
      <c r="D42" s="213">
        <v>1</v>
      </c>
      <c r="E42" s="152" t="s">
        <v>106</v>
      </c>
      <c r="F42" s="153">
        <v>1000000</v>
      </c>
      <c r="G42" s="153">
        <f t="shared" si="1"/>
        <v>1000000</v>
      </c>
      <c r="H42" s="210" t="b">
        <f t="shared" si="0"/>
        <v>1</v>
      </c>
      <c r="I42" s="210"/>
      <c r="J42" s="210"/>
    </row>
    <row r="43" spans="1:10" ht="13.8" x14ac:dyDescent="0.25">
      <c r="A43" s="7" t="s">
        <v>444</v>
      </c>
      <c r="B43" s="152"/>
      <c r="C43" s="151" t="s">
        <v>3600</v>
      </c>
      <c r="D43" s="152">
        <v>2</v>
      </c>
      <c r="E43" s="152" t="s">
        <v>106</v>
      </c>
      <c r="F43" s="153">
        <v>1000000</v>
      </c>
      <c r="G43" s="153">
        <f t="shared" si="1"/>
        <v>2000000</v>
      </c>
      <c r="H43" s="210" t="b">
        <f t="shared" si="0"/>
        <v>1</v>
      </c>
      <c r="I43" s="210"/>
      <c r="J43" s="210"/>
    </row>
    <row r="44" spans="1:10" ht="13.8" x14ac:dyDescent="0.25">
      <c r="A44" s="21" t="s">
        <v>445</v>
      </c>
      <c r="B44" s="152"/>
      <c r="C44" s="151" t="s">
        <v>3601</v>
      </c>
      <c r="D44" s="152">
        <v>2</v>
      </c>
      <c r="E44" s="152" t="s">
        <v>106</v>
      </c>
      <c r="F44" s="153">
        <v>1500000</v>
      </c>
      <c r="G44" s="153">
        <f t="shared" si="1"/>
        <v>3000000</v>
      </c>
      <c r="H44" s="210" t="b">
        <f t="shared" si="0"/>
        <v>1</v>
      </c>
      <c r="I44" s="210"/>
      <c r="J44" s="210"/>
    </row>
    <row r="45" spans="1:10" ht="13.8" x14ac:dyDescent="0.25">
      <c r="A45" s="21" t="s">
        <v>446</v>
      </c>
      <c r="B45" s="152"/>
      <c r="C45" s="151" t="s">
        <v>3717</v>
      </c>
      <c r="D45" s="152">
        <v>23</v>
      </c>
      <c r="E45" s="152" t="s">
        <v>176</v>
      </c>
      <c r="F45" s="153">
        <v>250000</v>
      </c>
      <c r="G45" s="153">
        <f t="shared" si="1"/>
        <v>5750000</v>
      </c>
      <c r="H45" s="210" t="b">
        <f t="shared" si="0"/>
        <v>1</v>
      </c>
      <c r="I45" s="210"/>
      <c r="J45" s="210"/>
    </row>
    <row r="46" spans="1:10" ht="13.8" x14ac:dyDescent="0.25">
      <c r="A46" s="21" t="s">
        <v>447</v>
      </c>
      <c r="B46" s="152"/>
      <c r="C46" s="151" t="s">
        <v>3718</v>
      </c>
      <c r="D46" s="152">
        <v>23</v>
      </c>
      <c r="E46" s="152" t="s">
        <v>58</v>
      </c>
      <c r="F46" s="153">
        <v>250000</v>
      </c>
      <c r="G46" s="153">
        <f t="shared" si="1"/>
        <v>5750000</v>
      </c>
      <c r="H46" s="210" t="b">
        <f t="shared" si="0"/>
        <v>1</v>
      </c>
      <c r="I46" s="210"/>
      <c r="J46" s="210"/>
    </row>
    <row r="47" spans="1:10" ht="13.8" x14ac:dyDescent="0.25">
      <c r="A47" s="21" t="s">
        <v>448</v>
      </c>
      <c r="B47" s="60">
        <v>524111</v>
      </c>
      <c r="C47" s="41" t="s">
        <v>19</v>
      </c>
      <c r="D47" s="71"/>
      <c r="E47" s="60"/>
      <c r="F47" s="42"/>
      <c r="G47" s="42">
        <f>G48</f>
        <v>35275000</v>
      </c>
      <c r="H47" s="210" t="b">
        <f t="shared" si="0"/>
        <v>1</v>
      </c>
      <c r="I47" s="210"/>
      <c r="J47" s="210"/>
    </row>
    <row r="48" spans="1:10" ht="13.8" x14ac:dyDescent="0.25">
      <c r="A48" s="21" t="s">
        <v>449</v>
      </c>
      <c r="B48" s="152"/>
      <c r="C48" s="151" t="s">
        <v>3719</v>
      </c>
      <c r="D48" s="213">
        <v>10</v>
      </c>
      <c r="E48" s="152" t="s">
        <v>776</v>
      </c>
      <c r="F48" s="153">
        <v>3527550</v>
      </c>
      <c r="G48" s="153">
        <f>ROUNDDOWN(D48*F48,-3)</f>
        <v>35275000</v>
      </c>
      <c r="H48" s="210" t="b">
        <f t="shared" si="0"/>
        <v>1</v>
      </c>
      <c r="I48" s="210"/>
      <c r="J48" s="210"/>
    </row>
    <row r="49" spans="1:10" ht="13.8" x14ac:dyDescent="0.25">
      <c r="A49" s="21" t="s">
        <v>450</v>
      </c>
      <c r="B49" s="58" t="s">
        <v>523</v>
      </c>
      <c r="C49" s="35" t="s">
        <v>61</v>
      </c>
      <c r="D49" s="69"/>
      <c r="E49" s="58"/>
      <c r="F49" s="36"/>
      <c r="G49" s="36">
        <f>SUM(G50,G69,G86)</f>
        <v>686300000</v>
      </c>
      <c r="H49" s="210" t="b">
        <f t="shared" si="0"/>
        <v>1</v>
      </c>
      <c r="I49" s="210"/>
      <c r="J49" s="210"/>
    </row>
    <row r="50" spans="1:10" ht="13.8" x14ac:dyDescent="0.25">
      <c r="A50" s="21" t="s">
        <v>451</v>
      </c>
      <c r="B50" s="59" t="s">
        <v>8</v>
      </c>
      <c r="C50" s="38" t="s">
        <v>62</v>
      </c>
      <c r="D50" s="59"/>
      <c r="E50" s="59"/>
      <c r="F50" s="39"/>
      <c r="G50" s="39">
        <f>SUM(G51,G55,G58,G61,G63,G65,G67)</f>
        <v>386924000</v>
      </c>
      <c r="H50" s="210" t="b">
        <f t="shared" si="0"/>
        <v>1</v>
      </c>
      <c r="I50" s="210"/>
      <c r="J50" s="210"/>
    </row>
    <row r="51" spans="1:10" ht="13.8" x14ac:dyDescent="0.25">
      <c r="A51" s="21" t="s">
        <v>452</v>
      </c>
      <c r="B51" s="60">
        <v>521211</v>
      </c>
      <c r="C51" s="41" t="s">
        <v>7</v>
      </c>
      <c r="D51" s="71"/>
      <c r="E51" s="60"/>
      <c r="F51" s="42"/>
      <c r="G51" s="42">
        <f>SUM(G52:G54)</f>
        <v>64900000</v>
      </c>
      <c r="H51" s="210" t="b">
        <f t="shared" si="0"/>
        <v>1</v>
      </c>
      <c r="I51" s="210"/>
      <c r="J51" s="210"/>
    </row>
    <row r="52" spans="1:10" ht="13.8" x14ac:dyDescent="0.25">
      <c r="A52" s="21" t="s">
        <v>453</v>
      </c>
      <c r="B52" s="152"/>
      <c r="C52" s="151" t="s">
        <v>3598</v>
      </c>
      <c r="D52" s="213">
        <v>12</v>
      </c>
      <c r="E52" s="152" t="s">
        <v>106</v>
      </c>
      <c r="F52" s="153">
        <v>1500000</v>
      </c>
      <c r="G52" s="153">
        <f>ROUNDDOWN(D52*F52,-3)</f>
        <v>18000000</v>
      </c>
      <c r="H52" s="210" t="b">
        <f t="shared" si="0"/>
        <v>1</v>
      </c>
      <c r="I52" s="210"/>
      <c r="J52" s="210"/>
    </row>
    <row r="53" spans="1:10" ht="13.8" x14ac:dyDescent="0.25">
      <c r="A53" s="21" t="s">
        <v>454</v>
      </c>
      <c r="B53" s="152"/>
      <c r="C53" s="151" t="s">
        <v>3720</v>
      </c>
      <c r="D53" s="152">
        <v>100</v>
      </c>
      <c r="E53" s="152" t="s">
        <v>25</v>
      </c>
      <c r="F53" s="153">
        <v>69000</v>
      </c>
      <c r="G53" s="153">
        <f>ROUNDDOWN(D53*F53,-3)</f>
        <v>6900000</v>
      </c>
      <c r="H53" s="210" t="b">
        <f t="shared" si="0"/>
        <v>1</v>
      </c>
      <c r="I53" s="210"/>
      <c r="J53" s="210"/>
    </row>
    <row r="54" spans="1:10" ht="13.8" x14ac:dyDescent="0.25">
      <c r="A54" s="21" t="s">
        <v>783</v>
      </c>
      <c r="B54" s="152"/>
      <c r="C54" s="151" t="s">
        <v>3721</v>
      </c>
      <c r="D54" s="213">
        <v>80</v>
      </c>
      <c r="E54" s="152" t="s">
        <v>58</v>
      </c>
      <c r="F54" s="153">
        <v>500000</v>
      </c>
      <c r="G54" s="153">
        <f>ROUNDDOWN(D54*F54,-3)</f>
        <v>40000000</v>
      </c>
      <c r="H54" s="210" t="b">
        <f t="shared" si="0"/>
        <v>1</v>
      </c>
      <c r="I54" s="210"/>
      <c r="J54" s="210"/>
    </row>
    <row r="55" spans="1:10" ht="13.8" x14ac:dyDescent="0.25">
      <c r="A55" s="21" t="s">
        <v>455</v>
      </c>
      <c r="B55" s="60">
        <v>521219</v>
      </c>
      <c r="C55" s="41" t="s">
        <v>53</v>
      </c>
      <c r="D55" s="60"/>
      <c r="E55" s="60"/>
      <c r="F55" s="42"/>
      <c r="G55" s="42">
        <f>SUM(G56:G57)</f>
        <v>6000000</v>
      </c>
      <c r="H55" s="210" t="b">
        <f t="shared" si="0"/>
        <v>1</v>
      </c>
      <c r="I55" s="210"/>
      <c r="J55" s="210"/>
    </row>
    <row r="56" spans="1:10" ht="13.8" x14ac:dyDescent="0.25">
      <c r="A56" s="21" t="s">
        <v>456</v>
      </c>
      <c r="B56" s="152"/>
      <c r="C56" s="151" t="s">
        <v>3722</v>
      </c>
      <c r="D56" s="152">
        <v>4</v>
      </c>
      <c r="E56" s="152" t="s">
        <v>106</v>
      </c>
      <c r="F56" s="153">
        <v>250000</v>
      </c>
      <c r="G56" s="153">
        <f>ROUNDDOWN(D56*F56,-3)</f>
        <v>1000000</v>
      </c>
      <c r="H56" s="210" t="b">
        <f t="shared" si="0"/>
        <v>1</v>
      </c>
      <c r="I56" s="210"/>
      <c r="J56" s="210"/>
    </row>
    <row r="57" spans="1:10" ht="13.8" x14ac:dyDescent="0.25">
      <c r="A57" s="21" t="s">
        <v>457</v>
      </c>
      <c r="B57" s="152"/>
      <c r="C57" s="151" t="s">
        <v>3723</v>
      </c>
      <c r="D57" s="213">
        <v>10</v>
      </c>
      <c r="E57" s="152" t="s">
        <v>106</v>
      </c>
      <c r="F57" s="153">
        <v>500000</v>
      </c>
      <c r="G57" s="153">
        <f>ROUNDDOWN(D57*F57,-3)</f>
        <v>5000000</v>
      </c>
      <c r="H57" s="210" t="b">
        <f t="shared" si="0"/>
        <v>1</v>
      </c>
      <c r="I57" s="210"/>
      <c r="J57" s="210"/>
    </row>
    <row r="58" spans="1:10" ht="13.8" x14ac:dyDescent="0.25">
      <c r="A58" s="21" t="s">
        <v>458</v>
      </c>
      <c r="B58" s="60">
        <v>521811</v>
      </c>
      <c r="C58" s="41" t="s">
        <v>64</v>
      </c>
      <c r="D58" s="71"/>
      <c r="E58" s="60"/>
      <c r="F58" s="42"/>
      <c r="G58" s="42">
        <f>SUM(G59:G60)</f>
        <v>30000000</v>
      </c>
      <c r="H58" s="210" t="b">
        <f t="shared" si="0"/>
        <v>1</v>
      </c>
      <c r="I58" s="210"/>
      <c r="J58" s="210"/>
    </row>
    <row r="59" spans="1:10" ht="13.8" x14ac:dyDescent="0.25">
      <c r="A59" s="21" t="s">
        <v>459</v>
      </c>
      <c r="B59" s="152"/>
      <c r="C59" s="151" t="s">
        <v>3625</v>
      </c>
      <c r="D59" s="213">
        <v>12</v>
      </c>
      <c r="E59" s="152" t="s">
        <v>106</v>
      </c>
      <c r="F59" s="153">
        <v>1000000</v>
      </c>
      <c r="G59" s="153">
        <f>ROUNDDOWN(D59*F59,-3)</f>
        <v>12000000</v>
      </c>
      <c r="H59" s="210" t="b">
        <f t="shared" si="0"/>
        <v>1</v>
      </c>
      <c r="I59" s="210"/>
      <c r="J59" s="210"/>
    </row>
    <row r="60" spans="1:10" ht="13.8" x14ac:dyDescent="0.25">
      <c r="A60" s="21" t="s">
        <v>460</v>
      </c>
      <c r="B60" s="152"/>
      <c r="C60" s="151" t="s">
        <v>3626</v>
      </c>
      <c r="D60" s="213">
        <v>12</v>
      </c>
      <c r="E60" s="152" t="s">
        <v>106</v>
      </c>
      <c r="F60" s="153">
        <v>1500000</v>
      </c>
      <c r="G60" s="153">
        <f>ROUNDDOWN(D60*F60,-3)</f>
        <v>18000000</v>
      </c>
      <c r="H60" s="210" t="b">
        <f t="shared" si="0"/>
        <v>1</v>
      </c>
      <c r="I60" s="210"/>
      <c r="J60" s="210"/>
    </row>
    <row r="61" spans="1:10" ht="13.8" x14ac:dyDescent="0.25">
      <c r="A61" s="21" t="s">
        <v>461</v>
      </c>
      <c r="B61" s="60">
        <v>522151</v>
      </c>
      <c r="C61" s="41" t="s">
        <v>11</v>
      </c>
      <c r="D61" s="60"/>
      <c r="E61" s="60"/>
      <c r="F61" s="42"/>
      <c r="G61" s="42">
        <f>G62</f>
        <v>25200000</v>
      </c>
      <c r="H61" s="210" t="b">
        <f t="shared" si="0"/>
        <v>1</v>
      </c>
      <c r="I61" s="210"/>
      <c r="J61" s="210"/>
    </row>
    <row r="62" spans="1:10" ht="13.8" x14ac:dyDescent="0.25">
      <c r="A62" s="21" t="s">
        <v>462</v>
      </c>
      <c r="B62" s="152"/>
      <c r="C62" s="151" t="s">
        <v>3715</v>
      </c>
      <c r="D62" s="213">
        <v>28</v>
      </c>
      <c r="E62" s="152" t="s">
        <v>54</v>
      </c>
      <c r="F62" s="153">
        <v>900000</v>
      </c>
      <c r="G62" s="153">
        <f>ROUNDDOWN(D62*F62,-3)</f>
        <v>25200000</v>
      </c>
      <c r="H62" s="210" t="b">
        <f t="shared" si="0"/>
        <v>1</v>
      </c>
      <c r="I62" s="210"/>
      <c r="J62" s="210"/>
    </row>
    <row r="63" spans="1:10" ht="13.8" x14ac:dyDescent="0.25">
      <c r="A63" s="21" t="s">
        <v>463</v>
      </c>
      <c r="B63" s="60">
        <v>522192</v>
      </c>
      <c r="C63" s="41" t="s">
        <v>24</v>
      </c>
      <c r="D63" s="60"/>
      <c r="E63" s="60"/>
      <c r="F63" s="42"/>
      <c r="G63" s="42">
        <f>G64</f>
        <v>6000000</v>
      </c>
      <c r="H63" s="210" t="b">
        <f t="shared" si="0"/>
        <v>1</v>
      </c>
      <c r="I63" s="210"/>
      <c r="J63" s="210"/>
    </row>
    <row r="64" spans="1:10" ht="13.8" x14ac:dyDescent="0.25">
      <c r="A64" s="21" t="s">
        <v>464</v>
      </c>
      <c r="B64" s="152"/>
      <c r="C64" s="151" t="s">
        <v>3724</v>
      </c>
      <c r="D64" s="152">
        <v>1</v>
      </c>
      <c r="E64" s="152" t="s">
        <v>60</v>
      </c>
      <c r="F64" s="153">
        <v>6000000</v>
      </c>
      <c r="G64" s="153">
        <f>ROUNDDOWN(D64*F64,-3)</f>
        <v>6000000</v>
      </c>
      <c r="H64" s="210" t="b">
        <f t="shared" si="0"/>
        <v>1</v>
      </c>
      <c r="I64" s="210"/>
      <c r="J64" s="210"/>
    </row>
    <row r="65" spans="1:10" ht="13.8" x14ac:dyDescent="0.25">
      <c r="A65" s="21" t="s">
        <v>465</v>
      </c>
      <c r="B65" s="60">
        <v>524111</v>
      </c>
      <c r="C65" s="41" t="s">
        <v>19</v>
      </c>
      <c r="D65" s="71"/>
      <c r="E65" s="60"/>
      <c r="F65" s="42"/>
      <c r="G65" s="42">
        <f>G66</f>
        <v>253324000</v>
      </c>
      <c r="H65" s="210" t="b">
        <f t="shared" si="0"/>
        <v>1</v>
      </c>
      <c r="I65" s="210"/>
      <c r="J65" s="210"/>
    </row>
    <row r="66" spans="1:10" ht="13.8" x14ac:dyDescent="0.25">
      <c r="A66" s="21" t="s">
        <v>466</v>
      </c>
      <c r="B66" s="152"/>
      <c r="C66" s="151" t="s">
        <v>3725</v>
      </c>
      <c r="D66" s="213">
        <v>44</v>
      </c>
      <c r="E66" s="152" t="s">
        <v>776</v>
      </c>
      <c r="F66" s="153">
        <v>5757364</v>
      </c>
      <c r="G66" s="153">
        <f>ROUNDDOWN(D66*F66,-3)</f>
        <v>253324000</v>
      </c>
      <c r="H66" s="210" t="b">
        <f t="shared" si="0"/>
        <v>1</v>
      </c>
      <c r="I66" s="210"/>
      <c r="J66" s="210"/>
    </row>
    <row r="67" spans="1:10" ht="13.8" x14ac:dyDescent="0.25">
      <c r="A67" s="21" t="s">
        <v>467</v>
      </c>
      <c r="B67" s="60">
        <v>524113</v>
      </c>
      <c r="C67" s="41" t="s">
        <v>13</v>
      </c>
      <c r="D67" s="60"/>
      <c r="E67" s="60"/>
      <c r="F67" s="42"/>
      <c r="G67" s="42">
        <f>G68</f>
        <v>1500000</v>
      </c>
      <c r="H67" s="210" t="b">
        <f t="shared" si="0"/>
        <v>1</v>
      </c>
      <c r="I67" s="210"/>
      <c r="J67" s="210"/>
    </row>
    <row r="68" spans="1:10" ht="13.8" x14ac:dyDescent="0.25">
      <c r="A68" s="21" t="s">
        <v>468</v>
      </c>
      <c r="B68" s="152"/>
      <c r="C68" s="151" t="s">
        <v>3618</v>
      </c>
      <c r="D68" s="213">
        <v>10</v>
      </c>
      <c r="E68" s="152" t="s">
        <v>10</v>
      </c>
      <c r="F68" s="153">
        <v>150000</v>
      </c>
      <c r="G68" s="153">
        <f>ROUNDDOWN(D68*F68,-3)</f>
        <v>1500000</v>
      </c>
      <c r="H68" s="210" t="b">
        <f t="shared" si="0"/>
        <v>1</v>
      </c>
      <c r="I68" s="210"/>
      <c r="J68" s="210"/>
    </row>
    <row r="69" spans="1:10" ht="13.8" x14ac:dyDescent="0.25">
      <c r="A69" s="21" t="s">
        <v>469</v>
      </c>
      <c r="B69" s="59" t="s">
        <v>511</v>
      </c>
      <c r="C69" s="38" t="s">
        <v>65</v>
      </c>
      <c r="D69" s="70"/>
      <c r="E69" s="59"/>
      <c r="F69" s="39"/>
      <c r="G69" s="39">
        <f>SUM(G70,G74,G77,G80,G82,G84)</f>
        <v>247816000</v>
      </c>
      <c r="H69" s="210" t="b">
        <f t="shared" si="0"/>
        <v>1</v>
      </c>
      <c r="I69" s="210"/>
      <c r="J69" s="210"/>
    </row>
    <row r="70" spans="1:10" ht="13.8" x14ac:dyDescent="0.25">
      <c r="A70" s="21" t="s">
        <v>470</v>
      </c>
      <c r="B70" s="60">
        <v>521211</v>
      </c>
      <c r="C70" s="41" t="s">
        <v>7</v>
      </c>
      <c r="D70" s="60"/>
      <c r="E70" s="60"/>
      <c r="F70" s="42"/>
      <c r="G70" s="42">
        <f>SUM(G71:G73)</f>
        <v>71456000</v>
      </c>
      <c r="H70" s="210" t="b">
        <f t="shared" si="0"/>
        <v>1</v>
      </c>
      <c r="I70" s="210"/>
      <c r="J70" s="210"/>
    </row>
    <row r="71" spans="1:10" ht="13.8" x14ac:dyDescent="0.25">
      <c r="A71" s="21" t="s">
        <v>471</v>
      </c>
      <c r="B71" s="152"/>
      <c r="C71" s="151" t="s">
        <v>3726</v>
      </c>
      <c r="D71" s="213">
        <v>224</v>
      </c>
      <c r="E71" s="152" t="s">
        <v>25</v>
      </c>
      <c r="F71" s="153">
        <v>69000</v>
      </c>
      <c r="G71" s="153">
        <f>ROUNDDOWN(D71*F71,-3)</f>
        <v>15456000</v>
      </c>
      <c r="H71" s="210" t="b">
        <f t="shared" si="0"/>
        <v>1</v>
      </c>
      <c r="I71" s="210"/>
      <c r="J71" s="210"/>
    </row>
    <row r="72" spans="1:10" ht="13.8" x14ac:dyDescent="0.25">
      <c r="A72" s="21" t="s">
        <v>472</v>
      </c>
      <c r="B72" s="152"/>
      <c r="C72" s="151" t="s">
        <v>3714</v>
      </c>
      <c r="D72" s="152">
        <v>4</v>
      </c>
      <c r="E72" s="152" t="s">
        <v>106</v>
      </c>
      <c r="F72" s="153">
        <v>1500000</v>
      </c>
      <c r="G72" s="153">
        <f>ROUNDDOWN(D72*F72,-3)</f>
        <v>6000000</v>
      </c>
      <c r="H72" s="210" t="b">
        <f t="shared" si="0"/>
        <v>1</v>
      </c>
      <c r="I72" s="210"/>
      <c r="J72" s="210"/>
    </row>
    <row r="73" spans="1:10" ht="13.8" x14ac:dyDescent="0.25">
      <c r="A73" s="21" t="s">
        <v>789</v>
      </c>
      <c r="B73" s="152"/>
      <c r="C73" s="151" t="s">
        <v>3727</v>
      </c>
      <c r="D73" s="152">
        <v>100</v>
      </c>
      <c r="E73" s="152" t="s">
        <v>791</v>
      </c>
      <c r="F73" s="153">
        <v>500000</v>
      </c>
      <c r="G73" s="153">
        <f>ROUNDDOWN(D73*F73,-3)</f>
        <v>50000000</v>
      </c>
      <c r="H73" s="210" t="b">
        <f t="shared" si="0"/>
        <v>1</v>
      </c>
      <c r="I73" s="210"/>
      <c r="J73" s="210"/>
    </row>
    <row r="74" spans="1:10" ht="13.8" x14ac:dyDescent="0.25">
      <c r="A74" s="21" t="s">
        <v>473</v>
      </c>
      <c r="B74" s="60">
        <v>521219</v>
      </c>
      <c r="C74" s="41" t="s">
        <v>53</v>
      </c>
      <c r="D74" s="71"/>
      <c r="E74" s="60"/>
      <c r="F74" s="42"/>
      <c r="G74" s="42">
        <f>SUM(G75:G76)</f>
        <v>5000000</v>
      </c>
      <c r="H74" s="210" t="b">
        <f t="shared" si="0"/>
        <v>1</v>
      </c>
      <c r="I74" s="210"/>
      <c r="J74" s="210"/>
    </row>
    <row r="75" spans="1:10" ht="13.8" x14ac:dyDescent="0.25">
      <c r="A75" s="21" t="s">
        <v>474</v>
      </c>
      <c r="B75" s="152"/>
      <c r="C75" s="151" t="s">
        <v>3722</v>
      </c>
      <c r="D75" s="213">
        <v>4</v>
      </c>
      <c r="E75" s="152" t="s">
        <v>106</v>
      </c>
      <c r="F75" s="153">
        <v>250000</v>
      </c>
      <c r="G75" s="153">
        <f>ROUNDDOWN(D75*F75,-3)</f>
        <v>1000000</v>
      </c>
      <c r="H75" s="210" t="b">
        <f t="shared" si="0"/>
        <v>1</v>
      </c>
      <c r="I75" s="210"/>
      <c r="J75" s="210"/>
    </row>
    <row r="76" spans="1:10" ht="13.8" x14ac:dyDescent="0.25">
      <c r="A76" s="21" t="s">
        <v>792</v>
      </c>
      <c r="B76" s="152"/>
      <c r="C76" s="151" t="s">
        <v>3723</v>
      </c>
      <c r="D76" s="152">
        <v>8</v>
      </c>
      <c r="E76" s="152" t="s">
        <v>106</v>
      </c>
      <c r="F76" s="153">
        <v>500000</v>
      </c>
      <c r="G76" s="153">
        <f>ROUNDDOWN(D76*F76,-3)</f>
        <v>4000000</v>
      </c>
      <c r="H76" s="210" t="b">
        <f t="shared" si="0"/>
        <v>1</v>
      </c>
      <c r="I76" s="210"/>
      <c r="J76" s="210"/>
    </row>
    <row r="77" spans="1:10" ht="13.8" x14ac:dyDescent="0.25">
      <c r="A77" s="21" t="s">
        <v>475</v>
      </c>
      <c r="B77" s="60">
        <v>521811</v>
      </c>
      <c r="C77" s="41" t="s">
        <v>64</v>
      </c>
      <c r="D77" s="71"/>
      <c r="E77" s="60"/>
      <c r="F77" s="42"/>
      <c r="G77" s="42">
        <f>SUM(G78:G79)</f>
        <v>15000000</v>
      </c>
      <c r="H77" s="210" t="b">
        <f t="shared" si="0"/>
        <v>1</v>
      </c>
      <c r="I77" s="210"/>
      <c r="J77" s="210"/>
    </row>
    <row r="78" spans="1:10" ht="13.8" x14ac:dyDescent="0.25">
      <c r="A78" s="21" t="s">
        <v>476</v>
      </c>
      <c r="B78" s="152"/>
      <c r="C78" s="151" t="s">
        <v>3625</v>
      </c>
      <c r="D78" s="213">
        <v>6</v>
      </c>
      <c r="E78" s="152" t="s">
        <v>106</v>
      </c>
      <c r="F78" s="153">
        <v>1000000</v>
      </c>
      <c r="G78" s="153">
        <f>ROUNDDOWN(D78*F78,-3)</f>
        <v>6000000</v>
      </c>
      <c r="H78" s="210" t="b">
        <f t="shared" ref="H78:H141" si="2">_xlfn.ISFORMULA(G78)</f>
        <v>1</v>
      </c>
      <c r="I78" s="210"/>
      <c r="J78" s="210"/>
    </row>
    <row r="79" spans="1:10" ht="13.8" x14ac:dyDescent="0.25">
      <c r="A79" s="21" t="s">
        <v>477</v>
      </c>
      <c r="B79" s="152"/>
      <c r="C79" s="151" t="s">
        <v>3626</v>
      </c>
      <c r="D79" s="152">
        <v>6</v>
      </c>
      <c r="E79" s="152" t="s">
        <v>106</v>
      </c>
      <c r="F79" s="153">
        <v>1500000</v>
      </c>
      <c r="G79" s="153">
        <f>ROUNDDOWN(D79*F79,-3)</f>
        <v>9000000</v>
      </c>
      <c r="H79" s="210" t="b">
        <f t="shared" si="2"/>
        <v>1</v>
      </c>
      <c r="I79" s="210"/>
      <c r="J79" s="210"/>
    </row>
    <row r="80" spans="1:10" ht="13.8" x14ac:dyDescent="0.25">
      <c r="A80" s="21" t="s">
        <v>478</v>
      </c>
      <c r="B80" s="60">
        <v>522151</v>
      </c>
      <c r="C80" s="41" t="s">
        <v>11</v>
      </c>
      <c r="D80" s="71"/>
      <c r="E80" s="60"/>
      <c r="F80" s="42"/>
      <c r="G80" s="42">
        <f>G81</f>
        <v>16200000</v>
      </c>
      <c r="H80" s="210" t="b">
        <f t="shared" si="2"/>
        <v>1</v>
      </c>
      <c r="I80" s="210"/>
      <c r="J80" s="210"/>
    </row>
    <row r="81" spans="1:10" ht="13.8" x14ac:dyDescent="0.25">
      <c r="A81" s="21" t="s">
        <v>479</v>
      </c>
      <c r="B81" s="152"/>
      <c r="C81" s="151" t="s">
        <v>3715</v>
      </c>
      <c r="D81" s="152">
        <v>18</v>
      </c>
      <c r="E81" s="152" t="s">
        <v>54</v>
      </c>
      <c r="F81" s="153">
        <v>900000</v>
      </c>
      <c r="G81" s="153">
        <f>ROUNDDOWN(D81*F81,-3)</f>
        <v>16200000</v>
      </c>
      <c r="H81" s="210" t="b">
        <f t="shared" si="2"/>
        <v>1</v>
      </c>
      <c r="I81" s="210"/>
      <c r="J81" s="210"/>
    </row>
    <row r="82" spans="1:10" ht="13.8" x14ac:dyDescent="0.25">
      <c r="A82" s="21" t="s">
        <v>480</v>
      </c>
      <c r="B82" s="60">
        <v>522192</v>
      </c>
      <c r="C82" s="41" t="s">
        <v>24</v>
      </c>
      <c r="D82" s="60"/>
      <c r="E82" s="60"/>
      <c r="F82" s="42"/>
      <c r="G82" s="42">
        <f>G83</f>
        <v>2000000</v>
      </c>
      <c r="H82" s="210" t="b">
        <f t="shared" si="2"/>
        <v>1</v>
      </c>
      <c r="I82" s="210"/>
      <c r="J82" s="210"/>
    </row>
    <row r="83" spans="1:10" ht="13.8" x14ac:dyDescent="0.25">
      <c r="A83" s="21" t="s">
        <v>481</v>
      </c>
      <c r="B83" s="152"/>
      <c r="C83" s="151" t="s">
        <v>3724</v>
      </c>
      <c r="D83" s="213">
        <v>1</v>
      </c>
      <c r="E83" s="152" t="s">
        <v>60</v>
      </c>
      <c r="F83" s="153">
        <v>2000000</v>
      </c>
      <c r="G83" s="153">
        <f>ROUNDDOWN(D83*F83,-3)</f>
        <v>2000000</v>
      </c>
      <c r="H83" s="210" t="b">
        <f t="shared" si="2"/>
        <v>1</v>
      </c>
      <c r="I83" s="210"/>
      <c r="J83" s="210"/>
    </row>
    <row r="84" spans="1:10" ht="13.8" x14ac:dyDescent="0.25">
      <c r="A84" s="21" t="s">
        <v>482</v>
      </c>
      <c r="B84" s="60">
        <v>524111</v>
      </c>
      <c r="C84" s="41" t="s">
        <v>19</v>
      </c>
      <c r="D84" s="71"/>
      <c r="E84" s="60"/>
      <c r="F84" s="42"/>
      <c r="G84" s="42">
        <f>G85</f>
        <v>138160000</v>
      </c>
      <c r="H84" s="210" t="b">
        <f t="shared" si="2"/>
        <v>1</v>
      </c>
      <c r="I84" s="210"/>
      <c r="J84" s="210"/>
    </row>
    <row r="85" spans="1:10" ht="13.8" x14ac:dyDescent="0.25">
      <c r="A85" s="21" t="s">
        <v>483</v>
      </c>
      <c r="B85" s="152"/>
      <c r="C85" s="151" t="s">
        <v>3728</v>
      </c>
      <c r="D85" s="152">
        <v>22</v>
      </c>
      <c r="E85" s="152" t="s">
        <v>776</v>
      </c>
      <c r="F85" s="153">
        <v>6280000</v>
      </c>
      <c r="G85" s="153">
        <f>ROUNDDOWN(D85*F85,-3)</f>
        <v>138160000</v>
      </c>
      <c r="H85" s="210" t="b">
        <f t="shared" si="2"/>
        <v>1</v>
      </c>
      <c r="I85" s="210"/>
      <c r="J85" s="210"/>
    </row>
    <row r="86" spans="1:10" ht="13.8" x14ac:dyDescent="0.25">
      <c r="A86" s="21" t="s">
        <v>794</v>
      </c>
      <c r="B86" s="59" t="s">
        <v>512</v>
      </c>
      <c r="C86" s="38" t="s">
        <v>795</v>
      </c>
      <c r="D86" s="70"/>
      <c r="E86" s="59"/>
      <c r="F86" s="39"/>
      <c r="G86" s="39">
        <f>SUM(G87,G92,G94,G96)</f>
        <v>51560000</v>
      </c>
      <c r="H86" s="210" t="b">
        <f t="shared" si="2"/>
        <v>1</v>
      </c>
      <c r="I86" s="210"/>
      <c r="J86" s="210"/>
    </row>
    <row r="87" spans="1:10" ht="13.8" x14ac:dyDescent="0.25">
      <c r="A87" s="21" t="s">
        <v>796</v>
      </c>
      <c r="B87" s="60">
        <v>521211</v>
      </c>
      <c r="C87" s="41" t="s">
        <v>7</v>
      </c>
      <c r="D87" s="71"/>
      <c r="E87" s="60"/>
      <c r="F87" s="42"/>
      <c r="G87" s="42">
        <f>SUM(G88:G91)</f>
        <v>20830000</v>
      </c>
      <c r="H87" s="210" t="b">
        <f t="shared" si="2"/>
        <v>1</v>
      </c>
      <c r="I87" s="210"/>
      <c r="J87" s="210"/>
    </row>
    <row r="88" spans="1:10" ht="13.8" x14ac:dyDescent="0.25">
      <c r="A88" s="21" t="s">
        <v>797</v>
      </c>
      <c r="B88" s="152"/>
      <c r="C88" s="151" t="s">
        <v>3625</v>
      </c>
      <c r="D88" s="152">
        <v>4</v>
      </c>
      <c r="E88" s="152" t="s">
        <v>106</v>
      </c>
      <c r="F88" s="153">
        <v>1000000</v>
      </c>
      <c r="G88" s="153">
        <f>ROUNDDOWN(D88*F88,-3)</f>
        <v>4000000</v>
      </c>
      <c r="H88" s="210" t="b">
        <f t="shared" si="2"/>
        <v>1</v>
      </c>
      <c r="I88" s="210"/>
      <c r="J88" s="210"/>
    </row>
    <row r="89" spans="1:10" ht="13.8" x14ac:dyDescent="0.25">
      <c r="A89" s="21" t="s">
        <v>798</v>
      </c>
      <c r="B89" s="152"/>
      <c r="C89" s="151" t="s">
        <v>3626</v>
      </c>
      <c r="D89" s="213">
        <v>4</v>
      </c>
      <c r="E89" s="152" t="s">
        <v>106</v>
      </c>
      <c r="F89" s="153">
        <v>1500000</v>
      </c>
      <c r="G89" s="153">
        <f>ROUNDDOWN(D89*F89,-3)</f>
        <v>6000000</v>
      </c>
      <c r="H89" s="210" t="b">
        <f t="shared" si="2"/>
        <v>1</v>
      </c>
      <c r="I89" s="210"/>
      <c r="J89" s="210"/>
    </row>
    <row r="90" spans="1:10" ht="13.8" x14ac:dyDescent="0.25">
      <c r="A90" s="21" t="s">
        <v>799</v>
      </c>
      <c r="B90" s="152"/>
      <c r="C90" s="151" t="s">
        <v>3729</v>
      </c>
      <c r="D90" s="152">
        <v>70</v>
      </c>
      <c r="E90" s="152" t="s">
        <v>25</v>
      </c>
      <c r="F90" s="153">
        <v>69000</v>
      </c>
      <c r="G90" s="153">
        <f>ROUNDDOWN(D90*F90,-3)</f>
        <v>4830000</v>
      </c>
      <c r="H90" s="210" t="b">
        <f t="shared" si="2"/>
        <v>1</v>
      </c>
      <c r="I90" s="210"/>
      <c r="J90" s="210"/>
    </row>
    <row r="91" spans="1:10" ht="13.8" x14ac:dyDescent="0.25">
      <c r="A91" s="21" t="s">
        <v>800</v>
      </c>
      <c r="B91" s="152"/>
      <c r="C91" s="151" t="s">
        <v>3730</v>
      </c>
      <c r="D91" s="152">
        <v>4</v>
      </c>
      <c r="E91" s="152" t="s">
        <v>106</v>
      </c>
      <c r="F91" s="153">
        <v>1500000</v>
      </c>
      <c r="G91" s="153">
        <f>ROUNDDOWN(D91*F91,-3)</f>
        <v>6000000</v>
      </c>
      <c r="H91" s="210" t="b">
        <f t="shared" si="2"/>
        <v>1</v>
      </c>
      <c r="I91" s="210"/>
      <c r="J91" s="210"/>
    </row>
    <row r="92" spans="1:10" ht="13.8" x14ac:dyDescent="0.25">
      <c r="A92" s="21" t="s">
        <v>801</v>
      </c>
      <c r="B92" s="60">
        <v>521219</v>
      </c>
      <c r="C92" s="41" t="s">
        <v>53</v>
      </c>
      <c r="D92" s="71"/>
      <c r="E92" s="60"/>
      <c r="F92" s="42"/>
      <c r="G92" s="42">
        <f>G93</f>
        <v>500000</v>
      </c>
      <c r="H92" s="210" t="b">
        <f t="shared" si="2"/>
        <v>1</v>
      </c>
      <c r="I92" s="210"/>
      <c r="J92" s="210"/>
    </row>
    <row r="93" spans="1:10" ht="13.8" x14ac:dyDescent="0.25">
      <c r="A93" s="21" t="s">
        <v>802</v>
      </c>
      <c r="B93" s="152"/>
      <c r="C93" s="151" t="s">
        <v>3722</v>
      </c>
      <c r="D93" s="213">
        <v>2</v>
      </c>
      <c r="E93" s="152" t="s">
        <v>106</v>
      </c>
      <c r="F93" s="153">
        <v>250000</v>
      </c>
      <c r="G93" s="153">
        <f>ROUNDDOWN(D93*F93,-3)</f>
        <v>500000</v>
      </c>
      <c r="H93" s="210" t="b">
        <f t="shared" si="2"/>
        <v>1</v>
      </c>
      <c r="I93" s="210"/>
      <c r="J93" s="210"/>
    </row>
    <row r="94" spans="1:10" ht="13.8" x14ac:dyDescent="0.25">
      <c r="A94" s="21" t="s">
        <v>803</v>
      </c>
      <c r="B94" s="60">
        <v>522151</v>
      </c>
      <c r="C94" s="41" t="s">
        <v>11</v>
      </c>
      <c r="D94" s="60"/>
      <c r="E94" s="60"/>
      <c r="F94" s="42"/>
      <c r="G94" s="42">
        <f>G95</f>
        <v>7200000</v>
      </c>
      <c r="H94" s="210" t="b">
        <f t="shared" si="2"/>
        <v>1</v>
      </c>
      <c r="I94" s="210"/>
      <c r="J94" s="210"/>
    </row>
    <row r="95" spans="1:10" ht="13.8" x14ac:dyDescent="0.25">
      <c r="A95" s="21" t="s">
        <v>804</v>
      </c>
      <c r="B95" s="152"/>
      <c r="C95" s="151" t="s">
        <v>3715</v>
      </c>
      <c r="D95" s="213">
        <v>8</v>
      </c>
      <c r="E95" s="152" t="s">
        <v>54</v>
      </c>
      <c r="F95" s="153">
        <v>900000</v>
      </c>
      <c r="G95" s="153">
        <f>ROUNDDOWN(D95*F95,-3)</f>
        <v>7200000</v>
      </c>
      <c r="H95" s="210" t="b">
        <f t="shared" si="2"/>
        <v>1</v>
      </c>
      <c r="I95" s="210"/>
      <c r="J95" s="210"/>
    </row>
    <row r="96" spans="1:10" ht="13.8" x14ac:dyDescent="0.25">
      <c r="A96" s="21" t="s">
        <v>805</v>
      </c>
      <c r="B96" s="60">
        <v>524111</v>
      </c>
      <c r="C96" s="41" t="s">
        <v>19</v>
      </c>
      <c r="D96" s="71"/>
      <c r="E96" s="60"/>
      <c r="F96" s="42"/>
      <c r="G96" s="42">
        <f>G97</f>
        <v>23030000</v>
      </c>
      <c r="H96" s="210" t="b">
        <f t="shared" si="2"/>
        <v>1</v>
      </c>
      <c r="I96" s="210"/>
      <c r="J96" s="210"/>
    </row>
    <row r="97" spans="1:10" ht="13.8" x14ac:dyDescent="0.25">
      <c r="A97" s="21" t="s">
        <v>806</v>
      </c>
      <c r="B97" s="152"/>
      <c r="C97" s="151" t="s">
        <v>3731</v>
      </c>
      <c r="D97" s="152">
        <v>6</v>
      </c>
      <c r="E97" s="152" t="s">
        <v>776</v>
      </c>
      <c r="F97" s="153">
        <v>3838335</v>
      </c>
      <c r="G97" s="153">
        <f>ROUNDDOWN(D97*F97,-3)</f>
        <v>23030000</v>
      </c>
      <c r="H97" s="210" t="b">
        <f t="shared" si="2"/>
        <v>1</v>
      </c>
      <c r="I97" s="210"/>
      <c r="J97" s="210"/>
    </row>
    <row r="98" spans="1:10" ht="13.8" x14ac:dyDescent="0.25">
      <c r="A98" s="21" t="s">
        <v>484</v>
      </c>
      <c r="B98" s="58" t="s">
        <v>526</v>
      </c>
      <c r="C98" s="35" t="s">
        <v>67</v>
      </c>
      <c r="D98" s="69"/>
      <c r="E98" s="58"/>
      <c r="F98" s="36"/>
      <c r="G98" s="36">
        <f>G99</f>
        <v>135100000</v>
      </c>
      <c r="H98" s="210" t="b">
        <f t="shared" si="2"/>
        <v>1</v>
      </c>
      <c r="I98" s="210"/>
      <c r="J98" s="210"/>
    </row>
    <row r="99" spans="1:10" ht="13.8" x14ac:dyDescent="0.25">
      <c r="A99" s="21" t="s">
        <v>485</v>
      </c>
      <c r="B99" s="59" t="s">
        <v>8</v>
      </c>
      <c r="C99" s="38" t="s">
        <v>68</v>
      </c>
      <c r="D99" s="59"/>
      <c r="E99" s="59"/>
      <c r="F99" s="39"/>
      <c r="G99" s="39">
        <f>SUM(G100,G106,G108,G110,G112)</f>
        <v>135100000</v>
      </c>
      <c r="H99" s="210" t="b">
        <f t="shared" si="2"/>
        <v>1</v>
      </c>
      <c r="I99" s="210"/>
      <c r="J99" s="210"/>
    </row>
    <row r="100" spans="1:10" ht="13.8" x14ac:dyDescent="0.25">
      <c r="A100" s="21" t="s">
        <v>486</v>
      </c>
      <c r="B100" s="60">
        <v>521211</v>
      </c>
      <c r="C100" s="41" t="s">
        <v>7</v>
      </c>
      <c r="D100" s="71"/>
      <c r="E100" s="60"/>
      <c r="F100" s="42"/>
      <c r="G100" s="42">
        <f>SUM(G101:G105)</f>
        <v>21100000</v>
      </c>
      <c r="H100" s="210" t="b">
        <f t="shared" si="2"/>
        <v>1</v>
      </c>
      <c r="I100" s="210"/>
      <c r="J100" s="210"/>
    </row>
    <row r="101" spans="1:10" ht="13.8" x14ac:dyDescent="0.25">
      <c r="A101" s="21" t="s">
        <v>487</v>
      </c>
      <c r="B101" s="152"/>
      <c r="C101" s="151" t="s">
        <v>3598</v>
      </c>
      <c r="D101" s="152">
        <v>2</v>
      </c>
      <c r="E101" s="152" t="s">
        <v>106</v>
      </c>
      <c r="F101" s="153">
        <v>1500000</v>
      </c>
      <c r="G101" s="153">
        <f>ROUNDDOWN(D101*F101,-3)</f>
        <v>3000000</v>
      </c>
      <c r="H101" s="210" t="b">
        <f t="shared" si="2"/>
        <v>1</v>
      </c>
      <c r="I101" s="210"/>
      <c r="J101" s="210"/>
    </row>
    <row r="102" spans="1:10" ht="13.8" x14ac:dyDescent="0.25">
      <c r="A102" s="21" t="s">
        <v>488</v>
      </c>
      <c r="B102" s="152"/>
      <c r="C102" s="151" t="s">
        <v>3732</v>
      </c>
      <c r="D102" s="152">
        <v>90</v>
      </c>
      <c r="E102" s="152" t="s">
        <v>25</v>
      </c>
      <c r="F102" s="153">
        <v>65556</v>
      </c>
      <c r="G102" s="153">
        <f>ROUNDDOWN(D102*F102,-3)</f>
        <v>5900000</v>
      </c>
      <c r="H102" s="210" t="b">
        <f t="shared" si="2"/>
        <v>1</v>
      </c>
      <c r="I102" s="210"/>
      <c r="J102" s="210"/>
    </row>
    <row r="103" spans="1:10" ht="13.8" x14ac:dyDescent="0.25">
      <c r="A103" s="21" t="s">
        <v>489</v>
      </c>
      <c r="B103" s="152"/>
      <c r="C103" s="151" t="s">
        <v>3600</v>
      </c>
      <c r="D103" s="152">
        <v>2</v>
      </c>
      <c r="E103" s="152" t="s">
        <v>106</v>
      </c>
      <c r="F103" s="153">
        <v>1000000</v>
      </c>
      <c r="G103" s="153">
        <f>ROUNDDOWN(D103*F103,-3)</f>
        <v>2000000</v>
      </c>
      <c r="H103" s="210" t="b">
        <f t="shared" si="2"/>
        <v>1</v>
      </c>
      <c r="I103" s="210"/>
      <c r="J103" s="210"/>
    </row>
    <row r="104" spans="1:10" ht="13.8" x14ac:dyDescent="0.25">
      <c r="A104" s="21" t="s">
        <v>809</v>
      </c>
      <c r="B104" s="152"/>
      <c r="C104" s="151" t="s">
        <v>3601</v>
      </c>
      <c r="D104" s="213">
        <v>2</v>
      </c>
      <c r="E104" s="152" t="s">
        <v>106</v>
      </c>
      <c r="F104" s="153">
        <v>1500000</v>
      </c>
      <c r="G104" s="153">
        <f>ROUNDDOWN(D104*F104,-3)</f>
        <v>3000000</v>
      </c>
      <c r="H104" s="210" t="b">
        <f t="shared" si="2"/>
        <v>1</v>
      </c>
      <c r="I104" s="210"/>
      <c r="J104" s="210"/>
    </row>
    <row r="105" spans="1:10" ht="13.8" x14ac:dyDescent="0.25">
      <c r="A105" s="21" t="s">
        <v>810</v>
      </c>
      <c r="B105" s="152"/>
      <c r="C105" s="151" t="s">
        <v>3733</v>
      </c>
      <c r="D105" s="213">
        <v>36</v>
      </c>
      <c r="E105" s="152" t="s">
        <v>25</v>
      </c>
      <c r="F105" s="153">
        <v>200000</v>
      </c>
      <c r="G105" s="153">
        <f>ROUNDDOWN(D105*F105,-3)</f>
        <v>7200000</v>
      </c>
      <c r="H105" s="210" t="b">
        <f t="shared" si="2"/>
        <v>1</v>
      </c>
      <c r="I105" s="210"/>
      <c r="J105" s="210"/>
    </row>
    <row r="106" spans="1:10" ht="13.8" x14ac:dyDescent="0.25">
      <c r="A106" s="21" t="s">
        <v>490</v>
      </c>
      <c r="B106" s="60">
        <v>521219</v>
      </c>
      <c r="C106" s="41" t="s">
        <v>53</v>
      </c>
      <c r="D106" s="71"/>
      <c r="E106" s="60"/>
      <c r="F106" s="42"/>
      <c r="G106" s="42">
        <f>G107</f>
        <v>1584000</v>
      </c>
      <c r="H106" s="210" t="b">
        <f t="shared" si="2"/>
        <v>1</v>
      </c>
      <c r="I106" s="210"/>
      <c r="J106" s="210"/>
    </row>
    <row r="107" spans="1:10" ht="13.8" x14ac:dyDescent="0.25">
      <c r="A107" s="21" t="s">
        <v>491</v>
      </c>
      <c r="B107" s="152"/>
      <c r="C107" s="151" t="s">
        <v>3734</v>
      </c>
      <c r="D107" s="213">
        <v>36</v>
      </c>
      <c r="E107" s="152" t="s">
        <v>25</v>
      </c>
      <c r="F107" s="153">
        <v>44000</v>
      </c>
      <c r="G107" s="153">
        <f>ROUNDDOWN(D107*F107,-3)</f>
        <v>1584000</v>
      </c>
      <c r="H107" s="210" t="b">
        <f t="shared" si="2"/>
        <v>1</v>
      </c>
      <c r="I107" s="210"/>
      <c r="J107" s="210"/>
    </row>
    <row r="108" spans="1:10" ht="13.8" x14ac:dyDescent="0.25">
      <c r="A108" s="21" t="s">
        <v>492</v>
      </c>
      <c r="B108" s="60">
        <v>522151</v>
      </c>
      <c r="C108" s="41" t="s">
        <v>11</v>
      </c>
      <c r="D108" s="60"/>
      <c r="E108" s="60"/>
      <c r="F108" s="42"/>
      <c r="G108" s="42">
        <f>G109</f>
        <v>10000000</v>
      </c>
      <c r="H108" s="210" t="b">
        <f t="shared" si="2"/>
        <v>1</v>
      </c>
      <c r="I108" s="210"/>
      <c r="J108" s="210"/>
    </row>
    <row r="109" spans="1:10" ht="13.8" x14ac:dyDescent="0.25">
      <c r="A109" s="21" t="s">
        <v>493</v>
      </c>
      <c r="B109" s="152"/>
      <c r="C109" s="151" t="s">
        <v>3715</v>
      </c>
      <c r="D109" s="213">
        <v>10</v>
      </c>
      <c r="E109" s="152" t="s">
        <v>54</v>
      </c>
      <c r="F109" s="153">
        <v>1000000</v>
      </c>
      <c r="G109" s="153">
        <f>ROUNDDOWN(D109*F109,-3)</f>
        <v>10000000</v>
      </c>
      <c r="H109" s="210" t="b">
        <f t="shared" si="2"/>
        <v>1</v>
      </c>
      <c r="I109" s="210"/>
      <c r="J109" s="210"/>
    </row>
    <row r="110" spans="1:10" ht="13.8" x14ac:dyDescent="0.25">
      <c r="A110" s="21" t="s">
        <v>813</v>
      </c>
      <c r="B110" s="60">
        <v>522192</v>
      </c>
      <c r="C110" s="41" t="s">
        <v>24</v>
      </c>
      <c r="D110" s="60"/>
      <c r="E110" s="60"/>
      <c r="F110" s="42"/>
      <c r="G110" s="42">
        <f>G111</f>
        <v>5000000</v>
      </c>
      <c r="H110" s="210" t="b">
        <f t="shared" si="2"/>
        <v>1</v>
      </c>
      <c r="I110" s="210"/>
      <c r="J110" s="210"/>
    </row>
    <row r="111" spans="1:10" ht="13.8" x14ac:dyDescent="0.25">
      <c r="A111" s="21" t="s">
        <v>814</v>
      </c>
      <c r="B111" s="152"/>
      <c r="C111" s="151" t="s">
        <v>3735</v>
      </c>
      <c r="D111" s="213">
        <v>1</v>
      </c>
      <c r="E111" s="152" t="s">
        <v>153</v>
      </c>
      <c r="F111" s="153">
        <v>5000000</v>
      </c>
      <c r="G111" s="153">
        <f>ROUNDDOWN(D111*F111,-3)</f>
        <v>5000000</v>
      </c>
      <c r="H111" s="210" t="b">
        <f t="shared" si="2"/>
        <v>1</v>
      </c>
      <c r="I111" s="210"/>
      <c r="J111" s="210"/>
    </row>
    <row r="112" spans="1:10" ht="13.8" x14ac:dyDescent="0.25">
      <c r="A112" s="21" t="s">
        <v>816</v>
      </c>
      <c r="B112" s="60">
        <v>524111</v>
      </c>
      <c r="C112" s="41" t="s">
        <v>19</v>
      </c>
      <c r="D112" s="60"/>
      <c r="E112" s="60"/>
      <c r="F112" s="42"/>
      <c r="G112" s="42">
        <f>G113</f>
        <v>97416000</v>
      </c>
      <c r="H112" s="210" t="b">
        <f t="shared" si="2"/>
        <v>1</v>
      </c>
      <c r="I112" s="210"/>
      <c r="J112" s="210"/>
    </row>
    <row r="113" spans="1:10" ht="13.8" x14ac:dyDescent="0.25">
      <c r="A113" s="21" t="s">
        <v>817</v>
      </c>
      <c r="B113" s="152"/>
      <c r="C113" s="151" t="s">
        <v>3736</v>
      </c>
      <c r="D113" s="152">
        <v>36</v>
      </c>
      <c r="E113" s="152" t="s">
        <v>776</v>
      </c>
      <c r="F113" s="153">
        <v>2706000</v>
      </c>
      <c r="G113" s="153">
        <f>ROUNDDOWN(D113*F113,-3)</f>
        <v>97416000</v>
      </c>
      <c r="H113" s="210" t="b">
        <f t="shared" si="2"/>
        <v>1</v>
      </c>
      <c r="I113" s="210"/>
      <c r="J113" s="210"/>
    </row>
    <row r="114" spans="1:10" ht="13.8" x14ac:dyDescent="0.25">
      <c r="A114" s="21" t="s">
        <v>69</v>
      </c>
      <c r="B114" s="54" t="s">
        <v>69</v>
      </c>
      <c r="C114" s="23" t="s">
        <v>70</v>
      </c>
      <c r="D114" s="54"/>
      <c r="E114" s="54"/>
      <c r="F114" s="24"/>
      <c r="G114" s="24">
        <f>SUM(G115,G529)</f>
        <v>22342160000</v>
      </c>
      <c r="H114" s="210" t="b">
        <f t="shared" si="2"/>
        <v>1</v>
      </c>
      <c r="I114" s="210"/>
      <c r="J114" s="210"/>
    </row>
    <row r="115" spans="1:10" ht="26.4" x14ac:dyDescent="0.25">
      <c r="A115" s="21" t="s">
        <v>494</v>
      </c>
      <c r="B115" s="55">
        <v>2378</v>
      </c>
      <c r="C115" s="26" t="s">
        <v>71</v>
      </c>
      <c r="D115" s="68"/>
      <c r="E115" s="55"/>
      <c r="F115" s="27"/>
      <c r="G115" s="27">
        <f>SUM(G116,G122,G380,G386)</f>
        <v>13759660000</v>
      </c>
      <c r="H115" s="210" t="b">
        <f t="shared" si="2"/>
        <v>1</v>
      </c>
      <c r="I115" s="210"/>
      <c r="J115" s="210"/>
    </row>
    <row r="116" spans="1:10" ht="13.8" x14ac:dyDescent="0.25">
      <c r="A116" s="21" t="s">
        <v>819</v>
      </c>
      <c r="B116" s="135" t="s">
        <v>820</v>
      </c>
      <c r="C116" s="133" t="s">
        <v>821</v>
      </c>
      <c r="D116" s="134">
        <v>1</v>
      </c>
      <c r="E116" s="135" t="s">
        <v>42</v>
      </c>
      <c r="F116" s="136"/>
      <c r="G116" s="136">
        <f>G117</f>
        <v>115000000</v>
      </c>
      <c r="H116" s="210" t="b">
        <f t="shared" si="2"/>
        <v>1</v>
      </c>
      <c r="I116" s="210"/>
      <c r="J116" s="210"/>
    </row>
    <row r="117" spans="1:10" ht="26.4" x14ac:dyDescent="0.25">
      <c r="A117" s="21" t="s">
        <v>822</v>
      </c>
      <c r="B117" s="138" t="s">
        <v>3737</v>
      </c>
      <c r="C117" s="137" t="s">
        <v>824</v>
      </c>
      <c r="D117" s="140">
        <v>1</v>
      </c>
      <c r="E117" s="138" t="s">
        <v>42</v>
      </c>
      <c r="F117" s="139"/>
      <c r="G117" s="139">
        <f>G118</f>
        <v>115000000</v>
      </c>
      <c r="H117" s="210" t="b">
        <f t="shared" si="2"/>
        <v>1</v>
      </c>
      <c r="I117" s="210"/>
      <c r="J117" s="210"/>
    </row>
    <row r="118" spans="1:10" ht="13.8" x14ac:dyDescent="0.25">
      <c r="A118" s="21" t="s">
        <v>832</v>
      </c>
      <c r="B118" s="58">
        <v>301</v>
      </c>
      <c r="C118" s="35" t="s">
        <v>834</v>
      </c>
      <c r="D118" s="58"/>
      <c r="E118" s="58"/>
      <c r="F118" s="36"/>
      <c r="G118" s="36">
        <f>G119</f>
        <v>115000000</v>
      </c>
      <c r="H118" s="210" t="b">
        <f t="shared" si="2"/>
        <v>1</v>
      </c>
      <c r="I118" s="210"/>
      <c r="J118" s="210"/>
    </row>
    <row r="119" spans="1:10" ht="13.8" x14ac:dyDescent="0.25">
      <c r="A119" s="21" t="s">
        <v>835</v>
      </c>
      <c r="B119" s="59" t="s">
        <v>8</v>
      </c>
      <c r="C119" s="38" t="s">
        <v>836</v>
      </c>
      <c r="D119" s="70"/>
      <c r="E119" s="59"/>
      <c r="F119" s="39"/>
      <c r="G119" s="39">
        <f>G120</f>
        <v>115000000</v>
      </c>
      <c r="H119" s="210" t="b">
        <f t="shared" si="2"/>
        <v>1</v>
      </c>
      <c r="I119" s="210"/>
      <c r="J119" s="210"/>
    </row>
    <row r="120" spans="1:10" ht="13.8" x14ac:dyDescent="0.25">
      <c r="A120" s="21" t="s">
        <v>837</v>
      </c>
      <c r="B120" s="60">
        <v>532111</v>
      </c>
      <c r="C120" s="41" t="s">
        <v>43</v>
      </c>
      <c r="D120" s="60"/>
      <c r="E120" s="60"/>
      <c r="F120" s="42"/>
      <c r="G120" s="42">
        <f>G121</f>
        <v>115000000</v>
      </c>
      <c r="H120" s="210" t="b">
        <f t="shared" si="2"/>
        <v>1</v>
      </c>
      <c r="I120" s="210"/>
      <c r="J120" s="210"/>
    </row>
    <row r="121" spans="1:10" ht="13.8" x14ac:dyDescent="0.25">
      <c r="A121" s="21" t="s">
        <v>838</v>
      </c>
      <c r="B121" s="152"/>
      <c r="C121" s="151" t="s">
        <v>3739</v>
      </c>
      <c r="D121" s="213">
        <v>1</v>
      </c>
      <c r="E121" s="152" t="s">
        <v>23</v>
      </c>
      <c r="F121" s="153">
        <v>115000000</v>
      </c>
      <c r="G121" s="153">
        <f>ROUNDDOWN(D121*F121,-3)</f>
        <v>115000000</v>
      </c>
      <c r="H121" s="210" t="b">
        <f t="shared" si="2"/>
        <v>1</v>
      </c>
      <c r="I121" s="210"/>
      <c r="J121" s="210"/>
    </row>
    <row r="122" spans="1:10" ht="13.8" x14ac:dyDescent="0.25">
      <c r="A122" s="21" t="s">
        <v>840</v>
      </c>
      <c r="B122" s="135" t="s">
        <v>841</v>
      </c>
      <c r="C122" s="133" t="s">
        <v>842</v>
      </c>
      <c r="D122" s="135">
        <v>9</v>
      </c>
      <c r="E122" s="135" t="s">
        <v>3740</v>
      </c>
      <c r="F122" s="136"/>
      <c r="G122" s="136">
        <f>SUM(G123,G138,G263)</f>
        <v>11564936000</v>
      </c>
      <c r="H122" s="210" t="b">
        <f t="shared" si="2"/>
        <v>1</v>
      </c>
      <c r="I122" s="210"/>
      <c r="J122" s="210"/>
    </row>
    <row r="123" spans="1:10" ht="13.8" x14ac:dyDescent="0.25">
      <c r="A123" s="21" t="s">
        <v>1035</v>
      </c>
      <c r="B123" s="138" t="s">
        <v>3792</v>
      </c>
      <c r="C123" s="137" t="s">
        <v>1037</v>
      </c>
      <c r="D123" s="138">
        <v>2</v>
      </c>
      <c r="E123" s="138" t="s">
        <v>3740</v>
      </c>
      <c r="F123" s="139"/>
      <c r="G123" s="139">
        <f>G124</f>
        <v>153780000</v>
      </c>
      <c r="H123" s="210" t="b">
        <f t="shared" si="2"/>
        <v>1</v>
      </c>
      <c r="I123" s="210"/>
      <c r="J123" s="210"/>
    </row>
    <row r="124" spans="1:10" ht="13.8" x14ac:dyDescent="0.25">
      <c r="A124" s="7" t="s">
        <v>1184</v>
      </c>
      <c r="B124" s="58">
        <v>311</v>
      </c>
      <c r="C124" s="35" t="s">
        <v>1186</v>
      </c>
      <c r="D124" s="58"/>
      <c r="E124" s="58"/>
      <c r="F124" s="36"/>
      <c r="G124" s="36">
        <f>G125</f>
        <v>153780000</v>
      </c>
      <c r="H124" s="210" t="b">
        <f t="shared" si="2"/>
        <v>1</v>
      </c>
      <c r="I124" s="210"/>
      <c r="J124" s="210"/>
    </row>
    <row r="125" spans="1:10" ht="13.8" x14ac:dyDescent="0.25">
      <c r="A125" s="7" t="s">
        <v>1187</v>
      </c>
      <c r="B125" s="59" t="s">
        <v>8</v>
      </c>
      <c r="C125" s="38" t="s">
        <v>75</v>
      </c>
      <c r="D125" s="59"/>
      <c r="E125" s="59"/>
      <c r="F125" s="39"/>
      <c r="G125" s="39">
        <f>SUM(G126,G129,G131,G134,G136)</f>
        <v>153780000</v>
      </c>
      <c r="H125" s="210" t="b">
        <f t="shared" si="2"/>
        <v>1</v>
      </c>
      <c r="I125" s="210"/>
      <c r="J125" s="210"/>
    </row>
    <row r="126" spans="1:10" ht="13.8" x14ac:dyDescent="0.25">
      <c r="A126" s="7" t="s">
        <v>1188</v>
      </c>
      <c r="B126" s="60">
        <v>521211</v>
      </c>
      <c r="C126" s="41" t="s">
        <v>7</v>
      </c>
      <c r="D126" s="60"/>
      <c r="E126" s="60"/>
      <c r="F126" s="42"/>
      <c r="G126" s="42">
        <f>SUM(G127:G128)</f>
        <v>14400000</v>
      </c>
      <c r="H126" s="210" t="b">
        <f t="shared" si="2"/>
        <v>1</v>
      </c>
      <c r="I126" s="210"/>
      <c r="J126" s="210"/>
    </row>
    <row r="127" spans="1:10" ht="13.8" x14ac:dyDescent="0.25">
      <c r="A127" s="7" t="s">
        <v>1189</v>
      </c>
      <c r="B127" s="152"/>
      <c r="C127" s="151" t="s">
        <v>3598</v>
      </c>
      <c r="D127" s="152">
        <v>6</v>
      </c>
      <c r="E127" s="152" t="s">
        <v>52</v>
      </c>
      <c r="F127" s="153">
        <v>1000000</v>
      </c>
      <c r="G127" s="153">
        <f>ROUNDDOWN(D127*F127,-3)</f>
        <v>6000000</v>
      </c>
      <c r="H127" s="210" t="b">
        <f t="shared" si="2"/>
        <v>1</v>
      </c>
      <c r="I127" s="210"/>
      <c r="J127" s="210"/>
    </row>
    <row r="128" spans="1:10" ht="13.8" x14ac:dyDescent="0.25">
      <c r="A128" s="7" t="s">
        <v>1190</v>
      </c>
      <c r="B128" s="152"/>
      <c r="C128" s="151" t="s">
        <v>3720</v>
      </c>
      <c r="D128" s="152">
        <v>120</v>
      </c>
      <c r="E128" s="152" t="s">
        <v>25</v>
      </c>
      <c r="F128" s="153">
        <v>70000</v>
      </c>
      <c r="G128" s="153">
        <f>ROUNDDOWN(D128*F128,-3)</f>
        <v>8400000</v>
      </c>
      <c r="H128" s="210" t="b">
        <f t="shared" si="2"/>
        <v>1</v>
      </c>
      <c r="I128" s="210"/>
      <c r="J128" s="210"/>
    </row>
    <row r="129" spans="1:10" ht="13.8" x14ac:dyDescent="0.25">
      <c r="A129" s="7" t="s">
        <v>1191</v>
      </c>
      <c r="B129" s="60">
        <v>521219</v>
      </c>
      <c r="C129" s="41" t="s">
        <v>53</v>
      </c>
      <c r="D129" s="60"/>
      <c r="E129" s="60"/>
      <c r="F129" s="42"/>
      <c r="G129" s="42">
        <f>G130</f>
        <v>8000000</v>
      </c>
      <c r="H129" s="210" t="b">
        <f t="shared" si="2"/>
        <v>1</v>
      </c>
      <c r="I129" s="210"/>
      <c r="J129" s="210"/>
    </row>
    <row r="130" spans="1:10" ht="13.8" x14ac:dyDescent="0.25">
      <c r="A130" s="7" t="s">
        <v>1192</v>
      </c>
      <c r="B130" s="152"/>
      <c r="C130" s="151" t="s">
        <v>3840</v>
      </c>
      <c r="D130" s="152">
        <v>1</v>
      </c>
      <c r="E130" s="152" t="s">
        <v>106</v>
      </c>
      <c r="F130" s="153">
        <v>8000000</v>
      </c>
      <c r="G130" s="153">
        <f>ROUNDDOWN(D130*F130,-3)</f>
        <v>8000000</v>
      </c>
      <c r="H130" s="210" t="b">
        <f t="shared" si="2"/>
        <v>1</v>
      </c>
      <c r="I130" s="210"/>
      <c r="J130" s="210"/>
    </row>
    <row r="131" spans="1:10" ht="13.8" x14ac:dyDescent="0.25">
      <c r="A131" s="7" t="s">
        <v>1194</v>
      </c>
      <c r="B131" s="60">
        <v>521811</v>
      </c>
      <c r="C131" s="41" t="s">
        <v>64</v>
      </c>
      <c r="D131" s="60"/>
      <c r="E131" s="60"/>
      <c r="F131" s="42"/>
      <c r="G131" s="42">
        <f>SUM(G132:G133)</f>
        <v>12000000</v>
      </c>
      <c r="H131" s="210" t="b">
        <f t="shared" si="2"/>
        <v>1</v>
      </c>
      <c r="I131" s="210"/>
      <c r="J131" s="210"/>
    </row>
    <row r="132" spans="1:10" ht="13.8" x14ac:dyDescent="0.25">
      <c r="A132" s="7" t="s">
        <v>1195</v>
      </c>
      <c r="B132" s="152"/>
      <c r="C132" s="151" t="s">
        <v>3625</v>
      </c>
      <c r="D132" s="152">
        <v>6</v>
      </c>
      <c r="E132" s="152" t="s">
        <v>52</v>
      </c>
      <c r="F132" s="153">
        <v>1000000</v>
      </c>
      <c r="G132" s="153">
        <f>ROUNDDOWN(D132*F132,-3)</f>
        <v>6000000</v>
      </c>
      <c r="H132" s="210" t="b">
        <f t="shared" si="2"/>
        <v>1</v>
      </c>
      <c r="I132" s="210"/>
      <c r="J132" s="210"/>
    </row>
    <row r="133" spans="1:10" ht="13.8" x14ac:dyDescent="0.25">
      <c r="A133" s="7" t="s">
        <v>1196</v>
      </c>
      <c r="B133" s="152"/>
      <c r="C133" s="151" t="s">
        <v>3841</v>
      </c>
      <c r="D133" s="152">
        <v>6</v>
      </c>
      <c r="E133" s="152" t="s">
        <v>52</v>
      </c>
      <c r="F133" s="153">
        <v>1000000</v>
      </c>
      <c r="G133" s="153">
        <f>ROUNDDOWN(D133*F133,-3)</f>
        <v>6000000</v>
      </c>
      <c r="H133" s="210" t="b">
        <f t="shared" si="2"/>
        <v>1</v>
      </c>
      <c r="I133" s="210"/>
      <c r="J133" s="210"/>
    </row>
    <row r="134" spans="1:10" ht="13.8" x14ac:dyDescent="0.25">
      <c r="A134" s="7" t="s">
        <v>1198</v>
      </c>
      <c r="B134" s="60">
        <v>522151</v>
      </c>
      <c r="C134" s="41" t="s">
        <v>11</v>
      </c>
      <c r="D134" s="60"/>
      <c r="E134" s="60"/>
      <c r="F134" s="42"/>
      <c r="G134" s="42">
        <f>G135</f>
        <v>4000000</v>
      </c>
      <c r="H134" s="210" t="b">
        <f t="shared" si="2"/>
        <v>1</v>
      </c>
      <c r="I134" s="210"/>
      <c r="J134" s="210"/>
    </row>
    <row r="135" spans="1:10" ht="13.8" x14ac:dyDescent="0.25">
      <c r="A135" s="7" t="s">
        <v>1199</v>
      </c>
      <c r="B135" s="152"/>
      <c r="C135" s="151" t="s">
        <v>3715</v>
      </c>
      <c r="D135" s="152">
        <v>4</v>
      </c>
      <c r="E135" s="152" t="s">
        <v>54</v>
      </c>
      <c r="F135" s="153">
        <v>1000000</v>
      </c>
      <c r="G135" s="153">
        <f>ROUNDDOWN(D135*F135,-3)</f>
        <v>4000000</v>
      </c>
      <c r="H135" s="210" t="b">
        <f t="shared" si="2"/>
        <v>1</v>
      </c>
      <c r="I135" s="210"/>
      <c r="J135" s="210"/>
    </row>
    <row r="136" spans="1:10" ht="13.8" x14ac:dyDescent="0.25">
      <c r="A136" s="7" t="s">
        <v>1200</v>
      </c>
      <c r="B136" s="60">
        <v>524111</v>
      </c>
      <c r="C136" s="41" t="s">
        <v>19</v>
      </c>
      <c r="D136" s="60"/>
      <c r="E136" s="60"/>
      <c r="F136" s="42"/>
      <c r="G136" s="42">
        <f>G137</f>
        <v>115380000</v>
      </c>
      <c r="H136" s="210" t="b">
        <f t="shared" si="2"/>
        <v>1</v>
      </c>
      <c r="I136" s="210"/>
      <c r="J136" s="210"/>
    </row>
    <row r="137" spans="1:10" ht="13.8" x14ac:dyDescent="0.25">
      <c r="A137" s="7" t="s">
        <v>1201</v>
      </c>
      <c r="B137" s="152"/>
      <c r="C137" s="151" t="s">
        <v>3842</v>
      </c>
      <c r="D137" s="152">
        <v>20</v>
      </c>
      <c r="E137" s="152" t="s">
        <v>25</v>
      </c>
      <c r="F137" s="153">
        <v>5769000</v>
      </c>
      <c r="G137" s="153">
        <f>ROUNDDOWN(D137*F137,-3)</f>
        <v>115380000</v>
      </c>
      <c r="H137" s="210" t="b">
        <f t="shared" si="2"/>
        <v>1</v>
      </c>
      <c r="I137" s="210"/>
      <c r="J137" s="210"/>
    </row>
    <row r="138" spans="1:10" ht="13.8" x14ac:dyDescent="0.25">
      <c r="A138" s="7" t="s">
        <v>1268</v>
      </c>
      <c r="B138" s="138" t="s">
        <v>3855</v>
      </c>
      <c r="C138" s="137" t="s">
        <v>1270</v>
      </c>
      <c r="D138" s="138">
        <v>1</v>
      </c>
      <c r="E138" s="138" t="s">
        <v>3740</v>
      </c>
      <c r="F138" s="139"/>
      <c r="G138" s="139">
        <f>G139</f>
        <v>2736502000</v>
      </c>
      <c r="H138" s="210" t="b">
        <f t="shared" si="2"/>
        <v>1</v>
      </c>
      <c r="I138" s="210"/>
      <c r="J138" s="210"/>
    </row>
    <row r="139" spans="1:10" ht="13.8" x14ac:dyDescent="0.25">
      <c r="A139" s="7" t="s">
        <v>1388</v>
      </c>
      <c r="B139" s="58">
        <v>301</v>
      </c>
      <c r="C139" s="35" t="s">
        <v>1389</v>
      </c>
      <c r="D139" s="58"/>
      <c r="E139" s="58"/>
      <c r="F139" s="36"/>
      <c r="G139" s="36">
        <f>SUM(G140,G150,G161,G174,G184,G200,G216,G228,G248)</f>
        <v>2736502000</v>
      </c>
      <c r="H139" s="210" t="b">
        <f t="shared" si="2"/>
        <v>1</v>
      </c>
      <c r="I139" s="210"/>
      <c r="J139" s="210"/>
    </row>
    <row r="140" spans="1:10" ht="13.8" x14ac:dyDescent="0.25">
      <c r="A140" s="7" t="s">
        <v>1390</v>
      </c>
      <c r="B140" s="59" t="s">
        <v>8</v>
      </c>
      <c r="C140" s="38" t="s">
        <v>148</v>
      </c>
      <c r="D140" s="59"/>
      <c r="E140" s="59"/>
      <c r="F140" s="39"/>
      <c r="G140" s="39">
        <f>SUM(G141,G146,G148)</f>
        <v>42100000</v>
      </c>
      <c r="H140" s="210" t="b">
        <f t="shared" si="2"/>
        <v>1</v>
      </c>
      <c r="I140" s="210"/>
      <c r="J140" s="210"/>
    </row>
    <row r="141" spans="1:10" ht="13.8" x14ac:dyDescent="0.25">
      <c r="A141" s="7" t="s">
        <v>1391</v>
      </c>
      <c r="B141" s="60">
        <v>521211</v>
      </c>
      <c r="C141" s="41" t="s">
        <v>7</v>
      </c>
      <c r="D141" s="60"/>
      <c r="E141" s="60"/>
      <c r="F141" s="42"/>
      <c r="G141" s="42">
        <f>SUM(G142:G145)</f>
        <v>22000000</v>
      </c>
      <c r="H141" s="210" t="b">
        <f t="shared" si="2"/>
        <v>1</v>
      </c>
      <c r="I141" s="210"/>
      <c r="J141" s="210"/>
    </row>
    <row r="142" spans="1:10" ht="13.8" x14ac:dyDescent="0.25">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3.8" x14ac:dyDescent="0.25">
      <c r="A143" s="7" t="s">
        <v>1393</v>
      </c>
      <c r="B143" s="152"/>
      <c r="C143" s="151" t="s">
        <v>3626</v>
      </c>
      <c r="D143" s="152">
        <v>4</v>
      </c>
      <c r="E143" s="152" t="s">
        <v>9</v>
      </c>
      <c r="F143" s="153">
        <v>1000000</v>
      </c>
      <c r="G143" s="153">
        <f>ROUNDDOWN(D143*F143,-3)</f>
        <v>4000000</v>
      </c>
      <c r="H143" s="210" t="b">
        <f t="shared" si="3"/>
        <v>1</v>
      </c>
      <c r="I143" s="210"/>
      <c r="J143" s="210"/>
    </row>
    <row r="144" spans="1:10" ht="13.8" x14ac:dyDescent="0.25">
      <c r="A144" s="7" t="s">
        <v>1394</v>
      </c>
      <c r="B144" s="152"/>
      <c r="C144" s="151" t="s">
        <v>3627</v>
      </c>
      <c r="D144" s="152">
        <v>4</v>
      </c>
      <c r="E144" s="152" t="s">
        <v>9</v>
      </c>
      <c r="F144" s="153">
        <v>1500000</v>
      </c>
      <c r="G144" s="153">
        <f>ROUNDDOWN(D144*F144,-3)</f>
        <v>6000000</v>
      </c>
      <c r="H144" s="210" t="b">
        <f t="shared" si="3"/>
        <v>1</v>
      </c>
      <c r="I144" s="210"/>
      <c r="J144" s="210"/>
    </row>
    <row r="145" spans="1:10" ht="13.8" x14ac:dyDescent="0.25">
      <c r="A145" s="7" t="s">
        <v>1395</v>
      </c>
      <c r="B145" s="152"/>
      <c r="C145" s="151" t="s">
        <v>3887</v>
      </c>
      <c r="D145" s="152">
        <v>12</v>
      </c>
      <c r="E145" s="152" t="s">
        <v>176</v>
      </c>
      <c r="F145" s="153">
        <v>500000</v>
      </c>
      <c r="G145" s="153">
        <f>ROUNDDOWN(D145*F145,-3)</f>
        <v>6000000</v>
      </c>
      <c r="H145" s="210" t="b">
        <f t="shared" si="3"/>
        <v>1</v>
      </c>
      <c r="I145" s="210"/>
      <c r="J145" s="210"/>
    </row>
    <row r="146" spans="1:10" ht="13.8" x14ac:dyDescent="0.25">
      <c r="A146" s="7" t="s">
        <v>1397</v>
      </c>
      <c r="B146" s="60">
        <v>524111</v>
      </c>
      <c r="C146" s="41" t="s">
        <v>19</v>
      </c>
      <c r="D146" s="60"/>
      <c r="E146" s="60"/>
      <c r="F146" s="42"/>
      <c r="G146" s="42">
        <f>G147</f>
        <v>18000000</v>
      </c>
      <c r="H146" s="210" t="b">
        <f t="shared" si="3"/>
        <v>1</v>
      </c>
      <c r="I146" s="210"/>
      <c r="J146" s="210"/>
    </row>
    <row r="147" spans="1:10" ht="13.8" x14ac:dyDescent="0.25">
      <c r="A147" s="7" t="s">
        <v>1398</v>
      </c>
      <c r="B147" s="152"/>
      <c r="C147" s="151" t="s">
        <v>3888</v>
      </c>
      <c r="D147" s="152">
        <v>6</v>
      </c>
      <c r="E147" s="152" t="s">
        <v>10</v>
      </c>
      <c r="F147" s="153">
        <v>3000000</v>
      </c>
      <c r="G147" s="153">
        <f>ROUNDDOWN(D147*F147,-3)</f>
        <v>18000000</v>
      </c>
      <c r="H147" s="210" t="b">
        <f t="shared" si="3"/>
        <v>1</v>
      </c>
      <c r="I147" s="210"/>
      <c r="J147" s="210"/>
    </row>
    <row r="148" spans="1:10" ht="13.8" x14ac:dyDescent="0.25">
      <c r="A148" s="7" t="s">
        <v>1400</v>
      </c>
      <c r="B148" s="60">
        <v>524113</v>
      </c>
      <c r="C148" s="41" t="s">
        <v>13</v>
      </c>
      <c r="D148" s="60"/>
      <c r="E148" s="60"/>
      <c r="F148" s="42"/>
      <c r="G148" s="42">
        <f>G149</f>
        <v>2100000</v>
      </c>
      <c r="H148" s="210" t="b">
        <f t="shared" si="3"/>
        <v>1</v>
      </c>
      <c r="I148" s="210"/>
      <c r="J148" s="210"/>
    </row>
    <row r="149" spans="1:10" ht="13.8" x14ac:dyDescent="0.25">
      <c r="A149" s="7" t="s">
        <v>1401</v>
      </c>
      <c r="B149" s="152"/>
      <c r="C149" s="151" t="s">
        <v>3889</v>
      </c>
      <c r="D149" s="152">
        <v>14</v>
      </c>
      <c r="E149" s="152" t="s">
        <v>10</v>
      </c>
      <c r="F149" s="153">
        <v>150000</v>
      </c>
      <c r="G149" s="153">
        <f>ROUNDDOWN(D149*F149,-3)</f>
        <v>2100000</v>
      </c>
      <c r="H149" s="210" t="b">
        <f t="shared" si="3"/>
        <v>1</v>
      </c>
      <c r="I149" s="210"/>
      <c r="J149" s="210"/>
    </row>
    <row r="150" spans="1:10" ht="13.8" x14ac:dyDescent="0.25">
      <c r="A150" s="7" t="s">
        <v>1403</v>
      </c>
      <c r="B150" s="59" t="s">
        <v>511</v>
      </c>
      <c r="C150" s="38" t="s">
        <v>150</v>
      </c>
      <c r="D150" s="59"/>
      <c r="E150" s="59"/>
      <c r="F150" s="39"/>
      <c r="G150" s="39">
        <f>SUM(G151,G154,G156,G158)</f>
        <v>571380000</v>
      </c>
      <c r="H150" s="210" t="b">
        <f t="shared" si="3"/>
        <v>1</v>
      </c>
      <c r="I150" s="210"/>
      <c r="J150" s="210"/>
    </row>
    <row r="151" spans="1:10" ht="13.8" x14ac:dyDescent="0.25">
      <c r="A151" s="7" t="s">
        <v>1404</v>
      </c>
      <c r="B151" s="60">
        <v>521211</v>
      </c>
      <c r="C151" s="41" t="s">
        <v>7</v>
      </c>
      <c r="D151" s="60"/>
      <c r="E151" s="60"/>
      <c r="F151" s="42"/>
      <c r="G151" s="42">
        <f>SUM(G152:G153)</f>
        <v>10000000</v>
      </c>
      <c r="H151" s="210" t="b">
        <f t="shared" si="3"/>
        <v>1</v>
      </c>
      <c r="I151" s="210"/>
      <c r="J151" s="210"/>
    </row>
    <row r="152" spans="1:10" ht="13.8" x14ac:dyDescent="0.25">
      <c r="A152" s="7" t="s">
        <v>1405</v>
      </c>
      <c r="B152" s="152"/>
      <c r="C152" s="151" t="s">
        <v>3625</v>
      </c>
      <c r="D152" s="152">
        <v>4</v>
      </c>
      <c r="E152" s="152" t="s">
        <v>9</v>
      </c>
      <c r="F152" s="153">
        <v>1500000</v>
      </c>
      <c r="G152" s="153">
        <f>ROUNDDOWN(D152*F152,-3)</f>
        <v>6000000</v>
      </c>
      <c r="H152" s="210" t="b">
        <f t="shared" si="3"/>
        <v>1</v>
      </c>
      <c r="I152" s="210"/>
      <c r="J152" s="210"/>
    </row>
    <row r="153" spans="1:10" ht="13.8" x14ac:dyDescent="0.25">
      <c r="A153" s="7" t="s">
        <v>1406</v>
      </c>
      <c r="B153" s="152"/>
      <c r="C153" s="151" t="s">
        <v>3626</v>
      </c>
      <c r="D153" s="152">
        <v>4</v>
      </c>
      <c r="E153" s="152" t="s">
        <v>9</v>
      </c>
      <c r="F153" s="153">
        <v>1000000</v>
      </c>
      <c r="G153" s="153">
        <f>ROUNDDOWN(D153*F153,-3)</f>
        <v>4000000</v>
      </c>
      <c r="H153" s="210" t="b">
        <f t="shared" si="3"/>
        <v>1</v>
      </c>
      <c r="I153" s="210"/>
      <c r="J153" s="210"/>
    </row>
    <row r="154" spans="1:10" ht="13.8" x14ac:dyDescent="0.25">
      <c r="A154" s="7" t="s">
        <v>1407</v>
      </c>
      <c r="B154" s="60">
        <v>521219</v>
      </c>
      <c r="C154" s="41" t="s">
        <v>53</v>
      </c>
      <c r="D154" s="60"/>
      <c r="E154" s="60"/>
      <c r="F154" s="42"/>
      <c r="G154" s="42">
        <f>G155</f>
        <v>7800000</v>
      </c>
      <c r="H154" s="210" t="b">
        <f t="shared" si="3"/>
        <v>1</v>
      </c>
      <c r="I154" s="210"/>
      <c r="J154" s="210"/>
    </row>
    <row r="155" spans="1:10" ht="13.8" x14ac:dyDescent="0.25">
      <c r="A155" s="7" t="s">
        <v>1408</v>
      </c>
      <c r="B155" s="152"/>
      <c r="C155" s="151" t="s">
        <v>3722</v>
      </c>
      <c r="D155" s="152">
        <v>12</v>
      </c>
      <c r="E155" s="152" t="s">
        <v>66</v>
      </c>
      <c r="F155" s="153">
        <v>650000</v>
      </c>
      <c r="G155" s="153">
        <f>ROUNDDOWN(D155*F155,-3)</f>
        <v>7800000</v>
      </c>
      <c r="H155" s="210" t="b">
        <f t="shared" si="3"/>
        <v>1</v>
      </c>
      <c r="I155" s="210"/>
      <c r="J155" s="210"/>
    </row>
    <row r="156" spans="1:10" ht="13.8" x14ac:dyDescent="0.25">
      <c r="A156" s="7" t="s">
        <v>1409</v>
      </c>
      <c r="B156" s="60">
        <v>522192</v>
      </c>
      <c r="C156" s="41" t="s">
        <v>24</v>
      </c>
      <c r="D156" s="60"/>
      <c r="E156" s="60"/>
      <c r="F156" s="42"/>
      <c r="G156" s="42">
        <f>G157</f>
        <v>39080000</v>
      </c>
      <c r="H156" s="210" t="b">
        <f t="shared" si="3"/>
        <v>1</v>
      </c>
      <c r="I156" s="210"/>
      <c r="J156" s="210"/>
    </row>
    <row r="157" spans="1:10" ht="13.8" x14ac:dyDescent="0.25">
      <c r="A157" s="7" t="s">
        <v>1410</v>
      </c>
      <c r="B157" s="152"/>
      <c r="C157" s="151" t="s">
        <v>3890</v>
      </c>
      <c r="D157" s="152">
        <v>80</v>
      </c>
      <c r="E157" s="152" t="s">
        <v>25</v>
      </c>
      <c r="F157" s="153">
        <v>488500</v>
      </c>
      <c r="G157" s="153">
        <f>ROUNDDOWN(D157*F157,-3)</f>
        <v>39080000</v>
      </c>
      <c r="H157" s="210" t="b">
        <f t="shared" si="3"/>
        <v>1</v>
      </c>
      <c r="I157" s="210"/>
      <c r="J157" s="210"/>
    </row>
    <row r="158" spans="1:10" ht="13.8" x14ac:dyDescent="0.25">
      <c r="A158" s="7" t="s">
        <v>1412</v>
      </c>
      <c r="B158" s="60">
        <v>524111</v>
      </c>
      <c r="C158" s="41" t="s">
        <v>19</v>
      </c>
      <c r="D158" s="60"/>
      <c r="E158" s="60"/>
      <c r="F158" s="42"/>
      <c r="G158" s="42">
        <f>SUM(G159:G160)</f>
        <v>514500000</v>
      </c>
      <c r="H158" s="210" t="b">
        <f t="shared" si="3"/>
        <v>1</v>
      </c>
      <c r="I158" s="210"/>
      <c r="J158" s="210"/>
    </row>
    <row r="159" spans="1:10" ht="13.8" x14ac:dyDescent="0.25">
      <c r="A159" s="7" t="s">
        <v>1413</v>
      </c>
      <c r="B159" s="152"/>
      <c r="C159" s="151" t="s">
        <v>3891</v>
      </c>
      <c r="D159" s="152">
        <v>55</v>
      </c>
      <c r="E159" s="152" t="s">
        <v>10</v>
      </c>
      <c r="F159" s="153">
        <v>6075000</v>
      </c>
      <c r="G159" s="153">
        <f>ROUNDDOWN(D159*F159,-3)</f>
        <v>334125000</v>
      </c>
      <c r="H159" s="210" t="b">
        <f t="shared" si="3"/>
        <v>1</v>
      </c>
      <c r="I159" s="210"/>
      <c r="J159" s="210"/>
    </row>
    <row r="160" spans="1:10" ht="13.8" x14ac:dyDescent="0.25">
      <c r="A160" s="7" t="s">
        <v>1415</v>
      </c>
      <c r="B160" s="152"/>
      <c r="C160" s="151" t="s">
        <v>3892</v>
      </c>
      <c r="D160" s="152">
        <v>30</v>
      </c>
      <c r="E160" s="152" t="s">
        <v>776</v>
      </c>
      <c r="F160" s="153">
        <v>6012500</v>
      </c>
      <c r="G160" s="153">
        <f>ROUNDDOWN(D160*F160,-3)</f>
        <v>180375000</v>
      </c>
      <c r="H160" s="210" t="b">
        <f t="shared" si="3"/>
        <v>1</v>
      </c>
      <c r="I160" s="210"/>
      <c r="J160" s="210"/>
    </row>
    <row r="161" spans="1:10" ht="13.8" x14ac:dyDescent="0.25">
      <c r="A161" s="7" t="s">
        <v>1417</v>
      </c>
      <c r="B161" s="59" t="s">
        <v>512</v>
      </c>
      <c r="C161" s="38" t="s">
        <v>1418</v>
      </c>
      <c r="D161" s="59"/>
      <c r="E161" s="59"/>
      <c r="F161" s="39"/>
      <c r="G161" s="39">
        <f>SUM(G162,G168,G170,G172)</f>
        <v>83500000</v>
      </c>
      <c r="H161" s="210" t="b">
        <f t="shared" si="3"/>
        <v>1</v>
      </c>
      <c r="I161" s="210"/>
      <c r="J161" s="210"/>
    </row>
    <row r="162" spans="1:10" ht="13.8" x14ac:dyDescent="0.25">
      <c r="A162" s="7" t="s">
        <v>1419</v>
      </c>
      <c r="B162" s="60">
        <v>521211</v>
      </c>
      <c r="C162" s="41" t="s">
        <v>7</v>
      </c>
      <c r="D162" s="60"/>
      <c r="E162" s="60"/>
      <c r="F162" s="42"/>
      <c r="G162" s="42">
        <f>SUM(G163:G167)</f>
        <v>46000000</v>
      </c>
      <c r="H162" s="210" t="b">
        <f t="shared" si="3"/>
        <v>1</v>
      </c>
      <c r="I162" s="210"/>
      <c r="J162" s="210"/>
    </row>
    <row r="163" spans="1:10" ht="13.8" x14ac:dyDescent="0.25">
      <c r="A163" s="7" t="s">
        <v>1420</v>
      </c>
      <c r="B163" s="152"/>
      <c r="C163" s="151" t="s">
        <v>3893</v>
      </c>
      <c r="D163" s="152">
        <v>500</v>
      </c>
      <c r="E163" s="152" t="s">
        <v>1422</v>
      </c>
      <c r="F163" s="153">
        <v>36000</v>
      </c>
      <c r="G163" s="153">
        <f>ROUNDDOWN(D163*F163,-3)</f>
        <v>18000000</v>
      </c>
      <c r="H163" s="210" t="b">
        <f t="shared" si="3"/>
        <v>1</v>
      </c>
      <c r="I163" s="210"/>
      <c r="J163" s="210"/>
    </row>
    <row r="164" spans="1:10" ht="13.8" x14ac:dyDescent="0.25">
      <c r="A164" s="7" t="s">
        <v>1423</v>
      </c>
      <c r="B164" s="152"/>
      <c r="C164" s="151" t="s">
        <v>3714</v>
      </c>
      <c r="D164" s="152">
        <v>4</v>
      </c>
      <c r="E164" s="152" t="s">
        <v>9</v>
      </c>
      <c r="F164" s="153">
        <v>1500000</v>
      </c>
      <c r="G164" s="153">
        <f>ROUNDDOWN(D164*F164,-3)</f>
        <v>6000000</v>
      </c>
      <c r="H164" s="210" t="b">
        <f t="shared" si="3"/>
        <v>1</v>
      </c>
      <c r="I164" s="210"/>
      <c r="J164" s="210"/>
    </row>
    <row r="165" spans="1:10" ht="13.8" x14ac:dyDescent="0.25">
      <c r="A165" s="7" t="s">
        <v>1424</v>
      </c>
      <c r="B165" s="152"/>
      <c r="C165" s="151" t="s">
        <v>3600</v>
      </c>
      <c r="D165" s="152">
        <v>4</v>
      </c>
      <c r="E165" s="152" t="s">
        <v>9</v>
      </c>
      <c r="F165" s="153">
        <v>1000000</v>
      </c>
      <c r="G165" s="153">
        <f>ROUNDDOWN(D165*F165,-3)</f>
        <v>4000000</v>
      </c>
      <c r="H165" s="210" t="b">
        <f t="shared" si="3"/>
        <v>1</v>
      </c>
      <c r="I165" s="210"/>
      <c r="J165" s="210"/>
    </row>
    <row r="166" spans="1:10" ht="13.8" x14ac:dyDescent="0.25">
      <c r="A166" s="7" t="s">
        <v>1425</v>
      </c>
      <c r="B166" s="152"/>
      <c r="C166" s="151" t="s">
        <v>3601</v>
      </c>
      <c r="D166" s="152">
        <v>4</v>
      </c>
      <c r="E166" s="152" t="s">
        <v>9</v>
      </c>
      <c r="F166" s="153">
        <v>1500000</v>
      </c>
      <c r="G166" s="153">
        <f>ROUNDDOWN(D166*F166,-3)</f>
        <v>6000000</v>
      </c>
      <c r="H166" s="210" t="b">
        <f t="shared" si="3"/>
        <v>1</v>
      </c>
      <c r="I166" s="210"/>
      <c r="J166" s="210"/>
    </row>
    <row r="167" spans="1:10" ht="13.8" x14ac:dyDescent="0.25">
      <c r="A167" s="7" t="s">
        <v>1426</v>
      </c>
      <c r="B167" s="152"/>
      <c r="C167" s="151" t="s">
        <v>3894</v>
      </c>
      <c r="D167" s="152">
        <v>24</v>
      </c>
      <c r="E167" s="152" t="s">
        <v>176</v>
      </c>
      <c r="F167" s="153">
        <v>500000</v>
      </c>
      <c r="G167" s="153">
        <f>ROUNDDOWN(D167*F167,-3)</f>
        <v>12000000</v>
      </c>
      <c r="H167" s="210" t="b">
        <f t="shared" si="3"/>
        <v>1</v>
      </c>
      <c r="I167" s="210"/>
      <c r="J167" s="210"/>
    </row>
    <row r="168" spans="1:10" ht="13.8" x14ac:dyDescent="0.25">
      <c r="A168" s="7" t="s">
        <v>1428</v>
      </c>
      <c r="B168" s="60">
        <v>522141</v>
      </c>
      <c r="C168" s="41" t="s">
        <v>95</v>
      </c>
      <c r="D168" s="60"/>
      <c r="E168" s="60"/>
      <c r="F168" s="42"/>
      <c r="G168" s="42">
        <f>G169</f>
        <v>6000000</v>
      </c>
      <c r="H168" s="210" t="b">
        <f t="shared" si="3"/>
        <v>1</v>
      </c>
      <c r="I168" s="210"/>
      <c r="J168" s="210"/>
    </row>
    <row r="169" spans="1:10" ht="13.8" x14ac:dyDescent="0.25">
      <c r="A169" s="7" t="s">
        <v>1429</v>
      </c>
      <c r="B169" s="152"/>
      <c r="C169" s="151" t="s">
        <v>3895</v>
      </c>
      <c r="D169" s="152">
        <v>4</v>
      </c>
      <c r="E169" s="152" t="s">
        <v>149</v>
      </c>
      <c r="F169" s="153">
        <v>1500000</v>
      </c>
      <c r="G169" s="153">
        <f>ROUNDDOWN(D169*F169,-3)</f>
        <v>6000000</v>
      </c>
      <c r="H169" s="210" t="b">
        <f t="shared" si="3"/>
        <v>1</v>
      </c>
      <c r="I169" s="210"/>
      <c r="J169" s="210"/>
    </row>
    <row r="170" spans="1:10" ht="13.8" x14ac:dyDescent="0.25">
      <c r="A170" s="7" t="s">
        <v>1431</v>
      </c>
      <c r="B170" s="60">
        <v>524111</v>
      </c>
      <c r="C170" s="41" t="s">
        <v>19</v>
      </c>
      <c r="D170" s="60"/>
      <c r="E170" s="60"/>
      <c r="F170" s="42"/>
      <c r="G170" s="42">
        <f>G171</f>
        <v>27000000</v>
      </c>
      <c r="H170" s="210" t="b">
        <f t="shared" si="3"/>
        <v>1</v>
      </c>
      <c r="I170" s="210"/>
      <c r="J170" s="210"/>
    </row>
    <row r="171" spans="1:10" ht="26.4" x14ac:dyDescent="0.25">
      <c r="A171" s="7" t="s">
        <v>1432</v>
      </c>
      <c r="B171" s="152"/>
      <c r="C171" s="151" t="s">
        <v>3896</v>
      </c>
      <c r="D171" s="152">
        <v>9</v>
      </c>
      <c r="E171" s="152" t="s">
        <v>10</v>
      </c>
      <c r="F171" s="153">
        <v>3000000</v>
      </c>
      <c r="G171" s="153">
        <f>ROUNDDOWN(D171*F171,-3)</f>
        <v>27000000</v>
      </c>
      <c r="H171" s="210" t="b">
        <f t="shared" si="3"/>
        <v>1</v>
      </c>
      <c r="I171" s="210"/>
      <c r="J171" s="210"/>
    </row>
    <row r="172" spans="1:10" ht="13.8" x14ac:dyDescent="0.25">
      <c r="A172" s="7" t="s">
        <v>1434</v>
      </c>
      <c r="B172" s="60">
        <v>524113</v>
      </c>
      <c r="C172" s="41" t="s">
        <v>13</v>
      </c>
      <c r="D172" s="60"/>
      <c r="E172" s="60"/>
      <c r="F172" s="42"/>
      <c r="G172" s="42">
        <f>G173</f>
        <v>4500000</v>
      </c>
      <c r="H172" s="210" t="b">
        <f t="shared" si="3"/>
        <v>1</v>
      </c>
      <c r="I172" s="210"/>
      <c r="J172" s="210"/>
    </row>
    <row r="173" spans="1:10" ht="13.8" x14ac:dyDescent="0.25">
      <c r="A173" s="7" t="s">
        <v>1435</v>
      </c>
      <c r="B173" s="152"/>
      <c r="C173" s="151" t="s">
        <v>3897</v>
      </c>
      <c r="D173" s="152">
        <v>30</v>
      </c>
      <c r="E173" s="152" t="s">
        <v>10</v>
      </c>
      <c r="F173" s="153">
        <v>150000</v>
      </c>
      <c r="G173" s="153">
        <f>ROUNDDOWN(D173*F173,-3)</f>
        <v>4500000</v>
      </c>
      <c r="H173" s="210" t="b">
        <f t="shared" si="3"/>
        <v>1</v>
      </c>
      <c r="I173" s="210"/>
      <c r="J173" s="210"/>
    </row>
    <row r="174" spans="1:10" ht="13.8" x14ac:dyDescent="0.25">
      <c r="A174" s="7" t="s">
        <v>1437</v>
      </c>
      <c r="B174" s="59" t="s">
        <v>514</v>
      </c>
      <c r="C174" s="38" t="s">
        <v>151</v>
      </c>
      <c r="D174" s="59"/>
      <c r="E174" s="59"/>
      <c r="F174" s="39"/>
      <c r="G174" s="39">
        <f>SUM(G175,G180,G182)</f>
        <v>101050000</v>
      </c>
      <c r="H174" s="210" t="b">
        <f t="shared" si="3"/>
        <v>1</v>
      </c>
      <c r="I174" s="210"/>
      <c r="J174" s="210"/>
    </row>
    <row r="175" spans="1:10" ht="13.8" x14ac:dyDescent="0.25">
      <c r="A175" s="7" t="s">
        <v>1438</v>
      </c>
      <c r="B175" s="60">
        <v>521211</v>
      </c>
      <c r="C175" s="41" t="s">
        <v>7</v>
      </c>
      <c r="D175" s="60"/>
      <c r="E175" s="60"/>
      <c r="F175" s="42"/>
      <c r="G175" s="42">
        <f>SUM(G176:G179)</f>
        <v>28000000</v>
      </c>
      <c r="H175" s="210" t="b">
        <f t="shared" si="3"/>
        <v>1</v>
      </c>
      <c r="I175" s="210"/>
      <c r="J175" s="210"/>
    </row>
    <row r="176" spans="1:10" ht="13.8" x14ac:dyDescent="0.25">
      <c r="A176" s="7" t="s">
        <v>1439</v>
      </c>
      <c r="B176" s="152"/>
      <c r="C176" s="151" t="s">
        <v>3625</v>
      </c>
      <c r="D176" s="152">
        <v>4</v>
      </c>
      <c r="E176" s="152" t="s">
        <v>9</v>
      </c>
      <c r="F176" s="153">
        <v>1000000</v>
      </c>
      <c r="G176" s="153">
        <f>ROUNDDOWN(D176*F176,-3)</f>
        <v>4000000</v>
      </c>
      <c r="H176" s="210" t="b">
        <f t="shared" si="3"/>
        <v>1</v>
      </c>
      <c r="I176" s="210"/>
      <c r="J176" s="210"/>
    </row>
    <row r="177" spans="1:10" ht="13.8" x14ac:dyDescent="0.25">
      <c r="A177" s="7" t="s">
        <v>1440</v>
      </c>
      <c r="B177" s="152"/>
      <c r="C177" s="151" t="s">
        <v>3626</v>
      </c>
      <c r="D177" s="152">
        <v>4</v>
      </c>
      <c r="E177" s="152" t="s">
        <v>9</v>
      </c>
      <c r="F177" s="153">
        <v>1500000</v>
      </c>
      <c r="G177" s="153">
        <f>ROUNDDOWN(D177*F177,-3)</f>
        <v>6000000</v>
      </c>
      <c r="H177" s="210" t="b">
        <f t="shared" si="3"/>
        <v>1</v>
      </c>
      <c r="I177" s="210"/>
      <c r="J177" s="210"/>
    </row>
    <row r="178" spans="1:10" ht="13.8" x14ac:dyDescent="0.25">
      <c r="A178" s="7" t="s">
        <v>1441</v>
      </c>
      <c r="B178" s="152"/>
      <c r="C178" s="151" t="s">
        <v>3627</v>
      </c>
      <c r="D178" s="152">
        <v>4</v>
      </c>
      <c r="E178" s="152" t="s">
        <v>9</v>
      </c>
      <c r="F178" s="153">
        <v>1500000</v>
      </c>
      <c r="G178" s="153">
        <f>ROUNDDOWN(D178*F178,-3)</f>
        <v>6000000</v>
      </c>
      <c r="H178" s="210" t="b">
        <f t="shared" si="3"/>
        <v>1</v>
      </c>
      <c r="I178" s="210"/>
      <c r="J178" s="210"/>
    </row>
    <row r="179" spans="1:10" ht="13.8" x14ac:dyDescent="0.25">
      <c r="A179" s="7" t="s">
        <v>1442</v>
      </c>
      <c r="B179" s="152"/>
      <c r="C179" s="151" t="s">
        <v>3898</v>
      </c>
      <c r="D179" s="152">
        <v>24</v>
      </c>
      <c r="E179" s="152" t="s">
        <v>176</v>
      </c>
      <c r="F179" s="153">
        <v>500000</v>
      </c>
      <c r="G179" s="153">
        <f>ROUNDDOWN(D179*F179,-3)</f>
        <v>12000000</v>
      </c>
      <c r="H179" s="210" t="b">
        <f t="shared" si="3"/>
        <v>1</v>
      </c>
      <c r="I179" s="210"/>
      <c r="J179" s="210"/>
    </row>
    <row r="180" spans="1:10" ht="13.8" x14ac:dyDescent="0.25">
      <c r="A180" s="7" t="s">
        <v>1443</v>
      </c>
      <c r="B180" s="60">
        <v>524111</v>
      </c>
      <c r="C180" s="41" t="s">
        <v>19</v>
      </c>
      <c r="D180" s="60"/>
      <c r="E180" s="60"/>
      <c r="F180" s="42"/>
      <c r="G180" s="42">
        <f>G181</f>
        <v>71250000</v>
      </c>
      <c r="H180" s="210" t="b">
        <f t="shared" si="3"/>
        <v>1</v>
      </c>
      <c r="I180" s="210"/>
      <c r="J180" s="210"/>
    </row>
    <row r="181" spans="1:10" ht="13.8" x14ac:dyDescent="0.25">
      <c r="A181" s="7" t="s">
        <v>1444</v>
      </c>
      <c r="B181" s="152"/>
      <c r="C181" s="151" t="s">
        <v>3899</v>
      </c>
      <c r="D181" s="152">
        <v>15</v>
      </c>
      <c r="E181" s="152" t="s">
        <v>10</v>
      </c>
      <c r="F181" s="153">
        <v>4750000</v>
      </c>
      <c r="G181" s="153">
        <f>ROUNDDOWN(D181*F181,-3)</f>
        <v>71250000</v>
      </c>
      <c r="H181" s="210" t="b">
        <f t="shared" si="3"/>
        <v>1</v>
      </c>
      <c r="I181" s="210"/>
      <c r="J181" s="210"/>
    </row>
    <row r="182" spans="1:10" ht="13.8" x14ac:dyDescent="0.25">
      <c r="A182" s="7" t="s">
        <v>1446</v>
      </c>
      <c r="B182" s="60">
        <v>524113</v>
      </c>
      <c r="C182" s="41" t="s">
        <v>13</v>
      </c>
      <c r="D182" s="60"/>
      <c r="E182" s="60"/>
      <c r="F182" s="42"/>
      <c r="G182" s="42">
        <f>G183</f>
        <v>1800000</v>
      </c>
      <c r="H182" s="210" t="b">
        <f t="shared" si="3"/>
        <v>1</v>
      </c>
      <c r="I182" s="210"/>
      <c r="J182" s="210"/>
    </row>
    <row r="183" spans="1:10" ht="13.8" x14ac:dyDescent="0.25">
      <c r="A183" s="7" t="s">
        <v>1447</v>
      </c>
      <c r="B183" s="152"/>
      <c r="C183" s="151" t="s">
        <v>3897</v>
      </c>
      <c r="D183" s="152">
        <v>12</v>
      </c>
      <c r="E183" s="152" t="s">
        <v>10</v>
      </c>
      <c r="F183" s="153">
        <v>150000</v>
      </c>
      <c r="G183" s="153">
        <f>ROUNDDOWN(D183*F183,-3)</f>
        <v>1800000</v>
      </c>
      <c r="H183" s="210" t="b">
        <f t="shared" si="3"/>
        <v>1</v>
      </c>
      <c r="I183" s="210"/>
      <c r="J183" s="210"/>
    </row>
    <row r="184" spans="1:10" ht="13.8" x14ac:dyDescent="0.25">
      <c r="A184" s="7" t="s">
        <v>1448</v>
      </c>
      <c r="B184" s="59" t="s">
        <v>519</v>
      </c>
      <c r="C184" s="38" t="s">
        <v>152</v>
      </c>
      <c r="D184" s="59"/>
      <c r="E184" s="59"/>
      <c r="F184" s="39"/>
      <c r="G184" s="39">
        <f>SUM(G185,G190,G194,G196,G198)</f>
        <v>388472000</v>
      </c>
      <c r="H184" s="210" t="b">
        <f t="shared" si="3"/>
        <v>1</v>
      </c>
      <c r="I184" s="210"/>
      <c r="J184" s="210"/>
    </row>
    <row r="185" spans="1:10" ht="13.8" x14ac:dyDescent="0.25">
      <c r="A185" s="7" t="s">
        <v>1449</v>
      </c>
      <c r="B185" s="60">
        <v>521211</v>
      </c>
      <c r="C185" s="41" t="s">
        <v>7</v>
      </c>
      <c r="D185" s="60"/>
      <c r="E185" s="60"/>
      <c r="F185" s="42"/>
      <c r="G185" s="42">
        <f>SUM(G186:G189)</f>
        <v>46000000</v>
      </c>
      <c r="H185" s="210" t="b">
        <f t="shared" si="3"/>
        <v>1</v>
      </c>
      <c r="I185" s="210"/>
      <c r="J185" s="210"/>
    </row>
    <row r="186" spans="1:10" ht="13.8" x14ac:dyDescent="0.25">
      <c r="A186" s="7" t="s">
        <v>1450</v>
      </c>
      <c r="B186" s="152"/>
      <c r="C186" s="151" t="s">
        <v>3598</v>
      </c>
      <c r="D186" s="152">
        <v>4</v>
      </c>
      <c r="E186" s="152" t="s">
        <v>9</v>
      </c>
      <c r="F186" s="153">
        <v>1500000</v>
      </c>
      <c r="G186" s="153">
        <f>ROUNDDOWN(D186*F186,-3)</f>
        <v>6000000</v>
      </c>
      <c r="H186" s="210" t="b">
        <f t="shared" si="3"/>
        <v>1</v>
      </c>
      <c r="I186" s="210"/>
      <c r="J186" s="210"/>
    </row>
    <row r="187" spans="1:10" ht="13.8" x14ac:dyDescent="0.25">
      <c r="A187" s="7" t="s">
        <v>1451</v>
      </c>
      <c r="B187" s="152"/>
      <c r="C187" s="151" t="s">
        <v>3632</v>
      </c>
      <c r="D187" s="152">
        <v>4</v>
      </c>
      <c r="E187" s="152" t="s">
        <v>9</v>
      </c>
      <c r="F187" s="153">
        <v>1000000</v>
      </c>
      <c r="G187" s="153">
        <f>ROUNDDOWN(D187*F187,-3)</f>
        <v>4000000</v>
      </c>
      <c r="H187" s="210" t="b">
        <f t="shared" si="3"/>
        <v>1</v>
      </c>
      <c r="I187" s="210"/>
      <c r="J187" s="210"/>
    </row>
    <row r="188" spans="1:10" ht="13.8" x14ac:dyDescent="0.25">
      <c r="A188" s="7" t="s">
        <v>1452</v>
      </c>
      <c r="B188" s="152"/>
      <c r="C188" s="151" t="s">
        <v>3633</v>
      </c>
      <c r="D188" s="152">
        <v>4</v>
      </c>
      <c r="E188" s="152" t="s">
        <v>9</v>
      </c>
      <c r="F188" s="153">
        <v>1500000</v>
      </c>
      <c r="G188" s="153">
        <f>ROUNDDOWN(D188*F188,-3)</f>
        <v>6000000</v>
      </c>
      <c r="H188" s="210" t="b">
        <f t="shared" si="3"/>
        <v>1</v>
      </c>
      <c r="I188" s="210"/>
      <c r="J188" s="210"/>
    </row>
    <row r="189" spans="1:10" ht="13.8" x14ac:dyDescent="0.25">
      <c r="A189" s="7" t="s">
        <v>1453</v>
      </c>
      <c r="B189" s="152"/>
      <c r="C189" s="151" t="s">
        <v>3900</v>
      </c>
      <c r="D189" s="152">
        <v>60</v>
      </c>
      <c r="E189" s="152" t="s">
        <v>176</v>
      </c>
      <c r="F189" s="153">
        <v>500000</v>
      </c>
      <c r="G189" s="153">
        <f>ROUNDDOWN(D189*F189,-3)</f>
        <v>30000000</v>
      </c>
      <c r="H189" s="210" t="b">
        <f t="shared" si="3"/>
        <v>1</v>
      </c>
      <c r="I189" s="210"/>
      <c r="J189" s="210"/>
    </row>
    <row r="190" spans="1:10" ht="13.8" x14ac:dyDescent="0.25">
      <c r="A190" s="7" t="s">
        <v>1455</v>
      </c>
      <c r="B190" s="60">
        <v>521241</v>
      </c>
      <c r="C190" s="41" t="s">
        <v>642</v>
      </c>
      <c r="D190" s="60"/>
      <c r="E190" s="60"/>
      <c r="F190" s="42"/>
      <c r="G190" s="42">
        <f>SUM(G191:G193)</f>
        <v>249600000</v>
      </c>
      <c r="H190" s="210" t="b">
        <f t="shared" si="3"/>
        <v>1</v>
      </c>
      <c r="I190" s="210"/>
      <c r="J190" s="210"/>
    </row>
    <row r="191" spans="1:10" ht="13.8" x14ac:dyDescent="0.25">
      <c r="A191" s="7" t="s">
        <v>1456</v>
      </c>
      <c r="B191" s="152"/>
      <c r="C191" s="151" t="s">
        <v>3901</v>
      </c>
      <c r="D191" s="152">
        <v>720</v>
      </c>
      <c r="E191" s="152" t="s">
        <v>32</v>
      </c>
      <c r="F191" s="153">
        <v>200000</v>
      </c>
      <c r="G191" s="153">
        <f>ROUNDDOWN(D191*F191,-3)</f>
        <v>144000000</v>
      </c>
      <c r="H191" s="210" t="b">
        <f t="shared" si="3"/>
        <v>1</v>
      </c>
      <c r="I191" s="210"/>
      <c r="J191" s="210"/>
    </row>
    <row r="192" spans="1:10" ht="13.8" x14ac:dyDescent="0.25">
      <c r="A192" s="7" t="s">
        <v>1458</v>
      </c>
      <c r="B192" s="152"/>
      <c r="C192" s="151" t="s">
        <v>3902</v>
      </c>
      <c r="D192" s="152">
        <v>360</v>
      </c>
      <c r="E192" s="152" t="s">
        <v>776</v>
      </c>
      <c r="F192" s="153">
        <v>280000</v>
      </c>
      <c r="G192" s="153">
        <f>ROUNDDOWN(D192*F192,-3)</f>
        <v>100800000</v>
      </c>
      <c r="H192" s="210" t="b">
        <f t="shared" si="3"/>
        <v>1</v>
      </c>
      <c r="I192" s="210"/>
      <c r="J192" s="210"/>
    </row>
    <row r="193" spans="1:10" ht="13.8" x14ac:dyDescent="0.25">
      <c r="A193" s="7" t="s">
        <v>1460</v>
      </c>
      <c r="B193" s="152"/>
      <c r="C193" s="151" t="s">
        <v>3903</v>
      </c>
      <c r="D193" s="152">
        <v>12</v>
      </c>
      <c r="E193" s="152" t="s">
        <v>32</v>
      </c>
      <c r="F193" s="153">
        <v>400000</v>
      </c>
      <c r="G193" s="153">
        <f>ROUNDDOWN(D193*F193,-3)</f>
        <v>4800000</v>
      </c>
      <c r="H193" s="210" t="b">
        <f t="shared" si="3"/>
        <v>1</v>
      </c>
      <c r="I193" s="210"/>
      <c r="J193" s="210"/>
    </row>
    <row r="194" spans="1:10" ht="13.8" x14ac:dyDescent="0.25">
      <c r="A194" s="7" t="s">
        <v>1462</v>
      </c>
      <c r="B194" s="60">
        <v>522192</v>
      </c>
      <c r="C194" s="41" t="s">
        <v>24</v>
      </c>
      <c r="D194" s="60"/>
      <c r="E194" s="60"/>
      <c r="F194" s="42"/>
      <c r="G194" s="42">
        <f>G195</f>
        <v>48000000</v>
      </c>
      <c r="H194" s="210" t="b">
        <f t="shared" si="3"/>
        <v>1</v>
      </c>
      <c r="I194" s="210"/>
      <c r="J194" s="210"/>
    </row>
    <row r="195" spans="1:10" ht="13.8" x14ac:dyDescent="0.25">
      <c r="A195" s="7" t="s">
        <v>1463</v>
      </c>
      <c r="B195" s="152"/>
      <c r="C195" s="151" t="s">
        <v>3890</v>
      </c>
      <c r="D195" s="152">
        <v>480</v>
      </c>
      <c r="E195" s="152" t="s">
        <v>25</v>
      </c>
      <c r="F195" s="153">
        <v>100000</v>
      </c>
      <c r="G195" s="153">
        <f>ROUNDDOWN(D195*F195,-3)</f>
        <v>48000000</v>
      </c>
      <c r="H195" s="210" t="b">
        <f t="shared" si="3"/>
        <v>1</v>
      </c>
      <c r="I195" s="210"/>
      <c r="J195" s="210"/>
    </row>
    <row r="196" spans="1:10" ht="13.8" x14ac:dyDescent="0.25">
      <c r="A196" s="7" t="s">
        <v>1464</v>
      </c>
      <c r="B196" s="60">
        <v>524111</v>
      </c>
      <c r="C196" s="41" t="s">
        <v>19</v>
      </c>
      <c r="D196" s="60"/>
      <c r="E196" s="60"/>
      <c r="F196" s="42"/>
      <c r="G196" s="42">
        <f>G197</f>
        <v>42772000</v>
      </c>
      <c r="H196" s="210" t="b">
        <f t="shared" si="3"/>
        <v>1</v>
      </c>
      <c r="I196" s="210"/>
      <c r="J196" s="210"/>
    </row>
    <row r="197" spans="1:10" ht="13.8" x14ac:dyDescent="0.25">
      <c r="A197" s="7" t="s">
        <v>1465</v>
      </c>
      <c r="B197" s="152"/>
      <c r="C197" s="151" t="s">
        <v>3904</v>
      </c>
      <c r="D197" s="152">
        <v>10</v>
      </c>
      <c r="E197" s="152" t="s">
        <v>10</v>
      </c>
      <c r="F197" s="153">
        <v>4277200</v>
      </c>
      <c r="G197" s="153">
        <f>ROUNDDOWN(D197*F197,-3)</f>
        <v>42772000</v>
      </c>
      <c r="H197" s="210" t="b">
        <f t="shared" si="3"/>
        <v>1</v>
      </c>
      <c r="I197" s="210"/>
      <c r="J197" s="210"/>
    </row>
    <row r="198" spans="1:10" ht="13.8" x14ac:dyDescent="0.25">
      <c r="A198" s="7" t="s">
        <v>1467</v>
      </c>
      <c r="B198" s="60">
        <v>524113</v>
      </c>
      <c r="C198" s="41" t="s">
        <v>13</v>
      </c>
      <c r="D198" s="60"/>
      <c r="E198" s="60"/>
      <c r="F198" s="42"/>
      <c r="G198" s="42">
        <f>G199</f>
        <v>2100000</v>
      </c>
      <c r="H198" s="210" t="b">
        <f t="shared" si="3"/>
        <v>1</v>
      </c>
      <c r="I198" s="210"/>
      <c r="J198" s="210"/>
    </row>
    <row r="199" spans="1:10" ht="13.8" x14ac:dyDescent="0.25">
      <c r="A199" s="7" t="s">
        <v>1468</v>
      </c>
      <c r="B199" s="152"/>
      <c r="C199" s="151" t="s">
        <v>3897</v>
      </c>
      <c r="D199" s="152">
        <v>14</v>
      </c>
      <c r="E199" s="152" t="s">
        <v>10</v>
      </c>
      <c r="F199" s="153">
        <v>150000</v>
      </c>
      <c r="G199" s="153">
        <f>ROUNDDOWN(D199*F199,-3)</f>
        <v>2100000</v>
      </c>
      <c r="H199" s="210" t="b">
        <f t="shared" si="3"/>
        <v>1</v>
      </c>
      <c r="I199" s="210"/>
      <c r="J199" s="210"/>
    </row>
    <row r="200" spans="1:10" ht="13.8" x14ac:dyDescent="0.25">
      <c r="A200" s="7" t="s">
        <v>1469</v>
      </c>
      <c r="B200" s="59" t="s">
        <v>578</v>
      </c>
      <c r="C200" s="38" t="s">
        <v>154</v>
      </c>
      <c r="D200" s="59"/>
      <c r="E200" s="59"/>
      <c r="F200" s="39"/>
      <c r="G200" s="39">
        <f>SUM(G201,G205,G210,G212,G214)</f>
        <v>450000000</v>
      </c>
      <c r="H200" s="210" t="b">
        <f t="shared" si="3"/>
        <v>1</v>
      </c>
      <c r="I200" s="210"/>
      <c r="J200" s="210"/>
    </row>
    <row r="201" spans="1:10" ht="13.8" x14ac:dyDescent="0.25">
      <c r="A201" s="7" t="s">
        <v>1470</v>
      </c>
      <c r="B201" s="60">
        <v>521211</v>
      </c>
      <c r="C201" s="41" t="s">
        <v>7</v>
      </c>
      <c r="D201" s="60"/>
      <c r="E201" s="60"/>
      <c r="F201" s="42"/>
      <c r="G201" s="42">
        <f>SUM(G202:G204)</f>
        <v>32000000</v>
      </c>
      <c r="H201" s="210" t="b">
        <f t="shared" si="3"/>
        <v>1</v>
      </c>
      <c r="I201" s="210"/>
      <c r="J201" s="210"/>
    </row>
    <row r="202" spans="1:10" ht="13.8" x14ac:dyDescent="0.25">
      <c r="A202" s="7" t="s">
        <v>1471</v>
      </c>
      <c r="B202" s="152"/>
      <c r="C202" s="151" t="s">
        <v>3598</v>
      </c>
      <c r="D202" s="152">
        <v>8</v>
      </c>
      <c r="E202" s="152" t="s">
        <v>9</v>
      </c>
      <c r="F202" s="153">
        <v>1500000</v>
      </c>
      <c r="G202" s="153">
        <f>ROUNDDOWN(D202*F202,-3)</f>
        <v>12000000</v>
      </c>
      <c r="H202" s="210" t="b">
        <f t="shared" si="3"/>
        <v>1</v>
      </c>
      <c r="I202" s="210"/>
      <c r="J202" s="210"/>
    </row>
    <row r="203" spans="1:10" ht="13.8" x14ac:dyDescent="0.25">
      <c r="A203" s="7" t="s">
        <v>1472</v>
      </c>
      <c r="B203" s="152"/>
      <c r="C203" s="151" t="s">
        <v>3632</v>
      </c>
      <c r="D203" s="152">
        <v>8</v>
      </c>
      <c r="E203" s="152" t="s">
        <v>9</v>
      </c>
      <c r="F203" s="153">
        <v>1000000</v>
      </c>
      <c r="G203" s="153">
        <f>ROUNDDOWN(D203*F203,-3)</f>
        <v>8000000</v>
      </c>
      <c r="H203" s="210" t="b">
        <f t="shared" si="3"/>
        <v>1</v>
      </c>
      <c r="I203" s="210"/>
      <c r="J203" s="210"/>
    </row>
    <row r="204" spans="1:10" ht="13.8" x14ac:dyDescent="0.25">
      <c r="A204" s="7" t="s">
        <v>1473</v>
      </c>
      <c r="B204" s="152"/>
      <c r="C204" s="151" t="s">
        <v>3633</v>
      </c>
      <c r="D204" s="152">
        <v>8</v>
      </c>
      <c r="E204" s="152" t="s">
        <v>9</v>
      </c>
      <c r="F204" s="153">
        <v>1500000</v>
      </c>
      <c r="G204" s="153">
        <f>ROUNDDOWN(D204*F204,-3)</f>
        <v>12000000</v>
      </c>
      <c r="H204" s="210" t="b">
        <f t="shared" si="3"/>
        <v>1</v>
      </c>
      <c r="I204" s="210"/>
      <c r="J204" s="210"/>
    </row>
    <row r="205" spans="1:10" ht="13.8" x14ac:dyDescent="0.25">
      <c r="A205" s="7" t="s">
        <v>1474</v>
      </c>
      <c r="B205" s="60">
        <v>521219</v>
      </c>
      <c r="C205" s="41" t="s">
        <v>53</v>
      </c>
      <c r="D205" s="60"/>
      <c r="E205" s="60"/>
      <c r="F205" s="42"/>
      <c r="G205" s="42">
        <f>SUM(G206:G209)</f>
        <v>298141000</v>
      </c>
      <c r="H205" s="210" t="b">
        <f t="shared" si="3"/>
        <v>1</v>
      </c>
      <c r="I205" s="210"/>
      <c r="J205" s="210"/>
    </row>
    <row r="206" spans="1:10" ht="13.8" x14ac:dyDescent="0.25">
      <c r="A206" s="7" t="s">
        <v>1475</v>
      </c>
      <c r="B206" s="152"/>
      <c r="C206" s="151" t="s">
        <v>3905</v>
      </c>
      <c r="D206" s="152">
        <v>40</v>
      </c>
      <c r="E206" s="152" t="s">
        <v>10</v>
      </c>
      <c r="F206" s="153">
        <v>1000000</v>
      </c>
      <c r="G206" s="153">
        <f>ROUNDDOWN(D206*F206,-3)</f>
        <v>40000000</v>
      </c>
      <c r="H206" s="210" t="b">
        <f t="shared" ref="H206:H269" si="4">_xlfn.ISFORMULA(G206)</f>
        <v>1</v>
      </c>
      <c r="I206" s="210"/>
      <c r="J206" s="210"/>
    </row>
    <row r="207" spans="1:10" ht="13.8" x14ac:dyDescent="0.25">
      <c r="A207" s="7" t="s">
        <v>1477</v>
      </c>
      <c r="B207" s="152"/>
      <c r="C207" s="151" t="s">
        <v>3906</v>
      </c>
      <c r="D207" s="152">
        <v>30</v>
      </c>
      <c r="E207" s="152" t="s">
        <v>776</v>
      </c>
      <c r="F207" s="153">
        <v>8000000</v>
      </c>
      <c r="G207" s="153">
        <f>ROUNDDOWN(D207*F207,-3)</f>
        <v>240000000</v>
      </c>
      <c r="H207" s="210" t="b">
        <f t="shared" si="4"/>
        <v>1</v>
      </c>
      <c r="I207" s="210"/>
      <c r="J207" s="210"/>
    </row>
    <row r="208" spans="1:10" ht="13.8" x14ac:dyDescent="0.25">
      <c r="A208" s="7" t="s">
        <v>1479</v>
      </c>
      <c r="B208" s="152"/>
      <c r="C208" s="151" t="s">
        <v>3907</v>
      </c>
      <c r="D208" s="152">
        <v>400</v>
      </c>
      <c r="E208" s="152" t="s">
        <v>10</v>
      </c>
      <c r="F208" s="153">
        <v>15000</v>
      </c>
      <c r="G208" s="153">
        <f>ROUNDDOWN(D208*F208,-3)</f>
        <v>6000000</v>
      </c>
      <c r="H208" s="210" t="b">
        <f t="shared" si="4"/>
        <v>1</v>
      </c>
      <c r="I208" s="210"/>
      <c r="J208" s="210"/>
    </row>
    <row r="209" spans="1:10" ht="13.8" x14ac:dyDescent="0.25">
      <c r="A209" s="7" t="s">
        <v>1481</v>
      </c>
      <c r="B209" s="152"/>
      <c r="C209" s="151" t="s">
        <v>3908</v>
      </c>
      <c r="D209" s="152">
        <v>1</v>
      </c>
      <c r="E209" s="152" t="s">
        <v>60</v>
      </c>
      <c r="F209" s="153">
        <v>12141000</v>
      </c>
      <c r="G209" s="153">
        <f>ROUNDDOWN(D209*F209,-3)</f>
        <v>12141000</v>
      </c>
      <c r="H209" s="210" t="b">
        <f t="shared" si="4"/>
        <v>1</v>
      </c>
      <c r="I209" s="210"/>
      <c r="J209" s="210"/>
    </row>
    <row r="210" spans="1:10" ht="13.8" x14ac:dyDescent="0.25">
      <c r="A210" s="7" t="s">
        <v>1483</v>
      </c>
      <c r="B210" s="60">
        <v>522151</v>
      </c>
      <c r="C210" s="41" t="s">
        <v>11</v>
      </c>
      <c r="D210" s="60"/>
      <c r="E210" s="60"/>
      <c r="F210" s="42"/>
      <c r="G210" s="42">
        <f>G211</f>
        <v>30000000</v>
      </c>
      <c r="H210" s="210" t="b">
        <f t="shared" si="4"/>
        <v>1</v>
      </c>
      <c r="I210" s="210"/>
      <c r="J210" s="210"/>
    </row>
    <row r="211" spans="1:10" ht="13.8" x14ac:dyDescent="0.25">
      <c r="A211" s="7" t="s">
        <v>1484</v>
      </c>
      <c r="B211" s="152"/>
      <c r="C211" s="151" t="s">
        <v>3715</v>
      </c>
      <c r="D211" s="152">
        <v>30</v>
      </c>
      <c r="E211" s="152" t="s">
        <v>54</v>
      </c>
      <c r="F211" s="153">
        <v>1000000</v>
      </c>
      <c r="G211" s="153">
        <f>ROUNDDOWN(D211*F211,-3)</f>
        <v>30000000</v>
      </c>
      <c r="H211" s="210" t="b">
        <f t="shared" si="4"/>
        <v>1</v>
      </c>
      <c r="I211" s="210"/>
      <c r="J211" s="210"/>
    </row>
    <row r="212" spans="1:10" ht="13.8" x14ac:dyDescent="0.25">
      <c r="A212" s="7" t="s">
        <v>1485</v>
      </c>
      <c r="B212" s="60">
        <v>522192</v>
      </c>
      <c r="C212" s="41" t="s">
        <v>24</v>
      </c>
      <c r="D212" s="60"/>
      <c r="E212" s="60"/>
      <c r="F212" s="42"/>
      <c r="G212" s="42">
        <f>G213</f>
        <v>8000000</v>
      </c>
      <c r="H212" s="210" t="b">
        <f t="shared" si="4"/>
        <v>1</v>
      </c>
      <c r="I212" s="210"/>
      <c r="J212" s="210"/>
    </row>
    <row r="213" spans="1:10" ht="13.8" x14ac:dyDescent="0.25">
      <c r="A213" s="7" t="s">
        <v>1486</v>
      </c>
      <c r="B213" s="152"/>
      <c r="C213" s="151" t="s">
        <v>3735</v>
      </c>
      <c r="D213" s="152">
        <v>1</v>
      </c>
      <c r="E213" s="152" t="s">
        <v>60</v>
      </c>
      <c r="F213" s="153">
        <v>8000000</v>
      </c>
      <c r="G213" s="153">
        <f>ROUNDDOWN(D213*F213,-3)</f>
        <v>8000000</v>
      </c>
      <c r="H213" s="210" t="b">
        <f t="shared" si="4"/>
        <v>1</v>
      </c>
      <c r="I213" s="210"/>
      <c r="J213" s="210"/>
    </row>
    <row r="214" spans="1:10" ht="13.8" x14ac:dyDescent="0.25">
      <c r="A214" s="7" t="s">
        <v>1487</v>
      </c>
      <c r="B214" s="60">
        <v>524111</v>
      </c>
      <c r="C214" s="41" t="s">
        <v>19</v>
      </c>
      <c r="D214" s="60"/>
      <c r="E214" s="60"/>
      <c r="F214" s="42"/>
      <c r="G214" s="42">
        <f>G215</f>
        <v>81859000</v>
      </c>
      <c r="H214" s="210" t="b">
        <f t="shared" si="4"/>
        <v>1</v>
      </c>
      <c r="I214" s="210"/>
      <c r="J214" s="210"/>
    </row>
    <row r="215" spans="1:10" ht="13.8" x14ac:dyDescent="0.25">
      <c r="A215" s="7" t="s">
        <v>1488</v>
      </c>
      <c r="B215" s="152"/>
      <c r="C215" s="151" t="s">
        <v>3909</v>
      </c>
      <c r="D215" s="152">
        <v>32</v>
      </c>
      <c r="E215" s="152" t="s">
        <v>10</v>
      </c>
      <c r="F215" s="153">
        <v>2558095</v>
      </c>
      <c r="G215" s="153">
        <f>ROUNDDOWN(D215*F215,-3)</f>
        <v>81859000</v>
      </c>
      <c r="H215" s="210" t="b">
        <f t="shared" si="4"/>
        <v>1</v>
      </c>
      <c r="I215" s="210"/>
      <c r="J215" s="210"/>
    </row>
    <row r="216" spans="1:10" ht="13.8" x14ac:dyDescent="0.25">
      <c r="A216" s="7" t="s">
        <v>1490</v>
      </c>
      <c r="B216" s="59" t="s">
        <v>579</v>
      </c>
      <c r="C216" s="38" t="s">
        <v>56</v>
      </c>
      <c r="D216" s="59"/>
      <c r="E216" s="59"/>
      <c r="F216" s="39"/>
      <c r="G216" s="39">
        <f>SUM(G217,G222,G224,G226)</f>
        <v>350000000</v>
      </c>
      <c r="H216" s="210" t="b">
        <f t="shared" si="4"/>
        <v>1</v>
      </c>
      <c r="I216" s="210"/>
      <c r="J216" s="210"/>
    </row>
    <row r="217" spans="1:10" ht="13.8" x14ac:dyDescent="0.25">
      <c r="A217" s="7" t="s">
        <v>1491</v>
      </c>
      <c r="B217" s="60">
        <v>521211</v>
      </c>
      <c r="C217" s="41" t="s">
        <v>7</v>
      </c>
      <c r="D217" s="60"/>
      <c r="E217" s="60"/>
      <c r="F217" s="42"/>
      <c r="G217" s="42">
        <f>SUM(G218:G221)</f>
        <v>31000000</v>
      </c>
      <c r="H217" s="210" t="b">
        <f t="shared" si="4"/>
        <v>1</v>
      </c>
      <c r="I217" s="210"/>
      <c r="J217" s="210"/>
    </row>
    <row r="218" spans="1:10" ht="13.8" x14ac:dyDescent="0.25">
      <c r="A218" s="7" t="s">
        <v>1492</v>
      </c>
      <c r="B218" s="152"/>
      <c r="C218" s="151" t="s">
        <v>3713</v>
      </c>
      <c r="D218" s="152">
        <v>300</v>
      </c>
      <c r="E218" s="152" t="s">
        <v>10</v>
      </c>
      <c r="F218" s="153">
        <v>75000</v>
      </c>
      <c r="G218" s="153">
        <f>ROUNDDOWN(D218*F218,-3)</f>
        <v>22500000</v>
      </c>
      <c r="H218" s="210" t="b">
        <f t="shared" si="4"/>
        <v>1</v>
      </c>
      <c r="I218" s="210"/>
      <c r="J218" s="210"/>
    </row>
    <row r="219" spans="1:10" ht="13.8" x14ac:dyDescent="0.25">
      <c r="A219" s="7" t="s">
        <v>1493</v>
      </c>
      <c r="B219" s="152"/>
      <c r="C219" s="151" t="s">
        <v>3714</v>
      </c>
      <c r="D219" s="152">
        <v>1</v>
      </c>
      <c r="E219" s="152" t="s">
        <v>9</v>
      </c>
      <c r="F219" s="153">
        <v>1000000</v>
      </c>
      <c r="G219" s="153">
        <f>ROUNDDOWN(D219*F219,-3)</f>
        <v>1000000</v>
      </c>
      <c r="H219" s="210" t="b">
        <f t="shared" si="4"/>
        <v>1</v>
      </c>
      <c r="I219" s="210"/>
      <c r="J219" s="210"/>
    </row>
    <row r="220" spans="1:10" ht="13.8" x14ac:dyDescent="0.25">
      <c r="A220" s="7" t="s">
        <v>1494</v>
      </c>
      <c r="B220" s="152"/>
      <c r="C220" s="151" t="s">
        <v>3600</v>
      </c>
      <c r="D220" s="152">
        <v>3</v>
      </c>
      <c r="E220" s="152" t="s">
        <v>9</v>
      </c>
      <c r="F220" s="153">
        <v>1000000</v>
      </c>
      <c r="G220" s="153">
        <f>ROUNDDOWN(D220*F220,-3)</f>
        <v>3000000</v>
      </c>
      <c r="H220" s="210" t="b">
        <f t="shared" si="4"/>
        <v>1</v>
      </c>
      <c r="I220" s="210"/>
      <c r="J220" s="210"/>
    </row>
    <row r="221" spans="1:10" ht="13.8" x14ac:dyDescent="0.25">
      <c r="A221" s="7" t="s">
        <v>1495</v>
      </c>
      <c r="B221" s="152"/>
      <c r="C221" s="151" t="s">
        <v>3601</v>
      </c>
      <c r="D221" s="152">
        <v>3</v>
      </c>
      <c r="E221" s="152" t="s">
        <v>9</v>
      </c>
      <c r="F221" s="153">
        <v>1500000</v>
      </c>
      <c r="G221" s="153">
        <f>ROUNDDOWN(D221*F221,-3)</f>
        <v>4500000</v>
      </c>
      <c r="H221" s="210" t="b">
        <f t="shared" si="4"/>
        <v>1</v>
      </c>
      <c r="I221" s="210"/>
      <c r="J221" s="210"/>
    </row>
    <row r="222" spans="1:10" ht="13.8" x14ac:dyDescent="0.25">
      <c r="A222" s="7" t="s">
        <v>1496</v>
      </c>
      <c r="B222" s="60">
        <v>521219</v>
      </c>
      <c r="C222" s="41" t="s">
        <v>53</v>
      </c>
      <c r="D222" s="60"/>
      <c r="E222" s="60"/>
      <c r="F222" s="42"/>
      <c r="G222" s="42">
        <f>G223</f>
        <v>3000000</v>
      </c>
      <c r="H222" s="210" t="b">
        <f t="shared" si="4"/>
        <v>1</v>
      </c>
      <c r="I222" s="210"/>
      <c r="J222" s="210"/>
    </row>
    <row r="223" spans="1:10" ht="13.8" x14ac:dyDescent="0.25">
      <c r="A223" s="7" t="s">
        <v>1497</v>
      </c>
      <c r="B223" s="152"/>
      <c r="C223" s="151" t="s">
        <v>3722</v>
      </c>
      <c r="D223" s="152">
        <v>12</v>
      </c>
      <c r="E223" s="152" t="s">
        <v>78</v>
      </c>
      <c r="F223" s="153">
        <v>250000</v>
      </c>
      <c r="G223" s="153">
        <f>ROUNDDOWN(D223*F223,-3)</f>
        <v>3000000</v>
      </c>
      <c r="H223" s="210" t="b">
        <f t="shared" si="4"/>
        <v>1</v>
      </c>
      <c r="I223" s="210"/>
      <c r="J223" s="210"/>
    </row>
    <row r="224" spans="1:10" ht="13.8" x14ac:dyDescent="0.25">
      <c r="A224" s="7" t="s">
        <v>1498</v>
      </c>
      <c r="B224" s="60">
        <v>522151</v>
      </c>
      <c r="C224" s="41" t="s">
        <v>11</v>
      </c>
      <c r="D224" s="60"/>
      <c r="E224" s="60"/>
      <c r="F224" s="42"/>
      <c r="G224" s="42">
        <f>G225</f>
        <v>70000000</v>
      </c>
      <c r="H224" s="210" t="b">
        <f t="shared" si="4"/>
        <v>1</v>
      </c>
      <c r="I224" s="210"/>
      <c r="J224" s="210"/>
    </row>
    <row r="225" spans="1:10" ht="13.8" x14ac:dyDescent="0.25">
      <c r="A225" s="7" t="s">
        <v>1499</v>
      </c>
      <c r="B225" s="152"/>
      <c r="C225" s="151" t="s">
        <v>3910</v>
      </c>
      <c r="D225" s="152">
        <v>70</v>
      </c>
      <c r="E225" s="152" t="s">
        <v>12</v>
      </c>
      <c r="F225" s="153">
        <v>1000000</v>
      </c>
      <c r="G225" s="153">
        <f>ROUNDDOWN(D225*F225,-3)</f>
        <v>70000000</v>
      </c>
      <c r="H225" s="210" t="b">
        <f t="shared" si="4"/>
        <v>1</v>
      </c>
      <c r="I225" s="210"/>
      <c r="J225" s="210"/>
    </row>
    <row r="226" spans="1:10" ht="13.8" x14ac:dyDescent="0.25">
      <c r="A226" s="7" t="s">
        <v>1501</v>
      </c>
      <c r="B226" s="60">
        <v>524111</v>
      </c>
      <c r="C226" s="41" t="s">
        <v>19</v>
      </c>
      <c r="D226" s="60"/>
      <c r="E226" s="60"/>
      <c r="F226" s="42"/>
      <c r="G226" s="42">
        <f>G227</f>
        <v>246000000</v>
      </c>
      <c r="H226" s="210" t="b">
        <f t="shared" si="4"/>
        <v>1</v>
      </c>
      <c r="I226" s="210"/>
      <c r="J226" s="210"/>
    </row>
    <row r="227" spans="1:10" ht="13.8" x14ac:dyDescent="0.25">
      <c r="A227" s="7" t="s">
        <v>1502</v>
      </c>
      <c r="B227" s="152"/>
      <c r="C227" s="151" t="s">
        <v>3911</v>
      </c>
      <c r="D227" s="152">
        <v>39</v>
      </c>
      <c r="E227" s="152" t="s">
        <v>10</v>
      </c>
      <c r="F227" s="153">
        <v>6307694</v>
      </c>
      <c r="G227" s="153">
        <f>ROUNDDOWN(D227*F227,-3)</f>
        <v>246000000</v>
      </c>
      <c r="H227" s="210" t="b">
        <f t="shared" si="4"/>
        <v>1</v>
      </c>
      <c r="I227" s="210"/>
      <c r="J227" s="210"/>
    </row>
    <row r="228" spans="1:10" ht="13.8" x14ac:dyDescent="0.25">
      <c r="A228" s="7" t="s">
        <v>1504</v>
      </c>
      <c r="B228" s="59" t="s">
        <v>580</v>
      </c>
      <c r="C228" s="38" t="s">
        <v>1505</v>
      </c>
      <c r="D228" s="59"/>
      <c r="E228" s="59"/>
      <c r="F228" s="39"/>
      <c r="G228" s="39">
        <f>SUM(G229,G239,G242,G246)</f>
        <v>668000000</v>
      </c>
      <c r="H228" s="210" t="b">
        <f t="shared" si="4"/>
        <v>1</v>
      </c>
      <c r="I228" s="210"/>
      <c r="J228" s="210"/>
    </row>
    <row r="229" spans="1:10" ht="13.8" x14ac:dyDescent="0.25">
      <c r="A229" s="7" t="s">
        <v>1506</v>
      </c>
      <c r="B229" s="60">
        <v>521211</v>
      </c>
      <c r="C229" s="41" t="s">
        <v>7</v>
      </c>
      <c r="D229" s="60"/>
      <c r="E229" s="60"/>
      <c r="F229" s="42"/>
      <c r="G229" s="42">
        <f>SUM(G230:G238)</f>
        <v>84800000</v>
      </c>
      <c r="H229" s="210" t="b">
        <f t="shared" si="4"/>
        <v>1</v>
      </c>
      <c r="I229" s="210"/>
      <c r="J229" s="210"/>
    </row>
    <row r="230" spans="1:10" ht="13.8" x14ac:dyDescent="0.25">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3.8" x14ac:dyDescent="0.25">
      <c r="A231" s="7" t="s">
        <v>1508</v>
      </c>
      <c r="B231" s="152"/>
      <c r="C231" s="151" t="s">
        <v>3714</v>
      </c>
      <c r="D231" s="152">
        <v>2</v>
      </c>
      <c r="E231" s="152" t="s">
        <v>9</v>
      </c>
      <c r="F231" s="153">
        <v>1000000</v>
      </c>
      <c r="G231" s="153">
        <f t="shared" si="5"/>
        <v>2000000</v>
      </c>
      <c r="H231" s="210" t="b">
        <f t="shared" si="4"/>
        <v>1</v>
      </c>
      <c r="I231" s="210"/>
      <c r="J231" s="210"/>
    </row>
    <row r="232" spans="1:10" ht="13.8" x14ac:dyDescent="0.25">
      <c r="A232" s="7" t="s">
        <v>1509</v>
      </c>
      <c r="B232" s="152"/>
      <c r="C232" s="151" t="s">
        <v>3600</v>
      </c>
      <c r="D232" s="152">
        <v>2</v>
      </c>
      <c r="E232" s="152" t="s">
        <v>9</v>
      </c>
      <c r="F232" s="153">
        <v>1000000</v>
      </c>
      <c r="G232" s="153">
        <f t="shared" si="5"/>
        <v>2000000</v>
      </c>
      <c r="H232" s="210" t="b">
        <f t="shared" si="4"/>
        <v>1</v>
      </c>
      <c r="I232" s="210"/>
      <c r="J232" s="210"/>
    </row>
    <row r="233" spans="1:10" ht="13.8" x14ac:dyDescent="0.25">
      <c r="A233" s="7" t="s">
        <v>1510</v>
      </c>
      <c r="B233" s="152"/>
      <c r="C233" s="151" t="s">
        <v>3601</v>
      </c>
      <c r="D233" s="152">
        <v>2</v>
      </c>
      <c r="E233" s="152" t="s">
        <v>9</v>
      </c>
      <c r="F233" s="153">
        <v>1500000</v>
      </c>
      <c r="G233" s="153">
        <f t="shared" si="5"/>
        <v>3000000</v>
      </c>
      <c r="H233" s="210" t="b">
        <f t="shared" si="4"/>
        <v>1</v>
      </c>
      <c r="I233" s="210"/>
      <c r="J233" s="210"/>
    </row>
    <row r="234" spans="1:10" ht="13.8" x14ac:dyDescent="0.25">
      <c r="A234" s="7" t="s">
        <v>1511</v>
      </c>
      <c r="B234" s="152"/>
      <c r="C234" s="151" t="s">
        <v>3912</v>
      </c>
      <c r="D234" s="152">
        <v>20</v>
      </c>
      <c r="E234" s="152" t="s">
        <v>58</v>
      </c>
      <c r="F234" s="153">
        <v>450000</v>
      </c>
      <c r="G234" s="153">
        <f t="shared" si="5"/>
        <v>9000000</v>
      </c>
      <c r="H234" s="210" t="b">
        <f t="shared" si="4"/>
        <v>1</v>
      </c>
      <c r="I234" s="210"/>
      <c r="J234" s="210"/>
    </row>
    <row r="235" spans="1:10" ht="13.8" x14ac:dyDescent="0.25">
      <c r="A235" s="7" t="s">
        <v>1513</v>
      </c>
      <c r="B235" s="152"/>
      <c r="C235" s="151" t="s">
        <v>3913</v>
      </c>
      <c r="D235" s="152">
        <v>20</v>
      </c>
      <c r="E235" s="152" t="s">
        <v>58</v>
      </c>
      <c r="F235" s="153">
        <v>450000</v>
      </c>
      <c r="G235" s="153">
        <f t="shared" si="5"/>
        <v>9000000</v>
      </c>
      <c r="H235" s="210" t="b">
        <f t="shared" si="4"/>
        <v>1</v>
      </c>
      <c r="I235" s="210"/>
      <c r="J235" s="210"/>
    </row>
    <row r="236" spans="1:10" ht="13.8" x14ac:dyDescent="0.25">
      <c r="A236" s="7" t="s">
        <v>1515</v>
      </c>
      <c r="B236" s="152"/>
      <c r="C236" s="151" t="s">
        <v>3914</v>
      </c>
      <c r="D236" s="152">
        <v>1</v>
      </c>
      <c r="E236" s="152" t="s">
        <v>23</v>
      </c>
      <c r="F236" s="153">
        <v>27575000</v>
      </c>
      <c r="G236" s="153">
        <f t="shared" si="5"/>
        <v>27575000</v>
      </c>
      <c r="H236" s="210" t="b">
        <f t="shared" si="4"/>
        <v>1</v>
      </c>
      <c r="I236" s="210"/>
      <c r="J236" s="210"/>
    </row>
    <row r="237" spans="1:10" ht="13.8" x14ac:dyDescent="0.25">
      <c r="A237" s="7" t="s">
        <v>1517</v>
      </c>
      <c r="B237" s="152"/>
      <c r="C237" s="151" t="s">
        <v>3915</v>
      </c>
      <c r="D237" s="152">
        <v>1</v>
      </c>
      <c r="E237" s="152" t="s">
        <v>23</v>
      </c>
      <c r="F237" s="153">
        <v>27575000</v>
      </c>
      <c r="G237" s="153">
        <f t="shared" si="5"/>
        <v>27575000</v>
      </c>
      <c r="H237" s="210" t="b">
        <f t="shared" si="4"/>
        <v>1</v>
      </c>
      <c r="I237" s="210"/>
      <c r="J237" s="210"/>
    </row>
    <row r="238" spans="1:10" ht="13.8" x14ac:dyDescent="0.25">
      <c r="A238" s="7" t="s">
        <v>1519</v>
      </c>
      <c r="B238" s="152"/>
      <c r="C238" s="151" t="s">
        <v>3916</v>
      </c>
      <c r="D238" s="152">
        <v>3</v>
      </c>
      <c r="E238" s="152" t="s">
        <v>58</v>
      </c>
      <c r="F238" s="153">
        <v>300000</v>
      </c>
      <c r="G238" s="153">
        <f t="shared" si="5"/>
        <v>900000</v>
      </c>
      <c r="H238" s="210" t="b">
        <f t="shared" si="4"/>
        <v>1</v>
      </c>
      <c r="I238" s="210"/>
      <c r="J238" s="210"/>
    </row>
    <row r="239" spans="1:10" ht="13.8" x14ac:dyDescent="0.25">
      <c r="A239" s="7" t="s">
        <v>1521</v>
      </c>
      <c r="B239" s="60">
        <v>521219</v>
      </c>
      <c r="C239" s="41" t="s">
        <v>53</v>
      </c>
      <c r="D239" s="60"/>
      <c r="E239" s="60"/>
      <c r="F239" s="42"/>
      <c r="G239" s="42">
        <f>SUM(G240:G241)</f>
        <v>393200000</v>
      </c>
      <c r="H239" s="210" t="b">
        <f t="shared" si="4"/>
        <v>1</v>
      </c>
      <c r="I239" s="210"/>
      <c r="J239" s="210"/>
    </row>
    <row r="240" spans="1:10" ht="13.8" x14ac:dyDescent="0.25">
      <c r="A240" s="7" t="s">
        <v>1522</v>
      </c>
      <c r="B240" s="152"/>
      <c r="C240" s="151" t="s">
        <v>3917</v>
      </c>
      <c r="D240" s="152">
        <v>1</v>
      </c>
      <c r="E240" s="152" t="s">
        <v>66</v>
      </c>
      <c r="F240" s="153">
        <v>196600000</v>
      </c>
      <c r="G240" s="153">
        <f>ROUNDDOWN(D240*F240,-3)</f>
        <v>196600000</v>
      </c>
      <c r="H240" s="210" t="b">
        <f t="shared" si="4"/>
        <v>1</v>
      </c>
      <c r="I240" s="210"/>
      <c r="J240" s="210"/>
    </row>
    <row r="241" spans="1:10" ht="13.8" x14ac:dyDescent="0.25">
      <c r="A241" s="7" t="s">
        <v>1524</v>
      </c>
      <c r="B241" s="152"/>
      <c r="C241" s="151" t="s">
        <v>3918</v>
      </c>
      <c r="D241" s="152">
        <v>1</v>
      </c>
      <c r="E241" s="152" t="s">
        <v>66</v>
      </c>
      <c r="F241" s="153">
        <v>196600000</v>
      </c>
      <c r="G241" s="153">
        <f>ROUNDDOWN(D241*F241,-3)</f>
        <v>196600000</v>
      </c>
      <c r="H241" s="210" t="b">
        <f t="shared" si="4"/>
        <v>1</v>
      </c>
      <c r="I241" s="210"/>
      <c r="J241" s="210"/>
    </row>
    <row r="242" spans="1:10" ht="13.8" x14ac:dyDescent="0.25">
      <c r="A242" s="7" t="s">
        <v>1526</v>
      </c>
      <c r="B242" s="60">
        <v>522141</v>
      </c>
      <c r="C242" s="41" t="s">
        <v>95</v>
      </c>
      <c r="D242" s="60"/>
      <c r="E242" s="60"/>
      <c r="F242" s="42"/>
      <c r="G242" s="42">
        <f>SUM(G243:G245)</f>
        <v>160000000</v>
      </c>
      <c r="H242" s="210" t="b">
        <f t="shared" si="4"/>
        <v>1</v>
      </c>
      <c r="I242" s="210"/>
      <c r="J242" s="210"/>
    </row>
    <row r="243" spans="1:10" ht="13.8" x14ac:dyDescent="0.25">
      <c r="A243" s="7" t="s">
        <v>1527</v>
      </c>
      <c r="B243" s="152"/>
      <c r="C243" s="151" t="s">
        <v>3919</v>
      </c>
      <c r="D243" s="152">
        <v>2</v>
      </c>
      <c r="E243" s="152" t="s">
        <v>23</v>
      </c>
      <c r="F243" s="153">
        <v>50000000</v>
      </c>
      <c r="G243" s="153">
        <f>ROUNDDOWN(D243*F243,-3)</f>
        <v>100000000</v>
      </c>
      <c r="H243" s="210" t="b">
        <f t="shared" si="4"/>
        <v>1</v>
      </c>
      <c r="I243" s="210"/>
      <c r="J243" s="210"/>
    </row>
    <row r="244" spans="1:10" ht="13.8" x14ac:dyDescent="0.25">
      <c r="A244" s="7" t="s">
        <v>1529</v>
      </c>
      <c r="B244" s="152"/>
      <c r="C244" s="151" t="s">
        <v>3920</v>
      </c>
      <c r="D244" s="152">
        <v>2</v>
      </c>
      <c r="E244" s="152" t="s">
        <v>23</v>
      </c>
      <c r="F244" s="153">
        <v>10000000</v>
      </c>
      <c r="G244" s="153">
        <f>ROUNDDOWN(D244*F244,-3)</f>
        <v>20000000</v>
      </c>
      <c r="H244" s="210" t="b">
        <f t="shared" si="4"/>
        <v>1</v>
      </c>
      <c r="I244" s="210"/>
      <c r="J244" s="210"/>
    </row>
    <row r="245" spans="1:10" ht="13.8" x14ac:dyDescent="0.25">
      <c r="A245" s="7" t="s">
        <v>1531</v>
      </c>
      <c r="B245" s="152"/>
      <c r="C245" s="151" t="s">
        <v>3921</v>
      </c>
      <c r="D245" s="152">
        <v>4</v>
      </c>
      <c r="E245" s="152" t="s">
        <v>23</v>
      </c>
      <c r="F245" s="153">
        <v>10000000</v>
      </c>
      <c r="G245" s="153">
        <f>ROUNDDOWN(D245*F245,-3)</f>
        <v>40000000</v>
      </c>
      <c r="H245" s="210" t="b">
        <f t="shared" si="4"/>
        <v>1</v>
      </c>
      <c r="I245" s="210"/>
      <c r="J245" s="210"/>
    </row>
    <row r="246" spans="1:10" ht="13.8" x14ac:dyDescent="0.25">
      <c r="A246" s="7" t="s">
        <v>1533</v>
      </c>
      <c r="B246" s="60">
        <v>524111</v>
      </c>
      <c r="C246" s="41" t="s">
        <v>19</v>
      </c>
      <c r="D246" s="60"/>
      <c r="E246" s="60"/>
      <c r="F246" s="42"/>
      <c r="G246" s="42">
        <f>G247</f>
        <v>30000000</v>
      </c>
      <c r="H246" s="210" t="b">
        <f t="shared" si="4"/>
        <v>1</v>
      </c>
      <c r="I246" s="210"/>
      <c r="J246" s="210"/>
    </row>
    <row r="247" spans="1:10" ht="13.8" x14ac:dyDescent="0.25">
      <c r="A247" s="7" t="s">
        <v>1534</v>
      </c>
      <c r="B247" s="152"/>
      <c r="C247" s="151" t="s">
        <v>3922</v>
      </c>
      <c r="D247" s="152">
        <v>12</v>
      </c>
      <c r="E247" s="152" t="s">
        <v>10</v>
      </c>
      <c r="F247" s="153">
        <v>2500000</v>
      </c>
      <c r="G247" s="153">
        <f>ROUNDDOWN(D247*F247,-3)</f>
        <v>30000000</v>
      </c>
      <c r="H247" s="210" t="b">
        <f t="shared" si="4"/>
        <v>1</v>
      </c>
      <c r="I247" s="210"/>
      <c r="J247" s="210"/>
    </row>
    <row r="248" spans="1:10" ht="13.8" x14ac:dyDescent="0.25">
      <c r="A248" s="7" t="s">
        <v>1536</v>
      </c>
      <c r="B248" s="59" t="s">
        <v>581</v>
      </c>
      <c r="C248" s="38" t="s">
        <v>1537</v>
      </c>
      <c r="D248" s="59"/>
      <c r="E248" s="59"/>
      <c r="F248" s="39"/>
      <c r="G248" s="39">
        <f>SUM(G249,G257,G259,G261)</f>
        <v>82000000</v>
      </c>
      <c r="H248" s="210" t="b">
        <f t="shared" si="4"/>
        <v>1</v>
      </c>
      <c r="I248" s="210"/>
      <c r="J248" s="210"/>
    </row>
    <row r="249" spans="1:10" ht="13.8" x14ac:dyDescent="0.25">
      <c r="A249" s="7" t="s">
        <v>1538</v>
      </c>
      <c r="B249" s="60">
        <v>521211</v>
      </c>
      <c r="C249" s="41" t="s">
        <v>7</v>
      </c>
      <c r="D249" s="60"/>
      <c r="E249" s="60"/>
      <c r="F249" s="42"/>
      <c r="G249" s="42">
        <f>SUM(G250:G256)</f>
        <v>17550000</v>
      </c>
      <c r="H249" s="210" t="b">
        <f t="shared" si="4"/>
        <v>1</v>
      </c>
      <c r="I249" s="210"/>
      <c r="J249" s="210"/>
    </row>
    <row r="250" spans="1:10" ht="13.8" x14ac:dyDescent="0.25">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3.8" x14ac:dyDescent="0.25">
      <c r="A251" s="7" t="s">
        <v>1540</v>
      </c>
      <c r="B251" s="152"/>
      <c r="C251" s="151" t="s">
        <v>3714</v>
      </c>
      <c r="D251" s="152">
        <v>2</v>
      </c>
      <c r="E251" s="152" t="s">
        <v>9</v>
      </c>
      <c r="F251" s="153">
        <v>1000000</v>
      </c>
      <c r="G251" s="153">
        <f t="shared" si="6"/>
        <v>2000000</v>
      </c>
      <c r="H251" s="210" t="b">
        <f t="shared" si="4"/>
        <v>1</v>
      </c>
      <c r="I251" s="210"/>
      <c r="J251" s="210"/>
    </row>
    <row r="252" spans="1:10" ht="13.8" x14ac:dyDescent="0.25">
      <c r="A252" s="7" t="s">
        <v>1541</v>
      </c>
      <c r="B252" s="152"/>
      <c r="C252" s="151" t="s">
        <v>3600</v>
      </c>
      <c r="D252" s="152">
        <v>2</v>
      </c>
      <c r="E252" s="152" t="s">
        <v>9</v>
      </c>
      <c r="F252" s="153">
        <v>1000000</v>
      </c>
      <c r="G252" s="153">
        <f t="shared" si="6"/>
        <v>2000000</v>
      </c>
      <c r="H252" s="210" t="b">
        <f t="shared" si="4"/>
        <v>1</v>
      </c>
      <c r="I252" s="210"/>
      <c r="J252" s="210"/>
    </row>
    <row r="253" spans="1:10" ht="13.8" x14ac:dyDescent="0.25">
      <c r="A253" s="7" t="s">
        <v>1542</v>
      </c>
      <c r="B253" s="152"/>
      <c r="C253" s="151" t="s">
        <v>3601</v>
      </c>
      <c r="D253" s="152">
        <v>2</v>
      </c>
      <c r="E253" s="152" t="s">
        <v>9</v>
      </c>
      <c r="F253" s="153">
        <v>1500000</v>
      </c>
      <c r="G253" s="153">
        <f t="shared" si="6"/>
        <v>3000000</v>
      </c>
      <c r="H253" s="210" t="b">
        <f t="shared" si="4"/>
        <v>1</v>
      </c>
      <c r="I253" s="210"/>
      <c r="J253" s="210"/>
    </row>
    <row r="254" spans="1:10" ht="13.8" x14ac:dyDescent="0.25">
      <c r="A254" s="7" t="s">
        <v>1543</v>
      </c>
      <c r="B254" s="152"/>
      <c r="C254" s="151" t="s">
        <v>3923</v>
      </c>
      <c r="D254" s="152">
        <v>10</v>
      </c>
      <c r="E254" s="152" t="s">
        <v>58</v>
      </c>
      <c r="F254" s="153">
        <v>250000</v>
      </c>
      <c r="G254" s="153">
        <f t="shared" si="6"/>
        <v>2500000</v>
      </c>
      <c r="H254" s="210" t="b">
        <f t="shared" si="4"/>
        <v>1</v>
      </c>
      <c r="I254" s="210"/>
      <c r="J254" s="210"/>
    </row>
    <row r="255" spans="1:10" ht="13.8" x14ac:dyDescent="0.25">
      <c r="A255" s="7" t="s">
        <v>1545</v>
      </c>
      <c r="B255" s="152"/>
      <c r="C255" s="151" t="s">
        <v>3924</v>
      </c>
      <c r="D255" s="152">
        <v>500</v>
      </c>
      <c r="E255" s="152" t="s">
        <v>58</v>
      </c>
      <c r="F255" s="153">
        <v>6000</v>
      </c>
      <c r="G255" s="153">
        <f t="shared" si="6"/>
        <v>3000000</v>
      </c>
      <c r="H255" s="210" t="b">
        <f t="shared" si="4"/>
        <v>1</v>
      </c>
      <c r="I255" s="210"/>
      <c r="J255" s="210"/>
    </row>
    <row r="256" spans="1:10" ht="13.8" x14ac:dyDescent="0.25">
      <c r="A256" s="7" t="s">
        <v>1547</v>
      </c>
      <c r="B256" s="152"/>
      <c r="C256" s="151" t="s">
        <v>3925</v>
      </c>
      <c r="D256" s="152">
        <v>100</v>
      </c>
      <c r="E256" s="152" t="s">
        <v>58</v>
      </c>
      <c r="F256" s="153">
        <v>35500</v>
      </c>
      <c r="G256" s="153">
        <f t="shared" si="6"/>
        <v>3550000</v>
      </c>
      <c r="H256" s="210" t="b">
        <f t="shared" si="4"/>
        <v>1</v>
      </c>
      <c r="I256" s="210"/>
      <c r="J256" s="210"/>
    </row>
    <row r="257" spans="1:10" ht="13.8" x14ac:dyDescent="0.25">
      <c r="A257" s="7" t="s">
        <v>1549</v>
      </c>
      <c r="B257" s="60">
        <v>521219</v>
      </c>
      <c r="C257" s="41" t="s">
        <v>53</v>
      </c>
      <c r="D257" s="60"/>
      <c r="E257" s="60"/>
      <c r="F257" s="42"/>
      <c r="G257" s="42">
        <f>G258</f>
        <v>3000000</v>
      </c>
      <c r="H257" s="210" t="b">
        <f t="shared" si="4"/>
        <v>1</v>
      </c>
      <c r="I257" s="210"/>
      <c r="J257" s="210"/>
    </row>
    <row r="258" spans="1:10" ht="13.8" x14ac:dyDescent="0.25">
      <c r="A258" s="7" t="s">
        <v>1550</v>
      </c>
      <c r="B258" s="152"/>
      <c r="C258" s="151" t="s">
        <v>3722</v>
      </c>
      <c r="D258" s="152">
        <v>12</v>
      </c>
      <c r="E258" s="152" t="s">
        <v>66</v>
      </c>
      <c r="F258" s="153">
        <v>250000</v>
      </c>
      <c r="G258" s="153">
        <f>ROUNDDOWN(D258*F258,-3)</f>
        <v>3000000</v>
      </c>
      <c r="H258" s="210" t="b">
        <f t="shared" si="4"/>
        <v>1</v>
      </c>
      <c r="I258" s="210"/>
      <c r="J258" s="210"/>
    </row>
    <row r="259" spans="1:10" ht="13.8" x14ac:dyDescent="0.25">
      <c r="A259" s="7" t="s">
        <v>1551</v>
      </c>
      <c r="B259" s="60">
        <v>522151</v>
      </c>
      <c r="C259" s="41" t="s">
        <v>11</v>
      </c>
      <c r="D259" s="60"/>
      <c r="E259" s="60"/>
      <c r="F259" s="42"/>
      <c r="G259" s="42">
        <f>G260</f>
        <v>40000000</v>
      </c>
      <c r="H259" s="210" t="b">
        <f t="shared" si="4"/>
        <v>1</v>
      </c>
      <c r="I259" s="210"/>
      <c r="J259" s="210"/>
    </row>
    <row r="260" spans="1:10" ht="13.8" x14ac:dyDescent="0.25">
      <c r="A260" s="7" t="s">
        <v>1552</v>
      </c>
      <c r="B260" s="152"/>
      <c r="C260" s="151" t="s">
        <v>3910</v>
      </c>
      <c r="D260" s="152">
        <v>40</v>
      </c>
      <c r="E260" s="152" t="s">
        <v>54</v>
      </c>
      <c r="F260" s="153">
        <v>1000000</v>
      </c>
      <c r="G260" s="153">
        <f>ROUNDDOWN(D260*F260,-3)</f>
        <v>40000000</v>
      </c>
      <c r="H260" s="210" t="b">
        <f t="shared" si="4"/>
        <v>1</v>
      </c>
      <c r="I260" s="210"/>
      <c r="J260" s="210"/>
    </row>
    <row r="261" spans="1:10" ht="13.8" x14ac:dyDescent="0.25">
      <c r="A261" s="7" t="s">
        <v>1553</v>
      </c>
      <c r="B261" s="60">
        <v>524111</v>
      </c>
      <c r="C261" s="41" t="s">
        <v>19</v>
      </c>
      <c r="D261" s="60"/>
      <c r="E261" s="60"/>
      <c r="F261" s="42"/>
      <c r="G261" s="42">
        <f>G262</f>
        <v>21450000</v>
      </c>
      <c r="H261" s="210" t="b">
        <f t="shared" si="4"/>
        <v>1</v>
      </c>
      <c r="I261" s="210"/>
      <c r="J261" s="210"/>
    </row>
    <row r="262" spans="1:10" ht="13.8" x14ac:dyDescent="0.25">
      <c r="A262" s="7" t="s">
        <v>1554</v>
      </c>
      <c r="B262" s="152"/>
      <c r="C262" s="151" t="s">
        <v>3926</v>
      </c>
      <c r="D262" s="152">
        <v>10</v>
      </c>
      <c r="E262" s="152" t="s">
        <v>10</v>
      </c>
      <c r="F262" s="153">
        <v>2145000</v>
      </c>
      <c r="G262" s="153">
        <f>ROUNDDOWN(D262*F262,-3)</f>
        <v>21450000</v>
      </c>
      <c r="H262" s="210" t="b">
        <f t="shared" si="4"/>
        <v>1</v>
      </c>
      <c r="I262" s="210"/>
      <c r="J262" s="210"/>
    </row>
    <row r="263" spans="1:10" ht="13.8" x14ac:dyDescent="0.25">
      <c r="A263" s="7" t="s">
        <v>1699</v>
      </c>
      <c r="B263" s="138" t="s">
        <v>3986</v>
      </c>
      <c r="C263" s="137" t="s">
        <v>1701</v>
      </c>
      <c r="D263" s="138">
        <v>1</v>
      </c>
      <c r="E263" s="138" t="s">
        <v>3740</v>
      </c>
      <c r="F263" s="139"/>
      <c r="G263" s="139">
        <f>SUM(G264,G307)</f>
        <v>8674654000</v>
      </c>
      <c r="H263" s="210" t="b">
        <f t="shared" si="4"/>
        <v>1</v>
      </c>
      <c r="I263" s="210"/>
      <c r="J263" s="210"/>
    </row>
    <row r="264" spans="1:10" ht="13.8" x14ac:dyDescent="0.25">
      <c r="A264" s="7" t="s">
        <v>1702</v>
      </c>
      <c r="B264" s="58" t="s">
        <v>501</v>
      </c>
      <c r="C264" s="35" t="s">
        <v>76</v>
      </c>
      <c r="D264" s="58"/>
      <c r="E264" s="58"/>
      <c r="F264" s="36"/>
      <c r="G264" s="36">
        <f>SUM(G265,G304)</f>
        <v>6478996000</v>
      </c>
      <c r="H264" s="210" t="b">
        <f t="shared" si="4"/>
        <v>1</v>
      </c>
      <c r="I264" s="210"/>
      <c r="J264" s="210"/>
    </row>
    <row r="265" spans="1:10" ht="13.8" x14ac:dyDescent="0.25">
      <c r="A265" s="7" t="s">
        <v>1806</v>
      </c>
      <c r="B265" s="59" t="s">
        <v>1807</v>
      </c>
      <c r="C265" s="38" t="s">
        <v>1808</v>
      </c>
      <c r="D265" s="59"/>
      <c r="E265" s="59"/>
      <c r="F265" s="39"/>
      <c r="G265" s="39">
        <f>SUM(G266,G270,G274,G278,G282,G286,G290,G294,G296,G298,G302)</f>
        <v>6155047000</v>
      </c>
      <c r="H265" s="210" t="b">
        <f t="shared" si="4"/>
        <v>1</v>
      </c>
      <c r="I265" s="210"/>
      <c r="J265" s="210"/>
    </row>
    <row r="266" spans="1:10" ht="13.8" x14ac:dyDescent="0.25">
      <c r="A266" s="7" t="s">
        <v>1809</v>
      </c>
      <c r="B266" s="60">
        <v>511111</v>
      </c>
      <c r="C266" s="41" t="s">
        <v>77</v>
      </c>
      <c r="D266" s="60"/>
      <c r="E266" s="60"/>
      <c r="F266" s="42"/>
      <c r="G266" s="42">
        <f>SUM(G267:G269)</f>
        <v>2483477000</v>
      </c>
      <c r="H266" s="210" t="b">
        <f t="shared" si="4"/>
        <v>1</v>
      </c>
      <c r="I266" s="210"/>
      <c r="J266" s="210"/>
    </row>
    <row r="267" spans="1:10" ht="13.8" x14ac:dyDescent="0.25">
      <c r="A267" s="7" t="s">
        <v>1810</v>
      </c>
      <c r="B267" s="152"/>
      <c r="C267" s="151" t="s">
        <v>3987</v>
      </c>
      <c r="D267" s="152">
        <v>1</v>
      </c>
      <c r="E267" s="152" t="s">
        <v>97</v>
      </c>
      <c r="F267" s="153">
        <v>180000000</v>
      </c>
      <c r="G267" s="153">
        <f>ROUNDDOWN(D267*F267,-3)</f>
        <v>180000000</v>
      </c>
      <c r="H267" s="210" t="b">
        <f t="shared" si="4"/>
        <v>1</v>
      </c>
      <c r="I267" s="210"/>
      <c r="J267" s="210"/>
    </row>
    <row r="268" spans="1:10" ht="13.8" x14ac:dyDescent="0.25">
      <c r="A268" s="7" t="s">
        <v>1811</v>
      </c>
      <c r="B268" s="152"/>
      <c r="C268" s="151" t="s">
        <v>3988</v>
      </c>
      <c r="D268" s="152">
        <v>1</v>
      </c>
      <c r="E268" s="152" t="s">
        <v>60</v>
      </c>
      <c r="F268" s="153">
        <v>2123477000</v>
      </c>
      <c r="G268" s="153">
        <f>ROUNDDOWN(D268*F268,-3)</f>
        <v>2123477000</v>
      </c>
      <c r="H268" s="210" t="b">
        <f t="shared" si="4"/>
        <v>1</v>
      </c>
      <c r="I268" s="210"/>
      <c r="J268" s="210"/>
    </row>
    <row r="269" spans="1:10" ht="13.8" x14ac:dyDescent="0.25">
      <c r="A269" s="7" t="s">
        <v>1812</v>
      </c>
      <c r="B269" s="152"/>
      <c r="C269" s="151" t="s">
        <v>3989</v>
      </c>
      <c r="D269" s="152">
        <v>1</v>
      </c>
      <c r="E269" s="152" t="s">
        <v>97</v>
      </c>
      <c r="F269" s="153">
        <v>180000000</v>
      </c>
      <c r="G269" s="153">
        <f>ROUNDDOWN(D269*F269,-3)</f>
        <v>180000000</v>
      </c>
      <c r="H269" s="210" t="b">
        <f t="shared" si="4"/>
        <v>1</v>
      </c>
      <c r="I269" s="210"/>
      <c r="J269" s="210"/>
    </row>
    <row r="270" spans="1:10" ht="13.8" x14ac:dyDescent="0.25">
      <c r="A270" s="7" t="s">
        <v>1813</v>
      </c>
      <c r="B270" s="60">
        <v>511119</v>
      </c>
      <c r="C270" s="41" t="s">
        <v>79</v>
      </c>
      <c r="D270" s="60"/>
      <c r="E270" s="60"/>
      <c r="F270" s="42"/>
      <c r="G270" s="42">
        <f>SUM(G271:G273)</f>
        <v>38000</v>
      </c>
      <c r="H270" s="210" t="b">
        <f t="shared" ref="H270:H333" si="7">_xlfn.ISFORMULA(G270)</f>
        <v>1</v>
      </c>
      <c r="I270" s="210"/>
      <c r="J270" s="210"/>
    </row>
    <row r="271" spans="1:10" ht="13.8" x14ac:dyDescent="0.25">
      <c r="A271" s="7" t="s">
        <v>1814</v>
      </c>
      <c r="B271" s="152"/>
      <c r="C271" s="151" t="s">
        <v>3990</v>
      </c>
      <c r="D271" s="152">
        <v>1</v>
      </c>
      <c r="E271" s="152" t="s">
        <v>97</v>
      </c>
      <c r="F271" s="153">
        <v>3000</v>
      </c>
      <c r="G271" s="153">
        <f>ROUNDDOWN(D271*F271,-3)</f>
        <v>3000</v>
      </c>
      <c r="H271" s="210" t="b">
        <f t="shared" si="7"/>
        <v>1</v>
      </c>
      <c r="I271" s="210"/>
      <c r="J271" s="210"/>
    </row>
    <row r="272" spans="1:10" ht="13.8" x14ac:dyDescent="0.25">
      <c r="A272" s="7" t="s">
        <v>1815</v>
      </c>
      <c r="B272" s="152"/>
      <c r="C272" s="151" t="s">
        <v>3991</v>
      </c>
      <c r="D272" s="152">
        <v>1</v>
      </c>
      <c r="E272" s="152" t="s">
        <v>153</v>
      </c>
      <c r="F272" s="153">
        <v>32000</v>
      </c>
      <c r="G272" s="153">
        <f>ROUNDDOWN(D272*F272,-3)</f>
        <v>32000</v>
      </c>
      <c r="H272" s="210" t="b">
        <f t="shared" si="7"/>
        <v>1</v>
      </c>
      <c r="I272" s="210"/>
      <c r="J272" s="210"/>
    </row>
    <row r="273" spans="1:10" ht="13.8" x14ac:dyDescent="0.25">
      <c r="A273" s="7" t="s">
        <v>1816</v>
      </c>
      <c r="B273" s="152"/>
      <c r="C273" s="151" t="s">
        <v>3992</v>
      </c>
      <c r="D273" s="152">
        <v>1</v>
      </c>
      <c r="E273" s="152" t="s">
        <v>97</v>
      </c>
      <c r="F273" s="153">
        <v>3000</v>
      </c>
      <c r="G273" s="153">
        <f>ROUNDDOWN(D273*F273,-3)</f>
        <v>3000</v>
      </c>
      <c r="H273" s="210" t="b">
        <f t="shared" si="7"/>
        <v>1</v>
      </c>
      <c r="I273" s="210"/>
      <c r="J273" s="210"/>
    </row>
    <row r="274" spans="1:10" ht="13.8" x14ac:dyDescent="0.25">
      <c r="A274" s="7" t="s">
        <v>1817</v>
      </c>
      <c r="B274" s="60">
        <v>511121</v>
      </c>
      <c r="C274" s="41" t="s">
        <v>80</v>
      </c>
      <c r="D274" s="60"/>
      <c r="E274" s="60"/>
      <c r="F274" s="42"/>
      <c r="G274" s="42">
        <f>SUM(G275:G277)</f>
        <v>171959000</v>
      </c>
      <c r="H274" s="210" t="b">
        <f t="shared" si="7"/>
        <v>1</v>
      </c>
      <c r="I274" s="210"/>
      <c r="J274" s="210"/>
    </row>
    <row r="275" spans="1:10" ht="13.8" x14ac:dyDescent="0.25">
      <c r="A275" s="7" t="s">
        <v>1818</v>
      </c>
      <c r="B275" s="152"/>
      <c r="C275" s="151" t="s">
        <v>3993</v>
      </c>
      <c r="D275" s="152">
        <v>1</v>
      </c>
      <c r="E275" s="152" t="s">
        <v>153</v>
      </c>
      <c r="F275" s="153">
        <v>147267000</v>
      </c>
      <c r="G275" s="153">
        <f>ROUNDDOWN(D275*F275,-3)</f>
        <v>147267000</v>
      </c>
      <c r="H275" s="210" t="b">
        <f t="shared" si="7"/>
        <v>1</v>
      </c>
      <c r="I275" s="210"/>
      <c r="J275" s="210"/>
    </row>
    <row r="276" spans="1:10" ht="13.8" x14ac:dyDescent="0.25">
      <c r="A276" s="7" t="s">
        <v>1819</v>
      </c>
      <c r="B276" s="152"/>
      <c r="C276" s="151" t="s">
        <v>3994</v>
      </c>
      <c r="D276" s="152">
        <v>1</v>
      </c>
      <c r="E276" s="152" t="s">
        <v>97</v>
      </c>
      <c r="F276" s="153">
        <v>12494000</v>
      </c>
      <c r="G276" s="153">
        <f>ROUNDDOWN(D276*F276,-3)</f>
        <v>12494000</v>
      </c>
      <c r="H276" s="210" t="b">
        <f t="shared" si="7"/>
        <v>1</v>
      </c>
      <c r="I276" s="210"/>
      <c r="J276" s="210"/>
    </row>
    <row r="277" spans="1:10" ht="13.8" x14ac:dyDescent="0.25">
      <c r="A277" s="7" t="s">
        <v>1820</v>
      </c>
      <c r="B277" s="152"/>
      <c r="C277" s="151" t="s">
        <v>3995</v>
      </c>
      <c r="D277" s="152">
        <v>1</v>
      </c>
      <c r="E277" s="152" t="s">
        <v>97</v>
      </c>
      <c r="F277" s="153">
        <v>12198000</v>
      </c>
      <c r="G277" s="153">
        <f>ROUNDDOWN(D277*F277,-3)</f>
        <v>12198000</v>
      </c>
      <c r="H277" s="210" t="b">
        <f t="shared" si="7"/>
        <v>1</v>
      </c>
      <c r="I277" s="210"/>
      <c r="J277" s="210"/>
    </row>
    <row r="278" spans="1:10" ht="13.8" x14ac:dyDescent="0.25">
      <c r="A278" s="7" t="s">
        <v>1821</v>
      </c>
      <c r="B278" s="60">
        <v>511122</v>
      </c>
      <c r="C278" s="41" t="s">
        <v>81</v>
      </c>
      <c r="D278" s="60"/>
      <c r="E278" s="60"/>
      <c r="F278" s="42"/>
      <c r="G278" s="42">
        <f>SUM(G279:G281)</f>
        <v>46700000</v>
      </c>
      <c r="H278" s="210" t="b">
        <f t="shared" si="7"/>
        <v>1</v>
      </c>
      <c r="I278" s="210"/>
      <c r="J278" s="210"/>
    </row>
    <row r="279" spans="1:10" ht="13.8" x14ac:dyDescent="0.25">
      <c r="A279" s="7" t="s">
        <v>1822</v>
      </c>
      <c r="B279" s="152"/>
      <c r="C279" s="151" t="s">
        <v>3996</v>
      </c>
      <c r="D279" s="152">
        <v>1</v>
      </c>
      <c r="E279" s="152" t="s">
        <v>97</v>
      </c>
      <c r="F279" s="153">
        <v>3282000</v>
      </c>
      <c r="G279" s="153">
        <f>ROUNDDOWN(D279*F279,-3)</f>
        <v>3282000</v>
      </c>
      <c r="H279" s="210" t="b">
        <f t="shared" si="7"/>
        <v>1</v>
      </c>
      <c r="I279" s="210"/>
      <c r="J279" s="210"/>
    </row>
    <row r="280" spans="1:10" ht="13.8" x14ac:dyDescent="0.25">
      <c r="A280" s="7" t="s">
        <v>1823</v>
      </c>
      <c r="B280" s="152"/>
      <c r="C280" s="151" t="s">
        <v>3997</v>
      </c>
      <c r="D280" s="152">
        <v>1</v>
      </c>
      <c r="E280" s="152" t="s">
        <v>153</v>
      </c>
      <c r="F280" s="153">
        <v>40080000</v>
      </c>
      <c r="G280" s="153">
        <f>ROUNDDOWN(D280*F280,-3)</f>
        <v>40080000</v>
      </c>
      <c r="H280" s="210" t="b">
        <f t="shared" si="7"/>
        <v>1</v>
      </c>
      <c r="I280" s="210"/>
      <c r="J280" s="210"/>
    </row>
    <row r="281" spans="1:10" ht="13.8" x14ac:dyDescent="0.25">
      <c r="A281" s="7" t="s">
        <v>1824</v>
      </c>
      <c r="B281" s="152"/>
      <c r="C281" s="151" t="s">
        <v>3998</v>
      </c>
      <c r="D281" s="152">
        <v>1</v>
      </c>
      <c r="E281" s="152" t="s">
        <v>97</v>
      </c>
      <c r="F281" s="153">
        <v>3338000</v>
      </c>
      <c r="G281" s="153">
        <f>ROUNDDOWN(D281*F281,-3)</f>
        <v>3338000</v>
      </c>
      <c r="H281" s="210" t="b">
        <f t="shared" si="7"/>
        <v>1</v>
      </c>
      <c r="I281" s="210"/>
      <c r="J281" s="210"/>
    </row>
    <row r="282" spans="1:10" ht="13.8" x14ac:dyDescent="0.25">
      <c r="A282" s="7" t="s">
        <v>1825</v>
      </c>
      <c r="B282" s="60">
        <v>511123</v>
      </c>
      <c r="C282" s="41" t="s">
        <v>82</v>
      </c>
      <c r="D282" s="60"/>
      <c r="E282" s="60"/>
      <c r="F282" s="42"/>
      <c r="G282" s="42">
        <f>SUM(G283:G285)</f>
        <v>158000000</v>
      </c>
      <c r="H282" s="210" t="b">
        <f t="shared" si="7"/>
        <v>1</v>
      </c>
      <c r="I282" s="210"/>
      <c r="J282" s="210"/>
    </row>
    <row r="283" spans="1:10" ht="13.8" x14ac:dyDescent="0.25">
      <c r="A283" s="7" t="s">
        <v>1826</v>
      </c>
      <c r="B283" s="152"/>
      <c r="C283" s="151" t="s">
        <v>3999</v>
      </c>
      <c r="D283" s="152">
        <v>1</v>
      </c>
      <c r="E283" s="152" t="s">
        <v>97</v>
      </c>
      <c r="F283" s="153">
        <v>12070000</v>
      </c>
      <c r="G283" s="153">
        <f>ROUNDDOWN(D283*F283,-3)</f>
        <v>12070000</v>
      </c>
      <c r="H283" s="210" t="b">
        <f t="shared" si="7"/>
        <v>1</v>
      </c>
      <c r="I283" s="210"/>
      <c r="J283" s="210"/>
    </row>
    <row r="284" spans="1:10" ht="13.8" x14ac:dyDescent="0.25">
      <c r="A284" s="7" t="s">
        <v>1827</v>
      </c>
      <c r="B284" s="152"/>
      <c r="C284" s="151" t="s">
        <v>4000</v>
      </c>
      <c r="D284" s="152">
        <v>1</v>
      </c>
      <c r="E284" s="152" t="s">
        <v>60</v>
      </c>
      <c r="F284" s="153">
        <v>133860000</v>
      </c>
      <c r="G284" s="153">
        <f>ROUNDDOWN(D284*F284,-3)</f>
        <v>133860000</v>
      </c>
      <c r="H284" s="210" t="b">
        <f t="shared" si="7"/>
        <v>1</v>
      </c>
      <c r="I284" s="210"/>
      <c r="J284" s="210"/>
    </row>
    <row r="285" spans="1:10" ht="13.8" x14ac:dyDescent="0.25">
      <c r="A285" s="7" t="s">
        <v>1828</v>
      </c>
      <c r="B285" s="152"/>
      <c r="C285" s="151" t="s">
        <v>4001</v>
      </c>
      <c r="D285" s="152">
        <v>1</v>
      </c>
      <c r="E285" s="152" t="s">
        <v>97</v>
      </c>
      <c r="F285" s="153">
        <v>12070000</v>
      </c>
      <c r="G285" s="153">
        <f>ROUNDDOWN(D285*F285,-3)</f>
        <v>12070000</v>
      </c>
      <c r="H285" s="210" t="b">
        <f t="shared" si="7"/>
        <v>1</v>
      </c>
      <c r="I285" s="210"/>
      <c r="J285" s="210"/>
    </row>
    <row r="286" spans="1:10" ht="13.8" x14ac:dyDescent="0.25">
      <c r="A286" s="7" t="s">
        <v>1829</v>
      </c>
      <c r="B286" s="60">
        <v>511124</v>
      </c>
      <c r="C286" s="41" t="s">
        <v>83</v>
      </c>
      <c r="D286" s="60"/>
      <c r="E286" s="60"/>
      <c r="F286" s="42"/>
      <c r="G286" s="42">
        <f>SUM(G287:G289)</f>
        <v>48180000</v>
      </c>
      <c r="H286" s="210" t="b">
        <f t="shared" si="7"/>
        <v>1</v>
      </c>
      <c r="I286" s="210"/>
      <c r="J286" s="210"/>
    </row>
    <row r="287" spans="1:10" ht="13.8" x14ac:dyDescent="0.25">
      <c r="A287" s="7" t="s">
        <v>1830</v>
      </c>
      <c r="B287" s="152"/>
      <c r="C287" s="151" t="s">
        <v>4002</v>
      </c>
      <c r="D287" s="152">
        <v>1</v>
      </c>
      <c r="E287" s="152" t="s">
        <v>97</v>
      </c>
      <c r="F287" s="153">
        <v>2000000</v>
      </c>
      <c r="G287" s="153">
        <f>ROUNDDOWN(D287*F287,-3)</f>
        <v>2000000</v>
      </c>
      <c r="H287" s="210" t="b">
        <f t="shared" si="7"/>
        <v>1</v>
      </c>
      <c r="I287" s="210"/>
      <c r="J287" s="210"/>
    </row>
    <row r="288" spans="1:10" ht="13.8" x14ac:dyDescent="0.25">
      <c r="A288" s="7" t="s">
        <v>1831</v>
      </c>
      <c r="B288" s="152"/>
      <c r="C288" s="151" t="s">
        <v>4003</v>
      </c>
      <c r="D288" s="152">
        <v>1</v>
      </c>
      <c r="E288" s="152" t="s">
        <v>60</v>
      </c>
      <c r="F288" s="153">
        <v>44180000</v>
      </c>
      <c r="G288" s="153">
        <f>ROUNDDOWN(D288*F288,-3)</f>
        <v>44180000</v>
      </c>
      <c r="H288" s="210" t="b">
        <f t="shared" si="7"/>
        <v>1</v>
      </c>
      <c r="I288" s="210"/>
      <c r="J288" s="210"/>
    </row>
    <row r="289" spans="1:10" ht="13.8" x14ac:dyDescent="0.25">
      <c r="A289" s="7" t="s">
        <v>1832</v>
      </c>
      <c r="B289" s="152"/>
      <c r="C289" s="151" t="s">
        <v>4004</v>
      </c>
      <c r="D289" s="152">
        <v>1</v>
      </c>
      <c r="E289" s="152" t="s">
        <v>97</v>
      </c>
      <c r="F289" s="153">
        <v>2000000</v>
      </c>
      <c r="G289" s="153">
        <f>ROUNDDOWN(D289*F289,-3)</f>
        <v>2000000</v>
      </c>
      <c r="H289" s="210" t="b">
        <f t="shared" si="7"/>
        <v>1</v>
      </c>
      <c r="I289" s="210"/>
      <c r="J289" s="210"/>
    </row>
    <row r="290" spans="1:10" ht="13.8" x14ac:dyDescent="0.25">
      <c r="A290" s="7" t="s">
        <v>1833</v>
      </c>
      <c r="B290" s="60">
        <v>511125</v>
      </c>
      <c r="C290" s="41" t="s">
        <v>84</v>
      </c>
      <c r="D290" s="60"/>
      <c r="E290" s="60"/>
      <c r="F290" s="42"/>
      <c r="G290" s="42">
        <f>SUM(G291:G293)</f>
        <v>13133000</v>
      </c>
      <c r="H290" s="210" t="b">
        <f t="shared" si="7"/>
        <v>1</v>
      </c>
      <c r="I290" s="210"/>
      <c r="J290" s="210"/>
    </row>
    <row r="291" spans="1:10" ht="13.8" x14ac:dyDescent="0.25">
      <c r="A291" s="7" t="s">
        <v>1834</v>
      </c>
      <c r="B291" s="152"/>
      <c r="C291" s="151" t="s">
        <v>4005</v>
      </c>
      <c r="D291" s="152">
        <v>1</v>
      </c>
      <c r="E291" s="152" t="s">
        <v>97</v>
      </c>
      <c r="F291" s="153">
        <v>3360000</v>
      </c>
      <c r="G291" s="153">
        <f>ROUNDDOWN(D291*F291,-3)</f>
        <v>3360000</v>
      </c>
      <c r="H291" s="210" t="b">
        <f t="shared" si="7"/>
        <v>1</v>
      </c>
      <c r="I291" s="210"/>
      <c r="J291" s="210"/>
    </row>
    <row r="292" spans="1:10" ht="13.8" x14ac:dyDescent="0.25">
      <c r="A292" s="7" t="s">
        <v>1835</v>
      </c>
      <c r="B292" s="152"/>
      <c r="C292" s="151" t="s">
        <v>4006</v>
      </c>
      <c r="D292" s="152">
        <v>1</v>
      </c>
      <c r="E292" s="152" t="s">
        <v>153</v>
      </c>
      <c r="F292" s="153">
        <v>6407000</v>
      </c>
      <c r="G292" s="153">
        <f>ROUNDDOWN(D292*F292,-3)</f>
        <v>6407000</v>
      </c>
      <c r="H292" s="210" t="b">
        <f t="shared" si="7"/>
        <v>1</v>
      </c>
      <c r="I292" s="210"/>
      <c r="J292" s="210"/>
    </row>
    <row r="293" spans="1:10" ht="13.8" x14ac:dyDescent="0.25">
      <c r="A293" s="7" t="s">
        <v>1836</v>
      </c>
      <c r="B293" s="152"/>
      <c r="C293" s="151" t="s">
        <v>4007</v>
      </c>
      <c r="D293" s="152">
        <v>1</v>
      </c>
      <c r="E293" s="152" t="s">
        <v>97</v>
      </c>
      <c r="F293" s="153">
        <v>3366000</v>
      </c>
      <c r="G293" s="153">
        <f>ROUNDDOWN(D293*F293,-3)</f>
        <v>3366000</v>
      </c>
      <c r="H293" s="210" t="b">
        <f t="shared" si="7"/>
        <v>1</v>
      </c>
      <c r="I293" s="210"/>
      <c r="J293" s="210"/>
    </row>
    <row r="294" spans="1:10" ht="13.8" x14ac:dyDescent="0.25">
      <c r="A294" s="7" t="s">
        <v>1837</v>
      </c>
      <c r="B294" s="60">
        <v>511126</v>
      </c>
      <c r="C294" s="41" t="s">
        <v>85</v>
      </c>
      <c r="D294" s="60"/>
      <c r="E294" s="60"/>
      <c r="F294" s="42"/>
      <c r="G294" s="42">
        <f>G295</f>
        <v>130333000</v>
      </c>
      <c r="H294" s="210" t="b">
        <f t="shared" si="7"/>
        <v>1</v>
      </c>
      <c r="I294" s="210"/>
      <c r="J294" s="210"/>
    </row>
    <row r="295" spans="1:10" ht="13.8" x14ac:dyDescent="0.25">
      <c r="A295" s="7" t="s">
        <v>1838</v>
      </c>
      <c r="B295" s="152"/>
      <c r="C295" s="151" t="s">
        <v>4008</v>
      </c>
      <c r="D295" s="152">
        <v>1</v>
      </c>
      <c r="E295" s="152" t="s">
        <v>60</v>
      </c>
      <c r="F295" s="153">
        <v>130333000</v>
      </c>
      <c r="G295" s="153">
        <f>ROUNDDOWN(D295*F295,-3)</f>
        <v>130333000</v>
      </c>
      <c r="H295" s="210" t="b">
        <f t="shared" si="7"/>
        <v>1</v>
      </c>
      <c r="I295" s="210"/>
      <c r="J295" s="210"/>
    </row>
    <row r="296" spans="1:10" ht="13.8" x14ac:dyDescent="0.25">
      <c r="A296" s="7" t="s">
        <v>1839</v>
      </c>
      <c r="B296" s="60">
        <v>511129</v>
      </c>
      <c r="C296" s="41" t="s">
        <v>86</v>
      </c>
      <c r="D296" s="60"/>
      <c r="E296" s="60"/>
      <c r="F296" s="42"/>
      <c r="G296" s="42">
        <f>G297</f>
        <v>379379000</v>
      </c>
      <c r="H296" s="210" t="b">
        <f t="shared" si="7"/>
        <v>1</v>
      </c>
      <c r="I296" s="210"/>
      <c r="J296" s="210"/>
    </row>
    <row r="297" spans="1:10" ht="13.8" x14ac:dyDescent="0.25">
      <c r="A297" s="7" t="s">
        <v>1840</v>
      </c>
      <c r="B297" s="152"/>
      <c r="C297" s="151" t="s">
        <v>4009</v>
      </c>
      <c r="D297" s="152">
        <v>1</v>
      </c>
      <c r="E297" s="152" t="s">
        <v>153</v>
      </c>
      <c r="F297" s="153">
        <v>379379000</v>
      </c>
      <c r="G297" s="153">
        <f>ROUNDDOWN(D297*F297,-3)</f>
        <v>379379000</v>
      </c>
      <c r="H297" s="210" t="b">
        <f t="shared" si="7"/>
        <v>1</v>
      </c>
      <c r="I297" s="210"/>
      <c r="J297" s="210"/>
    </row>
    <row r="298" spans="1:10" ht="13.8" x14ac:dyDescent="0.25">
      <c r="A298" s="7" t="s">
        <v>1841</v>
      </c>
      <c r="B298" s="60">
        <v>511151</v>
      </c>
      <c r="C298" s="41" t="s">
        <v>87</v>
      </c>
      <c r="D298" s="60"/>
      <c r="E298" s="60"/>
      <c r="F298" s="42"/>
      <c r="G298" s="42">
        <f>SUM(G299:G301)</f>
        <v>88360000</v>
      </c>
      <c r="H298" s="210" t="b">
        <f t="shared" si="7"/>
        <v>1</v>
      </c>
      <c r="I298" s="210"/>
      <c r="J298" s="210"/>
    </row>
    <row r="299" spans="1:10" ht="13.8" x14ac:dyDescent="0.25">
      <c r="A299" s="7" t="s">
        <v>1842</v>
      </c>
      <c r="B299" s="152"/>
      <c r="C299" s="151" t="s">
        <v>4010</v>
      </c>
      <c r="D299" s="152">
        <v>1</v>
      </c>
      <c r="E299" s="152" t="s">
        <v>97</v>
      </c>
      <c r="F299" s="153">
        <v>6655000</v>
      </c>
      <c r="G299" s="153">
        <f>ROUNDDOWN(D299*F299,-3)</f>
        <v>6655000</v>
      </c>
      <c r="H299" s="210" t="b">
        <f t="shared" si="7"/>
        <v>1</v>
      </c>
      <c r="I299" s="210"/>
      <c r="J299" s="210"/>
    </row>
    <row r="300" spans="1:10" ht="13.8" x14ac:dyDescent="0.25">
      <c r="A300" s="7" t="s">
        <v>1843</v>
      </c>
      <c r="B300" s="152"/>
      <c r="C300" s="151" t="s">
        <v>4011</v>
      </c>
      <c r="D300" s="152">
        <v>1</v>
      </c>
      <c r="E300" s="152" t="s">
        <v>60</v>
      </c>
      <c r="F300" s="153">
        <v>75605000</v>
      </c>
      <c r="G300" s="153">
        <f>ROUNDDOWN(D300*F300,-3)</f>
        <v>75605000</v>
      </c>
      <c r="H300" s="210" t="b">
        <f t="shared" si="7"/>
        <v>1</v>
      </c>
      <c r="I300" s="210"/>
      <c r="J300" s="210"/>
    </row>
    <row r="301" spans="1:10" ht="13.8" x14ac:dyDescent="0.25">
      <c r="A301" s="7" t="s">
        <v>1844</v>
      </c>
      <c r="B301" s="152"/>
      <c r="C301" s="151" t="s">
        <v>4012</v>
      </c>
      <c r="D301" s="152">
        <v>1</v>
      </c>
      <c r="E301" s="152" t="s">
        <v>97</v>
      </c>
      <c r="F301" s="153">
        <v>6100000</v>
      </c>
      <c r="G301" s="153">
        <f>ROUNDDOWN(D301*F301,-3)</f>
        <v>6100000</v>
      </c>
      <c r="H301" s="210" t="b">
        <f t="shared" si="7"/>
        <v>1</v>
      </c>
      <c r="I301" s="210"/>
      <c r="J301" s="210"/>
    </row>
    <row r="302" spans="1:10" ht="13.8" x14ac:dyDescent="0.25">
      <c r="A302" s="7" t="s">
        <v>1845</v>
      </c>
      <c r="B302" s="60">
        <v>512411</v>
      </c>
      <c r="C302" s="41" t="s">
        <v>88</v>
      </c>
      <c r="D302" s="60"/>
      <c r="E302" s="60"/>
      <c r="F302" s="42"/>
      <c r="G302" s="42">
        <f>G303</f>
        <v>2635488000</v>
      </c>
      <c r="H302" s="210" t="b">
        <f t="shared" si="7"/>
        <v>1</v>
      </c>
      <c r="I302" s="210"/>
      <c r="J302" s="210"/>
    </row>
    <row r="303" spans="1:10" ht="13.8" x14ac:dyDescent="0.25">
      <c r="A303" s="7" t="s">
        <v>1846</v>
      </c>
      <c r="B303" s="152"/>
      <c r="C303" s="151" t="s">
        <v>4013</v>
      </c>
      <c r="D303" s="152">
        <v>1</v>
      </c>
      <c r="E303" s="152" t="s">
        <v>153</v>
      </c>
      <c r="F303" s="153">
        <v>2635488000</v>
      </c>
      <c r="G303" s="153">
        <f>ROUNDDOWN(D303*F303,-3)</f>
        <v>2635488000</v>
      </c>
      <c r="H303" s="210" t="b">
        <f t="shared" si="7"/>
        <v>1</v>
      </c>
      <c r="I303" s="210"/>
      <c r="J303" s="210"/>
    </row>
    <row r="304" spans="1:10" ht="13.8" x14ac:dyDescent="0.25">
      <c r="A304" s="7" t="s">
        <v>4041</v>
      </c>
      <c r="B304" s="59" t="s">
        <v>2208</v>
      </c>
      <c r="C304" s="38" t="s">
        <v>4042</v>
      </c>
      <c r="D304" s="59"/>
      <c r="E304" s="59"/>
      <c r="F304" s="39"/>
      <c r="G304" s="39">
        <f>G305</f>
        <v>323949000</v>
      </c>
      <c r="H304" s="210" t="b">
        <f t="shared" si="7"/>
        <v>1</v>
      </c>
      <c r="I304" s="210"/>
      <c r="J304" s="210"/>
    </row>
    <row r="305" spans="1:10" ht="13.8" x14ac:dyDescent="0.25">
      <c r="A305" s="7" t="s">
        <v>4043</v>
      </c>
      <c r="B305" s="60">
        <v>512411</v>
      </c>
      <c r="C305" s="41" t="s">
        <v>88</v>
      </c>
      <c r="D305" s="60"/>
      <c r="E305" s="60"/>
      <c r="F305" s="42"/>
      <c r="G305" s="42">
        <f>G306</f>
        <v>323949000</v>
      </c>
      <c r="H305" s="210" t="b">
        <f t="shared" si="7"/>
        <v>1</v>
      </c>
      <c r="I305" s="210"/>
      <c r="J305" s="210"/>
    </row>
    <row r="306" spans="1:10" ht="13.8" x14ac:dyDescent="0.25">
      <c r="A306" s="7" t="s">
        <v>4044</v>
      </c>
      <c r="B306" s="152"/>
      <c r="C306" s="151" t="s">
        <v>4045</v>
      </c>
      <c r="D306" s="152">
        <v>1</v>
      </c>
      <c r="E306" s="152" t="s">
        <v>4046</v>
      </c>
      <c r="F306" s="153">
        <v>323949000</v>
      </c>
      <c r="G306" s="153">
        <f>ROUNDDOWN(D306*F306,-3)</f>
        <v>323949000</v>
      </c>
      <c r="H306" s="210" t="b">
        <f t="shared" si="7"/>
        <v>1</v>
      </c>
      <c r="I306" s="210"/>
      <c r="J306" s="210"/>
    </row>
    <row r="307" spans="1:10" ht="13.8" x14ac:dyDescent="0.25">
      <c r="A307" s="7" t="s">
        <v>1847</v>
      </c>
      <c r="B307" s="58" t="s">
        <v>557</v>
      </c>
      <c r="C307" s="35" t="s">
        <v>89</v>
      </c>
      <c r="D307" s="58"/>
      <c r="E307" s="58"/>
      <c r="F307" s="36"/>
      <c r="G307" s="36">
        <f>SUM(G308,G329,G335,G348,G363)</f>
        <v>2195658000</v>
      </c>
      <c r="H307" s="210" t="b">
        <f t="shared" si="7"/>
        <v>1</v>
      </c>
      <c r="I307" s="210"/>
      <c r="J307" s="210"/>
    </row>
    <row r="308" spans="1:10" ht="13.8" x14ac:dyDescent="0.25">
      <c r="A308" s="7" t="s">
        <v>2170</v>
      </c>
      <c r="B308" s="59" t="s">
        <v>1807</v>
      </c>
      <c r="C308" s="38" t="s">
        <v>2171</v>
      </c>
      <c r="D308" s="59"/>
      <c r="E308" s="59"/>
      <c r="F308" s="39"/>
      <c r="G308" s="39">
        <f>SUM(G309,G319)</f>
        <v>1254380000</v>
      </c>
      <c r="H308" s="210" t="b">
        <f t="shared" si="7"/>
        <v>1</v>
      </c>
      <c r="I308" s="210"/>
      <c r="J308" s="210"/>
    </row>
    <row r="309" spans="1:10" ht="13.8" x14ac:dyDescent="0.25">
      <c r="A309" s="7" t="s">
        <v>2172</v>
      </c>
      <c r="B309" s="60">
        <v>521111</v>
      </c>
      <c r="C309" s="41" t="s">
        <v>90</v>
      </c>
      <c r="D309" s="60"/>
      <c r="E309" s="60"/>
      <c r="F309" s="42"/>
      <c r="G309" s="42">
        <f>SUM(G310:G318)</f>
        <v>1076220000</v>
      </c>
      <c r="H309" s="210" t="b">
        <f t="shared" si="7"/>
        <v>1</v>
      </c>
      <c r="I309" s="210"/>
      <c r="J309" s="210"/>
    </row>
    <row r="310" spans="1:10" ht="13.8" x14ac:dyDescent="0.25">
      <c r="A310" s="7" t="s">
        <v>2173</v>
      </c>
      <c r="B310" s="152"/>
      <c r="C310" s="151" t="s">
        <v>4154</v>
      </c>
      <c r="D310" s="152">
        <v>60</v>
      </c>
      <c r="E310" s="152" t="s">
        <v>116</v>
      </c>
      <c r="F310" s="153">
        <v>1300000</v>
      </c>
      <c r="G310" s="153">
        <f t="shared" ref="G310:G318" si="8">ROUNDDOWN(D310*F310,-3)</f>
        <v>78000000</v>
      </c>
      <c r="H310" s="210" t="b">
        <f t="shared" si="7"/>
        <v>1</v>
      </c>
      <c r="I310" s="210"/>
      <c r="J310" s="210"/>
    </row>
    <row r="311" spans="1:10" ht="13.8" x14ac:dyDescent="0.25">
      <c r="A311" s="7" t="s">
        <v>2174</v>
      </c>
      <c r="B311" s="152"/>
      <c r="C311" s="151" t="s">
        <v>4182</v>
      </c>
      <c r="D311" s="152">
        <v>1</v>
      </c>
      <c r="E311" s="152" t="s">
        <v>60</v>
      </c>
      <c r="F311" s="153">
        <v>60000000</v>
      </c>
      <c r="G311" s="153">
        <f t="shared" si="8"/>
        <v>60000000</v>
      </c>
      <c r="H311" s="210" t="b">
        <f t="shared" si="7"/>
        <v>1</v>
      </c>
      <c r="I311" s="210"/>
      <c r="J311" s="210"/>
    </row>
    <row r="312" spans="1:10" ht="13.8" x14ac:dyDescent="0.25">
      <c r="A312" s="7" t="s">
        <v>2176</v>
      </c>
      <c r="B312" s="152"/>
      <c r="C312" s="151" t="s">
        <v>4183</v>
      </c>
      <c r="D312" s="152">
        <v>156</v>
      </c>
      <c r="E312" s="152" t="s">
        <v>21</v>
      </c>
      <c r="F312" s="153">
        <v>4858000</v>
      </c>
      <c r="G312" s="153">
        <f t="shared" si="8"/>
        <v>757848000</v>
      </c>
      <c r="H312" s="210" t="b">
        <f t="shared" si="7"/>
        <v>1</v>
      </c>
      <c r="I312" s="210"/>
      <c r="J312" s="210"/>
    </row>
    <row r="313" spans="1:10" ht="13.8" x14ac:dyDescent="0.25">
      <c r="A313" s="7" t="s">
        <v>2178</v>
      </c>
      <c r="B313" s="152"/>
      <c r="C313" s="151" t="s">
        <v>4184</v>
      </c>
      <c r="D313" s="152">
        <v>13</v>
      </c>
      <c r="E313" s="152" t="s">
        <v>32</v>
      </c>
      <c r="F313" s="153">
        <v>5344000</v>
      </c>
      <c r="G313" s="153">
        <f t="shared" si="8"/>
        <v>69472000</v>
      </c>
      <c r="H313" s="210" t="b">
        <f t="shared" si="7"/>
        <v>1</v>
      </c>
      <c r="I313" s="210"/>
      <c r="J313" s="210"/>
    </row>
    <row r="314" spans="1:10" ht="13.8" x14ac:dyDescent="0.25">
      <c r="A314" s="7" t="s">
        <v>2179</v>
      </c>
      <c r="B314" s="152"/>
      <c r="C314" s="151" t="s">
        <v>4185</v>
      </c>
      <c r="D314" s="152">
        <v>12</v>
      </c>
      <c r="E314" s="152" t="s">
        <v>78</v>
      </c>
      <c r="F314" s="153">
        <v>500000</v>
      </c>
      <c r="G314" s="153">
        <f t="shared" si="8"/>
        <v>6000000</v>
      </c>
      <c r="H314" s="210" t="b">
        <f t="shared" si="7"/>
        <v>1</v>
      </c>
      <c r="I314" s="210"/>
      <c r="J314" s="210"/>
    </row>
    <row r="315" spans="1:10" ht="13.8" x14ac:dyDescent="0.25">
      <c r="A315" s="7" t="s">
        <v>2181</v>
      </c>
      <c r="B315" s="152"/>
      <c r="C315" s="151" t="s">
        <v>4186</v>
      </c>
      <c r="D315" s="152">
        <v>100</v>
      </c>
      <c r="E315" s="152" t="s">
        <v>58</v>
      </c>
      <c r="F315" s="153">
        <v>500000</v>
      </c>
      <c r="G315" s="153">
        <f t="shared" si="8"/>
        <v>50000000</v>
      </c>
      <c r="H315" s="210" t="b">
        <f t="shared" si="7"/>
        <v>1</v>
      </c>
      <c r="I315" s="210"/>
      <c r="J315" s="210"/>
    </row>
    <row r="316" spans="1:10" ht="13.8" x14ac:dyDescent="0.25">
      <c r="A316" s="7" t="s">
        <v>2183</v>
      </c>
      <c r="B316" s="152"/>
      <c r="C316" s="151" t="s">
        <v>4187</v>
      </c>
      <c r="D316" s="152">
        <v>12</v>
      </c>
      <c r="E316" s="152" t="s">
        <v>115</v>
      </c>
      <c r="F316" s="153">
        <v>750000</v>
      </c>
      <c r="G316" s="153">
        <f t="shared" si="8"/>
        <v>9000000</v>
      </c>
      <c r="H316" s="210" t="b">
        <f t="shared" si="7"/>
        <v>1</v>
      </c>
      <c r="I316" s="210"/>
      <c r="J316" s="210"/>
    </row>
    <row r="317" spans="1:10" ht="13.8" x14ac:dyDescent="0.25">
      <c r="A317" s="7" t="s">
        <v>2185</v>
      </c>
      <c r="B317" s="152"/>
      <c r="C317" s="151" t="s">
        <v>4188</v>
      </c>
      <c r="D317" s="152">
        <v>12</v>
      </c>
      <c r="E317" s="152" t="s">
        <v>115</v>
      </c>
      <c r="F317" s="153">
        <v>1325000</v>
      </c>
      <c r="G317" s="153">
        <f t="shared" si="8"/>
        <v>15900000</v>
      </c>
      <c r="H317" s="210" t="b">
        <f t="shared" si="7"/>
        <v>1</v>
      </c>
      <c r="I317" s="210"/>
      <c r="J317" s="210"/>
    </row>
    <row r="318" spans="1:10" ht="13.8" x14ac:dyDescent="0.25">
      <c r="A318" s="7" t="s">
        <v>2187</v>
      </c>
      <c r="B318" s="152"/>
      <c r="C318" s="151" t="s">
        <v>4189</v>
      </c>
      <c r="D318" s="152">
        <v>12</v>
      </c>
      <c r="E318" s="152" t="s">
        <v>78</v>
      </c>
      <c r="F318" s="153">
        <v>2500000</v>
      </c>
      <c r="G318" s="153">
        <f t="shared" si="8"/>
        <v>30000000</v>
      </c>
      <c r="H318" s="210" t="b">
        <f t="shared" si="7"/>
        <v>1</v>
      </c>
      <c r="I318" s="210"/>
      <c r="J318" s="210"/>
    </row>
    <row r="319" spans="1:10" ht="13.8" x14ac:dyDescent="0.25">
      <c r="A319" s="7" t="s">
        <v>2189</v>
      </c>
      <c r="B319" s="60">
        <v>521811</v>
      </c>
      <c r="C319" s="41" t="s">
        <v>64</v>
      </c>
      <c r="D319" s="60"/>
      <c r="E319" s="60"/>
      <c r="F319" s="42"/>
      <c r="G319" s="42">
        <f>SUM(G320:G328)</f>
        <v>178160000</v>
      </c>
      <c r="H319" s="210" t="b">
        <f t="shared" si="7"/>
        <v>1</v>
      </c>
      <c r="I319" s="210"/>
      <c r="J319" s="210"/>
    </row>
    <row r="320" spans="1:10" ht="13.8" x14ac:dyDescent="0.25">
      <c r="A320" s="7" t="s">
        <v>2190</v>
      </c>
      <c r="B320" s="152"/>
      <c r="C320" s="151" t="s">
        <v>3625</v>
      </c>
      <c r="D320" s="152">
        <v>40</v>
      </c>
      <c r="E320" s="152" t="s">
        <v>9</v>
      </c>
      <c r="F320" s="153">
        <v>1000000</v>
      </c>
      <c r="G320" s="153">
        <f t="shared" ref="G320:G328" si="9">ROUNDDOWN(D320*F320,-3)</f>
        <v>40000000</v>
      </c>
      <c r="H320" s="210" t="b">
        <f t="shared" si="7"/>
        <v>1</v>
      </c>
      <c r="I320" s="210"/>
      <c r="J320" s="210"/>
    </row>
    <row r="321" spans="1:10" ht="13.8" x14ac:dyDescent="0.25">
      <c r="A321" s="7" t="s">
        <v>2191</v>
      </c>
      <c r="B321" s="152"/>
      <c r="C321" s="151" t="s">
        <v>3626</v>
      </c>
      <c r="D321" s="152">
        <v>40</v>
      </c>
      <c r="E321" s="152" t="s">
        <v>9</v>
      </c>
      <c r="F321" s="153">
        <v>1500000</v>
      </c>
      <c r="G321" s="153">
        <f t="shared" si="9"/>
        <v>60000000</v>
      </c>
      <c r="H321" s="210" t="b">
        <f t="shared" si="7"/>
        <v>1</v>
      </c>
      <c r="I321" s="210"/>
      <c r="J321" s="210"/>
    </row>
    <row r="322" spans="1:10" ht="13.8" x14ac:dyDescent="0.25">
      <c r="A322" s="7" t="s">
        <v>2192</v>
      </c>
      <c r="B322" s="152"/>
      <c r="C322" s="151" t="s">
        <v>4190</v>
      </c>
      <c r="D322" s="152">
        <v>192</v>
      </c>
      <c r="E322" s="152" t="s">
        <v>9</v>
      </c>
      <c r="F322" s="153">
        <v>50000</v>
      </c>
      <c r="G322" s="153">
        <f t="shared" si="9"/>
        <v>9600000</v>
      </c>
      <c r="H322" s="210" t="b">
        <f t="shared" si="7"/>
        <v>1</v>
      </c>
      <c r="I322" s="210"/>
      <c r="J322" s="210"/>
    </row>
    <row r="323" spans="1:10" ht="13.8" x14ac:dyDescent="0.25">
      <c r="A323" s="7" t="s">
        <v>2194</v>
      </c>
      <c r="B323" s="152"/>
      <c r="C323" s="151" t="s">
        <v>4191</v>
      </c>
      <c r="D323" s="152">
        <v>192</v>
      </c>
      <c r="E323" s="152" t="s">
        <v>9</v>
      </c>
      <c r="F323" s="153">
        <v>55000</v>
      </c>
      <c r="G323" s="153">
        <f t="shared" si="9"/>
        <v>10560000</v>
      </c>
      <c r="H323" s="210" t="b">
        <f t="shared" si="7"/>
        <v>1</v>
      </c>
      <c r="I323" s="210"/>
      <c r="J323" s="210"/>
    </row>
    <row r="324" spans="1:10" ht="13.8" x14ac:dyDescent="0.25">
      <c r="A324" s="7" t="s">
        <v>2196</v>
      </c>
      <c r="B324" s="152"/>
      <c r="C324" s="151" t="s">
        <v>4192</v>
      </c>
      <c r="D324" s="152">
        <v>50</v>
      </c>
      <c r="E324" s="152" t="s">
        <v>2198</v>
      </c>
      <c r="F324" s="153">
        <v>220000</v>
      </c>
      <c r="G324" s="153">
        <f t="shared" si="9"/>
        <v>11000000</v>
      </c>
      <c r="H324" s="210" t="b">
        <f t="shared" si="7"/>
        <v>1</v>
      </c>
      <c r="I324" s="210"/>
      <c r="J324" s="210"/>
    </row>
    <row r="325" spans="1:10" ht="13.8" x14ac:dyDescent="0.25">
      <c r="A325" s="7" t="s">
        <v>2199</v>
      </c>
      <c r="B325" s="152"/>
      <c r="C325" s="151" t="s">
        <v>4193</v>
      </c>
      <c r="D325" s="152">
        <v>50</v>
      </c>
      <c r="E325" s="152" t="s">
        <v>2198</v>
      </c>
      <c r="F325" s="153">
        <v>240000</v>
      </c>
      <c r="G325" s="153">
        <f t="shared" si="9"/>
        <v>12000000</v>
      </c>
      <c r="H325" s="210" t="b">
        <f t="shared" si="7"/>
        <v>1</v>
      </c>
      <c r="I325" s="210"/>
      <c r="J325" s="210"/>
    </row>
    <row r="326" spans="1:10" ht="13.8" x14ac:dyDescent="0.25">
      <c r="A326" s="7" t="s">
        <v>2201</v>
      </c>
      <c r="B326" s="152"/>
      <c r="C326" s="151" t="s">
        <v>4194</v>
      </c>
      <c r="D326" s="152">
        <v>800</v>
      </c>
      <c r="E326" s="152" t="s">
        <v>120</v>
      </c>
      <c r="F326" s="153">
        <v>5000</v>
      </c>
      <c r="G326" s="153">
        <f t="shared" si="9"/>
        <v>4000000</v>
      </c>
      <c r="H326" s="210" t="b">
        <f t="shared" si="7"/>
        <v>1</v>
      </c>
      <c r="I326" s="210"/>
      <c r="J326" s="210"/>
    </row>
    <row r="327" spans="1:10" ht="13.8" x14ac:dyDescent="0.25">
      <c r="A327" s="7" t="s">
        <v>2203</v>
      </c>
      <c r="B327" s="152"/>
      <c r="C327" s="151" t="s">
        <v>4195</v>
      </c>
      <c r="D327" s="152">
        <v>50</v>
      </c>
      <c r="E327" s="152" t="s">
        <v>1422</v>
      </c>
      <c r="F327" s="153">
        <v>220000</v>
      </c>
      <c r="G327" s="153">
        <f t="shared" si="9"/>
        <v>11000000</v>
      </c>
      <c r="H327" s="210" t="b">
        <f t="shared" si="7"/>
        <v>1</v>
      </c>
      <c r="I327" s="210"/>
      <c r="J327" s="210"/>
    </row>
    <row r="328" spans="1:10" ht="13.8" x14ac:dyDescent="0.25">
      <c r="A328" s="7" t="s">
        <v>2205</v>
      </c>
      <c r="B328" s="152"/>
      <c r="C328" s="151" t="s">
        <v>4196</v>
      </c>
      <c r="D328" s="152">
        <v>800</v>
      </c>
      <c r="E328" s="152" t="s">
        <v>120</v>
      </c>
      <c r="F328" s="153">
        <v>25000</v>
      </c>
      <c r="G328" s="153">
        <f t="shared" si="9"/>
        <v>20000000</v>
      </c>
      <c r="H328" s="210" t="b">
        <f t="shared" si="7"/>
        <v>1</v>
      </c>
      <c r="I328" s="210"/>
      <c r="J328" s="210"/>
    </row>
    <row r="329" spans="1:10" ht="13.8" x14ac:dyDescent="0.25">
      <c r="A329" s="7" t="s">
        <v>2207</v>
      </c>
      <c r="B329" s="59" t="s">
        <v>2208</v>
      </c>
      <c r="C329" s="38" t="s">
        <v>2209</v>
      </c>
      <c r="D329" s="59"/>
      <c r="E329" s="59"/>
      <c r="F329" s="39"/>
      <c r="G329" s="39">
        <f>SUM(G330,G332)</f>
        <v>148852000</v>
      </c>
      <c r="H329" s="210" t="b">
        <f t="shared" si="7"/>
        <v>1</v>
      </c>
      <c r="I329" s="210"/>
      <c r="J329" s="210"/>
    </row>
    <row r="330" spans="1:10" ht="13.8" x14ac:dyDescent="0.25">
      <c r="A330" s="7" t="s">
        <v>2210</v>
      </c>
      <c r="B330" s="60">
        <v>521114</v>
      </c>
      <c r="C330" s="41" t="s">
        <v>94</v>
      </c>
      <c r="D330" s="60"/>
      <c r="E330" s="60"/>
      <c r="F330" s="42"/>
      <c r="G330" s="42">
        <f>G331</f>
        <v>30000000</v>
      </c>
      <c r="H330" s="210" t="b">
        <f>_xlfn.ISFORMULA(G330)</f>
        <v>1</v>
      </c>
      <c r="I330" s="210"/>
      <c r="J330" s="210"/>
    </row>
    <row r="331" spans="1:10" ht="13.8" x14ac:dyDescent="0.25">
      <c r="A331" s="7" t="s">
        <v>2211</v>
      </c>
      <c r="B331" s="152"/>
      <c r="C331" s="151" t="s">
        <v>4197</v>
      </c>
      <c r="D331" s="152">
        <v>12</v>
      </c>
      <c r="E331" s="152" t="s">
        <v>78</v>
      </c>
      <c r="F331" s="153">
        <v>2500000</v>
      </c>
      <c r="G331" s="153">
        <f>ROUNDDOWN(D331*F331,-3)</f>
        <v>30000000</v>
      </c>
      <c r="H331" s="210" t="b">
        <f t="shared" si="7"/>
        <v>1</v>
      </c>
      <c r="I331" s="210"/>
      <c r="J331" s="210"/>
    </row>
    <row r="332" spans="1:10" ht="13.8" x14ac:dyDescent="0.25">
      <c r="A332" s="7" t="s">
        <v>2213</v>
      </c>
      <c r="B332" s="60">
        <v>522141</v>
      </c>
      <c r="C332" s="41" t="s">
        <v>95</v>
      </c>
      <c r="D332" s="60"/>
      <c r="E332" s="60"/>
      <c r="F332" s="42"/>
      <c r="G332" s="42">
        <f>SUM(G333:G334)</f>
        <v>118852000</v>
      </c>
      <c r="H332" s="210" t="b">
        <f t="shared" si="7"/>
        <v>1</v>
      </c>
      <c r="I332" s="210"/>
      <c r="J332" s="210"/>
    </row>
    <row r="333" spans="1:10" ht="13.8" x14ac:dyDescent="0.25">
      <c r="A333" s="7" t="s">
        <v>2214</v>
      </c>
      <c r="B333" s="152"/>
      <c r="C333" s="151" t="s">
        <v>4198</v>
      </c>
      <c r="D333" s="152">
        <v>12</v>
      </c>
      <c r="E333" s="152" t="s">
        <v>78</v>
      </c>
      <c r="F333" s="153">
        <v>5000000</v>
      </c>
      <c r="G333" s="153">
        <f>ROUNDDOWN(D333*F333,-3)</f>
        <v>60000000</v>
      </c>
      <c r="H333" s="210" t="b">
        <f t="shared" si="7"/>
        <v>1</v>
      </c>
      <c r="I333" s="210"/>
      <c r="J333" s="210"/>
    </row>
    <row r="334" spans="1:10" ht="13.8" x14ac:dyDescent="0.25">
      <c r="A334" s="7" t="s">
        <v>2216</v>
      </c>
      <c r="B334" s="152"/>
      <c r="C334" s="151" t="s">
        <v>4199</v>
      </c>
      <c r="D334" s="152">
        <v>1</v>
      </c>
      <c r="E334" s="152" t="s">
        <v>60</v>
      </c>
      <c r="F334" s="153">
        <v>58852000</v>
      </c>
      <c r="G334" s="153">
        <f>ROUNDDOWN(D334*F334,-3)</f>
        <v>58852000</v>
      </c>
      <c r="H334" s="210" t="b">
        <f t="shared" ref="H334:H397" si="10">_xlfn.ISFORMULA(G334)</f>
        <v>1</v>
      </c>
      <c r="I334" s="210"/>
      <c r="J334" s="210"/>
    </row>
    <row r="335" spans="1:10" ht="13.8" x14ac:dyDescent="0.25">
      <c r="A335" s="7" t="s">
        <v>2218</v>
      </c>
      <c r="B335" s="59" t="s">
        <v>2219</v>
      </c>
      <c r="C335" s="38" t="s">
        <v>2220</v>
      </c>
      <c r="D335" s="59"/>
      <c r="E335" s="59"/>
      <c r="F335" s="39"/>
      <c r="G335" s="39">
        <f>SUM(G336,G346)</f>
        <v>533050000</v>
      </c>
      <c r="H335" s="210" t="b">
        <f t="shared" si="10"/>
        <v>1</v>
      </c>
      <c r="I335" s="210"/>
      <c r="J335" s="210"/>
    </row>
    <row r="336" spans="1:10" ht="13.8" x14ac:dyDescent="0.25">
      <c r="A336" s="7" t="s">
        <v>2221</v>
      </c>
      <c r="B336" s="60">
        <v>523121</v>
      </c>
      <c r="C336" s="41" t="s">
        <v>99</v>
      </c>
      <c r="D336" s="60"/>
      <c r="E336" s="60"/>
      <c r="F336" s="42"/>
      <c r="G336" s="42">
        <f>SUM(G337:G345)</f>
        <v>497050000</v>
      </c>
      <c r="H336" s="210" t="b">
        <f t="shared" si="10"/>
        <v>1</v>
      </c>
      <c r="I336" s="210"/>
      <c r="J336" s="210"/>
    </row>
    <row r="337" spans="1:10" ht="13.8" x14ac:dyDescent="0.25">
      <c r="A337" s="7" t="s">
        <v>2222</v>
      </c>
      <c r="B337" s="152"/>
      <c r="C337" s="151" t="s">
        <v>4200</v>
      </c>
      <c r="D337" s="152">
        <v>1</v>
      </c>
      <c r="E337" s="152" t="s">
        <v>44</v>
      </c>
      <c r="F337" s="153">
        <v>38730000</v>
      </c>
      <c r="G337" s="153">
        <f t="shared" ref="G337:G345" si="11">ROUNDDOWN(D337*F337,-3)</f>
        <v>38730000</v>
      </c>
      <c r="H337" s="210" t="b">
        <f t="shared" si="10"/>
        <v>1</v>
      </c>
      <c r="I337" s="210"/>
      <c r="J337" s="210"/>
    </row>
    <row r="338" spans="1:10" ht="13.8" x14ac:dyDescent="0.25">
      <c r="A338" s="7" t="s">
        <v>2224</v>
      </c>
      <c r="B338" s="152"/>
      <c r="C338" s="151" t="s">
        <v>4201</v>
      </c>
      <c r="D338" s="152">
        <v>9</v>
      </c>
      <c r="E338" s="152" t="s">
        <v>4202</v>
      </c>
      <c r="F338" s="153">
        <v>32850000</v>
      </c>
      <c r="G338" s="153">
        <f t="shared" si="11"/>
        <v>295650000</v>
      </c>
      <c r="H338" s="210" t="b">
        <f t="shared" si="10"/>
        <v>1</v>
      </c>
      <c r="I338" s="210"/>
      <c r="J338" s="210"/>
    </row>
    <row r="339" spans="1:10" ht="13.8" x14ac:dyDescent="0.25">
      <c r="A339" s="7" t="s">
        <v>2226</v>
      </c>
      <c r="B339" s="152"/>
      <c r="C339" s="151" t="s">
        <v>4203</v>
      </c>
      <c r="D339" s="152">
        <v>5</v>
      </c>
      <c r="E339" s="152" t="s">
        <v>42</v>
      </c>
      <c r="F339" s="153">
        <v>3640000</v>
      </c>
      <c r="G339" s="153">
        <f t="shared" si="11"/>
        <v>18200000</v>
      </c>
      <c r="H339" s="210" t="b">
        <f t="shared" si="10"/>
        <v>1</v>
      </c>
      <c r="I339" s="210"/>
      <c r="J339" s="210"/>
    </row>
    <row r="340" spans="1:10" ht="13.8" x14ac:dyDescent="0.25">
      <c r="A340" s="7" t="s">
        <v>2228</v>
      </c>
      <c r="B340" s="152"/>
      <c r="C340" s="151" t="s">
        <v>4204</v>
      </c>
      <c r="D340" s="152">
        <v>40</v>
      </c>
      <c r="E340" s="152" t="s">
        <v>42</v>
      </c>
      <c r="F340" s="153">
        <v>730000</v>
      </c>
      <c r="G340" s="153">
        <f t="shared" si="11"/>
        <v>29200000</v>
      </c>
      <c r="H340" s="210" t="b">
        <f t="shared" si="10"/>
        <v>1</v>
      </c>
      <c r="I340" s="210"/>
      <c r="J340" s="210"/>
    </row>
    <row r="341" spans="1:10" ht="13.8" x14ac:dyDescent="0.25">
      <c r="A341" s="7" t="s">
        <v>2229</v>
      </c>
      <c r="B341" s="152"/>
      <c r="C341" s="151" t="s">
        <v>4205</v>
      </c>
      <c r="D341" s="152">
        <v>35</v>
      </c>
      <c r="E341" s="152" t="s">
        <v>44</v>
      </c>
      <c r="F341" s="153">
        <v>730000</v>
      </c>
      <c r="G341" s="153">
        <f t="shared" si="11"/>
        <v>25550000</v>
      </c>
      <c r="H341" s="210" t="b">
        <f t="shared" si="10"/>
        <v>1</v>
      </c>
      <c r="I341" s="210"/>
      <c r="J341" s="210"/>
    </row>
    <row r="342" spans="1:10" ht="13.8" x14ac:dyDescent="0.25">
      <c r="A342" s="7" t="s">
        <v>2230</v>
      </c>
      <c r="B342" s="152"/>
      <c r="C342" s="151" t="s">
        <v>4206</v>
      </c>
      <c r="D342" s="152">
        <v>35</v>
      </c>
      <c r="E342" s="152" t="s">
        <v>44</v>
      </c>
      <c r="F342" s="153">
        <v>690000</v>
      </c>
      <c r="G342" s="153">
        <f t="shared" si="11"/>
        <v>24150000</v>
      </c>
      <c r="H342" s="210" t="b">
        <f t="shared" si="10"/>
        <v>1</v>
      </c>
      <c r="I342" s="210"/>
      <c r="J342" s="210"/>
    </row>
    <row r="343" spans="1:10" ht="13.8" x14ac:dyDescent="0.25">
      <c r="A343" s="7" t="s">
        <v>2231</v>
      </c>
      <c r="B343" s="152"/>
      <c r="C343" s="151" t="s">
        <v>4207</v>
      </c>
      <c r="D343" s="152">
        <v>3</v>
      </c>
      <c r="E343" s="152" t="s">
        <v>44</v>
      </c>
      <c r="F343" s="153">
        <v>3500000</v>
      </c>
      <c r="G343" s="153">
        <f t="shared" si="11"/>
        <v>10500000</v>
      </c>
      <c r="H343" s="210" t="b">
        <f t="shared" si="10"/>
        <v>1</v>
      </c>
      <c r="I343" s="210"/>
      <c r="J343" s="210"/>
    </row>
    <row r="344" spans="1:10" ht="13.8" x14ac:dyDescent="0.25">
      <c r="A344" s="7" t="s">
        <v>2232</v>
      </c>
      <c r="B344" s="152"/>
      <c r="C344" s="151" t="s">
        <v>4208</v>
      </c>
      <c r="D344" s="152">
        <v>6</v>
      </c>
      <c r="E344" s="152" t="s">
        <v>44</v>
      </c>
      <c r="F344" s="153">
        <v>470000</v>
      </c>
      <c r="G344" s="153">
        <f t="shared" si="11"/>
        <v>2820000</v>
      </c>
      <c r="H344" s="210" t="b">
        <f t="shared" si="10"/>
        <v>1</v>
      </c>
      <c r="I344" s="210"/>
      <c r="J344" s="210"/>
    </row>
    <row r="345" spans="1:10" ht="13.8" x14ac:dyDescent="0.25">
      <c r="A345" s="7" t="s">
        <v>2234</v>
      </c>
      <c r="B345" s="152"/>
      <c r="C345" s="151" t="s">
        <v>4209</v>
      </c>
      <c r="D345" s="152">
        <v>1</v>
      </c>
      <c r="E345" s="152" t="s">
        <v>60</v>
      </c>
      <c r="F345" s="153">
        <v>52250000</v>
      </c>
      <c r="G345" s="153">
        <f t="shared" si="11"/>
        <v>52250000</v>
      </c>
      <c r="H345" s="210" t="b">
        <f t="shared" si="10"/>
        <v>1</v>
      </c>
      <c r="I345" s="210"/>
      <c r="J345" s="210"/>
    </row>
    <row r="346" spans="1:10" ht="13.8" x14ac:dyDescent="0.25">
      <c r="A346" s="7" t="s">
        <v>2235</v>
      </c>
      <c r="B346" s="60">
        <v>523199</v>
      </c>
      <c r="C346" s="41" t="s">
        <v>102</v>
      </c>
      <c r="D346" s="60"/>
      <c r="E346" s="60"/>
      <c r="F346" s="42"/>
      <c r="G346" s="42">
        <f>G347</f>
        <v>36000000</v>
      </c>
      <c r="H346" s="210" t="b">
        <f t="shared" si="10"/>
        <v>1</v>
      </c>
      <c r="I346" s="210"/>
      <c r="J346" s="210"/>
    </row>
    <row r="347" spans="1:10" ht="13.8" x14ac:dyDescent="0.25">
      <c r="A347" s="7" t="s">
        <v>2236</v>
      </c>
      <c r="B347" s="152"/>
      <c r="C347" s="151" t="s">
        <v>4210</v>
      </c>
      <c r="D347" s="152">
        <v>24</v>
      </c>
      <c r="E347" s="152" t="s">
        <v>96</v>
      </c>
      <c r="F347" s="153">
        <v>1500000</v>
      </c>
      <c r="G347" s="153">
        <f>ROUNDDOWN(D347*F347,-3)</f>
        <v>36000000</v>
      </c>
      <c r="H347" s="210" t="b">
        <f t="shared" si="10"/>
        <v>1</v>
      </c>
      <c r="I347" s="210"/>
      <c r="J347" s="210"/>
    </row>
    <row r="348" spans="1:10" ht="13.8" x14ac:dyDescent="0.25">
      <c r="A348" s="7" t="s">
        <v>2238</v>
      </c>
      <c r="B348" s="59" t="s">
        <v>2239</v>
      </c>
      <c r="C348" s="38" t="s">
        <v>2240</v>
      </c>
      <c r="D348" s="59"/>
      <c r="E348" s="59"/>
      <c r="F348" s="39"/>
      <c r="G348" s="39">
        <f>SUM(G349,G352)</f>
        <v>159376000</v>
      </c>
      <c r="H348" s="210" t="b">
        <f t="shared" si="10"/>
        <v>1</v>
      </c>
      <c r="I348" s="210"/>
      <c r="J348" s="210"/>
    </row>
    <row r="349" spans="1:10" ht="13.8" x14ac:dyDescent="0.25">
      <c r="A349" s="7" t="s">
        <v>2241</v>
      </c>
      <c r="B349" s="60">
        <v>521111</v>
      </c>
      <c r="C349" s="41" t="s">
        <v>90</v>
      </c>
      <c r="D349" s="60"/>
      <c r="E349" s="60"/>
      <c r="F349" s="42"/>
      <c r="G349" s="42">
        <f>SUM(G350:G351)</f>
        <v>101040000</v>
      </c>
      <c r="H349" s="210" t="b">
        <f t="shared" si="10"/>
        <v>1</v>
      </c>
      <c r="I349" s="210"/>
      <c r="J349" s="210"/>
    </row>
    <row r="350" spans="1:10" s="212" customFormat="1" ht="13.8" x14ac:dyDescent="0.25">
      <c r="A350" s="211" t="s">
        <v>2242</v>
      </c>
      <c r="B350" s="152"/>
      <c r="C350" s="151" t="s">
        <v>4211</v>
      </c>
      <c r="D350" s="152">
        <v>100</v>
      </c>
      <c r="E350" s="152" t="s">
        <v>2244</v>
      </c>
      <c r="F350" s="153">
        <v>857000</v>
      </c>
      <c r="G350" s="153">
        <f>ROUNDDOWN(D350*F350,-3)</f>
        <v>85700000</v>
      </c>
      <c r="H350" s="210" t="b">
        <f t="shared" si="10"/>
        <v>1</v>
      </c>
      <c r="I350" s="210"/>
      <c r="J350" s="210"/>
    </row>
    <row r="351" spans="1:10" ht="13.8" x14ac:dyDescent="0.25">
      <c r="A351" s="7" t="s">
        <v>2245</v>
      </c>
      <c r="B351" s="152"/>
      <c r="C351" s="151" t="s">
        <v>4212</v>
      </c>
      <c r="D351" s="152">
        <v>26</v>
      </c>
      <c r="E351" s="152" t="s">
        <v>121</v>
      </c>
      <c r="F351" s="153">
        <v>590000</v>
      </c>
      <c r="G351" s="153">
        <f>ROUNDDOWN(D351*F351,-3)</f>
        <v>15340000</v>
      </c>
      <c r="H351" s="210" t="b">
        <f t="shared" si="10"/>
        <v>1</v>
      </c>
      <c r="I351" s="210"/>
      <c r="J351" s="210"/>
    </row>
    <row r="352" spans="1:10" ht="13.8" x14ac:dyDescent="0.25">
      <c r="A352" s="7" t="s">
        <v>2247</v>
      </c>
      <c r="B352" s="60">
        <v>521115</v>
      </c>
      <c r="C352" s="41" t="s">
        <v>104</v>
      </c>
      <c r="D352" s="60"/>
      <c r="E352" s="60"/>
      <c r="F352" s="42"/>
      <c r="G352" s="42">
        <f>SUM(G353:G362)</f>
        <v>58336000</v>
      </c>
      <c r="H352" s="210" t="b">
        <f t="shared" si="10"/>
        <v>1</v>
      </c>
      <c r="I352" s="210"/>
      <c r="J352" s="210"/>
    </row>
    <row r="353" spans="1:10" ht="13.8" x14ac:dyDescent="0.25">
      <c r="A353" s="7" t="s">
        <v>2248</v>
      </c>
      <c r="B353" s="152"/>
      <c r="C353" s="151" t="s">
        <v>4213</v>
      </c>
      <c r="D353" s="152">
        <v>12</v>
      </c>
      <c r="E353" s="152" t="s">
        <v>32</v>
      </c>
      <c r="F353" s="153">
        <v>2920000</v>
      </c>
      <c r="G353" s="153">
        <f t="shared" ref="G353:G362" si="12">ROUNDDOWN(D353*F353,-3)</f>
        <v>35040000</v>
      </c>
      <c r="H353" s="210" t="b">
        <f t="shared" si="10"/>
        <v>1</v>
      </c>
      <c r="I353" s="210"/>
      <c r="J353" s="210"/>
    </row>
    <row r="354" spans="1:10" ht="13.8" x14ac:dyDescent="0.25">
      <c r="A354" s="7" t="s">
        <v>2250</v>
      </c>
      <c r="B354" s="152"/>
      <c r="C354" s="151" t="s">
        <v>4214</v>
      </c>
      <c r="D354" s="152">
        <v>12</v>
      </c>
      <c r="E354" s="152" t="s">
        <v>32</v>
      </c>
      <c r="F354" s="153">
        <v>324000</v>
      </c>
      <c r="G354" s="153">
        <f t="shared" si="12"/>
        <v>3888000</v>
      </c>
      <c r="H354" s="210" t="b">
        <f t="shared" si="10"/>
        <v>1</v>
      </c>
      <c r="I354" s="210"/>
      <c r="J354" s="210"/>
    </row>
    <row r="355" spans="1:10" ht="13.8" x14ac:dyDescent="0.25">
      <c r="A355" s="7" t="s">
        <v>2252</v>
      </c>
      <c r="B355" s="152"/>
      <c r="C355" s="151" t="s">
        <v>4215</v>
      </c>
      <c r="D355" s="152">
        <v>12</v>
      </c>
      <c r="E355" s="152" t="s">
        <v>32</v>
      </c>
      <c r="F355" s="153">
        <v>324000</v>
      </c>
      <c r="G355" s="153">
        <f t="shared" si="12"/>
        <v>3888000</v>
      </c>
      <c r="H355" s="210" t="b">
        <f t="shared" si="10"/>
        <v>1</v>
      </c>
      <c r="I355" s="210"/>
      <c r="J355" s="210"/>
    </row>
    <row r="356" spans="1:10" s="212" customFormat="1" ht="13.8" x14ac:dyDescent="0.25">
      <c r="A356" s="211" t="s">
        <v>2254</v>
      </c>
      <c r="B356" s="152"/>
      <c r="C356" s="151" t="s">
        <v>4216</v>
      </c>
      <c r="D356" s="152">
        <v>12</v>
      </c>
      <c r="E356" s="152" t="s">
        <v>32</v>
      </c>
      <c r="F356" s="153">
        <v>680000</v>
      </c>
      <c r="G356" s="153">
        <f t="shared" si="12"/>
        <v>8160000</v>
      </c>
      <c r="H356" s="210" t="b">
        <f t="shared" si="10"/>
        <v>1</v>
      </c>
      <c r="I356" s="210"/>
      <c r="J356" s="210"/>
    </row>
    <row r="357" spans="1:10" ht="13.8" x14ac:dyDescent="0.25">
      <c r="A357" s="7" t="s">
        <v>2256</v>
      </c>
      <c r="B357" s="152"/>
      <c r="C357" s="151" t="s">
        <v>4217</v>
      </c>
      <c r="D357" s="152">
        <v>12</v>
      </c>
      <c r="E357" s="152" t="s">
        <v>32</v>
      </c>
      <c r="F357" s="153">
        <v>200000</v>
      </c>
      <c r="G357" s="153">
        <f t="shared" si="12"/>
        <v>2400000</v>
      </c>
      <c r="H357" s="210" t="b">
        <f t="shared" si="10"/>
        <v>1</v>
      </c>
      <c r="I357" s="210"/>
      <c r="J357" s="210"/>
    </row>
    <row r="358" spans="1:10" ht="13.8" x14ac:dyDescent="0.25">
      <c r="A358" s="7" t="s">
        <v>2258</v>
      </c>
      <c r="B358" s="152"/>
      <c r="C358" s="151" t="s">
        <v>4218</v>
      </c>
      <c r="D358" s="152">
        <v>12</v>
      </c>
      <c r="E358" s="152" t="s">
        <v>32</v>
      </c>
      <c r="F358" s="153">
        <v>80000</v>
      </c>
      <c r="G358" s="153">
        <f t="shared" si="12"/>
        <v>960000</v>
      </c>
      <c r="H358" s="210" t="b">
        <f t="shared" si="10"/>
        <v>1</v>
      </c>
      <c r="I358" s="210"/>
      <c r="J358" s="210"/>
    </row>
    <row r="359" spans="1:10" ht="13.8" x14ac:dyDescent="0.25">
      <c r="A359" s="7" t="s">
        <v>2260</v>
      </c>
      <c r="B359" s="152"/>
      <c r="C359" s="151" t="s">
        <v>4219</v>
      </c>
      <c r="D359" s="152">
        <v>12</v>
      </c>
      <c r="E359" s="152" t="s">
        <v>32</v>
      </c>
      <c r="F359" s="153">
        <v>200000</v>
      </c>
      <c r="G359" s="153">
        <f t="shared" si="12"/>
        <v>2400000</v>
      </c>
      <c r="H359" s="210" t="b">
        <f t="shared" si="10"/>
        <v>1</v>
      </c>
      <c r="I359" s="210"/>
      <c r="J359" s="210"/>
    </row>
    <row r="360" spans="1:10" ht="13.8" x14ac:dyDescent="0.25">
      <c r="A360" s="7" t="s">
        <v>2262</v>
      </c>
      <c r="B360" s="152"/>
      <c r="C360" s="151" t="s">
        <v>4220</v>
      </c>
      <c r="D360" s="152">
        <v>1</v>
      </c>
      <c r="E360" s="152" t="s">
        <v>776</v>
      </c>
      <c r="F360" s="153">
        <v>400000</v>
      </c>
      <c r="G360" s="153">
        <f t="shared" si="12"/>
        <v>400000</v>
      </c>
      <c r="H360" s="210" t="b">
        <f t="shared" si="10"/>
        <v>1</v>
      </c>
      <c r="I360" s="210"/>
      <c r="J360" s="210"/>
    </row>
    <row r="361" spans="1:10" s="212" customFormat="1" ht="13.8" x14ac:dyDescent="0.25">
      <c r="A361" s="211" t="s">
        <v>2264</v>
      </c>
      <c r="B361" s="152"/>
      <c r="C361" s="151" t="s">
        <v>4221</v>
      </c>
      <c r="D361" s="152">
        <v>1</v>
      </c>
      <c r="E361" s="152" t="s">
        <v>25</v>
      </c>
      <c r="F361" s="153">
        <v>300000</v>
      </c>
      <c r="G361" s="153">
        <f t="shared" si="12"/>
        <v>300000</v>
      </c>
      <c r="H361" s="210" t="b">
        <f t="shared" si="10"/>
        <v>1</v>
      </c>
      <c r="I361" s="210"/>
      <c r="J361" s="210"/>
    </row>
    <row r="362" spans="1:10" ht="13.8" x14ac:dyDescent="0.25">
      <c r="A362" s="7" t="s">
        <v>2266</v>
      </c>
      <c r="B362" s="152"/>
      <c r="C362" s="151" t="s">
        <v>4222</v>
      </c>
      <c r="D362" s="152">
        <v>3</v>
      </c>
      <c r="E362" s="152" t="s">
        <v>25</v>
      </c>
      <c r="F362" s="153">
        <v>300000</v>
      </c>
      <c r="G362" s="153">
        <f t="shared" si="12"/>
        <v>900000</v>
      </c>
      <c r="H362" s="210" t="b">
        <f t="shared" si="10"/>
        <v>1</v>
      </c>
      <c r="I362" s="210"/>
      <c r="J362" s="210"/>
    </row>
    <row r="363" spans="1:10" ht="13.8" x14ac:dyDescent="0.25">
      <c r="A363" s="7" t="s">
        <v>4223</v>
      </c>
      <c r="B363" s="59" t="s">
        <v>4224</v>
      </c>
      <c r="C363" s="38" t="s">
        <v>4225</v>
      </c>
      <c r="D363" s="59"/>
      <c r="E363" s="59"/>
      <c r="F363" s="39"/>
      <c r="G363" s="39">
        <f>SUM(G364,G369,G374)</f>
        <v>100000000</v>
      </c>
      <c r="H363" s="210" t="b">
        <f t="shared" si="10"/>
        <v>1</v>
      </c>
      <c r="I363" s="210"/>
      <c r="J363" s="210"/>
    </row>
    <row r="364" spans="1:10" ht="13.8" x14ac:dyDescent="0.25">
      <c r="A364" s="7" t="s">
        <v>4226</v>
      </c>
      <c r="B364" s="60">
        <v>521111</v>
      </c>
      <c r="C364" s="41" t="s">
        <v>90</v>
      </c>
      <c r="D364" s="60"/>
      <c r="E364" s="60"/>
      <c r="F364" s="42"/>
      <c r="G364" s="42">
        <f>SUM(G365:G368)</f>
        <v>45000000</v>
      </c>
      <c r="H364" s="210" t="b">
        <f t="shared" si="10"/>
        <v>1</v>
      </c>
      <c r="I364" s="210"/>
      <c r="J364" s="210"/>
    </row>
    <row r="365" spans="1:10" ht="13.8" x14ac:dyDescent="0.25">
      <c r="A365" s="7" t="s">
        <v>4227</v>
      </c>
      <c r="B365" s="152"/>
      <c r="C365" s="151" t="s">
        <v>4228</v>
      </c>
      <c r="D365" s="152">
        <v>1</v>
      </c>
      <c r="E365" s="152" t="s">
        <v>60</v>
      </c>
      <c r="F365" s="153">
        <v>3000000</v>
      </c>
      <c r="G365" s="153">
        <f>ROUNDDOWN(D365*F365,-3)</f>
        <v>3000000</v>
      </c>
      <c r="H365" s="210" t="b">
        <f t="shared" si="10"/>
        <v>1</v>
      </c>
      <c r="I365" s="210"/>
      <c r="J365" s="210"/>
    </row>
    <row r="366" spans="1:10" s="212" customFormat="1" ht="13.8" x14ac:dyDescent="0.25">
      <c r="A366" s="211" t="s">
        <v>4229</v>
      </c>
      <c r="B366" s="152"/>
      <c r="C366" s="151" t="s">
        <v>4230</v>
      </c>
      <c r="D366" s="152">
        <v>48</v>
      </c>
      <c r="E366" s="152" t="s">
        <v>58</v>
      </c>
      <c r="F366" s="153">
        <v>500000</v>
      </c>
      <c r="G366" s="153">
        <f>ROUNDDOWN(D366*F366,-3)</f>
        <v>24000000</v>
      </c>
      <c r="H366" s="210" t="b">
        <f t="shared" si="10"/>
        <v>1</v>
      </c>
      <c r="I366" s="210"/>
      <c r="J366" s="210"/>
    </row>
    <row r="367" spans="1:10" ht="13.8" x14ac:dyDescent="0.25">
      <c r="A367" s="7" t="s">
        <v>4231</v>
      </c>
      <c r="B367" s="152"/>
      <c r="C367" s="151" t="s">
        <v>4232</v>
      </c>
      <c r="D367" s="152">
        <v>12</v>
      </c>
      <c r="E367" s="152" t="s">
        <v>78</v>
      </c>
      <c r="F367" s="153">
        <v>500000</v>
      </c>
      <c r="G367" s="153">
        <f>ROUNDDOWN(D367*F367,-3)</f>
        <v>6000000</v>
      </c>
      <c r="H367" s="210" t="b">
        <f t="shared" si="10"/>
        <v>1</v>
      </c>
      <c r="I367" s="210"/>
      <c r="J367" s="210"/>
    </row>
    <row r="368" spans="1:10" ht="13.8" x14ac:dyDescent="0.25">
      <c r="A368" s="7" t="s">
        <v>4233</v>
      </c>
      <c r="B368" s="152"/>
      <c r="C368" s="151" t="s">
        <v>4234</v>
      </c>
      <c r="D368" s="152">
        <v>60</v>
      </c>
      <c r="E368" s="152" t="s">
        <v>116</v>
      </c>
      <c r="F368" s="153">
        <v>200000</v>
      </c>
      <c r="G368" s="153">
        <f>ROUNDDOWN(D368*F368,-3)</f>
        <v>12000000</v>
      </c>
      <c r="H368" s="210" t="b">
        <f t="shared" si="10"/>
        <v>1</v>
      </c>
      <c r="I368" s="210"/>
      <c r="J368" s="210"/>
    </row>
    <row r="369" spans="1:10" ht="13.8" x14ac:dyDescent="0.25">
      <c r="A369" s="7" t="s">
        <v>4235</v>
      </c>
      <c r="B369" s="60">
        <v>521811</v>
      </c>
      <c r="C369" s="41" t="s">
        <v>64</v>
      </c>
      <c r="D369" s="60"/>
      <c r="E369" s="60"/>
      <c r="F369" s="42"/>
      <c r="G369" s="42">
        <f>SUM(G370:G373)</f>
        <v>26000000</v>
      </c>
      <c r="H369" s="210" t="b">
        <f t="shared" si="10"/>
        <v>1</v>
      </c>
      <c r="I369" s="210"/>
      <c r="J369" s="210"/>
    </row>
    <row r="370" spans="1:10" ht="13.8" x14ac:dyDescent="0.25">
      <c r="A370" s="7" t="s">
        <v>4236</v>
      </c>
      <c r="B370" s="152"/>
      <c r="C370" s="151" t="s">
        <v>3625</v>
      </c>
      <c r="D370" s="152">
        <v>8</v>
      </c>
      <c r="E370" s="152" t="s">
        <v>9</v>
      </c>
      <c r="F370" s="153">
        <v>1000000</v>
      </c>
      <c r="G370" s="153">
        <f>ROUNDDOWN(D370*F370,-3)</f>
        <v>8000000</v>
      </c>
      <c r="H370" s="210" t="b">
        <f t="shared" si="10"/>
        <v>1</v>
      </c>
      <c r="I370" s="210"/>
      <c r="J370" s="210"/>
    </row>
    <row r="371" spans="1:10" ht="13.8" x14ac:dyDescent="0.25">
      <c r="A371" s="7" t="s">
        <v>4237</v>
      </c>
      <c r="B371" s="152"/>
      <c r="C371" s="151" t="s">
        <v>3626</v>
      </c>
      <c r="D371" s="152">
        <v>8</v>
      </c>
      <c r="E371" s="152" t="s">
        <v>9</v>
      </c>
      <c r="F371" s="153">
        <v>1500000</v>
      </c>
      <c r="G371" s="153">
        <f>ROUNDDOWN(D371*F371,-3)</f>
        <v>12000000</v>
      </c>
      <c r="H371" s="210" t="b">
        <f t="shared" si="10"/>
        <v>1</v>
      </c>
      <c r="I371" s="210"/>
      <c r="J371" s="210"/>
    </row>
    <row r="372" spans="1:10" ht="13.8" x14ac:dyDescent="0.25">
      <c r="A372" s="7" t="s">
        <v>4238</v>
      </c>
      <c r="B372" s="152"/>
      <c r="C372" s="151" t="s">
        <v>4239</v>
      </c>
      <c r="D372" s="152">
        <v>200</v>
      </c>
      <c r="E372" s="152" t="s">
        <v>120</v>
      </c>
      <c r="F372" s="153">
        <v>5000</v>
      </c>
      <c r="G372" s="153">
        <f>ROUNDDOWN(D372*F372,-3)</f>
        <v>1000000</v>
      </c>
      <c r="H372" s="210" t="b">
        <f t="shared" si="10"/>
        <v>1</v>
      </c>
      <c r="I372" s="210"/>
      <c r="J372" s="210"/>
    </row>
    <row r="373" spans="1:10" s="212" customFormat="1" ht="13.8" x14ac:dyDescent="0.25">
      <c r="A373" s="211" t="s">
        <v>4240</v>
      </c>
      <c r="B373" s="152"/>
      <c r="C373" s="151" t="s">
        <v>4241</v>
      </c>
      <c r="D373" s="152">
        <v>200</v>
      </c>
      <c r="E373" s="152" t="s">
        <v>120</v>
      </c>
      <c r="F373" s="153">
        <v>25000</v>
      </c>
      <c r="G373" s="153">
        <f>ROUNDDOWN(D373*F373,-3)</f>
        <v>5000000</v>
      </c>
      <c r="H373" s="210" t="b">
        <f t="shared" si="10"/>
        <v>1</v>
      </c>
      <c r="I373" s="210"/>
      <c r="J373" s="210"/>
    </row>
    <row r="374" spans="1:10" ht="13.8" x14ac:dyDescent="0.25">
      <c r="A374" s="7" t="s">
        <v>4242</v>
      </c>
      <c r="B374" s="60">
        <v>523121</v>
      </c>
      <c r="C374" s="41" t="s">
        <v>99</v>
      </c>
      <c r="D374" s="60"/>
      <c r="E374" s="60"/>
      <c r="F374" s="42"/>
      <c r="G374" s="42">
        <f>SUM(G375:G379)</f>
        <v>29000000</v>
      </c>
      <c r="H374" s="210" t="b">
        <f t="shared" si="10"/>
        <v>1</v>
      </c>
      <c r="I374" s="210"/>
      <c r="J374" s="210"/>
    </row>
    <row r="375" spans="1:10" s="212" customFormat="1" ht="13.8" x14ac:dyDescent="0.25">
      <c r="A375" s="211" t="s">
        <v>4243</v>
      </c>
      <c r="B375" s="152"/>
      <c r="C375" s="151" t="s">
        <v>4244</v>
      </c>
      <c r="D375" s="152">
        <v>1</v>
      </c>
      <c r="E375" s="152" t="s">
        <v>42</v>
      </c>
      <c r="F375" s="153">
        <v>7200000</v>
      </c>
      <c r="G375" s="153">
        <f>ROUNDDOWN(D375*F375,-3)</f>
        <v>7200000</v>
      </c>
      <c r="H375" s="210" t="b">
        <f t="shared" si="10"/>
        <v>1</v>
      </c>
      <c r="I375" s="210"/>
      <c r="J375" s="210"/>
    </row>
    <row r="376" spans="1:10" ht="13.8" x14ac:dyDescent="0.25">
      <c r="A376" s="7" t="s">
        <v>4245</v>
      </c>
      <c r="B376" s="152"/>
      <c r="C376" s="151" t="s">
        <v>4246</v>
      </c>
      <c r="D376" s="152">
        <v>10</v>
      </c>
      <c r="E376" s="152" t="s">
        <v>42</v>
      </c>
      <c r="F376" s="153">
        <v>730000</v>
      </c>
      <c r="G376" s="153">
        <f>ROUNDDOWN(D376*F376,-3)</f>
        <v>7300000</v>
      </c>
      <c r="H376" s="210" t="b">
        <f t="shared" si="10"/>
        <v>1</v>
      </c>
      <c r="I376" s="210"/>
      <c r="J376" s="210"/>
    </row>
    <row r="377" spans="1:10" ht="13.8" x14ac:dyDescent="0.25">
      <c r="A377" s="7" t="s">
        <v>4247</v>
      </c>
      <c r="B377" s="152"/>
      <c r="C377" s="151" t="s">
        <v>4248</v>
      </c>
      <c r="D377" s="152">
        <v>10</v>
      </c>
      <c r="E377" s="152" t="s">
        <v>44</v>
      </c>
      <c r="F377" s="153">
        <v>730000</v>
      </c>
      <c r="G377" s="153">
        <f>ROUNDDOWN(D377*F377,-3)</f>
        <v>7300000</v>
      </c>
      <c r="H377" s="210" t="b">
        <f t="shared" si="10"/>
        <v>1</v>
      </c>
      <c r="I377" s="210"/>
      <c r="J377" s="210"/>
    </row>
    <row r="378" spans="1:10" ht="13.8" x14ac:dyDescent="0.25">
      <c r="A378" s="7" t="s">
        <v>4249</v>
      </c>
      <c r="B378" s="152"/>
      <c r="C378" s="151" t="s">
        <v>4250</v>
      </c>
      <c r="D378" s="152">
        <v>10</v>
      </c>
      <c r="E378" s="152" t="s">
        <v>44</v>
      </c>
      <c r="F378" s="153">
        <v>690000</v>
      </c>
      <c r="G378" s="153">
        <f>ROUNDDOWN(D378*F378,-3)</f>
        <v>6900000</v>
      </c>
      <c r="H378" s="210" t="b">
        <f t="shared" si="10"/>
        <v>1</v>
      </c>
      <c r="I378" s="210"/>
      <c r="J378" s="210"/>
    </row>
    <row r="379" spans="1:10" ht="13.8" x14ac:dyDescent="0.25">
      <c r="A379" s="7" t="s">
        <v>4251</v>
      </c>
      <c r="B379" s="152"/>
      <c r="C379" s="151" t="s">
        <v>4252</v>
      </c>
      <c r="D379" s="152">
        <v>1</v>
      </c>
      <c r="E379" s="152" t="s">
        <v>60</v>
      </c>
      <c r="F379" s="153">
        <v>300000</v>
      </c>
      <c r="G379" s="153">
        <f>ROUNDDOWN(D379*F379,-3)</f>
        <v>300000</v>
      </c>
      <c r="H379" s="210" t="b">
        <f t="shared" si="10"/>
        <v>1</v>
      </c>
      <c r="I379" s="210"/>
      <c r="J379" s="210"/>
    </row>
    <row r="380" spans="1:10" ht="13.8" x14ac:dyDescent="0.25">
      <c r="A380" s="7" t="s">
        <v>2268</v>
      </c>
      <c r="B380" s="135" t="s">
        <v>2269</v>
      </c>
      <c r="C380" s="133" t="s">
        <v>2270</v>
      </c>
      <c r="D380" s="135">
        <v>2</v>
      </c>
      <c r="E380" s="135" t="s">
        <v>42</v>
      </c>
      <c r="F380" s="136"/>
      <c r="G380" s="136">
        <f>G381</f>
        <v>540934000</v>
      </c>
      <c r="H380" s="210" t="b">
        <f t="shared" si="10"/>
        <v>1</v>
      </c>
      <c r="I380" s="210"/>
      <c r="J380" s="210"/>
    </row>
    <row r="381" spans="1:10" ht="13.8" x14ac:dyDescent="0.25">
      <c r="A381" s="7" t="s">
        <v>2271</v>
      </c>
      <c r="B381" s="138" t="s">
        <v>4253</v>
      </c>
      <c r="C381" s="137" t="s">
        <v>2273</v>
      </c>
      <c r="D381" s="138">
        <v>1</v>
      </c>
      <c r="E381" s="138" t="s">
        <v>42</v>
      </c>
      <c r="F381" s="139"/>
      <c r="G381" s="139">
        <f>G382</f>
        <v>540934000</v>
      </c>
      <c r="H381" s="210" t="b">
        <f t="shared" si="10"/>
        <v>1</v>
      </c>
      <c r="I381" s="210"/>
      <c r="J381" s="210"/>
    </row>
    <row r="382" spans="1:10" ht="13.8" x14ac:dyDescent="0.25">
      <c r="A382" s="7" t="s">
        <v>2289</v>
      </c>
      <c r="B382" s="58">
        <v>301</v>
      </c>
      <c r="C382" s="35" t="s">
        <v>2290</v>
      </c>
      <c r="D382" s="58"/>
      <c r="E382" s="58"/>
      <c r="F382" s="36"/>
      <c r="G382" s="36">
        <f>G383</f>
        <v>540934000</v>
      </c>
      <c r="H382" s="210" t="b">
        <f t="shared" si="10"/>
        <v>1</v>
      </c>
      <c r="I382" s="210"/>
      <c r="J382" s="210"/>
    </row>
    <row r="383" spans="1:10" ht="13.8" x14ac:dyDescent="0.25">
      <c r="A383" s="7" t="s">
        <v>2291</v>
      </c>
      <c r="B383" s="59" t="s">
        <v>8</v>
      </c>
      <c r="C383" s="38" t="s">
        <v>2292</v>
      </c>
      <c r="D383" s="59"/>
      <c r="E383" s="59"/>
      <c r="F383" s="39"/>
      <c r="G383" s="39">
        <f>G384</f>
        <v>540934000</v>
      </c>
      <c r="H383" s="210" t="b">
        <f t="shared" si="10"/>
        <v>1</v>
      </c>
      <c r="I383" s="210"/>
      <c r="J383" s="210"/>
    </row>
    <row r="384" spans="1:10" ht="13.8" x14ac:dyDescent="0.25">
      <c r="A384" s="7" t="s">
        <v>2293</v>
      </c>
      <c r="B384" s="60">
        <v>532111</v>
      </c>
      <c r="C384" s="41" t="s">
        <v>43</v>
      </c>
      <c r="D384" s="60"/>
      <c r="E384" s="60"/>
      <c r="F384" s="42"/>
      <c r="G384" s="42">
        <f>G385</f>
        <v>540934000</v>
      </c>
      <c r="H384" s="210" t="b">
        <f t="shared" si="10"/>
        <v>1</v>
      </c>
      <c r="I384" s="210"/>
      <c r="J384" s="210"/>
    </row>
    <row r="385" spans="1:10" ht="13.8" x14ac:dyDescent="0.25">
      <c r="A385" s="7" t="s">
        <v>2294</v>
      </c>
      <c r="B385" s="152"/>
      <c r="C385" s="151" t="s">
        <v>4258</v>
      </c>
      <c r="D385" s="152">
        <v>1</v>
      </c>
      <c r="E385" s="152" t="s">
        <v>42</v>
      </c>
      <c r="F385" s="153">
        <v>540934000</v>
      </c>
      <c r="G385" s="153">
        <f>ROUNDDOWN(D385*F385,-3)</f>
        <v>540934000</v>
      </c>
      <c r="H385" s="210" t="b">
        <f t="shared" si="10"/>
        <v>1</v>
      </c>
      <c r="I385" s="210"/>
      <c r="J385" s="210"/>
    </row>
    <row r="386" spans="1:10" ht="13.8" x14ac:dyDescent="0.25">
      <c r="A386" s="7" t="s">
        <v>2465</v>
      </c>
      <c r="B386" s="135" t="s">
        <v>2466</v>
      </c>
      <c r="C386" s="133" t="s">
        <v>2467</v>
      </c>
      <c r="D386" s="135">
        <v>5</v>
      </c>
      <c r="E386" s="135" t="s">
        <v>4315</v>
      </c>
      <c r="F386" s="136"/>
      <c r="G386" s="136">
        <f>SUM(G387,G427,G469)</f>
        <v>1538790000</v>
      </c>
      <c r="H386" s="210" t="b">
        <f t="shared" si="10"/>
        <v>1</v>
      </c>
      <c r="I386" s="210"/>
      <c r="J386" s="210"/>
    </row>
    <row r="387" spans="1:10" ht="13.8" x14ac:dyDescent="0.25">
      <c r="A387" s="7" t="s">
        <v>2468</v>
      </c>
      <c r="B387" s="138" t="s">
        <v>4316</v>
      </c>
      <c r="C387" s="137" t="s">
        <v>2470</v>
      </c>
      <c r="D387" s="138">
        <v>1</v>
      </c>
      <c r="E387" s="138" t="s">
        <v>4315</v>
      </c>
      <c r="F387" s="139"/>
      <c r="G387" s="139">
        <f>G388</f>
        <v>615138000</v>
      </c>
      <c r="H387" s="210" t="b">
        <f t="shared" si="10"/>
        <v>1</v>
      </c>
      <c r="I387" s="210"/>
      <c r="J387" s="210"/>
    </row>
    <row r="388" spans="1:10" ht="13.8" x14ac:dyDescent="0.25">
      <c r="A388" s="7" t="s">
        <v>2739</v>
      </c>
      <c r="B388" s="58">
        <v>301</v>
      </c>
      <c r="C388" s="35" t="s">
        <v>2740</v>
      </c>
      <c r="D388" s="58"/>
      <c r="E388" s="58"/>
      <c r="F388" s="36"/>
      <c r="G388" s="36">
        <f>SUM(G389,G401,G415)</f>
        <v>615138000</v>
      </c>
      <c r="H388" s="210" t="b">
        <f t="shared" si="10"/>
        <v>1</v>
      </c>
      <c r="I388" s="210"/>
      <c r="J388" s="210"/>
    </row>
    <row r="389" spans="1:10" ht="13.8" x14ac:dyDescent="0.25">
      <c r="A389" s="7" t="s">
        <v>2741</v>
      </c>
      <c r="B389" s="59" t="s">
        <v>8</v>
      </c>
      <c r="C389" s="38" t="s">
        <v>129</v>
      </c>
      <c r="D389" s="59"/>
      <c r="E389" s="59"/>
      <c r="F389" s="39"/>
      <c r="G389" s="39">
        <f>SUM(G390,G394,G396,G399)</f>
        <v>101050000</v>
      </c>
      <c r="H389" s="210" t="b">
        <f t="shared" si="10"/>
        <v>1</v>
      </c>
      <c r="I389" s="210"/>
      <c r="J389" s="210"/>
    </row>
    <row r="390" spans="1:10" ht="13.8" x14ac:dyDescent="0.25">
      <c r="A390" s="7" t="s">
        <v>2742</v>
      </c>
      <c r="B390" s="60">
        <v>521211</v>
      </c>
      <c r="C390" s="41" t="s">
        <v>7</v>
      </c>
      <c r="D390" s="60"/>
      <c r="E390" s="60"/>
      <c r="F390" s="42"/>
      <c r="G390" s="42">
        <f>SUM(G391:G393)</f>
        <v>22650000</v>
      </c>
      <c r="H390" s="210" t="b">
        <f t="shared" si="10"/>
        <v>1</v>
      </c>
      <c r="I390" s="210"/>
      <c r="J390" s="210"/>
    </row>
    <row r="391" spans="1:10" ht="13.8" x14ac:dyDescent="0.25">
      <c r="A391" s="7" t="s">
        <v>2743</v>
      </c>
      <c r="B391" s="152"/>
      <c r="C391" s="151" t="s">
        <v>3598</v>
      </c>
      <c r="D391" s="152">
        <v>6</v>
      </c>
      <c r="E391" s="152" t="s">
        <v>9</v>
      </c>
      <c r="F391" s="153">
        <v>1500000</v>
      </c>
      <c r="G391" s="153">
        <f>ROUNDDOWN(D391*F391,-3)</f>
        <v>9000000</v>
      </c>
      <c r="H391" s="210" t="b">
        <f t="shared" si="10"/>
        <v>1</v>
      </c>
      <c r="I391" s="210"/>
      <c r="J391" s="210"/>
    </row>
    <row r="392" spans="1:10" ht="13.8" x14ac:dyDescent="0.25">
      <c r="A392" s="7" t="s">
        <v>2744</v>
      </c>
      <c r="B392" s="152"/>
      <c r="C392" s="151" t="s">
        <v>4420</v>
      </c>
      <c r="D392" s="152">
        <v>70</v>
      </c>
      <c r="E392" s="152" t="s">
        <v>10</v>
      </c>
      <c r="F392" s="153">
        <v>70000</v>
      </c>
      <c r="G392" s="153">
        <f>ROUNDDOWN(D392*F392,-3)</f>
        <v>4900000</v>
      </c>
      <c r="H392" s="210" t="b">
        <f t="shared" si="10"/>
        <v>1</v>
      </c>
      <c r="I392" s="210"/>
      <c r="J392" s="210"/>
    </row>
    <row r="393" spans="1:10" ht="13.8" x14ac:dyDescent="0.25">
      <c r="A393" s="7" t="s">
        <v>2746</v>
      </c>
      <c r="B393" s="152"/>
      <c r="C393" s="151" t="s">
        <v>4421</v>
      </c>
      <c r="D393" s="152">
        <v>25</v>
      </c>
      <c r="E393" s="152" t="s">
        <v>176</v>
      </c>
      <c r="F393" s="153">
        <v>350000</v>
      </c>
      <c r="G393" s="153">
        <f>ROUNDDOWN(D393*F393,-3)</f>
        <v>8750000</v>
      </c>
      <c r="H393" s="210" t="b">
        <f t="shared" si="10"/>
        <v>1</v>
      </c>
      <c r="I393" s="210"/>
      <c r="J393" s="210"/>
    </row>
    <row r="394" spans="1:10" ht="13.8" x14ac:dyDescent="0.25">
      <c r="A394" s="7" t="s">
        <v>2747</v>
      </c>
      <c r="B394" s="60">
        <v>521219</v>
      </c>
      <c r="C394" s="41" t="s">
        <v>53</v>
      </c>
      <c r="D394" s="60"/>
      <c r="E394" s="60"/>
      <c r="F394" s="42"/>
      <c r="G394" s="42">
        <f>G395</f>
        <v>1000000</v>
      </c>
      <c r="H394" s="210" t="b">
        <f t="shared" si="10"/>
        <v>1</v>
      </c>
      <c r="I394" s="210"/>
      <c r="J394" s="210"/>
    </row>
    <row r="395" spans="1:10" ht="13.8" x14ac:dyDescent="0.25">
      <c r="A395" s="7" t="s">
        <v>2748</v>
      </c>
      <c r="B395" s="152"/>
      <c r="C395" s="151" t="s">
        <v>3722</v>
      </c>
      <c r="D395" s="152">
        <v>4</v>
      </c>
      <c r="E395" s="152" t="s">
        <v>2749</v>
      </c>
      <c r="F395" s="153">
        <v>250000</v>
      </c>
      <c r="G395" s="153">
        <f>ROUNDDOWN(D395*F395,-3)</f>
        <v>1000000</v>
      </c>
      <c r="H395" s="210" t="b">
        <f t="shared" si="10"/>
        <v>1</v>
      </c>
      <c r="I395" s="210"/>
      <c r="J395" s="210"/>
    </row>
    <row r="396" spans="1:10" ht="13.8" x14ac:dyDescent="0.25">
      <c r="A396" s="7" t="s">
        <v>2750</v>
      </c>
      <c r="B396" s="60">
        <v>521811</v>
      </c>
      <c r="C396" s="41" t="s">
        <v>64</v>
      </c>
      <c r="D396" s="60"/>
      <c r="E396" s="60"/>
      <c r="F396" s="42"/>
      <c r="G396" s="42">
        <f>SUM(G397:G398)</f>
        <v>15000000</v>
      </c>
      <c r="H396" s="210" t="b">
        <f t="shared" si="10"/>
        <v>1</v>
      </c>
      <c r="I396" s="210"/>
      <c r="J396" s="210"/>
    </row>
    <row r="397" spans="1:10" ht="13.8" x14ac:dyDescent="0.25">
      <c r="A397" s="7" t="s">
        <v>2751</v>
      </c>
      <c r="B397" s="152"/>
      <c r="C397" s="151" t="s">
        <v>3625</v>
      </c>
      <c r="D397" s="152">
        <v>6</v>
      </c>
      <c r="E397" s="152" t="s">
        <v>106</v>
      </c>
      <c r="F397" s="153">
        <v>1000000</v>
      </c>
      <c r="G397" s="153">
        <f>ROUNDDOWN(D397*F397,-3)</f>
        <v>6000000</v>
      </c>
      <c r="H397" s="210" t="b">
        <f t="shared" si="10"/>
        <v>1</v>
      </c>
      <c r="I397" s="210"/>
      <c r="J397" s="210"/>
    </row>
    <row r="398" spans="1:10" ht="13.8" x14ac:dyDescent="0.25">
      <c r="A398" s="7" t="s">
        <v>2752</v>
      </c>
      <c r="B398" s="152"/>
      <c r="C398" s="151" t="s">
        <v>3626</v>
      </c>
      <c r="D398" s="152">
        <v>6</v>
      </c>
      <c r="E398" s="152" t="s">
        <v>106</v>
      </c>
      <c r="F398" s="153">
        <v>1500000</v>
      </c>
      <c r="G398" s="153">
        <f>ROUNDDOWN(D398*F398,-3)</f>
        <v>9000000</v>
      </c>
      <c r="H398" s="210" t="b">
        <f t="shared" ref="H398:H461" si="13">_xlfn.ISFORMULA(G398)</f>
        <v>1</v>
      </c>
      <c r="I398" s="210"/>
      <c r="J398" s="210"/>
    </row>
    <row r="399" spans="1:10" ht="13.8" x14ac:dyDescent="0.25">
      <c r="A399" s="7" t="s">
        <v>2753</v>
      </c>
      <c r="B399" s="60">
        <v>524111</v>
      </c>
      <c r="C399" s="41" t="s">
        <v>19</v>
      </c>
      <c r="D399" s="60"/>
      <c r="E399" s="60"/>
      <c r="F399" s="42"/>
      <c r="G399" s="42">
        <f>G400</f>
        <v>62400000</v>
      </c>
      <c r="H399" s="210" t="b">
        <f t="shared" si="13"/>
        <v>1</v>
      </c>
      <c r="I399" s="210"/>
      <c r="J399" s="210"/>
    </row>
    <row r="400" spans="1:10" ht="13.8" x14ac:dyDescent="0.25">
      <c r="A400" s="7" t="s">
        <v>2754</v>
      </c>
      <c r="B400" s="152"/>
      <c r="C400" s="151" t="s">
        <v>4422</v>
      </c>
      <c r="D400" s="152">
        <v>12</v>
      </c>
      <c r="E400" s="152" t="s">
        <v>10</v>
      </c>
      <c r="F400" s="153">
        <v>5200000</v>
      </c>
      <c r="G400" s="153">
        <f>ROUNDDOWN(D400*F400,-3)</f>
        <v>62400000</v>
      </c>
      <c r="H400" s="210" t="b">
        <f t="shared" si="13"/>
        <v>1</v>
      </c>
      <c r="I400" s="210"/>
      <c r="J400" s="210"/>
    </row>
    <row r="401" spans="1:10" ht="13.8" x14ac:dyDescent="0.25">
      <c r="A401" s="7" t="s">
        <v>2756</v>
      </c>
      <c r="B401" s="59" t="s">
        <v>511</v>
      </c>
      <c r="C401" s="38" t="s">
        <v>130</v>
      </c>
      <c r="D401" s="59"/>
      <c r="E401" s="59"/>
      <c r="F401" s="39"/>
      <c r="G401" s="39">
        <f>SUM(G402,G406,G408,G411,G413)</f>
        <v>345988000</v>
      </c>
      <c r="H401" s="210" t="b">
        <f t="shared" si="13"/>
        <v>1</v>
      </c>
      <c r="I401" s="210"/>
      <c r="J401" s="210"/>
    </row>
    <row r="402" spans="1:10" ht="13.8" x14ac:dyDescent="0.25">
      <c r="A402" s="7" t="s">
        <v>2757</v>
      </c>
      <c r="B402" s="60">
        <v>521211</v>
      </c>
      <c r="C402" s="41" t="s">
        <v>7</v>
      </c>
      <c r="D402" s="60"/>
      <c r="E402" s="60"/>
      <c r="F402" s="42"/>
      <c r="G402" s="42">
        <f>SUM(G403:G405)</f>
        <v>49300000</v>
      </c>
      <c r="H402" s="210" t="b">
        <f t="shared" si="13"/>
        <v>1</v>
      </c>
      <c r="I402" s="210"/>
      <c r="J402" s="210"/>
    </row>
    <row r="403" spans="1:10" ht="13.8" x14ac:dyDescent="0.25">
      <c r="A403" s="7" t="s">
        <v>2758</v>
      </c>
      <c r="B403" s="152"/>
      <c r="C403" s="151" t="s">
        <v>3598</v>
      </c>
      <c r="D403" s="152">
        <v>10</v>
      </c>
      <c r="E403" s="152" t="s">
        <v>9</v>
      </c>
      <c r="F403" s="153">
        <v>1500000</v>
      </c>
      <c r="G403" s="153">
        <f>ROUNDDOWN(D403*F403,-3)</f>
        <v>15000000</v>
      </c>
      <c r="H403" s="210" t="b">
        <f t="shared" si="13"/>
        <v>1</v>
      </c>
      <c r="I403" s="210"/>
      <c r="J403" s="210"/>
    </row>
    <row r="404" spans="1:10" ht="13.8" x14ac:dyDescent="0.25">
      <c r="A404" s="7" t="s">
        <v>2759</v>
      </c>
      <c r="B404" s="152"/>
      <c r="C404" s="151" t="s">
        <v>4420</v>
      </c>
      <c r="D404" s="152">
        <v>290</v>
      </c>
      <c r="E404" s="152" t="s">
        <v>10</v>
      </c>
      <c r="F404" s="153">
        <v>70000</v>
      </c>
      <c r="G404" s="153">
        <f>ROUNDDOWN(D404*F404,-3)</f>
        <v>20300000</v>
      </c>
      <c r="H404" s="210" t="b">
        <f t="shared" si="13"/>
        <v>1</v>
      </c>
      <c r="I404" s="210"/>
      <c r="J404" s="210"/>
    </row>
    <row r="405" spans="1:10" ht="13.8" x14ac:dyDescent="0.25">
      <c r="A405" s="7" t="s">
        <v>2760</v>
      </c>
      <c r="B405" s="152"/>
      <c r="C405" s="151" t="s">
        <v>4421</v>
      </c>
      <c r="D405" s="152">
        <v>40</v>
      </c>
      <c r="E405" s="152" t="s">
        <v>176</v>
      </c>
      <c r="F405" s="153">
        <v>350000</v>
      </c>
      <c r="G405" s="153">
        <f>ROUNDDOWN(D405*F405,-3)</f>
        <v>14000000</v>
      </c>
      <c r="H405" s="210" t="b">
        <f t="shared" si="13"/>
        <v>1</v>
      </c>
      <c r="I405" s="210"/>
      <c r="J405" s="210"/>
    </row>
    <row r="406" spans="1:10" ht="13.8" x14ac:dyDescent="0.25">
      <c r="A406" s="7" t="s">
        <v>2761</v>
      </c>
      <c r="B406" s="60">
        <v>521219</v>
      </c>
      <c r="C406" s="41" t="s">
        <v>53</v>
      </c>
      <c r="D406" s="60"/>
      <c r="E406" s="60"/>
      <c r="F406" s="42"/>
      <c r="G406" s="42">
        <f>G407</f>
        <v>1000000</v>
      </c>
      <c r="H406" s="210" t="b">
        <f t="shared" si="13"/>
        <v>1</v>
      </c>
      <c r="I406" s="210"/>
      <c r="J406" s="210"/>
    </row>
    <row r="407" spans="1:10" ht="13.8" x14ac:dyDescent="0.25">
      <c r="A407" s="7" t="s">
        <v>2762</v>
      </c>
      <c r="B407" s="152"/>
      <c r="C407" s="151" t="s">
        <v>3722</v>
      </c>
      <c r="D407" s="152">
        <v>4</v>
      </c>
      <c r="E407" s="152" t="s">
        <v>9</v>
      </c>
      <c r="F407" s="153">
        <v>250000</v>
      </c>
      <c r="G407" s="153">
        <f>ROUNDDOWN(D407*F407,-3)</f>
        <v>1000000</v>
      </c>
      <c r="H407" s="210" t="b">
        <f t="shared" si="13"/>
        <v>1</v>
      </c>
      <c r="I407" s="210"/>
      <c r="J407" s="210"/>
    </row>
    <row r="408" spans="1:10" ht="13.8" x14ac:dyDescent="0.25">
      <c r="A408" s="7" t="s">
        <v>2763</v>
      </c>
      <c r="B408" s="60">
        <v>521811</v>
      </c>
      <c r="C408" s="41" t="s">
        <v>64</v>
      </c>
      <c r="D408" s="60"/>
      <c r="E408" s="60"/>
      <c r="F408" s="42"/>
      <c r="G408" s="42">
        <f>SUM(G409:G410)</f>
        <v>25000000</v>
      </c>
      <c r="H408" s="210" t="b">
        <f t="shared" si="13"/>
        <v>1</v>
      </c>
      <c r="I408" s="210"/>
      <c r="J408" s="210"/>
    </row>
    <row r="409" spans="1:10" ht="13.8" x14ac:dyDescent="0.25">
      <c r="A409" s="7" t="s">
        <v>2764</v>
      </c>
      <c r="B409" s="152"/>
      <c r="C409" s="151" t="s">
        <v>3625</v>
      </c>
      <c r="D409" s="152">
        <v>10</v>
      </c>
      <c r="E409" s="152" t="s">
        <v>106</v>
      </c>
      <c r="F409" s="153">
        <v>1000000</v>
      </c>
      <c r="G409" s="153">
        <f>ROUNDDOWN(D409*F409,-3)</f>
        <v>10000000</v>
      </c>
      <c r="H409" s="210" t="b">
        <f t="shared" si="13"/>
        <v>1</v>
      </c>
      <c r="I409" s="210"/>
      <c r="J409" s="210"/>
    </row>
    <row r="410" spans="1:10" ht="13.8" x14ac:dyDescent="0.25">
      <c r="A410" s="7" t="s">
        <v>2765</v>
      </c>
      <c r="B410" s="152"/>
      <c r="C410" s="151" t="s">
        <v>3626</v>
      </c>
      <c r="D410" s="152">
        <v>10</v>
      </c>
      <c r="E410" s="152" t="s">
        <v>106</v>
      </c>
      <c r="F410" s="153">
        <v>1500000</v>
      </c>
      <c r="G410" s="153">
        <f>ROUNDDOWN(D410*F410,-3)</f>
        <v>15000000</v>
      </c>
      <c r="H410" s="210" t="b">
        <f t="shared" si="13"/>
        <v>1</v>
      </c>
      <c r="I410" s="210"/>
      <c r="J410" s="210"/>
    </row>
    <row r="411" spans="1:10" ht="13.8" x14ac:dyDescent="0.25">
      <c r="A411" s="7" t="s">
        <v>2766</v>
      </c>
      <c r="B411" s="60">
        <v>522151</v>
      </c>
      <c r="C411" s="41" t="s">
        <v>11</v>
      </c>
      <c r="D411" s="60"/>
      <c r="E411" s="60"/>
      <c r="F411" s="42"/>
      <c r="G411" s="42">
        <f>G412</f>
        <v>12000000</v>
      </c>
      <c r="H411" s="210" t="b">
        <f t="shared" si="13"/>
        <v>1</v>
      </c>
      <c r="I411" s="210"/>
      <c r="J411" s="210"/>
    </row>
    <row r="412" spans="1:10" ht="13.8" x14ac:dyDescent="0.25">
      <c r="A412" s="7" t="s">
        <v>2767</v>
      </c>
      <c r="B412" s="152"/>
      <c r="C412" s="151" t="s">
        <v>3715</v>
      </c>
      <c r="D412" s="152">
        <v>12</v>
      </c>
      <c r="E412" s="152" t="s">
        <v>54</v>
      </c>
      <c r="F412" s="153">
        <v>1000000</v>
      </c>
      <c r="G412" s="153">
        <f>ROUNDDOWN(D412*F412,-3)</f>
        <v>12000000</v>
      </c>
      <c r="H412" s="210" t="b">
        <f t="shared" si="13"/>
        <v>1</v>
      </c>
      <c r="I412" s="210"/>
      <c r="J412" s="210"/>
    </row>
    <row r="413" spans="1:10" ht="13.8" x14ac:dyDescent="0.25">
      <c r="A413" s="7" t="s">
        <v>2768</v>
      </c>
      <c r="B413" s="60">
        <v>524111</v>
      </c>
      <c r="C413" s="41" t="s">
        <v>19</v>
      </c>
      <c r="D413" s="60"/>
      <c r="E413" s="60"/>
      <c r="F413" s="42"/>
      <c r="G413" s="42">
        <f>G414</f>
        <v>258688000</v>
      </c>
      <c r="H413" s="210" t="b">
        <f t="shared" si="13"/>
        <v>1</v>
      </c>
      <c r="I413" s="210"/>
      <c r="J413" s="210"/>
    </row>
    <row r="414" spans="1:10" ht="13.8" x14ac:dyDescent="0.25">
      <c r="A414" s="7" t="s">
        <v>2769</v>
      </c>
      <c r="B414" s="152"/>
      <c r="C414" s="151" t="s">
        <v>4423</v>
      </c>
      <c r="D414" s="152">
        <v>40</v>
      </c>
      <c r="E414" s="152" t="s">
        <v>10</v>
      </c>
      <c r="F414" s="153">
        <v>6467200</v>
      </c>
      <c r="G414" s="153">
        <f>ROUNDDOWN(D414*F414,-3)</f>
        <v>258688000</v>
      </c>
      <c r="H414" s="210" t="b">
        <f t="shared" si="13"/>
        <v>1</v>
      </c>
      <c r="I414" s="210"/>
      <c r="J414" s="210"/>
    </row>
    <row r="415" spans="1:10" ht="13.8" x14ac:dyDescent="0.25">
      <c r="A415" s="7" t="s">
        <v>2771</v>
      </c>
      <c r="B415" s="59" t="s">
        <v>512</v>
      </c>
      <c r="C415" s="38" t="s">
        <v>131</v>
      </c>
      <c r="D415" s="59"/>
      <c r="E415" s="59"/>
      <c r="F415" s="39"/>
      <c r="G415" s="39">
        <f>SUM(G416,G420,G423,G425)</f>
        <v>168100000</v>
      </c>
      <c r="H415" s="210" t="b">
        <f t="shared" si="13"/>
        <v>1</v>
      </c>
      <c r="I415" s="210"/>
      <c r="J415" s="210"/>
    </row>
    <row r="416" spans="1:10" ht="13.8" x14ac:dyDescent="0.25">
      <c r="A416" s="7" t="s">
        <v>2772</v>
      </c>
      <c r="B416" s="60">
        <v>521211</v>
      </c>
      <c r="C416" s="41" t="s">
        <v>7</v>
      </c>
      <c r="D416" s="60"/>
      <c r="E416" s="60"/>
      <c r="F416" s="42"/>
      <c r="G416" s="42">
        <f>SUM(G417:G419)</f>
        <v>39500000</v>
      </c>
      <c r="H416" s="210" t="b">
        <f t="shared" si="13"/>
        <v>1</v>
      </c>
      <c r="I416" s="210"/>
      <c r="J416" s="210"/>
    </row>
    <row r="417" spans="1:10" ht="13.8" x14ac:dyDescent="0.25">
      <c r="A417" s="7" t="s">
        <v>2773</v>
      </c>
      <c r="B417" s="152"/>
      <c r="C417" s="151" t="s">
        <v>3598</v>
      </c>
      <c r="D417" s="152">
        <v>10</v>
      </c>
      <c r="E417" s="152" t="s">
        <v>9</v>
      </c>
      <c r="F417" s="153">
        <v>1500000</v>
      </c>
      <c r="G417" s="153">
        <f>ROUNDDOWN(D417*F417,-3)</f>
        <v>15000000</v>
      </c>
      <c r="H417" s="210" t="b">
        <f t="shared" si="13"/>
        <v>1</v>
      </c>
      <c r="I417" s="210"/>
      <c r="J417" s="210"/>
    </row>
    <row r="418" spans="1:10" ht="13.8" x14ac:dyDescent="0.25">
      <c r="A418" s="7" t="s">
        <v>2774</v>
      </c>
      <c r="B418" s="152"/>
      <c r="C418" s="151" t="s">
        <v>4420</v>
      </c>
      <c r="D418" s="152">
        <v>150</v>
      </c>
      <c r="E418" s="152" t="s">
        <v>10</v>
      </c>
      <c r="F418" s="153">
        <v>70000</v>
      </c>
      <c r="G418" s="153">
        <f>ROUNDDOWN(D418*F418,-3)</f>
        <v>10500000</v>
      </c>
      <c r="H418" s="210" t="b">
        <f t="shared" si="13"/>
        <v>1</v>
      </c>
      <c r="I418" s="210"/>
      <c r="J418" s="210"/>
    </row>
    <row r="419" spans="1:10" ht="13.8" x14ac:dyDescent="0.25">
      <c r="A419" s="7" t="s">
        <v>2775</v>
      </c>
      <c r="B419" s="152"/>
      <c r="C419" s="151" t="s">
        <v>4421</v>
      </c>
      <c r="D419" s="152">
        <v>40</v>
      </c>
      <c r="E419" s="152" t="s">
        <v>176</v>
      </c>
      <c r="F419" s="153">
        <v>350000</v>
      </c>
      <c r="G419" s="153">
        <f>ROUNDDOWN(D419*F419,-3)</f>
        <v>14000000</v>
      </c>
      <c r="H419" s="210" t="b">
        <f t="shared" si="13"/>
        <v>1</v>
      </c>
      <c r="I419" s="210"/>
      <c r="J419" s="210"/>
    </row>
    <row r="420" spans="1:10" ht="13.8" x14ac:dyDescent="0.25">
      <c r="A420" s="7" t="s">
        <v>2776</v>
      </c>
      <c r="B420" s="60">
        <v>521811</v>
      </c>
      <c r="C420" s="41" t="s">
        <v>64</v>
      </c>
      <c r="D420" s="60"/>
      <c r="E420" s="60"/>
      <c r="F420" s="42"/>
      <c r="G420" s="42">
        <f>SUM(G421:G422)</f>
        <v>25000000</v>
      </c>
      <c r="H420" s="210" t="b">
        <f t="shared" si="13"/>
        <v>1</v>
      </c>
      <c r="I420" s="210"/>
      <c r="J420" s="210"/>
    </row>
    <row r="421" spans="1:10" ht="13.8" x14ac:dyDescent="0.25">
      <c r="A421" s="7" t="s">
        <v>2777</v>
      </c>
      <c r="B421" s="152"/>
      <c r="C421" s="151" t="s">
        <v>3625</v>
      </c>
      <c r="D421" s="152">
        <v>10</v>
      </c>
      <c r="E421" s="152" t="s">
        <v>106</v>
      </c>
      <c r="F421" s="153">
        <v>1000000</v>
      </c>
      <c r="G421" s="153">
        <f>ROUNDDOWN(D421*F421,-3)</f>
        <v>10000000</v>
      </c>
      <c r="H421" s="210" t="b">
        <f t="shared" si="13"/>
        <v>1</v>
      </c>
      <c r="I421" s="210"/>
      <c r="J421" s="210"/>
    </row>
    <row r="422" spans="1:10" ht="13.8" x14ac:dyDescent="0.25">
      <c r="A422" s="7" t="s">
        <v>2778</v>
      </c>
      <c r="B422" s="152"/>
      <c r="C422" s="151" t="s">
        <v>3626</v>
      </c>
      <c r="D422" s="152">
        <v>10</v>
      </c>
      <c r="E422" s="152" t="s">
        <v>106</v>
      </c>
      <c r="F422" s="153">
        <v>1500000</v>
      </c>
      <c r="G422" s="153">
        <f>ROUNDDOWN(D422*F422,-3)</f>
        <v>15000000</v>
      </c>
      <c r="H422" s="210" t="b">
        <f t="shared" si="13"/>
        <v>1</v>
      </c>
      <c r="I422" s="210"/>
      <c r="J422" s="210"/>
    </row>
    <row r="423" spans="1:10" ht="13.8" x14ac:dyDescent="0.25">
      <c r="A423" s="7" t="s">
        <v>2779</v>
      </c>
      <c r="B423" s="60">
        <v>522151</v>
      </c>
      <c r="C423" s="41" t="s">
        <v>11</v>
      </c>
      <c r="D423" s="60"/>
      <c r="E423" s="60"/>
      <c r="F423" s="42"/>
      <c r="G423" s="42">
        <f>G424</f>
        <v>10000000</v>
      </c>
      <c r="H423" s="210" t="b">
        <f t="shared" si="13"/>
        <v>1</v>
      </c>
      <c r="I423" s="210"/>
      <c r="J423" s="210"/>
    </row>
    <row r="424" spans="1:10" ht="13.8" x14ac:dyDescent="0.25">
      <c r="A424" s="7" t="s">
        <v>2780</v>
      </c>
      <c r="B424" s="152"/>
      <c r="C424" s="151" t="s">
        <v>3715</v>
      </c>
      <c r="D424" s="152">
        <v>10</v>
      </c>
      <c r="E424" s="152" t="s">
        <v>54</v>
      </c>
      <c r="F424" s="153">
        <v>1000000</v>
      </c>
      <c r="G424" s="153">
        <f>ROUNDDOWN(D424*F424,-3)</f>
        <v>10000000</v>
      </c>
      <c r="H424" s="210" t="b">
        <f t="shared" si="13"/>
        <v>1</v>
      </c>
      <c r="I424" s="210"/>
      <c r="J424" s="210"/>
    </row>
    <row r="425" spans="1:10" ht="13.8" x14ac:dyDescent="0.25">
      <c r="A425" s="7" t="s">
        <v>2781</v>
      </c>
      <c r="B425" s="60">
        <v>524111</v>
      </c>
      <c r="C425" s="41" t="s">
        <v>19</v>
      </c>
      <c r="D425" s="60"/>
      <c r="E425" s="60"/>
      <c r="F425" s="42"/>
      <c r="G425" s="42">
        <f>G426</f>
        <v>93600000</v>
      </c>
      <c r="H425" s="210" t="b">
        <f t="shared" si="13"/>
        <v>1</v>
      </c>
      <c r="I425" s="210"/>
      <c r="J425" s="210"/>
    </row>
    <row r="426" spans="1:10" ht="13.8" x14ac:dyDescent="0.25">
      <c r="A426" s="7" t="s">
        <v>2782</v>
      </c>
      <c r="B426" s="152"/>
      <c r="C426" s="151" t="s">
        <v>4424</v>
      </c>
      <c r="D426" s="152">
        <v>18</v>
      </c>
      <c r="E426" s="152" t="s">
        <v>10</v>
      </c>
      <c r="F426" s="153">
        <v>5200000</v>
      </c>
      <c r="G426" s="153">
        <f>ROUNDDOWN(D426*F426,-3)</f>
        <v>93600000</v>
      </c>
      <c r="H426" s="210" t="b">
        <f t="shared" si="13"/>
        <v>1</v>
      </c>
      <c r="I426" s="210"/>
      <c r="J426" s="210"/>
    </row>
    <row r="427" spans="1:10" ht="13.8" x14ac:dyDescent="0.25">
      <c r="A427" s="7" t="s">
        <v>2784</v>
      </c>
      <c r="B427" s="138" t="s">
        <v>4425</v>
      </c>
      <c r="C427" s="137" t="s">
        <v>2786</v>
      </c>
      <c r="D427" s="138">
        <v>2</v>
      </c>
      <c r="E427" s="138" t="s">
        <v>4315</v>
      </c>
      <c r="F427" s="139"/>
      <c r="G427" s="139">
        <f>SUM(G428,G457)</f>
        <v>633732000</v>
      </c>
      <c r="H427" s="210" t="b">
        <f t="shared" si="13"/>
        <v>1</v>
      </c>
      <c r="I427" s="210"/>
      <c r="J427" s="210"/>
    </row>
    <row r="428" spans="1:10" ht="13.8" x14ac:dyDescent="0.25">
      <c r="A428" s="7" t="s">
        <v>3052</v>
      </c>
      <c r="B428" s="58">
        <v>301</v>
      </c>
      <c r="C428" s="35" t="s">
        <v>3053</v>
      </c>
      <c r="D428" s="58"/>
      <c r="E428" s="58"/>
      <c r="F428" s="36"/>
      <c r="G428" s="36">
        <f>SUM(G429,G440)</f>
        <v>507200000</v>
      </c>
      <c r="H428" s="210" t="b">
        <f t="shared" si="13"/>
        <v>1</v>
      </c>
      <c r="I428" s="210"/>
      <c r="J428" s="210"/>
    </row>
    <row r="429" spans="1:10" ht="13.8" x14ac:dyDescent="0.25">
      <c r="A429" s="7" t="s">
        <v>3054</v>
      </c>
      <c r="B429" s="59" t="s">
        <v>8</v>
      </c>
      <c r="C429" s="38" t="s">
        <v>174</v>
      </c>
      <c r="D429" s="59"/>
      <c r="E429" s="59"/>
      <c r="F429" s="39"/>
      <c r="G429" s="39">
        <f>SUM(G430,G436,G438)</f>
        <v>295200000</v>
      </c>
      <c r="H429" s="210" t="b">
        <f t="shared" si="13"/>
        <v>1</v>
      </c>
      <c r="I429" s="210"/>
      <c r="J429" s="210"/>
    </row>
    <row r="430" spans="1:10" ht="13.8" x14ac:dyDescent="0.25">
      <c r="A430" s="7" t="s">
        <v>3055</v>
      </c>
      <c r="B430" s="60">
        <v>521211</v>
      </c>
      <c r="C430" s="41" t="s">
        <v>7</v>
      </c>
      <c r="D430" s="60"/>
      <c r="E430" s="60"/>
      <c r="F430" s="42"/>
      <c r="G430" s="42">
        <f>SUM(G431:G435)</f>
        <v>46000000</v>
      </c>
      <c r="H430" s="210" t="b">
        <f t="shared" si="13"/>
        <v>1</v>
      </c>
      <c r="I430" s="210"/>
      <c r="J430" s="210"/>
    </row>
    <row r="431" spans="1:10" ht="13.8" x14ac:dyDescent="0.25">
      <c r="A431" s="7" t="s">
        <v>3056</v>
      </c>
      <c r="B431" s="152"/>
      <c r="C431" s="151" t="s">
        <v>3598</v>
      </c>
      <c r="D431" s="152">
        <v>5</v>
      </c>
      <c r="E431" s="152" t="s">
        <v>9</v>
      </c>
      <c r="F431" s="153">
        <v>1500000</v>
      </c>
      <c r="G431" s="153">
        <f>ROUNDDOWN(D431*F431,-3)</f>
        <v>7500000</v>
      </c>
      <c r="H431" s="210" t="b">
        <f t="shared" si="13"/>
        <v>1</v>
      </c>
      <c r="I431" s="210"/>
      <c r="J431" s="210"/>
    </row>
    <row r="432" spans="1:10" ht="13.8" x14ac:dyDescent="0.25">
      <c r="A432" s="7" t="s">
        <v>3057</v>
      </c>
      <c r="B432" s="152"/>
      <c r="C432" s="151" t="s">
        <v>4420</v>
      </c>
      <c r="D432" s="152">
        <v>280</v>
      </c>
      <c r="E432" s="152" t="s">
        <v>10</v>
      </c>
      <c r="F432" s="153">
        <v>75000</v>
      </c>
      <c r="G432" s="153">
        <f>ROUNDDOWN(D432*F432,-3)</f>
        <v>21000000</v>
      </c>
      <c r="H432" s="210" t="b">
        <f t="shared" si="13"/>
        <v>1</v>
      </c>
      <c r="I432" s="210"/>
      <c r="J432" s="210"/>
    </row>
    <row r="433" spans="1:10" ht="13.8" x14ac:dyDescent="0.25">
      <c r="A433" s="7" t="s">
        <v>3058</v>
      </c>
      <c r="B433" s="152"/>
      <c r="C433" s="151" t="s">
        <v>4421</v>
      </c>
      <c r="D433" s="152">
        <v>30</v>
      </c>
      <c r="E433" s="152" t="s">
        <v>176</v>
      </c>
      <c r="F433" s="153">
        <v>250000</v>
      </c>
      <c r="G433" s="153">
        <f>ROUNDDOWN(D433*F433,-3)</f>
        <v>7500000</v>
      </c>
      <c r="H433" s="210" t="b">
        <f t="shared" si="13"/>
        <v>1</v>
      </c>
      <c r="I433" s="210"/>
      <c r="J433" s="210"/>
    </row>
    <row r="434" spans="1:10" ht="13.8" x14ac:dyDescent="0.25">
      <c r="A434" s="7" t="s">
        <v>3059</v>
      </c>
      <c r="B434" s="152"/>
      <c r="C434" s="151" t="s">
        <v>3610</v>
      </c>
      <c r="D434" s="152">
        <v>4</v>
      </c>
      <c r="E434" s="152" t="s">
        <v>106</v>
      </c>
      <c r="F434" s="153">
        <v>1000000</v>
      </c>
      <c r="G434" s="153">
        <f>ROUNDDOWN(D434*F434,-3)</f>
        <v>4000000</v>
      </c>
      <c r="H434" s="210" t="b">
        <f t="shared" si="13"/>
        <v>1</v>
      </c>
      <c r="I434" s="210"/>
      <c r="J434" s="210"/>
    </row>
    <row r="435" spans="1:10" ht="13.8" x14ac:dyDescent="0.25">
      <c r="A435" s="7" t="s">
        <v>3060</v>
      </c>
      <c r="B435" s="152"/>
      <c r="C435" s="151" t="s">
        <v>3611</v>
      </c>
      <c r="D435" s="152">
        <v>4</v>
      </c>
      <c r="E435" s="152" t="s">
        <v>106</v>
      </c>
      <c r="F435" s="153">
        <v>1500000</v>
      </c>
      <c r="G435" s="153">
        <f>ROUNDDOWN(D435*F435,-3)</f>
        <v>6000000</v>
      </c>
      <c r="H435" s="210" t="b">
        <f t="shared" si="13"/>
        <v>1</v>
      </c>
      <c r="I435" s="210"/>
      <c r="J435" s="210"/>
    </row>
    <row r="436" spans="1:10" ht="13.8" x14ac:dyDescent="0.25">
      <c r="A436" s="7" t="s">
        <v>3061</v>
      </c>
      <c r="B436" s="60">
        <v>521219</v>
      </c>
      <c r="C436" s="41" t="s">
        <v>53</v>
      </c>
      <c r="D436" s="60"/>
      <c r="E436" s="60"/>
      <c r="F436" s="42"/>
      <c r="G436" s="42">
        <f>G437</f>
        <v>2000000</v>
      </c>
      <c r="H436" s="210" t="b">
        <f t="shared" si="13"/>
        <v>1</v>
      </c>
      <c r="I436" s="210"/>
      <c r="J436" s="210"/>
    </row>
    <row r="437" spans="1:10" ht="13.8" x14ac:dyDescent="0.25">
      <c r="A437" s="7" t="s">
        <v>3062</v>
      </c>
      <c r="B437" s="152"/>
      <c r="C437" s="151" t="s">
        <v>4508</v>
      </c>
      <c r="D437" s="152">
        <v>1</v>
      </c>
      <c r="E437" s="152" t="s">
        <v>153</v>
      </c>
      <c r="F437" s="153">
        <v>2000000</v>
      </c>
      <c r="G437" s="153">
        <f>ROUNDDOWN(D437*F437,-3)</f>
        <v>2000000</v>
      </c>
      <c r="H437" s="210" t="b">
        <f t="shared" si="13"/>
        <v>1</v>
      </c>
      <c r="I437" s="210"/>
      <c r="J437" s="210"/>
    </row>
    <row r="438" spans="1:10" ht="13.8" x14ac:dyDescent="0.25">
      <c r="A438" s="7" t="s">
        <v>3064</v>
      </c>
      <c r="B438" s="60">
        <v>524111</v>
      </c>
      <c r="C438" s="41" t="s">
        <v>19</v>
      </c>
      <c r="D438" s="60"/>
      <c r="E438" s="60"/>
      <c r="F438" s="42"/>
      <c r="G438" s="42">
        <f>G439</f>
        <v>247200000</v>
      </c>
      <c r="H438" s="210" t="b">
        <f t="shared" si="13"/>
        <v>1</v>
      </c>
      <c r="I438" s="210"/>
      <c r="J438" s="210"/>
    </row>
    <row r="439" spans="1:10" ht="13.8" x14ac:dyDescent="0.25">
      <c r="A439" s="7" t="s">
        <v>3065</v>
      </c>
      <c r="B439" s="152"/>
      <c r="C439" s="151" t="s">
        <v>4509</v>
      </c>
      <c r="D439" s="152">
        <v>40</v>
      </c>
      <c r="E439" s="152" t="s">
        <v>10</v>
      </c>
      <c r="F439" s="153">
        <v>6180000</v>
      </c>
      <c r="G439" s="153">
        <f>ROUNDDOWN(D439*F439,-3)</f>
        <v>247200000</v>
      </c>
      <c r="H439" s="210" t="b">
        <f t="shared" si="13"/>
        <v>1</v>
      </c>
      <c r="I439" s="210"/>
      <c r="J439" s="210"/>
    </row>
    <row r="440" spans="1:10" ht="13.8" x14ac:dyDescent="0.25">
      <c r="A440" s="7" t="s">
        <v>3067</v>
      </c>
      <c r="B440" s="59" t="s">
        <v>511</v>
      </c>
      <c r="C440" s="38" t="s">
        <v>175</v>
      </c>
      <c r="D440" s="59"/>
      <c r="E440" s="59"/>
      <c r="F440" s="39"/>
      <c r="G440" s="39">
        <f>SUM(G441,G448,G451,G453,G455)</f>
        <v>212000000</v>
      </c>
      <c r="H440" s="210" t="b">
        <f t="shared" si="13"/>
        <v>1</v>
      </c>
      <c r="I440" s="210"/>
      <c r="J440" s="210"/>
    </row>
    <row r="441" spans="1:10" ht="13.8" x14ac:dyDescent="0.25">
      <c r="A441" s="7" t="s">
        <v>3068</v>
      </c>
      <c r="B441" s="60">
        <v>521211</v>
      </c>
      <c r="C441" s="41" t="s">
        <v>7</v>
      </c>
      <c r="D441" s="60"/>
      <c r="E441" s="60"/>
      <c r="F441" s="42"/>
      <c r="G441" s="42">
        <f>SUM(G442:G447)</f>
        <v>41000000</v>
      </c>
      <c r="H441" s="210" t="b">
        <f t="shared" si="13"/>
        <v>1</v>
      </c>
      <c r="I441" s="210"/>
      <c r="J441" s="210"/>
    </row>
    <row r="442" spans="1:10" ht="13.8" x14ac:dyDescent="0.25">
      <c r="A442" s="7" t="s">
        <v>3069</v>
      </c>
      <c r="B442" s="152"/>
      <c r="C442" s="151" t="s">
        <v>3598</v>
      </c>
      <c r="D442" s="152">
        <v>4</v>
      </c>
      <c r="E442" s="152" t="s">
        <v>9</v>
      </c>
      <c r="F442" s="153">
        <v>1500000</v>
      </c>
      <c r="G442" s="153">
        <f t="shared" ref="G442:G447" si="14">ROUNDDOWN(D442*F442,-3)</f>
        <v>6000000</v>
      </c>
      <c r="H442" s="210" t="b">
        <f t="shared" si="13"/>
        <v>1</v>
      </c>
      <c r="I442" s="210"/>
      <c r="J442" s="210"/>
    </row>
    <row r="443" spans="1:10" ht="13.8" x14ac:dyDescent="0.25">
      <c r="A443" s="7" t="s">
        <v>3070</v>
      </c>
      <c r="B443" s="152"/>
      <c r="C443" s="151" t="s">
        <v>4420</v>
      </c>
      <c r="D443" s="152">
        <v>180</v>
      </c>
      <c r="E443" s="152" t="s">
        <v>10</v>
      </c>
      <c r="F443" s="153">
        <v>75000</v>
      </c>
      <c r="G443" s="153">
        <f t="shared" si="14"/>
        <v>13500000</v>
      </c>
      <c r="H443" s="210" t="b">
        <f t="shared" si="13"/>
        <v>1</v>
      </c>
      <c r="I443" s="210"/>
      <c r="J443" s="210"/>
    </row>
    <row r="444" spans="1:10" ht="13.8" x14ac:dyDescent="0.25">
      <c r="A444" s="7" t="s">
        <v>3071</v>
      </c>
      <c r="B444" s="152"/>
      <c r="C444" s="151" t="s">
        <v>4510</v>
      </c>
      <c r="D444" s="152">
        <v>15</v>
      </c>
      <c r="E444" s="152" t="s">
        <v>176</v>
      </c>
      <c r="F444" s="153">
        <v>500000</v>
      </c>
      <c r="G444" s="153">
        <f t="shared" si="14"/>
        <v>7500000</v>
      </c>
      <c r="H444" s="210" t="b">
        <f t="shared" si="13"/>
        <v>1</v>
      </c>
      <c r="I444" s="210"/>
      <c r="J444" s="210"/>
    </row>
    <row r="445" spans="1:10" ht="13.8" x14ac:dyDescent="0.25">
      <c r="A445" s="7" t="s">
        <v>3073</v>
      </c>
      <c r="B445" s="152"/>
      <c r="C445" s="151" t="s">
        <v>3610</v>
      </c>
      <c r="D445" s="152">
        <v>4</v>
      </c>
      <c r="E445" s="152" t="s">
        <v>106</v>
      </c>
      <c r="F445" s="153">
        <v>1000000</v>
      </c>
      <c r="G445" s="153">
        <f t="shared" si="14"/>
        <v>4000000</v>
      </c>
      <c r="H445" s="210" t="b">
        <f t="shared" si="13"/>
        <v>1</v>
      </c>
      <c r="I445" s="210"/>
      <c r="J445" s="210"/>
    </row>
    <row r="446" spans="1:10" ht="13.8" x14ac:dyDescent="0.25">
      <c r="A446" s="7" t="s">
        <v>3074</v>
      </c>
      <c r="B446" s="152"/>
      <c r="C446" s="151" t="s">
        <v>3611</v>
      </c>
      <c r="D446" s="152">
        <v>4</v>
      </c>
      <c r="E446" s="152" t="s">
        <v>106</v>
      </c>
      <c r="F446" s="153">
        <v>1500000</v>
      </c>
      <c r="G446" s="153">
        <f t="shared" si="14"/>
        <v>6000000</v>
      </c>
      <c r="H446" s="210" t="b">
        <f t="shared" si="13"/>
        <v>1</v>
      </c>
      <c r="I446" s="210"/>
      <c r="J446" s="210"/>
    </row>
    <row r="447" spans="1:10" ht="13.8" x14ac:dyDescent="0.25">
      <c r="A447" s="7" t="s">
        <v>3075</v>
      </c>
      <c r="B447" s="152"/>
      <c r="C447" s="151" t="s">
        <v>4511</v>
      </c>
      <c r="D447" s="152">
        <v>8</v>
      </c>
      <c r="E447" s="152" t="s">
        <v>58</v>
      </c>
      <c r="F447" s="153">
        <v>500000</v>
      </c>
      <c r="G447" s="153">
        <f t="shared" si="14"/>
        <v>4000000</v>
      </c>
      <c r="H447" s="210" t="b">
        <f t="shared" si="13"/>
        <v>1</v>
      </c>
      <c r="I447" s="210"/>
      <c r="J447" s="210"/>
    </row>
    <row r="448" spans="1:10" ht="13.8" x14ac:dyDescent="0.25">
      <c r="A448" s="7" t="s">
        <v>3077</v>
      </c>
      <c r="B448" s="60">
        <v>521219</v>
      </c>
      <c r="C448" s="41" t="s">
        <v>53</v>
      </c>
      <c r="D448" s="60"/>
      <c r="E448" s="60"/>
      <c r="F448" s="42"/>
      <c r="G448" s="42">
        <f>SUM(G449:G450)</f>
        <v>32000000</v>
      </c>
      <c r="H448" s="210" t="b">
        <f t="shared" si="13"/>
        <v>1</v>
      </c>
      <c r="I448" s="210"/>
      <c r="J448" s="210"/>
    </row>
    <row r="449" spans="1:10" ht="13.8" x14ac:dyDescent="0.25">
      <c r="A449" s="7" t="s">
        <v>3078</v>
      </c>
      <c r="B449" s="152"/>
      <c r="C449" s="151" t="s">
        <v>4512</v>
      </c>
      <c r="D449" s="152">
        <v>2</v>
      </c>
      <c r="E449" s="152" t="s">
        <v>177</v>
      </c>
      <c r="F449" s="153">
        <v>15000000</v>
      </c>
      <c r="G449" s="153">
        <f>ROUNDDOWN(D449*F449,-3)</f>
        <v>30000000</v>
      </c>
      <c r="H449" s="210" t="b">
        <f t="shared" si="13"/>
        <v>1</v>
      </c>
      <c r="I449" s="210"/>
      <c r="J449" s="210"/>
    </row>
    <row r="450" spans="1:10" ht="13.8" x14ac:dyDescent="0.25">
      <c r="A450" s="7" t="s">
        <v>3080</v>
      </c>
      <c r="B450" s="152"/>
      <c r="C450" s="151" t="s">
        <v>4513</v>
      </c>
      <c r="D450" s="152">
        <v>1</v>
      </c>
      <c r="E450" s="152" t="s">
        <v>60</v>
      </c>
      <c r="F450" s="153">
        <v>2000000</v>
      </c>
      <c r="G450" s="153">
        <f>ROUNDDOWN(D450*F450,-3)</f>
        <v>2000000</v>
      </c>
      <c r="H450" s="210" t="b">
        <f t="shared" si="13"/>
        <v>1</v>
      </c>
      <c r="I450" s="210"/>
      <c r="J450" s="210"/>
    </row>
    <row r="451" spans="1:10" ht="13.8" x14ac:dyDescent="0.25">
      <c r="A451" s="7" t="s">
        <v>3082</v>
      </c>
      <c r="B451" s="60">
        <v>522151</v>
      </c>
      <c r="C451" s="41" t="s">
        <v>11</v>
      </c>
      <c r="D451" s="60"/>
      <c r="E451" s="60"/>
      <c r="F451" s="42"/>
      <c r="G451" s="42">
        <f>G452</f>
        <v>10000000</v>
      </c>
      <c r="H451" s="210" t="b">
        <f t="shared" si="13"/>
        <v>1</v>
      </c>
      <c r="I451" s="210"/>
      <c r="J451" s="210"/>
    </row>
    <row r="452" spans="1:10" ht="13.8" x14ac:dyDescent="0.25">
      <c r="A452" s="7" t="s">
        <v>3083</v>
      </c>
      <c r="B452" s="152"/>
      <c r="C452" s="151" t="s">
        <v>3715</v>
      </c>
      <c r="D452" s="152">
        <v>10</v>
      </c>
      <c r="E452" s="152" t="s">
        <v>54</v>
      </c>
      <c r="F452" s="153">
        <v>1000000</v>
      </c>
      <c r="G452" s="153">
        <f>ROUNDDOWN(D452*F452,-3)</f>
        <v>10000000</v>
      </c>
      <c r="H452" s="210" t="b">
        <f t="shared" si="13"/>
        <v>1</v>
      </c>
      <c r="I452" s="210"/>
      <c r="J452" s="210"/>
    </row>
    <row r="453" spans="1:10" ht="13.8" x14ac:dyDescent="0.25">
      <c r="A453" s="7" t="s">
        <v>3084</v>
      </c>
      <c r="B453" s="60">
        <v>524111</v>
      </c>
      <c r="C453" s="41" t="s">
        <v>19</v>
      </c>
      <c r="D453" s="60"/>
      <c r="E453" s="60"/>
      <c r="F453" s="42"/>
      <c r="G453" s="42">
        <f>G454</f>
        <v>120000000</v>
      </c>
      <c r="H453" s="210" t="b">
        <f t="shared" si="13"/>
        <v>1</v>
      </c>
      <c r="I453" s="210"/>
      <c r="J453" s="210"/>
    </row>
    <row r="454" spans="1:10" ht="13.8" x14ac:dyDescent="0.25">
      <c r="A454" s="7" t="s">
        <v>3085</v>
      </c>
      <c r="B454" s="152"/>
      <c r="C454" s="151" t="s">
        <v>4514</v>
      </c>
      <c r="D454" s="152">
        <v>30</v>
      </c>
      <c r="E454" s="152" t="s">
        <v>10</v>
      </c>
      <c r="F454" s="153">
        <v>4000000</v>
      </c>
      <c r="G454" s="153">
        <f>ROUNDDOWN(D454*F454,-3)</f>
        <v>120000000</v>
      </c>
      <c r="H454" s="210" t="b">
        <f t="shared" si="13"/>
        <v>1</v>
      </c>
      <c r="I454" s="210"/>
      <c r="J454" s="210"/>
    </row>
    <row r="455" spans="1:10" ht="13.8" x14ac:dyDescent="0.25">
      <c r="A455" s="7" t="s">
        <v>3087</v>
      </c>
      <c r="B455" s="60">
        <v>524113</v>
      </c>
      <c r="C455" s="41" t="s">
        <v>13</v>
      </c>
      <c r="D455" s="60"/>
      <c r="E455" s="60"/>
      <c r="F455" s="42"/>
      <c r="G455" s="42">
        <f>G456</f>
        <v>9000000</v>
      </c>
      <c r="H455" s="210" t="b">
        <f t="shared" si="13"/>
        <v>1</v>
      </c>
      <c r="I455" s="210"/>
      <c r="J455" s="210"/>
    </row>
    <row r="456" spans="1:10" ht="13.8" x14ac:dyDescent="0.25">
      <c r="A456" s="7" t="s">
        <v>3088</v>
      </c>
      <c r="B456" s="152"/>
      <c r="C456" s="151" t="s">
        <v>3613</v>
      </c>
      <c r="D456" s="152">
        <v>60</v>
      </c>
      <c r="E456" s="152" t="s">
        <v>25</v>
      </c>
      <c r="F456" s="153">
        <v>150000</v>
      </c>
      <c r="G456" s="153">
        <f>ROUNDDOWN(D456*F456,-3)</f>
        <v>9000000</v>
      </c>
      <c r="H456" s="210" t="b">
        <f t="shared" si="13"/>
        <v>1</v>
      </c>
      <c r="I456" s="210"/>
      <c r="J456" s="210"/>
    </row>
    <row r="457" spans="1:10" ht="13.8" x14ac:dyDescent="0.25">
      <c r="A457" s="7" t="s">
        <v>3089</v>
      </c>
      <c r="B457" s="58">
        <v>302</v>
      </c>
      <c r="C457" s="35" t="s">
        <v>3091</v>
      </c>
      <c r="D457" s="58"/>
      <c r="E457" s="58"/>
      <c r="F457" s="36"/>
      <c r="G457" s="36">
        <f>G458</f>
        <v>126532000</v>
      </c>
      <c r="H457" s="210" t="b">
        <f t="shared" si="13"/>
        <v>1</v>
      </c>
      <c r="I457" s="210"/>
      <c r="J457" s="210"/>
    </row>
    <row r="458" spans="1:10" ht="13.8" x14ac:dyDescent="0.25">
      <c r="A458" s="7" t="s">
        <v>3092</v>
      </c>
      <c r="B458" s="59" t="s">
        <v>8</v>
      </c>
      <c r="C458" s="38" t="s">
        <v>178</v>
      </c>
      <c r="D458" s="59"/>
      <c r="E458" s="59"/>
      <c r="F458" s="39"/>
      <c r="G458" s="39">
        <f>SUM(G459,G465,G467)</f>
        <v>126532000</v>
      </c>
      <c r="H458" s="210" t="b">
        <f t="shared" si="13"/>
        <v>1</v>
      </c>
      <c r="I458" s="210"/>
      <c r="J458" s="210"/>
    </row>
    <row r="459" spans="1:10" ht="13.8" x14ac:dyDescent="0.25">
      <c r="A459" s="7" t="s">
        <v>3093</v>
      </c>
      <c r="B459" s="60">
        <v>521211</v>
      </c>
      <c r="C459" s="41" t="s">
        <v>7</v>
      </c>
      <c r="D459" s="60"/>
      <c r="E459" s="60"/>
      <c r="F459" s="42"/>
      <c r="G459" s="42">
        <f>SUM(G460:G464)</f>
        <v>35500000</v>
      </c>
      <c r="H459" s="210" t="b">
        <f t="shared" si="13"/>
        <v>1</v>
      </c>
      <c r="I459" s="210"/>
      <c r="J459" s="210"/>
    </row>
    <row r="460" spans="1:10" ht="13.8" x14ac:dyDescent="0.25">
      <c r="A460" s="7" t="s">
        <v>3094</v>
      </c>
      <c r="B460" s="152"/>
      <c r="C460" s="151" t="s">
        <v>3598</v>
      </c>
      <c r="D460" s="152">
        <v>4</v>
      </c>
      <c r="E460" s="152" t="s">
        <v>9</v>
      </c>
      <c r="F460" s="153">
        <v>1500000</v>
      </c>
      <c r="G460" s="153">
        <f>ROUNDDOWN(D460*F460,-3)</f>
        <v>6000000</v>
      </c>
      <c r="H460" s="210" t="b">
        <f t="shared" si="13"/>
        <v>1</v>
      </c>
      <c r="I460" s="210"/>
      <c r="J460" s="210"/>
    </row>
    <row r="461" spans="1:10" ht="13.8" x14ac:dyDescent="0.25">
      <c r="A461" s="7" t="s">
        <v>3095</v>
      </c>
      <c r="B461" s="152"/>
      <c r="C461" s="151" t="s">
        <v>4420</v>
      </c>
      <c r="D461" s="152">
        <v>180</v>
      </c>
      <c r="E461" s="152" t="s">
        <v>10</v>
      </c>
      <c r="F461" s="153">
        <v>75000</v>
      </c>
      <c r="G461" s="153">
        <f>ROUNDDOWN(D461*F461,-3)</f>
        <v>13500000</v>
      </c>
      <c r="H461" s="210" t="b">
        <f t="shared" si="13"/>
        <v>1</v>
      </c>
      <c r="I461" s="210"/>
      <c r="J461" s="210"/>
    </row>
    <row r="462" spans="1:10" ht="13.8" x14ac:dyDescent="0.25">
      <c r="A462" s="7" t="s">
        <v>3096</v>
      </c>
      <c r="B462" s="152"/>
      <c r="C462" s="151" t="s">
        <v>3600</v>
      </c>
      <c r="D462" s="152">
        <v>4</v>
      </c>
      <c r="E462" s="152" t="s">
        <v>106</v>
      </c>
      <c r="F462" s="153">
        <v>1000000</v>
      </c>
      <c r="G462" s="153">
        <f>ROUNDDOWN(D462*F462,-3)</f>
        <v>4000000</v>
      </c>
      <c r="H462" s="210" t="b">
        <f t="shared" ref="H462:H525" si="15">_xlfn.ISFORMULA(G462)</f>
        <v>1</v>
      </c>
      <c r="I462" s="210"/>
      <c r="J462" s="210"/>
    </row>
    <row r="463" spans="1:10" ht="13.8" x14ac:dyDescent="0.25">
      <c r="A463" s="7" t="s">
        <v>3097</v>
      </c>
      <c r="B463" s="152"/>
      <c r="C463" s="151" t="s">
        <v>3601</v>
      </c>
      <c r="D463" s="152">
        <v>4</v>
      </c>
      <c r="E463" s="152" t="s">
        <v>106</v>
      </c>
      <c r="F463" s="153">
        <v>1500000</v>
      </c>
      <c r="G463" s="153">
        <f>ROUNDDOWN(D463*F463,-3)</f>
        <v>6000000</v>
      </c>
      <c r="H463" s="210" t="b">
        <f t="shared" si="15"/>
        <v>1</v>
      </c>
      <c r="I463" s="210"/>
      <c r="J463" s="210"/>
    </row>
    <row r="464" spans="1:10" ht="13.8" x14ac:dyDescent="0.25">
      <c r="A464" s="7" t="s">
        <v>3098</v>
      </c>
      <c r="B464" s="152"/>
      <c r="C464" s="151" t="s">
        <v>4515</v>
      </c>
      <c r="D464" s="152">
        <v>12</v>
      </c>
      <c r="E464" s="152" t="s">
        <v>176</v>
      </c>
      <c r="F464" s="153">
        <v>500000</v>
      </c>
      <c r="G464" s="153">
        <f>ROUNDDOWN(D464*F464,-3)</f>
        <v>6000000</v>
      </c>
      <c r="H464" s="210" t="b">
        <f t="shared" si="15"/>
        <v>1</v>
      </c>
      <c r="I464" s="210"/>
      <c r="J464" s="210"/>
    </row>
    <row r="465" spans="1:10" ht="13.8" x14ac:dyDescent="0.25">
      <c r="A465" s="7" t="s">
        <v>3100</v>
      </c>
      <c r="B465" s="60">
        <v>521219</v>
      </c>
      <c r="C465" s="41" t="s">
        <v>53</v>
      </c>
      <c r="D465" s="60"/>
      <c r="E465" s="60"/>
      <c r="F465" s="42"/>
      <c r="G465" s="42">
        <f>G466</f>
        <v>2000000</v>
      </c>
      <c r="H465" s="210" t="b">
        <f t="shared" si="15"/>
        <v>1</v>
      </c>
      <c r="I465" s="210"/>
      <c r="J465" s="210"/>
    </row>
    <row r="466" spans="1:10" ht="13.8" x14ac:dyDescent="0.25">
      <c r="A466" s="7" t="s">
        <v>3101</v>
      </c>
      <c r="B466" s="152"/>
      <c r="C466" s="151" t="s">
        <v>4508</v>
      </c>
      <c r="D466" s="152">
        <v>1</v>
      </c>
      <c r="E466" s="152" t="s">
        <v>153</v>
      </c>
      <c r="F466" s="153">
        <v>2000000</v>
      </c>
      <c r="G466" s="153">
        <f>ROUNDDOWN(D466*F466,-3)</f>
        <v>2000000</v>
      </c>
      <c r="H466" s="210" t="b">
        <f t="shared" si="15"/>
        <v>1</v>
      </c>
      <c r="I466" s="210"/>
      <c r="J466" s="210"/>
    </row>
    <row r="467" spans="1:10" ht="13.8" x14ac:dyDescent="0.25">
      <c r="A467" s="7" t="s">
        <v>3102</v>
      </c>
      <c r="B467" s="60">
        <v>524111</v>
      </c>
      <c r="C467" s="41" t="s">
        <v>19</v>
      </c>
      <c r="D467" s="60"/>
      <c r="E467" s="60"/>
      <c r="F467" s="42"/>
      <c r="G467" s="42">
        <f>G468</f>
        <v>89032000</v>
      </c>
      <c r="H467" s="210" t="b">
        <f t="shared" si="15"/>
        <v>1</v>
      </c>
      <c r="I467" s="210"/>
      <c r="J467" s="210"/>
    </row>
    <row r="468" spans="1:10" ht="13.8" x14ac:dyDescent="0.25">
      <c r="A468" s="7" t="s">
        <v>3103</v>
      </c>
      <c r="B468" s="152"/>
      <c r="C468" s="151" t="s">
        <v>4514</v>
      </c>
      <c r="D468" s="152">
        <v>22</v>
      </c>
      <c r="E468" s="152" t="s">
        <v>10</v>
      </c>
      <c r="F468" s="153">
        <v>4046950</v>
      </c>
      <c r="G468" s="153">
        <f>ROUNDDOWN(D468*F468,-3)</f>
        <v>89032000</v>
      </c>
      <c r="H468" s="210" t="b">
        <f t="shared" si="15"/>
        <v>1</v>
      </c>
      <c r="I468" s="210"/>
      <c r="J468" s="210"/>
    </row>
    <row r="469" spans="1:10" ht="13.8" x14ac:dyDescent="0.25">
      <c r="A469" s="7" t="s">
        <v>3104</v>
      </c>
      <c r="B469" s="138" t="s">
        <v>4516</v>
      </c>
      <c r="C469" s="137" t="s">
        <v>3106</v>
      </c>
      <c r="D469" s="138">
        <v>1</v>
      </c>
      <c r="E469" s="138" t="s">
        <v>4315</v>
      </c>
      <c r="F469" s="139"/>
      <c r="G469" s="139">
        <f>G470</f>
        <v>289920000</v>
      </c>
      <c r="H469" s="210" t="b">
        <f t="shared" si="15"/>
        <v>1</v>
      </c>
      <c r="I469" s="210"/>
      <c r="J469" s="210"/>
    </row>
    <row r="470" spans="1:10" ht="13.8" x14ac:dyDescent="0.25">
      <c r="A470" s="7" t="s">
        <v>3318</v>
      </c>
      <c r="B470" s="58">
        <v>301</v>
      </c>
      <c r="C470" s="35" t="s">
        <v>3319</v>
      </c>
      <c r="D470" s="58"/>
      <c r="E470" s="58"/>
      <c r="F470" s="36"/>
      <c r="G470" s="36">
        <f>SUM(G471,G481,G490,G498,G511,G519)</f>
        <v>289920000</v>
      </c>
      <c r="H470" s="210" t="b">
        <f t="shared" si="15"/>
        <v>1</v>
      </c>
      <c r="I470" s="210"/>
      <c r="J470" s="210"/>
    </row>
    <row r="471" spans="1:10" ht="13.8" x14ac:dyDescent="0.25">
      <c r="A471" s="7" t="s">
        <v>3320</v>
      </c>
      <c r="B471" s="59" t="s">
        <v>8</v>
      </c>
      <c r="C471" s="38" t="s">
        <v>143</v>
      </c>
      <c r="D471" s="59"/>
      <c r="E471" s="59"/>
      <c r="F471" s="39"/>
      <c r="G471" s="39">
        <f>SUM(G472,G477,G479)</f>
        <v>40700000</v>
      </c>
      <c r="H471" s="210" t="b">
        <f t="shared" si="15"/>
        <v>1</v>
      </c>
      <c r="I471" s="210"/>
      <c r="J471" s="210"/>
    </row>
    <row r="472" spans="1:10" ht="13.8" x14ac:dyDescent="0.25">
      <c r="A472" s="7" t="s">
        <v>3321</v>
      </c>
      <c r="B472" s="60">
        <v>521211</v>
      </c>
      <c r="C472" s="41" t="s">
        <v>7</v>
      </c>
      <c r="D472" s="60"/>
      <c r="E472" s="60"/>
      <c r="F472" s="42"/>
      <c r="G472" s="42">
        <f>SUM(G473:G476)</f>
        <v>23900000</v>
      </c>
      <c r="H472" s="210" t="b">
        <f t="shared" si="15"/>
        <v>1</v>
      </c>
      <c r="I472" s="210"/>
      <c r="J472" s="210"/>
    </row>
    <row r="473" spans="1:10" ht="13.8" x14ac:dyDescent="0.25">
      <c r="A473" s="7" t="s">
        <v>3322</v>
      </c>
      <c r="B473" s="152"/>
      <c r="C473" s="151" t="s">
        <v>3598</v>
      </c>
      <c r="D473" s="152">
        <v>5</v>
      </c>
      <c r="E473" s="152" t="s">
        <v>9</v>
      </c>
      <c r="F473" s="153">
        <v>1500000</v>
      </c>
      <c r="G473" s="153">
        <f>ROUNDDOWN(D473*F473,-3)</f>
        <v>7500000</v>
      </c>
      <c r="H473" s="210" t="b">
        <f t="shared" si="15"/>
        <v>1</v>
      </c>
      <c r="I473" s="210"/>
      <c r="J473" s="210"/>
    </row>
    <row r="474" spans="1:10" ht="13.8" x14ac:dyDescent="0.25">
      <c r="A474" s="7" t="s">
        <v>3323</v>
      </c>
      <c r="B474" s="152"/>
      <c r="C474" s="151" t="s">
        <v>4420</v>
      </c>
      <c r="D474" s="152">
        <v>20</v>
      </c>
      <c r="E474" s="152" t="s">
        <v>10</v>
      </c>
      <c r="F474" s="153">
        <v>70000</v>
      </c>
      <c r="G474" s="153">
        <f>ROUNDDOWN(D474*F474,-3)</f>
        <v>1400000</v>
      </c>
      <c r="H474" s="210" t="b">
        <f t="shared" si="15"/>
        <v>1</v>
      </c>
      <c r="I474" s="210"/>
      <c r="J474" s="210"/>
    </row>
    <row r="475" spans="1:10" ht="13.8" x14ac:dyDescent="0.25">
      <c r="A475" s="7" t="s">
        <v>3324</v>
      </c>
      <c r="B475" s="152"/>
      <c r="C475" s="151" t="s">
        <v>3600</v>
      </c>
      <c r="D475" s="152">
        <v>6</v>
      </c>
      <c r="E475" s="152" t="s">
        <v>106</v>
      </c>
      <c r="F475" s="153">
        <v>1000000</v>
      </c>
      <c r="G475" s="153">
        <f>ROUNDDOWN(D475*F475,-3)</f>
        <v>6000000</v>
      </c>
      <c r="H475" s="210" t="b">
        <f t="shared" si="15"/>
        <v>1</v>
      </c>
      <c r="I475" s="210"/>
      <c r="J475" s="210"/>
    </row>
    <row r="476" spans="1:10" ht="13.8" x14ac:dyDescent="0.25">
      <c r="A476" s="7" t="s">
        <v>3325</v>
      </c>
      <c r="B476" s="152"/>
      <c r="C476" s="151" t="s">
        <v>3601</v>
      </c>
      <c r="D476" s="152">
        <v>6</v>
      </c>
      <c r="E476" s="152" t="s">
        <v>106</v>
      </c>
      <c r="F476" s="153">
        <v>1500000</v>
      </c>
      <c r="G476" s="153">
        <f>ROUNDDOWN(D476*F476,-3)</f>
        <v>9000000</v>
      </c>
      <c r="H476" s="210" t="b">
        <f t="shared" si="15"/>
        <v>1</v>
      </c>
      <c r="I476" s="210"/>
      <c r="J476" s="210"/>
    </row>
    <row r="477" spans="1:10" ht="13.8" x14ac:dyDescent="0.25">
      <c r="A477" s="7" t="s">
        <v>3326</v>
      </c>
      <c r="B477" s="60">
        <v>524111</v>
      </c>
      <c r="C477" s="41" t="s">
        <v>19</v>
      </c>
      <c r="D477" s="60"/>
      <c r="E477" s="60"/>
      <c r="F477" s="42"/>
      <c r="G477" s="42">
        <f>G478</f>
        <v>15000000</v>
      </c>
      <c r="H477" s="210" t="b">
        <f t="shared" si="15"/>
        <v>1</v>
      </c>
      <c r="I477" s="210"/>
      <c r="J477" s="210"/>
    </row>
    <row r="478" spans="1:10" ht="13.8" x14ac:dyDescent="0.25">
      <c r="A478" s="7" t="s">
        <v>3327</v>
      </c>
      <c r="B478" s="152"/>
      <c r="C478" s="151" t="s">
        <v>4582</v>
      </c>
      <c r="D478" s="152">
        <v>5</v>
      </c>
      <c r="E478" s="152" t="s">
        <v>10</v>
      </c>
      <c r="F478" s="153">
        <v>3000000</v>
      </c>
      <c r="G478" s="153">
        <f>ROUNDDOWN(D478*F478,-3)</f>
        <v>15000000</v>
      </c>
      <c r="H478" s="210" t="b">
        <f t="shared" si="15"/>
        <v>1</v>
      </c>
      <c r="I478" s="210"/>
      <c r="J478" s="210"/>
    </row>
    <row r="479" spans="1:10" ht="13.8" x14ac:dyDescent="0.25">
      <c r="A479" s="7" t="s">
        <v>3329</v>
      </c>
      <c r="B479" s="60">
        <v>524113</v>
      </c>
      <c r="C479" s="41" t="s">
        <v>13</v>
      </c>
      <c r="D479" s="60"/>
      <c r="E479" s="60"/>
      <c r="F479" s="42"/>
      <c r="G479" s="42">
        <f>G480</f>
        <v>1800000</v>
      </c>
      <c r="H479" s="210" t="b">
        <f t="shared" si="15"/>
        <v>1</v>
      </c>
      <c r="I479" s="210"/>
      <c r="J479" s="210"/>
    </row>
    <row r="480" spans="1:10" ht="13.8" x14ac:dyDescent="0.25">
      <c r="A480" s="7" t="s">
        <v>3330</v>
      </c>
      <c r="B480" s="152"/>
      <c r="C480" s="151" t="s">
        <v>3603</v>
      </c>
      <c r="D480" s="152">
        <v>12</v>
      </c>
      <c r="E480" s="152" t="s">
        <v>10</v>
      </c>
      <c r="F480" s="153">
        <v>150000</v>
      </c>
      <c r="G480" s="153">
        <f>ROUNDDOWN(D480*F480,-3)</f>
        <v>1800000</v>
      </c>
      <c r="H480" s="210" t="b">
        <f t="shared" si="15"/>
        <v>1</v>
      </c>
      <c r="I480" s="210"/>
      <c r="J480" s="210"/>
    </row>
    <row r="481" spans="1:10" ht="13.8" x14ac:dyDescent="0.25">
      <c r="A481" s="7" t="s">
        <v>3331</v>
      </c>
      <c r="B481" s="59" t="s">
        <v>511</v>
      </c>
      <c r="C481" s="38" t="s">
        <v>144</v>
      </c>
      <c r="D481" s="59"/>
      <c r="E481" s="59"/>
      <c r="F481" s="39"/>
      <c r="G481" s="39">
        <f>SUM(G482,G486,G488)</f>
        <v>30900000</v>
      </c>
      <c r="H481" s="210" t="b">
        <f t="shared" si="15"/>
        <v>1</v>
      </c>
      <c r="I481" s="210"/>
      <c r="J481" s="210"/>
    </row>
    <row r="482" spans="1:10" ht="13.8" x14ac:dyDescent="0.25">
      <c r="A482" s="7" t="s">
        <v>3332</v>
      </c>
      <c r="B482" s="60">
        <v>521211</v>
      </c>
      <c r="C482" s="41" t="s">
        <v>7</v>
      </c>
      <c r="D482" s="60"/>
      <c r="E482" s="60"/>
      <c r="F482" s="42"/>
      <c r="G482" s="42">
        <f>SUM(G483:G485)</f>
        <v>11400000</v>
      </c>
      <c r="H482" s="210" t="b">
        <f t="shared" si="15"/>
        <v>1</v>
      </c>
      <c r="I482" s="210"/>
      <c r="J482" s="210"/>
    </row>
    <row r="483" spans="1:10" ht="13.8" x14ac:dyDescent="0.25">
      <c r="A483" s="7" t="s">
        <v>3333</v>
      </c>
      <c r="B483" s="152"/>
      <c r="C483" s="151" t="s">
        <v>4269</v>
      </c>
      <c r="D483" s="152">
        <v>4</v>
      </c>
      <c r="E483" s="152" t="s">
        <v>9</v>
      </c>
      <c r="F483" s="153">
        <v>1500000</v>
      </c>
      <c r="G483" s="153">
        <f>ROUNDDOWN(D483*F483,-3)</f>
        <v>6000000</v>
      </c>
      <c r="H483" s="210" t="b">
        <f t="shared" si="15"/>
        <v>1</v>
      </c>
      <c r="I483" s="210"/>
      <c r="J483" s="210"/>
    </row>
    <row r="484" spans="1:10" ht="13.8" x14ac:dyDescent="0.25">
      <c r="A484" s="7" t="s">
        <v>3334</v>
      </c>
      <c r="B484" s="152"/>
      <c r="C484" s="151" t="s">
        <v>4420</v>
      </c>
      <c r="D484" s="152">
        <v>20</v>
      </c>
      <c r="E484" s="152" t="s">
        <v>10</v>
      </c>
      <c r="F484" s="153">
        <v>70000</v>
      </c>
      <c r="G484" s="153">
        <f>ROUNDDOWN(D484*F484,-3)</f>
        <v>1400000</v>
      </c>
      <c r="H484" s="210" t="b">
        <f t="shared" si="15"/>
        <v>1</v>
      </c>
      <c r="I484" s="210"/>
      <c r="J484" s="210"/>
    </row>
    <row r="485" spans="1:10" ht="13.8" x14ac:dyDescent="0.25">
      <c r="A485" s="7" t="s">
        <v>3335</v>
      </c>
      <c r="B485" s="152"/>
      <c r="C485" s="151" t="s">
        <v>3600</v>
      </c>
      <c r="D485" s="152">
        <v>4</v>
      </c>
      <c r="E485" s="152" t="s">
        <v>106</v>
      </c>
      <c r="F485" s="153">
        <v>1000000</v>
      </c>
      <c r="G485" s="153">
        <f>ROUNDDOWN(D485*F485,-3)</f>
        <v>4000000</v>
      </c>
      <c r="H485" s="210" t="b">
        <f t="shared" si="15"/>
        <v>1</v>
      </c>
      <c r="I485" s="210"/>
      <c r="J485" s="210"/>
    </row>
    <row r="486" spans="1:10" ht="13.8" x14ac:dyDescent="0.25">
      <c r="A486" s="7" t="s">
        <v>3336</v>
      </c>
      <c r="B486" s="60">
        <v>524111</v>
      </c>
      <c r="C486" s="41" t="s">
        <v>19</v>
      </c>
      <c r="D486" s="60"/>
      <c r="E486" s="60"/>
      <c r="F486" s="42"/>
      <c r="G486" s="42">
        <f>G487</f>
        <v>18000000</v>
      </c>
      <c r="H486" s="210" t="b">
        <f t="shared" si="15"/>
        <v>1</v>
      </c>
      <c r="I486" s="210"/>
      <c r="J486" s="210"/>
    </row>
    <row r="487" spans="1:10" ht="13.8" x14ac:dyDescent="0.25">
      <c r="A487" s="7" t="s">
        <v>3337</v>
      </c>
      <c r="B487" s="152"/>
      <c r="C487" s="151" t="s">
        <v>4582</v>
      </c>
      <c r="D487" s="152">
        <v>6</v>
      </c>
      <c r="E487" s="152" t="s">
        <v>10</v>
      </c>
      <c r="F487" s="153">
        <v>3000000</v>
      </c>
      <c r="G487" s="153">
        <f>ROUNDDOWN(D487*F487,-3)</f>
        <v>18000000</v>
      </c>
      <c r="H487" s="210" t="b">
        <f t="shared" si="15"/>
        <v>1</v>
      </c>
      <c r="I487" s="210"/>
      <c r="J487" s="210"/>
    </row>
    <row r="488" spans="1:10" ht="13.8" x14ac:dyDescent="0.25">
      <c r="A488" s="7" t="s">
        <v>3338</v>
      </c>
      <c r="B488" s="60">
        <v>524113</v>
      </c>
      <c r="C488" s="41" t="s">
        <v>13</v>
      </c>
      <c r="D488" s="60"/>
      <c r="E488" s="60"/>
      <c r="F488" s="42"/>
      <c r="G488" s="42">
        <f>G489</f>
        <v>1500000</v>
      </c>
      <c r="H488" s="210" t="b">
        <f t="shared" si="15"/>
        <v>1</v>
      </c>
      <c r="I488" s="210"/>
      <c r="J488" s="210"/>
    </row>
    <row r="489" spans="1:10" ht="13.8" x14ac:dyDescent="0.25">
      <c r="A489" s="7" t="s">
        <v>3339</v>
      </c>
      <c r="B489" s="152"/>
      <c r="C489" s="151" t="s">
        <v>3613</v>
      </c>
      <c r="D489" s="152">
        <v>10</v>
      </c>
      <c r="E489" s="152" t="s">
        <v>10</v>
      </c>
      <c r="F489" s="153">
        <v>150000</v>
      </c>
      <c r="G489" s="153">
        <f>ROUNDDOWN(D489*F489,-3)</f>
        <v>1500000</v>
      </c>
      <c r="H489" s="210" t="b">
        <f t="shared" si="15"/>
        <v>1</v>
      </c>
      <c r="I489" s="210"/>
      <c r="J489" s="210"/>
    </row>
    <row r="490" spans="1:10" ht="13.8" x14ac:dyDescent="0.25">
      <c r="A490" s="7" t="s">
        <v>3340</v>
      </c>
      <c r="B490" s="59" t="s">
        <v>512</v>
      </c>
      <c r="C490" s="38" t="s">
        <v>145</v>
      </c>
      <c r="D490" s="59"/>
      <c r="E490" s="59"/>
      <c r="F490" s="39"/>
      <c r="G490" s="39">
        <f>SUM(G491,G494,G496)</f>
        <v>26500000</v>
      </c>
      <c r="H490" s="210" t="b">
        <f t="shared" si="15"/>
        <v>1</v>
      </c>
      <c r="I490" s="210"/>
      <c r="J490" s="210"/>
    </row>
    <row r="491" spans="1:10" ht="13.8" x14ac:dyDescent="0.25">
      <c r="A491" s="7" t="s">
        <v>3341</v>
      </c>
      <c r="B491" s="60">
        <v>521211</v>
      </c>
      <c r="C491" s="41" t="s">
        <v>7</v>
      </c>
      <c r="D491" s="60"/>
      <c r="E491" s="60"/>
      <c r="F491" s="42"/>
      <c r="G491" s="42">
        <f>SUM(G492:G493)</f>
        <v>10000000</v>
      </c>
      <c r="H491" s="210" t="b">
        <f t="shared" si="15"/>
        <v>1</v>
      </c>
      <c r="I491" s="210"/>
      <c r="J491" s="210"/>
    </row>
    <row r="492" spans="1:10" ht="13.8" x14ac:dyDescent="0.25">
      <c r="A492" s="7" t="s">
        <v>3342</v>
      </c>
      <c r="B492" s="152"/>
      <c r="C492" s="151" t="s">
        <v>4269</v>
      </c>
      <c r="D492" s="152">
        <v>4</v>
      </c>
      <c r="E492" s="152" t="s">
        <v>9</v>
      </c>
      <c r="F492" s="153">
        <v>1500000</v>
      </c>
      <c r="G492" s="153">
        <f>ROUNDDOWN(D492*F492,-3)</f>
        <v>6000000</v>
      </c>
      <c r="H492" s="210" t="b">
        <f t="shared" si="15"/>
        <v>1</v>
      </c>
      <c r="I492" s="210"/>
      <c r="J492" s="210"/>
    </row>
    <row r="493" spans="1:10" ht="13.8" x14ac:dyDescent="0.25">
      <c r="A493" s="7" t="s">
        <v>3343</v>
      </c>
      <c r="B493" s="152"/>
      <c r="C493" s="151" t="s">
        <v>3632</v>
      </c>
      <c r="D493" s="152">
        <v>4</v>
      </c>
      <c r="E493" s="152" t="s">
        <v>106</v>
      </c>
      <c r="F493" s="153">
        <v>1000000</v>
      </c>
      <c r="G493" s="153">
        <f>ROUNDDOWN(D493*F493,-3)</f>
        <v>4000000</v>
      </c>
      <c r="H493" s="210" t="b">
        <f t="shared" si="15"/>
        <v>1</v>
      </c>
      <c r="I493" s="210"/>
      <c r="J493" s="210"/>
    </row>
    <row r="494" spans="1:10" ht="13.8" x14ac:dyDescent="0.25">
      <c r="A494" s="7" t="s">
        <v>3344</v>
      </c>
      <c r="B494" s="60">
        <v>524111</v>
      </c>
      <c r="C494" s="41" t="s">
        <v>19</v>
      </c>
      <c r="D494" s="60"/>
      <c r="E494" s="60"/>
      <c r="F494" s="42"/>
      <c r="G494" s="42">
        <f>G495</f>
        <v>15000000</v>
      </c>
      <c r="H494" s="210" t="b">
        <f t="shared" si="15"/>
        <v>1</v>
      </c>
      <c r="I494" s="210"/>
      <c r="J494" s="210"/>
    </row>
    <row r="495" spans="1:10" ht="13.8" x14ac:dyDescent="0.25">
      <c r="A495" s="7" t="s">
        <v>3345</v>
      </c>
      <c r="B495" s="152"/>
      <c r="C495" s="151" t="s">
        <v>4583</v>
      </c>
      <c r="D495" s="152">
        <v>5</v>
      </c>
      <c r="E495" s="152" t="s">
        <v>10</v>
      </c>
      <c r="F495" s="153">
        <v>3000000</v>
      </c>
      <c r="G495" s="153">
        <f>ROUNDDOWN(D495*F495,-3)</f>
        <v>15000000</v>
      </c>
      <c r="H495" s="210" t="b">
        <f t="shared" si="15"/>
        <v>1</v>
      </c>
      <c r="I495" s="210"/>
      <c r="J495" s="210"/>
    </row>
    <row r="496" spans="1:10" ht="13.8" x14ac:dyDescent="0.25">
      <c r="A496" s="7" t="s">
        <v>3347</v>
      </c>
      <c r="B496" s="60">
        <v>524113</v>
      </c>
      <c r="C496" s="41" t="s">
        <v>13</v>
      </c>
      <c r="D496" s="60"/>
      <c r="E496" s="60"/>
      <c r="F496" s="42"/>
      <c r="G496" s="42">
        <f>G497</f>
        <v>1500000</v>
      </c>
      <c r="H496" s="210" t="b">
        <f t="shared" si="15"/>
        <v>1</v>
      </c>
      <c r="I496" s="210"/>
      <c r="J496" s="210"/>
    </row>
    <row r="497" spans="1:10" ht="13.8" x14ac:dyDescent="0.25">
      <c r="A497" s="7" t="s">
        <v>3348</v>
      </c>
      <c r="B497" s="152"/>
      <c r="C497" s="151" t="s">
        <v>3613</v>
      </c>
      <c r="D497" s="152">
        <v>10</v>
      </c>
      <c r="E497" s="152" t="s">
        <v>10</v>
      </c>
      <c r="F497" s="153">
        <v>150000</v>
      </c>
      <c r="G497" s="153">
        <f>ROUNDDOWN(D497*F497,-3)</f>
        <v>1500000</v>
      </c>
      <c r="H497" s="210" t="b">
        <f t="shared" si="15"/>
        <v>1</v>
      </c>
      <c r="I497" s="210"/>
      <c r="J497" s="210"/>
    </row>
    <row r="498" spans="1:10" ht="13.8" x14ac:dyDescent="0.25">
      <c r="A498" s="7" t="s">
        <v>3349</v>
      </c>
      <c r="B498" s="59" t="s">
        <v>514</v>
      </c>
      <c r="C498" s="38" t="s">
        <v>3350</v>
      </c>
      <c r="D498" s="59"/>
      <c r="E498" s="59"/>
      <c r="F498" s="39"/>
      <c r="G498" s="39">
        <f>SUM(G499,G505,G507,G509)</f>
        <v>86700000</v>
      </c>
      <c r="H498" s="210" t="b">
        <f t="shared" si="15"/>
        <v>1</v>
      </c>
      <c r="I498" s="210"/>
      <c r="J498" s="210"/>
    </row>
    <row r="499" spans="1:10" ht="13.8" x14ac:dyDescent="0.25">
      <c r="A499" s="7" t="s">
        <v>3351</v>
      </c>
      <c r="B499" s="60">
        <v>521211</v>
      </c>
      <c r="C499" s="41" t="s">
        <v>7</v>
      </c>
      <c r="D499" s="60"/>
      <c r="E499" s="60"/>
      <c r="F499" s="42"/>
      <c r="G499" s="42">
        <f>SUM(G500:G504)</f>
        <v>32400000</v>
      </c>
      <c r="H499" s="210" t="b">
        <f t="shared" si="15"/>
        <v>1</v>
      </c>
      <c r="I499" s="210"/>
      <c r="J499" s="210"/>
    </row>
    <row r="500" spans="1:10" ht="13.8" x14ac:dyDescent="0.25">
      <c r="A500" s="7" t="s">
        <v>3352</v>
      </c>
      <c r="B500" s="152"/>
      <c r="C500" s="151" t="s">
        <v>4269</v>
      </c>
      <c r="D500" s="152">
        <v>6</v>
      </c>
      <c r="E500" s="152" t="s">
        <v>9</v>
      </c>
      <c r="F500" s="153">
        <v>1500000</v>
      </c>
      <c r="G500" s="153">
        <f>ROUNDDOWN(D500*F500,-3)</f>
        <v>9000000</v>
      </c>
      <c r="H500" s="210" t="b">
        <f t="shared" si="15"/>
        <v>1</v>
      </c>
      <c r="I500" s="210"/>
      <c r="J500" s="210"/>
    </row>
    <row r="501" spans="1:10" ht="13.8" x14ac:dyDescent="0.25">
      <c r="A501" s="7" t="s">
        <v>3353</v>
      </c>
      <c r="B501" s="152"/>
      <c r="C501" s="151" t="s">
        <v>4420</v>
      </c>
      <c r="D501" s="152">
        <v>20</v>
      </c>
      <c r="E501" s="152" t="s">
        <v>10</v>
      </c>
      <c r="F501" s="153">
        <v>70000</v>
      </c>
      <c r="G501" s="153">
        <f>ROUNDDOWN(D501*F501,-3)</f>
        <v>1400000</v>
      </c>
      <c r="H501" s="210" t="b">
        <f t="shared" si="15"/>
        <v>1</v>
      </c>
      <c r="I501" s="210"/>
      <c r="J501" s="210"/>
    </row>
    <row r="502" spans="1:10" s="212" customFormat="1" ht="13.8" x14ac:dyDescent="0.25">
      <c r="A502" s="211" t="s">
        <v>3354</v>
      </c>
      <c r="B502" s="152"/>
      <c r="C502" s="151" t="s">
        <v>4584</v>
      </c>
      <c r="D502" s="152">
        <v>28</v>
      </c>
      <c r="E502" s="152" t="s">
        <v>176</v>
      </c>
      <c r="F502" s="153">
        <v>500000</v>
      </c>
      <c r="G502" s="153">
        <f>ROUNDDOWN(D502*F502,-3)</f>
        <v>14000000</v>
      </c>
      <c r="H502" s="210" t="b">
        <f t="shared" si="15"/>
        <v>1</v>
      </c>
      <c r="I502" s="210"/>
      <c r="J502" s="210"/>
    </row>
    <row r="503" spans="1:10" ht="13.8" x14ac:dyDescent="0.25">
      <c r="A503" s="7" t="s">
        <v>3356</v>
      </c>
      <c r="B503" s="152"/>
      <c r="C503" s="151" t="s">
        <v>4585</v>
      </c>
      <c r="D503" s="152">
        <v>4</v>
      </c>
      <c r="E503" s="152" t="s">
        <v>58</v>
      </c>
      <c r="F503" s="153">
        <v>500000</v>
      </c>
      <c r="G503" s="153">
        <f>ROUNDDOWN(D503*F503,-3)</f>
        <v>2000000</v>
      </c>
      <c r="H503" s="210" t="b">
        <f t="shared" si="15"/>
        <v>1</v>
      </c>
      <c r="I503" s="210"/>
      <c r="J503" s="210"/>
    </row>
    <row r="504" spans="1:10" ht="13.8" x14ac:dyDescent="0.25">
      <c r="A504" s="7" t="s">
        <v>3358</v>
      </c>
      <c r="B504" s="152"/>
      <c r="C504" s="151" t="s">
        <v>4521</v>
      </c>
      <c r="D504" s="152">
        <v>6</v>
      </c>
      <c r="E504" s="152" t="s">
        <v>106</v>
      </c>
      <c r="F504" s="153">
        <v>1000000</v>
      </c>
      <c r="G504" s="153">
        <f>ROUNDDOWN(D504*F504,-3)</f>
        <v>6000000</v>
      </c>
      <c r="H504" s="210" t="b">
        <f t="shared" si="15"/>
        <v>1</v>
      </c>
      <c r="I504" s="210"/>
      <c r="J504" s="210"/>
    </row>
    <row r="505" spans="1:10" ht="13.8" x14ac:dyDescent="0.25">
      <c r="A505" s="7" t="s">
        <v>3359</v>
      </c>
      <c r="B505" s="60">
        <v>522151</v>
      </c>
      <c r="C505" s="41" t="s">
        <v>11</v>
      </c>
      <c r="D505" s="60"/>
      <c r="E505" s="60"/>
      <c r="F505" s="42"/>
      <c r="G505" s="42">
        <f>G506</f>
        <v>9000000</v>
      </c>
      <c r="H505" s="210" t="b">
        <f t="shared" si="15"/>
        <v>1</v>
      </c>
      <c r="I505" s="210"/>
      <c r="J505" s="210"/>
    </row>
    <row r="506" spans="1:10" ht="13.8" x14ac:dyDescent="0.25">
      <c r="A506" s="7" t="s">
        <v>3360</v>
      </c>
      <c r="B506" s="152"/>
      <c r="C506" s="151" t="s">
        <v>3715</v>
      </c>
      <c r="D506" s="152">
        <v>10</v>
      </c>
      <c r="E506" s="152" t="s">
        <v>12</v>
      </c>
      <c r="F506" s="153">
        <v>900000</v>
      </c>
      <c r="G506" s="153">
        <f>ROUNDDOWN(D506*F506,-3)</f>
        <v>9000000</v>
      </c>
      <c r="H506" s="210" t="b">
        <f t="shared" si="15"/>
        <v>1</v>
      </c>
      <c r="I506" s="210"/>
      <c r="J506" s="210"/>
    </row>
    <row r="507" spans="1:10" ht="13.8" x14ac:dyDescent="0.25">
      <c r="A507" s="7" t="s">
        <v>3361</v>
      </c>
      <c r="B507" s="60">
        <v>524111</v>
      </c>
      <c r="C507" s="41" t="s">
        <v>19</v>
      </c>
      <c r="D507" s="60"/>
      <c r="E507" s="60"/>
      <c r="F507" s="42"/>
      <c r="G507" s="42">
        <f>G508</f>
        <v>42000000</v>
      </c>
      <c r="H507" s="210" t="b">
        <f t="shared" si="15"/>
        <v>1</v>
      </c>
      <c r="I507" s="210"/>
      <c r="J507" s="210"/>
    </row>
    <row r="508" spans="1:10" ht="13.8" x14ac:dyDescent="0.25">
      <c r="A508" s="7" t="s">
        <v>3362</v>
      </c>
      <c r="B508" s="152"/>
      <c r="C508" s="151" t="s">
        <v>4586</v>
      </c>
      <c r="D508" s="152">
        <v>14</v>
      </c>
      <c r="E508" s="152" t="s">
        <v>10</v>
      </c>
      <c r="F508" s="153">
        <v>3000000</v>
      </c>
      <c r="G508" s="153">
        <f>ROUNDDOWN(D508*F508,-3)</f>
        <v>42000000</v>
      </c>
      <c r="H508" s="210" t="b">
        <f t="shared" si="15"/>
        <v>1</v>
      </c>
      <c r="I508" s="210"/>
      <c r="J508" s="210"/>
    </row>
    <row r="509" spans="1:10" ht="13.8" x14ac:dyDescent="0.25">
      <c r="A509" s="7" t="s">
        <v>3364</v>
      </c>
      <c r="B509" s="60">
        <v>524113</v>
      </c>
      <c r="C509" s="41" t="s">
        <v>13</v>
      </c>
      <c r="D509" s="60"/>
      <c r="E509" s="60"/>
      <c r="F509" s="42"/>
      <c r="G509" s="42">
        <f>G510</f>
        <v>3300000</v>
      </c>
      <c r="H509" s="210" t="b">
        <f t="shared" si="15"/>
        <v>1</v>
      </c>
      <c r="I509" s="210"/>
      <c r="J509" s="210"/>
    </row>
    <row r="510" spans="1:10" ht="13.8" x14ac:dyDescent="0.25">
      <c r="A510" s="7" t="s">
        <v>3365</v>
      </c>
      <c r="B510" s="152"/>
      <c r="C510" s="151" t="s">
        <v>4587</v>
      </c>
      <c r="D510" s="152">
        <v>22</v>
      </c>
      <c r="E510" s="152" t="s">
        <v>10</v>
      </c>
      <c r="F510" s="153">
        <v>150000</v>
      </c>
      <c r="G510" s="153">
        <f>ROUNDDOWN(D510*F510,-3)</f>
        <v>3300000</v>
      </c>
      <c r="H510" s="210" t="b">
        <f t="shared" si="15"/>
        <v>1</v>
      </c>
      <c r="I510" s="210"/>
      <c r="J510" s="210"/>
    </row>
    <row r="511" spans="1:10" ht="13.8" x14ac:dyDescent="0.25">
      <c r="A511" s="7" t="s">
        <v>3367</v>
      </c>
      <c r="B511" s="59" t="s">
        <v>519</v>
      </c>
      <c r="C511" s="38" t="s">
        <v>146</v>
      </c>
      <c r="D511" s="59"/>
      <c r="E511" s="59"/>
      <c r="F511" s="39"/>
      <c r="G511" s="39">
        <f>SUM(G512,G515,G517)</f>
        <v>28800000</v>
      </c>
      <c r="H511" s="210" t="b">
        <f t="shared" si="15"/>
        <v>1</v>
      </c>
      <c r="I511" s="210"/>
      <c r="J511" s="210"/>
    </row>
    <row r="512" spans="1:10" ht="13.8" x14ac:dyDescent="0.25">
      <c r="A512" s="7" t="s">
        <v>3368</v>
      </c>
      <c r="B512" s="60">
        <v>521211</v>
      </c>
      <c r="C512" s="41" t="s">
        <v>7</v>
      </c>
      <c r="D512" s="60"/>
      <c r="E512" s="60"/>
      <c r="F512" s="42"/>
      <c r="G512" s="42">
        <f>SUM(G513:G514)</f>
        <v>15000000</v>
      </c>
      <c r="H512" s="210" t="b">
        <f t="shared" si="15"/>
        <v>1</v>
      </c>
      <c r="I512" s="210"/>
      <c r="J512" s="210"/>
    </row>
    <row r="513" spans="1:10" ht="13.8" x14ac:dyDescent="0.25">
      <c r="A513" s="7" t="s">
        <v>3369</v>
      </c>
      <c r="B513" s="152"/>
      <c r="C513" s="151" t="s">
        <v>4269</v>
      </c>
      <c r="D513" s="152">
        <v>6</v>
      </c>
      <c r="E513" s="152" t="s">
        <v>9</v>
      </c>
      <c r="F513" s="153">
        <v>1500000</v>
      </c>
      <c r="G513" s="153">
        <f>ROUNDDOWN(D513*F513,-3)</f>
        <v>9000000</v>
      </c>
      <c r="H513" s="210" t="b">
        <f t="shared" si="15"/>
        <v>1</v>
      </c>
      <c r="I513" s="210"/>
      <c r="J513" s="210"/>
    </row>
    <row r="514" spans="1:10" ht="13.8" x14ac:dyDescent="0.25">
      <c r="A514" s="7" t="s">
        <v>3370</v>
      </c>
      <c r="B514" s="152"/>
      <c r="C514" s="151" t="s">
        <v>3632</v>
      </c>
      <c r="D514" s="152">
        <v>6</v>
      </c>
      <c r="E514" s="152" t="s">
        <v>106</v>
      </c>
      <c r="F514" s="153">
        <v>1000000</v>
      </c>
      <c r="G514" s="153">
        <f>ROUNDDOWN(D514*F514,-3)</f>
        <v>6000000</v>
      </c>
      <c r="H514" s="210" t="b">
        <f t="shared" si="15"/>
        <v>1</v>
      </c>
      <c r="I514" s="210"/>
      <c r="J514" s="210"/>
    </row>
    <row r="515" spans="1:10" ht="13.8" x14ac:dyDescent="0.25">
      <c r="A515" s="7" t="s">
        <v>3371</v>
      </c>
      <c r="B515" s="60">
        <v>524111</v>
      </c>
      <c r="C515" s="41" t="s">
        <v>19</v>
      </c>
      <c r="D515" s="60"/>
      <c r="E515" s="60"/>
      <c r="F515" s="42"/>
      <c r="G515" s="42">
        <f>G516</f>
        <v>12000000</v>
      </c>
      <c r="H515" s="210" t="b">
        <f t="shared" si="15"/>
        <v>1</v>
      </c>
      <c r="I515" s="210"/>
      <c r="J515" s="210"/>
    </row>
    <row r="516" spans="1:10" ht="13.8" x14ac:dyDescent="0.25">
      <c r="A516" s="7" t="s">
        <v>3372</v>
      </c>
      <c r="B516" s="152"/>
      <c r="C516" s="151" t="s">
        <v>4588</v>
      </c>
      <c r="D516" s="152">
        <v>4</v>
      </c>
      <c r="E516" s="152" t="s">
        <v>10</v>
      </c>
      <c r="F516" s="153">
        <v>3000000</v>
      </c>
      <c r="G516" s="153">
        <f>ROUNDDOWN(D516*F516,-3)</f>
        <v>12000000</v>
      </c>
      <c r="H516" s="210" t="b">
        <f t="shared" si="15"/>
        <v>1</v>
      </c>
      <c r="I516" s="210"/>
      <c r="J516" s="210"/>
    </row>
    <row r="517" spans="1:10" ht="13.8" x14ac:dyDescent="0.25">
      <c r="A517" s="7" t="s">
        <v>3374</v>
      </c>
      <c r="B517" s="60">
        <v>524113</v>
      </c>
      <c r="C517" s="41" t="s">
        <v>13</v>
      </c>
      <c r="D517" s="60"/>
      <c r="E517" s="60"/>
      <c r="F517" s="42"/>
      <c r="G517" s="42">
        <f>G518</f>
        <v>1800000</v>
      </c>
      <c r="H517" s="210" t="b">
        <f t="shared" si="15"/>
        <v>1</v>
      </c>
      <c r="I517" s="210"/>
      <c r="J517" s="210"/>
    </row>
    <row r="518" spans="1:10" ht="13.8" x14ac:dyDescent="0.25">
      <c r="A518" s="7" t="s">
        <v>3375</v>
      </c>
      <c r="B518" s="152"/>
      <c r="C518" s="151" t="s">
        <v>4589</v>
      </c>
      <c r="D518" s="152">
        <v>12</v>
      </c>
      <c r="E518" s="152" t="s">
        <v>10</v>
      </c>
      <c r="F518" s="153">
        <v>150000</v>
      </c>
      <c r="G518" s="153">
        <f>ROUNDDOWN(D518*F518,-3)</f>
        <v>1800000</v>
      </c>
      <c r="H518" s="210" t="b">
        <f t="shared" si="15"/>
        <v>1</v>
      </c>
      <c r="I518" s="210"/>
      <c r="J518" s="210"/>
    </row>
    <row r="519" spans="1:10" ht="13.8" x14ac:dyDescent="0.25">
      <c r="A519" s="7" t="s">
        <v>3377</v>
      </c>
      <c r="B519" s="59" t="s">
        <v>578</v>
      </c>
      <c r="C519" s="38" t="s">
        <v>147</v>
      </c>
      <c r="D519" s="59"/>
      <c r="E519" s="59"/>
      <c r="F519" s="39"/>
      <c r="G519" s="39">
        <f>SUM(G520,G522,G525,G527)</f>
        <v>76320000</v>
      </c>
      <c r="H519" s="210" t="b">
        <f t="shared" si="15"/>
        <v>1</v>
      </c>
      <c r="I519" s="210"/>
      <c r="J519" s="210"/>
    </row>
    <row r="520" spans="1:10" ht="13.8" x14ac:dyDescent="0.25">
      <c r="A520" s="7" t="s">
        <v>3378</v>
      </c>
      <c r="B520" s="60">
        <v>521211</v>
      </c>
      <c r="C520" s="41" t="s">
        <v>7</v>
      </c>
      <c r="D520" s="60"/>
      <c r="E520" s="60"/>
      <c r="F520" s="42"/>
      <c r="G520" s="42">
        <f>G521</f>
        <v>4800000</v>
      </c>
      <c r="H520" s="210" t="b">
        <f t="shared" si="15"/>
        <v>1</v>
      </c>
      <c r="I520" s="210"/>
      <c r="J520" s="210"/>
    </row>
    <row r="521" spans="1:10" ht="13.8" x14ac:dyDescent="0.25">
      <c r="A521" s="7" t="s">
        <v>3379</v>
      </c>
      <c r="B521" s="152"/>
      <c r="C521" s="151" t="s">
        <v>4590</v>
      </c>
      <c r="D521" s="152">
        <v>24</v>
      </c>
      <c r="E521" s="152" t="s">
        <v>176</v>
      </c>
      <c r="F521" s="153">
        <v>200000</v>
      </c>
      <c r="G521" s="153">
        <f>ROUNDDOWN(D521*F521,-3)</f>
        <v>4800000</v>
      </c>
      <c r="H521" s="210" t="b">
        <f t="shared" si="15"/>
        <v>1</v>
      </c>
      <c r="I521" s="210"/>
      <c r="J521" s="210"/>
    </row>
    <row r="522" spans="1:10" ht="13.8" x14ac:dyDescent="0.25">
      <c r="A522" s="7" t="s">
        <v>3381</v>
      </c>
      <c r="B522" s="60">
        <v>521811</v>
      </c>
      <c r="C522" s="41" t="s">
        <v>64</v>
      </c>
      <c r="D522" s="60"/>
      <c r="E522" s="60"/>
      <c r="F522" s="42"/>
      <c r="G522" s="42">
        <f>SUM(G523:G524)</f>
        <v>25000000</v>
      </c>
      <c r="H522" s="210" t="b">
        <f t="shared" si="15"/>
        <v>1</v>
      </c>
      <c r="I522" s="210"/>
      <c r="J522" s="210"/>
    </row>
    <row r="523" spans="1:10" ht="13.8" x14ac:dyDescent="0.25">
      <c r="A523" s="7" t="s">
        <v>3382</v>
      </c>
      <c r="B523" s="152"/>
      <c r="C523" s="151" t="s">
        <v>4269</v>
      </c>
      <c r="D523" s="152">
        <v>10</v>
      </c>
      <c r="E523" s="152" t="s">
        <v>9</v>
      </c>
      <c r="F523" s="153">
        <v>1500000</v>
      </c>
      <c r="G523" s="153">
        <f>ROUNDDOWN(D523*F523,-3)</f>
        <v>15000000</v>
      </c>
      <c r="H523" s="210" t="b">
        <f t="shared" si="15"/>
        <v>1</v>
      </c>
      <c r="I523" s="210"/>
      <c r="J523" s="210"/>
    </row>
    <row r="524" spans="1:10" ht="13.8" x14ac:dyDescent="0.25">
      <c r="A524" s="7" t="s">
        <v>3383</v>
      </c>
      <c r="B524" s="152"/>
      <c r="C524" s="151" t="s">
        <v>3632</v>
      </c>
      <c r="D524" s="152">
        <v>10</v>
      </c>
      <c r="E524" s="152" t="s">
        <v>2749</v>
      </c>
      <c r="F524" s="153">
        <v>1000000</v>
      </c>
      <c r="G524" s="153">
        <f>ROUNDDOWN(D524*F524,-3)</f>
        <v>10000000</v>
      </c>
      <c r="H524" s="210" t="b">
        <f t="shared" si="15"/>
        <v>1</v>
      </c>
      <c r="I524" s="210"/>
      <c r="J524" s="210"/>
    </row>
    <row r="525" spans="1:10" ht="13.8" x14ac:dyDescent="0.25">
      <c r="A525" s="7" t="s">
        <v>3384</v>
      </c>
      <c r="B525" s="60">
        <v>524111</v>
      </c>
      <c r="C525" s="41" t="s">
        <v>19</v>
      </c>
      <c r="D525" s="60"/>
      <c r="E525" s="60"/>
      <c r="F525" s="42"/>
      <c r="G525" s="42">
        <f>G526</f>
        <v>42770000</v>
      </c>
      <c r="H525" s="210" t="b">
        <f t="shared" si="15"/>
        <v>1</v>
      </c>
      <c r="I525" s="210"/>
      <c r="J525" s="210"/>
    </row>
    <row r="526" spans="1:10" ht="13.8" x14ac:dyDescent="0.25">
      <c r="A526" s="7" t="s">
        <v>3385</v>
      </c>
      <c r="B526" s="152"/>
      <c r="C526" s="151" t="s">
        <v>4591</v>
      </c>
      <c r="D526" s="152">
        <v>14</v>
      </c>
      <c r="E526" s="152" t="s">
        <v>10</v>
      </c>
      <c r="F526" s="153">
        <v>3055000</v>
      </c>
      <c r="G526" s="153">
        <f>ROUNDDOWN(D526*F526,-3)</f>
        <v>42770000</v>
      </c>
      <c r="H526" s="210" t="b">
        <f t="shared" ref="H526:H589" si="16">_xlfn.ISFORMULA(G526)</f>
        <v>1</v>
      </c>
      <c r="I526" s="210"/>
      <c r="J526" s="210"/>
    </row>
    <row r="527" spans="1:10" ht="13.8" x14ac:dyDescent="0.25">
      <c r="A527" s="7" t="s">
        <v>3387</v>
      </c>
      <c r="B527" s="60">
        <v>524113</v>
      </c>
      <c r="C527" s="41" t="s">
        <v>13</v>
      </c>
      <c r="D527" s="60"/>
      <c r="E527" s="60"/>
      <c r="F527" s="42"/>
      <c r="G527" s="42">
        <f>G528</f>
        <v>3750000</v>
      </c>
      <c r="H527" s="210" t="b">
        <f t="shared" si="16"/>
        <v>1</v>
      </c>
      <c r="I527" s="210"/>
      <c r="J527" s="210"/>
    </row>
    <row r="528" spans="1:10" ht="13.8" x14ac:dyDescent="0.25">
      <c r="A528" s="7" t="s">
        <v>3388</v>
      </c>
      <c r="B528" s="152"/>
      <c r="C528" s="151" t="s">
        <v>3618</v>
      </c>
      <c r="D528" s="152">
        <v>25</v>
      </c>
      <c r="E528" s="152" t="s">
        <v>10</v>
      </c>
      <c r="F528" s="153">
        <v>150000</v>
      </c>
      <c r="G528" s="153">
        <f>ROUNDDOWN(D528*F528,-3)</f>
        <v>3750000</v>
      </c>
      <c r="H528" s="210" t="b">
        <f t="shared" si="16"/>
        <v>1</v>
      </c>
      <c r="I528" s="210"/>
      <c r="J528" s="210"/>
    </row>
    <row r="529" spans="1:10" ht="13.8" x14ac:dyDescent="0.25">
      <c r="A529" s="7" t="s">
        <v>495</v>
      </c>
      <c r="B529" s="55">
        <v>4345</v>
      </c>
      <c r="C529" s="26" t="s">
        <v>188</v>
      </c>
      <c r="D529" s="55"/>
      <c r="E529" s="55"/>
      <c r="F529" s="27"/>
      <c r="G529" s="27">
        <f>G530</f>
        <v>8582500000</v>
      </c>
      <c r="H529" s="210" t="b">
        <f t="shared" si="16"/>
        <v>1</v>
      </c>
      <c r="I529" s="210"/>
      <c r="J529" s="210"/>
    </row>
    <row r="530" spans="1:10" ht="13.8" x14ac:dyDescent="0.25">
      <c r="A530" s="7" t="s">
        <v>3473</v>
      </c>
      <c r="B530" s="135" t="s">
        <v>3474</v>
      </c>
      <c r="C530" s="133" t="s">
        <v>2312</v>
      </c>
      <c r="D530" s="135">
        <v>4725</v>
      </c>
      <c r="E530" s="135" t="s">
        <v>155</v>
      </c>
      <c r="F530" s="136"/>
      <c r="G530" s="136">
        <f>G531</f>
        <v>8582500000</v>
      </c>
      <c r="H530" s="210" t="b">
        <f t="shared" si="16"/>
        <v>1</v>
      </c>
      <c r="I530" s="210"/>
      <c r="J530" s="210"/>
    </row>
    <row r="531" spans="1:10" ht="13.8" x14ac:dyDescent="0.25">
      <c r="A531" s="7" t="s">
        <v>3475</v>
      </c>
      <c r="B531" s="138" t="s">
        <v>4611</v>
      </c>
      <c r="C531" s="137" t="s">
        <v>3477</v>
      </c>
      <c r="D531" s="138">
        <v>4725</v>
      </c>
      <c r="E531" s="138" t="s">
        <v>155</v>
      </c>
      <c r="F531" s="139"/>
      <c r="G531" s="139">
        <f>SUM(G532,G580)</f>
        <v>8582500000</v>
      </c>
      <c r="H531" s="210" t="b">
        <f t="shared" si="16"/>
        <v>1</v>
      </c>
      <c r="I531" s="210"/>
      <c r="J531" s="210"/>
    </row>
    <row r="532" spans="1:10" ht="13.8" x14ac:dyDescent="0.25">
      <c r="A532" s="7" t="s">
        <v>3478</v>
      </c>
      <c r="B532" s="58">
        <v>301</v>
      </c>
      <c r="C532" s="35" t="s">
        <v>189</v>
      </c>
      <c r="D532" s="58"/>
      <c r="E532" s="58"/>
      <c r="F532" s="36"/>
      <c r="G532" s="36">
        <f>SUM(G533,G552,G568,G577)</f>
        <v>8473300000</v>
      </c>
      <c r="H532" s="210" t="b">
        <f t="shared" si="16"/>
        <v>1</v>
      </c>
      <c r="I532" s="210"/>
      <c r="J532" s="210"/>
    </row>
    <row r="533" spans="1:10" ht="13.8" x14ac:dyDescent="0.25">
      <c r="A533" s="7" t="s">
        <v>3479</v>
      </c>
      <c r="B533" s="59" t="s">
        <v>8</v>
      </c>
      <c r="C533" s="38" t="s">
        <v>190</v>
      </c>
      <c r="D533" s="59"/>
      <c r="E533" s="59"/>
      <c r="F533" s="39"/>
      <c r="G533" s="39">
        <f>SUM(G534,G539,G542,G545,G547,G549)</f>
        <v>1713564000</v>
      </c>
      <c r="H533" s="210" t="b">
        <f t="shared" si="16"/>
        <v>1</v>
      </c>
      <c r="I533" s="210"/>
      <c r="J533" s="210"/>
    </row>
    <row r="534" spans="1:10" ht="13.8" x14ac:dyDescent="0.25">
      <c r="A534" s="7" t="s">
        <v>3480</v>
      </c>
      <c r="B534" s="60">
        <v>521211</v>
      </c>
      <c r="C534" s="41" t="s">
        <v>7</v>
      </c>
      <c r="D534" s="60"/>
      <c r="E534" s="60"/>
      <c r="F534" s="42"/>
      <c r="G534" s="42">
        <f>SUM(G535:G538)</f>
        <v>99100000</v>
      </c>
      <c r="H534" s="210" t="b">
        <f t="shared" si="16"/>
        <v>1</v>
      </c>
      <c r="I534" s="210"/>
      <c r="J534" s="210"/>
    </row>
    <row r="535" spans="1:10" ht="13.8" x14ac:dyDescent="0.25">
      <c r="A535" s="7" t="s">
        <v>3481</v>
      </c>
      <c r="B535" s="152"/>
      <c r="C535" s="151" t="s">
        <v>4612</v>
      </c>
      <c r="D535" s="152">
        <v>400</v>
      </c>
      <c r="E535" s="152" t="s">
        <v>10</v>
      </c>
      <c r="F535" s="153">
        <v>70000</v>
      </c>
      <c r="G535" s="153">
        <f>ROUNDDOWN(D535*F535,-3)</f>
        <v>28000000</v>
      </c>
      <c r="H535" s="210" t="b">
        <f t="shared" si="16"/>
        <v>1</v>
      </c>
      <c r="I535" s="210"/>
      <c r="J535" s="210"/>
    </row>
    <row r="536" spans="1:10" ht="13.8" x14ac:dyDescent="0.25">
      <c r="A536" s="7" t="s">
        <v>3482</v>
      </c>
      <c r="B536" s="152"/>
      <c r="C536" s="151" t="s">
        <v>4613</v>
      </c>
      <c r="D536" s="152">
        <v>10</v>
      </c>
      <c r="E536" s="152" t="s">
        <v>9</v>
      </c>
      <c r="F536" s="153">
        <v>1500000</v>
      </c>
      <c r="G536" s="153">
        <f>ROUNDDOWN(D536*F536,-3)</f>
        <v>15000000</v>
      </c>
      <c r="H536" s="210" t="b">
        <f t="shared" si="16"/>
        <v>1</v>
      </c>
      <c r="I536" s="210"/>
      <c r="J536" s="210"/>
    </row>
    <row r="537" spans="1:10" ht="13.8" x14ac:dyDescent="0.25">
      <c r="A537" s="7" t="s">
        <v>3484</v>
      </c>
      <c r="B537" s="152"/>
      <c r="C537" s="151" t="s">
        <v>4614</v>
      </c>
      <c r="D537" s="152">
        <v>120</v>
      </c>
      <c r="E537" s="152" t="s">
        <v>25</v>
      </c>
      <c r="F537" s="153">
        <v>280000</v>
      </c>
      <c r="G537" s="153">
        <f>ROUNDDOWN(D537*F537,-3)</f>
        <v>33600000</v>
      </c>
      <c r="H537" s="210" t="b">
        <f t="shared" si="16"/>
        <v>1</v>
      </c>
      <c r="I537" s="210"/>
      <c r="J537" s="210"/>
    </row>
    <row r="538" spans="1:10" ht="13.8" x14ac:dyDescent="0.25">
      <c r="A538" s="7" t="s">
        <v>3486</v>
      </c>
      <c r="B538" s="152"/>
      <c r="C538" s="151" t="s">
        <v>4615</v>
      </c>
      <c r="D538" s="152">
        <v>150</v>
      </c>
      <c r="E538" s="152" t="s">
        <v>25</v>
      </c>
      <c r="F538" s="153">
        <v>150000</v>
      </c>
      <c r="G538" s="153">
        <f>ROUNDDOWN(D538*F538,-3)</f>
        <v>22500000</v>
      </c>
      <c r="H538" s="210" t="b">
        <f t="shared" si="16"/>
        <v>1</v>
      </c>
      <c r="I538" s="210"/>
      <c r="J538" s="210"/>
    </row>
    <row r="539" spans="1:10" ht="13.8" x14ac:dyDescent="0.25">
      <c r="A539" s="7" t="s">
        <v>3488</v>
      </c>
      <c r="B539" s="60">
        <v>521219</v>
      </c>
      <c r="C539" s="41" t="s">
        <v>53</v>
      </c>
      <c r="D539" s="60"/>
      <c r="E539" s="60"/>
      <c r="F539" s="42"/>
      <c r="G539" s="42">
        <f>SUM(G540:G541)</f>
        <v>1333864000</v>
      </c>
      <c r="H539" s="210" t="b">
        <f t="shared" si="16"/>
        <v>1</v>
      </c>
      <c r="I539" s="210"/>
      <c r="J539" s="210"/>
    </row>
    <row r="540" spans="1:10" ht="13.8" x14ac:dyDescent="0.25">
      <c r="A540" s="7" t="s">
        <v>3489</v>
      </c>
      <c r="B540" s="152"/>
      <c r="C540" s="151" t="s">
        <v>4616</v>
      </c>
      <c r="D540" s="152">
        <v>33</v>
      </c>
      <c r="E540" s="152" t="s">
        <v>155</v>
      </c>
      <c r="F540" s="153">
        <v>40412550</v>
      </c>
      <c r="G540" s="153">
        <f>ROUNDDOWN(D540*F540,-3)</f>
        <v>1333614000</v>
      </c>
      <c r="H540" s="210" t="b">
        <f t="shared" si="16"/>
        <v>1</v>
      </c>
      <c r="I540" s="210"/>
      <c r="J540" s="210"/>
    </row>
    <row r="541" spans="1:10" ht="13.8" x14ac:dyDescent="0.25">
      <c r="A541" s="7" t="s">
        <v>3491</v>
      </c>
      <c r="B541" s="152"/>
      <c r="C541" s="151" t="s">
        <v>4617</v>
      </c>
      <c r="D541" s="152">
        <v>1</v>
      </c>
      <c r="E541" s="152" t="s">
        <v>9</v>
      </c>
      <c r="F541" s="153">
        <v>250000</v>
      </c>
      <c r="G541" s="153">
        <f>ROUNDDOWN(D541*F541,-3)</f>
        <v>250000</v>
      </c>
      <c r="H541" s="210" t="b">
        <f t="shared" si="16"/>
        <v>1</v>
      </c>
      <c r="I541" s="210"/>
      <c r="J541" s="210"/>
    </row>
    <row r="542" spans="1:10" ht="13.8" x14ac:dyDescent="0.25">
      <c r="A542" s="7" t="s">
        <v>3492</v>
      </c>
      <c r="B542" s="60">
        <v>521811</v>
      </c>
      <c r="C542" s="41" t="s">
        <v>64</v>
      </c>
      <c r="D542" s="60"/>
      <c r="E542" s="60"/>
      <c r="F542" s="42"/>
      <c r="G542" s="42">
        <f>SUM(G543:G544)</f>
        <v>25000000</v>
      </c>
      <c r="H542" s="210" t="b">
        <f t="shared" si="16"/>
        <v>1</v>
      </c>
      <c r="I542" s="210"/>
      <c r="J542" s="210"/>
    </row>
    <row r="543" spans="1:10" ht="13.8" x14ac:dyDescent="0.25">
      <c r="A543" s="7" t="s">
        <v>3493</v>
      </c>
      <c r="B543" s="152"/>
      <c r="C543" s="151" t="s">
        <v>4269</v>
      </c>
      <c r="D543" s="152">
        <v>10</v>
      </c>
      <c r="E543" s="152" t="s">
        <v>9</v>
      </c>
      <c r="F543" s="153">
        <v>1000000</v>
      </c>
      <c r="G543" s="153">
        <f>ROUNDDOWN(D543*F543,-3)</f>
        <v>10000000</v>
      </c>
      <c r="H543" s="210" t="b">
        <f t="shared" si="16"/>
        <v>1</v>
      </c>
      <c r="I543" s="210"/>
      <c r="J543" s="210"/>
    </row>
    <row r="544" spans="1:10" ht="13.8" x14ac:dyDescent="0.25">
      <c r="A544" s="7" t="s">
        <v>3494</v>
      </c>
      <c r="B544" s="152"/>
      <c r="C544" s="151" t="s">
        <v>3632</v>
      </c>
      <c r="D544" s="152">
        <v>10</v>
      </c>
      <c r="E544" s="152" t="s">
        <v>9</v>
      </c>
      <c r="F544" s="153">
        <v>1500000</v>
      </c>
      <c r="G544" s="153">
        <f>ROUNDDOWN(D544*F544,-3)</f>
        <v>15000000</v>
      </c>
      <c r="H544" s="210" t="b">
        <f t="shared" si="16"/>
        <v>1</v>
      </c>
      <c r="I544" s="210"/>
      <c r="J544" s="210"/>
    </row>
    <row r="545" spans="1:10" ht="13.8" x14ac:dyDescent="0.25">
      <c r="A545" s="7" t="s">
        <v>3495</v>
      </c>
      <c r="B545" s="60">
        <v>522151</v>
      </c>
      <c r="C545" s="41" t="s">
        <v>11</v>
      </c>
      <c r="D545" s="60"/>
      <c r="E545" s="60"/>
      <c r="F545" s="42"/>
      <c r="G545" s="42">
        <f>G546</f>
        <v>15000000</v>
      </c>
      <c r="H545" s="210" t="b">
        <f t="shared" si="16"/>
        <v>1</v>
      </c>
      <c r="I545" s="210"/>
      <c r="J545" s="210"/>
    </row>
    <row r="546" spans="1:10" ht="13.8" x14ac:dyDescent="0.25">
      <c r="A546" s="7" t="s">
        <v>3496</v>
      </c>
      <c r="B546" s="152"/>
      <c r="C546" s="151" t="s">
        <v>3715</v>
      </c>
      <c r="D546" s="152">
        <v>15</v>
      </c>
      <c r="E546" s="152" t="s">
        <v>12</v>
      </c>
      <c r="F546" s="153">
        <v>1000000</v>
      </c>
      <c r="G546" s="153">
        <f>ROUNDDOWN(D546*F546,-3)</f>
        <v>15000000</v>
      </c>
      <c r="H546" s="210" t="b">
        <f t="shared" si="16"/>
        <v>1</v>
      </c>
      <c r="I546" s="210"/>
      <c r="J546" s="210"/>
    </row>
    <row r="547" spans="1:10" ht="13.8" x14ac:dyDescent="0.25">
      <c r="A547" s="7" t="s">
        <v>3497</v>
      </c>
      <c r="B547" s="60">
        <v>522191</v>
      </c>
      <c r="C547" s="41" t="s">
        <v>22</v>
      </c>
      <c r="D547" s="60"/>
      <c r="E547" s="60"/>
      <c r="F547" s="42"/>
      <c r="G547" s="42">
        <f>G548</f>
        <v>102600000</v>
      </c>
      <c r="H547" s="210" t="b">
        <f t="shared" si="16"/>
        <v>1</v>
      </c>
      <c r="I547" s="210"/>
      <c r="J547" s="210"/>
    </row>
    <row r="548" spans="1:10" ht="13.8" x14ac:dyDescent="0.25">
      <c r="A548" s="7" t="s">
        <v>3498</v>
      </c>
      <c r="B548" s="152"/>
      <c r="C548" s="151" t="s">
        <v>4618</v>
      </c>
      <c r="D548" s="152">
        <v>120</v>
      </c>
      <c r="E548" s="152" t="s">
        <v>155</v>
      </c>
      <c r="F548" s="153">
        <v>855000</v>
      </c>
      <c r="G548" s="153">
        <f>ROUNDDOWN(D548*F548,-3)</f>
        <v>102600000</v>
      </c>
      <c r="H548" s="210" t="b">
        <f t="shared" si="16"/>
        <v>1</v>
      </c>
      <c r="I548" s="210"/>
      <c r="J548" s="210"/>
    </row>
    <row r="549" spans="1:10" ht="13.8" x14ac:dyDescent="0.25">
      <c r="A549" s="7" t="s">
        <v>3500</v>
      </c>
      <c r="B549" s="60">
        <v>524111</v>
      </c>
      <c r="C549" s="41" t="s">
        <v>19</v>
      </c>
      <c r="D549" s="60"/>
      <c r="E549" s="60"/>
      <c r="F549" s="42"/>
      <c r="G549" s="42">
        <f>SUM(G550:G551)</f>
        <v>138000000</v>
      </c>
      <c r="H549" s="210" t="b">
        <f t="shared" si="16"/>
        <v>1</v>
      </c>
      <c r="I549" s="210"/>
      <c r="J549" s="210"/>
    </row>
    <row r="550" spans="1:10" ht="13.8" x14ac:dyDescent="0.25">
      <c r="A550" s="7" t="s">
        <v>3501</v>
      </c>
      <c r="B550" s="152"/>
      <c r="C550" s="151" t="s">
        <v>4619</v>
      </c>
      <c r="D550" s="152">
        <v>50</v>
      </c>
      <c r="E550" s="152" t="s">
        <v>10</v>
      </c>
      <c r="F550" s="153">
        <v>1200000</v>
      </c>
      <c r="G550" s="153">
        <f>ROUNDDOWN(D550*F550,-3)</f>
        <v>60000000</v>
      </c>
      <c r="H550" s="210" t="b">
        <f t="shared" si="16"/>
        <v>1</v>
      </c>
      <c r="I550" s="210"/>
      <c r="J550" s="210"/>
    </row>
    <row r="551" spans="1:10" ht="13.8" x14ac:dyDescent="0.25">
      <c r="A551" s="7" t="s">
        <v>3503</v>
      </c>
      <c r="B551" s="152"/>
      <c r="C551" s="151" t="s">
        <v>4620</v>
      </c>
      <c r="D551" s="152">
        <v>12</v>
      </c>
      <c r="E551" s="152" t="s">
        <v>10</v>
      </c>
      <c r="F551" s="153">
        <v>6500000</v>
      </c>
      <c r="G551" s="153">
        <f>ROUNDDOWN(D551*F551,-3)</f>
        <v>78000000</v>
      </c>
      <c r="H551" s="210" t="b">
        <f t="shared" si="16"/>
        <v>1</v>
      </c>
      <c r="I551" s="210"/>
      <c r="J551" s="210"/>
    </row>
    <row r="552" spans="1:10" ht="13.8" x14ac:dyDescent="0.25">
      <c r="A552" s="7" t="s">
        <v>3505</v>
      </c>
      <c r="B552" s="59" t="s">
        <v>511</v>
      </c>
      <c r="C552" s="38" t="s">
        <v>191</v>
      </c>
      <c r="D552" s="59"/>
      <c r="E552" s="59"/>
      <c r="F552" s="39"/>
      <c r="G552" s="39">
        <f>SUM(G553,G556,G560,G563,G565)</f>
        <v>6555695000</v>
      </c>
      <c r="H552" s="210" t="b">
        <f t="shared" si="16"/>
        <v>1</v>
      </c>
      <c r="I552" s="210"/>
      <c r="J552" s="210"/>
    </row>
    <row r="553" spans="1:10" ht="13.8" x14ac:dyDescent="0.25">
      <c r="A553" s="7" t="s">
        <v>3506</v>
      </c>
      <c r="B553" s="60">
        <v>521211</v>
      </c>
      <c r="C553" s="41" t="s">
        <v>7</v>
      </c>
      <c r="D553" s="60"/>
      <c r="E553" s="60"/>
      <c r="F553" s="42"/>
      <c r="G553" s="42">
        <f>SUM(G554:G555)</f>
        <v>25000000</v>
      </c>
      <c r="H553" s="210" t="b">
        <f t="shared" si="16"/>
        <v>1</v>
      </c>
      <c r="I553" s="210"/>
      <c r="J553" s="210"/>
    </row>
    <row r="554" spans="1:10" ht="13.8" x14ac:dyDescent="0.25">
      <c r="A554" s="7" t="s">
        <v>3507</v>
      </c>
      <c r="B554" s="152"/>
      <c r="C554" s="151" t="s">
        <v>4612</v>
      </c>
      <c r="D554" s="152">
        <v>100</v>
      </c>
      <c r="E554" s="152" t="s">
        <v>10</v>
      </c>
      <c r="F554" s="153">
        <v>70000</v>
      </c>
      <c r="G554" s="153">
        <f>ROUNDDOWN(D554*F554,-3)</f>
        <v>7000000</v>
      </c>
      <c r="H554" s="210" t="b">
        <f t="shared" si="16"/>
        <v>1</v>
      </c>
      <c r="I554" s="210"/>
      <c r="J554" s="210"/>
    </row>
    <row r="555" spans="1:10" ht="13.8" x14ac:dyDescent="0.25">
      <c r="A555" s="7" t="s">
        <v>3508</v>
      </c>
      <c r="B555" s="152"/>
      <c r="C555" s="151" t="s">
        <v>4613</v>
      </c>
      <c r="D555" s="152">
        <v>12</v>
      </c>
      <c r="E555" s="152" t="s">
        <v>9</v>
      </c>
      <c r="F555" s="153">
        <v>1500000</v>
      </c>
      <c r="G555" s="153">
        <f>ROUNDDOWN(D555*F555,-3)</f>
        <v>18000000</v>
      </c>
      <c r="H555" s="210" t="b">
        <f t="shared" si="16"/>
        <v>1</v>
      </c>
      <c r="I555" s="210"/>
      <c r="J555" s="210"/>
    </row>
    <row r="556" spans="1:10" ht="13.8" x14ac:dyDescent="0.25">
      <c r="A556" s="7" t="s">
        <v>3509</v>
      </c>
      <c r="B556" s="60">
        <v>521219</v>
      </c>
      <c r="C556" s="41" t="s">
        <v>53</v>
      </c>
      <c r="D556" s="60"/>
      <c r="E556" s="60"/>
      <c r="F556" s="42"/>
      <c r="G556" s="42">
        <f>SUM(G557:G559)</f>
        <v>6308695000</v>
      </c>
      <c r="H556" s="210" t="b">
        <f t="shared" si="16"/>
        <v>1</v>
      </c>
      <c r="I556" s="210"/>
      <c r="J556" s="210"/>
    </row>
    <row r="557" spans="1:10" ht="13.8" x14ac:dyDescent="0.25">
      <c r="A557" s="7" t="s">
        <v>3510</v>
      </c>
      <c r="B557" s="152"/>
      <c r="C557" s="151" t="s">
        <v>4616</v>
      </c>
      <c r="D557" s="152">
        <v>157</v>
      </c>
      <c r="E557" s="152" t="s">
        <v>155</v>
      </c>
      <c r="F557" s="153">
        <v>40130229</v>
      </c>
      <c r="G557" s="153">
        <f>ROUNDDOWN(D557*F557,-3)</f>
        <v>6300445000</v>
      </c>
      <c r="H557" s="210" t="b">
        <f t="shared" si="16"/>
        <v>1</v>
      </c>
      <c r="I557" s="210"/>
      <c r="J557" s="210"/>
    </row>
    <row r="558" spans="1:10" ht="13.8" x14ac:dyDescent="0.25">
      <c r="A558" s="7" t="s">
        <v>3511</v>
      </c>
      <c r="B558" s="152"/>
      <c r="C558" s="151" t="s">
        <v>4617</v>
      </c>
      <c r="D558" s="152">
        <v>3</v>
      </c>
      <c r="E558" s="152" t="s">
        <v>9</v>
      </c>
      <c r="F558" s="153">
        <v>250000</v>
      </c>
      <c r="G558" s="153">
        <f>ROUNDDOWN(D558*F558,-3)</f>
        <v>750000</v>
      </c>
      <c r="H558" s="210" t="b">
        <f t="shared" si="16"/>
        <v>1</v>
      </c>
      <c r="I558" s="210"/>
      <c r="J558" s="210"/>
    </row>
    <row r="559" spans="1:10" ht="13.8" x14ac:dyDescent="0.25">
      <c r="A559" s="7" t="s">
        <v>3512</v>
      </c>
      <c r="B559" s="152"/>
      <c r="C559" s="151" t="s">
        <v>4621</v>
      </c>
      <c r="D559" s="152">
        <v>15</v>
      </c>
      <c r="E559" s="152" t="s">
        <v>106</v>
      </c>
      <c r="F559" s="153">
        <v>500000</v>
      </c>
      <c r="G559" s="153">
        <f>ROUNDDOWN(D559*F559,-3)</f>
        <v>7500000</v>
      </c>
      <c r="H559" s="210" t="b">
        <f t="shared" si="16"/>
        <v>1</v>
      </c>
      <c r="I559" s="210"/>
      <c r="J559" s="210"/>
    </row>
    <row r="560" spans="1:10" ht="13.8" x14ac:dyDescent="0.25">
      <c r="A560" s="7" t="s">
        <v>3514</v>
      </c>
      <c r="B560" s="60">
        <v>521811</v>
      </c>
      <c r="C560" s="41" t="s">
        <v>64</v>
      </c>
      <c r="D560" s="60"/>
      <c r="E560" s="60"/>
      <c r="F560" s="42"/>
      <c r="G560" s="42">
        <f>SUM(G561:G562)</f>
        <v>30000000</v>
      </c>
      <c r="H560" s="210" t="b">
        <f t="shared" si="16"/>
        <v>1</v>
      </c>
      <c r="I560" s="210"/>
      <c r="J560" s="210"/>
    </row>
    <row r="561" spans="1:10" ht="13.8" x14ac:dyDescent="0.25">
      <c r="A561" s="7" t="s">
        <v>3515</v>
      </c>
      <c r="B561" s="152"/>
      <c r="C561" s="151" t="s">
        <v>4269</v>
      </c>
      <c r="D561" s="152">
        <v>12</v>
      </c>
      <c r="E561" s="152" t="s">
        <v>9</v>
      </c>
      <c r="F561" s="153">
        <v>1000000</v>
      </c>
      <c r="G561" s="153">
        <f>ROUNDDOWN(D561*F561,-3)</f>
        <v>12000000</v>
      </c>
      <c r="H561" s="210" t="b">
        <f t="shared" si="16"/>
        <v>1</v>
      </c>
      <c r="I561" s="210"/>
      <c r="J561" s="210"/>
    </row>
    <row r="562" spans="1:10" ht="13.8" x14ac:dyDescent="0.25">
      <c r="A562" s="7" t="s">
        <v>3516</v>
      </c>
      <c r="B562" s="152"/>
      <c r="C562" s="151" t="s">
        <v>3632</v>
      </c>
      <c r="D562" s="152">
        <v>12</v>
      </c>
      <c r="E562" s="152" t="s">
        <v>9</v>
      </c>
      <c r="F562" s="153">
        <v>1500000</v>
      </c>
      <c r="G562" s="153">
        <f>ROUNDDOWN(D562*F562,-3)</f>
        <v>18000000</v>
      </c>
      <c r="H562" s="210" t="b">
        <f t="shared" si="16"/>
        <v>1</v>
      </c>
      <c r="I562" s="210"/>
      <c r="J562" s="210"/>
    </row>
    <row r="563" spans="1:10" ht="13.8" x14ac:dyDescent="0.25">
      <c r="A563" s="7" t="s">
        <v>3517</v>
      </c>
      <c r="B563" s="60">
        <v>522151</v>
      </c>
      <c r="C563" s="41" t="s">
        <v>11</v>
      </c>
      <c r="D563" s="60"/>
      <c r="E563" s="60"/>
      <c r="F563" s="42"/>
      <c r="G563" s="42">
        <f>G564</f>
        <v>6000000</v>
      </c>
      <c r="H563" s="210" t="b">
        <f t="shared" si="16"/>
        <v>1</v>
      </c>
      <c r="I563" s="210"/>
      <c r="J563" s="210"/>
    </row>
    <row r="564" spans="1:10" ht="13.8" x14ac:dyDescent="0.25">
      <c r="A564" s="7" t="s">
        <v>3518</v>
      </c>
      <c r="B564" s="152"/>
      <c r="C564" s="151" t="s">
        <v>3715</v>
      </c>
      <c r="D564" s="152">
        <v>6</v>
      </c>
      <c r="E564" s="152" t="s">
        <v>12</v>
      </c>
      <c r="F564" s="153">
        <v>1000000</v>
      </c>
      <c r="G564" s="153">
        <f>ROUNDDOWN(D564*F564,-3)</f>
        <v>6000000</v>
      </c>
      <c r="H564" s="210" t="b">
        <f t="shared" si="16"/>
        <v>1</v>
      </c>
      <c r="I564" s="210"/>
      <c r="J564" s="210"/>
    </row>
    <row r="565" spans="1:10" ht="13.8" x14ac:dyDescent="0.25">
      <c r="A565" s="7" t="s">
        <v>3519</v>
      </c>
      <c r="B565" s="60">
        <v>524111</v>
      </c>
      <c r="C565" s="41" t="s">
        <v>19</v>
      </c>
      <c r="D565" s="60"/>
      <c r="E565" s="60"/>
      <c r="F565" s="42"/>
      <c r="G565" s="42">
        <f>SUM(G566:G567)</f>
        <v>186000000</v>
      </c>
      <c r="H565" s="210" t="b">
        <f t="shared" si="16"/>
        <v>1</v>
      </c>
      <c r="I565" s="210"/>
      <c r="J565" s="210"/>
    </row>
    <row r="566" spans="1:10" ht="13.8" x14ac:dyDescent="0.25">
      <c r="A566" s="7" t="s">
        <v>3520</v>
      </c>
      <c r="B566" s="152"/>
      <c r="C566" s="151" t="s">
        <v>4619</v>
      </c>
      <c r="D566" s="152">
        <v>20</v>
      </c>
      <c r="E566" s="152" t="s">
        <v>10</v>
      </c>
      <c r="F566" s="153">
        <v>1500000</v>
      </c>
      <c r="G566" s="153">
        <f>ROUNDDOWN(D566*F566,-3)</f>
        <v>30000000</v>
      </c>
      <c r="H566" s="210" t="b">
        <f t="shared" si="16"/>
        <v>1</v>
      </c>
      <c r="I566" s="210"/>
      <c r="J566" s="210"/>
    </row>
    <row r="567" spans="1:10" ht="13.8" x14ac:dyDescent="0.25">
      <c r="A567" s="7" t="s">
        <v>3521</v>
      </c>
      <c r="B567" s="152"/>
      <c r="C567" s="151" t="s">
        <v>4620</v>
      </c>
      <c r="D567" s="152">
        <v>24</v>
      </c>
      <c r="E567" s="152" t="s">
        <v>10</v>
      </c>
      <c r="F567" s="153">
        <v>6500000</v>
      </c>
      <c r="G567" s="153">
        <f>ROUNDDOWN(D567*F567,-3)</f>
        <v>156000000</v>
      </c>
      <c r="H567" s="210" t="b">
        <f t="shared" si="16"/>
        <v>1</v>
      </c>
      <c r="I567" s="210"/>
      <c r="J567" s="210"/>
    </row>
    <row r="568" spans="1:10" ht="13.8" x14ac:dyDescent="0.25">
      <c r="A568" s="7" t="s">
        <v>3522</v>
      </c>
      <c r="B568" s="59" t="s">
        <v>512</v>
      </c>
      <c r="C568" s="38" t="s">
        <v>192</v>
      </c>
      <c r="D568" s="59"/>
      <c r="E568" s="59"/>
      <c r="F568" s="39"/>
      <c r="G568" s="39">
        <f>SUM(G569,G573,G575)</f>
        <v>174041000</v>
      </c>
      <c r="H568" s="210" t="b">
        <f t="shared" si="16"/>
        <v>1</v>
      </c>
      <c r="I568" s="210"/>
      <c r="J568" s="210"/>
    </row>
    <row r="569" spans="1:10" ht="13.8" x14ac:dyDescent="0.25">
      <c r="A569" s="7" t="s">
        <v>3523</v>
      </c>
      <c r="B569" s="60">
        <v>521211</v>
      </c>
      <c r="C569" s="41" t="s">
        <v>7</v>
      </c>
      <c r="D569" s="60"/>
      <c r="E569" s="60"/>
      <c r="F569" s="42"/>
      <c r="G569" s="42">
        <f>SUM(G570:G572)</f>
        <v>12000000</v>
      </c>
      <c r="H569" s="210" t="b">
        <f t="shared" si="16"/>
        <v>1</v>
      </c>
      <c r="I569" s="210"/>
      <c r="J569" s="210"/>
    </row>
    <row r="570" spans="1:10" ht="13.8" x14ac:dyDescent="0.25">
      <c r="A570" s="7" t="s">
        <v>3524</v>
      </c>
      <c r="B570" s="152"/>
      <c r="C570" s="151" t="s">
        <v>4622</v>
      </c>
      <c r="D570" s="152">
        <v>3</v>
      </c>
      <c r="E570" s="152" t="s">
        <v>9</v>
      </c>
      <c r="F570" s="153">
        <v>1500000</v>
      </c>
      <c r="G570" s="153">
        <f>ROUNDDOWN(D570*F570,-3)</f>
        <v>4500000</v>
      </c>
      <c r="H570" s="210" t="b">
        <f t="shared" si="16"/>
        <v>1</v>
      </c>
      <c r="I570" s="210"/>
      <c r="J570" s="210"/>
    </row>
    <row r="571" spans="1:10" ht="13.8" x14ac:dyDescent="0.25">
      <c r="A571" s="7" t="s">
        <v>3525</v>
      </c>
      <c r="B571" s="152"/>
      <c r="C571" s="151" t="s">
        <v>3626</v>
      </c>
      <c r="D571" s="152">
        <v>3</v>
      </c>
      <c r="E571" s="152" t="s">
        <v>9</v>
      </c>
      <c r="F571" s="153">
        <v>1000000</v>
      </c>
      <c r="G571" s="153">
        <f>ROUNDDOWN(D571*F571,-3)</f>
        <v>3000000</v>
      </c>
      <c r="H571" s="210" t="b">
        <f t="shared" si="16"/>
        <v>1</v>
      </c>
      <c r="I571" s="210"/>
      <c r="J571" s="210"/>
    </row>
    <row r="572" spans="1:10" ht="13.8" x14ac:dyDescent="0.25">
      <c r="A572" s="7" t="s">
        <v>3526</v>
      </c>
      <c r="B572" s="152"/>
      <c r="C572" s="151" t="s">
        <v>3600</v>
      </c>
      <c r="D572" s="152">
        <v>3</v>
      </c>
      <c r="E572" s="152" t="s">
        <v>9</v>
      </c>
      <c r="F572" s="153">
        <v>1500000</v>
      </c>
      <c r="G572" s="153">
        <f>ROUNDDOWN(D572*F572,-3)</f>
        <v>4500000</v>
      </c>
      <c r="H572" s="210" t="b">
        <f t="shared" si="16"/>
        <v>1</v>
      </c>
      <c r="I572" s="210"/>
      <c r="J572" s="210"/>
    </row>
    <row r="573" spans="1:10" ht="13.8" x14ac:dyDescent="0.25">
      <c r="A573" s="7" t="s">
        <v>3527</v>
      </c>
      <c r="B573" s="60">
        <v>521219</v>
      </c>
      <c r="C573" s="41" t="s">
        <v>53</v>
      </c>
      <c r="D573" s="60"/>
      <c r="E573" s="60"/>
      <c r="F573" s="42"/>
      <c r="G573" s="42">
        <f>G574</f>
        <v>20000000</v>
      </c>
      <c r="H573" s="210" t="b">
        <f t="shared" si="16"/>
        <v>1</v>
      </c>
      <c r="I573" s="210"/>
      <c r="J573" s="210"/>
    </row>
    <row r="574" spans="1:10" ht="13.8" x14ac:dyDescent="0.25">
      <c r="A574" s="7" t="s">
        <v>3528</v>
      </c>
      <c r="B574" s="152"/>
      <c r="C574" s="151" t="s">
        <v>4623</v>
      </c>
      <c r="D574" s="152">
        <v>2</v>
      </c>
      <c r="E574" s="152" t="s">
        <v>155</v>
      </c>
      <c r="F574" s="153">
        <v>10000000</v>
      </c>
      <c r="G574" s="153">
        <f>ROUNDDOWN(D574*F574,-3)</f>
        <v>20000000</v>
      </c>
      <c r="H574" s="210" t="b">
        <f t="shared" si="16"/>
        <v>1</v>
      </c>
      <c r="I574" s="210"/>
      <c r="J574" s="210"/>
    </row>
    <row r="575" spans="1:10" ht="13.8" x14ac:dyDescent="0.25">
      <c r="A575" s="7" t="s">
        <v>3530</v>
      </c>
      <c r="B575" s="60">
        <v>524211</v>
      </c>
      <c r="C575" s="41" t="s">
        <v>1151</v>
      </c>
      <c r="D575" s="60"/>
      <c r="E575" s="60"/>
      <c r="F575" s="42"/>
      <c r="G575" s="42">
        <f>G576</f>
        <v>142041000</v>
      </c>
      <c r="H575" s="210" t="b">
        <f t="shared" si="16"/>
        <v>1</v>
      </c>
      <c r="I575" s="210"/>
      <c r="J575" s="210"/>
    </row>
    <row r="576" spans="1:10" ht="13.8" x14ac:dyDescent="0.25">
      <c r="A576" s="7" t="s">
        <v>3531</v>
      </c>
      <c r="B576" s="152"/>
      <c r="C576" s="151" t="s">
        <v>4624</v>
      </c>
      <c r="D576" s="152">
        <v>3</v>
      </c>
      <c r="E576" s="152" t="s">
        <v>10</v>
      </c>
      <c r="F576" s="153">
        <v>47347000</v>
      </c>
      <c r="G576" s="153">
        <f>ROUNDDOWN(D576*F576,-3)</f>
        <v>142041000</v>
      </c>
      <c r="H576" s="210" t="b">
        <f t="shared" si="16"/>
        <v>1</v>
      </c>
      <c r="I576" s="210"/>
      <c r="J576" s="210"/>
    </row>
    <row r="577" spans="1:10" ht="13.8" x14ac:dyDescent="0.25">
      <c r="A577" s="7" t="s">
        <v>3533</v>
      </c>
      <c r="B577" s="59" t="s">
        <v>514</v>
      </c>
      <c r="C577" s="38" t="s">
        <v>3534</v>
      </c>
      <c r="D577" s="59"/>
      <c r="E577" s="59"/>
      <c r="F577" s="39"/>
      <c r="G577" s="39">
        <f>G578</f>
        <v>30000000</v>
      </c>
      <c r="H577" s="210" t="b">
        <f t="shared" si="16"/>
        <v>1</v>
      </c>
      <c r="I577" s="210"/>
      <c r="J577" s="210"/>
    </row>
    <row r="578" spans="1:10" ht="13.8" x14ac:dyDescent="0.25">
      <c r="A578" s="7" t="s">
        <v>3535</v>
      </c>
      <c r="B578" s="60">
        <v>522192</v>
      </c>
      <c r="C578" s="41" t="s">
        <v>24</v>
      </c>
      <c r="D578" s="60"/>
      <c r="E578" s="60"/>
      <c r="F578" s="42"/>
      <c r="G578" s="42">
        <f>G579</f>
        <v>30000000</v>
      </c>
      <c r="H578" s="210" t="b">
        <f t="shared" si="16"/>
        <v>1</v>
      </c>
      <c r="I578" s="210"/>
      <c r="J578" s="210"/>
    </row>
    <row r="579" spans="1:10" ht="13.8" x14ac:dyDescent="0.25">
      <c r="A579" s="7" t="s">
        <v>3536</v>
      </c>
      <c r="B579" s="152"/>
      <c r="C579" s="151" t="s">
        <v>4625</v>
      </c>
      <c r="D579" s="152">
        <v>120</v>
      </c>
      <c r="E579" s="152" t="s">
        <v>776</v>
      </c>
      <c r="F579" s="153">
        <v>250000</v>
      </c>
      <c r="G579" s="153">
        <f>ROUNDDOWN(D579*F579,-3)</f>
        <v>30000000</v>
      </c>
      <c r="H579" s="210" t="b">
        <f t="shared" si="16"/>
        <v>1</v>
      </c>
      <c r="I579" s="210"/>
      <c r="J579" s="210"/>
    </row>
    <row r="580" spans="1:10" ht="13.8" x14ac:dyDescent="0.25">
      <c r="A580" s="7" t="s">
        <v>3538</v>
      </c>
      <c r="B580" s="58">
        <v>302</v>
      </c>
      <c r="C580" s="35" t="s">
        <v>193</v>
      </c>
      <c r="D580" s="58"/>
      <c r="E580" s="58"/>
      <c r="F580" s="36"/>
      <c r="G580" s="36">
        <f>G581</f>
        <v>109200000</v>
      </c>
      <c r="H580" s="210" t="b">
        <f t="shared" si="16"/>
        <v>1</v>
      </c>
      <c r="I580" s="210"/>
      <c r="J580" s="210"/>
    </row>
    <row r="581" spans="1:10" ht="13.8" x14ac:dyDescent="0.25">
      <c r="A581" s="7" t="s">
        <v>3539</v>
      </c>
      <c r="B581" s="59" t="s">
        <v>8</v>
      </c>
      <c r="C581" s="38" t="s">
        <v>193</v>
      </c>
      <c r="D581" s="59"/>
      <c r="E581" s="59"/>
      <c r="F581" s="39"/>
      <c r="G581" s="39">
        <f>SUM(G582,G585,G588)</f>
        <v>109200000</v>
      </c>
      <c r="H581" s="210" t="b">
        <f t="shared" si="16"/>
        <v>1</v>
      </c>
      <c r="I581" s="210"/>
      <c r="J581" s="210"/>
    </row>
    <row r="582" spans="1:10" ht="13.8" x14ac:dyDescent="0.25">
      <c r="A582" s="7" t="s">
        <v>3540</v>
      </c>
      <c r="B582" s="60">
        <v>521211</v>
      </c>
      <c r="C582" s="41" t="s">
        <v>7</v>
      </c>
      <c r="D582" s="60"/>
      <c r="E582" s="60"/>
      <c r="F582" s="42"/>
      <c r="G582" s="42">
        <f>SUM(G583:G584)</f>
        <v>25000000</v>
      </c>
      <c r="H582" s="210" t="b">
        <f t="shared" si="16"/>
        <v>1</v>
      </c>
      <c r="I582" s="210"/>
      <c r="J582" s="210"/>
    </row>
    <row r="583" spans="1:10" ht="13.8" x14ac:dyDescent="0.25">
      <c r="A583" s="7" t="s">
        <v>3541</v>
      </c>
      <c r="B583" s="152"/>
      <c r="C583" s="151" t="s">
        <v>4612</v>
      </c>
      <c r="D583" s="152">
        <v>100</v>
      </c>
      <c r="E583" s="152" t="s">
        <v>10</v>
      </c>
      <c r="F583" s="153">
        <v>70000</v>
      </c>
      <c r="G583" s="153">
        <f>ROUNDDOWN(D583*F583,-3)</f>
        <v>7000000</v>
      </c>
      <c r="H583" s="210" t="b">
        <f t="shared" si="16"/>
        <v>1</v>
      </c>
      <c r="I583" s="210"/>
      <c r="J583" s="210"/>
    </row>
    <row r="584" spans="1:10" ht="13.8" x14ac:dyDescent="0.25">
      <c r="A584" s="7" t="s">
        <v>3542</v>
      </c>
      <c r="B584" s="152"/>
      <c r="C584" s="151" t="s">
        <v>4613</v>
      </c>
      <c r="D584" s="152">
        <v>12</v>
      </c>
      <c r="E584" s="152" t="s">
        <v>9</v>
      </c>
      <c r="F584" s="153">
        <v>1500000</v>
      </c>
      <c r="G584" s="153">
        <f>ROUNDDOWN(D584*F584,-3)</f>
        <v>18000000</v>
      </c>
      <c r="H584" s="210" t="b">
        <f t="shared" si="16"/>
        <v>1</v>
      </c>
      <c r="I584" s="210"/>
      <c r="J584" s="210"/>
    </row>
    <row r="585" spans="1:10" ht="13.8" x14ac:dyDescent="0.25">
      <c r="A585" s="7" t="s">
        <v>3543</v>
      </c>
      <c r="B585" s="60">
        <v>521811</v>
      </c>
      <c r="C585" s="41" t="s">
        <v>64</v>
      </c>
      <c r="D585" s="60"/>
      <c r="E585" s="60"/>
      <c r="F585" s="42"/>
      <c r="G585" s="42">
        <f>SUM(G586:G587)</f>
        <v>30000000</v>
      </c>
      <c r="H585" s="210" t="b">
        <f t="shared" si="16"/>
        <v>1</v>
      </c>
      <c r="I585" s="210"/>
      <c r="J585" s="210"/>
    </row>
    <row r="586" spans="1:10" ht="13.8" x14ac:dyDescent="0.25">
      <c r="A586" s="7" t="s">
        <v>3544</v>
      </c>
      <c r="B586" s="152"/>
      <c r="C586" s="151" t="s">
        <v>4269</v>
      </c>
      <c r="D586" s="152">
        <v>12</v>
      </c>
      <c r="E586" s="152" t="s">
        <v>9</v>
      </c>
      <c r="F586" s="153">
        <v>1000000</v>
      </c>
      <c r="G586" s="153">
        <f>ROUNDDOWN(D586*F586,-3)</f>
        <v>12000000</v>
      </c>
      <c r="H586" s="210" t="b">
        <f t="shared" si="16"/>
        <v>1</v>
      </c>
      <c r="I586" s="210"/>
      <c r="J586" s="210"/>
    </row>
    <row r="587" spans="1:10" ht="13.8" x14ac:dyDescent="0.25">
      <c r="A587" s="7" t="s">
        <v>3545</v>
      </c>
      <c r="B587" s="152"/>
      <c r="C587" s="151" t="s">
        <v>3632</v>
      </c>
      <c r="D587" s="152">
        <v>12</v>
      </c>
      <c r="E587" s="152" t="s">
        <v>9</v>
      </c>
      <c r="F587" s="153">
        <v>1500000</v>
      </c>
      <c r="G587" s="153">
        <f>ROUNDDOWN(D587*F587,-3)</f>
        <v>18000000</v>
      </c>
      <c r="H587" s="210" t="b">
        <f t="shared" si="16"/>
        <v>1</v>
      </c>
      <c r="I587" s="210"/>
      <c r="J587" s="210"/>
    </row>
    <row r="588" spans="1:10" ht="13.8" x14ac:dyDescent="0.25">
      <c r="A588" s="7" t="s">
        <v>3546</v>
      </c>
      <c r="B588" s="60">
        <v>524111</v>
      </c>
      <c r="C588" s="41" t="s">
        <v>19</v>
      </c>
      <c r="D588" s="60"/>
      <c r="E588" s="60"/>
      <c r="F588" s="42"/>
      <c r="G588" s="42">
        <f>G589</f>
        <v>54200000</v>
      </c>
      <c r="H588" s="210" t="b">
        <f t="shared" si="16"/>
        <v>1</v>
      </c>
      <c r="I588" s="210"/>
      <c r="J588" s="210"/>
    </row>
    <row r="589" spans="1:10" ht="13.8" x14ac:dyDescent="0.25">
      <c r="A589" s="7" t="s">
        <v>3547</v>
      </c>
      <c r="B589" s="152"/>
      <c r="C589" s="151" t="s">
        <v>4626</v>
      </c>
      <c r="D589" s="152">
        <v>10</v>
      </c>
      <c r="E589" s="152" t="s">
        <v>10</v>
      </c>
      <c r="F589" s="153">
        <v>5420000</v>
      </c>
      <c r="G589" s="153">
        <f>ROUNDDOWN(D589*F589,-3)</f>
        <v>54200000</v>
      </c>
      <c r="H589" s="210" t="b">
        <f t="shared" si="16"/>
        <v>1</v>
      </c>
      <c r="I589" s="210"/>
      <c r="J589" s="210"/>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573" priority="14">
      <formula>NOT(_xlfn.ISFORMULA(G12))</formula>
    </cfRule>
  </conditionalFormatting>
  <conditionalFormatting sqref="B11:J12 H13:J589">
    <cfRule type="expression" dxfId="572" priority="15">
      <formula>AND(#REF!="Ya",#REF!=ROW())</formula>
    </cfRule>
  </conditionalFormatting>
  <conditionalFormatting sqref="B561:F561 G586:G587 G583:G584 G579 G576 G574 G570:G572 G566:G567 G564 G561:G562 B13:G560">
    <cfRule type="expression" dxfId="571" priority="13">
      <formula>AND($R$4="Ya",$Q$2=ROW())</formula>
    </cfRule>
  </conditionalFormatting>
  <conditionalFormatting sqref="G589">
    <cfRule type="expression" dxfId="570" priority="12">
      <formula>AND($R$4="Ya",$Q$2=ROW())</formula>
    </cfRule>
  </conditionalFormatting>
  <conditionalFormatting sqref="G589 G586:G587 G583:G584 G579 G576 G574 G570:G572 G566:G567 G564 G561:G562">
    <cfRule type="expression" dxfId="569" priority="11">
      <formula>NOT(_xlfn.ISFORMULA(G561))</formula>
    </cfRule>
  </conditionalFormatting>
  <conditionalFormatting sqref="G573">
    <cfRule type="expression" dxfId="568" priority="10">
      <formula>NOT(_xlfn.ISFORMULA(G573))</formula>
    </cfRule>
  </conditionalFormatting>
  <conditionalFormatting sqref="G573">
    <cfRule type="expression" dxfId="567" priority="9">
      <formula>AND($R$4="Ya",$Q$2=ROW())</formula>
    </cfRule>
  </conditionalFormatting>
  <conditionalFormatting sqref="G563">
    <cfRule type="expression" dxfId="566" priority="8">
      <formula>NOT(_xlfn.ISFORMULA(G563))</formula>
    </cfRule>
  </conditionalFormatting>
  <conditionalFormatting sqref="G563">
    <cfRule type="expression" dxfId="565" priority="7">
      <formula>AND($R$4="Ya",$Q$2=ROW())</formula>
    </cfRule>
  </conditionalFormatting>
  <conditionalFormatting sqref="G588">
    <cfRule type="expression" dxfId="564" priority="6">
      <formula>NOT(_xlfn.ISFORMULA(G588))</formula>
    </cfRule>
  </conditionalFormatting>
  <conditionalFormatting sqref="G588">
    <cfRule type="expression" dxfId="563" priority="5">
      <formula>AND($R$4="Ya",$Q$2=ROW())</formula>
    </cfRule>
  </conditionalFormatting>
  <conditionalFormatting sqref="G585">
    <cfRule type="expression" dxfId="562" priority="4">
      <formula>NOT(_xlfn.ISFORMULA(G585))</formula>
    </cfRule>
  </conditionalFormatting>
  <conditionalFormatting sqref="G585">
    <cfRule type="expression" dxfId="561" priority="3">
      <formula>AND($R$4="Ya",$Q$2=ROW())</formula>
    </cfRule>
  </conditionalFormatting>
  <conditionalFormatting sqref="G582">
    <cfRule type="expression" dxfId="560" priority="2">
      <formula>NOT(_xlfn.ISFORMULA(G582))</formula>
    </cfRule>
  </conditionalFormatting>
  <conditionalFormatting sqref="G582">
    <cfRule type="expression" dxfId="559"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3"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35931-E454-4F8E-88F6-003EA102CB53}">
  <sheetPr codeName="Sheet4">
    <pageSetUpPr fitToPage="1"/>
  </sheetPr>
  <dimension ref="A1:X2249"/>
  <sheetViews>
    <sheetView showGridLines="0" view="pageBreakPreview" topLeftCell="A7" zoomScaleNormal="100" zoomScaleSheetLayoutView="100" workbookViewId="0">
      <selection activeCell="C1267" sqref="C1267"/>
    </sheetView>
  </sheetViews>
  <sheetFormatPr defaultColWidth="9.109375" defaultRowHeight="13.8" x14ac:dyDescent="0.25"/>
  <cols>
    <col min="1" max="1" width="37.6640625" style="7" bestFit="1" customWidth="1"/>
    <col min="2" max="2" width="16.44140625" style="11" bestFit="1" customWidth="1"/>
    <col min="3" max="3" width="53.6640625" style="12" customWidth="1"/>
    <col min="4" max="4" width="9.44140625" style="48" bestFit="1" customWidth="1"/>
    <col min="5" max="5" width="9.109375" style="48"/>
    <col min="6" max="6" width="15.33203125" style="13" bestFit="1" customWidth="1"/>
    <col min="7" max="7" width="17" style="13" bestFit="1" customWidth="1"/>
    <col min="8" max="8" width="19.6640625" style="168" customWidth="1"/>
    <col min="9" max="9" width="9.33203125" style="8" customWidth="1"/>
    <col min="10" max="10" width="17.109375" style="8" bestFit="1" customWidth="1"/>
    <col min="11" max="11" width="14.33203125" style="8" bestFit="1" customWidth="1"/>
    <col min="12" max="12" width="17.109375" style="8" bestFit="1" customWidth="1"/>
    <col min="13" max="13" width="27.6640625" style="8" customWidth="1"/>
    <col min="14" max="14" width="9.33203125" style="8" bestFit="1" customWidth="1"/>
    <col min="15" max="15" width="9.109375" style="8"/>
    <col min="16" max="16" width="17.109375" style="8" bestFit="1" customWidth="1"/>
    <col min="17" max="17" width="23.109375" style="8" bestFit="1" customWidth="1"/>
    <col min="18" max="18" width="28.5546875" style="8" bestFit="1" customWidth="1"/>
    <col min="19" max="19" width="16.44140625" style="8" bestFit="1" customWidth="1"/>
    <col min="20" max="20" width="42.6640625" style="8" bestFit="1" customWidth="1"/>
    <col min="21" max="21" width="9.109375" style="8"/>
    <col min="22" max="22" width="38.109375" style="117" bestFit="1" customWidth="1"/>
    <col min="23" max="23" width="31.5546875" style="118" bestFit="1" customWidth="1"/>
    <col min="24" max="24" width="14.88671875" style="118" bestFit="1" customWidth="1"/>
    <col min="25" max="16384" width="9.109375" style="8"/>
  </cols>
  <sheetData>
    <row r="1" spans="1:24" ht="15.6" x14ac:dyDescent="0.3">
      <c r="B1" s="424" t="s">
        <v>598</v>
      </c>
      <c r="C1" s="424"/>
      <c r="D1" s="424"/>
      <c r="E1" s="424"/>
      <c r="F1" s="424"/>
      <c r="G1" s="432"/>
      <c r="M1" s="9"/>
      <c r="P1" s="109" t="s">
        <v>3586</v>
      </c>
      <c r="Q1" s="110" t="s">
        <v>3587</v>
      </c>
      <c r="R1" s="110" t="s">
        <v>592</v>
      </c>
      <c r="S1" s="110" t="s">
        <v>3588</v>
      </c>
      <c r="T1" s="111" t="s">
        <v>497</v>
      </c>
      <c r="V1" s="115" t="s">
        <v>3589</v>
      </c>
      <c r="W1" s="116" t="s">
        <v>592</v>
      </c>
      <c r="X1" s="116" t="s">
        <v>3588</v>
      </c>
    </row>
    <row r="2" spans="1:24" ht="14.4" x14ac:dyDescent="0.3">
      <c r="B2" s="425" t="s">
        <v>614</v>
      </c>
      <c r="C2" s="425"/>
      <c r="D2" s="425"/>
      <c r="E2" s="425"/>
      <c r="F2" s="425"/>
      <c r="G2" s="442"/>
      <c r="M2" s="10"/>
      <c r="P2" s="112">
        <v>1267</v>
      </c>
      <c r="Q2" s="113" t="s">
        <v>557</v>
      </c>
      <c r="R2" s="113" t="s">
        <v>3558</v>
      </c>
      <c r="S2" s="113" t="s">
        <v>3570</v>
      </c>
      <c r="T2" s="114" t="s">
        <v>508</v>
      </c>
      <c r="V2" s="122" t="str" cm="1">
        <f t="array" ref="V2:V4">IF(ISBLANK(kegiatan),"",_xlfn._xlws.SORT(_xlfn.UNIQUE(Subkoord[Eselon2])))</f>
        <v>000 - Sekretariat Badan Riset dan SDM KP</v>
      </c>
      <c r="W2" s="121" t="str" cm="1">
        <f t="array" ref="W2:W5">IF(ISBLANK(kegiatan),"",_xlfn.UNIQUE(_xlfn._xlws.FILTER(Subkoord[Koordinator],Subkoord[id2]=MID($Q$2,1,3))))</f>
        <v>TU - Tata Usaha</v>
      </c>
      <c r="X2" s="121" t="str" cm="1">
        <f t="array" ref="X2:X3">IF(ISBLANK(kegiatan),"",_xlfn.UNIQUE(_xlfn._xlws.FILTER(Subkoord[Subkoordinator],(Subkoord[id2]=MID($Q$2,1,3))*(Subkoord[id3]=MID($R$2,1,2)))))</f>
        <v>UM - Umum</v>
      </c>
    </row>
    <row r="3" spans="1:24" x14ac:dyDescent="0.25">
      <c r="B3" s="124"/>
      <c r="C3" s="124"/>
      <c r="D3" s="124"/>
      <c r="E3" s="124"/>
      <c r="F3" s="124"/>
      <c r="G3" s="141"/>
      <c r="M3" s="10"/>
      <c r="V3" s="118" t="str">
        <v>002 - Pusat Pendidikan KP</v>
      </c>
      <c r="W3" s="118" t="str">
        <v>PE - Perencanaan dan Evaluasi</v>
      </c>
      <c r="X3" s="118" t="str">
        <v>KU - Keuangan</v>
      </c>
    </row>
    <row r="4" spans="1:24" x14ac:dyDescent="0.25">
      <c r="B4" s="49" t="s">
        <v>599</v>
      </c>
      <c r="C4" s="49" t="s">
        <v>600</v>
      </c>
      <c r="D4" s="52"/>
      <c r="E4" s="52"/>
      <c r="F4" s="49"/>
      <c r="G4" s="142"/>
      <c r="J4" s="163"/>
      <c r="M4" s="10"/>
      <c r="P4" s="8" t="s">
        <v>3594</v>
      </c>
      <c r="Q4" s="146" t="s">
        <v>3595</v>
      </c>
      <c r="V4" s="118" t="str">
        <v>003 - Pusat Pelatihan dan Penyuluhan</v>
      </c>
      <c r="W4" s="118" t="str">
        <v>PP - Penyelenggaraan Pendidikan</v>
      </c>
    </row>
    <row r="5" spans="1:24" ht="15" x14ac:dyDescent="0.25">
      <c r="B5" s="49" t="s">
        <v>601</v>
      </c>
      <c r="C5" s="49" t="s">
        <v>602</v>
      </c>
      <c r="D5" s="53"/>
      <c r="E5" s="53"/>
      <c r="F5" s="50"/>
      <c r="G5" s="143"/>
      <c r="M5" s="10"/>
      <c r="W5" s="118" t="str">
        <v>KK - Kelembagaan dan Ketenagaan</v>
      </c>
    </row>
    <row r="6" spans="1:24" ht="15" x14ac:dyDescent="0.25">
      <c r="B6" s="49" t="s">
        <v>603</v>
      </c>
      <c r="C6" s="49" t="s">
        <v>604</v>
      </c>
      <c r="D6" s="53"/>
      <c r="E6" s="53"/>
      <c r="F6" s="50"/>
      <c r="G6" s="143"/>
      <c r="K6" s="172"/>
      <c r="M6" s="10"/>
    </row>
    <row r="7" spans="1:24" ht="15" x14ac:dyDescent="0.25">
      <c r="B7" s="49" t="s">
        <v>605</v>
      </c>
      <c r="C7" s="51" t="str">
        <f>":  Rp. " &amp; TEXT(G12,"#.##")</f>
        <v xml:space="preserve">:  Rp. </v>
      </c>
      <c r="D7" s="53"/>
      <c r="E7" s="53"/>
      <c r="F7" s="50"/>
      <c r="G7" s="143"/>
      <c r="J7" s="163"/>
      <c r="M7" s="10"/>
    </row>
    <row r="8" spans="1:24" x14ac:dyDescent="0.25">
      <c r="B8" s="48"/>
      <c r="C8" s="48"/>
      <c r="F8" s="48"/>
      <c r="G8" s="144"/>
      <c r="M8" s="10"/>
    </row>
    <row r="9" spans="1:24" x14ac:dyDescent="0.25">
      <c r="B9" s="426" t="s">
        <v>606</v>
      </c>
      <c r="C9" s="428" t="s">
        <v>607</v>
      </c>
      <c r="D9" s="429" t="s">
        <v>608</v>
      </c>
      <c r="E9" s="426" t="s">
        <v>609</v>
      </c>
      <c r="F9" s="429" t="s">
        <v>610</v>
      </c>
      <c r="G9" s="443" t="s">
        <v>611</v>
      </c>
      <c r="I9" s="439" t="s">
        <v>3590</v>
      </c>
      <c r="J9" s="440"/>
      <c r="K9" s="441"/>
      <c r="M9" s="14"/>
      <c r="P9" s="163"/>
    </row>
    <row r="10" spans="1:24" s="16" customFormat="1" x14ac:dyDescent="0.25">
      <c r="A10" s="15" t="s">
        <v>499</v>
      </c>
      <c r="B10" s="427"/>
      <c r="C10" s="427"/>
      <c r="D10" s="430"/>
      <c r="E10" s="430"/>
      <c r="F10" s="427"/>
      <c r="G10" s="427"/>
      <c r="H10" s="169"/>
      <c r="I10" s="148" t="s">
        <v>3591</v>
      </c>
      <c r="J10" s="147" t="s">
        <v>3592</v>
      </c>
      <c r="K10" s="147" t="s">
        <v>3593</v>
      </c>
      <c r="L10" s="7"/>
      <c r="M10" s="17"/>
      <c r="P10" s="162"/>
      <c r="V10" s="123"/>
      <c r="W10" s="118"/>
      <c r="X10" s="118"/>
    </row>
    <row r="11" spans="1:24" s="16" customFormat="1" x14ac:dyDescent="0.25">
      <c r="A11" s="15"/>
      <c r="B11" s="126">
        <v>1</v>
      </c>
      <c r="C11" s="126">
        <v>2</v>
      </c>
      <c r="D11" s="126">
        <v>3</v>
      </c>
      <c r="E11" s="126">
        <v>4</v>
      </c>
      <c r="F11" s="126">
        <v>5</v>
      </c>
      <c r="G11" s="145">
        <v>6</v>
      </c>
      <c r="H11" s="170"/>
      <c r="I11" s="150">
        <v>7</v>
      </c>
      <c r="J11" s="149">
        <v>8</v>
      </c>
      <c r="K11" s="149">
        <v>9</v>
      </c>
      <c r="L11" s="125"/>
      <c r="M11" s="17"/>
      <c r="P11" s="164"/>
      <c r="V11" s="123"/>
      <c r="W11" s="118"/>
      <c r="X11" s="118"/>
    </row>
    <row r="12" spans="1:24" s="16" customFormat="1" x14ac:dyDescent="0.25">
      <c r="A12" s="15"/>
      <c r="B12" s="130" t="s">
        <v>612</v>
      </c>
      <c r="C12" s="128" t="s">
        <v>4627</v>
      </c>
      <c r="D12" s="129"/>
      <c r="E12" s="130"/>
      <c r="F12" s="129"/>
      <c r="G12" s="175"/>
      <c r="H12" s="166"/>
      <c r="I12" s="150"/>
      <c r="J12" s="149"/>
      <c r="K12" s="149"/>
      <c r="L12" s="125"/>
      <c r="M12" s="17"/>
      <c r="V12" s="123"/>
      <c r="W12" s="118"/>
      <c r="X12" s="118"/>
    </row>
    <row r="13" spans="1:24" x14ac:dyDescent="0.25">
      <c r="A13" s="7" t="s">
        <v>0</v>
      </c>
      <c r="B13" s="54" t="s">
        <v>0</v>
      </c>
      <c r="C13" s="23" t="s">
        <v>1</v>
      </c>
      <c r="D13" s="54"/>
      <c r="E13" s="54"/>
      <c r="F13" s="24"/>
      <c r="G13" s="24">
        <v>2500000000</v>
      </c>
      <c r="H13" s="165">
        <v>2500000000</v>
      </c>
      <c r="I13" s="150"/>
      <c r="J13" s="149"/>
      <c r="K13" s="149"/>
      <c r="L13" s="171">
        <f>G13-H13</f>
        <v>0</v>
      </c>
      <c r="M13" s="421" t="s">
        <v>596</v>
      </c>
      <c r="N13" s="422" t="s">
        <v>597</v>
      </c>
    </row>
    <row r="14" spans="1:24" x14ac:dyDescent="0.25">
      <c r="A14" s="7" t="s">
        <v>199</v>
      </c>
      <c r="B14" s="55">
        <v>2375</v>
      </c>
      <c r="C14" s="26" t="s">
        <v>2</v>
      </c>
      <c r="D14" s="55"/>
      <c r="E14" s="55"/>
      <c r="F14" s="27"/>
      <c r="G14" s="27">
        <v>1500000000</v>
      </c>
      <c r="H14" s="165">
        <v>1500000000</v>
      </c>
      <c r="I14" s="150" t="s">
        <v>3553</v>
      </c>
      <c r="J14" s="149"/>
      <c r="K14" s="149"/>
      <c r="L14" s="171">
        <f t="shared" ref="L14:L77" si="0">G14-H14</f>
        <v>0</v>
      </c>
      <c r="M14" s="421"/>
      <c r="N14" s="422"/>
    </row>
    <row r="15" spans="1:24" x14ac:dyDescent="0.25">
      <c r="A15" s="7" t="s">
        <v>200</v>
      </c>
      <c r="B15" s="135" t="s">
        <v>3</v>
      </c>
      <c r="C15" s="133" t="s">
        <v>615</v>
      </c>
      <c r="D15" s="134">
        <v>4</v>
      </c>
      <c r="E15" s="135" t="s">
        <v>3596</v>
      </c>
      <c r="F15" s="136"/>
      <c r="G15" s="136">
        <v>1500000000</v>
      </c>
      <c r="H15" s="165">
        <v>1500000000</v>
      </c>
      <c r="I15" s="150" t="s">
        <v>3553</v>
      </c>
      <c r="J15" s="149"/>
      <c r="K15" s="149"/>
      <c r="L15" s="171">
        <f t="shared" si="0"/>
        <v>0</v>
      </c>
      <c r="M15" s="1" t="s">
        <v>496</v>
      </c>
      <c r="N15" s="18" t="b">
        <v>0</v>
      </c>
    </row>
    <row r="16" spans="1:24" ht="26.4" x14ac:dyDescent="0.25">
      <c r="A16" s="7" t="s">
        <v>201</v>
      </c>
      <c r="B16" s="138" t="s">
        <v>3597</v>
      </c>
      <c r="C16" s="137" t="s">
        <v>4</v>
      </c>
      <c r="D16" s="138">
        <v>4</v>
      </c>
      <c r="E16" s="138" t="s">
        <v>3596</v>
      </c>
      <c r="F16" s="139"/>
      <c r="G16" s="139">
        <v>1500000000</v>
      </c>
      <c r="H16" s="165">
        <v>1500000000</v>
      </c>
      <c r="I16" s="150" t="s">
        <v>3553</v>
      </c>
      <c r="J16" s="149"/>
      <c r="K16" s="149"/>
      <c r="L16" s="171">
        <f t="shared" si="0"/>
        <v>0</v>
      </c>
      <c r="M16" s="2" t="s">
        <v>497</v>
      </c>
      <c r="N16" s="18" t="b">
        <v>0</v>
      </c>
    </row>
    <row r="17" spans="1:14" x14ac:dyDescent="0.25">
      <c r="A17" s="7" t="s">
        <v>202</v>
      </c>
      <c r="B17" s="58" t="s">
        <v>502</v>
      </c>
      <c r="C17" s="35" t="s">
        <v>5</v>
      </c>
      <c r="D17" s="58">
        <v>0</v>
      </c>
      <c r="E17" s="58"/>
      <c r="F17" s="36"/>
      <c r="G17" s="36">
        <v>600000000</v>
      </c>
      <c r="H17" s="165">
        <v>600000000</v>
      </c>
      <c r="I17" s="150" t="s">
        <v>3553</v>
      </c>
      <c r="J17" s="149" t="s">
        <v>3565</v>
      </c>
      <c r="K17" s="149" t="s">
        <v>3577</v>
      </c>
      <c r="L17" s="171">
        <f t="shared" si="0"/>
        <v>0</v>
      </c>
      <c r="M17" s="131" t="s">
        <v>593</v>
      </c>
      <c r="N17" s="18" t="b">
        <v>0</v>
      </c>
    </row>
    <row r="18" spans="1:14" ht="26.4" x14ac:dyDescent="0.25">
      <c r="A18" s="7" t="s">
        <v>203</v>
      </c>
      <c r="B18" s="59" t="s">
        <v>8</v>
      </c>
      <c r="C18" s="38" t="s">
        <v>6</v>
      </c>
      <c r="D18" s="59"/>
      <c r="E18" s="59"/>
      <c r="F18" s="39"/>
      <c r="G18" s="39">
        <v>72820000</v>
      </c>
      <c r="H18" s="165">
        <v>72820000</v>
      </c>
      <c r="I18" s="150" t="s">
        <v>3553</v>
      </c>
      <c r="J18" s="149" t="s">
        <v>3565</v>
      </c>
      <c r="K18" s="149" t="s">
        <v>3577</v>
      </c>
      <c r="L18" s="171">
        <f t="shared" si="0"/>
        <v>0</v>
      </c>
      <c r="M18" s="132" t="s">
        <v>594</v>
      </c>
      <c r="N18" s="18" t="b">
        <v>0</v>
      </c>
    </row>
    <row r="19" spans="1:14" x14ac:dyDescent="0.25">
      <c r="A19" s="7" t="s">
        <v>204</v>
      </c>
      <c r="B19" s="60">
        <v>521211</v>
      </c>
      <c r="C19" s="41" t="s">
        <v>7</v>
      </c>
      <c r="D19" s="60"/>
      <c r="E19" s="60"/>
      <c r="F19" s="42"/>
      <c r="G19" s="42">
        <v>6890000</v>
      </c>
      <c r="H19" s="165">
        <v>6890000</v>
      </c>
      <c r="I19" s="150" t="s">
        <v>3553</v>
      </c>
      <c r="J19" s="149" t="s">
        <v>3565</v>
      </c>
      <c r="K19" s="149" t="s">
        <v>3577</v>
      </c>
      <c r="L19" s="171">
        <f t="shared" si="0"/>
        <v>0</v>
      </c>
      <c r="M19" s="4" t="s">
        <v>498</v>
      </c>
      <c r="N19" s="18" t="b">
        <v>0</v>
      </c>
    </row>
    <row r="20" spans="1:14" x14ac:dyDescent="0.25">
      <c r="A20" s="7" t="s">
        <v>205</v>
      </c>
      <c r="B20" s="61"/>
      <c r="C20" s="44" t="s">
        <v>3598</v>
      </c>
      <c r="D20" s="47">
        <v>1</v>
      </c>
      <c r="E20" s="61" t="s">
        <v>9</v>
      </c>
      <c r="F20" s="45">
        <v>750000</v>
      </c>
      <c r="G20" s="45">
        <f>ROUNDDOWN(D20*F20,-3)</f>
        <v>750000</v>
      </c>
      <c r="H20" s="165">
        <v>750000</v>
      </c>
      <c r="I20" s="150" t="s">
        <v>3553</v>
      </c>
      <c r="J20" s="149" t="s">
        <v>3565</v>
      </c>
      <c r="K20" s="149" t="s">
        <v>3577</v>
      </c>
      <c r="L20" s="171">
        <f t="shared" si="0"/>
        <v>0</v>
      </c>
      <c r="M20" s="5" t="s">
        <v>595</v>
      </c>
      <c r="N20" s="18" t="b">
        <v>0</v>
      </c>
    </row>
    <row r="21" spans="1:14" x14ac:dyDescent="0.25">
      <c r="A21" s="7" t="s">
        <v>206</v>
      </c>
      <c r="B21" s="61"/>
      <c r="C21" s="44" t="s">
        <v>3599</v>
      </c>
      <c r="D21" s="47">
        <v>60</v>
      </c>
      <c r="E21" s="61" t="s">
        <v>25</v>
      </c>
      <c r="F21" s="45">
        <v>69000</v>
      </c>
      <c r="G21" s="45">
        <f>ROUNDDOWN(D21*F21,-3)</f>
        <v>4140000</v>
      </c>
      <c r="H21" s="165">
        <v>4140000</v>
      </c>
      <c r="I21" s="150" t="s">
        <v>3553</v>
      </c>
      <c r="J21" s="149" t="s">
        <v>3565</v>
      </c>
      <c r="K21" s="149" t="s">
        <v>3577</v>
      </c>
      <c r="L21" s="171">
        <f t="shared" si="0"/>
        <v>0</v>
      </c>
      <c r="M21" s="6" t="s">
        <v>499</v>
      </c>
      <c r="N21" s="18" t="b">
        <v>0</v>
      </c>
    </row>
    <row r="22" spans="1:14" x14ac:dyDescent="0.25">
      <c r="A22" s="7" t="s">
        <v>207</v>
      </c>
      <c r="B22" s="61"/>
      <c r="C22" s="44" t="s">
        <v>3600</v>
      </c>
      <c r="D22" s="47">
        <v>1</v>
      </c>
      <c r="E22" s="61" t="s">
        <v>9</v>
      </c>
      <c r="F22" s="45">
        <v>1000000</v>
      </c>
      <c r="G22" s="45">
        <f>ROUNDDOWN(D22*F22,-3)</f>
        <v>1000000</v>
      </c>
      <c r="H22" s="165">
        <v>1000000</v>
      </c>
      <c r="I22" s="150" t="s">
        <v>3553</v>
      </c>
      <c r="J22" s="149" t="s">
        <v>3565</v>
      </c>
      <c r="K22" s="149" t="s">
        <v>3577</v>
      </c>
      <c r="L22" s="171">
        <f t="shared" si="0"/>
        <v>0</v>
      </c>
      <c r="M22" s="423"/>
      <c r="N22" s="423"/>
    </row>
    <row r="23" spans="1:14" x14ac:dyDescent="0.25">
      <c r="A23" s="7" t="s">
        <v>208</v>
      </c>
      <c r="B23" s="61"/>
      <c r="C23" s="44" t="s">
        <v>3601</v>
      </c>
      <c r="D23" s="47">
        <v>1</v>
      </c>
      <c r="E23" s="61" t="s">
        <v>9</v>
      </c>
      <c r="F23" s="45">
        <v>1000000</v>
      </c>
      <c r="G23" s="45">
        <f>ROUNDDOWN(D23*F23,-3)</f>
        <v>1000000</v>
      </c>
      <c r="H23" s="165">
        <v>1000000</v>
      </c>
      <c r="I23" s="150" t="s">
        <v>3553</v>
      </c>
      <c r="J23" s="149" t="s">
        <v>3565</v>
      </c>
      <c r="K23" s="149" t="s">
        <v>3577</v>
      </c>
      <c r="L23" s="171">
        <f t="shared" si="0"/>
        <v>0</v>
      </c>
      <c r="M23" s="423"/>
      <c r="N23" s="423"/>
    </row>
    <row r="24" spans="1:14" x14ac:dyDescent="0.25">
      <c r="A24" s="7" t="s">
        <v>209</v>
      </c>
      <c r="B24" s="60">
        <v>522151</v>
      </c>
      <c r="C24" s="41" t="s">
        <v>11</v>
      </c>
      <c r="D24" s="60"/>
      <c r="E24" s="60"/>
      <c r="F24" s="42"/>
      <c r="G24" s="42">
        <v>9000000</v>
      </c>
      <c r="H24" s="165">
        <v>9000000</v>
      </c>
      <c r="I24" s="150" t="s">
        <v>3553</v>
      </c>
      <c r="J24" s="149" t="s">
        <v>3565</v>
      </c>
      <c r="K24" s="149" t="s">
        <v>3577</v>
      </c>
      <c r="L24" s="171">
        <f t="shared" si="0"/>
        <v>0</v>
      </c>
      <c r="M24" s="423"/>
      <c r="N24" s="423"/>
    </row>
    <row r="25" spans="1:14" x14ac:dyDescent="0.25">
      <c r="A25" s="7" t="s">
        <v>210</v>
      </c>
      <c r="B25" s="61"/>
      <c r="C25" s="44" t="s">
        <v>3602</v>
      </c>
      <c r="D25" s="47">
        <v>10</v>
      </c>
      <c r="E25" s="61" t="s">
        <v>54</v>
      </c>
      <c r="F25" s="45">
        <v>900000</v>
      </c>
      <c r="G25" s="45">
        <f>ROUNDDOWN(D25*F25,-3)</f>
        <v>9000000</v>
      </c>
      <c r="H25" s="165">
        <v>9000000</v>
      </c>
      <c r="I25" s="150" t="s">
        <v>3553</v>
      </c>
      <c r="J25" s="149" t="s">
        <v>3565</v>
      </c>
      <c r="K25" s="149" t="s">
        <v>3577</v>
      </c>
      <c r="L25" s="171">
        <f t="shared" si="0"/>
        <v>0</v>
      </c>
      <c r="M25" s="19"/>
      <c r="N25" s="19"/>
    </row>
    <row r="26" spans="1:14" x14ac:dyDescent="0.25">
      <c r="A26" s="7" t="s">
        <v>211</v>
      </c>
      <c r="B26" s="60">
        <v>524113</v>
      </c>
      <c r="C26" s="41" t="s">
        <v>13</v>
      </c>
      <c r="D26" s="60"/>
      <c r="E26" s="60"/>
      <c r="F26" s="42"/>
      <c r="G26" s="42">
        <v>900000</v>
      </c>
      <c r="H26" s="165">
        <v>900000</v>
      </c>
      <c r="I26" s="150" t="s">
        <v>3553</v>
      </c>
      <c r="J26" s="149" t="s">
        <v>3565</v>
      </c>
      <c r="K26" s="149" t="s">
        <v>3577</v>
      </c>
      <c r="L26" s="171">
        <f t="shared" si="0"/>
        <v>0</v>
      </c>
    </row>
    <row r="27" spans="1:14" x14ac:dyDescent="0.25">
      <c r="A27" s="7" t="s">
        <v>212</v>
      </c>
      <c r="B27" s="61"/>
      <c r="C27" s="44" t="s">
        <v>3603</v>
      </c>
      <c r="D27" s="47">
        <v>6</v>
      </c>
      <c r="E27" s="61" t="s">
        <v>25</v>
      </c>
      <c r="F27" s="45">
        <v>150000</v>
      </c>
      <c r="G27" s="45">
        <f>ROUNDDOWN(D27*F27,-3)</f>
        <v>900000</v>
      </c>
      <c r="H27" s="165">
        <v>900000</v>
      </c>
      <c r="I27" s="150" t="s">
        <v>3553</v>
      </c>
      <c r="J27" s="149" t="s">
        <v>3565</v>
      </c>
      <c r="K27" s="149" t="s">
        <v>3577</v>
      </c>
      <c r="L27" s="171">
        <f t="shared" si="0"/>
        <v>0</v>
      </c>
    </row>
    <row r="28" spans="1:14" x14ac:dyDescent="0.25">
      <c r="A28" s="7" t="s">
        <v>213</v>
      </c>
      <c r="B28" s="60">
        <v>524114</v>
      </c>
      <c r="C28" s="41" t="s">
        <v>14</v>
      </c>
      <c r="D28" s="60"/>
      <c r="E28" s="60"/>
      <c r="F28" s="42"/>
      <c r="G28" s="42">
        <v>780000</v>
      </c>
      <c r="H28" s="165">
        <v>780000</v>
      </c>
      <c r="I28" s="150" t="s">
        <v>3553</v>
      </c>
      <c r="J28" s="149" t="s">
        <v>3565</v>
      </c>
      <c r="K28" s="149" t="s">
        <v>3577</v>
      </c>
      <c r="L28" s="171">
        <f t="shared" si="0"/>
        <v>0</v>
      </c>
    </row>
    <row r="29" spans="1:14" x14ac:dyDescent="0.25">
      <c r="A29" s="7" t="s">
        <v>214</v>
      </c>
      <c r="B29" s="61"/>
      <c r="C29" s="44" t="s">
        <v>3604</v>
      </c>
      <c r="D29" s="47">
        <v>6</v>
      </c>
      <c r="E29" s="61" t="s">
        <v>25</v>
      </c>
      <c r="F29" s="45">
        <v>130000</v>
      </c>
      <c r="G29" s="45">
        <f>ROUNDDOWN(D29*F29,-3)</f>
        <v>780000</v>
      </c>
      <c r="H29" s="165">
        <v>780000</v>
      </c>
      <c r="I29" s="150" t="s">
        <v>3553</v>
      </c>
      <c r="J29" s="149" t="s">
        <v>3565</v>
      </c>
      <c r="K29" s="149" t="s">
        <v>3577</v>
      </c>
      <c r="L29" s="171">
        <f t="shared" si="0"/>
        <v>0</v>
      </c>
    </row>
    <row r="30" spans="1:14" x14ac:dyDescent="0.25">
      <c r="A30" s="7" t="s">
        <v>215</v>
      </c>
      <c r="B30" s="60">
        <v>524119</v>
      </c>
      <c r="C30" s="41" t="s">
        <v>15</v>
      </c>
      <c r="D30" s="60"/>
      <c r="E30" s="60"/>
      <c r="F30" s="42"/>
      <c r="G30" s="42">
        <v>55250000</v>
      </c>
      <c r="H30" s="165">
        <v>55250000</v>
      </c>
      <c r="I30" s="150" t="s">
        <v>3553</v>
      </c>
      <c r="J30" s="149" t="s">
        <v>3565</v>
      </c>
      <c r="K30" s="149" t="s">
        <v>3577</v>
      </c>
      <c r="L30" s="171">
        <f t="shared" si="0"/>
        <v>0</v>
      </c>
      <c r="M30" s="20"/>
    </row>
    <row r="31" spans="1:14" x14ac:dyDescent="0.25">
      <c r="A31" s="7" t="s">
        <v>216</v>
      </c>
      <c r="B31" s="155"/>
      <c r="C31" s="154" t="s">
        <v>3605</v>
      </c>
      <c r="D31" s="155">
        <v>50</v>
      </c>
      <c r="E31" s="155" t="s">
        <v>25</v>
      </c>
      <c r="F31" s="156">
        <v>450000</v>
      </c>
      <c r="G31" s="45">
        <f>ROUNDDOWN(D31*F31,-3)</f>
        <v>22500000</v>
      </c>
      <c r="H31" s="165">
        <v>22500000</v>
      </c>
      <c r="I31" s="150" t="s">
        <v>3553</v>
      </c>
      <c r="J31" s="149" t="s">
        <v>3565</v>
      </c>
      <c r="K31" s="149" t="s">
        <v>3577</v>
      </c>
      <c r="L31" s="171">
        <f t="shared" si="0"/>
        <v>0</v>
      </c>
    </row>
    <row r="32" spans="1:14" x14ac:dyDescent="0.25">
      <c r="A32" s="7" t="s">
        <v>217</v>
      </c>
      <c r="B32" s="61"/>
      <c r="C32" s="44" t="s">
        <v>3606</v>
      </c>
      <c r="D32" s="47">
        <v>50</v>
      </c>
      <c r="E32" s="61" t="s">
        <v>25</v>
      </c>
      <c r="F32" s="45">
        <v>105000</v>
      </c>
      <c r="G32" s="45">
        <f>ROUNDDOWN(D32*F32,-3)</f>
        <v>5250000</v>
      </c>
      <c r="H32" s="165">
        <v>5250000</v>
      </c>
      <c r="I32" s="150" t="s">
        <v>3553</v>
      </c>
      <c r="J32" s="149" t="s">
        <v>3565</v>
      </c>
      <c r="K32" s="149" t="s">
        <v>3577</v>
      </c>
      <c r="L32" s="171">
        <f t="shared" si="0"/>
        <v>0</v>
      </c>
    </row>
    <row r="33" spans="1:12" ht="26.4" x14ac:dyDescent="0.25">
      <c r="A33" s="7" t="s">
        <v>218</v>
      </c>
      <c r="B33" s="61"/>
      <c r="C33" s="44" t="s">
        <v>3607</v>
      </c>
      <c r="D33" s="47">
        <v>50</v>
      </c>
      <c r="E33" s="61" t="s">
        <v>25</v>
      </c>
      <c r="F33" s="45">
        <v>550000</v>
      </c>
      <c r="G33" s="45">
        <f>ROUNDDOWN(D33*F33,-3)</f>
        <v>27500000</v>
      </c>
      <c r="H33" s="165">
        <v>27500000</v>
      </c>
      <c r="I33" s="150" t="s">
        <v>3553</v>
      </c>
      <c r="J33" s="149" t="s">
        <v>3565</v>
      </c>
      <c r="K33" s="149" t="s">
        <v>3577</v>
      </c>
      <c r="L33" s="171">
        <f t="shared" si="0"/>
        <v>0</v>
      </c>
    </row>
    <row r="34" spans="1:12" ht="26.4" x14ac:dyDescent="0.25">
      <c r="A34" s="7" t="s">
        <v>219</v>
      </c>
      <c r="B34" s="59" t="s">
        <v>511</v>
      </c>
      <c r="C34" s="38" t="s">
        <v>17</v>
      </c>
      <c r="D34" s="70"/>
      <c r="E34" s="59"/>
      <c r="F34" s="39"/>
      <c r="G34" s="39">
        <v>100790000</v>
      </c>
      <c r="H34" s="165">
        <v>100790000</v>
      </c>
      <c r="I34" s="150" t="s">
        <v>3553</v>
      </c>
      <c r="J34" s="149" t="s">
        <v>3565</v>
      </c>
      <c r="K34" s="149" t="s">
        <v>3577</v>
      </c>
      <c r="L34" s="171">
        <f t="shared" si="0"/>
        <v>0</v>
      </c>
    </row>
    <row r="35" spans="1:12" x14ac:dyDescent="0.25">
      <c r="A35" s="7" t="s">
        <v>220</v>
      </c>
      <c r="B35" s="60">
        <v>521211</v>
      </c>
      <c r="C35" s="41" t="s">
        <v>7</v>
      </c>
      <c r="D35" s="71"/>
      <c r="E35" s="60"/>
      <c r="F35" s="42"/>
      <c r="G35" s="42">
        <v>13540000</v>
      </c>
      <c r="H35" s="165">
        <v>13540000</v>
      </c>
      <c r="I35" s="150" t="s">
        <v>3553</v>
      </c>
      <c r="J35" s="149" t="s">
        <v>3565</v>
      </c>
      <c r="K35" s="149" t="s">
        <v>3577</v>
      </c>
      <c r="L35" s="171">
        <f t="shared" si="0"/>
        <v>0</v>
      </c>
    </row>
    <row r="36" spans="1:12" x14ac:dyDescent="0.25">
      <c r="A36" s="7" t="s">
        <v>221</v>
      </c>
      <c r="B36" s="155"/>
      <c r="C36" s="154" t="s">
        <v>3598</v>
      </c>
      <c r="D36" s="155">
        <v>1</v>
      </c>
      <c r="E36" s="155" t="s">
        <v>9</v>
      </c>
      <c r="F36" s="156">
        <v>500000</v>
      </c>
      <c r="G36" s="45">
        <f>ROUNDDOWN(D36*F36,-3)</f>
        <v>500000</v>
      </c>
      <c r="H36" s="165">
        <v>500000</v>
      </c>
      <c r="I36" s="150" t="s">
        <v>3553</v>
      </c>
      <c r="J36" s="149" t="s">
        <v>3565</v>
      </c>
      <c r="K36" s="149" t="s">
        <v>3577</v>
      </c>
      <c r="L36" s="171">
        <f t="shared" si="0"/>
        <v>0</v>
      </c>
    </row>
    <row r="37" spans="1:12" x14ac:dyDescent="0.25">
      <c r="A37" s="7" t="s">
        <v>222</v>
      </c>
      <c r="B37" s="61"/>
      <c r="C37" s="44" t="s">
        <v>3608</v>
      </c>
      <c r="D37" s="47">
        <v>160</v>
      </c>
      <c r="E37" s="61" t="s">
        <v>25</v>
      </c>
      <c r="F37" s="45">
        <v>47000</v>
      </c>
      <c r="G37" s="45">
        <f>ROUNDDOWN(D37*F37,-3)</f>
        <v>7520000</v>
      </c>
      <c r="H37" s="165">
        <v>7520000</v>
      </c>
      <c r="I37" s="150" t="s">
        <v>3553</v>
      </c>
      <c r="J37" s="149" t="s">
        <v>3565</v>
      </c>
      <c r="K37" s="149" t="s">
        <v>3577</v>
      </c>
      <c r="L37" s="171">
        <f t="shared" si="0"/>
        <v>0</v>
      </c>
    </row>
    <row r="38" spans="1:12" x14ac:dyDescent="0.25">
      <c r="A38" s="7" t="s">
        <v>223</v>
      </c>
      <c r="B38" s="155"/>
      <c r="C38" s="154" t="s">
        <v>3609</v>
      </c>
      <c r="D38" s="155">
        <v>160</v>
      </c>
      <c r="E38" s="155" t="s">
        <v>25</v>
      </c>
      <c r="F38" s="156">
        <v>22000</v>
      </c>
      <c r="G38" s="45">
        <f>ROUNDDOWN(D38*F38,-3)</f>
        <v>3520000</v>
      </c>
      <c r="H38" s="165">
        <v>3520000</v>
      </c>
      <c r="I38" s="150" t="s">
        <v>3553</v>
      </c>
      <c r="J38" s="149" t="s">
        <v>3565</v>
      </c>
      <c r="K38" s="149" t="s">
        <v>3577</v>
      </c>
      <c r="L38" s="171">
        <f t="shared" si="0"/>
        <v>0</v>
      </c>
    </row>
    <row r="39" spans="1:12" x14ac:dyDescent="0.25">
      <c r="A39" s="7" t="s">
        <v>224</v>
      </c>
      <c r="B39" s="61"/>
      <c r="C39" s="44" t="s">
        <v>3610</v>
      </c>
      <c r="D39" s="47">
        <v>1</v>
      </c>
      <c r="E39" s="61" t="s">
        <v>9</v>
      </c>
      <c r="F39" s="45">
        <v>1000000</v>
      </c>
      <c r="G39" s="45">
        <f>ROUNDDOWN(D39*F39,-3)</f>
        <v>1000000</v>
      </c>
      <c r="H39" s="165">
        <v>1000000</v>
      </c>
      <c r="I39" s="150" t="s">
        <v>3553</v>
      </c>
      <c r="J39" s="149" t="s">
        <v>3565</v>
      </c>
      <c r="K39" s="149" t="s">
        <v>3577</v>
      </c>
      <c r="L39" s="171">
        <f t="shared" si="0"/>
        <v>0</v>
      </c>
    </row>
    <row r="40" spans="1:12" x14ac:dyDescent="0.25">
      <c r="A40" s="7" t="s">
        <v>225</v>
      </c>
      <c r="B40" s="155"/>
      <c r="C40" s="154" t="s">
        <v>3611</v>
      </c>
      <c r="D40" s="155">
        <v>1</v>
      </c>
      <c r="E40" s="155" t="s">
        <v>9</v>
      </c>
      <c r="F40" s="156">
        <v>1000000</v>
      </c>
      <c r="G40" s="45">
        <f>ROUNDDOWN(D40*F40,-3)</f>
        <v>1000000</v>
      </c>
      <c r="H40" s="165">
        <v>1000000</v>
      </c>
      <c r="I40" s="150" t="s">
        <v>3553</v>
      </c>
      <c r="J40" s="149" t="s">
        <v>3565</v>
      </c>
      <c r="K40" s="149" t="s">
        <v>3577</v>
      </c>
      <c r="L40" s="171">
        <f t="shared" si="0"/>
        <v>0</v>
      </c>
    </row>
    <row r="41" spans="1:12" x14ac:dyDescent="0.25">
      <c r="A41" s="7" t="s">
        <v>226</v>
      </c>
      <c r="B41" s="60">
        <v>522151</v>
      </c>
      <c r="C41" s="41" t="s">
        <v>11</v>
      </c>
      <c r="D41" s="60"/>
      <c r="E41" s="60"/>
      <c r="F41" s="42"/>
      <c r="G41" s="42">
        <v>18000000</v>
      </c>
      <c r="H41" s="165">
        <v>18000000</v>
      </c>
      <c r="I41" s="150" t="s">
        <v>3553</v>
      </c>
      <c r="J41" s="149" t="s">
        <v>3565</v>
      </c>
      <c r="K41" s="149" t="s">
        <v>3577</v>
      </c>
      <c r="L41" s="171">
        <f t="shared" si="0"/>
        <v>0</v>
      </c>
    </row>
    <row r="42" spans="1:12" x14ac:dyDescent="0.25">
      <c r="A42" s="7" t="s">
        <v>227</v>
      </c>
      <c r="B42" s="61"/>
      <c r="C42" s="44" t="s">
        <v>3612</v>
      </c>
      <c r="D42" s="47">
        <v>20</v>
      </c>
      <c r="E42" s="61" t="s">
        <v>54</v>
      </c>
      <c r="F42" s="45">
        <v>900000</v>
      </c>
      <c r="G42" s="45">
        <f>ROUNDDOWN(D42*F42,-3)</f>
        <v>18000000</v>
      </c>
      <c r="H42" s="165">
        <v>18000000</v>
      </c>
      <c r="I42" s="150" t="s">
        <v>3553</v>
      </c>
      <c r="J42" s="149" t="s">
        <v>3565</v>
      </c>
      <c r="K42" s="149" t="s">
        <v>3577</v>
      </c>
      <c r="L42" s="171">
        <f t="shared" si="0"/>
        <v>0</v>
      </c>
    </row>
    <row r="43" spans="1:12" x14ac:dyDescent="0.25">
      <c r="A43" s="7" t="s">
        <v>228</v>
      </c>
      <c r="B43" s="60">
        <v>524113</v>
      </c>
      <c r="C43" s="41" t="s">
        <v>13</v>
      </c>
      <c r="D43" s="71"/>
      <c r="E43" s="60"/>
      <c r="F43" s="42"/>
      <c r="G43" s="42">
        <v>14000000</v>
      </c>
      <c r="H43" s="165">
        <v>14000000</v>
      </c>
      <c r="I43" s="150" t="s">
        <v>3553</v>
      </c>
      <c r="J43" s="149" t="s">
        <v>3565</v>
      </c>
      <c r="K43" s="149" t="s">
        <v>3577</v>
      </c>
      <c r="L43" s="171">
        <f t="shared" si="0"/>
        <v>0</v>
      </c>
    </row>
    <row r="44" spans="1:12" x14ac:dyDescent="0.25">
      <c r="A44" s="7" t="s">
        <v>229</v>
      </c>
      <c r="B44" s="61"/>
      <c r="C44" s="44" t="s">
        <v>3613</v>
      </c>
      <c r="D44" s="47">
        <v>50</v>
      </c>
      <c r="E44" s="61" t="s">
        <v>25</v>
      </c>
      <c r="F44" s="45">
        <v>150000</v>
      </c>
      <c r="G44" s="45">
        <f>ROUNDDOWN(D44*F44,-3)</f>
        <v>7500000</v>
      </c>
      <c r="H44" s="165">
        <v>7500000</v>
      </c>
      <c r="I44" s="150" t="s">
        <v>3553</v>
      </c>
      <c r="J44" s="149" t="s">
        <v>3565</v>
      </c>
      <c r="K44" s="149" t="s">
        <v>3577</v>
      </c>
      <c r="L44" s="171">
        <f t="shared" si="0"/>
        <v>0</v>
      </c>
    </row>
    <row r="45" spans="1:12" x14ac:dyDescent="0.25">
      <c r="A45" s="7" t="s">
        <v>631</v>
      </c>
      <c r="B45" s="61"/>
      <c r="C45" s="44" t="s">
        <v>3614</v>
      </c>
      <c r="D45" s="47">
        <v>50</v>
      </c>
      <c r="E45" s="61" t="s">
        <v>25</v>
      </c>
      <c r="F45" s="45">
        <v>130000</v>
      </c>
      <c r="G45" s="45">
        <f>ROUNDDOWN(D45*F45,-3)</f>
        <v>6500000</v>
      </c>
      <c r="H45" s="165">
        <v>6500000</v>
      </c>
      <c r="I45" s="150" t="s">
        <v>3553</v>
      </c>
      <c r="J45" s="149" t="s">
        <v>3565</v>
      </c>
      <c r="K45" s="149" t="s">
        <v>3577</v>
      </c>
      <c r="L45" s="171">
        <f t="shared" si="0"/>
        <v>0</v>
      </c>
    </row>
    <row r="46" spans="1:12" x14ac:dyDescent="0.25">
      <c r="A46" s="7" t="s">
        <v>230</v>
      </c>
      <c r="B46" s="60">
        <v>524119</v>
      </c>
      <c r="C46" s="41" t="s">
        <v>15</v>
      </c>
      <c r="D46" s="60"/>
      <c r="E46" s="60"/>
      <c r="F46" s="42"/>
      <c r="G46" s="42">
        <v>55250000</v>
      </c>
      <c r="H46" s="165">
        <v>55250000</v>
      </c>
      <c r="I46" s="150" t="s">
        <v>3553</v>
      </c>
      <c r="J46" s="149" t="s">
        <v>3565</v>
      </c>
      <c r="K46" s="149" t="s">
        <v>3577</v>
      </c>
      <c r="L46" s="171">
        <f t="shared" si="0"/>
        <v>0</v>
      </c>
    </row>
    <row r="47" spans="1:12" x14ac:dyDescent="0.25">
      <c r="A47" s="7" t="s">
        <v>231</v>
      </c>
      <c r="B47" s="61"/>
      <c r="C47" s="44" t="s">
        <v>3605</v>
      </c>
      <c r="D47" s="47">
        <v>50</v>
      </c>
      <c r="E47" s="61" t="s">
        <v>25</v>
      </c>
      <c r="F47" s="45">
        <v>450000</v>
      </c>
      <c r="G47" s="45">
        <f>ROUNDDOWN(D47*F47,-3)</f>
        <v>22500000</v>
      </c>
      <c r="H47" s="165">
        <v>22500000</v>
      </c>
      <c r="I47" s="150" t="s">
        <v>3553</v>
      </c>
      <c r="J47" s="149" t="s">
        <v>3565</v>
      </c>
      <c r="K47" s="149" t="s">
        <v>3577</v>
      </c>
      <c r="L47" s="171">
        <f t="shared" si="0"/>
        <v>0</v>
      </c>
    </row>
    <row r="48" spans="1:12" x14ac:dyDescent="0.25">
      <c r="A48" s="7" t="s">
        <v>232</v>
      </c>
      <c r="B48" s="155"/>
      <c r="C48" s="154" t="s">
        <v>3606</v>
      </c>
      <c r="D48" s="155">
        <v>50</v>
      </c>
      <c r="E48" s="155" t="s">
        <v>25</v>
      </c>
      <c r="F48" s="156">
        <v>105000</v>
      </c>
      <c r="G48" s="45">
        <f>ROUNDDOWN(D48*F48,-3)</f>
        <v>5250000</v>
      </c>
      <c r="H48" s="165">
        <v>5250000</v>
      </c>
      <c r="I48" s="150" t="s">
        <v>3553</v>
      </c>
      <c r="J48" s="149" t="s">
        <v>3565</v>
      </c>
      <c r="K48" s="149" t="s">
        <v>3577</v>
      </c>
      <c r="L48" s="171">
        <f t="shared" si="0"/>
        <v>0</v>
      </c>
    </row>
    <row r="49" spans="1:12" ht="26.4" x14ac:dyDescent="0.25">
      <c r="A49" s="7" t="s">
        <v>233</v>
      </c>
      <c r="B49" s="61"/>
      <c r="C49" s="44" t="s">
        <v>3615</v>
      </c>
      <c r="D49" s="47">
        <v>50</v>
      </c>
      <c r="E49" s="61" t="s">
        <v>25</v>
      </c>
      <c r="F49" s="45">
        <v>550000</v>
      </c>
      <c r="G49" s="45">
        <f>ROUNDDOWN(D49*F49,-3)</f>
        <v>27500000</v>
      </c>
      <c r="H49" s="165">
        <v>27500000</v>
      </c>
      <c r="I49" s="150" t="s">
        <v>3553</v>
      </c>
      <c r="J49" s="149" t="s">
        <v>3565</v>
      </c>
      <c r="K49" s="149" t="s">
        <v>3577</v>
      </c>
      <c r="L49" s="171">
        <f t="shared" si="0"/>
        <v>0</v>
      </c>
    </row>
    <row r="50" spans="1:12" x14ac:dyDescent="0.25">
      <c r="A50" s="7" t="s">
        <v>234</v>
      </c>
      <c r="B50" s="59" t="s">
        <v>512</v>
      </c>
      <c r="C50" s="38" t="s">
        <v>18</v>
      </c>
      <c r="D50" s="59"/>
      <c r="E50" s="59"/>
      <c r="F50" s="39"/>
      <c r="G50" s="39">
        <v>47060000</v>
      </c>
      <c r="H50" s="165">
        <v>47060000</v>
      </c>
      <c r="I50" s="150" t="s">
        <v>3553</v>
      </c>
      <c r="J50" s="149" t="s">
        <v>3565</v>
      </c>
      <c r="K50" s="149" t="s">
        <v>3577</v>
      </c>
      <c r="L50" s="171">
        <f t="shared" si="0"/>
        <v>0</v>
      </c>
    </row>
    <row r="51" spans="1:12" x14ac:dyDescent="0.25">
      <c r="A51" s="7" t="s">
        <v>235</v>
      </c>
      <c r="B51" s="60">
        <v>521211</v>
      </c>
      <c r="C51" s="41" t="s">
        <v>7</v>
      </c>
      <c r="D51" s="71"/>
      <c r="E51" s="60"/>
      <c r="F51" s="42"/>
      <c r="G51" s="42">
        <v>4820000</v>
      </c>
      <c r="H51" s="165">
        <v>4820000</v>
      </c>
      <c r="I51" s="150" t="s">
        <v>3553</v>
      </c>
      <c r="J51" s="149" t="s">
        <v>3565</v>
      </c>
      <c r="K51" s="149" t="s">
        <v>3577</v>
      </c>
      <c r="L51" s="171">
        <f t="shared" si="0"/>
        <v>0</v>
      </c>
    </row>
    <row r="52" spans="1:12" x14ac:dyDescent="0.25">
      <c r="A52" s="7" t="s">
        <v>236</v>
      </c>
      <c r="B52" s="158"/>
      <c r="C52" s="157" t="s">
        <v>3598</v>
      </c>
      <c r="D52" s="158">
        <v>1</v>
      </c>
      <c r="E52" s="158" t="s">
        <v>9</v>
      </c>
      <c r="F52" s="159">
        <v>750000</v>
      </c>
      <c r="G52" s="45">
        <f>ROUNDDOWN(D52*F52,-3)</f>
        <v>750000</v>
      </c>
      <c r="H52" s="165">
        <v>750000</v>
      </c>
      <c r="I52" s="150" t="s">
        <v>3553</v>
      </c>
      <c r="J52" s="149" t="s">
        <v>3565</v>
      </c>
      <c r="K52" s="149" t="s">
        <v>3577</v>
      </c>
      <c r="L52" s="171">
        <f t="shared" si="0"/>
        <v>0</v>
      </c>
    </row>
    <row r="53" spans="1:12" x14ac:dyDescent="0.25">
      <c r="A53" s="7" t="s">
        <v>237</v>
      </c>
      <c r="B53" s="155"/>
      <c r="C53" s="154" t="s">
        <v>3616</v>
      </c>
      <c r="D53" s="155">
        <v>30</v>
      </c>
      <c r="E53" s="155" t="s">
        <v>25</v>
      </c>
      <c r="F53" s="156">
        <v>69000</v>
      </c>
      <c r="G53" s="45">
        <f>ROUNDDOWN(D53*F53,-3)</f>
        <v>2070000</v>
      </c>
      <c r="H53" s="165">
        <v>2070000</v>
      </c>
      <c r="I53" s="150" t="s">
        <v>3553</v>
      </c>
      <c r="J53" s="149" t="s">
        <v>3565</v>
      </c>
      <c r="K53" s="149" t="s">
        <v>3577</v>
      </c>
      <c r="L53" s="171">
        <f t="shared" si="0"/>
        <v>0</v>
      </c>
    </row>
    <row r="54" spans="1:12" x14ac:dyDescent="0.25">
      <c r="A54" s="7" t="s">
        <v>238</v>
      </c>
      <c r="B54" s="155"/>
      <c r="C54" s="154" t="s">
        <v>3600</v>
      </c>
      <c r="D54" s="155">
        <v>1</v>
      </c>
      <c r="E54" s="155" t="s">
        <v>9</v>
      </c>
      <c r="F54" s="156">
        <v>1000000</v>
      </c>
      <c r="G54" s="45">
        <f>ROUNDDOWN(D54*F54,-3)</f>
        <v>1000000</v>
      </c>
      <c r="H54" s="165">
        <v>1000000</v>
      </c>
      <c r="I54" s="150" t="s">
        <v>3553</v>
      </c>
      <c r="J54" s="149" t="s">
        <v>3565</v>
      </c>
      <c r="K54" s="149" t="s">
        <v>3577</v>
      </c>
      <c r="L54" s="171">
        <f t="shared" si="0"/>
        <v>0</v>
      </c>
    </row>
    <row r="55" spans="1:12" x14ac:dyDescent="0.25">
      <c r="A55" s="7" t="s">
        <v>239</v>
      </c>
      <c r="B55" s="61"/>
      <c r="C55" s="44" t="s">
        <v>3601</v>
      </c>
      <c r="D55" s="47">
        <v>1</v>
      </c>
      <c r="E55" s="61" t="s">
        <v>9</v>
      </c>
      <c r="F55" s="45">
        <v>1000000</v>
      </c>
      <c r="G55" s="45">
        <f>ROUNDDOWN(D55*F55,-3)</f>
        <v>1000000</v>
      </c>
      <c r="H55" s="165">
        <v>1000000</v>
      </c>
      <c r="I55" s="150" t="s">
        <v>3553</v>
      </c>
      <c r="J55" s="149" t="s">
        <v>3565</v>
      </c>
      <c r="K55" s="149" t="s">
        <v>3577</v>
      </c>
      <c r="L55" s="171">
        <f t="shared" si="0"/>
        <v>0</v>
      </c>
    </row>
    <row r="56" spans="1:12" x14ac:dyDescent="0.25">
      <c r="A56" s="7" t="s">
        <v>240</v>
      </c>
      <c r="B56" s="60">
        <v>524111</v>
      </c>
      <c r="C56" s="41" t="s">
        <v>19</v>
      </c>
      <c r="D56" s="71"/>
      <c r="E56" s="60"/>
      <c r="F56" s="42"/>
      <c r="G56" s="42">
        <v>40000000</v>
      </c>
      <c r="H56" s="165">
        <v>40000000</v>
      </c>
      <c r="I56" s="150" t="s">
        <v>3553</v>
      </c>
      <c r="J56" s="149" t="s">
        <v>3565</v>
      </c>
      <c r="K56" s="149" t="s">
        <v>3577</v>
      </c>
      <c r="L56" s="171">
        <f t="shared" si="0"/>
        <v>0</v>
      </c>
    </row>
    <row r="57" spans="1:12" ht="26.4" x14ac:dyDescent="0.25">
      <c r="A57" s="7" t="s">
        <v>241</v>
      </c>
      <c r="B57" s="61"/>
      <c r="C57" s="44" t="s">
        <v>3617</v>
      </c>
      <c r="D57" s="47">
        <v>8</v>
      </c>
      <c r="E57" s="61" t="s">
        <v>25</v>
      </c>
      <c r="F57" s="45">
        <v>5000000</v>
      </c>
      <c r="G57" s="45">
        <f>ROUNDDOWN(D57*F57,-3)</f>
        <v>40000000</v>
      </c>
      <c r="H57" s="165">
        <v>40000000</v>
      </c>
      <c r="I57" s="150" t="s">
        <v>3553</v>
      </c>
      <c r="J57" s="149" t="s">
        <v>3565</v>
      </c>
      <c r="K57" s="149" t="s">
        <v>3577</v>
      </c>
      <c r="L57" s="171">
        <f t="shared" si="0"/>
        <v>0</v>
      </c>
    </row>
    <row r="58" spans="1:12" x14ac:dyDescent="0.25">
      <c r="A58" s="7" t="s">
        <v>636</v>
      </c>
      <c r="B58" s="60">
        <v>524113</v>
      </c>
      <c r="C58" s="41" t="s">
        <v>13</v>
      </c>
      <c r="D58" s="71"/>
      <c r="E58" s="60"/>
      <c r="F58" s="42"/>
      <c r="G58" s="42">
        <v>1200000</v>
      </c>
      <c r="H58" s="165">
        <v>1200000</v>
      </c>
      <c r="I58" s="150" t="s">
        <v>3553</v>
      </c>
      <c r="J58" s="149" t="s">
        <v>3565</v>
      </c>
      <c r="K58" s="149" t="s">
        <v>3577</v>
      </c>
      <c r="L58" s="171">
        <f t="shared" si="0"/>
        <v>0</v>
      </c>
    </row>
    <row r="59" spans="1:12" x14ac:dyDescent="0.25">
      <c r="A59" s="7" t="s">
        <v>637</v>
      </c>
      <c r="B59" s="61"/>
      <c r="C59" s="44" t="s">
        <v>3618</v>
      </c>
      <c r="D59" s="47">
        <v>8</v>
      </c>
      <c r="E59" s="61" t="s">
        <v>25</v>
      </c>
      <c r="F59" s="45">
        <v>150000</v>
      </c>
      <c r="G59" s="45">
        <f>ROUNDDOWN(D59*F59,-3)</f>
        <v>1200000</v>
      </c>
      <c r="H59" s="165">
        <v>1200000</v>
      </c>
      <c r="I59" s="150" t="s">
        <v>3553</v>
      </c>
      <c r="J59" s="149" t="s">
        <v>3565</v>
      </c>
      <c r="K59" s="149" t="s">
        <v>3577</v>
      </c>
      <c r="L59" s="171">
        <f t="shared" si="0"/>
        <v>0</v>
      </c>
    </row>
    <row r="60" spans="1:12" x14ac:dyDescent="0.25">
      <c r="A60" s="7" t="s">
        <v>639</v>
      </c>
      <c r="B60" s="60">
        <v>524114</v>
      </c>
      <c r="C60" s="41" t="s">
        <v>14</v>
      </c>
      <c r="D60" s="71"/>
      <c r="E60" s="60"/>
      <c r="F60" s="42"/>
      <c r="G60" s="42">
        <v>1040000</v>
      </c>
      <c r="H60" s="165">
        <v>1040000</v>
      </c>
      <c r="I60" s="150" t="s">
        <v>3553</v>
      </c>
      <c r="J60" s="149" t="s">
        <v>3565</v>
      </c>
      <c r="K60" s="149" t="s">
        <v>3577</v>
      </c>
      <c r="L60" s="171">
        <f t="shared" si="0"/>
        <v>0</v>
      </c>
    </row>
    <row r="61" spans="1:12" x14ac:dyDescent="0.25">
      <c r="A61" s="7" t="s">
        <v>640</v>
      </c>
      <c r="B61" s="61"/>
      <c r="C61" s="44" t="s">
        <v>3604</v>
      </c>
      <c r="D61" s="47">
        <v>8</v>
      </c>
      <c r="E61" s="61" t="s">
        <v>25</v>
      </c>
      <c r="F61" s="45">
        <v>130000</v>
      </c>
      <c r="G61" s="45">
        <f>ROUNDDOWN(D61*F61,-3)</f>
        <v>1040000</v>
      </c>
      <c r="H61" s="165">
        <v>1040000</v>
      </c>
      <c r="I61" s="150" t="s">
        <v>3553</v>
      </c>
      <c r="J61" s="149" t="s">
        <v>3565</v>
      </c>
      <c r="K61" s="149" t="s">
        <v>3577</v>
      </c>
      <c r="L61" s="171">
        <f t="shared" si="0"/>
        <v>0</v>
      </c>
    </row>
    <row r="62" spans="1:12" x14ac:dyDescent="0.25">
      <c r="A62" s="7" t="s">
        <v>242</v>
      </c>
      <c r="B62" s="59" t="s">
        <v>514</v>
      </c>
      <c r="C62" s="38" t="s">
        <v>20</v>
      </c>
      <c r="D62" s="59"/>
      <c r="E62" s="59"/>
      <c r="F62" s="39"/>
      <c r="G62" s="39">
        <v>202740000</v>
      </c>
      <c r="H62" s="165">
        <v>202740000</v>
      </c>
      <c r="I62" s="150" t="s">
        <v>3553</v>
      </c>
      <c r="J62" s="149" t="s">
        <v>3565</v>
      </c>
      <c r="K62" s="149" t="s">
        <v>3577</v>
      </c>
      <c r="L62" s="171">
        <f t="shared" si="0"/>
        <v>0</v>
      </c>
    </row>
    <row r="63" spans="1:12" x14ac:dyDescent="0.25">
      <c r="A63" s="7" t="s">
        <v>243</v>
      </c>
      <c r="B63" s="60">
        <v>521211</v>
      </c>
      <c r="C63" s="41" t="s">
        <v>7</v>
      </c>
      <c r="D63" s="71"/>
      <c r="E63" s="60"/>
      <c r="F63" s="42"/>
      <c r="G63" s="42">
        <v>27540000</v>
      </c>
      <c r="H63" s="165">
        <v>27540000</v>
      </c>
      <c r="I63" s="150" t="s">
        <v>3553</v>
      </c>
      <c r="J63" s="149" t="s">
        <v>3565</v>
      </c>
      <c r="K63" s="149" t="s">
        <v>3577</v>
      </c>
      <c r="L63" s="171">
        <f t="shared" si="0"/>
        <v>0</v>
      </c>
    </row>
    <row r="64" spans="1:12" x14ac:dyDescent="0.25">
      <c r="A64" s="7" t="s">
        <v>244</v>
      </c>
      <c r="B64" s="155"/>
      <c r="C64" s="154" t="s">
        <v>3598</v>
      </c>
      <c r="D64" s="155">
        <v>6</v>
      </c>
      <c r="E64" s="155" t="s">
        <v>9</v>
      </c>
      <c r="F64" s="156">
        <v>750000</v>
      </c>
      <c r="G64" s="45">
        <f>ROUNDDOWN(D64*F64,-3)</f>
        <v>4500000</v>
      </c>
      <c r="H64" s="165">
        <v>4500000</v>
      </c>
      <c r="I64" s="150" t="s">
        <v>3553</v>
      </c>
      <c r="J64" s="149" t="s">
        <v>3565</v>
      </c>
      <c r="K64" s="149" t="s">
        <v>3577</v>
      </c>
      <c r="L64" s="171">
        <f t="shared" si="0"/>
        <v>0</v>
      </c>
    </row>
    <row r="65" spans="1:12" x14ac:dyDescent="0.25">
      <c r="A65" s="7" t="s">
        <v>245</v>
      </c>
      <c r="B65" s="61"/>
      <c r="C65" s="44" t="s">
        <v>3619</v>
      </c>
      <c r="D65" s="47">
        <v>160</v>
      </c>
      <c r="E65" s="61" t="s">
        <v>25</v>
      </c>
      <c r="F65" s="45">
        <v>69000</v>
      </c>
      <c r="G65" s="45">
        <f>ROUNDDOWN(D65*F65,-3)</f>
        <v>11040000</v>
      </c>
      <c r="H65" s="165">
        <v>11040000</v>
      </c>
      <c r="I65" s="150" t="s">
        <v>3553</v>
      </c>
      <c r="J65" s="149" t="s">
        <v>3565</v>
      </c>
      <c r="K65" s="149" t="s">
        <v>3577</v>
      </c>
      <c r="L65" s="171">
        <f t="shared" si="0"/>
        <v>0</v>
      </c>
    </row>
    <row r="66" spans="1:12" x14ac:dyDescent="0.25">
      <c r="A66" s="7" t="s">
        <v>246</v>
      </c>
      <c r="B66" s="155"/>
      <c r="C66" s="154" t="s">
        <v>3600</v>
      </c>
      <c r="D66" s="155">
        <v>6</v>
      </c>
      <c r="E66" s="155" t="s">
        <v>9</v>
      </c>
      <c r="F66" s="156">
        <v>1000000</v>
      </c>
      <c r="G66" s="45">
        <f>ROUNDDOWN(D66*F66,-3)</f>
        <v>6000000</v>
      </c>
      <c r="H66" s="165">
        <v>6000000</v>
      </c>
      <c r="I66" s="150" t="s">
        <v>3553</v>
      </c>
      <c r="J66" s="149" t="s">
        <v>3565</v>
      </c>
      <c r="K66" s="149" t="s">
        <v>3577</v>
      </c>
      <c r="L66" s="171">
        <f t="shared" si="0"/>
        <v>0</v>
      </c>
    </row>
    <row r="67" spans="1:12" x14ac:dyDescent="0.25">
      <c r="A67" s="7" t="s">
        <v>247</v>
      </c>
      <c r="B67" s="61"/>
      <c r="C67" s="44" t="s">
        <v>3601</v>
      </c>
      <c r="D67" s="47">
        <v>6</v>
      </c>
      <c r="E67" s="61" t="s">
        <v>9</v>
      </c>
      <c r="F67" s="45">
        <v>1000000</v>
      </c>
      <c r="G67" s="45">
        <f>ROUNDDOWN(D67*F67,-3)</f>
        <v>6000000</v>
      </c>
      <c r="H67" s="165">
        <v>6000000</v>
      </c>
      <c r="I67" s="150" t="s">
        <v>3553</v>
      </c>
      <c r="J67" s="149" t="s">
        <v>3565</v>
      </c>
      <c r="K67" s="149" t="s">
        <v>3577</v>
      </c>
      <c r="L67" s="171">
        <f t="shared" si="0"/>
        <v>0</v>
      </c>
    </row>
    <row r="68" spans="1:12" ht="26.4" x14ac:dyDescent="0.25">
      <c r="A68" s="7" t="s">
        <v>248</v>
      </c>
      <c r="B68" s="60">
        <v>521241</v>
      </c>
      <c r="C68" s="41" t="s">
        <v>642</v>
      </c>
      <c r="D68" s="60"/>
      <c r="E68" s="60"/>
      <c r="F68" s="42"/>
      <c r="G68" s="42">
        <v>14400000</v>
      </c>
      <c r="H68" s="165">
        <v>14400000</v>
      </c>
      <c r="I68" s="150" t="s">
        <v>3553</v>
      </c>
      <c r="J68" s="149" t="s">
        <v>3565</v>
      </c>
      <c r="K68" s="149" t="s">
        <v>3577</v>
      </c>
      <c r="L68" s="171">
        <f t="shared" si="0"/>
        <v>0</v>
      </c>
    </row>
    <row r="69" spans="1:12" ht="26.4" x14ac:dyDescent="0.25">
      <c r="A69" s="7" t="s">
        <v>249</v>
      </c>
      <c r="B69" s="155"/>
      <c r="C69" s="154" t="s">
        <v>3620</v>
      </c>
      <c r="D69" s="155">
        <v>72</v>
      </c>
      <c r="E69" s="155" t="s">
        <v>32</v>
      </c>
      <c r="F69" s="156">
        <v>200000</v>
      </c>
      <c r="G69" s="45">
        <f>ROUNDDOWN(D69*F69,-3)</f>
        <v>14400000</v>
      </c>
      <c r="H69" s="165">
        <v>14400000</v>
      </c>
      <c r="I69" s="150" t="s">
        <v>3553</v>
      </c>
      <c r="J69" s="149" t="s">
        <v>3565</v>
      </c>
      <c r="K69" s="149" t="s">
        <v>3577</v>
      </c>
      <c r="L69" s="171">
        <f t="shared" si="0"/>
        <v>0</v>
      </c>
    </row>
    <row r="70" spans="1:12" x14ac:dyDescent="0.25">
      <c r="A70" s="7" t="s">
        <v>250</v>
      </c>
      <c r="B70" s="60">
        <v>522151</v>
      </c>
      <c r="C70" s="41" t="s">
        <v>11</v>
      </c>
      <c r="D70" s="71"/>
      <c r="E70" s="60"/>
      <c r="F70" s="42"/>
      <c r="G70" s="42">
        <v>9000000</v>
      </c>
      <c r="H70" s="165">
        <v>9000000</v>
      </c>
      <c r="I70" s="150" t="s">
        <v>3553</v>
      </c>
      <c r="J70" s="149" t="s">
        <v>3565</v>
      </c>
      <c r="K70" s="149" t="s">
        <v>3577</v>
      </c>
      <c r="L70" s="171">
        <f t="shared" si="0"/>
        <v>0</v>
      </c>
    </row>
    <row r="71" spans="1:12" x14ac:dyDescent="0.25">
      <c r="A71" s="7" t="s">
        <v>251</v>
      </c>
      <c r="B71" s="61"/>
      <c r="C71" s="44" t="s">
        <v>3602</v>
      </c>
      <c r="D71" s="47">
        <v>10</v>
      </c>
      <c r="E71" s="61" t="s">
        <v>54</v>
      </c>
      <c r="F71" s="45">
        <v>900000</v>
      </c>
      <c r="G71" s="45">
        <f>ROUNDDOWN(D71*F71,-3)</f>
        <v>9000000</v>
      </c>
      <c r="H71" s="165">
        <v>9000000</v>
      </c>
      <c r="I71" s="150" t="s">
        <v>3553</v>
      </c>
      <c r="J71" s="149" t="s">
        <v>3565</v>
      </c>
      <c r="K71" s="149" t="s">
        <v>3577</v>
      </c>
      <c r="L71" s="171">
        <f t="shared" si="0"/>
        <v>0</v>
      </c>
    </row>
    <row r="72" spans="1:12" x14ac:dyDescent="0.25">
      <c r="A72" s="7" t="s">
        <v>252</v>
      </c>
      <c r="B72" s="60">
        <v>522191</v>
      </c>
      <c r="C72" s="41" t="s">
        <v>22</v>
      </c>
      <c r="D72" s="71"/>
      <c r="E72" s="60"/>
      <c r="F72" s="42"/>
      <c r="G72" s="42">
        <v>96000000</v>
      </c>
      <c r="H72" s="165">
        <v>96000000</v>
      </c>
      <c r="I72" s="150" t="s">
        <v>3553</v>
      </c>
      <c r="J72" s="149" t="s">
        <v>3565</v>
      </c>
      <c r="K72" s="149" t="s">
        <v>3577</v>
      </c>
      <c r="L72" s="171">
        <f t="shared" si="0"/>
        <v>0</v>
      </c>
    </row>
    <row r="73" spans="1:12" x14ac:dyDescent="0.25">
      <c r="A73" s="7" t="s">
        <v>253</v>
      </c>
      <c r="B73" s="61"/>
      <c r="C73" s="44" t="s">
        <v>3621</v>
      </c>
      <c r="D73" s="47">
        <v>1</v>
      </c>
      <c r="E73" s="61" t="s">
        <v>9</v>
      </c>
      <c r="F73" s="45">
        <v>80000000</v>
      </c>
      <c r="G73" s="45">
        <f>ROUNDDOWN(D73*F73,-3)</f>
        <v>80000000</v>
      </c>
      <c r="H73" s="165">
        <v>80000000</v>
      </c>
      <c r="I73" s="150" t="s">
        <v>3553</v>
      </c>
      <c r="J73" s="149" t="s">
        <v>3565</v>
      </c>
      <c r="K73" s="149" t="s">
        <v>3577</v>
      </c>
      <c r="L73" s="171">
        <f t="shared" si="0"/>
        <v>0</v>
      </c>
    </row>
    <row r="74" spans="1:12" x14ac:dyDescent="0.25">
      <c r="A74" s="7" t="s">
        <v>254</v>
      </c>
      <c r="B74" s="61"/>
      <c r="C74" s="44" t="s">
        <v>3622</v>
      </c>
      <c r="D74" s="47">
        <v>1</v>
      </c>
      <c r="E74" s="61" t="s">
        <v>9</v>
      </c>
      <c r="F74" s="45">
        <v>16000000</v>
      </c>
      <c r="G74" s="45">
        <f>ROUNDDOWN(D74*F74,-3)</f>
        <v>16000000</v>
      </c>
      <c r="H74" s="165">
        <v>16000000</v>
      </c>
      <c r="I74" s="150" t="s">
        <v>3553</v>
      </c>
      <c r="J74" s="149" t="s">
        <v>3565</v>
      </c>
      <c r="K74" s="149" t="s">
        <v>3577</v>
      </c>
      <c r="L74" s="171">
        <f t="shared" si="0"/>
        <v>0</v>
      </c>
    </row>
    <row r="75" spans="1:12" x14ac:dyDescent="0.25">
      <c r="A75" s="7" t="s">
        <v>255</v>
      </c>
      <c r="B75" s="60">
        <v>524111</v>
      </c>
      <c r="C75" s="41" t="s">
        <v>19</v>
      </c>
      <c r="D75" s="60"/>
      <c r="E75" s="60"/>
      <c r="F75" s="42"/>
      <c r="G75" s="42">
        <v>53000000</v>
      </c>
      <c r="H75" s="165">
        <v>53000000</v>
      </c>
      <c r="I75" s="150" t="s">
        <v>3553</v>
      </c>
      <c r="J75" s="149" t="s">
        <v>3565</v>
      </c>
      <c r="K75" s="149" t="s">
        <v>3577</v>
      </c>
      <c r="L75" s="171">
        <f t="shared" si="0"/>
        <v>0</v>
      </c>
    </row>
    <row r="76" spans="1:12" ht="26.4" x14ac:dyDescent="0.25">
      <c r="A76" s="7" t="s">
        <v>256</v>
      </c>
      <c r="B76" s="61"/>
      <c r="C76" s="44" t="s">
        <v>3623</v>
      </c>
      <c r="D76" s="47">
        <v>10</v>
      </c>
      <c r="E76" s="61" t="s">
        <v>25</v>
      </c>
      <c r="F76" s="45">
        <v>2500000</v>
      </c>
      <c r="G76" s="45">
        <f>ROUNDDOWN(D76*F76,-3)</f>
        <v>25000000</v>
      </c>
      <c r="H76" s="165">
        <v>25000000</v>
      </c>
      <c r="I76" s="150" t="s">
        <v>3553</v>
      </c>
      <c r="J76" s="149" t="s">
        <v>3565</v>
      </c>
      <c r="K76" s="149" t="s">
        <v>3577</v>
      </c>
      <c r="L76" s="171">
        <f t="shared" si="0"/>
        <v>0</v>
      </c>
    </row>
    <row r="77" spans="1:12" ht="26.4" x14ac:dyDescent="0.25">
      <c r="A77" s="7" t="s">
        <v>647</v>
      </c>
      <c r="B77" s="155"/>
      <c r="C77" s="154" t="s">
        <v>3624</v>
      </c>
      <c r="D77" s="155">
        <v>7</v>
      </c>
      <c r="E77" s="155" t="s">
        <v>25</v>
      </c>
      <c r="F77" s="156">
        <v>4000000</v>
      </c>
      <c r="G77" s="45">
        <f>ROUNDDOWN(D77*F77,-3)</f>
        <v>28000000</v>
      </c>
      <c r="H77" s="165">
        <v>28000000</v>
      </c>
      <c r="I77" s="150" t="s">
        <v>3553</v>
      </c>
      <c r="J77" s="149" t="s">
        <v>3565</v>
      </c>
      <c r="K77" s="149" t="s">
        <v>3577</v>
      </c>
      <c r="L77" s="171">
        <f t="shared" si="0"/>
        <v>0</v>
      </c>
    </row>
    <row r="78" spans="1:12" x14ac:dyDescent="0.25">
      <c r="A78" s="7" t="s">
        <v>649</v>
      </c>
      <c r="B78" s="60">
        <v>524113</v>
      </c>
      <c r="C78" s="41" t="s">
        <v>13</v>
      </c>
      <c r="D78" s="71"/>
      <c r="E78" s="60"/>
      <c r="F78" s="42"/>
      <c r="G78" s="42">
        <v>1500000</v>
      </c>
      <c r="H78" s="165">
        <v>1500000</v>
      </c>
      <c r="I78" s="150" t="s">
        <v>3553</v>
      </c>
      <c r="J78" s="149" t="s">
        <v>3565</v>
      </c>
      <c r="K78" s="149" t="s">
        <v>3577</v>
      </c>
      <c r="L78" s="171">
        <f t="shared" ref="L78:L141" si="1">G78-H78</f>
        <v>0</v>
      </c>
    </row>
    <row r="79" spans="1:12" x14ac:dyDescent="0.25">
      <c r="A79" s="7" t="s">
        <v>650</v>
      </c>
      <c r="B79" s="155"/>
      <c r="C79" s="154" t="s">
        <v>3613</v>
      </c>
      <c r="D79" s="155">
        <v>10</v>
      </c>
      <c r="E79" s="155" t="s">
        <v>10</v>
      </c>
      <c r="F79" s="156">
        <v>150000</v>
      </c>
      <c r="G79" s="45">
        <f>ROUNDDOWN(D79*F79,-3)</f>
        <v>1500000</v>
      </c>
      <c r="H79" s="165">
        <v>1500000</v>
      </c>
      <c r="I79" s="150" t="s">
        <v>3553</v>
      </c>
      <c r="J79" s="149" t="s">
        <v>3565</v>
      </c>
      <c r="K79" s="149" t="s">
        <v>3577</v>
      </c>
      <c r="L79" s="171">
        <f t="shared" si="1"/>
        <v>0</v>
      </c>
    </row>
    <row r="80" spans="1:12" x14ac:dyDescent="0.25">
      <c r="A80" s="7" t="s">
        <v>651</v>
      </c>
      <c r="B80" s="60">
        <v>524114</v>
      </c>
      <c r="C80" s="41" t="s">
        <v>14</v>
      </c>
      <c r="D80" s="60"/>
      <c r="E80" s="60"/>
      <c r="F80" s="42"/>
      <c r="G80" s="42">
        <v>1300000</v>
      </c>
      <c r="H80" s="165">
        <v>1300000</v>
      </c>
      <c r="I80" s="150" t="s">
        <v>3553</v>
      </c>
      <c r="J80" s="149" t="s">
        <v>3565</v>
      </c>
      <c r="K80" s="149" t="s">
        <v>3577</v>
      </c>
      <c r="L80" s="171">
        <f t="shared" si="1"/>
        <v>0</v>
      </c>
    </row>
    <row r="81" spans="1:12" x14ac:dyDescent="0.25">
      <c r="A81" s="7" t="s">
        <v>652</v>
      </c>
      <c r="B81" s="61"/>
      <c r="C81" s="44" t="s">
        <v>3604</v>
      </c>
      <c r="D81" s="47">
        <v>10</v>
      </c>
      <c r="E81" s="61" t="s">
        <v>25</v>
      </c>
      <c r="F81" s="45">
        <v>130000</v>
      </c>
      <c r="G81" s="45">
        <f>ROUNDDOWN(D81*F81,-3)</f>
        <v>1300000</v>
      </c>
      <c r="H81" s="165">
        <v>1300000</v>
      </c>
      <c r="I81" s="150" t="s">
        <v>3553</v>
      </c>
      <c r="J81" s="149" t="s">
        <v>3565</v>
      </c>
      <c r="K81" s="149" t="s">
        <v>3577</v>
      </c>
      <c r="L81" s="171">
        <f t="shared" si="1"/>
        <v>0</v>
      </c>
    </row>
    <row r="82" spans="1:12" x14ac:dyDescent="0.25">
      <c r="A82" s="7" t="s">
        <v>257</v>
      </c>
      <c r="B82" s="59" t="s">
        <v>519</v>
      </c>
      <c r="C82" s="38" t="s">
        <v>26</v>
      </c>
      <c r="D82" s="70"/>
      <c r="E82" s="59"/>
      <c r="F82" s="39"/>
      <c r="G82" s="39">
        <v>26780000</v>
      </c>
      <c r="H82" s="165">
        <v>26780000</v>
      </c>
      <c r="I82" s="150" t="s">
        <v>3553</v>
      </c>
      <c r="J82" s="149" t="s">
        <v>3565</v>
      </c>
      <c r="K82" s="149" t="s">
        <v>3577</v>
      </c>
      <c r="L82" s="171">
        <f t="shared" si="1"/>
        <v>0</v>
      </c>
    </row>
    <row r="83" spans="1:12" x14ac:dyDescent="0.25">
      <c r="A83" s="7" t="s">
        <v>258</v>
      </c>
      <c r="B83" s="60">
        <v>521211</v>
      </c>
      <c r="C83" s="41" t="s">
        <v>7</v>
      </c>
      <c r="D83" s="71"/>
      <c r="E83" s="60"/>
      <c r="F83" s="42"/>
      <c r="G83" s="42">
        <v>9140000</v>
      </c>
      <c r="H83" s="165">
        <v>9140000</v>
      </c>
      <c r="I83" s="150" t="s">
        <v>3553</v>
      </c>
      <c r="J83" s="149" t="s">
        <v>3565</v>
      </c>
      <c r="K83" s="149" t="s">
        <v>3577</v>
      </c>
      <c r="L83" s="171">
        <f t="shared" si="1"/>
        <v>0</v>
      </c>
    </row>
    <row r="84" spans="1:12" x14ac:dyDescent="0.25">
      <c r="A84" s="7" t="s">
        <v>259</v>
      </c>
      <c r="B84" s="155"/>
      <c r="C84" s="154" t="s">
        <v>3625</v>
      </c>
      <c r="D84" s="155">
        <v>2</v>
      </c>
      <c r="E84" s="155" t="s">
        <v>9</v>
      </c>
      <c r="F84" s="156">
        <v>1000000</v>
      </c>
      <c r="G84" s="45">
        <f>ROUNDDOWN(D84*F84,-3)</f>
        <v>2000000</v>
      </c>
      <c r="H84" s="165">
        <v>2000000</v>
      </c>
      <c r="I84" s="150" t="s">
        <v>3553</v>
      </c>
      <c r="J84" s="149" t="s">
        <v>3565</v>
      </c>
      <c r="K84" s="149" t="s">
        <v>3577</v>
      </c>
      <c r="L84" s="171">
        <f t="shared" si="1"/>
        <v>0</v>
      </c>
    </row>
    <row r="85" spans="1:12" x14ac:dyDescent="0.25">
      <c r="A85" s="7" t="s">
        <v>260</v>
      </c>
      <c r="B85" s="61"/>
      <c r="C85" s="44" t="s">
        <v>3626</v>
      </c>
      <c r="D85" s="47">
        <v>2</v>
      </c>
      <c r="E85" s="61" t="s">
        <v>9</v>
      </c>
      <c r="F85" s="45">
        <v>1000000</v>
      </c>
      <c r="G85" s="45">
        <f>ROUNDDOWN(D85*F85,-3)</f>
        <v>2000000</v>
      </c>
      <c r="H85" s="165">
        <v>2000000</v>
      </c>
      <c r="I85" s="150" t="s">
        <v>3553</v>
      </c>
      <c r="J85" s="149" t="s">
        <v>3565</v>
      </c>
      <c r="K85" s="149" t="s">
        <v>3577</v>
      </c>
      <c r="L85" s="171">
        <f t="shared" si="1"/>
        <v>0</v>
      </c>
    </row>
    <row r="86" spans="1:12" x14ac:dyDescent="0.25">
      <c r="A86" s="7" t="s">
        <v>261</v>
      </c>
      <c r="B86" s="158"/>
      <c r="C86" s="157" t="s">
        <v>3627</v>
      </c>
      <c r="D86" s="158">
        <v>2</v>
      </c>
      <c r="E86" s="158" t="s">
        <v>9</v>
      </c>
      <c r="F86" s="159">
        <v>500000</v>
      </c>
      <c r="G86" s="45">
        <f>ROUNDDOWN(D86*F86,-3)</f>
        <v>1000000</v>
      </c>
      <c r="H86" s="165">
        <v>1000000</v>
      </c>
      <c r="I86" s="150" t="s">
        <v>3553</v>
      </c>
      <c r="J86" s="149" t="s">
        <v>3565</v>
      </c>
      <c r="K86" s="149" t="s">
        <v>3577</v>
      </c>
      <c r="L86" s="171">
        <f t="shared" si="1"/>
        <v>0</v>
      </c>
    </row>
    <row r="87" spans="1:12" x14ac:dyDescent="0.25">
      <c r="A87" s="7" t="s">
        <v>262</v>
      </c>
      <c r="B87" s="155"/>
      <c r="C87" s="154" t="s">
        <v>3628</v>
      </c>
      <c r="D87" s="155">
        <v>60</v>
      </c>
      <c r="E87" s="155" t="s">
        <v>9</v>
      </c>
      <c r="F87" s="156">
        <v>69000</v>
      </c>
      <c r="G87" s="45">
        <f>ROUNDDOWN(D87*F87,-3)</f>
        <v>4140000</v>
      </c>
      <c r="H87" s="165">
        <v>4140000</v>
      </c>
      <c r="I87" s="150" t="s">
        <v>3553</v>
      </c>
      <c r="J87" s="149" t="s">
        <v>3565</v>
      </c>
      <c r="K87" s="149" t="s">
        <v>3577</v>
      </c>
      <c r="L87" s="171">
        <f t="shared" si="1"/>
        <v>0</v>
      </c>
    </row>
    <row r="88" spans="1:12" x14ac:dyDescent="0.25">
      <c r="A88" s="7" t="s">
        <v>263</v>
      </c>
      <c r="B88" s="60">
        <v>522151</v>
      </c>
      <c r="C88" s="41" t="s">
        <v>11</v>
      </c>
      <c r="D88" s="60"/>
      <c r="E88" s="60"/>
      <c r="F88" s="42"/>
      <c r="G88" s="42">
        <v>5400000</v>
      </c>
      <c r="H88" s="165">
        <v>5400000</v>
      </c>
      <c r="I88" s="150" t="s">
        <v>3553</v>
      </c>
      <c r="J88" s="149" t="s">
        <v>3565</v>
      </c>
      <c r="K88" s="149" t="s">
        <v>3577</v>
      </c>
      <c r="L88" s="171">
        <f t="shared" si="1"/>
        <v>0</v>
      </c>
    </row>
    <row r="89" spans="1:12" x14ac:dyDescent="0.25">
      <c r="A89" s="7" t="s">
        <v>264</v>
      </c>
      <c r="B89" s="61"/>
      <c r="C89" s="44" t="s">
        <v>3629</v>
      </c>
      <c r="D89" s="47">
        <v>6</v>
      </c>
      <c r="E89" s="61" t="s">
        <v>54</v>
      </c>
      <c r="F89" s="45">
        <v>900000</v>
      </c>
      <c r="G89" s="45">
        <f>ROUNDDOWN(D89*F89,-3)</f>
        <v>5400000</v>
      </c>
      <c r="H89" s="165">
        <v>5400000</v>
      </c>
      <c r="I89" s="150" t="s">
        <v>3553</v>
      </c>
      <c r="J89" s="149" t="s">
        <v>3565</v>
      </c>
      <c r="K89" s="149" t="s">
        <v>3577</v>
      </c>
      <c r="L89" s="171">
        <f t="shared" si="1"/>
        <v>0</v>
      </c>
    </row>
    <row r="90" spans="1:12" x14ac:dyDescent="0.25">
      <c r="A90" s="7" t="s">
        <v>265</v>
      </c>
      <c r="B90" s="60">
        <v>524111</v>
      </c>
      <c r="C90" s="41" t="s">
        <v>19</v>
      </c>
      <c r="D90" s="71"/>
      <c r="E90" s="60"/>
      <c r="F90" s="42"/>
      <c r="G90" s="42">
        <v>10000000</v>
      </c>
      <c r="H90" s="165">
        <v>10000000</v>
      </c>
      <c r="I90" s="150" t="s">
        <v>3553</v>
      </c>
      <c r="J90" s="149" t="s">
        <v>3565</v>
      </c>
      <c r="K90" s="149" t="s">
        <v>3577</v>
      </c>
      <c r="L90" s="171">
        <f t="shared" si="1"/>
        <v>0</v>
      </c>
    </row>
    <row r="91" spans="1:12" x14ac:dyDescent="0.25">
      <c r="A91" s="7" t="s">
        <v>266</v>
      </c>
      <c r="B91" s="155"/>
      <c r="C91" s="154" t="s">
        <v>3630</v>
      </c>
      <c r="D91" s="155">
        <v>4</v>
      </c>
      <c r="E91" s="155" t="s">
        <v>25</v>
      </c>
      <c r="F91" s="156">
        <v>2500000</v>
      </c>
      <c r="G91" s="45">
        <f>ROUNDDOWN(D91*F91,-3)</f>
        <v>10000000</v>
      </c>
      <c r="H91" s="165">
        <v>10000000</v>
      </c>
      <c r="I91" s="150" t="s">
        <v>3553</v>
      </c>
      <c r="J91" s="149" t="s">
        <v>3565</v>
      </c>
      <c r="K91" s="149" t="s">
        <v>3577</v>
      </c>
      <c r="L91" s="171">
        <f t="shared" si="1"/>
        <v>0</v>
      </c>
    </row>
    <row r="92" spans="1:12" x14ac:dyDescent="0.25">
      <c r="A92" s="7" t="s">
        <v>656</v>
      </c>
      <c r="B92" s="60">
        <v>524113</v>
      </c>
      <c r="C92" s="41" t="s">
        <v>13</v>
      </c>
      <c r="D92" s="71"/>
      <c r="E92" s="60"/>
      <c r="F92" s="42"/>
      <c r="G92" s="42">
        <v>1200000</v>
      </c>
      <c r="H92" s="165">
        <v>1200000</v>
      </c>
      <c r="I92" s="150" t="s">
        <v>3553</v>
      </c>
      <c r="J92" s="149" t="s">
        <v>3565</v>
      </c>
      <c r="K92" s="149" t="s">
        <v>3577</v>
      </c>
      <c r="L92" s="171">
        <f t="shared" si="1"/>
        <v>0</v>
      </c>
    </row>
    <row r="93" spans="1:12" x14ac:dyDescent="0.25">
      <c r="A93" s="7" t="s">
        <v>657</v>
      </c>
      <c r="B93" s="61"/>
      <c r="C93" s="44" t="s">
        <v>3613</v>
      </c>
      <c r="D93" s="47">
        <v>8</v>
      </c>
      <c r="E93" s="61" t="s">
        <v>25</v>
      </c>
      <c r="F93" s="45">
        <v>150000</v>
      </c>
      <c r="G93" s="45">
        <f>ROUNDDOWN(D93*F93,-3)</f>
        <v>1200000</v>
      </c>
      <c r="H93" s="165">
        <v>1200000</v>
      </c>
      <c r="I93" s="150" t="s">
        <v>3553</v>
      </c>
      <c r="J93" s="149" t="s">
        <v>3565</v>
      </c>
      <c r="K93" s="149" t="s">
        <v>3577</v>
      </c>
      <c r="L93" s="171">
        <f t="shared" si="1"/>
        <v>0</v>
      </c>
    </row>
    <row r="94" spans="1:12" x14ac:dyDescent="0.25">
      <c r="A94" s="7" t="s">
        <v>658</v>
      </c>
      <c r="B94" s="60">
        <v>524114</v>
      </c>
      <c r="C94" s="41" t="s">
        <v>14</v>
      </c>
      <c r="D94" s="60"/>
      <c r="E94" s="60"/>
      <c r="F94" s="42"/>
      <c r="G94" s="42">
        <v>1040000</v>
      </c>
      <c r="H94" s="165">
        <v>1040000</v>
      </c>
      <c r="I94" s="150" t="s">
        <v>3553</v>
      </c>
      <c r="J94" s="149" t="s">
        <v>3565</v>
      </c>
      <c r="K94" s="149" t="s">
        <v>3577</v>
      </c>
      <c r="L94" s="171">
        <f t="shared" si="1"/>
        <v>0</v>
      </c>
    </row>
    <row r="95" spans="1:12" x14ac:dyDescent="0.25">
      <c r="A95" s="7" t="s">
        <v>659</v>
      </c>
      <c r="B95" s="61"/>
      <c r="C95" s="44" t="s">
        <v>3604</v>
      </c>
      <c r="D95" s="47">
        <v>8</v>
      </c>
      <c r="E95" s="61" t="s">
        <v>25</v>
      </c>
      <c r="F95" s="45">
        <v>130000</v>
      </c>
      <c r="G95" s="45">
        <f>ROUNDDOWN(D95*F95,-3)</f>
        <v>1040000</v>
      </c>
      <c r="H95" s="165">
        <v>1040000</v>
      </c>
      <c r="I95" s="150" t="s">
        <v>3553</v>
      </c>
      <c r="J95" s="149" t="s">
        <v>3565</v>
      </c>
      <c r="K95" s="149" t="s">
        <v>3577</v>
      </c>
      <c r="L95" s="171">
        <f t="shared" si="1"/>
        <v>0</v>
      </c>
    </row>
    <row r="96" spans="1:12" x14ac:dyDescent="0.25">
      <c r="A96" s="7" t="s">
        <v>660</v>
      </c>
      <c r="B96" s="59" t="s">
        <v>578</v>
      </c>
      <c r="C96" s="38" t="s">
        <v>661</v>
      </c>
      <c r="D96" s="70"/>
      <c r="E96" s="59"/>
      <c r="F96" s="39"/>
      <c r="G96" s="39">
        <v>149810000</v>
      </c>
      <c r="H96" s="165">
        <v>149810000</v>
      </c>
      <c r="I96" s="150" t="s">
        <v>3553</v>
      </c>
      <c r="J96" s="149" t="s">
        <v>3565</v>
      </c>
      <c r="K96" s="149" t="s">
        <v>3577</v>
      </c>
      <c r="L96" s="171">
        <f t="shared" si="1"/>
        <v>0</v>
      </c>
    </row>
    <row r="97" spans="1:12" x14ac:dyDescent="0.25">
      <c r="A97" s="7" t="s">
        <v>662</v>
      </c>
      <c r="B97" s="60">
        <v>521211</v>
      </c>
      <c r="C97" s="41" t="s">
        <v>7</v>
      </c>
      <c r="D97" s="60"/>
      <c r="E97" s="60"/>
      <c r="F97" s="42"/>
      <c r="G97" s="42">
        <v>17280000</v>
      </c>
      <c r="H97" s="165">
        <v>17280000</v>
      </c>
      <c r="I97" s="150" t="s">
        <v>3553</v>
      </c>
      <c r="J97" s="149" t="s">
        <v>3565</v>
      </c>
      <c r="K97" s="149" t="s">
        <v>3577</v>
      </c>
      <c r="L97" s="171">
        <f t="shared" si="1"/>
        <v>0</v>
      </c>
    </row>
    <row r="98" spans="1:12" x14ac:dyDescent="0.25">
      <c r="A98" s="7" t="s">
        <v>663</v>
      </c>
      <c r="B98" s="61"/>
      <c r="C98" s="44" t="s">
        <v>3631</v>
      </c>
      <c r="D98" s="47">
        <v>120</v>
      </c>
      <c r="E98" s="61" t="s">
        <v>25</v>
      </c>
      <c r="F98" s="45">
        <v>69000</v>
      </c>
      <c r="G98" s="45">
        <f>ROUNDDOWN(D98*F98,-3)</f>
        <v>8280000</v>
      </c>
      <c r="H98" s="165">
        <v>8280000</v>
      </c>
      <c r="I98" s="150" t="s">
        <v>3553</v>
      </c>
      <c r="J98" s="149" t="s">
        <v>3565</v>
      </c>
      <c r="K98" s="149" t="s">
        <v>3577</v>
      </c>
      <c r="L98" s="171">
        <f t="shared" si="1"/>
        <v>0</v>
      </c>
    </row>
    <row r="99" spans="1:12" x14ac:dyDescent="0.25">
      <c r="A99" s="7" t="s">
        <v>665</v>
      </c>
      <c r="B99" s="155"/>
      <c r="C99" s="154" t="s">
        <v>3632</v>
      </c>
      <c r="D99" s="155">
        <v>2</v>
      </c>
      <c r="E99" s="155" t="s">
        <v>9</v>
      </c>
      <c r="F99" s="156">
        <v>1000000</v>
      </c>
      <c r="G99" s="45">
        <f>ROUNDDOWN(D99*F99,-3)</f>
        <v>2000000</v>
      </c>
      <c r="H99" s="165">
        <v>2000000</v>
      </c>
      <c r="I99" s="150" t="s">
        <v>3553</v>
      </c>
      <c r="J99" s="149" t="s">
        <v>3565</v>
      </c>
      <c r="K99" s="149" t="s">
        <v>3577</v>
      </c>
      <c r="L99" s="171">
        <f t="shared" si="1"/>
        <v>0</v>
      </c>
    </row>
    <row r="100" spans="1:12" x14ac:dyDescent="0.25">
      <c r="A100" s="7" t="s">
        <v>666</v>
      </c>
      <c r="B100" s="61"/>
      <c r="C100" s="44" t="s">
        <v>3633</v>
      </c>
      <c r="D100" s="47">
        <v>2</v>
      </c>
      <c r="E100" s="61" t="s">
        <v>9</v>
      </c>
      <c r="F100" s="45">
        <v>1000000</v>
      </c>
      <c r="G100" s="45">
        <f>ROUNDDOWN(D100*F100,-3)</f>
        <v>2000000</v>
      </c>
      <c r="H100" s="165">
        <v>2000000</v>
      </c>
      <c r="I100" s="150" t="s">
        <v>3553</v>
      </c>
      <c r="J100" s="149" t="s">
        <v>3565</v>
      </c>
      <c r="K100" s="149" t="s">
        <v>3577</v>
      </c>
      <c r="L100" s="171">
        <f t="shared" si="1"/>
        <v>0</v>
      </c>
    </row>
    <row r="101" spans="1:12" x14ac:dyDescent="0.25">
      <c r="A101" s="7" t="s">
        <v>667</v>
      </c>
      <c r="B101" s="155"/>
      <c r="C101" s="154" t="s">
        <v>3634</v>
      </c>
      <c r="D101" s="155">
        <v>2</v>
      </c>
      <c r="E101" s="155" t="s">
        <v>9</v>
      </c>
      <c r="F101" s="156">
        <v>2500000</v>
      </c>
      <c r="G101" s="45">
        <f>ROUNDDOWN(D101*F101,-3)</f>
        <v>5000000</v>
      </c>
      <c r="H101" s="165">
        <v>5000000</v>
      </c>
      <c r="I101" s="150" t="s">
        <v>3553</v>
      </c>
      <c r="J101" s="149" t="s">
        <v>3565</v>
      </c>
      <c r="K101" s="149" t="s">
        <v>3577</v>
      </c>
      <c r="L101" s="171">
        <f t="shared" si="1"/>
        <v>0</v>
      </c>
    </row>
    <row r="102" spans="1:12" x14ac:dyDescent="0.25">
      <c r="A102" s="7" t="s">
        <v>669</v>
      </c>
      <c r="B102" s="60">
        <v>522151</v>
      </c>
      <c r="C102" s="41" t="s">
        <v>11</v>
      </c>
      <c r="D102" s="71"/>
      <c r="E102" s="60"/>
      <c r="F102" s="42"/>
      <c r="G102" s="42">
        <v>10800000</v>
      </c>
      <c r="H102" s="165">
        <v>10800000</v>
      </c>
      <c r="I102" s="150" t="s">
        <v>3553</v>
      </c>
      <c r="J102" s="149" t="s">
        <v>3565</v>
      </c>
      <c r="K102" s="149" t="s">
        <v>3577</v>
      </c>
      <c r="L102" s="171">
        <f t="shared" si="1"/>
        <v>0</v>
      </c>
    </row>
    <row r="103" spans="1:12" x14ac:dyDescent="0.25">
      <c r="A103" s="7" t="s">
        <v>670</v>
      </c>
      <c r="B103" s="155"/>
      <c r="C103" s="154" t="s">
        <v>3635</v>
      </c>
      <c r="D103" s="155">
        <v>12</v>
      </c>
      <c r="E103" s="155" t="s">
        <v>54</v>
      </c>
      <c r="F103" s="156">
        <v>900000</v>
      </c>
      <c r="G103" s="45">
        <f>ROUNDDOWN(D103*F103,-3)</f>
        <v>10800000</v>
      </c>
      <c r="H103" s="165">
        <v>10800000</v>
      </c>
      <c r="I103" s="150" t="s">
        <v>3553</v>
      </c>
      <c r="J103" s="149" t="s">
        <v>3565</v>
      </c>
      <c r="K103" s="149" t="s">
        <v>3577</v>
      </c>
      <c r="L103" s="171">
        <f t="shared" si="1"/>
        <v>0</v>
      </c>
    </row>
    <row r="104" spans="1:12" x14ac:dyDescent="0.25">
      <c r="A104" s="7" t="s">
        <v>672</v>
      </c>
      <c r="B104" s="60">
        <v>524111</v>
      </c>
      <c r="C104" s="41" t="s">
        <v>19</v>
      </c>
      <c r="D104" s="71"/>
      <c r="E104" s="60"/>
      <c r="F104" s="42"/>
      <c r="G104" s="42">
        <v>121730000</v>
      </c>
      <c r="H104" s="165">
        <v>121730000</v>
      </c>
      <c r="I104" s="150" t="s">
        <v>3553</v>
      </c>
      <c r="J104" s="149" t="s">
        <v>3565</v>
      </c>
      <c r="K104" s="149" t="s">
        <v>3577</v>
      </c>
      <c r="L104" s="171">
        <f t="shared" si="1"/>
        <v>0</v>
      </c>
    </row>
    <row r="105" spans="1:12" ht="26.4" x14ac:dyDescent="0.25">
      <c r="A105" s="7" t="s">
        <v>673</v>
      </c>
      <c r="B105" s="155"/>
      <c r="C105" s="154" t="s">
        <v>3636</v>
      </c>
      <c r="D105" s="155">
        <v>20</v>
      </c>
      <c r="E105" s="155" t="s">
        <v>25</v>
      </c>
      <c r="F105" s="156">
        <v>3043250</v>
      </c>
      <c r="G105" s="45">
        <f>ROUNDDOWN(D105*F105,-3)</f>
        <v>60865000</v>
      </c>
      <c r="H105" s="165">
        <v>60865000</v>
      </c>
      <c r="I105" s="150" t="s">
        <v>3553</v>
      </c>
      <c r="J105" s="149" t="s">
        <v>3565</v>
      </c>
      <c r="K105" s="149" t="s">
        <v>3577</v>
      </c>
      <c r="L105" s="171">
        <f t="shared" si="1"/>
        <v>0</v>
      </c>
    </row>
    <row r="106" spans="1:12" ht="26.4" x14ac:dyDescent="0.25">
      <c r="A106" s="7" t="s">
        <v>675</v>
      </c>
      <c r="B106" s="155"/>
      <c r="C106" s="154" t="s">
        <v>3637</v>
      </c>
      <c r="D106" s="155">
        <v>20</v>
      </c>
      <c r="E106" s="155" t="s">
        <v>10</v>
      </c>
      <c r="F106" s="156">
        <v>3043250</v>
      </c>
      <c r="G106" s="45">
        <f>ROUNDDOWN(D106*F106,-3)</f>
        <v>60865000</v>
      </c>
      <c r="H106" s="165">
        <v>60865000</v>
      </c>
      <c r="I106" s="150" t="s">
        <v>3553</v>
      </c>
      <c r="J106" s="149" t="s">
        <v>3565</v>
      </c>
      <c r="K106" s="149" t="s">
        <v>3577</v>
      </c>
      <c r="L106" s="171">
        <f t="shared" si="1"/>
        <v>0</v>
      </c>
    </row>
    <row r="107" spans="1:12" x14ac:dyDescent="0.25">
      <c r="A107" s="7" t="s">
        <v>267</v>
      </c>
      <c r="B107" s="58" t="s">
        <v>520</v>
      </c>
      <c r="C107" s="35" t="s">
        <v>27</v>
      </c>
      <c r="D107" s="69">
        <v>0</v>
      </c>
      <c r="E107" s="58"/>
      <c r="F107" s="36"/>
      <c r="G107" s="36">
        <v>300000000</v>
      </c>
      <c r="H107" s="165">
        <v>300000000</v>
      </c>
      <c r="I107" s="150" t="s">
        <v>3553</v>
      </c>
      <c r="J107" s="149" t="s">
        <v>3565</v>
      </c>
      <c r="K107" s="149" t="s">
        <v>3565</v>
      </c>
      <c r="L107" s="171">
        <f t="shared" si="1"/>
        <v>0</v>
      </c>
    </row>
    <row r="108" spans="1:12" ht="26.4" x14ac:dyDescent="0.25">
      <c r="A108" s="7" t="s">
        <v>268</v>
      </c>
      <c r="B108" s="59" t="s">
        <v>8</v>
      </c>
      <c r="C108" s="38" t="s">
        <v>28</v>
      </c>
      <c r="D108" s="70"/>
      <c r="E108" s="59"/>
      <c r="F108" s="39"/>
      <c r="G108" s="39">
        <v>5600000</v>
      </c>
      <c r="H108" s="165">
        <v>5600000</v>
      </c>
      <c r="I108" s="150" t="s">
        <v>3553</v>
      </c>
      <c r="J108" s="149" t="s">
        <v>3565</v>
      </c>
      <c r="K108" s="149" t="s">
        <v>3565</v>
      </c>
      <c r="L108" s="171">
        <f t="shared" si="1"/>
        <v>0</v>
      </c>
    </row>
    <row r="109" spans="1:12" x14ac:dyDescent="0.25">
      <c r="A109" s="7" t="s">
        <v>269</v>
      </c>
      <c r="B109" s="60">
        <v>521211</v>
      </c>
      <c r="C109" s="41" t="s">
        <v>7</v>
      </c>
      <c r="D109" s="60"/>
      <c r="E109" s="60"/>
      <c r="F109" s="42"/>
      <c r="G109" s="42">
        <v>5600000</v>
      </c>
      <c r="H109" s="165">
        <v>5600000</v>
      </c>
      <c r="I109" s="150" t="s">
        <v>3553</v>
      </c>
      <c r="J109" s="149" t="s">
        <v>3565</v>
      </c>
      <c r="K109" s="149" t="s">
        <v>3565</v>
      </c>
      <c r="L109" s="171">
        <f t="shared" si="1"/>
        <v>0</v>
      </c>
    </row>
    <row r="110" spans="1:12" x14ac:dyDescent="0.25">
      <c r="A110" s="7" t="s">
        <v>270</v>
      </c>
      <c r="B110" s="61"/>
      <c r="C110" s="44" t="s">
        <v>3625</v>
      </c>
      <c r="D110" s="47">
        <v>1</v>
      </c>
      <c r="E110" s="61" t="s">
        <v>9</v>
      </c>
      <c r="F110" s="45">
        <v>1000000</v>
      </c>
      <c r="G110" s="45">
        <f>ROUNDDOWN(D110*F110,-3)</f>
        <v>1000000</v>
      </c>
      <c r="H110" s="165">
        <v>1000000</v>
      </c>
      <c r="I110" s="150" t="s">
        <v>3553</v>
      </c>
      <c r="J110" s="149" t="s">
        <v>3565</v>
      </c>
      <c r="K110" s="149" t="s">
        <v>3565</v>
      </c>
      <c r="L110" s="171">
        <f t="shared" si="1"/>
        <v>0</v>
      </c>
    </row>
    <row r="111" spans="1:12" x14ac:dyDescent="0.25">
      <c r="A111" s="7" t="s">
        <v>271</v>
      </c>
      <c r="B111" s="155"/>
      <c r="C111" s="154" t="s">
        <v>3626</v>
      </c>
      <c r="D111" s="155">
        <v>1</v>
      </c>
      <c r="E111" s="155" t="s">
        <v>9</v>
      </c>
      <c r="F111" s="156">
        <v>1000000</v>
      </c>
      <c r="G111" s="45">
        <f>ROUNDDOWN(D111*F111,-3)</f>
        <v>1000000</v>
      </c>
      <c r="H111" s="165">
        <v>1000000</v>
      </c>
      <c r="I111" s="150" t="s">
        <v>3553</v>
      </c>
      <c r="J111" s="149" t="s">
        <v>3565</v>
      </c>
      <c r="K111" s="149" t="s">
        <v>3565</v>
      </c>
      <c r="L111" s="171">
        <f t="shared" si="1"/>
        <v>0</v>
      </c>
    </row>
    <row r="112" spans="1:12" ht="26.4" x14ac:dyDescent="0.25">
      <c r="A112" s="7" t="s">
        <v>272</v>
      </c>
      <c r="B112" s="61"/>
      <c r="C112" s="44" t="s">
        <v>3638</v>
      </c>
      <c r="D112" s="47">
        <v>60</v>
      </c>
      <c r="E112" s="61" t="s">
        <v>10</v>
      </c>
      <c r="F112" s="45">
        <v>60000</v>
      </c>
      <c r="G112" s="45">
        <f>ROUNDDOWN(D112*F112,-3)</f>
        <v>3600000</v>
      </c>
      <c r="H112" s="165">
        <v>3600000</v>
      </c>
      <c r="I112" s="150" t="s">
        <v>3553</v>
      </c>
      <c r="J112" s="149" t="s">
        <v>3565</v>
      </c>
      <c r="K112" s="149" t="s">
        <v>3565</v>
      </c>
      <c r="L112" s="171">
        <f t="shared" si="1"/>
        <v>0</v>
      </c>
    </row>
    <row r="113" spans="1:12" ht="26.4" x14ac:dyDescent="0.25">
      <c r="A113" s="7" t="s">
        <v>273</v>
      </c>
      <c r="B113" s="59" t="s">
        <v>511</v>
      </c>
      <c r="C113" s="38" t="s">
        <v>29</v>
      </c>
      <c r="D113" s="70"/>
      <c r="E113" s="59"/>
      <c r="F113" s="39"/>
      <c r="G113" s="39">
        <v>190540000</v>
      </c>
      <c r="H113" s="165">
        <v>190540000</v>
      </c>
      <c r="I113" s="150" t="s">
        <v>3553</v>
      </c>
      <c r="J113" s="149" t="s">
        <v>3565</v>
      </c>
      <c r="K113" s="149" t="s">
        <v>3565</v>
      </c>
      <c r="L113" s="171">
        <f t="shared" si="1"/>
        <v>0</v>
      </c>
    </row>
    <row r="114" spans="1:12" x14ac:dyDescent="0.25">
      <c r="A114" s="7" t="s">
        <v>274</v>
      </c>
      <c r="B114" s="60">
        <v>521211</v>
      </c>
      <c r="C114" s="41" t="s">
        <v>7</v>
      </c>
      <c r="D114" s="60"/>
      <c r="E114" s="60"/>
      <c r="F114" s="42"/>
      <c r="G114" s="42">
        <v>9600000</v>
      </c>
      <c r="H114" s="165">
        <v>9600000</v>
      </c>
      <c r="I114" s="150" t="s">
        <v>3553</v>
      </c>
      <c r="J114" s="149" t="s">
        <v>3565</v>
      </c>
      <c r="K114" s="149" t="s">
        <v>3565</v>
      </c>
      <c r="L114" s="171">
        <f t="shared" si="1"/>
        <v>0</v>
      </c>
    </row>
    <row r="115" spans="1:12" x14ac:dyDescent="0.25">
      <c r="A115" s="7" t="s">
        <v>275</v>
      </c>
      <c r="B115" s="61"/>
      <c r="C115" s="44" t="s">
        <v>3625</v>
      </c>
      <c r="D115" s="47">
        <v>1</v>
      </c>
      <c r="E115" s="61" t="s">
        <v>9</v>
      </c>
      <c r="F115" s="45">
        <v>1000000</v>
      </c>
      <c r="G115" s="45">
        <f>ROUNDDOWN(D115*F115,-3)</f>
        <v>1000000</v>
      </c>
      <c r="H115" s="165">
        <v>1000000</v>
      </c>
      <c r="I115" s="150" t="s">
        <v>3553</v>
      </c>
      <c r="J115" s="149" t="s">
        <v>3565</v>
      </c>
      <c r="K115" s="149" t="s">
        <v>3565</v>
      </c>
      <c r="L115" s="171">
        <f t="shared" si="1"/>
        <v>0</v>
      </c>
    </row>
    <row r="116" spans="1:12" x14ac:dyDescent="0.25">
      <c r="A116" s="7" t="s">
        <v>276</v>
      </c>
      <c r="B116" s="155"/>
      <c r="C116" s="154" t="s">
        <v>3626</v>
      </c>
      <c r="D116" s="155">
        <v>1</v>
      </c>
      <c r="E116" s="155" t="s">
        <v>9</v>
      </c>
      <c r="F116" s="156">
        <v>1000000</v>
      </c>
      <c r="G116" s="45">
        <f>ROUNDDOWN(D116*F116,-3)</f>
        <v>1000000</v>
      </c>
      <c r="H116" s="165">
        <v>1000000</v>
      </c>
      <c r="I116" s="150" t="s">
        <v>3553</v>
      </c>
      <c r="J116" s="149" t="s">
        <v>3565</v>
      </c>
      <c r="K116" s="149" t="s">
        <v>3565</v>
      </c>
      <c r="L116" s="171">
        <f t="shared" si="1"/>
        <v>0</v>
      </c>
    </row>
    <row r="117" spans="1:12" ht="26.4" x14ac:dyDescent="0.25">
      <c r="A117" s="7" t="s">
        <v>277</v>
      </c>
      <c r="B117" s="61"/>
      <c r="C117" s="44" t="s">
        <v>3639</v>
      </c>
      <c r="D117" s="47">
        <v>60</v>
      </c>
      <c r="E117" s="61" t="s">
        <v>10</v>
      </c>
      <c r="F117" s="45">
        <v>60000</v>
      </c>
      <c r="G117" s="45">
        <f>ROUNDDOWN(D117*F117,-3)</f>
        <v>3600000</v>
      </c>
      <c r="H117" s="165">
        <v>3600000</v>
      </c>
      <c r="I117" s="150" t="s">
        <v>3553</v>
      </c>
      <c r="J117" s="149" t="s">
        <v>3565</v>
      </c>
      <c r="K117" s="149" t="s">
        <v>3565</v>
      </c>
      <c r="L117" s="171">
        <f t="shared" si="1"/>
        <v>0</v>
      </c>
    </row>
    <row r="118" spans="1:12" x14ac:dyDescent="0.25">
      <c r="A118" s="7" t="s">
        <v>278</v>
      </c>
      <c r="B118" s="155"/>
      <c r="C118" s="154" t="s">
        <v>3640</v>
      </c>
      <c r="D118" s="155">
        <v>80</v>
      </c>
      <c r="E118" s="155" t="s">
        <v>117</v>
      </c>
      <c r="F118" s="156">
        <v>50000</v>
      </c>
      <c r="G118" s="45">
        <f>ROUNDDOWN(D118*F118,-3)</f>
        <v>4000000</v>
      </c>
      <c r="H118" s="165">
        <v>4000000</v>
      </c>
      <c r="I118" s="150" t="s">
        <v>3553</v>
      </c>
      <c r="J118" s="149" t="s">
        <v>3565</v>
      </c>
      <c r="K118" s="149" t="s">
        <v>3565</v>
      </c>
      <c r="L118" s="171">
        <f t="shared" si="1"/>
        <v>0</v>
      </c>
    </row>
    <row r="119" spans="1:12" x14ac:dyDescent="0.25">
      <c r="A119" s="7" t="s">
        <v>279</v>
      </c>
      <c r="B119" s="60">
        <v>521213</v>
      </c>
      <c r="C119" s="41" t="s">
        <v>30</v>
      </c>
      <c r="D119" s="71"/>
      <c r="E119" s="60"/>
      <c r="F119" s="42"/>
      <c r="G119" s="42">
        <v>60000000</v>
      </c>
      <c r="H119" s="165">
        <v>60000000</v>
      </c>
      <c r="I119" s="150" t="s">
        <v>3553</v>
      </c>
      <c r="J119" s="149" t="s">
        <v>3565</v>
      </c>
      <c r="K119" s="149" t="s">
        <v>3565</v>
      </c>
      <c r="L119" s="171">
        <f t="shared" si="1"/>
        <v>0</v>
      </c>
    </row>
    <row r="120" spans="1:12" x14ac:dyDescent="0.25">
      <c r="A120" s="7" t="s">
        <v>280</v>
      </c>
      <c r="B120" s="158"/>
      <c r="C120" s="157" t="s">
        <v>3641</v>
      </c>
      <c r="D120" s="158">
        <v>12</v>
      </c>
      <c r="E120" s="158" t="s">
        <v>31</v>
      </c>
      <c r="F120" s="159">
        <v>5000000</v>
      </c>
      <c r="G120" s="45">
        <f>ROUNDDOWN(D120*F120,-3)</f>
        <v>60000000</v>
      </c>
      <c r="H120" s="165">
        <v>60000000</v>
      </c>
      <c r="I120" s="150" t="s">
        <v>3553</v>
      </c>
      <c r="J120" s="149" t="s">
        <v>3565</v>
      </c>
      <c r="K120" s="149" t="s">
        <v>3565</v>
      </c>
      <c r="L120" s="171">
        <f t="shared" si="1"/>
        <v>0</v>
      </c>
    </row>
    <row r="121" spans="1:12" x14ac:dyDescent="0.25">
      <c r="A121" s="7" t="s">
        <v>281</v>
      </c>
      <c r="B121" s="60">
        <v>522192</v>
      </c>
      <c r="C121" s="41" t="s">
        <v>24</v>
      </c>
      <c r="D121" s="60"/>
      <c r="E121" s="60"/>
      <c r="F121" s="42"/>
      <c r="G121" s="42">
        <v>12000000</v>
      </c>
      <c r="H121" s="165">
        <v>12000000</v>
      </c>
      <c r="I121" s="150" t="s">
        <v>3553</v>
      </c>
      <c r="J121" s="149" t="s">
        <v>3565</v>
      </c>
      <c r="K121" s="149" t="s">
        <v>3565</v>
      </c>
      <c r="L121" s="171">
        <f t="shared" si="1"/>
        <v>0</v>
      </c>
    </row>
    <row r="122" spans="1:12" x14ac:dyDescent="0.25">
      <c r="A122" s="7" t="s">
        <v>282</v>
      </c>
      <c r="B122" s="155"/>
      <c r="C122" s="154" t="s">
        <v>3642</v>
      </c>
      <c r="D122" s="155">
        <v>80</v>
      </c>
      <c r="E122" s="155" t="s">
        <v>10</v>
      </c>
      <c r="F122" s="156">
        <v>150000</v>
      </c>
      <c r="G122" s="45">
        <f>ROUNDDOWN(D122*F122,-3)</f>
        <v>12000000</v>
      </c>
      <c r="H122" s="165">
        <v>12000000</v>
      </c>
      <c r="I122" s="150" t="s">
        <v>3553</v>
      </c>
      <c r="J122" s="149" t="s">
        <v>3565</v>
      </c>
      <c r="K122" s="149" t="s">
        <v>3565</v>
      </c>
      <c r="L122" s="171">
        <f t="shared" si="1"/>
        <v>0</v>
      </c>
    </row>
    <row r="123" spans="1:12" x14ac:dyDescent="0.25">
      <c r="A123" s="7" t="s">
        <v>283</v>
      </c>
      <c r="B123" s="60">
        <v>524111</v>
      </c>
      <c r="C123" s="41" t="s">
        <v>19</v>
      </c>
      <c r="D123" s="71"/>
      <c r="E123" s="60"/>
      <c r="F123" s="42"/>
      <c r="G123" s="42">
        <v>4940000</v>
      </c>
      <c r="H123" s="165">
        <v>4940000</v>
      </c>
      <c r="I123" s="150" t="s">
        <v>3553</v>
      </c>
      <c r="J123" s="149" t="s">
        <v>3565</v>
      </c>
      <c r="K123" s="149" t="s">
        <v>3565</v>
      </c>
      <c r="L123" s="171">
        <f t="shared" si="1"/>
        <v>0</v>
      </c>
    </row>
    <row r="124" spans="1:12" ht="26.4" x14ac:dyDescent="0.25">
      <c r="A124" s="7" t="s">
        <v>284</v>
      </c>
      <c r="B124" s="61"/>
      <c r="C124" s="44" t="s">
        <v>3643</v>
      </c>
      <c r="D124" s="47">
        <v>2</v>
      </c>
      <c r="E124" s="61" t="s">
        <v>10</v>
      </c>
      <c r="F124" s="45">
        <v>2470000</v>
      </c>
      <c r="G124" s="45">
        <f>ROUNDDOWN(D124*F124,-3)</f>
        <v>4940000</v>
      </c>
      <c r="H124" s="165">
        <v>4940000</v>
      </c>
      <c r="I124" s="150" t="s">
        <v>3553</v>
      </c>
      <c r="J124" s="149" t="s">
        <v>3565</v>
      </c>
      <c r="K124" s="149" t="s">
        <v>3565</v>
      </c>
      <c r="L124" s="171">
        <f t="shared" si="1"/>
        <v>0</v>
      </c>
    </row>
    <row r="125" spans="1:12" x14ac:dyDescent="0.25">
      <c r="A125" s="7" t="s">
        <v>285</v>
      </c>
      <c r="B125" s="60">
        <v>524119</v>
      </c>
      <c r="C125" s="41" t="s">
        <v>15</v>
      </c>
      <c r="D125" s="71"/>
      <c r="E125" s="60"/>
      <c r="F125" s="42"/>
      <c r="G125" s="42">
        <v>104000000</v>
      </c>
      <c r="H125" s="165">
        <v>104000000</v>
      </c>
      <c r="I125" s="150" t="s">
        <v>3553</v>
      </c>
      <c r="J125" s="149" t="s">
        <v>3565</v>
      </c>
      <c r="K125" s="149" t="s">
        <v>3565</v>
      </c>
      <c r="L125" s="171">
        <f t="shared" si="1"/>
        <v>0</v>
      </c>
    </row>
    <row r="126" spans="1:12" ht="26.4" x14ac:dyDescent="0.25">
      <c r="A126" s="7" t="s">
        <v>286</v>
      </c>
      <c r="B126" s="155"/>
      <c r="C126" s="154" t="s">
        <v>3644</v>
      </c>
      <c r="D126" s="155">
        <v>80</v>
      </c>
      <c r="E126" s="155" t="s">
        <v>10</v>
      </c>
      <c r="F126" s="156">
        <v>350000</v>
      </c>
      <c r="G126" s="45">
        <f>ROUNDDOWN(D126*F126,-3)</f>
        <v>28000000</v>
      </c>
      <c r="H126" s="165">
        <v>28000000</v>
      </c>
      <c r="I126" s="150" t="s">
        <v>3553</v>
      </c>
      <c r="J126" s="149" t="s">
        <v>3565</v>
      </c>
      <c r="K126" s="149" t="s">
        <v>3565</v>
      </c>
      <c r="L126" s="171">
        <f t="shared" si="1"/>
        <v>0</v>
      </c>
    </row>
    <row r="127" spans="1:12" ht="26.4" x14ac:dyDescent="0.25">
      <c r="A127" s="7" t="s">
        <v>287</v>
      </c>
      <c r="B127" s="61"/>
      <c r="C127" s="44" t="s">
        <v>3645</v>
      </c>
      <c r="D127" s="47">
        <v>160</v>
      </c>
      <c r="E127" s="61" t="s">
        <v>10</v>
      </c>
      <c r="F127" s="45">
        <v>150000</v>
      </c>
      <c r="G127" s="45">
        <f>ROUNDDOWN(D127*F127,-3)</f>
        <v>24000000</v>
      </c>
      <c r="H127" s="165">
        <v>24000000</v>
      </c>
      <c r="I127" s="150" t="s">
        <v>3553</v>
      </c>
      <c r="J127" s="149" t="s">
        <v>3565</v>
      </c>
      <c r="K127" s="149" t="s">
        <v>3565</v>
      </c>
      <c r="L127" s="171">
        <f t="shared" si="1"/>
        <v>0</v>
      </c>
    </row>
    <row r="128" spans="1:12" x14ac:dyDescent="0.25">
      <c r="A128" s="7" t="s">
        <v>288</v>
      </c>
      <c r="B128" s="61"/>
      <c r="C128" s="44" t="s">
        <v>3646</v>
      </c>
      <c r="D128" s="47">
        <v>80</v>
      </c>
      <c r="E128" s="61" t="s">
        <v>16</v>
      </c>
      <c r="F128" s="45">
        <v>650000</v>
      </c>
      <c r="G128" s="45">
        <f>ROUNDDOWN(D128*F128,-3)</f>
        <v>52000000</v>
      </c>
      <c r="H128" s="165">
        <v>52000000</v>
      </c>
      <c r="I128" s="150" t="s">
        <v>3553</v>
      </c>
      <c r="J128" s="149" t="s">
        <v>3565</v>
      </c>
      <c r="K128" s="149" t="s">
        <v>3565</v>
      </c>
      <c r="L128" s="171">
        <f t="shared" si="1"/>
        <v>0</v>
      </c>
    </row>
    <row r="129" spans="1:12" ht="26.4" x14ac:dyDescent="0.25">
      <c r="A129" s="7" t="s">
        <v>289</v>
      </c>
      <c r="B129" s="59" t="s">
        <v>512</v>
      </c>
      <c r="C129" s="38" t="s">
        <v>33</v>
      </c>
      <c r="D129" s="59"/>
      <c r="E129" s="59"/>
      <c r="F129" s="39"/>
      <c r="G129" s="39">
        <v>3800000</v>
      </c>
      <c r="H129" s="165">
        <v>3800000</v>
      </c>
      <c r="I129" s="150" t="s">
        <v>3553</v>
      </c>
      <c r="J129" s="149" t="s">
        <v>3565</v>
      </c>
      <c r="K129" s="149" t="s">
        <v>3565</v>
      </c>
      <c r="L129" s="171">
        <f t="shared" si="1"/>
        <v>0</v>
      </c>
    </row>
    <row r="130" spans="1:12" x14ac:dyDescent="0.25">
      <c r="A130" s="7" t="s">
        <v>290</v>
      </c>
      <c r="B130" s="60">
        <v>521211</v>
      </c>
      <c r="C130" s="41" t="s">
        <v>7</v>
      </c>
      <c r="D130" s="71"/>
      <c r="E130" s="60"/>
      <c r="F130" s="42"/>
      <c r="G130" s="42">
        <v>3800000</v>
      </c>
      <c r="H130" s="165">
        <v>3800000</v>
      </c>
      <c r="I130" s="150" t="s">
        <v>3553</v>
      </c>
      <c r="J130" s="149" t="s">
        <v>3565</v>
      </c>
      <c r="K130" s="149" t="s">
        <v>3565</v>
      </c>
      <c r="L130" s="171">
        <f t="shared" si="1"/>
        <v>0</v>
      </c>
    </row>
    <row r="131" spans="1:12" x14ac:dyDescent="0.25">
      <c r="A131" s="7" t="s">
        <v>291</v>
      </c>
      <c r="B131" s="155"/>
      <c r="C131" s="154" t="s">
        <v>3625</v>
      </c>
      <c r="D131" s="155">
        <v>1</v>
      </c>
      <c r="E131" s="155" t="s">
        <v>9</v>
      </c>
      <c r="F131" s="156">
        <v>1000000</v>
      </c>
      <c r="G131" s="45">
        <f>ROUNDDOWN(D131*F131,-3)</f>
        <v>1000000</v>
      </c>
      <c r="H131" s="165">
        <v>1000000</v>
      </c>
      <c r="I131" s="150" t="s">
        <v>3553</v>
      </c>
      <c r="J131" s="149" t="s">
        <v>3565</v>
      </c>
      <c r="K131" s="149" t="s">
        <v>3565</v>
      </c>
      <c r="L131" s="171">
        <f t="shared" si="1"/>
        <v>0</v>
      </c>
    </row>
    <row r="132" spans="1:12" x14ac:dyDescent="0.25">
      <c r="A132" s="7" t="s">
        <v>292</v>
      </c>
      <c r="B132" s="61"/>
      <c r="C132" s="44" t="s">
        <v>3626</v>
      </c>
      <c r="D132" s="47">
        <v>1</v>
      </c>
      <c r="E132" s="61" t="s">
        <v>9</v>
      </c>
      <c r="F132" s="45">
        <v>1000000</v>
      </c>
      <c r="G132" s="45">
        <f>ROUNDDOWN(D132*F132,-3)</f>
        <v>1000000</v>
      </c>
      <c r="H132" s="165">
        <v>1000000</v>
      </c>
      <c r="I132" s="150" t="s">
        <v>3553</v>
      </c>
      <c r="J132" s="149" t="s">
        <v>3565</v>
      </c>
      <c r="K132" s="149" t="s">
        <v>3565</v>
      </c>
      <c r="L132" s="171">
        <f t="shared" si="1"/>
        <v>0</v>
      </c>
    </row>
    <row r="133" spans="1:12" ht="26.4" x14ac:dyDescent="0.25">
      <c r="A133" s="7" t="s">
        <v>293</v>
      </c>
      <c r="B133" s="155"/>
      <c r="C133" s="154" t="s">
        <v>3647</v>
      </c>
      <c r="D133" s="155">
        <v>30</v>
      </c>
      <c r="E133" s="155" t="s">
        <v>10</v>
      </c>
      <c r="F133" s="156">
        <v>60000</v>
      </c>
      <c r="G133" s="45">
        <f>ROUNDDOWN(D133*F133,-3)</f>
        <v>1800000</v>
      </c>
      <c r="H133" s="165">
        <v>1800000</v>
      </c>
      <c r="I133" s="150" t="s">
        <v>3553</v>
      </c>
      <c r="J133" s="149" t="s">
        <v>3565</v>
      </c>
      <c r="K133" s="149" t="s">
        <v>3565</v>
      </c>
      <c r="L133" s="171">
        <f t="shared" si="1"/>
        <v>0</v>
      </c>
    </row>
    <row r="134" spans="1:12" ht="26.4" x14ac:dyDescent="0.25">
      <c r="A134" s="7" t="s">
        <v>294</v>
      </c>
      <c r="B134" s="59" t="s">
        <v>514</v>
      </c>
      <c r="C134" s="38" t="s">
        <v>34</v>
      </c>
      <c r="D134" s="59"/>
      <c r="E134" s="59"/>
      <c r="F134" s="39"/>
      <c r="G134" s="39">
        <v>93300000</v>
      </c>
      <c r="H134" s="165">
        <v>93300000</v>
      </c>
      <c r="I134" s="150" t="s">
        <v>3553</v>
      </c>
      <c r="J134" s="149" t="s">
        <v>3565</v>
      </c>
      <c r="K134" s="149" t="s">
        <v>3565</v>
      </c>
      <c r="L134" s="171">
        <f t="shared" si="1"/>
        <v>0</v>
      </c>
    </row>
    <row r="135" spans="1:12" x14ac:dyDescent="0.25">
      <c r="A135" s="7" t="s">
        <v>295</v>
      </c>
      <c r="B135" s="60">
        <v>521211</v>
      </c>
      <c r="C135" s="41" t="s">
        <v>7</v>
      </c>
      <c r="D135" s="71"/>
      <c r="E135" s="60"/>
      <c r="F135" s="42"/>
      <c r="G135" s="42">
        <v>5300000</v>
      </c>
      <c r="H135" s="165">
        <v>5300000</v>
      </c>
      <c r="I135" s="150" t="s">
        <v>3553</v>
      </c>
      <c r="J135" s="149" t="s">
        <v>3565</v>
      </c>
      <c r="K135" s="149" t="s">
        <v>3565</v>
      </c>
      <c r="L135" s="171">
        <f t="shared" si="1"/>
        <v>0</v>
      </c>
    </row>
    <row r="136" spans="1:12" x14ac:dyDescent="0.25">
      <c r="A136" s="7" t="s">
        <v>296</v>
      </c>
      <c r="B136" s="155"/>
      <c r="C136" s="154" t="s">
        <v>3625</v>
      </c>
      <c r="D136" s="155">
        <v>1</v>
      </c>
      <c r="E136" s="155" t="s">
        <v>9</v>
      </c>
      <c r="F136" s="156">
        <v>1000000</v>
      </c>
      <c r="G136" s="45">
        <f>ROUNDDOWN(D136*F136,-3)</f>
        <v>1000000</v>
      </c>
      <c r="H136" s="165">
        <v>1000000</v>
      </c>
      <c r="I136" s="150" t="s">
        <v>3553</v>
      </c>
      <c r="J136" s="149" t="s">
        <v>3565</v>
      </c>
      <c r="K136" s="149" t="s">
        <v>3565</v>
      </c>
      <c r="L136" s="171">
        <f t="shared" si="1"/>
        <v>0</v>
      </c>
    </row>
    <row r="137" spans="1:12" x14ac:dyDescent="0.25">
      <c r="A137" s="21" t="s">
        <v>297</v>
      </c>
      <c r="B137" s="158"/>
      <c r="C137" s="157" t="s">
        <v>3626</v>
      </c>
      <c r="D137" s="158">
        <v>1</v>
      </c>
      <c r="E137" s="158" t="s">
        <v>9</v>
      </c>
      <c r="F137" s="159">
        <v>1000000</v>
      </c>
      <c r="G137" s="45">
        <f>ROUNDDOWN(D137*F137,-3)</f>
        <v>1000000</v>
      </c>
      <c r="H137" s="165">
        <v>1000000</v>
      </c>
      <c r="I137" s="150" t="s">
        <v>3553</v>
      </c>
      <c r="J137" s="149" t="s">
        <v>3565</v>
      </c>
      <c r="K137" s="149" t="s">
        <v>3565</v>
      </c>
      <c r="L137" s="171">
        <f t="shared" si="1"/>
        <v>0</v>
      </c>
    </row>
    <row r="138" spans="1:12" ht="26.4" x14ac:dyDescent="0.25">
      <c r="A138" s="21" t="s">
        <v>298</v>
      </c>
      <c r="B138" s="155"/>
      <c r="C138" s="154" t="s">
        <v>3648</v>
      </c>
      <c r="D138" s="155">
        <v>30</v>
      </c>
      <c r="E138" s="155" t="s">
        <v>10</v>
      </c>
      <c r="F138" s="156">
        <v>60000</v>
      </c>
      <c r="G138" s="45">
        <f>ROUNDDOWN(D138*F138,-3)</f>
        <v>1800000</v>
      </c>
      <c r="H138" s="165">
        <v>1800000</v>
      </c>
      <c r="I138" s="150" t="s">
        <v>3553</v>
      </c>
      <c r="J138" s="149" t="s">
        <v>3565</v>
      </c>
      <c r="K138" s="149" t="s">
        <v>3565</v>
      </c>
      <c r="L138" s="171">
        <f t="shared" si="1"/>
        <v>0</v>
      </c>
    </row>
    <row r="139" spans="1:12" x14ac:dyDescent="0.25">
      <c r="A139" s="21" t="s">
        <v>299</v>
      </c>
      <c r="B139" s="155"/>
      <c r="C139" s="154" t="s">
        <v>3640</v>
      </c>
      <c r="D139" s="155">
        <v>30</v>
      </c>
      <c r="E139" s="155" t="s">
        <v>117</v>
      </c>
      <c r="F139" s="156">
        <v>50000</v>
      </c>
      <c r="G139" s="45">
        <f>ROUNDDOWN(D139*F139,-3)</f>
        <v>1500000</v>
      </c>
      <c r="H139" s="165">
        <v>1500000</v>
      </c>
      <c r="I139" s="150" t="s">
        <v>3553</v>
      </c>
      <c r="J139" s="149" t="s">
        <v>3565</v>
      </c>
      <c r="K139" s="149" t="s">
        <v>3565</v>
      </c>
      <c r="L139" s="171">
        <f t="shared" si="1"/>
        <v>0</v>
      </c>
    </row>
    <row r="140" spans="1:12" x14ac:dyDescent="0.25">
      <c r="A140" s="21" t="s">
        <v>300</v>
      </c>
      <c r="B140" s="60">
        <v>521213</v>
      </c>
      <c r="C140" s="41" t="s">
        <v>30</v>
      </c>
      <c r="D140" s="71"/>
      <c r="E140" s="60"/>
      <c r="F140" s="42"/>
      <c r="G140" s="42">
        <v>30000000</v>
      </c>
      <c r="H140" s="165">
        <v>30000000</v>
      </c>
      <c r="I140" s="150" t="s">
        <v>3553</v>
      </c>
      <c r="J140" s="149" t="s">
        <v>3565</v>
      </c>
      <c r="K140" s="149" t="s">
        <v>3565</v>
      </c>
      <c r="L140" s="171">
        <f t="shared" si="1"/>
        <v>0</v>
      </c>
    </row>
    <row r="141" spans="1:12" x14ac:dyDescent="0.25">
      <c r="A141" s="21" t="s">
        <v>301</v>
      </c>
      <c r="B141" s="61"/>
      <c r="C141" s="44" t="s">
        <v>3641</v>
      </c>
      <c r="D141" s="47">
        <v>6</v>
      </c>
      <c r="E141" s="61" t="s">
        <v>31</v>
      </c>
      <c r="F141" s="45">
        <v>5000000</v>
      </c>
      <c r="G141" s="45">
        <f>ROUNDDOWN(D141*F141,-3)</f>
        <v>30000000</v>
      </c>
      <c r="H141" s="165">
        <v>30000000</v>
      </c>
      <c r="I141" s="150" t="s">
        <v>3553</v>
      </c>
      <c r="J141" s="149" t="s">
        <v>3565</v>
      </c>
      <c r="K141" s="149" t="s">
        <v>3565</v>
      </c>
      <c r="L141" s="171">
        <f t="shared" si="1"/>
        <v>0</v>
      </c>
    </row>
    <row r="142" spans="1:12" x14ac:dyDescent="0.25">
      <c r="A142" s="21" t="s">
        <v>302</v>
      </c>
      <c r="B142" s="60">
        <v>522192</v>
      </c>
      <c r="C142" s="41" t="s">
        <v>24</v>
      </c>
      <c r="D142" s="60"/>
      <c r="E142" s="60"/>
      <c r="F142" s="42"/>
      <c r="G142" s="42">
        <v>6000000</v>
      </c>
      <c r="H142" s="165">
        <v>6000000</v>
      </c>
      <c r="I142" s="150" t="s">
        <v>3553</v>
      </c>
      <c r="J142" s="149" t="s">
        <v>3565</v>
      </c>
      <c r="K142" s="149" t="s">
        <v>3565</v>
      </c>
      <c r="L142" s="171">
        <f t="shared" ref="L142:L205" si="2">G142-H142</f>
        <v>0</v>
      </c>
    </row>
    <row r="143" spans="1:12" x14ac:dyDescent="0.25">
      <c r="A143" s="21" t="s">
        <v>303</v>
      </c>
      <c r="B143" s="61"/>
      <c r="C143" s="44" t="s">
        <v>3642</v>
      </c>
      <c r="D143" s="47">
        <v>40</v>
      </c>
      <c r="E143" s="61" t="s">
        <v>10</v>
      </c>
      <c r="F143" s="45">
        <v>150000</v>
      </c>
      <c r="G143" s="45">
        <f>ROUNDDOWN(D143*F143,-3)</f>
        <v>6000000</v>
      </c>
      <c r="H143" s="165">
        <v>6000000</v>
      </c>
      <c r="I143" s="150" t="s">
        <v>3553</v>
      </c>
      <c r="J143" s="149" t="s">
        <v>3565</v>
      </c>
      <c r="K143" s="149" t="s">
        <v>3565</v>
      </c>
      <c r="L143" s="171">
        <f t="shared" si="2"/>
        <v>0</v>
      </c>
    </row>
    <row r="144" spans="1:12" x14ac:dyDescent="0.25">
      <c r="A144" s="21" t="s">
        <v>304</v>
      </c>
      <c r="B144" s="60">
        <v>524119</v>
      </c>
      <c r="C144" s="41" t="s">
        <v>15</v>
      </c>
      <c r="D144" s="60"/>
      <c r="E144" s="60"/>
      <c r="F144" s="42"/>
      <c r="G144" s="42">
        <v>52000000</v>
      </c>
      <c r="H144" s="165">
        <v>52000000</v>
      </c>
      <c r="I144" s="150" t="s">
        <v>3553</v>
      </c>
      <c r="J144" s="149" t="s">
        <v>3565</v>
      </c>
      <c r="K144" s="149" t="s">
        <v>3565</v>
      </c>
      <c r="L144" s="171">
        <f t="shared" si="2"/>
        <v>0</v>
      </c>
    </row>
    <row r="145" spans="1:12" ht="26.4" x14ac:dyDescent="0.25">
      <c r="A145" s="21" t="s">
        <v>305</v>
      </c>
      <c r="B145" s="61"/>
      <c r="C145" s="44" t="s">
        <v>3649</v>
      </c>
      <c r="D145" s="47">
        <v>40</v>
      </c>
      <c r="E145" s="61" t="s">
        <v>10</v>
      </c>
      <c r="F145" s="45">
        <v>350000</v>
      </c>
      <c r="G145" s="45">
        <f>ROUNDDOWN(D145*F145,-3)</f>
        <v>14000000</v>
      </c>
      <c r="H145" s="165">
        <v>14000000</v>
      </c>
      <c r="I145" s="150" t="s">
        <v>3553</v>
      </c>
      <c r="J145" s="149" t="s">
        <v>3565</v>
      </c>
      <c r="K145" s="149" t="s">
        <v>3565</v>
      </c>
      <c r="L145" s="171">
        <f t="shared" si="2"/>
        <v>0</v>
      </c>
    </row>
    <row r="146" spans="1:12" ht="26.4" x14ac:dyDescent="0.25">
      <c r="A146" s="21" t="s">
        <v>306</v>
      </c>
      <c r="B146" s="61"/>
      <c r="C146" s="44" t="s">
        <v>3650</v>
      </c>
      <c r="D146" s="47">
        <v>80</v>
      </c>
      <c r="E146" s="61" t="s">
        <v>10</v>
      </c>
      <c r="F146" s="45">
        <v>150000</v>
      </c>
      <c r="G146" s="45">
        <f>ROUNDDOWN(D146*F146,-3)</f>
        <v>12000000</v>
      </c>
      <c r="H146" s="165">
        <v>12000000</v>
      </c>
      <c r="I146" s="150" t="s">
        <v>3553</v>
      </c>
      <c r="J146" s="149" t="s">
        <v>3565</v>
      </c>
      <c r="K146" s="149" t="s">
        <v>3565</v>
      </c>
      <c r="L146" s="171">
        <f t="shared" si="2"/>
        <v>0</v>
      </c>
    </row>
    <row r="147" spans="1:12" x14ac:dyDescent="0.25">
      <c r="A147" s="21" t="s">
        <v>307</v>
      </c>
      <c r="B147" s="155"/>
      <c r="C147" s="154" t="s">
        <v>3651</v>
      </c>
      <c r="D147" s="155">
        <v>40</v>
      </c>
      <c r="E147" s="155" t="s">
        <v>16</v>
      </c>
      <c r="F147" s="156">
        <v>650000</v>
      </c>
      <c r="G147" s="45">
        <f>ROUNDDOWN(D147*F147,-3)</f>
        <v>26000000</v>
      </c>
      <c r="H147" s="165">
        <v>26000000</v>
      </c>
      <c r="I147" s="150" t="s">
        <v>3553</v>
      </c>
      <c r="J147" s="149" t="s">
        <v>3565</v>
      </c>
      <c r="K147" s="149" t="s">
        <v>3565</v>
      </c>
      <c r="L147" s="171">
        <f t="shared" si="2"/>
        <v>0</v>
      </c>
    </row>
    <row r="148" spans="1:12" ht="26.4" x14ac:dyDescent="0.25">
      <c r="A148" s="21" t="s">
        <v>308</v>
      </c>
      <c r="B148" s="59" t="s">
        <v>519</v>
      </c>
      <c r="C148" s="38" t="s">
        <v>35</v>
      </c>
      <c r="D148" s="70"/>
      <c r="E148" s="59"/>
      <c r="F148" s="39"/>
      <c r="G148" s="39">
        <v>6760000</v>
      </c>
      <c r="H148" s="165">
        <v>6760000</v>
      </c>
      <c r="I148" s="150" t="s">
        <v>3553</v>
      </c>
      <c r="J148" s="149" t="s">
        <v>3565</v>
      </c>
      <c r="K148" s="149" t="s">
        <v>3565</v>
      </c>
      <c r="L148" s="171">
        <f t="shared" si="2"/>
        <v>0</v>
      </c>
    </row>
    <row r="149" spans="1:12" x14ac:dyDescent="0.25">
      <c r="A149" s="21" t="s">
        <v>309</v>
      </c>
      <c r="B149" s="60">
        <v>521211</v>
      </c>
      <c r="C149" s="41" t="s">
        <v>7</v>
      </c>
      <c r="D149" s="60"/>
      <c r="E149" s="60"/>
      <c r="F149" s="42"/>
      <c r="G149" s="42">
        <v>4800000</v>
      </c>
      <c r="H149" s="165">
        <v>4800000</v>
      </c>
      <c r="I149" s="150" t="s">
        <v>3553</v>
      </c>
      <c r="J149" s="149" t="s">
        <v>3565</v>
      </c>
      <c r="K149" s="149" t="s">
        <v>3565</v>
      </c>
      <c r="L149" s="171">
        <f t="shared" si="2"/>
        <v>0</v>
      </c>
    </row>
    <row r="150" spans="1:12" x14ac:dyDescent="0.25">
      <c r="A150" s="21" t="s">
        <v>310</v>
      </c>
      <c r="B150" s="61"/>
      <c r="C150" s="44" t="s">
        <v>3625</v>
      </c>
      <c r="D150" s="47">
        <v>1</v>
      </c>
      <c r="E150" s="61" t="s">
        <v>9</v>
      </c>
      <c r="F150" s="45">
        <v>1000000</v>
      </c>
      <c r="G150" s="45">
        <f>ROUNDDOWN(D150*F150,-3)</f>
        <v>1000000</v>
      </c>
      <c r="H150" s="165">
        <v>1000000</v>
      </c>
      <c r="I150" s="150" t="s">
        <v>3553</v>
      </c>
      <c r="J150" s="149" t="s">
        <v>3565</v>
      </c>
      <c r="K150" s="149" t="s">
        <v>3565</v>
      </c>
      <c r="L150" s="171">
        <f t="shared" si="2"/>
        <v>0</v>
      </c>
    </row>
    <row r="151" spans="1:12" x14ac:dyDescent="0.25">
      <c r="A151" s="7" t="s">
        <v>311</v>
      </c>
      <c r="B151" s="155"/>
      <c r="C151" s="154" t="s">
        <v>3626</v>
      </c>
      <c r="D151" s="160">
        <v>1</v>
      </c>
      <c r="E151" s="155" t="s">
        <v>9</v>
      </c>
      <c r="F151" s="156">
        <v>1000000</v>
      </c>
      <c r="G151" s="45">
        <f>ROUNDDOWN(D151*F151,-3)</f>
        <v>1000000</v>
      </c>
      <c r="H151" s="165">
        <v>1000000</v>
      </c>
      <c r="I151" s="150" t="s">
        <v>3553</v>
      </c>
      <c r="J151" s="149" t="s">
        <v>3565</v>
      </c>
      <c r="K151" s="149" t="s">
        <v>3565</v>
      </c>
      <c r="L151" s="171">
        <f t="shared" si="2"/>
        <v>0</v>
      </c>
    </row>
    <row r="152" spans="1:12" x14ac:dyDescent="0.25">
      <c r="A152" s="7" t="s">
        <v>312</v>
      </c>
      <c r="B152" s="155"/>
      <c r="C152" s="154" t="s">
        <v>3652</v>
      </c>
      <c r="D152" s="155">
        <v>30</v>
      </c>
      <c r="E152" s="155" t="s">
        <v>10</v>
      </c>
      <c r="F152" s="156">
        <v>60000</v>
      </c>
      <c r="G152" s="45">
        <f>ROUNDDOWN(D152*F152,-3)</f>
        <v>1800000</v>
      </c>
      <c r="H152" s="165">
        <v>1800000</v>
      </c>
      <c r="I152" s="150" t="s">
        <v>3553</v>
      </c>
      <c r="J152" s="149" t="s">
        <v>3565</v>
      </c>
      <c r="K152" s="149" t="s">
        <v>3565</v>
      </c>
      <c r="L152" s="171">
        <f t="shared" si="2"/>
        <v>0</v>
      </c>
    </row>
    <row r="153" spans="1:12" x14ac:dyDescent="0.25">
      <c r="A153" s="21" t="s">
        <v>313</v>
      </c>
      <c r="B153" s="158"/>
      <c r="C153" s="157" t="s">
        <v>3653</v>
      </c>
      <c r="D153" s="158">
        <v>20</v>
      </c>
      <c r="E153" s="158" t="s">
        <v>117</v>
      </c>
      <c r="F153" s="159">
        <v>50000</v>
      </c>
      <c r="G153" s="45">
        <f>ROUNDDOWN(D153*F153,-3)</f>
        <v>1000000</v>
      </c>
      <c r="H153" s="165">
        <v>1000000</v>
      </c>
      <c r="I153" s="150" t="s">
        <v>3553</v>
      </c>
      <c r="J153" s="149" t="s">
        <v>3565</v>
      </c>
      <c r="K153" s="149" t="s">
        <v>3565</v>
      </c>
      <c r="L153" s="171">
        <f t="shared" si="2"/>
        <v>0</v>
      </c>
    </row>
    <row r="154" spans="1:12" x14ac:dyDescent="0.25">
      <c r="A154" s="21" t="s">
        <v>314</v>
      </c>
      <c r="B154" s="60">
        <v>524113</v>
      </c>
      <c r="C154" s="41" t="s">
        <v>13</v>
      </c>
      <c r="D154" s="60"/>
      <c r="E154" s="60"/>
      <c r="F154" s="42"/>
      <c r="G154" s="42">
        <v>1050000</v>
      </c>
      <c r="H154" s="165">
        <v>1050000</v>
      </c>
      <c r="I154" s="150" t="s">
        <v>3553</v>
      </c>
      <c r="J154" s="149" t="s">
        <v>3565</v>
      </c>
      <c r="K154" s="149" t="s">
        <v>3565</v>
      </c>
      <c r="L154" s="171">
        <f t="shared" si="2"/>
        <v>0</v>
      </c>
    </row>
    <row r="155" spans="1:12" x14ac:dyDescent="0.25">
      <c r="A155" s="21" t="s">
        <v>315</v>
      </c>
      <c r="B155" s="155"/>
      <c r="C155" s="154" t="s">
        <v>3613</v>
      </c>
      <c r="D155" s="155">
        <v>7</v>
      </c>
      <c r="E155" s="155" t="s">
        <v>10</v>
      </c>
      <c r="F155" s="156">
        <v>150000</v>
      </c>
      <c r="G155" s="45">
        <f>ROUNDDOWN(D155*F155,-3)</f>
        <v>1050000</v>
      </c>
      <c r="H155" s="165">
        <v>1050000</v>
      </c>
      <c r="I155" s="150" t="s">
        <v>3553</v>
      </c>
      <c r="J155" s="149" t="s">
        <v>3565</v>
      </c>
      <c r="K155" s="149" t="s">
        <v>3565</v>
      </c>
      <c r="L155" s="171">
        <f t="shared" si="2"/>
        <v>0</v>
      </c>
    </row>
    <row r="156" spans="1:12" x14ac:dyDescent="0.25">
      <c r="A156" s="21" t="s">
        <v>316</v>
      </c>
      <c r="B156" s="60">
        <v>524114</v>
      </c>
      <c r="C156" s="41" t="s">
        <v>14</v>
      </c>
      <c r="D156" s="71"/>
      <c r="E156" s="60"/>
      <c r="F156" s="42"/>
      <c r="G156" s="42">
        <v>910000</v>
      </c>
      <c r="H156" s="165">
        <v>910000</v>
      </c>
      <c r="I156" s="150" t="s">
        <v>3553</v>
      </c>
      <c r="J156" s="149" t="s">
        <v>3565</v>
      </c>
      <c r="K156" s="149" t="s">
        <v>3565</v>
      </c>
      <c r="L156" s="171">
        <f t="shared" si="2"/>
        <v>0</v>
      </c>
    </row>
    <row r="157" spans="1:12" x14ac:dyDescent="0.25">
      <c r="A157" s="21" t="s">
        <v>317</v>
      </c>
      <c r="B157" s="61"/>
      <c r="C157" s="44" t="s">
        <v>3604</v>
      </c>
      <c r="D157" s="47">
        <v>7</v>
      </c>
      <c r="E157" s="61" t="s">
        <v>10</v>
      </c>
      <c r="F157" s="45">
        <v>130000</v>
      </c>
      <c r="G157" s="45">
        <f>ROUNDDOWN(D157*F157,-3)</f>
        <v>910000</v>
      </c>
      <c r="H157" s="165">
        <v>910000</v>
      </c>
      <c r="I157" s="150" t="s">
        <v>3553</v>
      </c>
      <c r="J157" s="149" t="s">
        <v>3565</v>
      </c>
      <c r="K157" s="149" t="s">
        <v>3565</v>
      </c>
      <c r="L157" s="171">
        <f t="shared" si="2"/>
        <v>0</v>
      </c>
    </row>
    <row r="158" spans="1:12" ht="26.4" x14ac:dyDescent="0.25">
      <c r="A158" s="21" t="s">
        <v>318</v>
      </c>
      <c r="B158" s="58" t="s">
        <v>523</v>
      </c>
      <c r="C158" s="35" t="s">
        <v>36</v>
      </c>
      <c r="D158" s="69">
        <v>0</v>
      </c>
      <c r="E158" s="58"/>
      <c r="F158" s="36"/>
      <c r="G158" s="36">
        <v>300000000</v>
      </c>
      <c r="H158" s="165">
        <v>300000000</v>
      </c>
      <c r="I158" s="150" t="s">
        <v>3553</v>
      </c>
      <c r="J158" s="149" t="s">
        <v>3566</v>
      </c>
      <c r="K158" s="149" t="s">
        <v>3578</v>
      </c>
      <c r="L158" s="171">
        <f t="shared" si="2"/>
        <v>0</v>
      </c>
    </row>
    <row r="159" spans="1:12" ht="26.4" x14ac:dyDescent="0.25">
      <c r="A159" s="21" t="s">
        <v>319</v>
      </c>
      <c r="B159" s="59" t="s">
        <v>8</v>
      </c>
      <c r="C159" s="38" t="s">
        <v>37</v>
      </c>
      <c r="D159" s="59"/>
      <c r="E159" s="59"/>
      <c r="F159" s="39"/>
      <c r="G159" s="39">
        <v>108420000</v>
      </c>
      <c r="H159" s="165">
        <v>108420000</v>
      </c>
      <c r="I159" s="150" t="s">
        <v>3553</v>
      </c>
      <c r="J159" s="149" t="s">
        <v>3566</v>
      </c>
      <c r="K159" s="149" t="s">
        <v>3578</v>
      </c>
      <c r="L159" s="171">
        <f t="shared" si="2"/>
        <v>0</v>
      </c>
    </row>
    <row r="160" spans="1:12" x14ac:dyDescent="0.25">
      <c r="A160" s="21" t="s">
        <v>320</v>
      </c>
      <c r="B160" s="60">
        <v>521211</v>
      </c>
      <c r="C160" s="41" t="s">
        <v>7</v>
      </c>
      <c r="D160" s="71"/>
      <c r="E160" s="60"/>
      <c r="F160" s="42"/>
      <c r="G160" s="42">
        <v>23420000</v>
      </c>
      <c r="H160" s="165">
        <v>23420000</v>
      </c>
      <c r="I160" s="150" t="s">
        <v>3553</v>
      </c>
      <c r="J160" s="149" t="s">
        <v>3566</v>
      </c>
      <c r="K160" s="149" t="s">
        <v>3578</v>
      </c>
      <c r="L160" s="171">
        <f t="shared" si="2"/>
        <v>0</v>
      </c>
    </row>
    <row r="161" spans="1:12" x14ac:dyDescent="0.25">
      <c r="A161" s="21" t="s">
        <v>321</v>
      </c>
      <c r="B161" s="61"/>
      <c r="C161" s="44" t="s">
        <v>3625</v>
      </c>
      <c r="D161" s="47">
        <v>1</v>
      </c>
      <c r="E161" s="61" t="s">
        <v>9</v>
      </c>
      <c r="F161" s="45">
        <v>1000000</v>
      </c>
      <c r="G161" s="45">
        <f t="shared" ref="G161:G167" si="3">ROUNDDOWN(D161*F161,-3)</f>
        <v>1000000</v>
      </c>
      <c r="H161" s="165">
        <v>1000000</v>
      </c>
      <c r="I161" s="150" t="s">
        <v>3553</v>
      </c>
      <c r="J161" s="149" t="s">
        <v>3566</v>
      </c>
      <c r="K161" s="149" t="s">
        <v>3578</v>
      </c>
      <c r="L161" s="171">
        <f t="shared" si="2"/>
        <v>0</v>
      </c>
    </row>
    <row r="162" spans="1:12" x14ac:dyDescent="0.25">
      <c r="A162" s="21" t="s">
        <v>322</v>
      </c>
      <c r="B162" s="61"/>
      <c r="C162" s="44" t="s">
        <v>3654</v>
      </c>
      <c r="D162" s="47">
        <v>1</v>
      </c>
      <c r="E162" s="61" t="s">
        <v>9</v>
      </c>
      <c r="F162" s="45">
        <v>1000000</v>
      </c>
      <c r="G162" s="45">
        <f t="shared" si="3"/>
        <v>1000000</v>
      </c>
      <c r="H162" s="165">
        <v>1000000</v>
      </c>
      <c r="I162" s="150" t="s">
        <v>3553</v>
      </c>
      <c r="J162" s="149" t="s">
        <v>3566</v>
      </c>
      <c r="K162" s="149" t="s">
        <v>3578</v>
      </c>
      <c r="L162" s="171">
        <f t="shared" si="2"/>
        <v>0</v>
      </c>
    </row>
    <row r="163" spans="1:12" x14ac:dyDescent="0.25">
      <c r="A163" s="21" t="s">
        <v>323</v>
      </c>
      <c r="B163" s="155"/>
      <c r="C163" s="154" t="s">
        <v>3655</v>
      </c>
      <c r="D163" s="155">
        <v>1</v>
      </c>
      <c r="E163" s="155" t="s">
        <v>9</v>
      </c>
      <c r="F163" s="156">
        <v>6000000</v>
      </c>
      <c r="G163" s="45">
        <f t="shared" si="3"/>
        <v>6000000</v>
      </c>
      <c r="H163" s="165">
        <v>6000000</v>
      </c>
      <c r="I163" s="150" t="s">
        <v>3553</v>
      </c>
      <c r="J163" s="149" t="s">
        <v>3566</v>
      </c>
      <c r="K163" s="149" t="s">
        <v>3578</v>
      </c>
      <c r="L163" s="171">
        <f t="shared" si="2"/>
        <v>0</v>
      </c>
    </row>
    <row r="164" spans="1:12" x14ac:dyDescent="0.25">
      <c r="A164" s="21" t="s">
        <v>324</v>
      </c>
      <c r="B164" s="61"/>
      <c r="C164" s="44" t="s">
        <v>3656</v>
      </c>
      <c r="D164" s="47">
        <v>40</v>
      </c>
      <c r="E164" s="61" t="s">
        <v>10</v>
      </c>
      <c r="F164" s="45">
        <v>150000</v>
      </c>
      <c r="G164" s="45">
        <f t="shared" si="3"/>
        <v>6000000</v>
      </c>
      <c r="H164" s="165">
        <v>6000000</v>
      </c>
      <c r="I164" s="150" t="s">
        <v>3553</v>
      </c>
      <c r="J164" s="149" t="s">
        <v>3566</v>
      </c>
      <c r="K164" s="149" t="s">
        <v>3578</v>
      </c>
      <c r="L164" s="171">
        <f t="shared" si="2"/>
        <v>0</v>
      </c>
    </row>
    <row r="165" spans="1:12" x14ac:dyDescent="0.25">
      <c r="A165" s="21" t="s">
        <v>325</v>
      </c>
      <c r="B165" s="61"/>
      <c r="C165" s="44" t="s">
        <v>3657</v>
      </c>
      <c r="D165" s="47">
        <v>80</v>
      </c>
      <c r="E165" s="61" t="s">
        <v>10</v>
      </c>
      <c r="F165" s="45">
        <v>69000</v>
      </c>
      <c r="G165" s="45">
        <f t="shared" si="3"/>
        <v>5520000</v>
      </c>
      <c r="H165" s="165">
        <v>5520000</v>
      </c>
      <c r="I165" s="150" t="s">
        <v>3553</v>
      </c>
      <c r="J165" s="149" t="s">
        <v>3566</v>
      </c>
      <c r="K165" s="149" t="s">
        <v>3578</v>
      </c>
      <c r="L165" s="171">
        <f t="shared" si="2"/>
        <v>0</v>
      </c>
    </row>
    <row r="166" spans="1:12" x14ac:dyDescent="0.25">
      <c r="A166" s="21" t="s">
        <v>326</v>
      </c>
      <c r="B166" s="61"/>
      <c r="C166" s="44" t="s">
        <v>3658</v>
      </c>
      <c r="D166" s="47">
        <v>20</v>
      </c>
      <c r="E166" s="61" t="s">
        <v>10</v>
      </c>
      <c r="F166" s="45">
        <v>65000</v>
      </c>
      <c r="G166" s="45">
        <f t="shared" si="3"/>
        <v>1300000</v>
      </c>
      <c r="H166" s="165">
        <v>1300000</v>
      </c>
      <c r="I166" s="150" t="s">
        <v>3553</v>
      </c>
      <c r="J166" s="149" t="s">
        <v>3566</v>
      </c>
      <c r="K166" s="149" t="s">
        <v>3578</v>
      </c>
      <c r="L166" s="171">
        <f t="shared" si="2"/>
        <v>0</v>
      </c>
    </row>
    <row r="167" spans="1:12" ht="26.4" x14ac:dyDescent="0.25">
      <c r="A167" s="21" t="s">
        <v>698</v>
      </c>
      <c r="B167" s="155"/>
      <c r="C167" s="154" t="s">
        <v>3659</v>
      </c>
      <c r="D167" s="155">
        <v>40</v>
      </c>
      <c r="E167" s="155" t="s">
        <v>10</v>
      </c>
      <c r="F167" s="156">
        <v>65000</v>
      </c>
      <c r="G167" s="45">
        <f t="shared" si="3"/>
        <v>2600000</v>
      </c>
      <c r="H167" s="165">
        <v>2600000</v>
      </c>
      <c r="I167" s="150" t="s">
        <v>3553</v>
      </c>
      <c r="J167" s="149" t="s">
        <v>3566</v>
      </c>
      <c r="K167" s="149" t="s">
        <v>3578</v>
      </c>
      <c r="L167" s="171">
        <f t="shared" si="2"/>
        <v>0</v>
      </c>
    </row>
    <row r="168" spans="1:12" ht="26.4" x14ac:dyDescent="0.25">
      <c r="A168" s="21" t="s">
        <v>327</v>
      </c>
      <c r="B168" s="60">
        <v>521241</v>
      </c>
      <c r="C168" s="41" t="s">
        <v>642</v>
      </c>
      <c r="D168" s="71"/>
      <c r="E168" s="60"/>
      <c r="F168" s="42"/>
      <c r="G168" s="42">
        <v>14400000</v>
      </c>
      <c r="H168" s="165">
        <v>14400000</v>
      </c>
      <c r="I168" s="150" t="s">
        <v>3553</v>
      </c>
      <c r="J168" s="149" t="s">
        <v>3566</v>
      </c>
      <c r="K168" s="149" t="s">
        <v>3578</v>
      </c>
      <c r="L168" s="171">
        <f t="shared" si="2"/>
        <v>0</v>
      </c>
    </row>
    <row r="169" spans="1:12" ht="26.4" x14ac:dyDescent="0.25">
      <c r="A169" s="21" t="s">
        <v>328</v>
      </c>
      <c r="B169" s="61"/>
      <c r="C169" s="44" t="s">
        <v>3660</v>
      </c>
      <c r="D169" s="47">
        <v>72</v>
      </c>
      <c r="E169" s="61" t="s">
        <v>21</v>
      </c>
      <c r="F169" s="45">
        <v>200000</v>
      </c>
      <c r="G169" s="45">
        <f>ROUNDDOWN(D169*F169,-3)</f>
        <v>14400000</v>
      </c>
      <c r="H169" s="165">
        <v>14400000</v>
      </c>
      <c r="I169" s="150" t="s">
        <v>3553</v>
      </c>
      <c r="J169" s="149" t="s">
        <v>3566</v>
      </c>
      <c r="K169" s="149" t="s">
        <v>3578</v>
      </c>
      <c r="L169" s="171">
        <f t="shared" si="2"/>
        <v>0</v>
      </c>
    </row>
    <row r="170" spans="1:12" x14ac:dyDescent="0.25">
      <c r="A170" s="21" t="s">
        <v>329</v>
      </c>
      <c r="B170" s="60">
        <v>522151</v>
      </c>
      <c r="C170" s="41" t="s">
        <v>11</v>
      </c>
      <c r="D170" s="71"/>
      <c r="E170" s="60"/>
      <c r="F170" s="42"/>
      <c r="G170" s="42">
        <v>4000000</v>
      </c>
      <c r="H170" s="165">
        <v>4000000</v>
      </c>
      <c r="I170" s="150" t="s">
        <v>3553</v>
      </c>
      <c r="J170" s="149" t="s">
        <v>3566</v>
      </c>
      <c r="K170" s="149" t="s">
        <v>3578</v>
      </c>
      <c r="L170" s="171">
        <f t="shared" si="2"/>
        <v>0</v>
      </c>
    </row>
    <row r="171" spans="1:12" ht="26.4" x14ac:dyDescent="0.25">
      <c r="A171" s="21" t="s">
        <v>330</v>
      </c>
      <c r="B171" s="155"/>
      <c r="C171" s="154" t="s">
        <v>3661</v>
      </c>
      <c r="D171" s="155">
        <v>4</v>
      </c>
      <c r="E171" s="155" t="s">
        <v>12</v>
      </c>
      <c r="F171" s="156">
        <v>1000000</v>
      </c>
      <c r="G171" s="45">
        <f>ROUNDDOWN(D171*F171,-3)</f>
        <v>4000000</v>
      </c>
      <c r="H171" s="165">
        <v>4000000</v>
      </c>
      <c r="I171" s="150" t="s">
        <v>3553</v>
      </c>
      <c r="J171" s="149" t="s">
        <v>3566</v>
      </c>
      <c r="K171" s="149" t="s">
        <v>3578</v>
      </c>
      <c r="L171" s="171">
        <f t="shared" si="2"/>
        <v>0</v>
      </c>
    </row>
    <row r="172" spans="1:12" x14ac:dyDescent="0.25">
      <c r="A172" s="21" t="s">
        <v>331</v>
      </c>
      <c r="B172" s="60">
        <v>522192</v>
      </c>
      <c r="C172" s="41" t="s">
        <v>24</v>
      </c>
      <c r="D172" s="71"/>
      <c r="E172" s="60"/>
      <c r="F172" s="42"/>
      <c r="G172" s="42">
        <v>5000000</v>
      </c>
      <c r="H172" s="165">
        <v>5000000</v>
      </c>
      <c r="I172" s="150" t="s">
        <v>3553</v>
      </c>
      <c r="J172" s="149" t="s">
        <v>3566</v>
      </c>
      <c r="K172" s="149" t="s">
        <v>3578</v>
      </c>
      <c r="L172" s="171">
        <f t="shared" si="2"/>
        <v>0</v>
      </c>
    </row>
    <row r="173" spans="1:12" x14ac:dyDescent="0.25">
      <c r="A173" s="21" t="s">
        <v>332</v>
      </c>
      <c r="B173" s="61"/>
      <c r="C173" s="44" t="s">
        <v>3662</v>
      </c>
      <c r="D173" s="47">
        <v>20</v>
      </c>
      <c r="E173" s="61" t="s">
        <v>10</v>
      </c>
      <c r="F173" s="45">
        <v>250000</v>
      </c>
      <c r="G173" s="45">
        <f>ROUNDDOWN(D173*F173,-3)</f>
        <v>5000000</v>
      </c>
      <c r="H173" s="165">
        <v>5000000</v>
      </c>
      <c r="I173" s="150" t="s">
        <v>3553</v>
      </c>
      <c r="J173" s="149" t="s">
        <v>3566</v>
      </c>
      <c r="K173" s="149" t="s">
        <v>3578</v>
      </c>
      <c r="L173" s="171">
        <f t="shared" si="2"/>
        <v>0</v>
      </c>
    </row>
    <row r="174" spans="1:12" x14ac:dyDescent="0.25">
      <c r="A174" s="21" t="s">
        <v>333</v>
      </c>
      <c r="B174" s="60">
        <v>524111</v>
      </c>
      <c r="C174" s="41" t="s">
        <v>19</v>
      </c>
      <c r="D174" s="71"/>
      <c r="E174" s="60"/>
      <c r="F174" s="42"/>
      <c r="G174" s="42">
        <v>37500000</v>
      </c>
      <c r="H174" s="165">
        <v>37500000</v>
      </c>
      <c r="I174" s="150" t="s">
        <v>3553</v>
      </c>
      <c r="J174" s="149" t="s">
        <v>3566</v>
      </c>
      <c r="K174" s="149" t="s">
        <v>3578</v>
      </c>
      <c r="L174" s="171">
        <f t="shared" si="2"/>
        <v>0</v>
      </c>
    </row>
    <row r="175" spans="1:12" ht="26.4" x14ac:dyDescent="0.25">
      <c r="A175" s="21" t="s">
        <v>334</v>
      </c>
      <c r="B175" s="155"/>
      <c r="C175" s="154" t="s">
        <v>3663</v>
      </c>
      <c r="D175" s="155">
        <v>6</v>
      </c>
      <c r="E175" s="155" t="s">
        <v>10</v>
      </c>
      <c r="F175" s="156">
        <v>4500000</v>
      </c>
      <c r="G175" s="45">
        <f>ROUNDDOWN(D175*F175,-3)</f>
        <v>27000000</v>
      </c>
      <c r="H175" s="165">
        <v>27000000</v>
      </c>
      <c r="I175" s="150" t="s">
        <v>3553</v>
      </c>
      <c r="J175" s="149" t="s">
        <v>3566</v>
      </c>
      <c r="K175" s="149" t="s">
        <v>3578</v>
      </c>
      <c r="L175" s="171">
        <f t="shared" si="2"/>
        <v>0</v>
      </c>
    </row>
    <row r="176" spans="1:12" x14ac:dyDescent="0.25">
      <c r="A176" s="21" t="s">
        <v>335</v>
      </c>
      <c r="B176" s="61"/>
      <c r="C176" s="44" t="s">
        <v>3664</v>
      </c>
      <c r="D176" s="47">
        <v>6</v>
      </c>
      <c r="E176" s="61" t="s">
        <v>10</v>
      </c>
      <c r="F176" s="45">
        <v>1750000</v>
      </c>
      <c r="G176" s="45">
        <f>ROUNDDOWN(D176*F176,-3)</f>
        <v>10500000</v>
      </c>
      <c r="H176" s="165">
        <v>27000000</v>
      </c>
      <c r="I176" s="150" t="s">
        <v>3553</v>
      </c>
      <c r="J176" s="149" t="s">
        <v>3566</v>
      </c>
      <c r="K176" s="149" t="s">
        <v>3578</v>
      </c>
      <c r="L176" s="171">
        <f t="shared" si="2"/>
        <v>-16500000</v>
      </c>
    </row>
    <row r="177" spans="1:12" x14ac:dyDescent="0.25">
      <c r="A177" s="21" t="s">
        <v>336</v>
      </c>
      <c r="B177" s="60">
        <v>524119</v>
      </c>
      <c r="C177" s="41" t="s">
        <v>15</v>
      </c>
      <c r="D177" s="71"/>
      <c r="E177" s="60"/>
      <c r="F177" s="42"/>
      <c r="G177" s="42">
        <v>24100000</v>
      </c>
      <c r="H177" s="165">
        <v>10500000</v>
      </c>
      <c r="I177" s="150" t="s">
        <v>3553</v>
      </c>
      <c r="J177" s="149" t="s">
        <v>3566</v>
      </c>
      <c r="K177" s="149" t="s">
        <v>3578</v>
      </c>
      <c r="L177" s="171">
        <f t="shared" si="2"/>
        <v>13600000</v>
      </c>
    </row>
    <row r="178" spans="1:12" x14ac:dyDescent="0.25">
      <c r="A178" s="21" t="s">
        <v>337</v>
      </c>
      <c r="B178" s="192"/>
      <c r="C178" s="191" t="s">
        <v>3665</v>
      </c>
      <c r="D178" s="197">
        <v>20</v>
      </c>
      <c r="E178" s="192" t="s">
        <v>10</v>
      </c>
      <c r="F178" s="193">
        <v>105000</v>
      </c>
      <c r="G178" s="45">
        <f>ROUNDDOWN(D178*F178,-3)</f>
        <v>2100000</v>
      </c>
      <c r="H178" s="165">
        <v>24100000</v>
      </c>
      <c r="I178" s="150" t="s">
        <v>3553</v>
      </c>
      <c r="J178" s="149" t="s">
        <v>3566</v>
      </c>
      <c r="K178" s="149" t="s">
        <v>3578</v>
      </c>
      <c r="L178" s="171">
        <f t="shared" si="2"/>
        <v>-22000000</v>
      </c>
    </row>
    <row r="179" spans="1:12" x14ac:dyDescent="0.25">
      <c r="A179" s="21" t="s">
        <v>338</v>
      </c>
      <c r="B179" s="155"/>
      <c r="C179" s="154" t="s">
        <v>3666</v>
      </c>
      <c r="D179" s="155">
        <v>20</v>
      </c>
      <c r="E179" s="155" t="s">
        <v>10</v>
      </c>
      <c r="F179" s="156">
        <v>400000</v>
      </c>
      <c r="G179" s="45">
        <f>ROUNDDOWN(D179*F179,-3)</f>
        <v>8000000</v>
      </c>
      <c r="H179" s="165">
        <v>2100000</v>
      </c>
      <c r="I179" s="150" t="s">
        <v>3553</v>
      </c>
      <c r="J179" s="149" t="s">
        <v>3566</v>
      </c>
      <c r="K179" s="149" t="s">
        <v>3578</v>
      </c>
      <c r="L179" s="171">
        <f t="shared" si="2"/>
        <v>5900000</v>
      </c>
    </row>
    <row r="180" spans="1:12" ht="26.4" x14ac:dyDescent="0.25">
      <c r="A180" s="21" t="s">
        <v>709</v>
      </c>
      <c r="B180" s="61"/>
      <c r="C180" s="44" t="s">
        <v>3667</v>
      </c>
      <c r="D180" s="47">
        <v>40</v>
      </c>
      <c r="E180" s="61" t="s">
        <v>10</v>
      </c>
      <c r="F180" s="45">
        <v>100000</v>
      </c>
      <c r="G180" s="45">
        <f>ROUNDDOWN(D180*F180,-3)</f>
        <v>4000000</v>
      </c>
      <c r="H180" s="165">
        <v>8000000</v>
      </c>
      <c r="I180" s="150" t="s">
        <v>3553</v>
      </c>
      <c r="J180" s="149" t="s">
        <v>3566</v>
      </c>
      <c r="K180" s="149" t="s">
        <v>3578</v>
      </c>
      <c r="L180" s="171">
        <f t="shared" si="2"/>
        <v>-4000000</v>
      </c>
    </row>
    <row r="181" spans="1:12" ht="26.4" x14ac:dyDescent="0.25">
      <c r="A181" s="21" t="s">
        <v>711</v>
      </c>
      <c r="B181" s="61"/>
      <c r="C181" s="44" t="s">
        <v>3668</v>
      </c>
      <c r="D181" s="47">
        <v>40</v>
      </c>
      <c r="E181" s="61" t="s">
        <v>10</v>
      </c>
      <c r="F181" s="45">
        <v>250000</v>
      </c>
      <c r="G181" s="45">
        <f>ROUNDDOWN(D181*F181,-3)</f>
        <v>10000000</v>
      </c>
      <c r="H181" s="165">
        <v>4000000</v>
      </c>
      <c r="I181" s="150" t="s">
        <v>3553</v>
      </c>
      <c r="J181" s="149" t="s">
        <v>3566</v>
      </c>
      <c r="K181" s="149" t="s">
        <v>3578</v>
      </c>
      <c r="L181" s="171">
        <f t="shared" si="2"/>
        <v>6000000</v>
      </c>
    </row>
    <row r="182" spans="1:12" ht="26.4" x14ac:dyDescent="0.25">
      <c r="A182" s="21" t="s">
        <v>339</v>
      </c>
      <c r="B182" s="59" t="s">
        <v>511</v>
      </c>
      <c r="C182" s="38" t="s">
        <v>713</v>
      </c>
      <c r="D182" s="70"/>
      <c r="E182" s="59"/>
      <c r="F182" s="39"/>
      <c r="G182" s="39">
        <v>58010000</v>
      </c>
      <c r="H182" s="165">
        <v>10000000</v>
      </c>
      <c r="I182" s="150" t="s">
        <v>3553</v>
      </c>
      <c r="J182" s="149" t="s">
        <v>3566</v>
      </c>
      <c r="K182" s="149" t="s">
        <v>3578</v>
      </c>
      <c r="L182" s="171">
        <f t="shared" si="2"/>
        <v>48010000</v>
      </c>
    </row>
    <row r="183" spans="1:12" x14ac:dyDescent="0.25">
      <c r="A183" s="21" t="s">
        <v>340</v>
      </c>
      <c r="B183" s="60">
        <v>521211</v>
      </c>
      <c r="C183" s="41" t="s">
        <v>7</v>
      </c>
      <c r="D183" s="60"/>
      <c r="E183" s="60"/>
      <c r="F183" s="42"/>
      <c r="G183" s="42">
        <v>13610000</v>
      </c>
      <c r="H183" s="165">
        <v>58010000</v>
      </c>
      <c r="I183" s="150" t="s">
        <v>3553</v>
      </c>
      <c r="J183" s="149" t="s">
        <v>3566</v>
      </c>
      <c r="K183" s="149" t="s">
        <v>3578</v>
      </c>
      <c r="L183" s="171">
        <f t="shared" si="2"/>
        <v>-44400000</v>
      </c>
    </row>
    <row r="184" spans="1:12" x14ac:dyDescent="0.25">
      <c r="A184" s="21" t="s">
        <v>341</v>
      </c>
      <c r="B184" s="192"/>
      <c r="C184" s="191" t="s">
        <v>3625</v>
      </c>
      <c r="D184" s="197">
        <v>2</v>
      </c>
      <c r="E184" s="192" t="s">
        <v>9</v>
      </c>
      <c r="F184" s="193">
        <v>1000000</v>
      </c>
      <c r="G184" s="45">
        <f>ROUNDDOWN(D184*F184,-3)</f>
        <v>2000000</v>
      </c>
      <c r="H184" s="165">
        <v>13610000</v>
      </c>
      <c r="I184" s="150" t="s">
        <v>3553</v>
      </c>
      <c r="J184" s="149" t="s">
        <v>3566</v>
      </c>
      <c r="K184" s="149" t="s">
        <v>3578</v>
      </c>
      <c r="L184" s="171">
        <f t="shared" si="2"/>
        <v>-11610000</v>
      </c>
    </row>
    <row r="185" spans="1:12" x14ac:dyDescent="0.25">
      <c r="A185" s="21" t="s">
        <v>342</v>
      </c>
      <c r="B185" s="155"/>
      <c r="C185" s="154" t="s">
        <v>3654</v>
      </c>
      <c r="D185" s="155">
        <v>2</v>
      </c>
      <c r="E185" s="155" t="s">
        <v>9</v>
      </c>
      <c r="F185" s="156">
        <v>1000000</v>
      </c>
      <c r="G185" s="45">
        <f>ROUNDDOWN(D185*F185,-3)</f>
        <v>2000000</v>
      </c>
      <c r="H185" s="165">
        <v>2000000</v>
      </c>
      <c r="I185" s="150" t="s">
        <v>3553</v>
      </c>
      <c r="J185" s="149" t="s">
        <v>3566</v>
      </c>
      <c r="K185" s="149" t="s">
        <v>3578</v>
      </c>
      <c r="L185" s="171">
        <f t="shared" si="2"/>
        <v>0</v>
      </c>
    </row>
    <row r="186" spans="1:12" x14ac:dyDescent="0.25">
      <c r="A186" s="21" t="s">
        <v>343</v>
      </c>
      <c r="B186" s="61"/>
      <c r="C186" s="44" t="s">
        <v>3669</v>
      </c>
      <c r="D186" s="47">
        <v>2</v>
      </c>
      <c r="E186" s="61" t="s">
        <v>9</v>
      </c>
      <c r="F186" s="45">
        <v>915000</v>
      </c>
      <c r="G186" s="45">
        <f>ROUNDDOWN(D186*F186,-3)</f>
        <v>1830000</v>
      </c>
      <c r="H186" s="165">
        <v>2000000</v>
      </c>
      <c r="I186" s="150" t="s">
        <v>3553</v>
      </c>
      <c r="J186" s="149" t="s">
        <v>3566</v>
      </c>
      <c r="K186" s="149" t="s">
        <v>3578</v>
      </c>
      <c r="L186" s="171">
        <f t="shared" si="2"/>
        <v>-170000</v>
      </c>
    </row>
    <row r="187" spans="1:12" x14ac:dyDescent="0.25">
      <c r="A187" s="21" t="s">
        <v>344</v>
      </c>
      <c r="B187" s="155"/>
      <c r="C187" s="154" t="s">
        <v>3670</v>
      </c>
      <c r="D187" s="155">
        <v>40</v>
      </c>
      <c r="E187" s="155" t="s">
        <v>25</v>
      </c>
      <c r="F187" s="156">
        <v>22000</v>
      </c>
      <c r="G187" s="45">
        <f>ROUNDDOWN(D187*F187,-3)</f>
        <v>880000</v>
      </c>
      <c r="H187" s="165">
        <v>1830000</v>
      </c>
      <c r="I187" s="150" t="s">
        <v>3553</v>
      </c>
      <c r="J187" s="149" t="s">
        <v>3566</v>
      </c>
      <c r="K187" s="149" t="s">
        <v>3578</v>
      </c>
      <c r="L187" s="171">
        <f t="shared" si="2"/>
        <v>-950000</v>
      </c>
    </row>
    <row r="188" spans="1:12" ht="26.4" x14ac:dyDescent="0.25">
      <c r="A188" s="21" t="s">
        <v>716</v>
      </c>
      <c r="B188" s="61"/>
      <c r="C188" s="44" t="s">
        <v>3671</v>
      </c>
      <c r="D188" s="47">
        <v>100</v>
      </c>
      <c r="E188" s="61" t="s">
        <v>25</v>
      </c>
      <c r="F188" s="45">
        <v>69000</v>
      </c>
      <c r="G188" s="45">
        <f>ROUNDDOWN(D188*F188,-3)</f>
        <v>6900000</v>
      </c>
      <c r="H188" s="165">
        <v>880000</v>
      </c>
      <c r="I188" s="150" t="s">
        <v>3553</v>
      </c>
      <c r="J188" s="149" t="s">
        <v>3566</v>
      </c>
      <c r="K188" s="149" t="s">
        <v>3578</v>
      </c>
      <c r="L188" s="171">
        <f t="shared" si="2"/>
        <v>6020000</v>
      </c>
    </row>
    <row r="189" spans="1:12" x14ac:dyDescent="0.25">
      <c r="A189" s="21" t="s">
        <v>345</v>
      </c>
      <c r="B189" s="60">
        <v>522151</v>
      </c>
      <c r="C189" s="41" t="s">
        <v>11</v>
      </c>
      <c r="D189" s="71"/>
      <c r="E189" s="60"/>
      <c r="F189" s="42"/>
      <c r="G189" s="42">
        <v>8000000</v>
      </c>
      <c r="H189" s="165">
        <v>6900000</v>
      </c>
      <c r="I189" s="150" t="s">
        <v>3553</v>
      </c>
      <c r="J189" s="149" t="s">
        <v>3566</v>
      </c>
      <c r="K189" s="149" t="s">
        <v>3578</v>
      </c>
      <c r="L189" s="171">
        <f t="shared" si="2"/>
        <v>1100000</v>
      </c>
    </row>
    <row r="190" spans="1:12" ht="26.4" x14ac:dyDescent="0.25">
      <c r="A190" s="21" t="s">
        <v>346</v>
      </c>
      <c r="B190" s="192"/>
      <c r="C190" s="191" t="s">
        <v>3672</v>
      </c>
      <c r="D190" s="197">
        <v>8</v>
      </c>
      <c r="E190" s="192" t="s">
        <v>54</v>
      </c>
      <c r="F190" s="193">
        <v>1000000</v>
      </c>
      <c r="G190" s="45">
        <f>ROUNDDOWN(D190*F190,-3)</f>
        <v>8000000</v>
      </c>
      <c r="H190" s="165">
        <v>8000000</v>
      </c>
      <c r="I190" s="150" t="s">
        <v>3553</v>
      </c>
      <c r="J190" s="149" t="s">
        <v>3566</v>
      </c>
      <c r="K190" s="149" t="s">
        <v>3578</v>
      </c>
      <c r="L190" s="171">
        <f t="shared" si="2"/>
        <v>0</v>
      </c>
    </row>
    <row r="191" spans="1:12" x14ac:dyDescent="0.25">
      <c r="A191" s="21" t="s">
        <v>719</v>
      </c>
      <c r="B191" s="60">
        <v>524111</v>
      </c>
      <c r="C191" s="41" t="s">
        <v>19</v>
      </c>
      <c r="D191" s="60"/>
      <c r="E191" s="60"/>
      <c r="F191" s="42"/>
      <c r="G191" s="42">
        <v>36400000</v>
      </c>
      <c r="H191" s="165">
        <v>8000000</v>
      </c>
      <c r="I191" s="150" t="s">
        <v>3553</v>
      </c>
      <c r="J191" s="149" t="s">
        <v>3566</v>
      </c>
      <c r="K191" s="149" t="s">
        <v>3578</v>
      </c>
      <c r="L191" s="171">
        <f t="shared" si="2"/>
        <v>28400000</v>
      </c>
    </row>
    <row r="192" spans="1:12" ht="39.6" x14ac:dyDescent="0.25">
      <c r="A192" s="21" t="s">
        <v>720</v>
      </c>
      <c r="B192" s="192"/>
      <c r="C192" s="191" t="s">
        <v>3673</v>
      </c>
      <c r="D192" s="192">
        <v>8</v>
      </c>
      <c r="E192" s="192" t="s">
        <v>54</v>
      </c>
      <c r="F192" s="193">
        <v>4550000</v>
      </c>
      <c r="G192" s="45">
        <f>ROUNDDOWN(D192*F192,-3)</f>
        <v>36400000</v>
      </c>
      <c r="H192" s="165">
        <v>36400000</v>
      </c>
      <c r="I192" s="150" t="s">
        <v>3553</v>
      </c>
      <c r="J192" s="149" t="s">
        <v>3566</v>
      </c>
      <c r="K192" s="149" t="s">
        <v>3578</v>
      </c>
      <c r="L192" s="171">
        <f t="shared" si="2"/>
        <v>0</v>
      </c>
    </row>
    <row r="193" spans="1:12" x14ac:dyDescent="0.25">
      <c r="A193" s="21" t="s">
        <v>347</v>
      </c>
      <c r="B193" s="59" t="s">
        <v>512</v>
      </c>
      <c r="C193" s="38" t="s">
        <v>722</v>
      </c>
      <c r="D193" s="70"/>
      <c r="E193" s="59"/>
      <c r="F193" s="39"/>
      <c r="G193" s="39">
        <v>63510000</v>
      </c>
      <c r="H193" s="165">
        <v>36400000</v>
      </c>
      <c r="I193" s="150" t="s">
        <v>3553</v>
      </c>
      <c r="J193" s="149" t="s">
        <v>3566</v>
      </c>
      <c r="K193" s="149" t="s">
        <v>3578</v>
      </c>
      <c r="L193" s="171">
        <f t="shared" si="2"/>
        <v>27110000</v>
      </c>
    </row>
    <row r="194" spans="1:12" x14ac:dyDescent="0.25">
      <c r="A194" s="21" t="s">
        <v>348</v>
      </c>
      <c r="B194" s="60">
        <v>521211</v>
      </c>
      <c r="C194" s="41" t="s">
        <v>7</v>
      </c>
      <c r="D194" s="60"/>
      <c r="E194" s="60"/>
      <c r="F194" s="42"/>
      <c r="G194" s="42">
        <v>11610000</v>
      </c>
      <c r="H194" s="165">
        <v>63510000</v>
      </c>
      <c r="I194" s="150" t="s">
        <v>3553</v>
      </c>
      <c r="J194" s="149" t="s">
        <v>3566</v>
      </c>
      <c r="K194" s="149" t="s">
        <v>3578</v>
      </c>
      <c r="L194" s="171">
        <f t="shared" si="2"/>
        <v>-51900000</v>
      </c>
    </row>
    <row r="195" spans="1:12" x14ac:dyDescent="0.25">
      <c r="A195" s="21" t="s">
        <v>349</v>
      </c>
      <c r="B195" s="192"/>
      <c r="C195" s="191" t="s">
        <v>3625</v>
      </c>
      <c r="D195" s="192">
        <v>1</v>
      </c>
      <c r="E195" s="192" t="s">
        <v>9</v>
      </c>
      <c r="F195" s="193">
        <v>1000000</v>
      </c>
      <c r="G195" s="45">
        <f>ROUNDDOWN(D195*F195,-3)</f>
        <v>1000000</v>
      </c>
      <c r="H195" s="165">
        <v>11610000</v>
      </c>
      <c r="I195" s="150" t="s">
        <v>3553</v>
      </c>
      <c r="J195" s="149" t="s">
        <v>3566</v>
      </c>
      <c r="K195" s="149" t="s">
        <v>3578</v>
      </c>
      <c r="L195" s="171">
        <f t="shared" si="2"/>
        <v>-10610000</v>
      </c>
    </row>
    <row r="196" spans="1:12" x14ac:dyDescent="0.25">
      <c r="A196" s="21" t="s">
        <v>350</v>
      </c>
      <c r="B196" s="155"/>
      <c r="C196" s="154" t="s">
        <v>3654</v>
      </c>
      <c r="D196" s="155">
        <v>1</v>
      </c>
      <c r="E196" s="155" t="s">
        <v>9</v>
      </c>
      <c r="F196" s="156">
        <v>1000000</v>
      </c>
      <c r="G196" s="45">
        <f>ROUNDDOWN(D196*F196,-3)</f>
        <v>1000000</v>
      </c>
      <c r="H196" s="165">
        <v>1000000</v>
      </c>
      <c r="I196" s="150" t="s">
        <v>3553</v>
      </c>
      <c r="J196" s="149" t="s">
        <v>3566</v>
      </c>
      <c r="K196" s="149" t="s">
        <v>3578</v>
      </c>
      <c r="L196" s="171">
        <f t="shared" si="2"/>
        <v>0</v>
      </c>
    </row>
    <row r="197" spans="1:12" x14ac:dyDescent="0.25">
      <c r="A197" s="21" t="s">
        <v>351</v>
      </c>
      <c r="B197" s="61"/>
      <c r="C197" s="44" t="s">
        <v>3669</v>
      </c>
      <c r="D197" s="47">
        <v>1</v>
      </c>
      <c r="E197" s="61" t="s">
        <v>9</v>
      </c>
      <c r="F197" s="45">
        <v>1000000</v>
      </c>
      <c r="G197" s="45">
        <f>ROUNDDOWN(D197*F197,-3)</f>
        <v>1000000</v>
      </c>
      <c r="H197" s="165">
        <v>1000000</v>
      </c>
      <c r="I197" s="150" t="s">
        <v>3553</v>
      </c>
      <c r="J197" s="149" t="s">
        <v>3566</v>
      </c>
      <c r="K197" s="149" t="s">
        <v>3578</v>
      </c>
      <c r="L197" s="171">
        <f t="shared" si="2"/>
        <v>0</v>
      </c>
    </row>
    <row r="198" spans="1:12" ht="26.4" x14ac:dyDescent="0.25">
      <c r="A198" s="21" t="s">
        <v>352</v>
      </c>
      <c r="B198" s="61"/>
      <c r="C198" s="44" t="s">
        <v>3674</v>
      </c>
      <c r="D198" s="47">
        <v>40</v>
      </c>
      <c r="E198" s="61" t="s">
        <v>10</v>
      </c>
      <c r="F198" s="45">
        <v>69000</v>
      </c>
      <c r="G198" s="45">
        <f>ROUNDDOWN(D198*F198,-3)</f>
        <v>2760000</v>
      </c>
      <c r="H198" s="165">
        <v>1000000</v>
      </c>
      <c r="I198" s="150" t="s">
        <v>3553</v>
      </c>
      <c r="J198" s="149" t="s">
        <v>3566</v>
      </c>
      <c r="K198" s="149" t="s">
        <v>3578</v>
      </c>
      <c r="L198" s="171">
        <f t="shared" si="2"/>
        <v>1760000</v>
      </c>
    </row>
    <row r="199" spans="1:12" ht="26.4" x14ac:dyDescent="0.25">
      <c r="A199" s="21" t="s">
        <v>353</v>
      </c>
      <c r="B199" s="61"/>
      <c r="C199" s="44" t="s">
        <v>3675</v>
      </c>
      <c r="D199" s="47">
        <v>90</v>
      </c>
      <c r="E199" s="61" t="s">
        <v>10</v>
      </c>
      <c r="F199" s="45">
        <v>65000</v>
      </c>
      <c r="G199" s="45">
        <f>ROUNDDOWN(D199*F199,-3)</f>
        <v>5850000</v>
      </c>
      <c r="H199" s="165">
        <v>2760000</v>
      </c>
      <c r="I199" s="150" t="s">
        <v>3553</v>
      </c>
      <c r="J199" s="149" t="s">
        <v>3566</v>
      </c>
      <c r="K199" s="149" t="s">
        <v>3578</v>
      </c>
      <c r="L199" s="171">
        <f t="shared" si="2"/>
        <v>3090000</v>
      </c>
    </row>
    <row r="200" spans="1:12" x14ac:dyDescent="0.25">
      <c r="A200" s="21" t="s">
        <v>354</v>
      </c>
      <c r="B200" s="60">
        <v>522151</v>
      </c>
      <c r="C200" s="41" t="s">
        <v>11</v>
      </c>
      <c r="D200" s="71"/>
      <c r="E200" s="60"/>
      <c r="F200" s="42"/>
      <c r="G200" s="42">
        <v>5400000</v>
      </c>
      <c r="H200" s="165">
        <v>5850000</v>
      </c>
      <c r="I200" s="150" t="s">
        <v>3553</v>
      </c>
      <c r="J200" s="149" t="s">
        <v>3566</v>
      </c>
      <c r="K200" s="149" t="s">
        <v>3578</v>
      </c>
      <c r="L200" s="171">
        <f t="shared" si="2"/>
        <v>-450000</v>
      </c>
    </row>
    <row r="201" spans="1:12" ht="26.4" x14ac:dyDescent="0.25">
      <c r="A201" s="21" t="s">
        <v>355</v>
      </c>
      <c r="B201" s="192"/>
      <c r="C201" s="191" t="s">
        <v>3676</v>
      </c>
      <c r="D201" s="197">
        <v>6</v>
      </c>
      <c r="E201" s="192" t="s">
        <v>12</v>
      </c>
      <c r="F201" s="193">
        <v>900000</v>
      </c>
      <c r="G201" s="45">
        <f>ROUNDDOWN(D201*F201,-3)</f>
        <v>5400000</v>
      </c>
      <c r="H201" s="165">
        <v>5400000</v>
      </c>
      <c r="I201" s="150" t="s">
        <v>3553</v>
      </c>
      <c r="J201" s="149" t="s">
        <v>3566</v>
      </c>
      <c r="K201" s="149" t="s">
        <v>3578</v>
      </c>
      <c r="L201" s="171">
        <f t="shared" si="2"/>
        <v>0</v>
      </c>
    </row>
    <row r="202" spans="1:12" x14ac:dyDescent="0.25">
      <c r="A202" s="21" t="s">
        <v>356</v>
      </c>
      <c r="B202" s="60">
        <v>524111</v>
      </c>
      <c r="C202" s="41" t="s">
        <v>19</v>
      </c>
      <c r="D202" s="71"/>
      <c r="E202" s="60"/>
      <c r="F202" s="42"/>
      <c r="G202" s="42">
        <v>24000000</v>
      </c>
      <c r="H202" s="165">
        <v>5400000</v>
      </c>
      <c r="I202" s="150" t="s">
        <v>3553</v>
      </c>
      <c r="J202" s="149" t="s">
        <v>3566</v>
      </c>
      <c r="K202" s="149" t="s">
        <v>3578</v>
      </c>
      <c r="L202" s="171">
        <f t="shared" si="2"/>
        <v>18600000</v>
      </c>
    </row>
    <row r="203" spans="1:12" ht="39.6" x14ac:dyDescent="0.25">
      <c r="A203" s="21" t="s">
        <v>357</v>
      </c>
      <c r="B203" s="192"/>
      <c r="C203" s="191" t="s">
        <v>3677</v>
      </c>
      <c r="D203" s="197">
        <v>6</v>
      </c>
      <c r="E203" s="192" t="s">
        <v>10</v>
      </c>
      <c r="F203" s="193">
        <v>4000000</v>
      </c>
      <c r="G203" s="45">
        <f>ROUNDDOWN(D203*F203,-3)</f>
        <v>24000000</v>
      </c>
      <c r="H203" s="165">
        <v>24000000</v>
      </c>
      <c r="I203" s="150" t="s">
        <v>3553</v>
      </c>
      <c r="J203" s="149" t="s">
        <v>3566</v>
      </c>
      <c r="K203" s="149" t="s">
        <v>3578</v>
      </c>
      <c r="L203" s="171">
        <f t="shared" si="2"/>
        <v>0</v>
      </c>
    </row>
    <row r="204" spans="1:12" x14ac:dyDescent="0.25">
      <c r="A204" s="21" t="s">
        <v>358</v>
      </c>
      <c r="B204" s="60">
        <v>524119</v>
      </c>
      <c r="C204" s="41" t="s">
        <v>15</v>
      </c>
      <c r="D204" s="71"/>
      <c r="E204" s="60"/>
      <c r="F204" s="42"/>
      <c r="G204" s="42">
        <v>22500000</v>
      </c>
      <c r="H204" s="165">
        <v>24000000</v>
      </c>
      <c r="I204" s="150" t="s">
        <v>3553</v>
      </c>
      <c r="J204" s="149" t="s">
        <v>3566</v>
      </c>
      <c r="K204" s="149" t="s">
        <v>3578</v>
      </c>
      <c r="L204" s="171">
        <f t="shared" si="2"/>
        <v>-1500000</v>
      </c>
    </row>
    <row r="205" spans="1:12" x14ac:dyDescent="0.25">
      <c r="A205" s="21" t="s">
        <v>359</v>
      </c>
      <c r="B205" s="192"/>
      <c r="C205" s="191" t="s">
        <v>3678</v>
      </c>
      <c r="D205" s="197">
        <v>90</v>
      </c>
      <c r="E205" s="192" t="s">
        <v>10</v>
      </c>
      <c r="F205" s="193">
        <v>100000</v>
      </c>
      <c r="G205" s="45">
        <f>ROUNDDOWN(D205*F205,-3)</f>
        <v>9000000</v>
      </c>
      <c r="H205" s="165">
        <v>22500000</v>
      </c>
      <c r="I205" s="150" t="s">
        <v>3553</v>
      </c>
      <c r="J205" s="149" t="s">
        <v>3566</v>
      </c>
      <c r="K205" s="149" t="s">
        <v>3578</v>
      </c>
      <c r="L205" s="171">
        <f t="shared" si="2"/>
        <v>-13500000</v>
      </c>
    </row>
    <row r="206" spans="1:12" x14ac:dyDescent="0.25">
      <c r="A206" s="21" t="s">
        <v>360</v>
      </c>
      <c r="B206" s="155"/>
      <c r="C206" s="154" t="s">
        <v>3679</v>
      </c>
      <c r="D206" s="155">
        <v>90</v>
      </c>
      <c r="E206" s="155" t="s">
        <v>10</v>
      </c>
      <c r="F206" s="156">
        <v>150000</v>
      </c>
      <c r="G206" s="45">
        <f>ROUNDDOWN(D206*F206,-3)</f>
        <v>13500000</v>
      </c>
      <c r="H206" s="165">
        <v>9000000</v>
      </c>
      <c r="I206" s="150" t="s">
        <v>3553</v>
      </c>
      <c r="J206" s="149" t="s">
        <v>3566</v>
      </c>
      <c r="K206" s="149" t="s">
        <v>3578</v>
      </c>
      <c r="L206" s="171">
        <f t="shared" ref="L206:L269" si="4">G206-H206</f>
        <v>4500000</v>
      </c>
    </row>
    <row r="207" spans="1:12" ht="26.4" x14ac:dyDescent="0.25">
      <c r="A207" s="21" t="s">
        <v>361</v>
      </c>
      <c r="B207" s="59" t="s">
        <v>514</v>
      </c>
      <c r="C207" s="38" t="s">
        <v>729</v>
      </c>
      <c r="D207" s="70"/>
      <c r="E207" s="59"/>
      <c r="F207" s="39"/>
      <c r="G207" s="39">
        <v>70060000</v>
      </c>
      <c r="H207" s="165">
        <v>13500000</v>
      </c>
      <c r="I207" s="150" t="s">
        <v>3553</v>
      </c>
      <c r="J207" s="149" t="s">
        <v>3566</v>
      </c>
      <c r="K207" s="149" t="s">
        <v>3578</v>
      </c>
      <c r="L207" s="171">
        <f t="shared" si="4"/>
        <v>56560000</v>
      </c>
    </row>
    <row r="208" spans="1:12" x14ac:dyDescent="0.25">
      <c r="A208" s="21" t="s">
        <v>362</v>
      </c>
      <c r="B208" s="60">
        <v>521211</v>
      </c>
      <c r="C208" s="41" t="s">
        <v>7</v>
      </c>
      <c r="D208" s="60"/>
      <c r="E208" s="60"/>
      <c r="F208" s="42"/>
      <c r="G208" s="42">
        <v>14760000</v>
      </c>
      <c r="H208" s="165">
        <v>70060000</v>
      </c>
      <c r="I208" s="150" t="s">
        <v>3553</v>
      </c>
      <c r="J208" s="149" t="s">
        <v>3566</v>
      </c>
      <c r="K208" s="149" t="s">
        <v>3578</v>
      </c>
      <c r="L208" s="171">
        <f t="shared" si="4"/>
        <v>-55300000</v>
      </c>
    </row>
    <row r="209" spans="1:12" x14ac:dyDescent="0.25">
      <c r="A209" s="21" t="s">
        <v>363</v>
      </c>
      <c r="B209" s="192"/>
      <c r="C209" s="191" t="s">
        <v>3625</v>
      </c>
      <c r="D209" s="197">
        <v>1</v>
      </c>
      <c r="E209" s="192" t="s">
        <v>9</v>
      </c>
      <c r="F209" s="193">
        <v>1000000</v>
      </c>
      <c r="G209" s="45">
        <f>ROUNDDOWN(D209*F209,-3)</f>
        <v>1000000</v>
      </c>
      <c r="H209" s="165">
        <v>14760000</v>
      </c>
      <c r="I209" s="150" t="s">
        <v>3553</v>
      </c>
      <c r="J209" s="149" t="s">
        <v>3566</v>
      </c>
      <c r="K209" s="149" t="s">
        <v>3578</v>
      </c>
      <c r="L209" s="171">
        <f t="shared" si="4"/>
        <v>-13760000</v>
      </c>
    </row>
    <row r="210" spans="1:12" x14ac:dyDescent="0.25">
      <c r="A210" s="21" t="s">
        <v>364</v>
      </c>
      <c r="B210" s="61"/>
      <c r="C210" s="44" t="s">
        <v>3654</v>
      </c>
      <c r="D210" s="47">
        <v>1</v>
      </c>
      <c r="E210" s="61" t="s">
        <v>9</v>
      </c>
      <c r="F210" s="45">
        <v>1000000</v>
      </c>
      <c r="G210" s="45">
        <f>ROUNDDOWN(D210*F210,-3)</f>
        <v>1000000</v>
      </c>
      <c r="H210" s="165">
        <v>1000000</v>
      </c>
      <c r="I210" s="150" t="s">
        <v>3553</v>
      </c>
      <c r="J210" s="149" t="s">
        <v>3566</v>
      </c>
      <c r="K210" s="149" t="s">
        <v>3578</v>
      </c>
      <c r="L210" s="171">
        <f t="shared" si="4"/>
        <v>0</v>
      </c>
    </row>
    <row r="211" spans="1:12" x14ac:dyDescent="0.25">
      <c r="A211" s="21" t="s">
        <v>365</v>
      </c>
      <c r="B211" s="61"/>
      <c r="C211" s="44" t="s">
        <v>3680</v>
      </c>
      <c r="D211" s="47">
        <v>1</v>
      </c>
      <c r="E211" s="61" t="s">
        <v>9</v>
      </c>
      <c r="F211" s="45">
        <v>1000000</v>
      </c>
      <c r="G211" s="45">
        <f>ROUNDDOWN(D211*F211,-3)</f>
        <v>1000000</v>
      </c>
      <c r="H211" s="165">
        <v>1000000</v>
      </c>
      <c r="I211" s="150" t="s">
        <v>3553</v>
      </c>
      <c r="J211" s="149" t="s">
        <v>3566</v>
      </c>
      <c r="K211" s="149" t="s">
        <v>3578</v>
      </c>
      <c r="L211" s="171">
        <f t="shared" si="4"/>
        <v>0</v>
      </c>
    </row>
    <row r="212" spans="1:12" x14ac:dyDescent="0.25">
      <c r="A212" s="21" t="s">
        <v>366</v>
      </c>
      <c r="B212" s="61"/>
      <c r="C212" s="44" t="s">
        <v>3681</v>
      </c>
      <c r="D212" s="47">
        <v>60</v>
      </c>
      <c r="E212" s="61" t="s">
        <v>10</v>
      </c>
      <c r="F212" s="45">
        <v>150000</v>
      </c>
      <c r="G212" s="45">
        <f>ROUNDDOWN(D212*F212,-3)</f>
        <v>9000000</v>
      </c>
      <c r="H212" s="165">
        <v>1000000</v>
      </c>
      <c r="I212" s="150" t="s">
        <v>3553</v>
      </c>
      <c r="J212" s="149" t="s">
        <v>3566</v>
      </c>
      <c r="K212" s="149" t="s">
        <v>3578</v>
      </c>
      <c r="L212" s="171">
        <f t="shared" si="4"/>
        <v>8000000</v>
      </c>
    </row>
    <row r="213" spans="1:12" ht="26.4" x14ac:dyDescent="0.25">
      <c r="A213" s="21" t="s">
        <v>367</v>
      </c>
      <c r="B213" s="61"/>
      <c r="C213" s="44" t="s">
        <v>3682</v>
      </c>
      <c r="D213" s="47">
        <v>40</v>
      </c>
      <c r="E213" s="61" t="s">
        <v>10</v>
      </c>
      <c r="F213" s="45">
        <v>69000</v>
      </c>
      <c r="G213" s="45">
        <f>ROUNDDOWN(D213*F213,-3)</f>
        <v>2760000</v>
      </c>
      <c r="H213" s="165">
        <v>9000000</v>
      </c>
      <c r="I213" s="150" t="s">
        <v>3553</v>
      </c>
      <c r="J213" s="149" t="s">
        <v>3566</v>
      </c>
      <c r="K213" s="149" t="s">
        <v>3578</v>
      </c>
      <c r="L213" s="171">
        <f t="shared" si="4"/>
        <v>-6240000</v>
      </c>
    </row>
    <row r="214" spans="1:12" x14ac:dyDescent="0.25">
      <c r="A214" s="21" t="s">
        <v>368</v>
      </c>
      <c r="B214" s="60">
        <v>522151</v>
      </c>
      <c r="C214" s="41" t="s">
        <v>11</v>
      </c>
      <c r="D214" s="71"/>
      <c r="E214" s="60"/>
      <c r="F214" s="42"/>
      <c r="G214" s="42">
        <v>4000000</v>
      </c>
      <c r="H214" s="165">
        <v>2760000</v>
      </c>
      <c r="I214" s="150" t="s">
        <v>3553</v>
      </c>
      <c r="J214" s="149" t="s">
        <v>3566</v>
      </c>
      <c r="K214" s="149" t="s">
        <v>3578</v>
      </c>
      <c r="L214" s="171">
        <f t="shared" si="4"/>
        <v>1240000</v>
      </c>
    </row>
    <row r="215" spans="1:12" ht="26.4" x14ac:dyDescent="0.25">
      <c r="A215" s="21" t="s">
        <v>369</v>
      </c>
      <c r="B215" s="192"/>
      <c r="C215" s="191" t="s">
        <v>3683</v>
      </c>
      <c r="D215" s="197">
        <v>4</v>
      </c>
      <c r="E215" s="192" t="s">
        <v>12</v>
      </c>
      <c r="F215" s="193">
        <v>1000000</v>
      </c>
      <c r="G215" s="45">
        <f>ROUNDDOWN(D215*F215,-3)</f>
        <v>4000000</v>
      </c>
      <c r="H215" s="165">
        <v>4000000</v>
      </c>
      <c r="I215" s="150" t="s">
        <v>3553</v>
      </c>
      <c r="J215" s="149" t="s">
        <v>3566</v>
      </c>
      <c r="K215" s="149" t="s">
        <v>3578</v>
      </c>
      <c r="L215" s="171">
        <f t="shared" si="4"/>
        <v>0</v>
      </c>
    </row>
    <row r="216" spans="1:12" x14ac:dyDescent="0.25">
      <c r="A216" s="21" t="s">
        <v>734</v>
      </c>
      <c r="B216" s="60">
        <v>524119</v>
      </c>
      <c r="C216" s="41" t="s">
        <v>15</v>
      </c>
      <c r="D216" s="71"/>
      <c r="E216" s="60"/>
      <c r="F216" s="42"/>
      <c r="G216" s="42">
        <v>51300000</v>
      </c>
      <c r="H216" s="165">
        <v>4000000</v>
      </c>
      <c r="I216" s="150" t="s">
        <v>3553</v>
      </c>
      <c r="J216" s="149" t="s">
        <v>3566</v>
      </c>
      <c r="K216" s="149" t="s">
        <v>3578</v>
      </c>
      <c r="L216" s="171">
        <f t="shared" si="4"/>
        <v>47300000</v>
      </c>
    </row>
    <row r="217" spans="1:12" x14ac:dyDescent="0.25">
      <c r="A217" s="21" t="s">
        <v>735</v>
      </c>
      <c r="B217" s="192"/>
      <c r="C217" s="191" t="s">
        <v>3684</v>
      </c>
      <c r="D217" s="197">
        <v>60</v>
      </c>
      <c r="E217" s="192" t="s">
        <v>16</v>
      </c>
      <c r="F217" s="193">
        <v>350000</v>
      </c>
      <c r="G217" s="45">
        <f>ROUNDDOWN(D217*F217,-3)</f>
        <v>21000000</v>
      </c>
      <c r="H217" s="165">
        <v>51300000</v>
      </c>
      <c r="I217" s="150" t="s">
        <v>3553</v>
      </c>
      <c r="J217" s="149" t="s">
        <v>3566</v>
      </c>
      <c r="K217" s="149" t="s">
        <v>3578</v>
      </c>
      <c r="L217" s="171">
        <f t="shared" si="4"/>
        <v>-30300000</v>
      </c>
    </row>
    <row r="218" spans="1:12" x14ac:dyDescent="0.25">
      <c r="A218" s="21" t="s">
        <v>737</v>
      </c>
      <c r="B218" s="155"/>
      <c r="C218" s="154" t="s">
        <v>3685</v>
      </c>
      <c r="D218" s="155">
        <v>60</v>
      </c>
      <c r="E218" s="155" t="s">
        <v>10</v>
      </c>
      <c r="F218" s="156">
        <v>105000</v>
      </c>
      <c r="G218" s="45">
        <f>ROUNDDOWN(D218*F218,-3)</f>
        <v>6300000</v>
      </c>
      <c r="H218" s="165">
        <v>21000000</v>
      </c>
      <c r="I218" s="150" t="s">
        <v>3553</v>
      </c>
      <c r="J218" s="149" t="s">
        <v>3566</v>
      </c>
      <c r="K218" s="149" t="s">
        <v>3578</v>
      </c>
      <c r="L218" s="171">
        <f t="shared" si="4"/>
        <v>-14700000</v>
      </c>
    </row>
    <row r="219" spans="1:12" x14ac:dyDescent="0.25">
      <c r="A219" s="21" t="s">
        <v>739</v>
      </c>
      <c r="B219" s="61"/>
      <c r="C219" s="44" t="s">
        <v>3686</v>
      </c>
      <c r="D219" s="47">
        <v>60</v>
      </c>
      <c r="E219" s="61" t="s">
        <v>10</v>
      </c>
      <c r="F219" s="45">
        <v>400000</v>
      </c>
      <c r="G219" s="45">
        <f>ROUNDDOWN(D219*F219,-3)</f>
        <v>24000000</v>
      </c>
      <c r="H219" s="165">
        <v>6300000</v>
      </c>
      <c r="I219" s="150" t="s">
        <v>3553</v>
      </c>
      <c r="J219" s="149" t="s">
        <v>3566</v>
      </c>
      <c r="K219" s="149" t="s">
        <v>3578</v>
      </c>
      <c r="L219" s="171">
        <f t="shared" si="4"/>
        <v>17700000</v>
      </c>
    </row>
    <row r="220" spans="1:12" x14ac:dyDescent="0.25">
      <c r="A220" s="21" t="s">
        <v>370</v>
      </c>
      <c r="B220" s="58" t="s">
        <v>526</v>
      </c>
      <c r="C220" s="35" t="s">
        <v>38</v>
      </c>
      <c r="D220" s="58">
        <v>0</v>
      </c>
      <c r="E220" s="58"/>
      <c r="F220" s="36"/>
      <c r="G220" s="36">
        <v>300000000</v>
      </c>
      <c r="H220" s="165">
        <v>24000000</v>
      </c>
      <c r="I220" s="150" t="s">
        <v>3553</v>
      </c>
      <c r="J220" s="149" t="s">
        <v>3566</v>
      </c>
      <c r="K220" s="149" t="s">
        <v>3578</v>
      </c>
      <c r="L220" s="171">
        <f t="shared" si="4"/>
        <v>276000000</v>
      </c>
    </row>
    <row r="221" spans="1:12" ht="26.4" x14ac:dyDescent="0.25">
      <c r="A221" s="21" t="s">
        <v>371</v>
      </c>
      <c r="B221" s="59" t="s">
        <v>8</v>
      </c>
      <c r="C221" s="38" t="s">
        <v>39</v>
      </c>
      <c r="D221" s="59"/>
      <c r="E221" s="59"/>
      <c r="F221" s="39"/>
      <c r="G221" s="39">
        <v>93840000</v>
      </c>
      <c r="H221" s="165">
        <v>300000000</v>
      </c>
      <c r="I221" s="150" t="s">
        <v>3553</v>
      </c>
      <c r="J221" s="149" t="s">
        <v>3566</v>
      </c>
      <c r="K221" s="149" t="s">
        <v>3557</v>
      </c>
      <c r="L221" s="171">
        <f t="shared" si="4"/>
        <v>-206160000</v>
      </c>
    </row>
    <row r="222" spans="1:12" x14ac:dyDescent="0.25">
      <c r="A222" s="21" t="s">
        <v>372</v>
      </c>
      <c r="B222" s="60">
        <v>521211</v>
      </c>
      <c r="C222" s="41" t="s">
        <v>7</v>
      </c>
      <c r="D222" s="71"/>
      <c r="E222" s="60"/>
      <c r="F222" s="42"/>
      <c r="G222" s="42">
        <v>20140000</v>
      </c>
      <c r="H222" s="165">
        <v>93840000</v>
      </c>
      <c r="I222" s="150" t="s">
        <v>3553</v>
      </c>
      <c r="J222" s="149" t="s">
        <v>3566</v>
      </c>
      <c r="K222" s="149" t="s">
        <v>3557</v>
      </c>
      <c r="L222" s="171">
        <f t="shared" si="4"/>
        <v>-73700000</v>
      </c>
    </row>
    <row r="223" spans="1:12" x14ac:dyDescent="0.25">
      <c r="A223" s="21" t="s">
        <v>373</v>
      </c>
      <c r="B223" s="192"/>
      <c r="C223" s="191" t="s">
        <v>3625</v>
      </c>
      <c r="D223" s="192">
        <v>1</v>
      </c>
      <c r="E223" s="192" t="s">
        <v>9</v>
      </c>
      <c r="F223" s="193">
        <v>1000000</v>
      </c>
      <c r="G223" s="45">
        <f t="shared" ref="G223:G228" si="5">ROUNDDOWN(D223*F223,-3)</f>
        <v>1000000</v>
      </c>
      <c r="H223" s="165">
        <v>20140000</v>
      </c>
      <c r="I223" s="150" t="s">
        <v>3553</v>
      </c>
      <c r="J223" s="149" t="s">
        <v>3566</v>
      </c>
      <c r="K223" s="149" t="s">
        <v>3557</v>
      </c>
      <c r="L223" s="171">
        <f t="shared" si="4"/>
        <v>-19140000</v>
      </c>
    </row>
    <row r="224" spans="1:12" x14ac:dyDescent="0.25">
      <c r="A224" s="21" t="s">
        <v>374</v>
      </c>
      <c r="B224" s="61"/>
      <c r="C224" s="44" t="s">
        <v>3626</v>
      </c>
      <c r="D224" s="47">
        <v>1</v>
      </c>
      <c r="E224" s="61" t="s">
        <v>9</v>
      </c>
      <c r="F224" s="45">
        <v>1000000</v>
      </c>
      <c r="G224" s="45">
        <f t="shared" si="5"/>
        <v>1000000</v>
      </c>
      <c r="H224" s="165">
        <v>1000000</v>
      </c>
      <c r="I224" s="150" t="s">
        <v>3553</v>
      </c>
      <c r="J224" s="149" t="s">
        <v>3566</v>
      </c>
      <c r="K224" s="149" t="s">
        <v>3557</v>
      </c>
      <c r="L224" s="171">
        <f t="shared" si="4"/>
        <v>0</v>
      </c>
    </row>
    <row r="225" spans="1:12" x14ac:dyDescent="0.25">
      <c r="A225" s="21" t="s">
        <v>375</v>
      </c>
      <c r="B225" s="61"/>
      <c r="C225" s="44" t="s">
        <v>3627</v>
      </c>
      <c r="D225" s="47">
        <v>1</v>
      </c>
      <c r="E225" s="61" t="s">
        <v>9</v>
      </c>
      <c r="F225" s="45">
        <v>10600000</v>
      </c>
      <c r="G225" s="45">
        <f t="shared" si="5"/>
        <v>10600000</v>
      </c>
      <c r="H225" s="165">
        <v>1000000</v>
      </c>
      <c r="I225" s="150" t="s">
        <v>3553</v>
      </c>
      <c r="J225" s="149" t="s">
        <v>3566</v>
      </c>
      <c r="K225" s="149" t="s">
        <v>3557</v>
      </c>
      <c r="L225" s="171">
        <f t="shared" si="4"/>
        <v>9600000</v>
      </c>
    </row>
    <row r="226" spans="1:12" x14ac:dyDescent="0.25">
      <c r="A226" s="21" t="s">
        <v>376</v>
      </c>
      <c r="B226" s="155"/>
      <c r="C226" s="154" t="s">
        <v>3687</v>
      </c>
      <c r="D226" s="155">
        <v>60</v>
      </c>
      <c r="E226" s="155" t="s">
        <v>10</v>
      </c>
      <c r="F226" s="156">
        <v>69000</v>
      </c>
      <c r="G226" s="45">
        <f t="shared" si="5"/>
        <v>4140000</v>
      </c>
      <c r="H226" s="165">
        <v>10600000</v>
      </c>
      <c r="I226" s="150" t="s">
        <v>3553</v>
      </c>
      <c r="J226" s="149" t="s">
        <v>3566</v>
      </c>
      <c r="K226" s="149" t="s">
        <v>3557</v>
      </c>
      <c r="L226" s="171">
        <f t="shared" si="4"/>
        <v>-6460000</v>
      </c>
    </row>
    <row r="227" spans="1:12" ht="26.4" x14ac:dyDescent="0.25">
      <c r="A227" s="21" t="s">
        <v>377</v>
      </c>
      <c r="B227" s="155"/>
      <c r="C227" s="154" t="s">
        <v>3688</v>
      </c>
      <c r="D227" s="155">
        <v>80</v>
      </c>
      <c r="E227" s="155" t="s">
        <v>10</v>
      </c>
      <c r="F227" s="156">
        <v>20000</v>
      </c>
      <c r="G227" s="45">
        <f t="shared" si="5"/>
        <v>1600000</v>
      </c>
      <c r="H227" s="165">
        <v>4140000</v>
      </c>
      <c r="I227" s="150" t="s">
        <v>3553</v>
      </c>
      <c r="J227" s="149" t="s">
        <v>3566</v>
      </c>
      <c r="K227" s="149" t="s">
        <v>3557</v>
      </c>
      <c r="L227" s="171">
        <f t="shared" si="4"/>
        <v>-2540000</v>
      </c>
    </row>
    <row r="228" spans="1:12" ht="26.4" x14ac:dyDescent="0.25">
      <c r="A228" s="21" t="s">
        <v>378</v>
      </c>
      <c r="B228" s="61"/>
      <c r="C228" s="44" t="s">
        <v>3689</v>
      </c>
      <c r="D228" s="47">
        <v>40</v>
      </c>
      <c r="E228" s="61" t="s">
        <v>10</v>
      </c>
      <c r="F228" s="45">
        <v>45000</v>
      </c>
      <c r="G228" s="45">
        <f t="shared" si="5"/>
        <v>1800000</v>
      </c>
      <c r="H228" s="165">
        <v>1600000</v>
      </c>
      <c r="I228" s="150" t="s">
        <v>3553</v>
      </c>
      <c r="J228" s="149" t="s">
        <v>3566</v>
      </c>
      <c r="K228" s="149" t="s">
        <v>3557</v>
      </c>
      <c r="L228" s="171">
        <f t="shared" si="4"/>
        <v>200000</v>
      </c>
    </row>
    <row r="229" spans="1:12" ht="26.4" x14ac:dyDescent="0.25">
      <c r="A229" s="21" t="s">
        <v>379</v>
      </c>
      <c r="B229" s="60">
        <v>521241</v>
      </c>
      <c r="C229" s="41" t="s">
        <v>642</v>
      </c>
      <c r="D229" s="71"/>
      <c r="E229" s="60"/>
      <c r="F229" s="42"/>
      <c r="G229" s="42">
        <v>19200000</v>
      </c>
      <c r="H229" s="165">
        <v>1800000</v>
      </c>
      <c r="I229" s="150" t="s">
        <v>3553</v>
      </c>
      <c r="J229" s="149" t="s">
        <v>3566</v>
      </c>
      <c r="K229" s="149" t="s">
        <v>3557</v>
      </c>
      <c r="L229" s="171">
        <f t="shared" si="4"/>
        <v>17400000</v>
      </c>
    </row>
    <row r="230" spans="1:12" ht="26.4" x14ac:dyDescent="0.25">
      <c r="A230" s="21" t="s">
        <v>380</v>
      </c>
      <c r="B230" s="192"/>
      <c r="C230" s="191" t="s">
        <v>3690</v>
      </c>
      <c r="D230" s="197">
        <v>96</v>
      </c>
      <c r="E230" s="192" t="s">
        <v>21</v>
      </c>
      <c r="F230" s="193">
        <v>200000</v>
      </c>
      <c r="G230" s="45">
        <f>ROUNDDOWN(D230*F230,-3)</f>
        <v>19200000</v>
      </c>
      <c r="H230" s="165">
        <v>19200000</v>
      </c>
      <c r="I230" s="150" t="s">
        <v>3553</v>
      </c>
      <c r="J230" s="149" t="s">
        <v>3566</v>
      </c>
      <c r="K230" s="149" t="s">
        <v>3557</v>
      </c>
      <c r="L230" s="171">
        <f t="shared" si="4"/>
        <v>0</v>
      </c>
    </row>
    <row r="231" spans="1:12" x14ac:dyDescent="0.25">
      <c r="A231" s="21" t="s">
        <v>381</v>
      </c>
      <c r="B231" s="60">
        <v>522192</v>
      </c>
      <c r="C231" s="41" t="s">
        <v>24</v>
      </c>
      <c r="D231" s="71"/>
      <c r="E231" s="60"/>
      <c r="F231" s="42"/>
      <c r="G231" s="42">
        <v>4500000</v>
      </c>
      <c r="H231" s="165">
        <v>19200000</v>
      </c>
      <c r="I231" s="150" t="s">
        <v>3553</v>
      </c>
      <c r="J231" s="149" t="s">
        <v>3566</v>
      </c>
      <c r="K231" s="149" t="s">
        <v>3557</v>
      </c>
      <c r="L231" s="171">
        <f t="shared" si="4"/>
        <v>-14700000</v>
      </c>
    </row>
    <row r="232" spans="1:12" x14ac:dyDescent="0.25">
      <c r="A232" s="21" t="s">
        <v>382</v>
      </c>
      <c r="B232" s="192"/>
      <c r="C232" s="191" t="s">
        <v>3691</v>
      </c>
      <c r="D232" s="197">
        <v>18</v>
      </c>
      <c r="E232" s="192" t="s">
        <v>10</v>
      </c>
      <c r="F232" s="193">
        <v>250000</v>
      </c>
      <c r="G232" s="45">
        <f>ROUNDDOWN(D232*F232,-3)</f>
        <v>4500000</v>
      </c>
      <c r="H232" s="165">
        <v>4500000</v>
      </c>
      <c r="I232" s="150" t="s">
        <v>3553</v>
      </c>
      <c r="J232" s="149" t="s">
        <v>3566</v>
      </c>
      <c r="K232" s="149" t="s">
        <v>3557</v>
      </c>
      <c r="L232" s="171">
        <f t="shared" si="4"/>
        <v>0</v>
      </c>
    </row>
    <row r="233" spans="1:12" x14ac:dyDescent="0.25">
      <c r="A233" s="21" t="s">
        <v>383</v>
      </c>
      <c r="B233" s="60">
        <v>524111</v>
      </c>
      <c r="C233" s="41" t="s">
        <v>19</v>
      </c>
      <c r="D233" s="71"/>
      <c r="E233" s="60"/>
      <c r="F233" s="42"/>
      <c r="G233" s="42">
        <v>36000000</v>
      </c>
      <c r="H233" s="165">
        <v>4500000</v>
      </c>
      <c r="I233" s="150" t="s">
        <v>3553</v>
      </c>
      <c r="J233" s="149" t="s">
        <v>3566</v>
      </c>
      <c r="K233" s="149" t="s">
        <v>3557</v>
      </c>
      <c r="L233" s="171">
        <f t="shared" si="4"/>
        <v>31500000</v>
      </c>
    </row>
    <row r="234" spans="1:12" x14ac:dyDescent="0.25">
      <c r="A234" s="21" t="s">
        <v>384</v>
      </c>
      <c r="B234" s="192"/>
      <c r="C234" s="191" t="s">
        <v>3692</v>
      </c>
      <c r="D234" s="197">
        <v>8</v>
      </c>
      <c r="E234" s="192" t="s">
        <v>10</v>
      </c>
      <c r="F234" s="193">
        <v>1500000</v>
      </c>
      <c r="G234" s="45">
        <f>ROUNDDOWN(D234*F234,-3)</f>
        <v>12000000</v>
      </c>
      <c r="H234" s="165">
        <v>36000000</v>
      </c>
      <c r="I234" s="150" t="s">
        <v>3553</v>
      </c>
      <c r="J234" s="149" t="s">
        <v>3566</v>
      </c>
      <c r="K234" s="149" t="s">
        <v>3557</v>
      </c>
      <c r="L234" s="171">
        <f t="shared" si="4"/>
        <v>-24000000</v>
      </c>
    </row>
    <row r="235" spans="1:12" ht="26.4" x14ac:dyDescent="0.25">
      <c r="A235" s="21" t="s">
        <v>747</v>
      </c>
      <c r="B235" s="61"/>
      <c r="C235" s="44" t="s">
        <v>3693</v>
      </c>
      <c r="D235" s="47">
        <v>8</v>
      </c>
      <c r="E235" s="61" t="s">
        <v>10</v>
      </c>
      <c r="F235" s="45">
        <v>3000000</v>
      </c>
      <c r="G235" s="45">
        <f>ROUNDDOWN(D235*F235,-3)</f>
        <v>24000000</v>
      </c>
      <c r="H235" s="165">
        <v>12000000</v>
      </c>
      <c r="I235" s="150" t="s">
        <v>3553</v>
      </c>
      <c r="J235" s="149" t="s">
        <v>3566</v>
      </c>
      <c r="K235" s="149" t="s">
        <v>3557</v>
      </c>
      <c r="L235" s="171">
        <f t="shared" si="4"/>
        <v>12000000</v>
      </c>
    </row>
    <row r="236" spans="1:12" x14ac:dyDescent="0.25">
      <c r="A236" s="21" t="s">
        <v>385</v>
      </c>
      <c r="B236" s="60">
        <v>524119</v>
      </c>
      <c r="C236" s="41" t="s">
        <v>15</v>
      </c>
      <c r="D236" s="71"/>
      <c r="E236" s="60"/>
      <c r="F236" s="42"/>
      <c r="G236" s="42">
        <v>14000000</v>
      </c>
      <c r="H236" s="165">
        <v>24000000</v>
      </c>
      <c r="I236" s="150" t="s">
        <v>3553</v>
      </c>
      <c r="J236" s="149" t="s">
        <v>3566</v>
      </c>
      <c r="K236" s="149" t="s">
        <v>3557</v>
      </c>
      <c r="L236" s="171">
        <f t="shared" si="4"/>
        <v>-10000000</v>
      </c>
    </row>
    <row r="237" spans="1:12" x14ac:dyDescent="0.25">
      <c r="A237" s="21" t="s">
        <v>386</v>
      </c>
      <c r="B237" s="192"/>
      <c r="C237" s="191" t="s">
        <v>3694</v>
      </c>
      <c r="D237" s="192">
        <v>40</v>
      </c>
      <c r="E237" s="192" t="s">
        <v>10</v>
      </c>
      <c r="F237" s="193">
        <v>100000</v>
      </c>
      <c r="G237" s="45">
        <f>ROUNDDOWN(D237*F237,-3)</f>
        <v>4000000</v>
      </c>
      <c r="H237" s="165">
        <v>14000000</v>
      </c>
      <c r="I237" s="150" t="s">
        <v>3553</v>
      </c>
      <c r="J237" s="149" t="s">
        <v>3566</v>
      </c>
      <c r="K237" s="149" t="s">
        <v>3557</v>
      </c>
      <c r="L237" s="171">
        <f t="shared" si="4"/>
        <v>-10000000</v>
      </c>
    </row>
    <row r="238" spans="1:12" x14ac:dyDescent="0.25">
      <c r="A238" s="21" t="s">
        <v>387</v>
      </c>
      <c r="B238" s="61"/>
      <c r="C238" s="44" t="s">
        <v>3695</v>
      </c>
      <c r="D238" s="47">
        <v>40</v>
      </c>
      <c r="E238" s="61" t="s">
        <v>10</v>
      </c>
      <c r="F238" s="45">
        <v>250000</v>
      </c>
      <c r="G238" s="45">
        <f>ROUNDDOWN(D238*F238,-3)</f>
        <v>10000000</v>
      </c>
      <c r="H238" s="165">
        <v>4000000</v>
      </c>
      <c r="I238" s="150" t="s">
        <v>3553</v>
      </c>
      <c r="J238" s="149" t="s">
        <v>3566</v>
      </c>
      <c r="K238" s="149" t="s">
        <v>3557</v>
      </c>
      <c r="L238" s="171">
        <f t="shared" si="4"/>
        <v>6000000</v>
      </c>
    </row>
    <row r="239" spans="1:12" x14ac:dyDescent="0.25">
      <c r="A239" s="21" t="s">
        <v>388</v>
      </c>
      <c r="B239" s="59" t="s">
        <v>511</v>
      </c>
      <c r="C239" s="38" t="s">
        <v>40</v>
      </c>
      <c r="D239" s="59"/>
      <c r="E239" s="59"/>
      <c r="F239" s="39"/>
      <c r="G239" s="39">
        <v>103940000</v>
      </c>
      <c r="H239" s="165">
        <v>10000000</v>
      </c>
      <c r="I239" s="150" t="s">
        <v>3553</v>
      </c>
      <c r="J239" s="149" t="s">
        <v>3566</v>
      </c>
      <c r="K239" s="149" t="s">
        <v>3557</v>
      </c>
      <c r="L239" s="171">
        <f t="shared" si="4"/>
        <v>93940000</v>
      </c>
    </row>
    <row r="240" spans="1:12" x14ac:dyDescent="0.25">
      <c r="A240" s="21" t="s">
        <v>389</v>
      </c>
      <c r="B240" s="60">
        <v>521211</v>
      </c>
      <c r="C240" s="41" t="s">
        <v>7</v>
      </c>
      <c r="D240" s="60"/>
      <c r="E240" s="60"/>
      <c r="F240" s="42"/>
      <c r="G240" s="42">
        <v>49940000</v>
      </c>
      <c r="H240" s="165">
        <v>103940000</v>
      </c>
      <c r="I240" s="150" t="s">
        <v>3553</v>
      </c>
      <c r="J240" s="149" t="s">
        <v>3566</v>
      </c>
      <c r="K240" s="149" t="s">
        <v>3557</v>
      </c>
      <c r="L240" s="171">
        <f t="shared" si="4"/>
        <v>-54000000</v>
      </c>
    </row>
    <row r="241" spans="1:12" x14ac:dyDescent="0.25">
      <c r="A241" s="21" t="s">
        <v>390</v>
      </c>
      <c r="B241" s="192"/>
      <c r="C241" s="191" t="s">
        <v>3625</v>
      </c>
      <c r="D241" s="197">
        <v>1</v>
      </c>
      <c r="E241" s="192" t="s">
        <v>9</v>
      </c>
      <c r="F241" s="193">
        <v>1000000</v>
      </c>
      <c r="G241" s="45">
        <f t="shared" ref="G241:G247" si="6">ROUNDDOWN(D241*F241,-3)</f>
        <v>1000000</v>
      </c>
      <c r="H241" s="165">
        <v>49940000</v>
      </c>
      <c r="I241" s="150" t="s">
        <v>3553</v>
      </c>
      <c r="J241" s="149" t="s">
        <v>3566</v>
      </c>
      <c r="K241" s="149" t="s">
        <v>3557</v>
      </c>
      <c r="L241" s="171">
        <f t="shared" si="4"/>
        <v>-48940000</v>
      </c>
    </row>
    <row r="242" spans="1:12" x14ac:dyDescent="0.25">
      <c r="A242" s="21" t="s">
        <v>391</v>
      </c>
      <c r="B242" s="61"/>
      <c r="C242" s="44" t="s">
        <v>3626</v>
      </c>
      <c r="D242" s="47">
        <v>1</v>
      </c>
      <c r="E242" s="61" t="s">
        <v>9</v>
      </c>
      <c r="F242" s="45">
        <v>1000000</v>
      </c>
      <c r="G242" s="45">
        <f t="shared" si="6"/>
        <v>1000000</v>
      </c>
      <c r="H242" s="165">
        <v>1000000</v>
      </c>
      <c r="I242" s="150" t="s">
        <v>3553</v>
      </c>
      <c r="J242" s="149" t="s">
        <v>3566</v>
      </c>
      <c r="K242" s="149" t="s">
        <v>3557</v>
      </c>
      <c r="L242" s="171">
        <f t="shared" si="4"/>
        <v>0</v>
      </c>
    </row>
    <row r="243" spans="1:12" x14ac:dyDescent="0.25">
      <c r="A243" s="21" t="s">
        <v>392</v>
      </c>
      <c r="B243" s="155"/>
      <c r="C243" s="154" t="s">
        <v>3696</v>
      </c>
      <c r="D243" s="155">
        <v>1</v>
      </c>
      <c r="E243" s="155" t="s">
        <v>9</v>
      </c>
      <c r="F243" s="156">
        <v>1000000</v>
      </c>
      <c r="G243" s="45">
        <f t="shared" si="6"/>
        <v>1000000</v>
      </c>
      <c r="H243" s="165">
        <v>1000000</v>
      </c>
      <c r="I243" s="150" t="s">
        <v>3553</v>
      </c>
      <c r="J243" s="149" t="s">
        <v>3566</v>
      </c>
      <c r="K243" s="149" t="s">
        <v>3557</v>
      </c>
      <c r="L243" s="171">
        <f t="shared" si="4"/>
        <v>0</v>
      </c>
    </row>
    <row r="244" spans="1:12" x14ac:dyDescent="0.25">
      <c r="A244" s="21" t="s">
        <v>393</v>
      </c>
      <c r="B244" s="61"/>
      <c r="C244" s="44" t="s">
        <v>3697</v>
      </c>
      <c r="D244" s="47">
        <v>500</v>
      </c>
      <c r="E244" s="61" t="s">
        <v>117</v>
      </c>
      <c r="F244" s="45">
        <v>75000</v>
      </c>
      <c r="G244" s="45">
        <f t="shared" si="6"/>
        <v>37500000</v>
      </c>
      <c r="H244" s="165">
        <v>1000000</v>
      </c>
      <c r="I244" s="150" t="s">
        <v>3553</v>
      </c>
      <c r="J244" s="149" t="s">
        <v>3566</v>
      </c>
      <c r="K244" s="149" t="s">
        <v>3557</v>
      </c>
      <c r="L244" s="171">
        <f t="shared" si="4"/>
        <v>36500000</v>
      </c>
    </row>
    <row r="245" spans="1:12" x14ac:dyDescent="0.25">
      <c r="A245" s="21" t="s">
        <v>394</v>
      </c>
      <c r="B245" s="61"/>
      <c r="C245" s="44" t="s">
        <v>3698</v>
      </c>
      <c r="D245" s="47">
        <v>80</v>
      </c>
      <c r="E245" s="61" t="s">
        <v>10</v>
      </c>
      <c r="F245" s="45">
        <v>75000</v>
      </c>
      <c r="G245" s="45">
        <f t="shared" si="6"/>
        <v>6000000</v>
      </c>
      <c r="H245" s="165">
        <v>37500000</v>
      </c>
      <c r="I245" s="150" t="s">
        <v>3553</v>
      </c>
      <c r="J245" s="149" t="s">
        <v>3566</v>
      </c>
      <c r="K245" s="149" t="s">
        <v>3557</v>
      </c>
      <c r="L245" s="171">
        <f t="shared" si="4"/>
        <v>-31500000</v>
      </c>
    </row>
    <row r="246" spans="1:12" ht="26.4" x14ac:dyDescent="0.25">
      <c r="A246" s="21" t="s">
        <v>395</v>
      </c>
      <c r="B246" s="61"/>
      <c r="C246" s="44" t="s">
        <v>3699</v>
      </c>
      <c r="D246" s="47">
        <v>80</v>
      </c>
      <c r="E246" s="61" t="s">
        <v>10</v>
      </c>
      <c r="F246" s="45">
        <v>20000</v>
      </c>
      <c r="G246" s="45">
        <f t="shared" si="6"/>
        <v>1600000</v>
      </c>
      <c r="H246" s="165">
        <v>6000000</v>
      </c>
      <c r="I246" s="150" t="s">
        <v>3553</v>
      </c>
      <c r="J246" s="149" t="s">
        <v>3566</v>
      </c>
      <c r="K246" s="149" t="s">
        <v>3557</v>
      </c>
      <c r="L246" s="171">
        <f t="shared" si="4"/>
        <v>-4400000</v>
      </c>
    </row>
    <row r="247" spans="1:12" ht="26.4" x14ac:dyDescent="0.25">
      <c r="A247" s="21" t="s">
        <v>396</v>
      </c>
      <c r="B247" s="61"/>
      <c r="C247" s="44" t="s">
        <v>3700</v>
      </c>
      <c r="D247" s="47">
        <v>40</v>
      </c>
      <c r="E247" s="61" t="s">
        <v>10</v>
      </c>
      <c r="F247" s="45">
        <v>46000</v>
      </c>
      <c r="G247" s="45">
        <f t="shared" si="6"/>
        <v>1840000</v>
      </c>
      <c r="H247" s="165">
        <v>1600000</v>
      </c>
      <c r="I247" s="150" t="s">
        <v>3553</v>
      </c>
      <c r="J247" s="149" t="s">
        <v>3566</v>
      </c>
      <c r="K247" s="149" t="s">
        <v>3557</v>
      </c>
      <c r="L247" s="171">
        <f t="shared" si="4"/>
        <v>240000</v>
      </c>
    </row>
    <row r="248" spans="1:12" x14ac:dyDescent="0.25">
      <c r="A248" s="21" t="s">
        <v>397</v>
      </c>
      <c r="B248" s="60">
        <v>524111</v>
      </c>
      <c r="C248" s="41" t="s">
        <v>19</v>
      </c>
      <c r="D248" s="71"/>
      <c r="E248" s="60"/>
      <c r="F248" s="42"/>
      <c r="G248" s="42">
        <v>40000000</v>
      </c>
      <c r="H248" s="165">
        <v>1840000</v>
      </c>
      <c r="I248" s="150" t="s">
        <v>3553</v>
      </c>
      <c r="J248" s="149" t="s">
        <v>3566</v>
      </c>
      <c r="K248" s="149" t="s">
        <v>3557</v>
      </c>
      <c r="L248" s="171">
        <f t="shared" si="4"/>
        <v>38160000</v>
      </c>
    </row>
    <row r="249" spans="1:12" ht="26.4" x14ac:dyDescent="0.25">
      <c r="A249" s="21" t="s">
        <v>398</v>
      </c>
      <c r="B249" s="192"/>
      <c r="C249" s="191" t="s">
        <v>3701</v>
      </c>
      <c r="D249" s="197">
        <v>10</v>
      </c>
      <c r="E249" s="192" t="s">
        <v>10</v>
      </c>
      <c r="F249" s="193">
        <v>4000000</v>
      </c>
      <c r="G249" s="45">
        <f>ROUNDDOWN(D249*F249,-3)</f>
        <v>40000000</v>
      </c>
      <c r="H249" s="165">
        <v>40000000</v>
      </c>
      <c r="I249" s="150" t="s">
        <v>3553</v>
      </c>
      <c r="J249" s="149" t="s">
        <v>3566</v>
      </c>
      <c r="K249" s="149" t="s">
        <v>3557</v>
      </c>
      <c r="L249" s="171">
        <f t="shared" si="4"/>
        <v>0</v>
      </c>
    </row>
    <row r="250" spans="1:12" x14ac:dyDescent="0.25">
      <c r="A250" s="21" t="s">
        <v>399</v>
      </c>
      <c r="B250" s="60">
        <v>524119</v>
      </c>
      <c r="C250" s="41" t="s">
        <v>15</v>
      </c>
      <c r="D250" s="71"/>
      <c r="E250" s="60"/>
      <c r="F250" s="42"/>
      <c r="G250" s="42">
        <v>14000000</v>
      </c>
      <c r="H250" s="165">
        <v>40000000</v>
      </c>
      <c r="I250" s="150" t="s">
        <v>3553</v>
      </c>
      <c r="J250" s="149" t="s">
        <v>3566</v>
      </c>
      <c r="K250" s="149" t="s">
        <v>3557</v>
      </c>
      <c r="L250" s="171">
        <f t="shared" si="4"/>
        <v>-26000000</v>
      </c>
    </row>
    <row r="251" spans="1:12" x14ac:dyDescent="0.25">
      <c r="A251" s="21" t="s">
        <v>400</v>
      </c>
      <c r="B251" s="192"/>
      <c r="C251" s="191" t="s">
        <v>3702</v>
      </c>
      <c r="D251" s="197">
        <v>40</v>
      </c>
      <c r="E251" s="192" t="s">
        <v>10</v>
      </c>
      <c r="F251" s="193">
        <v>100000</v>
      </c>
      <c r="G251" s="45">
        <f>ROUNDDOWN(D251*F251,-3)</f>
        <v>4000000</v>
      </c>
      <c r="H251" s="165">
        <v>14000000</v>
      </c>
      <c r="I251" s="150" t="s">
        <v>3553</v>
      </c>
      <c r="J251" s="149" t="s">
        <v>3566</v>
      </c>
      <c r="K251" s="149" t="s">
        <v>3557</v>
      </c>
      <c r="L251" s="171">
        <f t="shared" si="4"/>
        <v>-10000000</v>
      </c>
    </row>
    <row r="252" spans="1:12" x14ac:dyDescent="0.25">
      <c r="A252" s="21" t="s">
        <v>401</v>
      </c>
      <c r="B252" s="61"/>
      <c r="C252" s="44" t="s">
        <v>3703</v>
      </c>
      <c r="D252" s="47">
        <v>40</v>
      </c>
      <c r="E252" s="61" t="s">
        <v>10</v>
      </c>
      <c r="F252" s="45">
        <v>250000</v>
      </c>
      <c r="G252" s="45">
        <f>ROUNDDOWN(D252*F252,-3)</f>
        <v>10000000</v>
      </c>
      <c r="H252" s="165">
        <v>4000000</v>
      </c>
      <c r="I252" s="150" t="s">
        <v>3553</v>
      </c>
      <c r="J252" s="149" t="s">
        <v>3566</v>
      </c>
      <c r="K252" s="149" t="s">
        <v>3557</v>
      </c>
      <c r="L252" s="171">
        <f t="shared" si="4"/>
        <v>6000000</v>
      </c>
    </row>
    <row r="253" spans="1:12" ht="26.4" x14ac:dyDescent="0.25">
      <c r="A253" s="21" t="s">
        <v>402</v>
      </c>
      <c r="B253" s="59" t="s">
        <v>512</v>
      </c>
      <c r="C253" s="38" t="s">
        <v>41</v>
      </c>
      <c r="D253" s="70"/>
      <c r="E253" s="59"/>
      <c r="F253" s="39"/>
      <c r="G253" s="39">
        <v>52700000</v>
      </c>
      <c r="H253" s="165">
        <v>10000000</v>
      </c>
      <c r="I253" s="150" t="s">
        <v>3553</v>
      </c>
      <c r="J253" s="149" t="s">
        <v>3566</v>
      </c>
      <c r="K253" s="149" t="s">
        <v>3557</v>
      </c>
      <c r="L253" s="171">
        <f t="shared" si="4"/>
        <v>42700000</v>
      </c>
    </row>
    <row r="254" spans="1:12" x14ac:dyDescent="0.25">
      <c r="A254" s="21" t="s">
        <v>403</v>
      </c>
      <c r="B254" s="60">
        <v>521211</v>
      </c>
      <c r="C254" s="41" t="s">
        <v>7</v>
      </c>
      <c r="D254" s="71"/>
      <c r="E254" s="60"/>
      <c r="F254" s="42"/>
      <c r="G254" s="42">
        <v>32700000</v>
      </c>
      <c r="H254" s="165">
        <v>52700000</v>
      </c>
      <c r="I254" s="150" t="s">
        <v>3553</v>
      </c>
      <c r="J254" s="149" t="s">
        <v>3566</v>
      </c>
      <c r="K254" s="149" t="s">
        <v>3557</v>
      </c>
      <c r="L254" s="171">
        <f t="shared" si="4"/>
        <v>-20000000</v>
      </c>
    </row>
    <row r="255" spans="1:12" x14ac:dyDescent="0.25">
      <c r="A255" s="21" t="s">
        <v>404</v>
      </c>
      <c r="B255" s="192"/>
      <c r="C255" s="191" t="s">
        <v>3625</v>
      </c>
      <c r="D255" s="197">
        <v>4</v>
      </c>
      <c r="E255" s="192" t="s">
        <v>9</v>
      </c>
      <c r="F255" s="193">
        <v>1000000</v>
      </c>
      <c r="G255" s="45">
        <f>ROUNDDOWN(D255*F255,-3)</f>
        <v>4000000</v>
      </c>
      <c r="H255" s="165">
        <v>32700000</v>
      </c>
      <c r="I255" s="150" t="s">
        <v>3553</v>
      </c>
      <c r="J255" s="149" t="s">
        <v>3566</v>
      </c>
      <c r="K255" s="149" t="s">
        <v>3557</v>
      </c>
      <c r="L255" s="171">
        <f t="shared" si="4"/>
        <v>-28700000</v>
      </c>
    </row>
    <row r="256" spans="1:12" x14ac:dyDescent="0.25">
      <c r="A256" s="21" t="s">
        <v>405</v>
      </c>
      <c r="B256" s="61"/>
      <c r="C256" s="44" t="s">
        <v>3626</v>
      </c>
      <c r="D256" s="47">
        <v>4</v>
      </c>
      <c r="E256" s="61" t="s">
        <v>9</v>
      </c>
      <c r="F256" s="45">
        <v>1000000</v>
      </c>
      <c r="G256" s="45">
        <f>ROUNDDOWN(D256*F256,-3)</f>
        <v>4000000</v>
      </c>
      <c r="H256" s="165">
        <v>4000000</v>
      </c>
      <c r="I256" s="150" t="s">
        <v>3553</v>
      </c>
      <c r="J256" s="149" t="s">
        <v>3566</v>
      </c>
      <c r="K256" s="149" t="s">
        <v>3557</v>
      </c>
      <c r="L256" s="171">
        <f t="shared" si="4"/>
        <v>0</v>
      </c>
    </row>
    <row r="257" spans="1:12" x14ac:dyDescent="0.25">
      <c r="A257" s="21" t="s">
        <v>406</v>
      </c>
      <c r="B257" s="155"/>
      <c r="C257" s="154" t="s">
        <v>3627</v>
      </c>
      <c r="D257" s="155">
        <v>4</v>
      </c>
      <c r="E257" s="155" t="s">
        <v>9</v>
      </c>
      <c r="F257" s="156">
        <v>1000000</v>
      </c>
      <c r="G257" s="45">
        <f>ROUNDDOWN(D257*F257,-3)</f>
        <v>4000000</v>
      </c>
      <c r="H257" s="165">
        <v>4000000</v>
      </c>
      <c r="I257" s="150" t="s">
        <v>3553</v>
      </c>
      <c r="J257" s="149" t="s">
        <v>3566</v>
      </c>
      <c r="K257" s="149" t="s">
        <v>3557</v>
      </c>
      <c r="L257" s="171">
        <f t="shared" si="4"/>
        <v>0</v>
      </c>
    </row>
    <row r="258" spans="1:12" x14ac:dyDescent="0.25">
      <c r="A258" s="21" t="s">
        <v>407</v>
      </c>
      <c r="B258" s="61"/>
      <c r="C258" s="44" t="s">
        <v>3704</v>
      </c>
      <c r="D258" s="47">
        <v>300</v>
      </c>
      <c r="E258" s="61" t="s">
        <v>10</v>
      </c>
      <c r="F258" s="45">
        <v>22000</v>
      </c>
      <c r="G258" s="45">
        <f>ROUNDDOWN(D258*F258,-3)</f>
        <v>6600000</v>
      </c>
      <c r="H258" s="165">
        <v>4000000</v>
      </c>
      <c r="I258" s="150" t="s">
        <v>3553</v>
      </c>
      <c r="J258" s="149" t="s">
        <v>3566</v>
      </c>
      <c r="K258" s="149" t="s">
        <v>3557</v>
      </c>
      <c r="L258" s="171">
        <f t="shared" si="4"/>
        <v>2600000</v>
      </c>
    </row>
    <row r="259" spans="1:12" x14ac:dyDescent="0.25">
      <c r="A259" s="7" t="s">
        <v>408</v>
      </c>
      <c r="B259" s="155"/>
      <c r="C259" s="154" t="s">
        <v>3705</v>
      </c>
      <c r="D259" s="160">
        <v>300</v>
      </c>
      <c r="E259" s="155" t="s">
        <v>10</v>
      </c>
      <c r="F259" s="156">
        <v>47000</v>
      </c>
      <c r="G259" s="45">
        <f>ROUNDDOWN(D259*F259,-3)</f>
        <v>14100000</v>
      </c>
      <c r="H259" s="165">
        <v>6600000</v>
      </c>
      <c r="I259" s="150" t="s">
        <v>3553</v>
      </c>
      <c r="J259" s="149" t="s">
        <v>3566</v>
      </c>
      <c r="K259" s="149" t="s">
        <v>3557</v>
      </c>
      <c r="L259" s="171">
        <f t="shared" si="4"/>
        <v>7500000</v>
      </c>
    </row>
    <row r="260" spans="1:12" x14ac:dyDescent="0.25">
      <c r="A260" s="7" t="s">
        <v>409</v>
      </c>
      <c r="B260" s="60">
        <v>522151</v>
      </c>
      <c r="C260" s="41" t="s">
        <v>11</v>
      </c>
      <c r="D260" s="60"/>
      <c r="E260" s="60"/>
      <c r="F260" s="42"/>
      <c r="G260" s="42">
        <v>5000000</v>
      </c>
      <c r="H260" s="165">
        <v>14100000</v>
      </c>
      <c r="I260" s="150" t="s">
        <v>3553</v>
      </c>
      <c r="J260" s="149" t="s">
        <v>3566</v>
      </c>
      <c r="K260" s="149" t="s">
        <v>3557</v>
      </c>
      <c r="L260" s="171">
        <f t="shared" si="4"/>
        <v>-9100000</v>
      </c>
    </row>
    <row r="261" spans="1:12" ht="26.4" x14ac:dyDescent="0.25">
      <c r="A261" s="21" t="s">
        <v>410</v>
      </c>
      <c r="B261" s="192"/>
      <c r="C261" s="191" t="s">
        <v>3706</v>
      </c>
      <c r="D261" s="192">
        <v>10</v>
      </c>
      <c r="E261" s="192" t="s">
        <v>12</v>
      </c>
      <c r="F261" s="193">
        <v>500000</v>
      </c>
      <c r="G261" s="45">
        <f>ROUNDDOWN(D261*F261,-3)</f>
        <v>5000000</v>
      </c>
      <c r="H261" s="165">
        <v>5000000</v>
      </c>
      <c r="I261" s="150" t="s">
        <v>3553</v>
      </c>
      <c r="J261" s="149" t="s">
        <v>3566</v>
      </c>
      <c r="K261" s="149" t="s">
        <v>3557</v>
      </c>
      <c r="L261" s="171">
        <f t="shared" si="4"/>
        <v>0</v>
      </c>
    </row>
    <row r="262" spans="1:12" x14ac:dyDescent="0.25">
      <c r="A262" s="21" t="s">
        <v>762</v>
      </c>
      <c r="B262" s="60">
        <v>524111</v>
      </c>
      <c r="C262" s="41" t="s">
        <v>19</v>
      </c>
      <c r="D262" s="60"/>
      <c r="E262" s="60"/>
      <c r="F262" s="42"/>
      <c r="G262" s="42">
        <v>15000000</v>
      </c>
      <c r="H262" s="165">
        <v>5000000</v>
      </c>
      <c r="I262" s="150" t="s">
        <v>3553</v>
      </c>
      <c r="J262" s="149" t="s">
        <v>3566</v>
      </c>
      <c r="K262" s="149" t="s">
        <v>3557</v>
      </c>
      <c r="L262" s="171">
        <f t="shared" si="4"/>
        <v>10000000</v>
      </c>
    </row>
    <row r="263" spans="1:12" x14ac:dyDescent="0.25">
      <c r="A263" s="21" t="s">
        <v>763</v>
      </c>
      <c r="B263" s="192"/>
      <c r="C263" s="191" t="s">
        <v>3707</v>
      </c>
      <c r="D263" s="192">
        <v>5</v>
      </c>
      <c r="E263" s="192" t="s">
        <v>10</v>
      </c>
      <c r="F263" s="193">
        <v>3000000</v>
      </c>
      <c r="G263" s="45">
        <f>ROUNDDOWN(D263*F263,-3)</f>
        <v>15000000</v>
      </c>
      <c r="H263" s="165">
        <v>15000000</v>
      </c>
      <c r="I263" s="150" t="s">
        <v>3553</v>
      </c>
      <c r="J263" s="149" t="s">
        <v>3566</v>
      </c>
      <c r="K263" s="149" t="s">
        <v>3557</v>
      </c>
      <c r="L263" s="171">
        <f t="shared" si="4"/>
        <v>0</v>
      </c>
    </row>
    <row r="264" spans="1:12" x14ac:dyDescent="0.25">
      <c r="A264" s="21" t="s">
        <v>411</v>
      </c>
      <c r="B264" s="59" t="s">
        <v>514</v>
      </c>
      <c r="C264" s="38" t="s">
        <v>765</v>
      </c>
      <c r="D264" s="70"/>
      <c r="E264" s="59"/>
      <c r="F264" s="39"/>
      <c r="G264" s="39">
        <v>49520000</v>
      </c>
      <c r="H264" s="165">
        <v>15000000</v>
      </c>
      <c r="I264" s="150" t="s">
        <v>3553</v>
      </c>
      <c r="J264" s="149" t="s">
        <v>3566</v>
      </c>
      <c r="K264" s="149" t="s">
        <v>3557</v>
      </c>
      <c r="L264" s="171">
        <f t="shared" si="4"/>
        <v>34520000</v>
      </c>
    </row>
    <row r="265" spans="1:12" x14ac:dyDescent="0.25">
      <c r="A265" s="21" t="s">
        <v>412</v>
      </c>
      <c r="B265" s="60">
        <v>521211</v>
      </c>
      <c r="C265" s="41" t="s">
        <v>7</v>
      </c>
      <c r="D265" s="71"/>
      <c r="E265" s="60"/>
      <c r="F265" s="42"/>
      <c r="G265" s="42">
        <v>17520000</v>
      </c>
      <c r="H265" s="165">
        <v>49520000</v>
      </c>
      <c r="I265" s="150" t="s">
        <v>3553</v>
      </c>
      <c r="J265" s="149" t="s">
        <v>3566</v>
      </c>
      <c r="K265" s="149" t="s">
        <v>3557</v>
      </c>
      <c r="L265" s="171">
        <f t="shared" si="4"/>
        <v>-32000000</v>
      </c>
    </row>
    <row r="266" spans="1:12" x14ac:dyDescent="0.25">
      <c r="A266" s="21" t="s">
        <v>413</v>
      </c>
      <c r="B266" s="192"/>
      <c r="C266" s="191" t="s">
        <v>3625</v>
      </c>
      <c r="D266" s="192">
        <v>4</v>
      </c>
      <c r="E266" s="192" t="s">
        <v>9</v>
      </c>
      <c r="F266" s="193">
        <v>1000000</v>
      </c>
      <c r="G266" s="45">
        <f>ROUNDDOWN(D266*F266,-3)</f>
        <v>4000000</v>
      </c>
      <c r="H266" s="165">
        <v>17520000</v>
      </c>
      <c r="I266" s="150" t="s">
        <v>3553</v>
      </c>
      <c r="J266" s="149" t="s">
        <v>3566</v>
      </c>
      <c r="K266" s="149" t="s">
        <v>3557</v>
      </c>
      <c r="L266" s="171">
        <f t="shared" si="4"/>
        <v>-13520000</v>
      </c>
    </row>
    <row r="267" spans="1:12" x14ac:dyDescent="0.25">
      <c r="A267" s="21" t="s">
        <v>414</v>
      </c>
      <c r="B267" s="61"/>
      <c r="C267" s="44" t="s">
        <v>3626</v>
      </c>
      <c r="D267" s="47">
        <v>4</v>
      </c>
      <c r="E267" s="61" t="s">
        <v>9</v>
      </c>
      <c r="F267" s="45">
        <v>1000000</v>
      </c>
      <c r="G267" s="45">
        <f>ROUNDDOWN(D267*F267,-3)</f>
        <v>4000000</v>
      </c>
      <c r="H267" s="165">
        <v>4000000</v>
      </c>
      <c r="I267" s="150" t="s">
        <v>3553</v>
      </c>
      <c r="J267" s="149" t="s">
        <v>3566</v>
      </c>
      <c r="K267" s="149" t="s">
        <v>3557</v>
      </c>
      <c r="L267" s="171">
        <f t="shared" si="4"/>
        <v>0</v>
      </c>
    </row>
    <row r="268" spans="1:12" x14ac:dyDescent="0.25">
      <c r="A268" s="21" t="s">
        <v>415</v>
      </c>
      <c r="B268" s="61"/>
      <c r="C268" s="44" t="s">
        <v>3708</v>
      </c>
      <c r="D268" s="47">
        <v>4</v>
      </c>
      <c r="E268" s="61" t="s">
        <v>9</v>
      </c>
      <c r="F268" s="45">
        <v>1000000</v>
      </c>
      <c r="G268" s="45">
        <f>ROUNDDOWN(D268*F268,-3)</f>
        <v>4000000</v>
      </c>
      <c r="H268" s="165">
        <v>4000000</v>
      </c>
      <c r="I268" s="150" t="s">
        <v>3553</v>
      </c>
      <c r="J268" s="149" t="s">
        <v>3566</v>
      </c>
      <c r="K268" s="149" t="s">
        <v>3557</v>
      </c>
      <c r="L268" s="171">
        <f t="shared" si="4"/>
        <v>0</v>
      </c>
    </row>
    <row r="269" spans="1:12" x14ac:dyDescent="0.25">
      <c r="A269" s="21" t="s">
        <v>416</v>
      </c>
      <c r="B269" s="155"/>
      <c r="C269" s="154" t="s">
        <v>3709</v>
      </c>
      <c r="D269" s="155">
        <v>80</v>
      </c>
      <c r="E269" s="155" t="s">
        <v>10</v>
      </c>
      <c r="F269" s="156">
        <v>22000</v>
      </c>
      <c r="G269" s="45">
        <f>ROUNDDOWN(D269*F269,-3)</f>
        <v>1760000</v>
      </c>
      <c r="H269" s="165">
        <v>4000000</v>
      </c>
      <c r="I269" s="150" t="s">
        <v>3553</v>
      </c>
      <c r="J269" s="149" t="s">
        <v>3566</v>
      </c>
      <c r="K269" s="149" t="s">
        <v>3557</v>
      </c>
      <c r="L269" s="171">
        <f t="shared" si="4"/>
        <v>-2240000</v>
      </c>
    </row>
    <row r="270" spans="1:12" x14ac:dyDescent="0.25">
      <c r="A270" s="21" t="s">
        <v>768</v>
      </c>
      <c r="B270" s="61"/>
      <c r="C270" s="44" t="s">
        <v>3710</v>
      </c>
      <c r="D270" s="47">
        <v>80</v>
      </c>
      <c r="E270" s="61" t="s">
        <v>10</v>
      </c>
      <c r="F270" s="45">
        <v>47000</v>
      </c>
      <c r="G270" s="45">
        <f>ROUNDDOWN(D270*F270,-3)</f>
        <v>3760000</v>
      </c>
      <c r="H270" s="165">
        <v>1760000</v>
      </c>
      <c r="I270" s="150" t="s">
        <v>3553</v>
      </c>
      <c r="J270" s="149" t="s">
        <v>3566</v>
      </c>
      <c r="K270" s="149" t="s">
        <v>3557</v>
      </c>
      <c r="L270" s="171">
        <f t="shared" ref="L270:L333" si="7">G270-H270</f>
        <v>2000000</v>
      </c>
    </row>
    <row r="271" spans="1:12" x14ac:dyDescent="0.25">
      <c r="A271" s="21" t="s">
        <v>417</v>
      </c>
      <c r="B271" s="60">
        <v>524111</v>
      </c>
      <c r="C271" s="41" t="s">
        <v>19</v>
      </c>
      <c r="D271" s="60"/>
      <c r="E271" s="60"/>
      <c r="F271" s="42"/>
      <c r="G271" s="42">
        <v>32000000</v>
      </c>
      <c r="H271" s="165">
        <v>3760000</v>
      </c>
      <c r="I271" s="150" t="s">
        <v>3553</v>
      </c>
      <c r="J271" s="149" t="s">
        <v>3566</v>
      </c>
      <c r="K271" s="149" t="s">
        <v>3557</v>
      </c>
      <c r="L271" s="171">
        <f t="shared" si="7"/>
        <v>28240000</v>
      </c>
    </row>
    <row r="272" spans="1:12" ht="26.4" x14ac:dyDescent="0.25">
      <c r="A272" s="21" t="s">
        <v>418</v>
      </c>
      <c r="B272" s="192"/>
      <c r="C272" s="191" t="s">
        <v>3711</v>
      </c>
      <c r="D272" s="192">
        <v>8</v>
      </c>
      <c r="E272" s="192" t="s">
        <v>10</v>
      </c>
      <c r="F272" s="193">
        <v>4000000</v>
      </c>
      <c r="G272" s="45">
        <f>ROUNDDOWN(D272*F272,-3)</f>
        <v>32000000</v>
      </c>
      <c r="H272" s="165">
        <v>32000000</v>
      </c>
      <c r="I272" s="150" t="s">
        <v>3553</v>
      </c>
      <c r="J272" s="149" t="s">
        <v>3566</v>
      </c>
      <c r="K272" s="149" t="s">
        <v>3557</v>
      </c>
      <c r="L272" s="171">
        <f t="shared" si="7"/>
        <v>0</v>
      </c>
    </row>
    <row r="273" spans="1:12" x14ac:dyDescent="0.25">
      <c r="A273" s="21" t="s">
        <v>419</v>
      </c>
      <c r="B273" s="55">
        <v>2376</v>
      </c>
      <c r="C273" s="26" t="s">
        <v>47</v>
      </c>
      <c r="D273" s="68"/>
      <c r="E273" s="55"/>
      <c r="F273" s="27"/>
      <c r="G273" s="27">
        <v>1000000000</v>
      </c>
      <c r="H273" s="165">
        <v>32000000</v>
      </c>
      <c r="I273" s="150" t="s">
        <v>3553</v>
      </c>
      <c r="J273" s="149" t="s">
        <v>3566</v>
      </c>
      <c r="K273" s="149" t="s">
        <v>3557</v>
      </c>
      <c r="L273" s="171">
        <f t="shared" si="7"/>
        <v>968000000</v>
      </c>
    </row>
    <row r="274" spans="1:12" x14ac:dyDescent="0.25">
      <c r="A274" s="21" t="s">
        <v>420</v>
      </c>
      <c r="B274" s="135" t="s">
        <v>48</v>
      </c>
      <c r="C274" s="133" t="s">
        <v>615</v>
      </c>
      <c r="D274" s="134">
        <v>4</v>
      </c>
      <c r="E274" s="135" t="s">
        <v>3596</v>
      </c>
      <c r="F274" s="136"/>
      <c r="G274" s="136">
        <v>1000000000</v>
      </c>
      <c r="H274" s="165">
        <v>1000000000</v>
      </c>
      <c r="I274" s="150" t="s">
        <v>557</v>
      </c>
      <c r="J274" s="149"/>
      <c r="K274" s="149"/>
      <c r="L274" s="171">
        <f t="shared" si="7"/>
        <v>0</v>
      </c>
    </row>
    <row r="275" spans="1:12" ht="26.4" x14ac:dyDescent="0.25">
      <c r="A275" s="21" t="s">
        <v>421</v>
      </c>
      <c r="B275" s="138" t="s">
        <v>3712</v>
      </c>
      <c r="C275" s="137" t="s">
        <v>49</v>
      </c>
      <c r="D275" s="138">
        <v>4</v>
      </c>
      <c r="E275" s="138" t="s">
        <v>3596</v>
      </c>
      <c r="F275" s="139"/>
      <c r="G275" s="139">
        <v>1000000000</v>
      </c>
      <c r="H275" s="165">
        <v>1000000000</v>
      </c>
      <c r="I275" s="150" t="s">
        <v>557</v>
      </c>
      <c r="J275" s="149"/>
      <c r="K275" s="149"/>
      <c r="L275" s="171">
        <f t="shared" si="7"/>
        <v>0</v>
      </c>
    </row>
    <row r="276" spans="1:12" x14ac:dyDescent="0.25">
      <c r="A276" s="21" t="s">
        <v>422</v>
      </c>
      <c r="B276" s="58" t="s">
        <v>502</v>
      </c>
      <c r="C276" s="35" t="s">
        <v>50</v>
      </c>
      <c r="D276" s="69">
        <v>0</v>
      </c>
      <c r="E276" s="58"/>
      <c r="F276" s="36"/>
      <c r="G276" s="36">
        <v>124100000</v>
      </c>
      <c r="H276" s="165">
        <v>1000000000</v>
      </c>
      <c r="I276" s="150" t="s">
        <v>557</v>
      </c>
      <c r="J276" s="149"/>
      <c r="K276" s="149"/>
      <c r="L276" s="171">
        <f t="shared" si="7"/>
        <v>-875900000</v>
      </c>
    </row>
    <row r="277" spans="1:12" x14ac:dyDescent="0.25">
      <c r="A277" s="21" t="s">
        <v>423</v>
      </c>
      <c r="B277" s="59" t="s">
        <v>8</v>
      </c>
      <c r="C277" s="38" t="s">
        <v>51</v>
      </c>
      <c r="D277" s="59"/>
      <c r="E277" s="59"/>
      <c r="F277" s="39"/>
      <c r="G277" s="39">
        <v>83135000</v>
      </c>
      <c r="H277" s="165">
        <v>124100000</v>
      </c>
      <c r="I277" s="150" t="s">
        <v>557</v>
      </c>
      <c r="J277" s="149" t="s">
        <v>3557</v>
      </c>
      <c r="K277" s="149" t="s">
        <v>3574</v>
      </c>
      <c r="L277" s="171">
        <f t="shared" si="7"/>
        <v>-40965000</v>
      </c>
    </row>
    <row r="278" spans="1:12" x14ac:dyDescent="0.25">
      <c r="A278" s="21" t="s">
        <v>424</v>
      </c>
      <c r="B278" s="60">
        <v>521211</v>
      </c>
      <c r="C278" s="41" t="s">
        <v>7</v>
      </c>
      <c r="D278" s="71"/>
      <c r="E278" s="60"/>
      <c r="F278" s="42"/>
      <c r="G278" s="42">
        <v>8375000</v>
      </c>
      <c r="H278" s="165">
        <v>83135000</v>
      </c>
      <c r="I278" s="150" t="s">
        <v>557</v>
      </c>
      <c r="J278" s="149" t="s">
        <v>3557</v>
      </c>
      <c r="K278" s="149" t="s">
        <v>3574</v>
      </c>
      <c r="L278" s="171">
        <f t="shared" si="7"/>
        <v>-74760000</v>
      </c>
    </row>
    <row r="279" spans="1:12" x14ac:dyDescent="0.25">
      <c r="A279" s="21" t="s">
        <v>425</v>
      </c>
      <c r="B279" s="192"/>
      <c r="C279" s="191" t="s">
        <v>3713</v>
      </c>
      <c r="D279" s="197">
        <v>65</v>
      </c>
      <c r="E279" s="192" t="s">
        <v>10</v>
      </c>
      <c r="F279" s="193">
        <v>75000</v>
      </c>
      <c r="G279" s="45">
        <f>ROUNDDOWN(D279*F279,-3)</f>
        <v>4875000</v>
      </c>
      <c r="H279" s="165">
        <v>8375000</v>
      </c>
      <c r="I279" s="150" t="s">
        <v>557</v>
      </c>
      <c r="J279" s="149" t="s">
        <v>3557</v>
      </c>
      <c r="K279" s="149" t="s">
        <v>3574</v>
      </c>
      <c r="L279" s="171">
        <f t="shared" si="7"/>
        <v>-3500000</v>
      </c>
    </row>
    <row r="280" spans="1:12" x14ac:dyDescent="0.25">
      <c r="A280" s="21" t="s">
        <v>426</v>
      </c>
      <c r="B280" s="155"/>
      <c r="C280" s="154" t="s">
        <v>3714</v>
      </c>
      <c r="D280" s="155">
        <v>1</v>
      </c>
      <c r="E280" s="155" t="s">
        <v>106</v>
      </c>
      <c r="F280" s="156">
        <v>1000000</v>
      </c>
      <c r="G280" s="45">
        <f>ROUNDDOWN(D280*F280,-3)</f>
        <v>1000000</v>
      </c>
      <c r="H280" s="168">
        <v>4875000</v>
      </c>
      <c r="I280" s="150" t="s">
        <v>557</v>
      </c>
      <c r="J280" s="149" t="s">
        <v>3557</v>
      </c>
      <c r="K280" s="149" t="s">
        <v>3574</v>
      </c>
      <c r="L280" s="171">
        <f t="shared" si="7"/>
        <v>-3875000</v>
      </c>
    </row>
    <row r="281" spans="1:12" x14ac:dyDescent="0.25">
      <c r="A281" s="21" t="s">
        <v>427</v>
      </c>
      <c r="B281" s="61"/>
      <c r="C281" s="44" t="s">
        <v>3600</v>
      </c>
      <c r="D281" s="47">
        <v>1</v>
      </c>
      <c r="E281" s="61" t="s">
        <v>106</v>
      </c>
      <c r="F281" s="45">
        <v>1000000</v>
      </c>
      <c r="G281" s="45">
        <f>ROUNDDOWN(D281*F281,-3)</f>
        <v>1000000</v>
      </c>
      <c r="H281" s="168">
        <v>1000000</v>
      </c>
      <c r="I281" s="150" t="s">
        <v>557</v>
      </c>
      <c r="J281" s="149" t="s">
        <v>3557</v>
      </c>
      <c r="K281" s="149" t="s">
        <v>3574</v>
      </c>
      <c r="L281" s="171">
        <f t="shared" si="7"/>
        <v>0</v>
      </c>
    </row>
    <row r="282" spans="1:12" x14ac:dyDescent="0.25">
      <c r="A282" s="21" t="s">
        <v>428</v>
      </c>
      <c r="B282" s="155"/>
      <c r="C282" s="154" t="s">
        <v>3601</v>
      </c>
      <c r="D282" s="155">
        <v>1</v>
      </c>
      <c r="E282" s="155" t="s">
        <v>106</v>
      </c>
      <c r="F282" s="156">
        <v>1500000</v>
      </c>
      <c r="G282" s="45">
        <f>ROUNDDOWN(D282*F282,-3)</f>
        <v>1500000</v>
      </c>
      <c r="H282" s="168">
        <v>1000000</v>
      </c>
      <c r="I282" s="150" t="s">
        <v>557</v>
      </c>
      <c r="J282" s="149" t="s">
        <v>3557</v>
      </c>
      <c r="K282" s="149" t="s">
        <v>3574</v>
      </c>
      <c r="L282" s="171">
        <f t="shared" si="7"/>
        <v>500000</v>
      </c>
    </row>
    <row r="283" spans="1:12" x14ac:dyDescent="0.25">
      <c r="A283" s="21" t="s">
        <v>772</v>
      </c>
      <c r="B283" s="60">
        <v>522151</v>
      </c>
      <c r="C283" s="41" t="s">
        <v>11</v>
      </c>
      <c r="D283" s="71"/>
      <c r="E283" s="60"/>
      <c r="F283" s="42"/>
      <c r="G283" s="42">
        <v>1000000</v>
      </c>
      <c r="H283" s="168">
        <v>1500000</v>
      </c>
      <c r="I283" s="150" t="s">
        <v>557</v>
      </c>
      <c r="J283" s="149" t="s">
        <v>3557</v>
      </c>
      <c r="K283" s="149" t="s">
        <v>3574</v>
      </c>
      <c r="L283" s="171">
        <f t="shared" si="7"/>
        <v>-500000</v>
      </c>
    </row>
    <row r="284" spans="1:12" x14ac:dyDescent="0.25">
      <c r="A284" s="21" t="s">
        <v>773</v>
      </c>
      <c r="B284" s="192"/>
      <c r="C284" s="191" t="s">
        <v>3715</v>
      </c>
      <c r="D284" s="192">
        <v>1</v>
      </c>
      <c r="E284" s="192" t="s">
        <v>54</v>
      </c>
      <c r="F284" s="193">
        <v>1000000</v>
      </c>
      <c r="G284" s="45">
        <f>ROUNDDOWN(D284*F284,-3)</f>
        <v>1000000</v>
      </c>
      <c r="H284" s="165">
        <v>1000000</v>
      </c>
      <c r="I284" s="150" t="s">
        <v>557</v>
      </c>
      <c r="J284" s="149" t="s">
        <v>3557</v>
      </c>
      <c r="K284" s="149" t="s">
        <v>3574</v>
      </c>
      <c r="L284" s="171">
        <f t="shared" si="7"/>
        <v>0</v>
      </c>
    </row>
    <row r="285" spans="1:12" x14ac:dyDescent="0.25">
      <c r="A285" s="21" t="s">
        <v>429</v>
      </c>
      <c r="B285" s="60">
        <v>524111</v>
      </c>
      <c r="C285" s="41" t="s">
        <v>19</v>
      </c>
      <c r="D285" s="60"/>
      <c r="E285" s="60"/>
      <c r="F285" s="42"/>
      <c r="G285" s="42">
        <v>73760000</v>
      </c>
      <c r="H285" s="168">
        <v>1000000</v>
      </c>
      <c r="I285" s="150" t="s">
        <v>557</v>
      </c>
      <c r="J285" s="149" t="s">
        <v>3557</v>
      </c>
      <c r="K285" s="149" t="s">
        <v>3574</v>
      </c>
      <c r="L285" s="171">
        <f t="shared" si="7"/>
        <v>72760000</v>
      </c>
    </row>
    <row r="286" spans="1:12" ht="26.4" x14ac:dyDescent="0.25">
      <c r="A286" s="21" t="s">
        <v>430</v>
      </c>
      <c r="B286" s="192"/>
      <c r="C286" s="191" t="s">
        <v>3716</v>
      </c>
      <c r="D286" s="197">
        <v>12</v>
      </c>
      <c r="E286" s="192" t="s">
        <v>776</v>
      </c>
      <c r="F286" s="193">
        <v>6146667</v>
      </c>
      <c r="G286" s="45">
        <f>ROUNDDOWN(D286*F286,-3)</f>
        <v>73760000</v>
      </c>
      <c r="H286" s="165">
        <v>73760000</v>
      </c>
      <c r="I286" s="150" t="s">
        <v>557</v>
      </c>
      <c r="J286" s="149" t="s">
        <v>3557</v>
      </c>
      <c r="K286" s="149" t="s">
        <v>3574</v>
      </c>
      <c r="L286" s="171">
        <f t="shared" si="7"/>
        <v>0</v>
      </c>
    </row>
    <row r="287" spans="1:12" x14ac:dyDescent="0.25">
      <c r="A287" s="21" t="s">
        <v>431</v>
      </c>
      <c r="B287" s="59" t="s">
        <v>511</v>
      </c>
      <c r="C287" s="38" t="s">
        <v>55</v>
      </c>
      <c r="D287" s="70"/>
      <c r="E287" s="59"/>
      <c r="F287" s="39"/>
      <c r="G287" s="39">
        <v>40965000</v>
      </c>
      <c r="H287" s="168">
        <v>73760000</v>
      </c>
      <c r="I287" s="150" t="s">
        <v>557</v>
      </c>
      <c r="J287" s="149" t="s">
        <v>3557</v>
      </c>
      <c r="K287" s="149" t="s">
        <v>3574</v>
      </c>
      <c r="L287" s="171">
        <f t="shared" si="7"/>
        <v>-32795000</v>
      </c>
    </row>
    <row r="288" spans="1:12" x14ac:dyDescent="0.25">
      <c r="A288" s="21" t="s">
        <v>432</v>
      </c>
      <c r="B288" s="60">
        <v>521211</v>
      </c>
      <c r="C288" s="41" t="s">
        <v>7</v>
      </c>
      <c r="D288" s="71"/>
      <c r="E288" s="60"/>
      <c r="F288" s="42"/>
      <c r="G288" s="42">
        <v>6725000</v>
      </c>
      <c r="H288" s="165">
        <v>40965000</v>
      </c>
      <c r="I288" s="150" t="s">
        <v>557</v>
      </c>
      <c r="J288" s="149" t="s">
        <v>3557</v>
      </c>
      <c r="K288" s="149" t="s">
        <v>3574</v>
      </c>
      <c r="L288" s="171">
        <f t="shared" si="7"/>
        <v>-34240000</v>
      </c>
    </row>
    <row r="289" spans="1:12" x14ac:dyDescent="0.25">
      <c r="A289" s="21" t="s">
        <v>433</v>
      </c>
      <c r="B289" s="192"/>
      <c r="C289" s="191" t="s">
        <v>3713</v>
      </c>
      <c r="D289" s="192">
        <v>43</v>
      </c>
      <c r="E289" s="192" t="s">
        <v>10</v>
      </c>
      <c r="F289" s="193">
        <v>75000</v>
      </c>
      <c r="G289" s="45">
        <f>ROUNDDOWN(D289*F289,-3)</f>
        <v>3225000</v>
      </c>
      <c r="H289" s="165">
        <v>6725000</v>
      </c>
      <c r="I289" s="150" t="s">
        <v>557</v>
      </c>
      <c r="J289" s="149" t="s">
        <v>3557</v>
      </c>
      <c r="K289" s="149" t="s">
        <v>3574</v>
      </c>
      <c r="L289" s="171">
        <f t="shared" si="7"/>
        <v>-3500000</v>
      </c>
    </row>
    <row r="290" spans="1:12" x14ac:dyDescent="0.25">
      <c r="A290" s="21" t="s">
        <v>434</v>
      </c>
      <c r="B290" s="61"/>
      <c r="C290" s="44" t="s">
        <v>3714</v>
      </c>
      <c r="D290" s="47">
        <v>1</v>
      </c>
      <c r="E290" s="61" t="s">
        <v>106</v>
      </c>
      <c r="F290" s="45">
        <v>1000000</v>
      </c>
      <c r="G290" s="45">
        <f>ROUNDDOWN(D290*F290,-3)</f>
        <v>1000000</v>
      </c>
      <c r="H290" s="168">
        <v>3225000</v>
      </c>
      <c r="I290" s="150" t="s">
        <v>557</v>
      </c>
      <c r="J290" s="149" t="s">
        <v>3557</v>
      </c>
      <c r="K290" s="149" t="s">
        <v>3574</v>
      </c>
      <c r="L290" s="171">
        <f t="shared" si="7"/>
        <v>-2225000</v>
      </c>
    </row>
    <row r="291" spans="1:12" x14ac:dyDescent="0.25">
      <c r="A291" s="21" t="s">
        <v>435</v>
      </c>
      <c r="B291" s="155"/>
      <c r="C291" s="154" t="s">
        <v>3600</v>
      </c>
      <c r="D291" s="155">
        <v>1</v>
      </c>
      <c r="E291" s="155" t="s">
        <v>106</v>
      </c>
      <c r="F291" s="156">
        <v>1000000</v>
      </c>
      <c r="G291" s="45">
        <f>ROUNDDOWN(D291*F291,-3)</f>
        <v>1000000</v>
      </c>
      <c r="H291" s="168">
        <v>1000000</v>
      </c>
      <c r="I291" s="150" t="s">
        <v>557</v>
      </c>
      <c r="J291" s="149" t="s">
        <v>3557</v>
      </c>
      <c r="K291" s="149" t="s">
        <v>3574</v>
      </c>
      <c r="L291" s="171">
        <f t="shared" si="7"/>
        <v>0</v>
      </c>
    </row>
    <row r="292" spans="1:12" x14ac:dyDescent="0.25">
      <c r="A292" s="21" t="s">
        <v>436</v>
      </c>
      <c r="B292" s="61"/>
      <c r="C292" s="44" t="s">
        <v>3601</v>
      </c>
      <c r="D292" s="47">
        <v>1</v>
      </c>
      <c r="E292" s="61" t="s">
        <v>106</v>
      </c>
      <c r="F292" s="45">
        <v>1500000</v>
      </c>
      <c r="G292" s="45">
        <f>ROUNDDOWN(D292*F292,-3)</f>
        <v>1500000</v>
      </c>
      <c r="H292" s="168">
        <v>1000000</v>
      </c>
      <c r="I292" s="150" t="s">
        <v>557</v>
      </c>
      <c r="J292" s="149" t="s">
        <v>3557</v>
      </c>
      <c r="K292" s="149" t="s">
        <v>3574</v>
      </c>
      <c r="L292" s="171">
        <f t="shared" si="7"/>
        <v>500000</v>
      </c>
    </row>
    <row r="293" spans="1:12" x14ac:dyDescent="0.25">
      <c r="A293" s="21" t="s">
        <v>777</v>
      </c>
      <c r="B293" s="60">
        <v>522151</v>
      </c>
      <c r="C293" s="41" t="s">
        <v>11</v>
      </c>
      <c r="D293" s="71"/>
      <c r="E293" s="60"/>
      <c r="F293" s="42"/>
      <c r="G293" s="42">
        <v>1000000</v>
      </c>
      <c r="H293" s="168">
        <v>1500000</v>
      </c>
      <c r="I293" s="150" t="s">
        <v>557</v>
      </c>
      <c r="J293" s="149" t="s">
        <v>3557</v>
      </c>
      <c r="K293" s="149" t="s">
        <v>3574</v>
      </c>
      <c r="L293" s="171">
        <f t="shared" si="7"/>
        <v>-500000</v>
      </c>
    </row>
    <row r="294" spans="1:12" x14ac:dyDescent="0.25">
      <c r="A294" s="21" t="s">
        <v>778</v>
      </c>
      <c r="B294" s="192"/>
      <c r="C294" s="191" t="s">
        <v>3715</v>
      </c>
      <c r="D294" s="192">
        <v>1</v>
      </c>
      <c r="E294" s="192" t="s">
        <v>54</v>
      </c>
      <c r="F294" s="193">
        <v>1000000</v>
      </c>
      <c r="G294" s="45">
        <f>ROUNDDOWN(D294*F294,-3)</f>
        <v>1000000</v>
      </c>
      <c r="H294" s="165">
        <v>1000000</v>
      </c>
      <c r="I294" s="150" t="s">
        <v>557</v>
      </c>
      <c r="J294" s="149" t="s">
        <v>3557</v>
      </c>
      <c r="K294" s="149" t="s">
        <v>3574</v>
      </c>
      <c r="L294" s="171">
        <f t="shared" si="7"/>
        <v>0</v>
      </c>
    </row>
    <row r="295" spans="1:12" x14ac:dyDescent="0.25">
      <c r="A295" s="21" t="s">
        <v>437</v>
      </c>
      <c r="B295" s="60">
        <v>524111</v>
      </c>
      <c r="C295" s="41" t="s">
        <v>19</v>
      </c>
      <c r="D295" s="71"/>
      <c r="E295" s="60"/>
      <c r="F295" s="42"/>
      <c r="G295" s="42">
        <v>33240000</v>
      </c>
      <c r="H295" s="168">
        <v>1000000</v>
      </c>
      <c r="I295" s="150" t="s">
        <v>557</v>
      </c>
      <c r="J295" s="149" t="s">
        <v>3557</v>
      </c>
      <c r="K295" s="149" t="s">
        <v>3574</v>
      </c>
      <c r="L295" s="171">
        <f t="shared" si="7"/>
        <v>32240000</v>
      </c>
    </row>
    <row r="296" spans="1:12" ht="26.4" x14ac:dyDescent="0.25">
      <c r="A296" s="21" t="s">
        <v>438</v>
      </c>
      <c r="B296" s="192"/>
      <c r="C296" s="191" t="s">
        <v>3716</v>
      </c>
      <c r="D296" s="192">
        <v>12</v>
      </c>
      <c r="E296" s="192" t="s">
        <v>776</v>
      </c>
      <c r="F296" s="193">
        <v>2770000</v>
      </c>
      <c r="G296" s="45">
        <f>ROUNDDOWN(D296*F296,-3)</f>
        <v>33240000</v>
      </c>
      <c r="H296" s="165">
        <v>33240000</v>
      </c>
      <c r="I296" s="150" t="s">
        <v>557</v>
      </c>
      <c r="J296" s="149" t="s">
        <v>3557</v>
      </c>
      <c r="K296" s="149" t="s">
        <v>3574</v>
      </c>
      <c r="L296" s="171">
        <f t="shared" si="7"/>
        <v>0</v>
      </c>
    </row>
    <row r="297" spans="1:12" x14ac:dyDescent="0.25">
      <c r="A297" s="21" t="s">
        <v>439</v>
      </c>
      <c r="B297" s="58" t="s">
        <v>520</v>
      </c>
      <c r="C297" s="35" t="s">
        <v>57</v>
      </c>
      <c r="D297" s="69">
        <v>0</v>
      </c>
      <c r="E297" s="58"/>
      <c r="F297" s="36"/>
      <c r="G297" s="36">
        <v>54500000</v>
      </c>
      <c r="H297" s="168">
        <v>33240000</v>
      </c>
      <c r="I297" s="150" t="s">
        <v>557</v>
      </c>
      <c r="J297" s="149" t="s">
        <v>3557</v>
      </c>
      <c r="K297" s="149" t="s">
        <v>3574</v>
      </c>
      <c r="L297" s="171">
        <f t="shared" si="7"/>
        <v>21260000</v>
      </c>
    </row>
    <row r="298" spans="1:12" ht="26.4" x14ac:dyDescent="0.25">
      <c r="A298" s="21" t="s">
        <v>440</v>
      </c>
      <c r="B298" s="59" t="s">
        <v>8</v>
      </c>
      <c r="C298" s="38" t="s">
        <v>59</v>
      </c>
      <c r="D298" s="59"/>
      <c r="E298" s="59"/>
      <c r="F298" s="39"/>
      <c r="G298" s="39">
        <v>54500000</v>
      </c>
      <c r="H298" s="165">
        <v>54500000</v>
      </c>
      <c r="I298" s="150" t="s">
        <v>557</v>
      </c>
      <c r="J298" s="149" t="s">
        <v>3557</v>
      </c>
      <c r="K298" s="149" t="s">
        <v>3573</v>
      </c>
      <c r="L298" s="171">
        <f t="shared" si="7"/>
        <v>0</v>
      </c>
    </row>
    <row r="299" spans="1:12" x14ac:dyDescent="0.25">
      <c r="A299" s="21" t="s">
        <v>441</v>
      </c>
      <c r="B299" s="60">
        <v>521211</v>
      </c>
      <c r="C299" s="41" t="s">
        <v>7</v>
      </c>
      <c r="D299" s="60"/>
      <c r="E299" s="60"/>
      <c r="F299" s="42"/>
      <c r="G299" s="42">
        <v>19225000</v>
      </c>
      <c r="H299" s="165">
        <v>54500000</v>
      </c>
      <c r="I299" s="150" t="s">
        <v>557</v>
      </c>
      <c r="J299" s="149" t="s">
        <v>3557</v>
      </c>
      <c r="K299" s="149" t="s">
        <v>3573</v>
      </c>
      <c r="L299" s="171">
        <f t="shared" si="7"/>
        <v>-35275000</v>
      </c>
    </row>
    <row r="300" spans="1:12" x14ac:dyDescent="0.25">
      <c r="A300" s="21" t="s">
        <v>442</v>
      </c>
      <c r="B300" s="192"/>
      <c r="C300" s="191" t="s">
        <v>3713</v>
      </c>
      <c r="D300" s="197">
        <v>23</v>
      </c>
      <c r="E300" s="192" t="s">
        <v>10</v>
      </c>
      <c r="F300" s="193">
        <v>75000</v>
      </c>
      <c r="G300" s="45">
        <f t="shared" ref="G300:G305" si="8">ROUNDDOWN(D300*F300,-3)</f>
        <v>1725000</v>
      </c>
      <c r="H300" s="165">
        <v>19225000</v>
      </c>
      <c r="I300" s="150" t="s">
        <v>557</v>
      </c>
      <c r="J300" s="149" t="s">
        <v>3557</v>
      </c>
      <c r="K300" s="149" t="s">
        <v>3573</v>
      </c>
      <c r="L300" s="171">
        <f t="shared" si="7"/>
        <v>-17500000</v>
      </c>
    </row>
    <row r="301" spans="1:12" x14ac:dyDescent="0.25">
      <c r="A301" s="7" t="s">
        <v>443</v>
      </c>
      <c r="B301" s="155"/>
      <c r="C301" s="154" t="s">
        <v>3714</v>
      </c>
      <c r="D301" s="160">
        <v>1</v>
      </c>
      <c r="E301" s="155" t="s">
        <v>106</v>
      </c>
      <c r="F301" s="156">
        <v>1000000</v>
      </c>
      <c r="G301" s="45">
        <f t="shared" si="8"/>
        <v>1000000</v>
      </c>
      <c r="H301" s="168">
        <v>1725000</v>
      </c>
      <c r="I301" s="150" t="s">
        <v>557</v>
      </c>
      <c r="J301" s="149" t="s">
        <v>3557</v>
      </c>
      <c r="K301" s="149" t="s">
        <v>3573</v>
      </c>
      <c r="L301" s="171">
        <f t="shared" si="7"/>
        <v>-725000</v>
      </c>
    </row>
    <row r="302" spans="1:12" x14ac:dyDescent="0.25">
      <c r="A302" s="7" t="s">
        <v>444</v>
      </c>
      <c r="B302" s="155"/>
      <c r="C302" s="154" t="s">
        <v>3600</v>
      </c>
      <c r="D302" s="155">
        <v>2</v>
      </c>
      <c r="E302" s="155" t="s">
        <v>106</v>
      </c>
      <c r="F302" s="156">
        <v>1000000</v>
      </c>
      <c r="G302" s="45">
        <f t="shared" si="8"/>
        <v>2000000</v>
      </c>
      <c r="H302" s="168">
        <v>1000000</v>
      </c>
      <c r="I302" s="150" t="s">
        <v>557</v>
      </c>
      <c r="J302" s="149" t="s">
        <v>3557</v>
      </c>
      <c r="K302" s="149" t="s">
        <v>3573</v>
      </c>
      <c r="L302" s="171">
        <f t="shared" si="7"/>
        <v>1000000</v>
      </c>
    </row>
    <row r="303" spans="1:12" x14ac:dyDescent="0.25">
      <c r="A303" s="21" t="s">
        <v>445</v>
      </c>
      <c r="B303" s="158"/>
      <c r="C303" s="151" t="s">
        <v>3601</v>
      </c>
      <c r="D303" s="152">
        <v>2</v>
      </c>
      <c r="E303" s="152" t="s">
        <v>106</v>
      </c>
      <c r="F303" s="153">
        <v>1500000</v>
      </c>
      <c r="G303" s="45">
        <f t="shared" si="8"/>
        <v>3000000</v>
      </c>
      <c r="H303" s="168">
        <v>2000000</v>
      </c>
      <c r="I303" s="150" t="s">
        <v>557</v>
      </c>
      <c r="J303" s="149" t="s">
        <v>3557</v>
      </c>
      <c r="K303" s="149" t="s">
        <v>3573</v>
      </c>
      <c r="L303" s="171">
        <f t="shared" si="7"/>
        <v>1000000</v>
      </c>
    </row>
    <row r="304" spans="1:12" x14ac:dyDescent="0.25">
      <c r="A304" s="21" t="s">
        <v>446</v>
      </c>
      <c r="B304" s="155"/>
      <c r="C304" s="154" t="s">
        <v>3717</v>
      </c>
      <c r="D304" s="155">
        <v>23</v>
      </c>
      <c r="E304" s="155" t="s">
        <v>176</v>
      </c>
      <c r="F304" s="156">
        <v>250000</v>
      </c>
      <c r="G304" s="45">
        <f t="shared" si="8"/>
        <v>5750000</v>
      </c>
      <c r="H304" s="168">
        <v>3000000</v>
      </c>
      <c r="I304" s="150" t="s">
        <v>557</v>
      </c>
      <c r="J304" s="149" t="s">
        <v>3557</v>
      </c>
      <c r="K304" s="149" t="s">
        <v>3573</v>
      </c>
      <c r="L304" s="171">
        <f t="shared" si="7"/>
        <v>2750000</v>
      </c>
    </row>
    <row r="305" spans="1:12" x14ac:dyDescent="0.25">
      <c r="A305" s="21" t="s">
        <v>447</v>
      </c>
      <c r="B305" s="155"/>
      <c r="C305" s="154" t="s">
        <v>3718</v>
      </c>
      <c r="D305" s="155">
        <v>23</v>
      </c>
      <c r="E305" s="155" t="s">
        <v>58</v>
      </c>
      <c r="F305" s="156">
        <v>250000</v>
      </c>
      <c r="G305" s="45">
        <f t="shared" si="8"/>
        <v>5750000</v>
      </c>
      <c r="H305" s="168">
        <v>5750000</v>
      </c>
      <c r="I305" s="150" t="s">
        <v>557</v>
      </c>
      <c r="J305" s="149" t="s">
        <v>3557</v>
      </c>
      <c r="K305" s="149" t="s">
        <v>3573</v>
      </c>
      <c r="L305" s="171">
        <f t="shared" si="7"/>
        <v>0</v>
      </c>
    </row>
    <row r="306" spans="1:12" x14ac:dyDescent="0.25">
      <c r="A306" s="21" t="s">
        <v>448</v>
      </c>
      <c r="B306" s="60">
        <v>524111</v>
      </c>
      <c r="C306" s="41" t="s">
        <v>19</v>
      </c>
      <c r="D306" s="71"/>
      <c r="E306" s="60"/>
      <c r="F306" s="42"/>
      <c r="G306" s="42">
        <v>35275000</v>
      </c>
      <c r="H306" s="168">
        <v>5750000</v>
      </c>
      <c r="I306" s="150" t="s">
        <v>557</v>
      </c>
      <c r="J306" s="149" t="s">
        <v>3557</v>
      </c>
      <c r="K306" s="149" t="s">
        <v>3573</v>
      </c>
      <c r="L306" s="171">
        <f t="shared" si="7"/>
        <v>29525000</v>
      </c>
    </row>
    <row r="307" spans="1:12" ht="26.4" x14ac:dyDescent="0.25">
      <c r="A307" s="21" t="s">
        <v>449</v>
      </c>
      <c r="B307" s="192"/>
      <c r="C307" s="191" t="s">
        <v>3719</v>
      </c>
      <c r="D307" s="197">
        <v>10</v>
      </c>
      <c r="E307" s="192" t="s">
        <v>776</v>
      </c>
      <c r="F307" s="193">
        <v>3527550</v>
      </c>
      <c r="G307" s="45">
        <f>ROUNDDOWN(D307*F307,-3)</f>
        <v>35275000</v>
      </c>
      <c r="H307" s="165">
        <v>35275000</v>
      </c>
      <c r="I307" s="150" t="s">
        <v>557</v>
      </c>
      <c r="J307" s="149" t="s">
        <v>3557</v>
      </c>
      <c r="K307" s="149" t="s">
        <v>3573</v>
      </c>
      <c r="L307" s="171">
        <f t="shared" si="7"/>
        <v>0</v>
      </c>
    </row>
    <row r="308" spans="1:12" x14ac:dyDescent="0.25">
      <c r="A308" s="21" t="s">
        <v>450</v>
      </c>
      <c r="B308" s="58" t="s">
        <v>523</v>
      </c>
      <c r="C308" s="35" t="s">
        <v>61</v>
      </c>
      <c r="D308" s="69">
        <v>0</v>
      </c>
      <c r="E308" s="58"/>
      <c r="F308" s="36"/>
      <c r="G308" s="36">
        <v>686300000</v>
      </c>
      <c r="H308" s="168">
        <v>35275000</v>
      </c>
      <c r="I308" s="150" t="s">
        <v>557</v>
      </c>
      <c r="J308" s="149" t="s">
        <v>3557</v>
      </c>
      <c r="K308" s="149" t="s">
        <v>3573</v>
      </c>
      <c r="L308" s="171">
        <f t="shared" si="7"/>
        <v>651025000</v>
      </c>
    </row>
    <row r="309" spans="1:12" x14ac:dyDescent="0.25">
      <c r="A309" s="21" t="s">
        <v>451</v>
      </c>
      <c r="B309" s="59" t="s">
        <v>8</v>
      </c>
      <c r="C309" s="38" t="s">
        <v>62</v>
      </c>
      <c r="D309" s="59"/>
      <c r="E309" s="59"/>
      <c r="F309" s="39"/>
      <c r="G309" s="39">
        <v>386924000</v>
      </c>
      <c r="H309" s="165">
        <v>686300000</v>
      </c>
      <c r="I309" s="150" t="s">
        <v>557</v>
      </c>
      <c r="J309" s="149" t="s">
        <v>3560</v>
      </c>
      <c r="K309" s="149" t="s">
        <v>3576</v>
      </c>
      <c r="L309" s="171">
        <f t="shared" si="7"/>
        <v>-299376000</v>
      </c>
    </row>
    <row r="310" spans="1:12" x14ac:dyDescent="0.25">
      <c r="A310" s="21" t="s">
        <v>452</v>
      </c>
      <c r="B310" s="60">
        <v>521211</v>
      </c>
      <c r="C310" s="41" t="s">
        <v>7</v>
      </c>
      <c r="D310" s="71"/>
      <c r="E310" s="60"/>
      <c r="F310" s="42"/>
      <c r="G310" s="42">
        <v>64900000</v>
      </c>
      <c r="H310" s="165">
        <v>386924000</v>
      </c>
      <c r="I310" s="150" t="s">
        <v>557</v>
      </c>
      <c r="J310" s="149" t="s">
        <v>3560</v>
      </c>
      <c r="K310" s="149" t="s">
        <v>3576</v>
      </c>
      <c r="L310" s="171">
        <f t="shared" si="7"/>
        <v>-322024000</v>
      </c>
    </row>
    <row r="311" spans="1:12" x14ac:dyDescent="0.25">
      <c r="A311" s="21" t="s">
        <v>453</v>
      </c>
      <c r="B311" s="192"/>
      <c r="C311" s="191" t="s">
        <v>3598</v>
      </c>
      <c r="D311" s="197">
        <v>12</v>
      </c>
      <c r="E311" s="192" t="s">
        <v>106</v>
      </c>
      <c r="F311" s="193">
        <v>1500000</v>
      </c>
      <c r="G311" s="45">
        <f>ROUNDDOWN(D311*F311,-3)</f>
        <v>18000000</v>
      </c>
      <c r="H311" s="165">
        <v>64900000</v>
      </c>
      <c r="I311" s="150" t="s">
        <v>557</v>
      </c>
      <c r="J311" s="149" t="s">
        <v>3560</v>
      </c>
      <c r="K311" s="149" t="s">
        <v>3576</v>
      </c>
      <c r="L311" s="171">
        <f t="shared" si="7"/>
        <v>-46900000</v>
      </c>
    </row>
    <row r="312" spans="1:12" x14ac:dyDescent="0.25">
      <c r="A312" s="21" t="s">
        <v>454</v>
      </c>
      <c r="B312" s="155"/>
      <c r="C312" s="154" t="s">
        <v>3720</v>
      </c>
      <c r="D312" s="155">
        <v>100</v>
      </c>
      <c r="E312" s="155" t="s">
        <v>25</v>
      </c>
      <c r="F312" s="156">
        <v>69000</v>
      </c>
      <c r="G312" s="45">
        <f>ROUNDDOWN(D312*F312,-3)</f>
        <v>6900000</v>
      </c>
      <c r="H312" s="168">
        <v>18000000</v>
      </c>
      <c r="I312" s="150" t="s">
        <v>557</v>
      </c>
      <c r="J312" s="149" t="s">
        <v>3560</v>
      </c>
      <c r="K312" s="149" t="s">
        <v>3576</v>
      </c>
      <c r="L312" s="171">
        <f t="shared" si="7"/>
        <v>-11100000</v>
      </c>
    </row>
    <row r="313" spans="1:12" x14ac:dyDescent="0.25">
      <c r="A313" s="21" t="s">
        <v>783</v>
      </c>
      <c r="B313" s="61"/>
      <c r="C313" s="44" t="s">
        <v>3721</v>
      </c>
      <c r="D313" s="47">
        <v>80</v>
      </c>
      <c r="E313" s="61" t="s">
        <v>58</v>
      </c>
      <c r="F313" s="45">
        <v>500000</v>
      </c>
      <c r="G313" s="45">
        <f>ROUNDDOWN(D313*F313,-3)</f>
        <v>40000000</v>
      </c>
      <c r="H313" s="168">
        <v>6900000</v>
      </c>
      <c r="I313" s="150" t="s">
        <v>557</v>
      </c>
      <c r="J313" s="149" t="s">
        <v>3560</v>
      </c>
      <c r="K313" s="149" t="s">
        <v>3576</v>
      </c>
      <c r="L313" s="171">
        <f t="shared" si="7"/>
        <v>33100000</v>
      </c>
    </row>
    <row r="314" spans="1:12" x14ac:dyDescent="0.25">
      <c r="A314" s="21" t="s">
        <v>455</v>
      </c>
      <c r="B314" s="60">
        <v>521219</v>
      </c>
      <c r="C314" s="41" t="s">
        <v>53</v>
      </c>
      <c r="D314" s="60"/>
      <c r="E314" s="60"/>
      <c r="F314" s="42"/>
      <c r="G314" s="42">
        <v>6000000</v>
      </c>
      <c r="H314" s="168">
        <v>40000000</v>
      </c>
      <c r="I314" s="150" t="s">
        <v>557</v>
      </c>
      <c r="J314" s="149" t="s">
        <v>3560</v>
      </c>
      <c r="K314" s="149" t="s">
        <v>3576</v>
      </c>
      <c r="L314" s="171">
        <f t="shared" si="7"/>
        <v>-34000000</v>
      </c>
    </row>
    <row r="315" spans="1:12" x14ac:dyDescent="0.25">
      <c r="A315" s="21" t="s">
        <v>456</v>
      </c>
      <c r="B315" s="192"/>
      <c r="C315" s="191" t="s">
        <v>3722</v>
      </c>
      <c r="D315" s="192">
        <v>4</v>
      </c>
      <c r="E315" s="192" t="s">
        <v>106</v>
      </c>
      <c r="F315" s="193">
        <v>250000</v>
      </c>
      <c r="G315" s="45">
        <f>ROUNDDOWN(D315*F315,-3)</f>
        <v>1000000</v>
      </c>
      <c r="H315" s="165">
        <v>6000000</v>
      </c>
      <c r="I315" s="150" t="s">
        <v>557</v>
      </c>
      <c r="J315" s="149" t="s">
        <v>3560</v>
      </c>
      <c r="K315" s="149" t="s">
        <v>3576</v>
      </c>
      <c r="L315" s="171">
        <f t="shared" si="7"/>
        <v>-5000000</v>
      </c>
    </row>
    <row r="316" spans="1:12" x14ac:dyDescent="0.25">
      <c r="A316" s="21" t="s">
        <v>457</v>
      </c>
      <c r="B316" s="61"/>
      <c r="C316" s="44" t="s">
        <v>3723</v>
      </c>
      <c r="D316" s="47">
        <v>10</v>
      </c>
      <c r="E316" s="61" t="s">
        <v>106</v>
      </c>
      <c r="F316" s="45">
        <v>500000</v>
      </c>
      <c r="G316" s="45">
        <f>ROUNDDOWN(D316*F316,-3)</f>
        <v>5000000</v>
      </c>
      <c r="H316" s="168">
        <v>1000000</v>
      </c>
      <c r="I316" s="150" t="s">
        <v>557</v>
      </c>
      <c r="J316" s="149" t="s">
        <v>3560</v>
      </c>
      <c r="K316" s="149" t="s">
        <v>3576</v>
      </c>
      <c r="L316" s="171">
        <f t="shared" si="7"/>
        <v>4000000</v>
      </c>
    </row>
    <row r="317" spans="1:12" x14ac:dyDescent="0.25">
      <c r="A317" s="21" t="s">
        <v>458</v>
      </c>
      <c r="B317" s="60">
        <v>521811</v>
      </c>
      <c r="C317" s="41" t="s">
        <v>64</v>
      </c>
      <c r="D317" s="71"/>
      <c r="E317" s="60"/>
      <c r="F317" s="42"/>
      <c r="G317" s="42">
        <v>30000000</v>
      </c>
      <c r="H317" s="168">
        <v>5000000</v>
      </c>
      <c r="I317" s="150" t="s">
        <v>557</v>
      </c>
      <c r="J317" s="149" t="s">
        <v>3560</v>
      </c>
      <c r="K317" s="149" t="s">
        <v>3576</v>
      </c>
      <c r="L317" s="171">
        <f t="shared" si="7"/>
        <v>25000000</v>
      </c>
    </row>
    <row r="318" spans="1:12" x14ac:dyDescent="0.25">
      <c r="A318" s="21" t="s">
        <v>459</v>
      </c>
      <c r="B318" s="192"/>
      <c r="C318" s="191" t="s">
        <v>3625</v>
      </c>
      <c r="D318" s="197">
        <v>12</v>
      </c>
      <c r="E318" s="192" t="s">
        <v>106</v>
      </c>
      <c r="F318" s="193">
        <v>1000000</v>
      </c>
      <c r="G318" s="45">
        <f>ROUNDDOWN(D318*F318,-3)</f>
        <v>12000000</v>
      </c>
      <c r="H318" s="165">
        <v>30000000</v>
      </c>
      <c r="I318" s="150" t="s">
        <v>557</v>
      </c>
      <c r="J318" s="149" t="s">
        <v>3560</v>
      </c>
      <c r="K318" s="149" t="s">
        <v>3576</v>
      </c>
      <c r="L318" s="171">
        <f t="shared" si="7"/>
        <v>-18000000</v>
      </c>
    </row>
    <row r="319" spans="1:12" x14ac:dyDescent="0.25">
      <c r="A319" s="21" t="s">
        <v>460</v>
      </c>
      <c r="B319" s="61"/>
      <c r="C319" s="44" t="s">
        <v>3626</v>
      </c>
      <c r="D319" s="47">
        <v>12</v>
      </c>
      <c r="E319" s="61" t="s">
        <v>106</v>
      </c>
      <c r="F319" s="45">
        <v>1500000</v>
      </c>
      <c r="G319" s="45">
        <f>ROUNDDOWN(D319*F319,-3)</f>
        <v>18000000</v>
      </c>
      <c r="H319" s="168">
        <v>12000000</v>
      </c>
      <c r="I319" s="150" t="s">
        <v>557</v>
      </c>
      <c r="J319" s="149" t="s">
        <v>3560</v>
      </c>
      <c r="K319" s="149" t="s">
        <v>3576</v>
      </c>
      <c r="L319" s="171">
        <f t="shared" si="7"/>
        <v>6000000</v>
      </c>
    </row>
    <row r="320" spans="1:12" x14ac:dyDescent="0.25">
      <c r="A320" s="21" t="s">
        <v>461</v>
      </c>
      <c r="B320" s="60">
        <v>522151</v>
      </c>
      <c r="C320" s="41" t="s">
        <v>11</v>
      </c>
      <c r="D320" s="60"/>
      <c r="E320" s="60"/>
      <c r="F320" s="42"/>
      <c r="G320" s="42">
        <v>25200000</v>
      </c>
      <c r="H320" s="168">
        <v>18000000</v>
      </c>
      <c r="I320" s="150" t="s">
        <v>557</v>
      </c>
      <c r="J320" s="149" t="s">
        <v>3560</v>
      </c>
      <c r="K320" s="149" t="s">
        <v>3576</v>
      </c>
      <c r="L320" s="171">
        <f t="shared" si="7"/>
        <v>7200000</v>
      </c>
    </row>
    <row r="321" spans="1:12" x14ac:dyDescent="0.25">
      <c r="A321" s="21" t="s">
        <v>462</v>
      </c>
      <c r="B321" s="192"/>
      <c r="C321" s="191" t="s">
        <v>3715</v>
      </c>
      <c r="D321" s="197">
        <v>28</v>
      </c>
      <c r="E321" s="192" t="s">
        <v>54</v>
      </c>
      <c r="F321" s="193">
        <v>900000</v>
      </c>
      <c r="G321" s="45">
        <f>ROUNDDOWN(D321*F321,-3)</f>
        <v>25200000</v>
      </c>
      <c r="H321" s="165">
        <v>25200000</v>
      </c>
      <c r="I321" s="150" t="s">
        <v>557</v>
      </c>
      <c r="J321" s="149" t="s">
        <v>3560</v>
      </c>
      <c r="K321" s="149" t="s">
        <v>3576</v>
      </c>
      <c r="L321" s="171">
        <f t="shared" si="7"/>
        <v>0</v>
      </c>
    </row>
    <row r="322" spans="1:12" x14ac:dyDescent="0.25">
      <c r="A322" s="21" t="s">
        <v>463</v>
      </c>
      <c r="B322" s="60">
        <v>522192</v>
      </c>
      <c r="C322" s="41" t="s">
        <v>24</v>
      </c>
      <c r="D322" s="60"/>
      <c r="E322" s="60"/>
      <c r="F322" s="42"/>
      <c r="G322" s="42">
        <v>6000000</v>
      </c>
      <c r="H322" s="168">
        <v>25200000</v>
      </c>
      <c r="I322" s="150" t="s">
        <v>557</v>
      </c>
      <c r="J322" s="149" t="s">
        <v>3560</v>
      </c>
      <c r="K322" s="149" t="s">
        <v>3576</v>
      </c>
      <c r="L322" s="171">
        <f t="shared" si="7"/>
        <v>-19200000</v>
      </c>
    </row>
    <row r="323" spans="1:12" x14ac:dyDescent="0.25">
      <c r="A323" s="21" t="s">
        <v>464</v>
      </c>
      <c r="B323" s="192"/>
      <c r="C323" s="191" t="s">
        <v>3724</v>
      </c>
      <c r="D323" s="192">
        <v>1</v>
      </c>
      <c r="E323" s="192" t="s">
        <v>60</v>
      </c>
      <c r="F323" s="193">
        <v>6000000</v>
      </c>
      <c r="G323" s="45">
        <f>ROUNDDOWN(D323*F323,-3)</f>
        <v>6000000</v>
      </c>
      <c r="H323" s="165">
        <v>6000000</v>
      </c>
      <c r="I323" s="150" t="s">
        <v>557</v>
      </c>
      <c r="J323" s="149" t="s">
        <v>3560</v>
      </c>
      <c r="K323" s="149" t="s">
        <v>3576</v>
      </c>
      <c r="L323" s="171">
        <f t="shared" si="7"/>
        <v>0</v>
      </c>
    </row>
    <row r="324" spans="1:12" x14ac:dyDescent="0.25">
      <c r="A324" s="21" t="s">
        <v>465</v>
      </c>
      <c r="B324" s="60">
        <v>524111</v>
      </c>
      <c r="C324" s="41" t="s">
        <v>19</v>
      </c>
      <c r="D324" s="71"/>
      <c r="E324" s="60"/>
      <c r="F324" s="42"/>
      <c r="G324" s="42">
        <v>253324000</v>
      </c>
      <c r="H324" s="168">
        <v>6000000</v>
      </c>
      <c r="I324" s="150" t="s">
        <v>557</v>
      </c>
      <c r="J324" s="149" t="s">
        <v>3560</v>
      </c>
      <c r="K324" s="149" t="s">
        <v>3576</v>
      </c>
      <c r="L324" s="171">
        <f t="shared" si="7"/>
        <v>247324000</v>
      </c>
    </row>
    <row r="325" spans="1:12" ht="26.4" x14ac:dyDescent="0.25">
      <c r="A325" s="21" t="s">
        <v>466</v>
      </c>
      <c r="B325" s="192"/>
      <c r="C325" s="191" t="s">
        <v>3725</v>
      </c>
      <c r="D325" s="197">
        <v>44</v>
      </c>
      <c r="E325" s="192" t="s">
        <v>776</v>
      </c>
      <c r="F325" s="193">
        <v>5757364</v>
      </c>
      <c r="G325" s="45">
        <f>ROUNDDOWN(D325*F325,-3)</f>
        <v>253324000</v>
      </c>
      <c r="H325" s="165">
        <v>253324000</v>
      </c>
      <c r="I325" s="150" t="s">
        <v>557</v>
      </c>
      <c r="J325" s="149" t="s">
        <v>3560</v>
      </c>
      <c r="K325" s="149" t="s">
        <v>3576</v>
      </c>
      <c r="L325" s="171">
        <f t="shared" si="7"/>
        <v>0</v>
      </c>
    </row>
    <row r="326" spans="1:12" x14ac:dyDescent="0.25">
      <c r="A326" s="21" t="s">
        <v>467</v>
      </c>
      <c r="B326" s="60">
        <v>524113</v>
      </c>
      <c r="C326" s="41" t="s">
        <v>13</v>
      </c>
      <c r="D326" s="60"/>
      <c r="E326" s="60"/>
      <c r="F326" s="42"/>
      <c r="G326" s="42">
        <v>1500000</v>
      </c>
      <c r="H326" s="168">
        <v>253324000</v>
      </c>
      <c r="I326" s="150" t="s">
        <v>557</v>
      </c>
      <c r="J326" s="149" t="s">
        <v>3560</v>
      </c>
      <c r="K326" s="149" t="s">
        <v>3576</v>
      </c>
      <c r="L326" s="171">
        <f t="shared" si="7"/>
        <v>-251824000</v>
      </c>
    </row>
    <row r="327" spans="1:12" x14ac:dyDescent="0.25">
      <c r="A327" s="21" t="s">
        <v>468</v>
      </c>
      <c r="B327" s="192"/>
      <c r="C327" s="191" t="s">
        <v>3618</v>
      </c>
      <c r="D327" s="197">
        <v>10</v>
      </c>
      <c r="E327" s="192" t="s">
        <v>10</v>
      </c>
      <c r="F327" s="193">
        <v>150000</v>
      </c>
      <c r="G327" s="45">
        <f>ROUNDDOWN(D327*F327,-3)</f>
        <v>1500000</v>
      </c>
      <c r="H327" s="165">
        <v>1500000</v>
      </c>
      <c r="I327" s="150" t="s">
        <v>557</v>
      </c>
      <c r="J327" s="149" t="s">
        <v>3560</v>
      </c>
      <c r="K327" s="149" t="s">
        <v>3576</v>
      </c>
      <c r="L327" s="171">
        <f t="shared" si="7"/>
        <v>0</v>
      </c>
    </row>
    <row r="328" spans="1:12" x14ac:dyDescent="0.25">
      <c r="A328" s="21" t="s">
        <v>469</v>
      </c>
      <c r="B328" s="59" t="s">
        <v>511</v>
      </c>
      <c r="C328" s="38" t="s">
        <v>65</v>
      </c>
      <c r="D328" s="70"/>
      <c r="E328" s="59"/>
      <c r="F328" s="39"/>
      <c r="G328" s="39">
        <v>247816000</v>
      </c>
      <c r="H328" s="168">
        <v>1500000</v>
      </c>
      <c r="I328" s="150" t="s">
        <v>557</v>
      </c>
      <c r="J328" s="149" t="s">
        <v>3560</v>
      </c>
      <c r="K328" s="149" t="s">
        <v>3576</v>
      </c>
      <c r="L328" s="171">
        <f t="shared" si="7"/>
        <v>246316000</v>
      </c>
    </row>
    <row r="329" spans="1:12" x14ac:dyDescent="0.25">
      <c r="A329" s="21" t="s">
        <v>470</v>
      </c>
      <c r="B329" s="60">
        <v>521211</v>
      </c>
      <c r="C329" s="41" t="s">
        <v>7</v>
      </c>
      <c r="D329" s="60"/>
      <c r="E329" s="60"/>
      <c r="F329" s="42"/>
      <c r="G329" s="42">
        <v>71456000</v>
      </c>
      <c r="H329" s="165">
        <v>247816000</v>
      </c>
      <c r="I329" s="150" t="s">
        <v>557</v>
      </c>
      <c r="J329" s="149" t="s">
        <v>3560</v>
      </c>
      <c r="K329" s="149" t="s">
        <v>3576</v>
      </c>
      <c r="L329" s="171">
        <f t="shared" si="7"/>
        <v>-176360000</v>
      </c>
    </row>
    <row r="330" spans="1:12" x14ac:dyDescent="0.25">
      <c r="A330" s="21" t="s">
        <v>471</v>
      </c>
      <c r="B330" s="192"/>
      <c r="C330" s="191" t="s">
        <v>3726</v>
      </c>
      <c r="D330" s="197">
        <v>224</v>
      </c>
      <c r="E330" s="192" t="s">
        <v>25</v>
      </c>
      <c r="F330" s="193">
        <v>69000</v>
      </c>
      <c r="G330" s="45">
        <f>ROUNDDOWN(D330*F330,-3)</f>
        <v>15456000</v>
      </c>
      <c r="H330" s="165">
        <v>71456000</v>
      </c>
      <c r="I330" s="150" t="s">
        <v>557</v>
      </c>
      <c r="J330" s="149" t="s">
        <v>3560</v>
      </c>
      <c r="K330" s="149" t="s">
        <v>3576</v>
      </c>
      <c r="L330" s="171">
        <f t="shared" si="7"/>
        <v>-56000000</v>
      </c>
    </row>
    <row r="331" spans="1:12" x14ac:dyDescent="0.25">
      <c r="A331" s="21" t="s">
        <v>472</v>
      </c>
      <c r="B331" s="155"/>
      <c r="C331" s="154" t="s">
        <v>3714</v>
      </c>
      <c r="D331" s="155">
        <v>4</v>
      </c>
      <c r="E331" s="155" t="s">
        <v>106</v>
      </c>
      <c r="F331" s="156">
        <v>1500000</v>
      </c>
      <c r="G331" s="45">
        <f>ROUNDDOWN(D331*F331,-3)</f>
        <v>6000000</v>
      </c>
      <c r="H331" s="168">
        <v>15456000</v>
      </c>
      <c r="I331" s="150" t="s">
        <v>557</v>
      </c>
      <c r="J331" s="149" t="s">
        <v>3560</v>
      </c>
      <c r="K331" s="149" t="s">
        <v>3576</v>
      </c>
      <c r="L331" s="171">
        <f t="shared" si="7"/>
        <v>-9456000</v>
      </c>
    </row>
    <row r="332" spans="1:12" x14ac:dyDescent="0.25">
      <c r="A332" s="21" t="s">
        <v>789</v>
      </c>
      <c r="B332" s="155"/>
      <c r="C332" s="154" t="s">
        <v>3727</v>
      </c>
      <c r="D332" s="155">
        <v>100</v>
      </c>
      <c r="E332" s="155" t="s">
        <v>791</v>
      </c>
      <c r="F332" s="156">
        <v>500000</v>
      </c>
      <c r="G332" s="45">
        <f>ROUNDDOWN(D332*F332,-3)</f>
        <v>50000000</v>
      </c>
      <c r="H332" s="168">
        <v>6000000</v>
      </c>
      <c r="I332" s="150" t="s">
        <v>557</v>
      </c>
      <c r="J332" s="149" t="s">
        <v>3560</v>
      </c>
      <c r="K332" s="149" t="s">
        <v>3576</v>
      </c>
      <c r="L332" s="171">
        <f t="shared" si="7"/>
        <v>44000000</v>
      </c>
    </row>
    <row r="333" spans="1:12" x14ac:dyDescent="0.25">
      <c r="A333" s="21" t="s">
        <v>473</v>
      </c>
      <c r="B333" s="60">
        <v>521219</v>
      </c>
      <c r="C333" s="41" t="s">
        <v>53</v>
      </c>
      <c r="D333" s="71"/>
      <c r="E333" s="60"/>
      <c r="F333" s="42"/>
      <c r="G333" s="42">
        <v>5000000</v>
      </c>
      <c r="H333" s="168">
        <v>50000000</v>
      </c>
      <c r="I333" s="150" t="s">
        <v>557</v>
      </c>
      <c r="J333" s="149" t="s">
        <v>3560</v>
      </c>
      <c r="K333" s="149" t="s">
        <v>3576</v>
      </c>
      <c r="L333" s="171">
        <f t="shared" si="7"/>
        <v>-45000000</v>
      </c>
    </row>
    <row r="334" spans="1:12" x14ac:dyDescent="0.25">
      <c r="A334" s="21" t="s">
        <v>474</v>
      </c>
      <c r="B334" s="192"/>
      <c r="C334" s="191" t="s">
        <v>3722</v>
      </c>
      <c r="D334" s="197">
        <v>4</v>
      </c>
      <c r="E334" s="192" t="s">
        <v>106</v>
      </c>
      <c r="F334" s="193">
        <v>250000</v>
      </c>
      <c r="G334" s="45">
        <f>ROUNDDOWN(D334*F334,-3)</f>
        <v>1000000</v>
      </c>
      <c r="H334" s="165">
        <v>5000000</v>
      </c>
      <c r="I334" s="150" t="s">
        <v>557</v>
      </c>
      <c r="J334" s="149" t="s">
        <v>3560</v>
      </c>
      <c r="K334" s="149" t="s">
        <v>3576</v>
      </c>
      <c r="L334" s="171">
        <f t="shared" ref="L334:L397" si="9">G334-H334</f>
        <v>-4000000</v>
      </c>
    </row>
    <row r="335" spans="1:12" x14ac:dyDescent="0.25">
      <c r="A335" s="21" t="s">
        <v>792</v>
      </c>
      <c r="B335" s="155"/>
      <c r="C335" s="154" t="s">
        <v>3723</v>
      </c>
      <c r="D335" s="155">
        <v>8</v>
      </c>
      <c r="E335" s="155" t="s">
        <v>106</v>
      </c>
      <c r="F335" s="156">
        <v>500000</v>
      </c>
      <c r="G335" s="45">
        <f>ROUNDDOWN(D335*F335,-3)</f>
        <v>4000000</v>
      </c>
      <c r="H335" s="168">
        <v>1000000</v>
      </c>
      <c r="I335" s="150" t="s">
        <v>557</v>
      </c>
      <c r="J335" s="149" t="s">
        <v>3560</v>
      </c>
      <c r="K335" s="149" t="s">
        <v>3576</v>
      </c>
      <c r="L335" s="171">
        <f t="shared" si="9"/>
        <v>3000000</v>
      </c>
    </row>
    <row r="336" spans="1:12" x14ac:dyDescent="0.25">
      <c r="A336" s="21" t="s">
        <v>475</v>
      </c>
      <c r="B336" s="60">
        <v>521811</v>
      </c>
      <c r="C336" s="41" t="s">
        <v>64</v>
      </c>
      <c r="D336" s="71"/>
      <c r="E336" s="60"/>
      <c r="F336" s="42"/>
      <c r="G336" s="42">
        <v>15000000</v>
      </c>
      <c r="H336" s="168">
        <v>4000000</v>
      </c>
      <c r="I336" s="150" t="s">
        <v>557</v>
      </c>
      <c r="J336" s="149" t="s">
        <v>3560</v>
      </c>
      <c r="K336" s="149" t="s">
        <v>3576</v>
      </c>
      <c r="L336" s="171">
        <f t="shared" si="9"/>
        <v>11000000</v>
      </c>
    </row>
    <row r="337" spans="1:12" x14ac:dyDescent="0.25">
      <c r="A337" s="21" t="s">
        <v>476</v>
      </c>
      <c r="B337" s="192"/>
      <c r="C337" s="191" t="s">
        <v>3625</v>
      </c>
      <c r="D337" s="197">
        <v>6</v>
      </c>
      <c r="E337" s="192" t="s">
        <v>106</v>
      </c>
      <c r="F337" s="193">
        <v>1000000</v>
      </c>
      <c r="G337" s="45">
        <f>ROUNDDOWN(D337*F337,-3)</f>
        <v>6000000</v>
      </c>
      <c r="H337" s="165">
        <v>15000000</v>
      </c>
      <c r="I337" s="150" t="s">
        <v>557</v>
      </c>
      <c r="J337" s="149" t="s">
        <v>3560</v>
      </c>
      <c r="K337" s="149" t="s">
        <v>3576</v>
      </c>
      <c r="L337" s="171">
        <f t="shared" si="9"/>
        <v>-9000000</v>
      </c>
    </row>
    <row r="338" spans="1:12" x14ac:dyDescent="0.25">
      <c r="A338" s="21" t="s">
        <v>477</v>
      </c>
      <c r="B338" s="155"/>
      <c r="C338" s="154" t="s">
        <v>3626</v>
      </c>
      <c r="D338" s="155">
        <v>6</v>
      </c>
      <c r="E338" s="155" t="s">
        <v>106</v>
      </c>
      <c r="F338" s="156">
        <v>1500000</v>
      </c>
      <c r="G338" s="45">
        <f>ROUNDDOWN(D338*F338,-3)</f>
        <v>9000000</v>
      </c>
      <c r="H338" s="168">
        <v>6000000</v>
      </c>
      <c r="I338" s="150" t="s">
        <v>557</v>
      </c>
      <c r="J338" s="149" t="s">
        <v>3560</v>
      </c>
      <c r="K338" s="149" t="s">
        <v>3576</v>
      </c>
      <c r="L338" s="171">
        <f t="shared" si="9"/>
        <v>3000000</v>
      </c>
    </row>
    <row r="339" spans="1:12" x14ac:dyDescent="0.25">
      <c r="A339" s="21" t="s">
        <v>478</v>
      </c>
      <c r="B339" s="60">
        <v>522151</v>
      </c>
      <c r="C339" s="41" t="s">
        <v>11</v>
      </c>
      <c r="D339" s="71"/>
      <c r="E339" s="60"/>
      <c r="F339" s="42"/>
      <c r="G339" s="42">
        <v>16200000</v>
      </c>
      <c r="H339" s="168">
        <v>9000000</v>
      </c>
      <c r="I339" s="150" t="s">
        <v>557</v>
      </c>
      <c r="J339" s="149" t="s">
        <v>3560</v>
      </c>
      <c r="K339" s="149" t="s">
        <v>3576</v>
      </c>
      <c r="L339" s="171">
        <f t="shared" si="9"/>
        <v>7200000</v>
      </c>
    </row>
    <row r="340" spans="1:12" x14ac:dyDescent="0.25">
      <c r="A340" s="21" t="s">
        <v>479</v>
      </c>
      <c r="B340" s="192"/>
      <c r="C340" s="191" t="s">
        <v>3715</v>
      </c>
      <c r="D340" s="192">
        <v>18</v>
      </c>
      <c r="E340" s="192" t="s">
        <v>54</v>
      </c>
      <c r="F340" s="193">
        <v>900000</v>
      </c>
      <c r="G340" s="45">
        <f>ROUNDDOWN(D340*F340,-3)</f>
        <v>16200000</v>
      </c>
      <c r="H340" s="165">
        <v>16200000</v>
      </c>
      <c r="I340" s="150" t="s">
        <v>557</v>
      </c>
      <c r="J340" s="149" t="s">
        <v>3560</v>
      </c>
      <c r="K340" s="149" t="s">
        <v>3576</v>
      </c>
      <c r="L340" s="171">
        <f t="shared" si="9"/>
        <v>0</v>
      </c>
    </row>
    <row r="341" spans="1:12" x14ac:dyDescent="0.25">
      <c r="A341" s="21" t="s">
        <v>480</v>
      </c>
      <c r="B341" s="60">
        <v>522192</v>
      </c>
      <c r="C341" s="41" t="s">
        <v>24</v>
      </c>
      <c r="D341" s="60"/>
      <c r="E341" s="60"/>
      <c r="F341" s="42"/>
      <c r="G341" s="42">
        <v>2000000</v>
      </c>
      <c r="H341" s="168">
        <v>16200000</v>
      </c>
      <c r="I341" s="150" t="s">
        <v>557</v>
      </c>
      <c r="J341" s="149" t="s">
        <v>3560</v>
      </c>
      <c r="K341" s="149" t="s">
        <v>3576</v>
      </c>
      <c r="L341" s="171">
        <f t="shared" si="9"/>
        <v>-14200000</v>
      </c>
    </row>
    <row r="342" spans="1:12" x14ac:dyDescent="0.25">
      <c r="A342" s="21" t="s">
        <v>481</v>
      </c>
      <c r="B342" s="192"/>
      <c r="C342" s="191" t="s">
        <v>3724</v>
      </c>
      <c r="D342" s="197">
        <v>1</v>
      </c>
      <c r="E342" s="192" t="s">
        <v>60</v>
      </c>
      <c r="F342" s="193">
        <v>2000000</v>
      </c>
      <c r="G342" s="45">
        <f>ROUNDDOWN(D342*F342,-3)</f>
        <v>2000000</v>
      </c>
      <c r="H342" s="165">
        <v>2000000</v>
      </c>
      <c r="I342" s="150" t="s">
        <v>557</v>
      </c>
      <c r="J342" s="149" t="s">
        <v>3560</v>
      </c>
      <c r="K342" s="149" t="s">
        <v>3576</v>
      </c>
      <c r="L342" s="171">
        <f t="shared" si="9"/>
        <v>0</v>
      </c>
    </row>
    <row r="343" spans="1:12" x14ac:dyDescent="0.25">
      <c r="A343" s="21" t="s">
        <v>482</v>
      </c>
      <c r="B343" s="60">
        <v>524111</v>
      </c>
      <c r="C343" s="41" t="s">
        <v>19</v>
      </c>
      <c r="D343" s="71"/>
      <c r="E343" s="60"/>
      <c r="F343" s="42"/>
      <c r="G343" s="42">
        <v>138160000</v>
      </c>
      <c r="H343" s="168">
        <v>2000000</v>
      </c>
      <c r="I343" s="150" t="s">
        <v>557</v>
      </c>
      <c r="J343" s="149" t="s">
        <v>3560</v>
      </c>
      <c r="K343" s="149" t="s">
        <v>3576</v>
      </c>
      <c r="L343" s="171">
        <f t="shared" si="9"/>
        <v>136160000</v>
      </c>
    </row>
    <row r="344" spans="1:12" x14ac:dyDescent="0.25">
      <c r="A344" s="21" t="s">
        <v>483</v>
      </c>
      <c r="B344" s="192"/>
      <c r="C344" s="191" t="s">
        <v>3728</v>
      </c>
      <c r="D344" s="192">
        <v>22</v>
      </c>
      <c r="E344" s="192" t="s">
        <v>776</v>
      </c>
      <c r="F344" s="193">
        <v>6280000</v>
      </c>
      <c r="G344" s="45">
        <f>ROUNDDOWN(D344*F344,-3)</f>
        <v>138160000</v>
      </c>
      <c r="H344" s="165">
        <v>138160000</v>
      </c>
      <c r="I344" s="150" t="s">
        <v>557</v>
      </c>
      <c r="J344" s="149" t="s">
        <v>3560</v>
      </c>
      <c r="K344" s="149" t="s">
        <v>3576</v>
      </c>
      <c r="L344" s="171">
        <f t="shared" si="9"/>
        <v>0</v>
      </c>
    </row>
    <row r="345" spans="1:12" x14ac:dyDescent="0.25">
      <c r="A345" s="21" t="s">
        <v>794</v>
      </c>
      <c r="B345" s="59" t="s">
        <v>512</v>
      </c>
      <c r="C345" s="38" t="s">
        <v>795</v>
      </c>
      <c r="D345" s="70"/>
      <c r="E345" s="59"/>
      <c r="F345" s="39"/>
      <c r="G345" s="39">
        <v>51560000</v>
      </c>
      <c r="H345" s="168">
        <v>138160000</v>
      </c>
      <c r="I345" s="150" t="s">
        <v>557</v>
      </c>
      <c r="J345" s="149" t="s">
        <v>3560</v>
      </c>
      <c r="K345" s="149" t="s">
        <v>3576</v>
      </c>
      <c r="L345" s="171">
        <f t="shared" si="9"/>
        <v>-86600000</v>
      </c>
    </row>
    <row r="346" spans="1:12" x14ac:dyDescent="0.25">
      <c r="A346" s="21" t="s">
        <v>796</v>
      </c>
      <c r="B346" s="60">
        <v>521211</v>
      </c>
      <c r="C346" s="41" t="s">
        <v>7</v>
      </c>
      <c r="D346" s="71"/>
      <c r="E346" s="60"/>
      <c r="F346" s="42"/>
      <c r="G346" s="42">
        <v>20830000</v>
      </c>
      <c r="H346" s="165">
        <v>51560000</v>
      </c>
      <c r="I346" s="150" t="s">
        <v>557</v>
      </c>
      <c r="J346" s="149" t="s">
        <v>3560</v>
      </c>
      <c r="K346" s="149" t="s">
        <v>3576</v>
      </c>
      <c r="L346" s="171">
        <f t="shared" si="9"/>
        <v>-30730000</v>
      </c>
    </row>
    <row r="347" spans="1:12" x14ac:dyDescent="0.25">
      <c r="A347" s="21" t="s">
        <v>797</v>
      </c>
      <c r="B347" s="192"/>
      <c r="C347" s="191" t="s">
        <v>3625</v>
      </c>
      <c r="D347" s="192">
        <v>4</v>
      </c>
      <c r="E347" s="192" t="s">
        <v>106</v>
      </c>
      <c r="F347" s="193">
        <v>1000000</v>
      </c>
      <c r="G347" s="45">
        <f>ROUNDDOWN(D347*F347,-3)</f>
        <v>4000000</v>
      </c>
      <c r="H347" s="165">
        <v>20830000</v>
      </c>
      <c r="I347" s="150" t="s">
        <v>557</v>
      </c>
      <c r="J347" s="149" t="s">
        <v>3560</v>
      </c>
      <c r="K347" s="149" t="s">
        <v>3576</v>
      </c>
      <c r="L347" s="171">
        <f t="shared" si="9"/>
        <v>-16830000</v>
      </c>
    </row>
    <row r="348" spans="1:12" x14ac:dyDescent="0.25">
      <c r="A348" s="21" t="s">
        <v>798</v>
      </c>
      <c r="B348" s="61"/>
      <c r="C348" s="44" t="s">
        <v>3626</v>
      </c>
      <c r="D348" s="47">
        <v>4</v>
      </c>
      <c r="E348" s="61" t="s">
        <v>106</v>
      </c>
      <c r="F348" s="45">
        <v>1500000</v>
      </c>
      <c r="G348" s="45">
        <f>ROUNDDOWN(D348*F348,-3)</f>
        <v>6000000</v>
      </c>
      <c r="H348" s="168">
        <v>4000000</v>
      </c>
      <c r="I348" s="150" t="s">
        <v>557</v>
      </c>
      <c r="J348" s="149" t="s">
        <v>3560</v>
      </c>
      <c r="K348" s="149" t="s">
        <v>3576</v>
      </c>
      <c r="L348" s="171">
        <f t="shared" si="9"/>
        <v>2000000</v>
      </c>
    </row>
    <row r="349" spans="1:12" x14ac:dyDescent="0.25">
      <c r="A349" s="21" t="s">
        <v>799</v>
      </c>
      <c r="B349" s="155"/>
      <c r="C349" s="154" t="s">
        <v>3729</v>
      </c>
      <c r="D349" s="155">
        <v>70</v>
      </c>
      <c r="E349" s="155" t="s">
        <v>25</v>
      </c>
      <c r="F349" s="156">
        <v>69000</v>
      </c>
      <c r="G349" s="45">
        <f>ROUNDDOWN(D349*F349,-3)</f>
        <v>4830000</v>
      </c>
      <c r="H349" s="168">
        <v>6000000</v>
      </c>
      <c r="I349" s="150" t="s">
        <v>557</v>
      </c>
      <c r="J349" s="149" t="s">
        <v>3560</v>
      </c>
      <c r="K349" s="149" t="s">
        <v>3576</v>
      </c>
      <c r="L349" s="171">
        <f t="shared" si="9"/>
        <v>-1170000</v>
      </c>
    </row>
    <row r="350" spans="1:12" x14ac:dyDescent="0.25">
      <c r="A350" s="21" t="s">
        <v>800</v>
      </c>
      <c r="B350" s="155"/>
      <c r="C350" s="154" t="s">
        <v>3730</v>
      </c>
      <c r="D350" s="155">
        <v>4</v>
      </c>
      <c r="E350" s="155" t="s">
        <v>106</v>
      </c>
      <c r="F350" s="156">
        <v>1500000</v>
      </c>
      <c r="G350" s="45">
        <f>ROUNDDOWN(D350*F350,-3)</f>
        <v>6000000</v>
      </c>
      <c r="H350" s="168">
        <v>4830000</v>
      </c>
      <c r="I350" s="150" t="s">
        <v>557</v>
      </c>
      <c r="J350" s="149" t="s">
        <v>3560</v>
      </c>
      <c r="K350" s="149" t="s">
        <v>3576</v>
      </c>
      <c r="L350" s="171">
        <f t="shared" si="9"/>
        <v>1170000</v>
      </c>
    </row>
    <row r="351" spans="1:12" x14ac:dyDescent="0.25">
      <c r="A351" s="21" t="s">
        <v>801</v>
      </c>
      <c r="B351" s="60">
        <v>521219</v>
      </c>
      <c r="C351" s="41" t="s">
        <v>53</v>
      </c>
      <c r="D351" s="71"/>
      <c r="E351" s="60"/>
      <c r="F351" s="42"/>
      <c r="G351" s="42">
        <v>500000</v>
      </c>
      <c r="H351" s="168">
        <v>6000000</v>
      </c>
      <c r="I351" s="150" t="s">
        <v>557</v>
      </c>
      <c r="J351" s="149" t="s">
        <v>3560</v>
      </c>
      <c r="K351" s="149" t="s">
        <v>3576</v>
      </c>
      <c r="L351" s="171">
        <f t="shared" si="9"/>
        <v>-5500000</v>
      </c>
    </row>
    <row r="352" spans="1:12" x14ac:dyDescent="0.25">
      <c r="A352" s="21" t="s">
        <v>802</v>
      </c>
      <c r="B352" s="192"/>
      <c r="C352" s="191" t="s">
        <v>3722</v>
      </c>
      <c r="D352" s="197">
        <v>2</v>
      </c>
      <c r="E352" s="192" t="s">
        <v>106</v>
      </c>
      <c r="F352" s="193">
        <v>250000</v>
      </c>
      <c r="G352" s="45">
        <f>ROUNDDOWN(D352*F352,-3)</f>
        <v>500000</v>
      </c>
      <c r="H352" s="165">
        <v>500000</v>
      </c>
      <c r="I352" s="150" t="s">
        <v>557</v>
      </c>
      <c r="J352" s="149" t="s">
        <v>3560</v>
      </c>
      <c r="K352" s="149" t="s">
        <v>3576</v>
      </c>
      <c r="L352" s="171">
        <f t="shared" si="9"/>
        <v>0</v>
      </c>
    </row>
    <row r="353" spans="1:12" x14ac:dyDescent="0.25">
      <c r="A353" s="21" t="s">
        <v>803</v>
      </c>
      <c r="B353" s="60">
        <v>522151</v>
      </c>
      <c r="C353" s="41" t="s">
        <v>11</v>
      </c>
      <c r="D353" s="60"/>
      <c r="E353" s="60"/>
      <c r="F353" s="42"/>
      <c r="G353" s="42">
        <v>7200000</v>
      </c>
      <c r="H353" s="168">
        <v>500000</v>
      </c>
      <c r="I353" s="150" t="s">
        <v>557</v>
      </c>
      <c r="J353" s="149" t="s">
        <v>3560</v>
      </c>
      <c r="K353" s="149" t="s">
        <v>3576</v>
      </c>
      <c r="L353" s="171">
        <f t="shared" si="9"/>
        <v>6700000</v>
      </c>
    </row>
    <row r="354" spans="1:12" x14ac:dyDescent="0.25">
      <c r="A354" s="21" t="s">
        <v>804</v>
      </c>
      <c r="B354" s="192"/>
      <c r="C354" s="191" t="s">
        <v>3715</v>
      </c>
      <c r="D354" s="197">
        <v>8</v>
      </c>
      <c r="E354" s="192" t="s">
        <v>54</v>
      </c>
      <c r="F354" s="193">
        <v>900000</v>
      </c>
      <c r="G354" s="45">
        <f>ROUNDDOWN(D354*F354,-3)</f>
        <v>7200000</v>
      </c>
      <c r="H354" s="165">
        <v>7200000</v>
      </c>
      <c r="I354" s="150" t="s">
        <v>557</v>
      </c>
      <c r="J354" s="149" t="s">
        <v>3560</v>
      </c>
      <c r="K354" s="149" t="s">
        <v>3576</v>
      </c>
      <c r="L354" s="171">
        <f t="shared" si="9"/>
        <v>0</v>
      </c>
    </row>
    <row r="355" spans="1:12" x14ac:dyDescent="0.25">
      <c r="A355" s="21" t="s">
        <v>805</v>
      </c>
      <c r="B355" s="60">
        <v>524111</v>
      </c>
      <c r="C355" s="41" t="s">
        <v>19</v>
      </c>
      <c r="D355" s="71"/>
      <c r="E355" s="60"/>
      <c r="F355" s="42"/>
      <c r="G355" s="42">
        <v>23030000</v>
      </c>
      <c r="H355" s="168">
        <v>7200000</v>
      </c>
      <c r="I355" s="150" t="s">
        <v>557</v>
      </c>
      <c r="J355" s="149" t="s">
        <v>3560</v>
      </c>
      <c r="K355" s="149" t="s">
        <v>3576</v>
      </c>
      <c r="L355" s="171">
        <f t="shared" si="9"/>
        <v>15830000</v>
      </c>
    </row>
    <row r="356" spans="1:12" ht="26.4" x14ac:dyDescent="0.25">
      <c r="A356" s="21" t="s">
        <v>806</v>
      </c>
      <c r="B356" s="192"/>
      <c r="C356" s="191" t="s">
        <v>3731</v>
      </c>
      <c r="D356" s="192">
        <v>6</v>
      </c>
      <c r="E356" s="192" t="s">
        <v>776</v>
      </c>
      <c r="F356" s="193">
        <v>3838335</v>
      </c>
      <c r="G356" s="45">
        <f>ROUNDDOWN(D356*F356,-3)</f>
        <v>23030000</v>
      </c>
      <c r="H356" s="165">
        <v>23030000</v>
      </c>
      <c r="I356" s="150" t="s">
        <v>557</v>
      </c>
      <c r="J356" s="149" t="s">
        <v>3560</v>
      </c>
      <c r="K356" s="149" t="s">
        <v>3576</v>
      </c>
      <c r="L356" s="171">
        <f t="shared" si="9"/>
        <v>0</v>
      </c>
    </row>
    <row r="357" spans="1:12" x14ac:dyDescent="0.25">
      <c r="A357" s="21" t="s">
        <v>484</v>
      </c>
      <c r="B357" s="58" t="s">
        <v>526</v>
      </c>
      <c r="C357" s="35" t="s">
        <v>67</v>
      </c>
      <c r="D357" s="69">
        <v>0</v>
      </c>
      <c r="E357" s="58"/>
      <c r="F357" s="36"/>
      <c r="G357" s="36">
        <v>135100000</v>
      </c>
      <c r="H357" s="168">
        <v>23030000</v>
      </c>
      <c r="I357" s="150" t="s">
        <v>557</v>
      </c>
      <c r="J357" s="149" t="s">
        <v>3560</v>
      </c>
      <c r="K357" s="149" t="s">
        <v>3576</v>
      </c>
      <c r="L357" s="171">
        <f t="shared" si="9"/>
        <v>112070000</v>
      </c>
    </row>
    <row r="358" spans="1:12" x14ac:dyDescent="0.25">
      <c r="A358" s="21" t="s">
        <v>485</v>
      </c>
      <c r="B358" s="59" t="s">
        <v>8</v>
      </c>
      <c r="C358" s="38" t="s">
        <v>68</v>
      </c>
      <c r="D358" s="59"/>
      <c r="E358" s="59"/>
      <c r="F358" s="39"/>
      <c r="G358" s="39">
        <v>135100000</v>
      </c>
      <c r="H358" s="165">
        <v>135100000</v>
      </c>
      <c r="I358" s="150" t="s">
        <v>557</v>
      </c>
      <c r="J358" s="149" t="s">
        <v>3560</v>
      </c>
      <c r="K358" s="149" t="s">
        <v>3575</v>
      </c>
      <c r="L358" s="171">
        <f t="shared" si="9"/>
        <v>0</v>
      </c>
    </row>
    <row r="359" spans="1:12" x14ac:dyDescent="0.25">
      <c r="A359" s="21" t="s">
        <v>486</v>
      </c>
      <c r="B359" s="60">
        <v>521211</v>
      </c>
      <c r="C359" s="41" t="s">
        <v>7</v>
      </c>
      <c r="D359" s="71"/>
      <c r="E359" s="60"/>
      <c r="F359" s="42"/>
      <c r="G359" s="42">
        <v>21100000</v>
      </c>
      <c r="H359" s="165">
        <v>135100000</v>
      </c>
      <c r="I359" s="150" t="s">
        <v>557</v>
      </c>
      <c r="J359" s="149" t="s">
        <v>3560</v>
      </c>
      <c r="K359" s="149" t="s">
        <v>3575</v>
      </c>
      <c r="L359" s="171">
        <f t="shared" si="9"/>
        <v>-114000000</v>
      </c>
    </row>
    <row r="360" spans="1:12" x14ac:dyDescent="0.25">
      <c r="A360" s="21" t="s">
        <v>487</v>
      </c>
      <c r="B360" s="192"/>
      <c r="C360" s="191" t="s">
        <v>3598</v>
      </c>
      <c r="D360" s="192">
        <v>2</v>
      </c>
      <c r="E360" s="192" t="s">
        <v>106</v>
      </c>
      <c r="F360" s="193">
        <v>1500000</v>
      </c>
      <c r="G360" s="45">
        <f>ROUNDDOWN(D360*F360,-3)</f>
        <v>3000000</v>
      </c>
      <c r="H360" s="165">
        <v>21100000</v>
      </c>
      <c r="I360" s="150" t="s">
        <v>557</v>
      </c>
      <c r="J360" s="149" t="s">
        <v>3560</v>
      </c>
      <c r="K360" s="149" t="s">
        <v>3575</v>
      </c>
      <c r="L360" s="171">
        <f t="shared" si="9"/>
        <v>-18100000</v>
      </c>
    </row>
    <row r="361" spans="1:12" x14ac:dyDescent="0.25">
      <c r="A361" s="21" t="s">
        <v>488</v>
      </c>
      <c r="B361" s="155"/>
      <c r="C361" s="154" t="s">
        <v>3732</v>
      </c>
      <c r="D361" s="155">
        <v>90</v>
      </c>
      <c r="E361" s="155" t="s">
        <v>25</v>
      </c>
      <c r="F361" s="156">
        <v>65556</v>
      </c>
      <c r="G361" s="45">
        <f>ROUNDDOWN(D361*F361,-3)</f>
        <v>5900000</v>
      </c>
      <c r="H361" s="168">
        <v>3000000</v>
      </c>
      <c r="I361" s="150" t="s">
        <v>557</v>
      </c>
      <c r="J361" s="149" t="s">
        <v>3560</v>
      </c>
      <c r="K361" s="149" t="s">
        <v>3575</v>
      </c>
      <c r="L361" s="171">
        <f t="shared" si="9"/>
        <v>2900000</v>
      </c>
    </row>
    <row r="362" spans="1:12" x14ac:dyDescent="0.25">
      <c r="A362" s="21" t="s">
        <v>489</v>
      </c>
      <c r="B362" s="155"/>
      <c r="C362" s="154" t="s">
        <v>3600</v>
      </c>
      <c r="D362" s="155">
        <v>2</v>
      </c>
      <c r="E362" s="155" t="s">
        <v>106</v>
      </c>
      <c r="F362" s="156">
        <v>1000000</v>
      </c>
      <c r="G362" s="45">
        <f>ROUNDDOWN(D362*F362,-3)</f>
        <v>2000000</v>
      </c>
      <c r="H362" s="168">
        <v>5900000</v>
      </c>
      <c r="I362" s="150" t="s">
        <v>557</v>
      </c>
      <c r="J362" s="149" t="s">
        <v>3560</v>
      </c>
      <c r="K362" s="149" t="s">
        <v>3575</v>
      </c>
      <c r="L362" s="171">
        <f t="shared" si="9"/>
        <v>-3900000</v>
      </c>
    </row>
    <row r="363" spans="1:12" x14ac:dyDescent="0.25">
      <c r="A363" s="21" t="s">
        <v>809</v>
      </c>
      <c r="B363" s="61"/>
      <c r="C363" s="44" t="s">
        <v>3601</v>
      </c>
      <c r="D363" s="47">
        <v>2</v>
      </c>
      <c r="E363" s="61" t="s">
        <v>106</v>
      </c>
      <c r="F363" s="45">
        <v>1500000</v>
      </c>
      <c r="G363" s="45">
        <f>ROUNDDOWN(D363*F363,-3)</f>
        <v>3000000</v>
      </c>
      <c r="H363" s="168">
        <v>2000000</v>
      </c>
      <c r="I363" s="150" t="s">
        <v>557</v>
      </c>
      <c r="J363" s="149" t="s">
        <v>3560</v>
      </c>
      <c r="K363" s="149" t="s">
        <v>3575</v>
      </c>
      <c r="L363" s="171">
        <f t="shared" si="9"/>
        <v>1000000</v>
      </c>
    </row>
    <row r="364" spans="1:12" x14ac:dyDescent="0.25">
      <c r="A364" s="21" t="s">
        <v>810</v>
      </c>
      <c r="B364" s="61"/>
      <c r="C364" s="44" t="s">
        <v>3733</v>
      </c>
      <c r="D364" s="47">
        <v>36</v>
      </c>
      <c r="E364" s="61" t="s">
        <v>25</v>
      </c>
      <c r="F364" s="45">
        <v>200000</v>
      </c>
      <c r="G364" s="45">
        <f>ROUNDDOWN(D364*F364,-3)</f>
        <v>7200000</v>
      </c>
      <c r="H364" s="168">
        <v>3000000</v>
      </c>
      <c r="I364" s="150" t="s">
        <v>557</v>
      </c>
      <c r="J364" s="149" t="s">
        <v>3560</v>
      </c>
      <c r="K364" s="149" t="s">
        <v>3575</v>
      </c>
      <c r="L364" s="171">
        <f t="shared" si="9"/>
        <v>4200000</v>
      </c>
    </row>
    <row r="365" spans="1:12" x14ac:dyDescent="0.25">
      <c r="A365" s="21" t="s">
        <v>490</v>
      </c>
      <c r="B365" s="60">
        <v>521219</v>
      </c>
      <c r="C365" s="41" t="s">
        <v>53</v>
      </c>
      <c r="D365" s="71"/>
      <c r="E365" s="60"/>
      <c r="F365" s="42"/>
      <c r="G365" s="42">
        <v>1584000</v>
      </c>
      <c r="H365" s="168">
        <v>7200000</v>
      </c>
      <c r="I365" s="150" t="s">
        <v>557</v>
      </c>
      <c r="J365" s="149" t="s">
        <v>3560</v>
      </c>
      <c r="K365" s="149" t="s">
        <v>3575</v>
      </c>
      <c r="L365" s="171">
        <f t="shared" si="9"/>
        <v>-5616000</v>
      </c>
    </row>
    <row r="366" spans="1:12" ht="26.4" x14ac:dyDescent="0.25">
      <c r="A366" s="21" t="s">
        <v>491</v>
      </c>
      <c r="B366" s="192"/>
      <c r="C366" s="191" t="s">
        <v>3734</v>
      </c>
      <c r="D366" s="197">
        <v>36</v>
      </c>
      <c r="E366" s="192" t="s">
        <v>25</v>
      </c>
      <c r="F366" s="193">
        <v>44000</v>
      </c>
      <c r="G366" s="45">
        <f>ROUNDDOWN(D366*F366,-3)</f>
        <v>1584000</v>
      </c>
      <c r="H366" s="165">
        <v>1584000</v>
      </c>
      <c r="I366" s="150" t="s">
        <v>557</v>
      </c>
      <c r="J366" s="149" t="s">
        <v>3560</v>
      </c>
      <c r="K366" s="149" t="s">
        <v>3575</v>
      </c>
      <c r="L366" s="171">
        <f t="shared" si="9"/>
        <v>0</v>
      </c>
    </row>
    <row r="367" spans="1:12" x14ac:dyDescent="0.25">
      <c r="A367" s="21" t="s">
        <v>492</v>
      </c>
      <c r="B367" s="60">
        <v>522151</v>
      </c>
      <c r="C367" s="41" t="s">
        <v>11</v>
      </c>
      <c r="D367" s="60"/>
      <c r="E367" s="60"/>
      <c r="F367" s="42"/>
      <c r="G367" s="42">
        <v>10000000</v>
      </c>
      <c r="H367" s="168">
        <v>1584000</v>
      </c>
      <c r="I367" s="150" t="s">
        <v>557</v>
      </c>
      <c r="J367" s="149" t="s">
        <v>3560</v>
      </c>
      <c r="K367" s="149" t="s">
        <v>3575</v>
      </c>
      <c r="L367" s="171">
        <f t="shared" si="9"/>
        <v>8416000</v>
      </c>
    </row>
    <row r="368" spans="1:12" x14ac:dyDescent="0.25">
      <c r="A368" s="21" t="s">
        <v>493</v>
      </c>
      <c r="B368" s="192"/>
      <c r="C368" s="191" t="s">
        <v>3715</v>
      </c>
      <c r="D368" s="197">
        <v>10</v>
      </c>
      <c r="E368" s="192" t="s">
        <v>54</v>
      </c>
      <c r="F368" s="193">
        <v>1000000</v>
      </c>
      <c r="G368" s="45">
        <f>ROUNDDOWN(D368*F368,-3)</f>
        <v>10000000</v>
      </c>
      <c r="H368" s="165">
        <v>10000000</v>
      </c>
      <c r="I368" s="150" t="s">
        <v>557</v>
      </c>
      <c r="J368" s="149" t="s">
        <v>3560</v>
      </c>
      <c r="K368" s="149" t="s">
        <v>3575</v>
      </c>
      <c r="L368" s="171">
        <f t="shared" si="9"/>
        <v>0</v>
      </c>
    </row>
    <row r="369" spans="1:12" x14ac:dyDescent="0.25">
      <c r="A369" s="21" t="s">
        <v>813</v>
      </c>
      <c r="B369" s="60">
        <v>522192</v>
      </c>
      <c r="C369" s="41" t="s">
        <v>24</v>
      </c>
      <c r="D369" s="60"/>
      <c r="E369" s="60"/>
      <c r="F369" s="42"/>
      <c r="G369" s="42">
        <v>5000000</v>
      </c>
      <c r="H369" s="168">
        <v>10000000</v>
      </c>
      <c r="I369" s="150" t="s">
        <v>557</v>
      </c>
      <c r="J369" s="149" t="s">
        <v>3560</v>
      </c>
      <c r="K369" s="149" t="s">
        <v>3575</v>
      </c>
      <c r="L369" s="171">
        <f t="shared" si="9"/>
        <v>-5000000</v>
      </c>
    </row>
    <row r="370" spans="1:12" x14ac:dyDescent="0.25">
      <c r="A370" s="21" t="s">
        <v>814</v>
      </c>
      <c r="B370" s="192"/>
      <c r="C370" s="191" t="s">
        <v>3735</v>
      </c>
      <c r="D370" s="197">
        <v>1</v>
      </c>
      <c r="E370" s="192" t="s">
        <v>153</v>
      </c>
      <c r="F370" s="193">
        <v>5000000</v>
      </c>
      <c r="G370" s="45">
        <f>ROUNDDOWN(D370*F370,-3)</f>
        <v>5000000</v>
      </c>
      <c r="H370" s="165">
        <v>5000000</v>
      </c>
      <c r="I370" s="150" t="s">
        <v>557</v>
      </c>
      <c r="J370" s="149" t="s">
        <v>3560</v>
      </c>
      <c r="K370" s="149" t="s">
        <v>3575</v>
      </c>
      <c r="L370" s="171">
        <f t="shared" si="9"/>
        <v>0</v>
      </c>
    </row>
    <row r="371" spans="1:12" x14ac:dyDescent="0.25">
      <c r="A371" s="21" t="s">
        <v>816</v>
      </c>
      <c r="B371" s="60">
        <v>524111</v>
      </c>
      <c r="C371" s="41" t="s">
        <v>19</v>
      </c>
      <c r="D371" s="60"/>
      <c r="E371" s="60"/>
      <c r="F371" s="42"/>
      <c r="G371" s="42">
        <v>97416000</v>
      </c>
      <c r="H371" s="168">
        <v>5000000</v>
      </c>
      <c r="I371" s="150" t="s">
        <v>557</v>
      </c>
      <c r="J371" s="149" t="s">
        <v>3560</v>
      </c>
      <c r="K371" s="149" t="s">
        <v>3575</v>
      </c>
      <c r="L371" s="171">
        <f t="shared" si="9"/>
        <v>92416000</v>
      </c>
    </row>
    <row r="372" spans="1:12" x14ac:dyDescent="0.25">
      <c r="A372" s="21" t="s">
        <v>817</v>
      </c>
      <c r="B372" s="192"/>
      <c r="C372" s="191" t="s">
        <v>3736</v>
      </c>
      <c r="D372" s="192">
        <v>36</v>
      </c>
      <c r="E372" s="192" t="s">
        <v>776</v>
      </c>
      <c r="F372" s="193">
        <v>2706000</v>
      </c>
      <c r="G372" s="45">
        <f>ROUNDDOWN(D372*F372,-3)</f>
        <v>97416000</v>
      </c>
      <c r="H372" s="165">
        <v>97416000</v>
      </c>
      <c r="I372" s="150" t="s">
        <v>557</v>
      </c>
      <c r="J372" s="149" t="s">
        <v>3560</v>
      </c>
      <c r="K372" s="149" t="s">
        <v>3575</v>
      </c>
      <c r="L372" s="171">
        <f t="shared" si="9"/>
        <v>0</v>
      </c>
    </row>
    <row r="373" spans="1:12" x14ac:dyDescent="0.25">
      <c r="A373" s="21" t="s">
        <v>69</v>
      </c>
      <c r="B373" s="54" t="s">
        <v>69</v>
      </c>
      <c r="C373" s="23" t="s">
        <v>70</v>
      </c>
      <c r="D373" s="54"/>
      <c r="E373" s="54"/>
      <c r="F373" s="24"/>
      <c r="G373" s="24">
        <v>91323782000</v>
      </c>
      <c r="H373" s="168">
        <v>97416000</v>
      </c>
      <c r="I373" s="150" t="s">
        <v>557</v>
      </c>
      <c r="J373" s="149" t="s">
        <v>3560</v>
      </c>
      <c r="K373" s="149" t="s">
        <v>3575</v>
      </c>
      <c r="L373" s="171">
        <f t="shared" si="9"/>
        <v>91226366000</v>
      </c>
    </row>
    <row r="374" spans="1:12" ht="26.4" x14ac:dyDescent="0.25">
      <c r="A374" s="21" t="s">
        <v>494</v>
      </c>
      <c r="B374" s="55">
        <v>2378</v>
      </c>
      <c r="C374" s="26" t="s">
        <v>71</v>
      </c>
      <c r="D374" s="68"/>
      <c r="E374" s="55"/>
      <c r="F374" s="27"/>
      <c r="G374" s="27">
        <v>82741282000</v>
      </c>
      <c r="H374" s="165">
        <v>90623782000</v>
      </c>
      <c r="I374" s="150"/>
      <c r="J374" s="149"/>
      <c r="K374" s="149"/>
      <c r="L374" s="171">
        <f t="shared" si="9"/>
        <v>-7882500000</v>
      </c>
    </row>
    <row r="375" spans="1:12" x14ac:dyDescent="0.25">
      <c r="A375" s="21" t="s">
        <v>819</v>
      </c>
      <c r="B375" s="135" t="s">
        <v>820</v>
      </c>
      <c r="C375" s="133" t="s">
        <v>821</v>
      </c>
      <c r="D375" s="134">
        <v>1</v>
      </c>
      <c r="E375" s="135" t="s">
        <v>42</v>
      </c>
      <c r="F375" s="136"/>
      <c r="G375" s="136">
        <v>584676000</v>
      </c>
      <c r="H375" s="165">
        <v>82041282000</v>
      </c>
      <c r="I375" s="150"/>
      <c r="J375" s="149"/>
      <c r="K375" s="149"/>
      <c r="L375" s="171">
        <f t="shared" si="9"/>
        <v>-81456606000</v>
      </c>
    </row>
    <row r="376" spans="1:12" ht="26.4" x14ac:dyDescent="0.25">
      <c r="A376" s="21" t="s">
        <v>822</v>
      </c>
      <c r="B376" s="138" t="s">
        <v>3737</v>
      </c>
      <c r="C376" s="137" t="s">
        <v>824</v>
      </c>
      <c r="D376" s="140">
        <v>1</v>
      </c>
      <c r="E376" s="138" t="s">
        <v>42</v>
      </c>
      <c r="F376" s="139"/>
      <c r="G376" s="139">
        <v>584676000</v>
      </c>
      <c r="H376" s="165">
        <v>584676000</v>
      </c>
      <c r="I376" s="150"/>
      <c r="J376" s="149"/>
      <c r="K376" s="149"/>
      <c r="L376" s="171">
        <f t="shared" si="9"/>
        <v>0</v>
      </c>
    </row>
    <row r="377" spans="1:12" ht="26.4" x14ac:dyDescent="0.25">
      <c r="A377" s="21" t="s">
        <v>825</v>
      </c>
      <c r="B377" s="58">
        <v>101</v>
      </c>
      <c r="C377" s="35" t="s">
        <v>824</v>
      </c>
      <c r="D377" s="69">
        <v>0</v>
      </c>
      <c r="E377" s="58"/>
      <c r="F377" s="36"/>
      <c r="G377" s="36">
        <v>469676000</v>
      </c>
      <c r="H377" s="165">
        <v>584676000</v>
      </c>
      <c r="I377" s="150"/>
      <c r="J377" s="149"/>
      <c r="K377" s="149"/>
      <c r="L377" s="171">
        <f t="shared" si="9"/>
        <v>-115000000</v>
      </c>
    </row>
    <row r="378" spans="1:12" x14ac:dyDescent="0.25">
      <c r="A378" s="21" t="s">
        <v>827</v>
      </c>
      <c r="B378" s="59" t="s">
        <v>8</v>
      </c>
      <c r="C378" s="38" t="s">
        <v>828</v>
      </c>
      <c r="D378" s="70"/>
      <c r="E378" s="59"/>
      <c r="F378" s="39"/>
      <c r="G378" s="39">
        <v>469676000</v>
      </c>
      <c r="H378" s="165">
        <v>469676000</v>
      </c>
      <c r="I378" s="150" t="s">
        <v>3552</v>
      </c>
      <c r="J378" s="149" t="s">
        <v>3564</v>
      </c>
      <c r="K378" s="149" t="s">
        <v>3584</v>
      </c>
      <c r="L378" s="171">
        <f t="shared" si="9"/>
        <v>0</v>
      </c>
    </row>
    <row r="379" spans="1:12" x14ac:dyDescent="0.25">
      <c r="A379" s="21" t="s">
        <v>829</v>
      </c>
      <c r="B379" s="60">
        <v>532111</v>
      </c>
      <c r="C379" s="41" t="s">
        <v>43</v>
      </c>
      <c r="D379" s="60"/>
      <c r="E379" s="60"/>
      <c r="F379" s="42"/>
      <c r="G379" s="42">
        <v>469676000</v>
      </c>
      <c r="H379" s="165">
        <v>469676000</v>
      </c>
      <c r="I379" s="150" t="s">
        <v>3552</v>
      </c>
      <c r="J379" s="149" t="s">
        <v>3564</v>
      </c>
      <c r="K379" s="149" t="s">
        <v>3584</v>
      </c>
      <c r="L379" s="171">
        <f t="shared" si="9"/>
        <v>0</v>
      </c>
    </row>
    <row r="380" spans="1:12" ht="26.4" x14ac:dyDescent="0.25">
      <c r="A380" s="21" t="s">
        <v>830</v>
      </c>
      <c r="B380" s="192"/>
      <c r="C380" s="191" t="s">
        <v>3738</v>
      </c>
      <c r="D380" s="197">
        <v>1</v>
      </c>
      <c r="E380" s="192" t="s">
        <v>106</v>
      </c>
      <c r="F380" s="193">
        <v>469676000</v>
      </c>
      <c r="G380" s="45">
        <f>ROUNDDOWN(D380*F380,-3)</f>
        <v>469676000</v>
      </c>
      <c r="H380" s="165">
        <v>469676000</v>
      </c>
      <c r="I380" s="150" t="s">
        <v>3552</v>
      </c>
      <c r="J380" s="149" t="s">
        <v>3564</v>
      </c>
      <c r="K380" s="149" t="s">
        <v>3584</v>
      </c>
      <c r="L380" s="171">
        <f t="shared" si="9"/>
        <v>0</v>
      </c>
    </row>
    <row r="381" spans="1:12" ht="26.4" x14ac:dyDescent="0.25">
      <c r="A381" s="21" t="s">
        <v>832</v>
      </c>
      <c r="B381" s="58">
        <v>301</v>
      </c>
      <c r="C381" s="35" t="s">
        <v>834</v>
      </c>
      <c r="D381" s="58">
        <v>0</v>
      </c>
      <c r="E381" s="58"/>
      <c r="F381" s="36"/>
      <c r="G381" s="36">
        <v>115000000</v>
      </c>
      <c r="H381" s="165">
        <v>469676000</v>
      </c>
      <c r="I381" s="150" t="s">
        <v>3552</v>
      </c>
      <c r="J381" s="149" t="s">
        <v>3564</v>
      </c>
      <c r="K381" s="149" t="s">
        <v>3584</v>
      </c>
      <c r="L381" s="171">
        <f t="shared" si="9"/>
        <v>-354676000</v>
      </c>
    </row>
    <row r="382" spans="1:12" x14ac:dyDescent="0.25">
      <c r="A382" s="21" t="s">
        <v>835</v>
      </c>
      <c r="B382" s="59" t="s">
        <v>8</v>
      </c>
      <c r="C382" s="38" t="s">
        <v>836</v>
      </c>
      <c r="D382" s="70"/>
      <c r="E382" s="59"/>
      <c r="F382" s="39"/>
      <c r="G382" s="39">
        <v>115000000</v>
      </c>
      <c r="H382" s="165">
        <v>115000000</v>
      </c>
      <c r="I382" s="150" t="s">
        <v>557</v>
      </c>
      <c r="J382" s="149" t="s">
        <v>3557</v>
      </c>
      <c r="K382" s="149" t="s">
        <v>3573</v>
      </c>
      <c r="L382" s="171">
        <f t="shared" si="9"/>
        <v>0</v>
      </c>
    </row>
    <row r="383" spans="1:12" x14ac:dyDescent="0.25">
      <c r="A383" s="21" t="s">
        <v>837</v>
      </c>
      <c r="B383" s="60">
        <v>532111</v>
      </c>
      <c r="C383" s="41" t="s">
        <v>43</v>
      </c>
      <c r="D383" s="60"/>
      <c r="E383" s="60"/>
      <c r="F383" s="42"/>
      <c r="G383" s="42">
        <v>115000000</v>
      </c>
      <c r="H383" s="165">
        <v>115000000</v>
      </c>
      <c r="I383" s="150" t="s">
        <v>557</v>
      </c>
      <c r="J383" s="149" t="s">
        <v>3557</v>
      </c>
      <c r="K383" s="149" t="s">
        <v>3573</v>
      </c>
      <c r="L383" s="171">
        <f t="shared" si="9"/>
        <v>0</v>
      </c>
    </row>
    <row r="384" spans="1:12" x14ac:dyDescent="0.25">
      <c r="A384" s="21" t="s">
        <v>838</v>
      </c>
      <c r="B384" s="192"/>
      <c r="C384" s="191" t="s">
        <v>3739</v>
      </c>
      <c r="D384" s="197">
        <v>1</v>
      </c>
      <c r="E384" s="192" t="s">
        <v>23</v>
      </c>
      <c r="F384" s="193">
        <v>115000000</v>
      </c>
      <c r="G384" s="45">
        <f>ROUNDDOWN(D384*F384,-3)</f>
        <v>115000000</v>
      </c>
      <c r="H384" s="165">
        <v>115000000</v>
      </c>
      <c r="I384" s="150" t="s">
        <v>557</v>
      </c>
      <c r="J384" s="149" t="s">
        <v>3557</v>
      </c>
      <c r="K384" s="149" t="s">
        <v>3573</v>
      </c>
      <c r="L384" s="171">
        <f t="shared" si="9"/>
        <v>0</v>
      </c>
    </row>
    <row r="385" spans="1:12" x14ac:dyDescent="0.25">
      <c r="A385" s="21" t="s">
        <v>840</v>
      </c>
      <c r="B385" s="135" t="s">
        <v>841</v>
      </c>
      <c r="C385" s="133" t="s">
        <v>842</v>
      </c>
      <c r="D385" s="135">
        <v>9</v>
      </c>
      <c r="E385" s="135" t="s">
        <v>3740</v>
      </c>
      <c r="F385" s="136"/>
      <c r="G385" s="136">
        <v>63693463000</v>
      </c>
      <c r="H385" s="168">
        <v>115000000</v>
      </c>
      <c r="I385" s="150" t="s">
        <v>557</v>
      </c>
      <c r="J385" s="149" t="s">
        <v>3557</v>
      </c>
      <c r="K385" s="149" t="s">
        <v>3573</v>
      </c>
      <c r="L385" s="171">
        <f t="shared" si="9"/>
        <v>63578463000</v>
      </c>
    </row>
    <row r="386" spans="1:12" x14ac:dyDescent="0.25">
      <c r="A386" s="21" t="s">
        <v>843</v>
      </c>
      <c r="B386" s="138" t="s">
        <v>3741</v>
      </c>
      <c r="C386" s="137" t="s">
        <v>845</v>
      </c>
      <c r="D386" s="138">
        <v>1</v>
      </c>
      <c r="E386" s="138" t="s">
        <v>3740</v>
      </c>
      <c r="F386" s="139"/>
      <c r="G386" s="139">
        <v>1800000000</v>
      </c>
      <c r="H386" s="165">
        <v>63693463000</v>
      </c>
      <c r="I386" s="150"/>
      <c r="J386" s="149"/>
      <c r="K386" s="149"/>
      <c r="L386" s="171">
        <f t="shared" si="9"/>
        <v>-61893463000</v>
      </c>
    </row>
    <row r="387" spans="1:12" ht="26.4" x14ac:dyDescent="0.25">
      <c r="A387" s="21" t="s">
        <v>846</v>
      </c>
      <c r="B387" s="58">
        <v>101</v>
      </c>
      <c r="C387" s="35" t="s">
        <v>847</v>
      </c>
      <c r="D387" s="69">
        <v>0</v>
      </c>
      <c r="E387" s="58"/>
      <c r="F387" s="36"/>
      <c r="G387" s="36">
        <v>1800000000</v>
      </c>
      <c r="H387" s="165">
        <v>1800000000</v>
      </c>
      <c r="I387" s="150" t="s">
        <v>3552</v>
      </c>
      <c r="J387" s="149" t="s">
        <v>3564</v>
      </c>
      <c r="K387" s="149" t="s">
        <v>3584</v>
      </c>
      <c r="L387" s="171">
        <f t="shared" si="9"/>
        <v>0</v>
      </c>
    </row>
    <row r="388" spans="1:12" ht="26.4" x14ac:dyDescent="0.25">
      <c r="A388" s="21" t="s">
        <v>848</v>
      </c>
      <c r="B388" s="59" t="s">
        <v>8</v>
      </c>
      <c r="C388" s="38" t="s">
        <v>849</v>
      </c>
      <c r="D388" s="59"/>
      <c r="E388" s="59"/>
      <c r="F388" s="39"/>
      <c r="G388" s="39">
        <v>227100000</v>
      </c>
      <c r="H388" s="165">
        <v>1800000000</v>
      </c>
      <c r="I388" s="150" t="s">
        <v>3552</v>
      </c>
      <c r="J388" s="149" t="s">
        <v>3564</v>
      </c>
      <c r="K388" s="149" t="s">
        <v>3584</v>
      </c>
      <c r="L388" s="171">
        <f t="shared" si="9"/>
        <v>-1572900000</v>
      </c>
    </row>
    <row r="389" spans="1:12" x14ac:dyDescent="0.25">
      <c r="A389" s="21" t="s">
        <v>850</v>
      </c>
      <c r="B389" s="60">
        <v>521211</v>
      </c>
      <c r="C389" s="41" t="s">
        <v>7</v>
      </c>
      <c r="D389" s="71"/>
      <c r="E389" s="60"/>
      <c r="F389" s="42"/>
      <c r="G389" s="42">
        <v>4500000</v>
      </c>
      <c r="H389" s="165">
        <v>227100000</v>
      </c>
      <c r="I389" s="150" t="s">
        <v>3552</v>
      </c>
      <c r="J389" s="149" t="s">
        <v>3564</v>
      </c>
      <c r="K389" s="149" t="s">
        <v>3584</v>
      </c>
      <c r="L389" s="171">
        <f t="shared" si="9"/>
        <v>-222600000</v>
      </c>
    </row>
    <row r="390" spans="1:12" ht="39.6" x14ac:dyDescent="0.25">
      <c r="A390" s="21" t="s">
        <v>851</v>
      </c>
      <c r="B390" s="192"/>
      <c r="C390" s="191" t="s">
        <v>3742</v>
      </c>
      <c r="D390" s="197">
        <v>9</v>
      </c>
      <c r="E390" s="192" t="s">
        <v>853</v>
      </c>
      <c r="F390" s="193">
        <v>250000</v>
      </c>
      <c r="G390" s="45">
        <f>ROUNDDOWN(D390*F390,-3)</f>
        <v>2250000</v>
      </c>
      <c r="H390" s="165">
        <v>4500000</v>
      </c>
      <c r="I390" s="150" t="s">
        <v>3552</v>
      </c>
      <c r="J390" s="149" t="s">
        <v>3564</v>
      </c>
      <c r="K390" s="149" t="s">
        <v>3584</v>
      </c>
      <c r="L390" s="171">
        <f t="shared" si="9"/>
        <v>-2250000</v>
      </c>
    </row>
    <row r="391" spans="1:12" ht="26.4" x14ac:dyDescent="0.25">
      <c r="A391" s="21" t="s">
        <v>854</v>
      </c>
      <c r="B391" s="155"/>
      <c r="C391" s="154" t="s">
        <v>3743</v>
      </c>
      <c r="D391" s="155">
        <v>9</v>
      </c>
      <c r="E391" s="155" t="s">
        <v>853</v>
      </c>
      <c r="F391" s="156">
        <v>250000</v>
      </c>
      <c r="G391" s="45">
        <f>ROUNDDOWN(D391*F391,-3)</f>
        <v>2250000</v>
      </c>
      <c r="H391" s="165">
        <v>2250000</v>
      </c>
      <c r="I391" s="150" t="s">
        <v>3552</v>
      </c>
      <c r="J391" s="149" t="s">
        <v>3564</v>
      </c>
      <c r="K391" s="149" t="s">
        <v>3584</v>
      </c>
      <c r="L391" s="171">
        <f t="shared" si="9"/>
        <v>0</v>
      </c>
    </row>
    <row r="392" spans="1:12" x14ac:dyDescent="0.25">
      <c r="A392" s="21" t="s">
        <v>856</v>
      </c>
      <c r="B392" s="60">
        <v>521811</v>
      </c>
      <c r="C392" s="41" t="s">
        <v>64</v>
      </c>
      <c r="D392" s="60"/>
      <c r="E392" s="60"/>
      <c r="F392" s="42"/>
      <c r="G392" s="42">
        <v>24000000</v>
      </c>
      <c r="H392" s="165">
        <v>2250000</v>
      </c>
      <c r="I392" s="150" t="s">
        <v>3552</v>
      </c>
      <c r="J392" s="149" t="s">
        <v>3564</v>
      </c>
      <c r="K392" s="149" t="s">
        <v>3584</v>
      </c>
      <c r="L392" s="171">
        <f t="shared" si="9"/>
        <v>21750000</v>
      </c>
    </row>
    <row r="393" spans="1:12" x14ac:dyDescent="0.25">
      <c r="A393" s="21" t="s">
        <v>857</v>
      </c>
      <c r="B393" s="192"/>
      <c r="C393" s="191" t="s">
        <v>3625</v>
      </c>
      <c r="D393" s="197">
        <v>12</v>
      </c>
      <c r="E393" s="192" t="s">
        <v>52</v>
      </c>
      <c r="F393" s="193">
        <v>1000000</v>
      </c>
      <c r="G393" s="45">
        <f>ROUNDDOWN(D393*F393,-3)</f>
        <v>12000000</v>
      </c>
      <c r="H393" s="165">
        <v>24000000</v>
      </c>
      <c r="I393" s="150" t="s">
        <v>3552</v>
      </c>
      <c r="J393" s="149" t="s">
        <v>3564</v>
      </c>
      <c r="K393" s="149" t="s">
        <v>3584</v>
      </c>
      <c r="L393" s="171">
        <f t="shared" si="9"/>
        <v>-12000000</v>
      </c>
    </row>
    <row r="394" spans="1:12" x14ac:dyDescent="0.25">
      <c r="A394" s="21" t="s">
        <v>858</v>
      </c>
      <c r="B394" s="61"/>
      <c r="C394" s="44" t="s">
        <v>3744</v>
      </c>
      <c r="D394" s="47">
        <v>12</v>
      </c>
      <c r="E394" s="61" t="s">
        <v>52</v>
      </c>
      <c r="F394" s="45">
        <v>1000000</v>
      </c>
      <c r="G394" s="45">
        <f>ROUNDDOWN(D394*F394,-3)</f>
        <v>12000000</v>
      </c>
      <c r="H394" s="165">
        <v>12000000</v>
      </c>
      <c r="I394" s="150" t="s">
        <v>3552</v>
      </c>
      <c r="J394" s="149" t="s">
        <v>3564</v>
      </c>
      <c r="K394" s="149" t="s">
        <v>3584</v>
      </c>
      <c r="L394" s="171">
        <f t="shared" si="9"/>
        <v>0</v>
      </c>
    </row>
    <row r="395" spans="1:12" x14ac:dyDescent="0.25">
      <c r="A395" s="21" t="s">
        <v>860</v>
      </c>
      <c r="B395" s="60">
        <v>522192</v>
      </c>
      <c r="C395" s="41" t="s">
        <v>24</v>
      </c>
      <c r="D395" s="71"/>
      <c r="E395" s="60"/>
      <c r="F395" s="42"/>
      <c r="G395" s="42">
        <v>5400000</v>
      </c>
      <c r="H395" s="165">
        <v>12000000</v>
      </c>
      <c r="I395" s="150" t="s">
        <v>3552</v>
      </c>
      <c r="J395" s="149" t="s">
        <v>3564</v>
      </c>
      <c r="K395" s="149" t="s">
        <v>3584</v>
      </c>
      <c r="L395" s="171">
        <f t="shared" si="9"/>
        <v>-6600000</v>
      </c>
    </row>
    <row r="396" spans="1:12" x14ac:dyDescent="0.25">
      <c r="A396" s="21" t="s">
        <v>861</v>
      </c>
      <c r="B396" s="192"/>
      <c r="C396" s="191" t="s">
        <v>3745</v>
      </c>
      <c r="D396" s="197">
        <v>18</v>
      </c>
      <c r="E396" s="192" t="s">
        <v>25</v>
      </c>
      <c r="F396" s="193">
        <v>300000</v>
      </c>
      <c r="G396" s="45">
        <f>ROUNDDOWN(D396*F396,-3)</f>
        <v>5400000</v>
      </c>
      <c r="H396" s="165">
        <v>5400000</v>
      </c>
      <c r="I396" s="150" t="s">
        <v>3552</v>
      </c>
      <c r="J396" s="149" t="s">
        <v>3564</v>
      </c>
      <c r="K396" s="149" t="s">
        <v>3584</v>
      </c>
      <c r="L396" s="171">
        <f t="shared" si="9"/>
        <v>0</v>
      </c>
    </row>
    <row r="397" spans="1:12" x14ac:dyDescent="0.25">
      <c r="A397" s="21" t="s">
        <v>863</v>
      </c>
      <c r="B397" s="60">
        <v>524111</v>
      </c>
      <c r="C397" s="41" t="s">
        <v>19</v>
      </c>
      <c r="D397" s="71"/>
      <c r="E397" s="60"/>
      <c r="F397" s="42"/>
      <c r="G397" s="42">
        <v>193200000</v>
      </c>
      <c r="H397" s="165">
        <v>5400000</v>
      </c>
      <c r="I397" s="150" t="s">
        <v>3552</v>
      </c>
      <c r="J397" s="149" t="s">
        <v>3564</v>
      </c>
      <c r="K397" s="149" t="s">
        <v>3584</v>
      </c>
      <c r="L397" s="171">
        <f t="shared" si="9"/>
        <v>187800000</v>
      </c>
    </row>
    <row r="398" spans="1:12" ht="39.6" x14ac:dyDescent="0.25">
      <c r="A398" s="21" t="s">
        <v>864</v>
      </c>
      <c r="B398" s="192"/>
      <c r="C398" s="191" t="s">
        <v>3746</v>
      </c>
      <c r="D398" s="197">
        <v>24</v>
      </c>
      <c r="E398" s="192" t="s">
        <v>25</v>
      </c>
      <c r="F398" s="193">
        <v>8050000</v>
      </c>
      <c r="G398" s="45">
        <f>ROUNDDOWN(D398*F398,-3)</f>
        <v>193200000</v>
      </c>
      <c r="H398" s="165">
        <v>193200000</v>
      </c>
      <c r="I398" s="150" t="s">
        <v>3552</v>
      </c>
      <c r="J398" s="149" t="s">
        <v>3564</v>
      </c>
      <c r="K398" s="149" t="s">
        <v>3584</v>
      </c>
      <c r="L398" s="171">
        <f t="shared" ref="L398:L461" si="10">G398-H398</f>
        <v>0</v>
      </c>
    </row>
    <row r="399" spans="1:12" ht="26.4" x14ac:dyDescent="0.25">
      <c r="A399" s="21" t="s">
        <v>866</v>
      </c>
      <c r="B399" s="59" t="s">
        <v>511</v>
      </c>
      <c r="C399" s="38" t="s">
        <v>184</v>
      </c>
      <c r="D399" s="70"/>
      <c r="E399" s="59"/>
      <c r="F399" s="39"/>
      <c r="G399" s="39">
        <v>172320000</v>
      </c>
      <c r="H399" s="165">
        <v>193200000</v>
      </c>
      <c r="I399" s="150" t="s">
        <v>3552</v>
      </c>
      <c r="J399" s="149" t="s">
        <v>3564</v>
      </c>
      <c r="K399" s="149" t="s">
        <v>3584</v>
      </c>
      <c r="L399" s="171">
        <f t="shared" si="10"/>
        <v>-20880000</v>
      </c>
    </row>
    <row r="400" spans="1:12" x14ac:dyDescent="0.25">
      <c r="A400" s="21" t="s">
        <v>867</v>
      </c>
      <c r="B400" s="60">
        <v>521211</v>
      </c>
      <c r="C400" s="41" t="s">
        <v>7</v>
      </c>
      <c r="D400" s="60"/>
      <c r="E400" s="60"/>
      <c r="F400" s="42"/>
      <c r="G400" s="42">
        <v>3120000</v>
      </c>
      <c r="H400" s="165">
        <v>172320000</v>
      </c>
      <c r="I400" s="150" t="s">
        <v>3552</v>
      </c>
      <c r="J400" s="149" t="s">
        <v>3564</v>
      </c>
      <c r="K400" s="149" t="s">
        <v>3584</v>
      </c>
      <c r="L400" s="171">
        <f t="shared" si="10"/>
        <v>-169200000</v>
      </c>
    </row>
    <row r="401" spans="1:12" x14ac:dyDescent="0.25">
      <c r="A401" s="21" t="s">
        <v>868</v>
      </c>
      <c r="B401" s="192"/>
      <c r="C401" s="191" t="s">
        <v>3598</v>
      </c>
      <c r="D401" s="197">
        <v>10</v>
      </c>
      <c r="E401" s="192" t="s">
        <v>853</v>
      </c>
      <c r="F401" s="193">
        <v>312000</v>
      </c>
      <c r="G401" s="45">
        <f>ROUNDDOWN(D401*F401,-3)</f>
        <v>3120000</v>
      </c>
      <c r="H401" s="165">
        <v>3120000</v>
      </c>
      <c r="I401" s="150" t="s">
        <v>3552</v>
      </c>
      <c r="J401" s="149" t="s">
        <v>3564</v>
      </c>
      <c r="K401" s="149" t="s">
        <v>3584</v>
      </c>
      <c r="L401" s="171">
        <f t="shared" si="10"/>
        <v>0</v>
      </c>
    </row>
    <row r="402" spans="1:12" x14ac:dyDescent="0.25">
      <c r="A402" s="21" t="s">
        <v>869</v>
      </c>
      <c r="B402" s="60">
        <v>521811</v>
      </c>
      <c r="C402" s="41" t="s">
        <v>64</v>
      </c>
      <c r="D402" s="60"/>
      <c r="E402" s="60"/>
      <c r="F402" s="42"/>
      <c r="G402" s="42">
        <v>24000000</v>
      </c>
      <c r="H402" s="165">
        <v>3120000</v>
      </c>
      <c r="I402" s="150" t="s">
        <v>3552</v>
      </c>
      <c r="J402" s="149" t="s">
        <v>3564</v>
      </c>
      <c r="K402" s="149" t="s">
        <v>3584</v>
      </c>
      <c r="L402" s="171">
        <f t="shared" si="10"/>
        <v>20880000</v>
      </c>
    </row>
    <row r="403" spans="1:12" x14ac:dyDescent="0.25">
      <c r="A403" s="21" t="s">
        <v>870</v>
      </c>
      <c r="B403" s="192"/>
      <c r="C403" s="191" t="s">
        <v>3625</v>
      </c>
      <c r="D403" s="197">
        <v>12</v>
      </c>
      <c r="E403" s="192" t="s">
        <v>52</v>
      </c>
      <c r="F403" s="193">
        <v>1000000</v>
      </c>
      <c r="G403" s="45">
        <f>ROUNDDOWN(D403*F403,-3)</f>
        <v>12000000</v>
      </c>
      <c r="H403" s="165">
        <v>24000000</v>
      </c>
      <c r="I403" s="150" t="s">
        <v>3552</v>
      </c>
      <c r="J403" s="149" t="s">
        <v>3564</v>
      </c>
      <c r="K403" s="149" t="s">
        <v>3584</v>
      </c>
      <c r="L403" s="171">
        <f t="shared" si="10"/>
        <v>-12000000</v>
      </c>
    </row>
    <row r="404" spans="1:12" x14ac:dyDescent="0.25">
      <c r="A404" s="21" t="s">
        <v>871</v>
      </c>
      <c r="B404" s="155"/>
      <c r="C404" s="154" t="s">
        <v>3744</v>
      </c>
      <c r="D404" s="155">
        <v>12</v>
      </c>
      <c r="E404" s="155" t="s">
        <v>52</v>
      </c>
      <c r="F404" s="156">
        <v>1000000</v>
      </c>
      <c r="G404" s="45">
        <f>ROUNDDOWN(D404*F404,-3)</f>
        <v>12000000</v>
      </c>
      <c r="H404" s="165">
        <v>12000000</v>
      </c>
      <c r="I404" s="150" t="s">
        <v>3552</v>
      </c>
      <c r="J404" s="149" t="s">
        <v>3564</v>
      </c>
      <c r="K404" s="149" t="s">
        <v>3584</v>
      </c>
      <c r="L404" s="171">
        <f t="shared" si="10"/>
        <v>0</v>
      </c>
    </row>
    <row r="405" spans="1:12" x14ac:dyDescent="0.25">
      <c r="A405" s="21" t="s">
        <v>872</v>
      </c>
      <c r="B405" s="60">
        <v>522151</v>
      </c>
      <c r="C405" s="41" t="s">
        <v>11</v>
      </c>
      <c r="D405" s="60"/>
      <c r="E405" s="60"/>
      <c r="F405" s="42"/>
      <c r="G405" s="42">
        <v>10800000</v>
      </c>
      <c r="H405" s="165">
        <v>12000000</v>
      </c>
      <c r="I405" s="150" t="s">
        <v>3552</v>
      </c>
      <c r="J405" s="149" t="s">
        <v>3564</v>
      </c>
      <c r="K405" s="149" t="s">
        <v>3584</v>
      </c>
      <c r="L405" s="171">
        <f t="shared" si="10"/>
        <v>-1200000</v>
      </c>
    </row>
    <row r="406" spans="1:12" ht="26.4" x14ac:dyDescent="0.25">
      <c r="A406" s="21" t="s">
        <v>873</v>
      </c>
      <c r="B406" s="192"/>
      <c r="C406" s="191" t="s">
        <v>3747</v>
      </c>
      <c r="D406" s="197">
        <v>12</v>
      </c>
      <c r="E406" s="192" t="s">
        <v>54</v>
      </c>
      <c r="F406" s="193">
        <v>900000</v>
      </c>
      <c r="G406" s="45">
        <f>ROUNDDOWN(D406*F406,-3)</f>
        <v>10800000</v>
      </c>
      <c r="H406" s="165">
        <v>10800000</v>
      </c>
      <c r="I406" s="150" t="s">
        <v>3552</v>
      </c>
      <c r="J406" s="149" t="s">
        <v>3564</v>
      </c>
      <c r="K406" s="149" t="s">
        <v>3584</v>
      </c>
      <c r="L406" s="171">
        <f t="shared" si="10"/>
        <v>0</v>
      </c>
    </row>
    <row r="407" spans="1:12" x14ac:dyDescent="0.25">
      <c r="A407" s="21" t="s">
        <v>875</v>
      </c>
      <c r="B407" s="60">
        <v>522192</v>
      </c>
      <c r="C407" s="41" t="s">
        <v>24</v>
      </c>
      <c r="D407" s="71"/>
      <c r="E407" s="60"/>
      <c r="F407" s="42"/>
      <c r="G407" s="42">
        <v>4800000</v>
      </c>
      <c r="H407" s="165">
        <v>10800000</v>
      </c>
      <c r="I407" s="150" t="s">
        <v>3552</v>
      </c>
      <c r="J407" s="149" t="s">
        <v>3564</v>
      </c>
      <c r="K407" s="149" t="s">
        <v>3584</v>
      </c>
      <c r="L407" s="171">
        <f t="shared" si="10"/>
        <v>-6000000</v>
      </c>
    </row>
    <row r="408" spans="1:12" x14ac:dyDescent="0.25">
      <c r="A408" s="21" t="s">
        <v>876</v>
      </c>
      <c r="B408" s="192"/>
      <c r="C408" s="191" t="s">
        <v>3748</v>
      </c>
      <c r="D408" s="197">
        <v>16</v>
      </c>
      <c r="E408" s="192" t="s">
        <v>25</v>
      </c>
      <c r="F408" s="193">
        <v>300000</v>
      </c>
      <c r="G408" s="45">
        <f>ROUNDDOWN(D408*F408,-3)</f>
        <v>4800000</v>
      </c>
      <c r="H408" s="165">
        <v>4800000</v>
      </c>
      <c r="I408" s="150" t="s">
        <v>3552</v>
      </c>
      <c r="J408" s="149" t="s">
        <v>3564</v>
      </c>
      <c r="K408" s="149" t="s">
        <v>3584</v>
      </c>
      <c r="L408" s="171">
        <f t="shared" si="10"/>
        <v>0</v>
      </c>
    </row>
    <row r="409" spans="1:12" x14ac:dyDescent="0.25">
      <c r="A409" s="21" t="s">
        <v>878</v>
      </c>
      <c r="B409" s="60">
        <v>524111</v>
      </c>
      <c r="C409" s="41" t="s">
        <v>19</v>
      </c>
      <c r="D409" s="71"/>
      <c r="E409" s="60"/>
      <c r="F409" s="42"/>
      <c r="G409" s="42">
        <v>126000000</v>
      </c>
      <c r="H409" s="165">
        <v>4800000</v>
      </c>
      <c r="I409" s="150" t="s">
        <v>3552</v>
      </c>
      <c r="J409" s="149" t="s">
        <v>3564</v>
      </c>
      <c r="K409" s="149" t="s">
        <v>3584</v>
      </c>
      <c r="L409" s="171">
        <f t="shared" si="10"/>
        <v>121200000</v>
      </c>
    </row>
    <row r="410" spans="1:12" ht="39.6" x14ac:dyDescent="0.25">
      <c r="A410" s="21" t="s">
        <v>879</v>
      </c>
      <c r="B410" s="192"/>
      <c r="C410" s="191" t="s">
        <v>3749</v>
      </c>
      <c r="D410" s="192">
        <v>18</v>
      </c>
      <c r="E410" s="192" t="s">
        <v>25</v>
      </c>
      <c r="F410" s="193">
        <v>7000000</v>
      </c>
      <c r="G410" s="45">
        <f>ROUNDDOWN(D410*F410,-3)</f>
        <v>126000000</v>
      </c>
      <c r="H410" s="165">
        <v>126000000</v>
      </c>
      <c r="I410" s="150" t="s">
        <v>3552</v>
      </c>
      <c r="J410" s="149" t="s">
        <v>3564</v>
      </c>
      <c r="K410" s="149" t="s">
        <v>3584</v>
      </c>
      <c r="L410" s="171">
        <f t="shared" si="10"/>
        <v>0</v>
      </c>
    </row>
    <row r="411" spans="1:12" x14ac:dyDescent="0.25">
      <c r="A411" s="21" t="s">
        <v>881</v>
      </c>
      <c r="B411" s="60">
        <v>524113</v>
      </c>
      <c r="C411" s="41" t="s">
        <v>13</v>
      </c>
      <c r="D411" s="71"/>
      <c r="E411" s="60"/>
      <c r="F411" s="42"/>
      <c r="G411" s="42">
        <v>3600000</v>
      </c>
      <c r="H411" s="165">
        <v>126000000</v>
      </c>
      <c r="I411" s="150" t="s">
        <v>3552</v>
      </c>
      <c r="J411" s="149" t="s">
        <v>3564</v>
      </c>
      <c r="K411" s="149" t="s">
        <v>3584</v>
      </c>
      <c r="L411" s="171">
        <f t="shared" si="10"/>
        <v>-122400000</v>
      </c>
    </row>
    <row r="412" spans="1:12" ht="26.4" x14ac:dyDescent="0.25">
      <c r="A412" s="21" t="s">
        <v>882</v>
      </c>
      <c r="B412" s="192"/>
      <c r="C412" s="191" t="s">
        <v>3750</v>
      </c>
      <c r="D412" s="192">
        <v>24</v>
      </c>
      <c r="E412" s="192" t="s">
        <v>73</v>
      </c>
      <c r="F412" s="193">
        <v>150000</v>
      </c>
      <c r="G412" s="45">
        <f>ROUNDDOWN(D412*F412,-3)</f>
        <v>3600000</v>
      </c>
      <c r="H412" s="165">
        <v>3600000</v>
      </c>
      <c r="I412" s="150" t="s">
        <v>3552</v>
      </c>
      <c r="J412" s="149" t="s">
        <v>3564</v>
      </c>
      <c r="K412" s="149" t="s">
        <v>3584</v>
      </c>
      <c r="L412" s="171">
        <f t="shared" si="10"/>
        <v>0</v>
      </c>
    </row>
    <row r="413" spans="1:12" ht="26.4" x14ac:dyDescent="0.25">
      <c r="A413" s="21" t="s">
        <v>884</v>
      </c>
      <c r="B413" s="59" t="s">
        <v>512</v>
      </c>
      <c r="C413" s="38" t="s">
        <v>185</v>
      </c>
      <c r="D413" s="70"/>
      <c r="E413" s="59"/>
      <c r="F413" s="39"/>
      <c r="G413" s="39">
        <v>447280000</v>
      </c>
      <c r="H413" s="165">
        <v>3600000</v>
      </c>
      <c r="I413" s="150" t="s">
        <v>3552</v>
      </c>
      <c r="J413" s="149" t="s">
        <v>3564</v>
      </c>
      <c r="K413" s="149" t="s">
        <v>3584</v>
      </c>
      <c r="L413" s="171">
        <f t="shared" si="10"/>
        <v>443680000</v>
      </c>
    </row>
    <row r="414" spans="1:12" x14ac:dyDescent="0.25">
      <c r="A414" s="21" t="s">
        <v>885</v>
      </c>
      <c r="B414" s="60">
        <v>521211</v>
      </c>
      <c r="C414" s="41" t="s">
        <v>7</v>
      </c>
      <c r="D414" s="60"/>
      <c r="E414" s="60"/>
      <c r="F414" s="42"/>
      <c r="G414" s="42">
        <v>10000000</v>
      </c>
      <c r="H414" s="165">
        <v>447280000</v>
      </c>
      <c r="I414" s="150" t="s">
        <v>3552</v>
      </c>
      <c r="J414" s="149" t="s">
        <v>3564</v>
      </c>
      <c r="K414" s="149" t="s">
        <v>3584</v>
      </c>
      <c r="L414" s="171">
        <f t="shared" si="10"/>
        <v>-437280000</v>
      </c>
    </row>
    <row r="415" spans="1:12" x14ac:dyDescent="0.25">
      <c r="A415" s="21" t="s">
        <v>886</v>
      </c>
      <c r="B415" s="192"/>
      <c r="C415" s="191" t="s">
        <v>3598</v>
      </c>
      <c r="D415" s="192">
        <v>50</v>
      </c>
      <c r="E415" s="192" t="s">
        <v>853</v>
      </c>
      <c r="F415" s="193">
        <v>200000</v>
      </c>
      <c r="G415" s="45">
        <f>ROUNDDOWN(D415*F415,-3)</f>
        <v>10000000</v>
      </c>
      <c r="H415" s="165">
        <v>10000000</v>
      </c>
      <c r="I415" s="150" t="s">
        <v>3552</v>
      </c>
      <c r="J415" s="149" t="s">
        <v>3564</v>
      </c>
      <c r="K415" s="149" t="s">
        <v>3584</v>
      </c>
      <c r="L415" s="171">
        <f t="shared" si="10"/>
        <v>0</v>
      </c>
    </row>
    <row r="416" spans="1:12" ht="26.4" x14ac:dyDescent="0.25">
      <c r="A416" s="21" t="s">
        <v>887</v>
      </c>
      <c r="B416" s="60">
        <v>521241</v>
      </c>
      <c r="C416" s="41" t="s">
        <v>642</v>
      </c>
      <c r="D416" s="71"/>
      <c r="E416" s="60"/>
      <c r="F416" s="42"/>
      <c r="G416" s="42">
        <v>22800000</v>
      </c>
      <c r="H416" s="165">
        <v>10000000</v>
      </c>
      <c r="I416" s="150" t="s">
        <v>3552</v>
      </c>
      <c r="J416" s="149" t="s">
        <v>3564</v>
      </c>
      <c r="K416" s="149" t="s">
        <v>3584</v>
      </c>
      <c r="L416" s="171">
        <f t="shared" si="10"/>
        <v>12800000</v>
      </c>
    </row>
    <row r="417" spans="1:12" ht="26.4" x14ac:dyDescent="0.25">
      <c r="A417" s="21" t="s">
        <v>888</v>
      </c>
      <c r="B417" s="192"/>
      <c r="C417" s="191" t="s">
        <v>3751</v>
      </c>
      <c r="D417" s="197">
        <v>96</v>
      </c>
      <c r="E417" s="192" t="s">
        <v>25</v>
      </c>
      <c r="F417" s="193">
        <v>200000</v>
      </c>
      <c r="G417" s="45">
        <f>ROUNDDOWN(D417*F417,-3)</f>
        <v>19200000</v>
      </c>
      <c r="H417" s="165">
        <v>22800000</v>
      </c>
      <c r="I417" s="150" t="s">
        <v>3552</v>
      </c>
      <c r="J417" s="149" t="s">
        <v>3564</v>
      </c>
      <c r="K417" s="149" t="s">
        <v>3584</v>
      </c>
      <c r="L417" s="171">
        <f t="shared" si="10"/>
        <v>-3600000</v>
      </c>
    </row>
    <row r="418" spans="1:12" ht="26.4" x14ac:dyDescent="0.25">
      <c r="A418" s="21" t="s">
        <v>890</v>
      </c>
      <c r="B418" s="61"/>
      <c r="C418" s="44" t="s">
        <v>3752</v>
      </c>
      <c r="D418" s="47">
        <v>12</v>
      </c>
      <c r="E418" s="61" t="s">
        <v>106</v>
      </c>
      <c r="F418" s="45">
        <v>300000</v>
      </c>
      <c r="G418" s="45">
        <f>ROUNDDOWN(D418*F418,-3)</f>
        <v>3600000</v>
      </c>
      <c r="H418" s="165">
        <v>19200000</v>
      </c>
      <c r="I418" s="150" t="s">
        <v>3552</v>
      </c>
      <c r="J418" s="149" t="s">
        <v>3564</v>
      </c>
      <c r="K418" s="149" t="s">
        <v>3584</v>
      </c>
      <c r="L418" s="171">
        <f t="shared" si="10"/>
        <v>-15600000</v>
      </c>
    </row>
    <row r="419" spans="1:12" x14ac:dyDescent="0.25">
      <c r="A419" s="21" t="s">
        <v>892</v>
      </c>
      <c r="B419" s="60">
        <v>521811</v>
      </c>
      <c r="C419" s="41" t="s">
        <v>64</v>
      </c>
      <c r="D419" s="71"/>
      <c r="E419" s="60"/>
      <c r="F419" s="42"/>
      <c r="G419" s="42">
        <v>24000000</v>
      </c>
      <c r="H419" s="165">
        <v>3600000</v>
      </c>
      <c r="I419" s="150" t="s">
        <v>3552</v>
      </c>
      <c r="J419" s="149" t="s">
        <v>3564</v>
      </c>
      <c r="K419" s="149" t="s">
        <v>3584</v>
      </c>
      <c r="L419" s="171">
        <f t="shared" si="10"/>
        <v>20400000</v>
      </c>
    </row>
    <row r="420" spans="1:12" x14ac:dyDescent="0.25">
      <c r="A420" s="21" t="s">
        <v>893</v>
      </c>
      <c r="B420" s="192"/>
      <c r="C420" s="191" t="s">
        <v>3625</v>
      </c>
      <c r="D420" s="192">
        <v>12</v>
      </c>
      <c r="E420" s="192" t="s">
        <v>52</v>
      </c>
      <c r="F420" s="193">
        <v>1000000</v>
      </c>
      <c r="G420" s="45">
        <f>ROUNDDOWN(D420*F420,-3)</f>
        <v>12000000</v>
      </c>
      <c r="H420" s="165">
        <v>24000000</v>
      </c>
      <c r="I420" s="150" t="s">
        <v>3552</v>
      </c>
      <c r="J420" s="149" t="s">
        <v>3564</v>
      </c>
      <c r="K420" s="149" t="s">
        <v>3584</v>
      </c>
      <c r="L420" s="171">
        <f t="shared" si="10"/>
        <v>-12000000</v>
      </c>
    </row>
    <row r="421" spans="1:12" x14ac:dyDescent="0.25">
      <c r="A421" s="21" t="s">
        <v>894</v>
      </c>
      <c r="B421" s="61"/>
      <c r="C421" s="44" t="s">
        <v>3744</v>
      </c>
      <c r="D421" s="47">
        <v>12</v>
      </c>
      <c r="E421" s="61" t="s">
        <v>52</v>
      </c>
      <c r="F421" s="45">
        <v>1000000</v>
      </c>
      <c r="G421" s="45">
        <f>ROUNDDOWN(D421*F421,-3)</f>
        <v>12000000</v>
      </c>
      <c r="H421" s="165">
        <v>12000000</v>
      </c>
      <c r="I421" s="150" t="s">
        <v>3552</v>
      </c>
      <c r="J421" s="149" t="s">
        <v>3564</v>
      </c>
      <c r="K421" s="149" t="s">
        <v>3584</v>
      </c>
      <c r="L421" s="171">
        <f t="shared" si="10"/>
        <v>0</v>
      </c>
    </row>
    <row r="422" spans="1:12" x14ac:dyDescent="0.25">
      <c r="A422" s="21" t="s">
        <v>895</v>
      </c>
      <c r="B422" s="60">
        <v>522151</v>
      </c>
      <c r="C422" s="41" t="s">
        <v>11</v>
      </c>
      <c r="D422" s="71"/>
      <c r="E422" s="60"/>
      <c r="F422" s="42"/>
      <c r="G422" s="42">
        <v>14400000</v>
      </c>
      <c r="H422" s="165">
        <v>12000000</v>
      </c>
      <c r="I422" s="150" t="s">
        <v>3552</v>
      </c>
      <c r="J422" s="149" t="s">
        <v>3564</v>
      </c>
      <c r="K422" s="149" t="s">
        <v>3584</v>
      </c>
      <c r="L422" s="171">
        <f t="shared" si="10"/>
        <v>2400000</v>
      </c>
    </row>
    <row r="423" spans="1:12" x14ac:dyDescent="0.25">
      <c r="A423" s="21" t="s">
        <v>896</v>
      </c>
      <c r="B423" s="192"/>
      <c r="C423" s="191" t="s">
        <v>3753</v>
      </c>
      <c r="D423" s="192">
        <v>16</v>
      </c>
      <c r="E423" s="192" t="s">
        <v>54</v>
      </c>
      <c r="F423" s="193">
        <v>900000</v>
      </c>
      <c r="G423" s="45">
        <f>ROUNDDOWN(D423*F423,-3)</f>
        <v>14400000</v>
      </c>
      <c r="H423" s="165">
        <v>14400000</v>
      </c>
      <c r="I423" s="150" t="s">
        <v>3552</v>
      </c>
      <c r="J423" s="149" t="s">
        <v>3564</v>
      </c>
      <c r="K423" s="149" t="s">
        <v>3584</v>
      </c>
      <c r="L423" s="171">
        <f t="shared" si="10"/>
        <v>0</v>
      </c>
    </row>
    <row r="424" spans="1:12" x14ac:dyDescent="0.25">
      <c r="A424" s="21" t="s">
        <v>898</v>
      </c>
      <c r="B424" s="60">
        <v>522192</v>
      </c>
      <c r="C424" s="41" t="s">
        <v>24</v>
      </c>
      <c r="D424" s="71"/>
      <c r="E424" s="60"/>
      <c r="F424" s="42"/>
      <c r="G424" s="42">
        <v>4200000</v>
      </c>
      <c r="H424" s="165">
        <v>14400000</v>
      </c>
      <c r="I424" s="150" t="s">
        <v>3552</v>
      </c>
      <c r="J424" s="149" t="s">
        <v>3564</v>
      </c>
      <c r="K424" s="149" t="s">
        <v>3584</v>
      </c>
      <c r="L424" s="171">
        <f t="shared" si="10"/>
        <v>-10200000</v>
      </c>
    </row>
    <row r="425" spans="1:12" x14ac:dyDescent="0.25">
      <c r="A425" s="21" t="s">
        <v>899</v>
      </c>
      <c r="B425" s="192"/>
      <c r="C425" s="191" t="s">
        <v>3754</v>
      </c>
      <c r="D425" s="192">
        <v>14</v>
      </c>
      <c r="E425" s="192" t="s">
        <v>25</v>
      </c>
      <c r="F425" s="193">
        <v>300000</v>
      </c>
      <c r="G425" s="45">
        <f>ROUNDDOWN(D425*F425,-3)</f>
        <v>4200000</v>
      </c>
      <c r="H425" s="165">
        <v>4200000</v>
      </c>
      <c r="I425" s="150" t="s">
        <v>3552</v>
      </c>
      <c r="J425" s="149" t="s">
        <v>3564</v>
      </c>
      <c r="K425" s="149" t="s">
        <v>3584</v>
      </c>
      <c r="L425" s="171">
        <f t="shared" si="10"/>
        <v>0</v>
      </c>
    </row>
    <row r="426" spans="1:12" x14ac:dyDescent="0.25">
      <c r="A426" s="21" t="s">
        <v>901</v>
      </c>
      <c r="B426" s="60">
        <v>524111</v>
      </c>
      <c r="C426" s="41" t="s">
        <v>19</v>
      </c>
      <c r="D426" s="71"/>
      <c r="E426" s="60"/>
      <c r="F426" s="42"/>
      <c r="G426" s="42">
        <v>360000000</v>
      </c>
      <c r="H426" s="165">
        <v>4200000</v>
      </c>
      <c r="I426" s="150" t="s">
        <v>3552</v>
      </c>
      <c r="J426" s="149" t="s">
        <v>3564</v>
      </c>
      <c r="K426" s="149" t="s">
        <v>3584</v>
      </c>
      <c r="L426" s="171">
        <f t="shared" si="10"/>
        <v>355800000</v>
      </c>
    </row>
    <row r="427" spans="1:12" ht="39.6" x14ac:dyDescent="0.25">
      <c r="A427" s="21" t="s">
        <v>902</v>
      </c>
      <c r="B427" s="192"/>
      <c r="C427" s="191" t="s">
        <v>3755</v>
      </c>
      <c r="D427" s="197">
        <v>32</v>
      </c>
      <c r="E427" s="192" t="s">
        <v>25</v>
      </c>
      <c r="F427" s="193">
        <v>6000000</v>
      </c>
      <c r="G427" s="45">
        <f>ROUNDDOWN(D427*F427,-3)</f>
        <v>192000000</v>
      </c>
      <c r="H427" s="165">
        <v>360000000</v>
      </c>
      <c r="I427" s="150" t="s">
        <v>3552</v>
      </c>
      <c r="J427" s="149" t="s">
        <v>3564</v>
      </c>
      <c r="K427" s="149" t="s">
        <v>3584</v>
      </c>
      <c r="L427" s="171">
        <f t="shared" si="10"/>
        <v>-168000000</v>
      </c>
    </row>
    <row r="428" spans="1:12" ht="26.4" x14ac:dyDescent="0.25">
      <c r="A428" s="21" t="s">
        <v>904</v>
      </c>
      <c r="B428" s="155"/>
      <c r="C428" s="154" t="s">
        <v>3756</v>
      </c>
      <c r="D428" s="155">
        <v>28</v>
      </c>
      <c r="E428" s="155" t="s">
        <v>25</v>
      </c>
      <c r="F428" s="156">
        <v>6000000</v>
      </c>
      <c r="G428" s="45">
        <f>ROUNDDOWN(D428*F428,-3)</f>
        <v>168000000</v>
      </c>
      <c r="H428" s="165">
        <v>192000000</v>
      </c>
      <c r="I428" s="150" t="s">
        <v>3552</v>
      </c>
      <c r="J428" s="149" t="s">
        <v>3564</v>
      </c>
      <c r="K428" s="149" t="s">
        <v>3584</v>
      </c>
      <c r="L428" s="171">
        <f t="shared" si="10"/>
        <v>-24000000</v>
      </c>
    </row>
    <row r="429" spans="1:12" x14ac:dyDescent="0.25">
      <c r="A429" s="21" t="s">
        <v>906</v>
      </c>
      <c r="B429" s="60">
        <v>524113</v>
      </c>
      <c r="C429" s="41" t="s">
        <v>13</v>
      </c>
      <c r="D429" s="71"/>
      <c r="E429" s="60"/>
      <c r="F429" s="42"/>
      <c r="G429" s="42">
        <v>5400000</v>
      </c>
      <c r="H429" s="165">
        <v>168000000</v>
      </c>
      <c r="I429" s="150" t="s">
        <v>3552</v>
      </c>
      <c r="J429" s="149" t="s">
        <v>3564</v>
      </c>
      <c r="K429" s="149" t="s">
        <v>3584</v>
      </c>
      <c r="L429" s="171">
        <f t="shared" si="10"/>
        <v>-162600000</v>
      </c>
    </row>
    <row r="430" spans="1:12" x14ac:dyDescent="0.25">
      <c r="A430" s="21" t="s">
        <v>907</v>
      </c>
      <c r="B430" s="192"/>
      <c r="C430" s="191" t="s">
        <v>3757</v>
      </c>
      <c r="D430" s="192">
        <v>36</v>
      </c>
      <c r="E430" s="192" t="s">
        <v>73</v>
      </c>
      <c r="F430" s="193">
        <v>150000</v>
      </c>
      <c r="G430" s="45">
        <f>ROUNDDOWN(D430*F430,-3)</f>
        <v>5400000</v>
      </c>
      <c r="H430" s="165">
        <v>5400000</v>
      </c>
      <c r="I430" s="150" t="s">
        <v>3552</v>
      </c>
      <c r="J430" s="149" t="s">
        <v>3564</v>
      </c>
      <c r="K430" s="149" t="s">
        <v>3584</v>
      </c>
      <c r="L430" s="171">
        <f t="shared" si="10"/>
        <v>0</v>
      </c>
    </row>
    <row r="431" spans="1:12" x14ac:dyDescent="0.25">
      <c r="A431" s="21" t="s">
        <v>909</v>
      </c>
      <c r="B431" s="60">
        <v>524114</v>
      </c>
      <c r="C431" s="41" t="s">
        <v>14</v>
      </c>
      <c r="D431" s="60"/>
      <c r="E431" s="60"/>
      <c r="F431" s="42"/>
      <c r="G431" s="42">
        <v>6480000</v>
      </c>
      <c r="H431" s="165">
        <v>5400000</v>
      </c>
      <c r="I431" s="150" t="s">
        <v>3552</v>
      </c>
      <c r="J431" s="149" t="s">
        <v>3564</v>
      </c>
      <c r="K431" s="149" t="s">
        <v>3584</v>
      </c>
      <c r="L431" s="171">
        <f t="shared" si="10"/>
        <v>1080000</v>
      </c>
    </row>
    <row r="432" spans="1:12" ht="26.4" x14ac:dyDescent="0.25">
      <c r="A432" s="21" t="s">
        <v>910</v>
      </c>
      <c r="B432" s="192"/>
      <c r="C432" s="191" t="s">
        <v>3758</v>
      </c>
      <c r="D432" s="197">
        <v>18</v>
      </c>
      <c r="E432" s="192" t="s">
        <v>73</v>
      </c>
      <c r="F432" s="193">
        <v>210000</v>
      </c>
      <c r="G432" s="45">
        <f>ROUNDDOWN(D432*F432,-3)</f>
        <v>3780000</v>
      </c>
      <c r="H432" s="165">
        <v>6480000</v>
      </c>
      <c r="I432" s="150" t="s">
        <v>3552</v>
      </c>
      <c r="J432" s="149" t="s">
        <v>3564</v>
      </c>
      <c r="K432" s="149" t="s">
        <v>3584</v>
      </c>
      <c r="L432" s="171">
        <f t="shared" si="10"/>
        <v>-2700000</v>
      </c>
    </row>
    <row r="433" spans="1:12" x14ac:dyDescent="0.25">
      <c r="A433" s="21" t="s">
        <v>912</v>
      </c>
      <c r="B433" s="155"/>
      <c r="C433" s="154" t="s">
        <v>3759</v>
      </c>
      <c r="D433" s="155">
        <v>18</v>
      </c>
      <c r="E433" s="155" t="s">
        <v>73</v>
      </c>
      <c r="F433" s="156">
        <v>150000</v>
      </c>
      <c r="G433" s="45">
        <f>ROUNDDOWN(D433*F433,-3)</f>
        <v>2700000</v>
      </c>
      <c r="H433" s="165">
        <v>3780000</v>
      </c>
      <c r="I433" s="150" t="s">
        <v>3552</v>
      </c>
      <c r="J433" s="149" t="s">
        <v>3564</v>
      </c>
      <c r="K433" s="149" t="s">
        <v>3584</v>
      </c>
      <c r="L433" s="171">
        <f t="shared" si="10"/>
        <v>-1080000</v>
      </c>
    </row>
    <row r="434" spans="1:12" x14ac:dyDescent="0.25">
      <c r="A434" s="21" t="s">
        <v>913</v>
      </c>
      <c r="B434" s="59" t="s">
        <v>514</v>
      </c>
      <c r="C434" s="38" t="s">
        <v>914</v>
      </c>
      <c r="D434" s="70"/>
      <c r="E434" s="59"/>
      <c r="F434" s="39"/>
      <c r="G434" s="39">
        <v>339320000</v>
      </c>
      <c r="H434" s="165">
        <v>2700000</v>
      </c>
      <c r="I434" s="150" t="s">
        <v>3552</v>
      </c>
      <c r="J434" s="149" t="s">
        <v>3564</v>
      </c>
      <c r="K434" s="149" t="s">
        <v>3584</v>
      </c>
      <c r="L434" s="171">
        <f t="shared" si="10"/>
        <v>336620000</v>
      </c>
    </row>
    <row r="435" spans="1:12" x14ac:dyDescent="0.25">
      <c r="A435" s="21" t="s">
        <v>915</v>
      </c>
      <c r="B435" s="60">
        <v>521211</v>
      </c>
      <c r="C435" s="41" t="s">
        <v>7</v>
      </c>
      <c r="D435" s="71"/>
      <c r="E435" s="60"/>
      <c r="F435" s="42"/>
      <c r="G435" s="42">
        <v>50750000</v>
      </c>
      <c r="H435" s="165">
        <v>339320000</v>
      </c>
      <c r="I435" s="150" t="s">
        <v>3552</v>
      </c>
      <c r="J435" s="149" t="s">
        <v>3564</v>
      </c>
      <c r="K435" s="149" t="s">
        <v>3584</v>
      </c>
      <c r="L435" s="171">
        <f t="shared" si="10"/>
        <v>-288570000</v>
      </c>
    </row>
    <row r="436" spans="1:12" x14ac:dyDescent="0.25">
      <c r="A436" s="21" t="s">
        <v>916</v>
      </c>
      <c r="B436" s="192"/>
      <c r="C436" s="191" t="s">
        <v>3625</v>
      </c>
      <c r="D436" s="197">
        <v>1</v>
      </c>
      <c r="E436" s="192" t="s">
        <v>52</v>
      </c>
      <c r="F436" s="193">
        <v>2500000</v>
      </c>
      <c r="G436" s="45">
        <f>ROUNDDOWN(D436*F436,-3)</f>
        <v>2500000</v>
      </c>
      <c r="H436" s="165">
        <v>50750000</v>
      </c>
      <c r="I436" s="150" t="s">
        <v>3552</v>
      </c>
      <c r="J436" s="149" t="s">
        <v>3564</v>
      </c>
      <c r="K436" s="149" t="s">
        <v>3584</v>
      </c>
      <c r="L436" s="171">
        <f t="shared" si="10"/>
        <v>-48250000</v>
      </c>
    </row>
    <row r="437" spans="1:12" x14ac:dyDescent="0.25">
      <c r="A437" s="21" t="s">
        <v>917</v>
      </c>
      <c r="B437" s="61"/>
      <c r="C437" s="44" t="s">
        <v>3744</v>
      </c>
      <c r="D437" s="47">
        <v>1</v>
      </c>
      <c r="E437" s="61" t="s">
        <v>52</v>
      </c>
      <c r="F437" s="45">
        <v>2500000</v>
      </c>
      <c r="G437" s="45">
        <f>ROUNDDOWN(D437*F437,-3)</f>
        <v>2500000</v>
      </c>
      <c r="H437" s="165">
        <v>2500000</v>
      </c>
      <c r="I437" s="150" t="s">
        <v>3552</v>
      </c>
      <c r="J437" s="149" t="s">
        <v>3564</v>
      </c>
      <c r="K437" s="149" t="s">
        <v>3584</v>
      </c>
      <c r="L437" s="171">
        <f t="shared" si="10"/>
        <v>0</v>
      </c>
    </row>
    <row r="438" spans="1:12" x14ac:dyDescent="0.25">
      <c r="A438" s="21" t="s">
        <v>918</v>
      </c>
      <c r="B438" s="155"/>
      <c r="C438" s="154" t="s">
        <v>3627</v>
      </c>
      <c r="D438" s="155">
        <v>1</v>
      </c>
      <c r="E438" s="155" t="s">
        <v>52</v>
      </c>
      <c r="F438" s="156">
        <v>1000000</v>
      </c>
      <c r="G438" s="45">
        <f>ROUNDDOWN(D438*F438,-3)</f>
        <v>1000000</v>
      </c>
      <c r="H438" s="165">
        <v>2500000</v>
      </c>
      <c r="I438" s="150" t="s">
        <v>3552</v>
      </c>
      <c r="J438" s="149" t="s">
        <v>3564</v>
      </c>
      <c r="K438" s="149" t="s">
        <v>3584</v>
      </c>
      <c r="L438" s="171">
        <f t="shared" si="10"/>
        <v>-1500000</v>
      </c>
    </row>
    <row r="439" spans="1:12" x14ac:dyDescent="0.25">
      <c r="A439" s="21" t="s">
        <v>919</v>
      </c>
      <c r="B439" s="61"/>
      <c r="C439" s="44" t="s">
        <v>3760</v>
      </c>
      <c r="D439" s="47">
        <v>1</v>
      </c>
      <c r="E439" s="61" t="s">
        <v>52</v>
      </c>
      <c r="F439" s="45">
        <v>1000000</v>
      </c>
      <c r="G439" s="45">
        <f>ROUNDDOWN(D439*F439,-3)</f>
        <v>1000000</v>
      </c>
      <c r="H439" s="165">
        <v>1000000</v>
      </c>
      <c r="I439" s="150" t="s">
        <v>3552</v>
      </c>
      <c r="J439" s="149" t="s">
        <v>3564</v>
      </c>
      <c r="K439" s="149" t="s">
        <v>3584</v>
      </c>
      <c r="L439" s="171">
        <f t="shared" si="10"/>
        <v>0</v>
      </c>
    </row>
    <row r="440" spans="1:12" x14ac:dyDescent="0.25">
      <c r="A440" s="21" t="s">
        <v>921</v>
      </c>
      <c r="B440" s="155"/>
      <c r="C440" s="154" t="s">
        <v>3761</v>
      </c>
      <c r="D440" s="155">
        <v>125</v>
      </c>
      <c r="E440" s="155" t="s">
        <v>52</v>
      </c>
      <c r="F440" s="156">
        <v>350000</v>
      </c>
      <c r="G440" s="45">
        <f>ROUNDDOWN(D440*F440,-3)</f>
        <v>43750000</v>
      </c>
      <c r="H440" s="165">
        <v>1000000</v>
      </c>
      <c r="I440" s="150" t="s">
        <v>3552</v>
      </c>
      <c r="J440" s="149" t="s">
        <v>3564</v>
      </c>
      <c r="K440" s="149" t="s">
        <v>3584</v>
      </c>
      <c r="L440" s="171">
        <f t="shared" si="10"/>
        <v>42750000</v>
      </c>
    </row>
    <row r="441" spans="1:12" x14ac:dyDescent="0.25">
      <c r="A441" s="21" t="s">
        <v>923</v>
      </c>
      <c r="B441" s="60">
        <v>522151</v>
      </c>
      <c r="C441" s="41" t="s">
        <v>11</v>
      </c>
      <c r="D441" s="71"/>
      <c r="E441" s="60"/>
      <c r="F441" s="42"/>
      <c r="G441" s="42">
        <v>11200000</v>
      </c>
      <c r="H441" s="165">
        <v>43750000</v>
      </c>
      <c r="I441" s="150" t="s">
        <v>3552</v>
      </c>
      <c r="J441" s="149" t="s">
        <v>3564</v>
      </c>
      <c r="K441" s="149" t="s">
        <v>3584</v>
      </c>
      <c r="L441" s="171">
        <f t="shared" si="10"/>
        <v>-32550000</v>
      </c>
    </row>
    <row r="442" spans="1:12" ht="26.4" x14ac:dyDescent="0.25">
      <c r="A442" s="21" t="s">
        <v>924</v>
      </c>
      <c r="B442" s="192"/>
      <c r="C442" s="191" t="s">
        <v>3762</v>
      </c>
      <c r="D442" s="192">
        <v>4</v>
      </c>
      <c r="E442" s="192" t="s">
        <v>54</v>
      </c>
      <c r="F442" s="193">
        <v>1000000</v>
      </c>
      <c r="G442" s="45">
        <f>ROUNDDOWN(D442*F442,-3)</f>
        <v>4000000</v>
      </c>
      <c r="H442" s="165">
        <v>11200000</v>
      </c>
      <c r="I442" s="150" t="s">
        <v>3552</v>
      </c>
      <c r="J442" s="149" t="s">
        <v>3564</v>
      </c>
      <c r="K442" s="149" t="s">
        <v>3584</v>
      </c>
      <c r="L442" s="171">
        <f t="shared" si="10"/>
        <v>-7200000</v>
      </c>
    </row>
    <row r="443" spans="1:12" ht="26.4" x14ac:dyDescent="0.25">
      <c r="A443" s="21" t="s">
        <v>926</v>
      </c>
      <c r="B443" s="61"/>
      <c r="C443" s="44" t="s">
        <v>3763</v>
      </c>
      <c r="D443" s="47">
        <v>8</v>
      </c>
      <c r="E443" s="61" t="s">
        <v>25</v>
      </c>
      <c r="F443" s="45">
        <v>900000</v>
      </c>
      <c r="G443" s="45">
        <f>ROUNDDOWN(D443*F443,-3)</f>
        <v>7200000</v>
      </c>
      <c r="H443" s="165">
        <v>4000000</v>
      </c>
      <c r="I443" s="150" t="s">
        <v>3552</v>
      </c>
      <c r="J443" s="149" t="s">
        <v>3564</v>
      </c>
      <c r="K443" s="149" t="s">
        <v>3584</v>
      </c>
      <c r="L443" s="171">
        <f t="shared" si="10"/>
        <v>3200000</v>
      </c>
    </row>
    <row r="444" spans="1:12" x14ac:dyDescent="0.25">
      <c r="A444" s="21" t="s">
        <v>928</v>
      </c>
      <c r="B444" s="60">
        <v>524111</v>
      </c>
      <c r="C444" s="41" t="s">
        <v>19</v>
      </c>
      <c r="D444" s="60"/>
      <c r="E444" s="60"/>
      <c r="F444" s="42"/>
      <c r="G444" s="42">
        <v>277370000</v>
      </c>
      <c r="H444" s="165">
        <v>7200000</v>
      </c>
      <c r="I444" s="150" t="s">
        <v>3552</v>
      </c>
      <c r="J444" s="149" t="s">
        <v>3564</v>
      </c>
      <c r="K444" s="149" t="s">
        <v>3584</v>
      </c>
      <c r="L444" s="171">
        <f t="shared" si="10"/>
        <v>270170000</v>
      </c>
    </row>
    <row r="445" spans="1:12" ht="26.4" x14ac:dyDescent="0.25">
      <c r="A445" s="21" t="s">
        <v>929</v>
      </c>
      <c r="B445" s="192"/>
      <c r="C445" s="191" t="s">
        <v>3764</v>
      </c>
      <c r="D445" s="192">
        <v>500</v>
      </c>
      <c r="E445" s="192" t="s">
        <v>73</v>
      </c>
      <c r="F445" s="193">
        <v>430000</v>
      </c>
      <c r="G445" s="45">
        <f>ROUNDDOWN(D445*F445,-3)</f>
        <v>215000000</v>
      </c>
      <c r="H445" s="165">
        <v>277370000</v>
      </c>
      <c r="I445" s="150" t="s">
        <v>3552</v>
      </c>
      <c r="J445" s="149" t="s">
        <v>3564</v>
      </c>
      <c r="K445" s="149" t="s">
        <v>3584</v>
      </c>
      <c r="L445" s="171">
        <f t="shared" si="10"/>
        <v>-62370000</v>
      </c>
    </row>
    <row r="446" spans="1:12" ht="26.4" x14ac:dyDescent="0.25">
      <c r="A446" s="21" t="s">
        <v>931</v>
      </c>
      <c r="B446" s="61"/>
      <c r="C446" s="44" t="s">
        <v>3765</v>
      </c>
      <c r="D446" s="47">
        <v>81</v>
      </c>
      <c r="E446" s="61" t="s">
        <v>73</v>
      </c>
      <c r="F446" s="45">
        <v>570000</v>
      </c>
      <c r="G446" s="45">
        <f>ROUNDDOWN(D446*F446,-3)</f>
        <v>46170000</v>
      </c>
      <c r="H446" s="165">
        <v>215000000</v>
      </c>
      <c r="I446" s="150" t="s">
        <v>3552</v>
      </c>
      <c r="J446" s="149" t="s">
        <v>3564</v>
      </c>
      <c r="K446" s="149" t="s">
        <v>3584</v>
      </c>
      <c r="L446" s="171">
        <f t="shared" si="10"/>
        <v>-168830000</v>
      </c>
    </row>
    <row r="447" spans="1:12" ht="26.4" x14ac:dyDescent="0.25">
      <c r="A447" s="21" t="s">
        <v>933</v>
      </c>
      <c r="B447" s="61"/>
      <c r="C447" s="44" t="s">
        <v>3766</v>
      </c>
      <c r="D447" s="47">
        <v>27</v>
      </c>
      <c r="E447" s="61" t="s">
        <v>25</v>
      </c>
      <c r="F447" s="45">
        <v>600000</v>
      </c>
      <c r="G447" s="45">
        <f>ROUNDDOWN(D447*F447,-3)</f>
        <v>16200000</v>
      </c>
      <c r="H447" s="165">
        <v>46170000</v>
      </c>
      <c r="I447" s="150" t="s">
        <v>3552</v>
      </c>
      <c r="J447" s="149" t="s">
        <v>3564</v>
      </c>
      <c r="K447" s="149" t="s">
        <v>3584</v>
      </c>
      <c r="L447" s="171">
        <f t="shared" si="10"/>
        <v>-29970000</v>
      </c>
    </row>
    <row r="448" spans="1:12" ht="26.4" x14ac:dyDescent="0.25">
      <c r="A448" s="21" t="s">
        <v>935</v>
      </c>
      <c r="B448" s="59" t="s">
        <v>519</v>
      </c>
      <c r="C448" s="38" t="s">
        <v>186</v>
      </c>
      <c r="D448" s="70"/>
      <c r="E448" s="59"/>
      <c r="F448" s="39"/>
      <c r="G448" s="39">
        <v>230700000</v>
      </c>
      <c r="H448" s="165">
        <v>16200000</v>
      </c>
      <c r="I448" s="150" t="s">
        <v>3552</v>
      </c>
      <c r="J448" s="149" t="s">
        <v>3564</v>
      </c>
      <c r="K448" s="149" t="s">
        <v>3584</v>
      </c>
      <c r="L448" s="171">
        <f t="shared" si="10"/>
        <v>214500000</v>
      </c>
    </row>
    <row r="449" spans="1:12" x14ac:dyDescent="0.25">
      <c r="A449" s="21" t="s">
        <v>936</v>
      </c>
      <c r="B449" s="60">
        <v>521211</v>
      </c>
      <c r="C449" s="41" t="s">
        <v>7</v>
      </c>
      <c r="D449" s="60"/>
      <c r="E449" s="60"/>
      <c r="F449" s="42"/>
      <c r="G449" s="42">
        <v>3000000</v>
      </c>
      <c r="H449" s="165">
        <v>230700000</v>
      </c>
      <c r="I449" s="150" t="s">
        <v>3552</v>
      </c>
      <c r="J449" s="149" t="s">
        <v>3564</v>
      </c>
      <c r="K449" s="149" t="s">
        <v>3584</v>
      </c>
      <c r="L449" s="171">
        <f t="shared" si="10"/>
        <v>-227700000</v>
      </c>
    </row>
    <row r="450" spans="1:12" x14ac:dyDescent="0.25">
      <c r="A450" s="21" t="s">
        <v>937</v>
      </c>
      <c r="B450" s="192"/>
      <c r="C450" s="191" t="s">
        <v>3598</v>
      </c>
      <c r="D450" s="197">
        <v>10</v>
      </c>
      <c r="E450" s="192" t="s">
        <v>52</v>
      </c>
      <c r="F450" s="193">
        <v>300000</v>
      </c>
      <c r="G450" s="45">
        <f>ROUNDDOWN(D450*F450,-3)</f>
        <v>3000000</v>
      </c>
      <c r="H450" s="165">
        <v>3000000</v>
      </c>
      <c r="I450" s="150" t="s">
        <v>3552</v>
      </c>
      <c r="J450" s="149" t="s">
        <v>3564</v>
      </c>
      <c r="K450" s="149" t="s">
        <v>3584</v>
      </c>
      <c r="L450" s="171">
        <f t="shared" si="10"/>
        <v>0</v>
      </c>
    </row>
    <row r="451" spans="1:12" x14ac:dyDescent="0.25">
      <c r="A451" s="21" t="s">
        <v>938</v>
      </c>
      <c r="B451" s="60">
        <v>521811</v>
      </c>
      <c r="C451" s="41" t="s">
        <v>64</v>
      </c>
      <c r="D451" s="71"/>
      <c r="E451" s="60"/>
      <c r="F451" s="42"/>
      <c r="G451" s="42">
        <v>24000000</v>
      </c>
      <c r="H451" s="165">
        <v>3000000</v>
      </c>
      <c r="I451" s="150" t="s">
        <v>3552</v>
      </c>
      <c r="J451" s="149" t="s">
        <v>3564</v>
      </c>
      <c r="K451" s="149" t="s">
        <v>3584</v>
      </c>
      <c r="L451" s="171">
        <f t="shared" si="10"/>
        <v>21000000</v>
      </c>
    </row>
    <row r="452" spans="1:12" x14ac:dyDescent="0.25">
      <c r="A452" s="21" t="s">
        <v>939</v>
      </c>
      <c r="B452" s="192"/>
      <c r="C452" s="191" t="s">
        <v>3625</v>
      </c>
      <c r="D452" s="192">
        <v>12</v>
      </c>
      <c r="E452" s="192" t="s">
        <v>52</v>
      </c>
      <c r="F452" s="193">
        <v>1000000</v>
      </c>
      <c r="G452" s="45">
        <f>ROUNDDOWN(D452*F452,-3)</f>
        <v>12000000</v>
      </c>
      <c r="H452" s="165">
        <v>24000000</v>
      </c>
      <c r="I452" s="150" t="s">
        <v>3552</v>
      </c>
      <c r="J452" s="149" t="s">
        <v>3564</v>
      </c>
      <c r="K452" s="149" t="s">
        <v>3584</v>
      </c>
      <c r="L452" s="171">
        <f t="shared" si="10"/>
        <v>-12000000</v>
      </c>
    </row>
    <row r="453" spans="1:12" x14ac:dyDescent="0.25">
      <c r="A453" s="21" t="s">
        <v>940</v>
      </c>
      <c r="B453" s="61"/>
      <c r="C453" s="44" t="s">
        <v>3744</v>
      </c>
      <c r="D453" s="47">
        <v>12</v>
      </c>
      <c r="E453" s="61" t="s">
        <v>52</v>
      </c>
      <c r="F453" s="45">
        <v>1000000</v>
      </c>
      <c r="G453" s="45">
        <f>ROUNDDOWN(D453*F453,-3)</f>
        <v>12000000</v>
      </c>
      <c r="H453" s="165">
        <v>12000000</v>
      </c>
      <c r="I453" s="150" t="s">
        <v>3552</v>
      </c>
      <c r="J453" s="149" t="s">
        <v>3564</v>
      </c>
      <c r="K453" s="149" t="s">
        <v>3584</v>
      </c>
      <c r="L453" s="171">
        <f t="shared" si="10"/>
        <v>0</v>
      </c>
    </row>
    <row r="454" spans="1:12" x14ac:dyDescent="0.25">
      <c r="A454" s="21" t="s">
        <v>941</v>
      </c>
      <c r="B454" s="60">
        <v>522151</v>
      </c>
      <c r="C454" s="41" t="s">
        <v>11</v>
      </c>
      <c r="D454" s="60"/>
      <c r="E454" s="60"/>
      <c r="F454" s="42"/>
      <c r="G454" s="42">
        <v>7200000</v>
      </c>
      <c r="H454" s="165">
        <v>12000000</v>
      </c>
      <c r="I454" s="150" t="s">
        <v>3552</v>
      </c>
      <c r="J454" s="149" t="s">
        <v>3564</v>
      </c>
      <c r="K454" s="149" t="s">
        <v>3584</v>
      </c>
      <c r="L454" s="171">
        <f t="shared" si="10"/>
        <v>-4800000</v>
      </c>
    </row>
    <row r="455" spans="1:12" ht="26.4" x14ac:dyDescent="0.25">
      <c r="A455" s="21" t="s">
        <v>942</v>
      </c>
      <c r="B455" s="192"/>
      <c r="C455" s="191" t="s">
        <v>3767</v>
      </c>
      <c r="D455" s="197">
        <v>8</v>
      </c>
      <c r="E455" s="192" t="s">
        <v>54</v>
      </c>
      <c r="F455" s="193">
        <v>900000</v>
      </c>
      <c r="G455" s="45">
        <f>ROUNDDOWN(D455*F455,-3)</f>
        <v>7200000</v>
      </c>
      <c r="H455" s="165">
        <v>7200000</v>
      </c>
      <c r="I455" s="150" t="s">
        <v>3552</v>
      </c>
      <c r="J455" s="149" t="s">
        <v>3564</v>
      </c>
      <c r="K455" s="149" t="s">
        <v>3584</v>
      </c>
      <c r="L455" s="171">
        <f t="shared" si="10"/>
        <v>0</v>
      </c>
    </row>
    <row r="456" spans="1:12" x14ac:dyDescent="0.25">
      <c r="A456" s="21" t="s">
        <v>944</v>
      </c>
      <c r="B456" s="60">
        <v>522192</v>
      </c>
      <c r="C456" s="41" t="s">
        <v>24</v>
      </c>
      <c r="D456" s="60"/>
      <c r="E456" s="60"/>
      <c r="F456" s="42"/>
      <c r="G456" s="42">
        <v>4500000</v>
      </c>
      <c r="H456" s="165">
        <v>7200000</v>
      </c>
      <c r="I456" s="150" t="s">
        <v>3552</v>
      </c>
      <c r="J456" s="149" t="s">
        <v>3564</v>
      </c>
      <c r="K456" s="149" t="s">
        <v>3584</v>
      </c>
      <c r="L456" s="171">
        <f t="shared" si="10"/>
        <v>-2700000</v>
      </c>
    </row>
    <row r="457" spans="1:12" x14ac:dyDescent="0.25">
      <c r="A457" s="21" t="s">
        <v>945</v>
      </c>
      <c r="B457" s="192"/>
      <c r="C457" s="191" t="s">
        <v>3768</v>
      </c>
      <c r="D457" s="197">
        <v>15</v>
      </c>
      <c r="E457" s="192" t="s">
        <v>25</v>
      </c>
      <c r="F457" s="193">
        <v>300000</v>
      </c>
      <c r="G457" s="45">
        <f>ROUNDDOWN(D457*F457,-3)</f>
        <v>4500000</v>
      </c>
      <c r="H457" s="165">
        <v>4500000</v>
      </c>
      <c r="I457" s="150" t="s">
        <v>3552</v>
      </c>
      <c r="J457" s="149" t="s">
        <v>3564</v>
      </c>
      <c r="K457" s="149" t="s">
        <v>3584</v>
      </c>
      <c r="L457" s="171">
        <f t="shared" si="10"/>
        <v>0</v>
      </c>
    </row>
    <row r="458" spans="1:12" x14ac:dyDescent="0.25">
      <c r="A458" s="21" t="s">
        <v>947</v>
      </c>
      <c r="B458" s="60">
        <v>524111</v>
      </c>
      <c r="C458" s="41" t="s">
        <v>19</v>
      </c>
      <c r="D458" s="60"/>
      <c r="E458" s="60"/>
      <c r="F458" s="42"/>
      <c r="G458" s="42">
        <v>192000000</v>
      </c>
      <c r="H458" s="165">
        <v>4500000</v>
      </c>
      <c r="I458" s="150" t="s">
        <v>3552</v>
      </c>
      <c r="J458" s="149" t="s">
        <v>3564</v>
      </c>
      <c r="K458" s="149" t="s">
        <v>3584</v>
      </c>
      <c r="L458" s="171">
        <f t="shared" si="10"/>
        <v>187500000</v>
      </c>
    </row>
    <row r="459" spans="1:12" ht="39.6" x14ac:dyDescent="0.25">
      <c r="A459" s="21" t="s">
        <v>948</v>
      </c>
      <c r="B459" s="192"/>
      <c r="C459" s="191" t="s">
        <v>3769</v>
      </c>
      <c r="D459" s="192">
        <v>12</v>
      </c>
      <c r="E459" s="192" t="s">
        <v>25</v>
      </c>
      <c r="F459" s="193">
        <v>8000000</v>
      </c>
      <c r="G459" s="45">
        <f>ROUNDDOWN(D459*F459,-3)</f>
        <v>96000000</v>
      </c>
      <c r="H459" s="165">
        <v>192000000</v>
      </c>
      <c r="I459" s="150" t="s">
        <v>3552</v>
      </c>
      <c r="J459" s="149" t="s">
        <v>3564</v>
      </c>
      <c r="K459" s="149" t="s">
        <v>3584</v>
      </c>
      <c r="L459" s="171">
        <f t="shared" si="10"/>
        <v>-96000000</v>
      </c>
    </row>
    <row r="460" spans="1:12" ht="26.4" x14ac:dyDescent="0.25">
      <c r="A460" s="21" t="s">
        <v>950</v>
      </c>
      <c r="B460" s="61"/>
      <c r="C460" s="44" t="s">
        <v>3770</v>
      </c>
      <c r="D460" s="47">
        <v>12</v>
      </c>
      <c r="E460" s="61" t="s">
        <v>25</v>
      </c>
      <c r="F460" s="45">
        <v>8000000</v>
      </c>
      <c r="G460" s="45">
        <f>ROUNDDOWN(D460*F460,-3)</f>
        <v>96000000</v>
      </c>
      <c r="H460" s="165">
        <v>96000000</v>
      </c>
      <c r="I460" s="150" t="s">
        <v>3552</v>
      </c>
      <c r="J460" s="149" t="s">
        <v>3564</v>
      </c>
      <c r="K460" s="149" t="s">
        <v>3584</v>
      </c>
      <c r="L460" s="171">
        <f t="shared" si="10"/>
        <v>0</v>
      </c>
    </row>
    <row r="461" spans="1:12" x14ac:dyDescent="0.25">
      <c r="A461" s="21" t="s">
        <v>952</v>
      </c>
      <c r="B461" s="59" t="s">
        <v>578</v>
      </c>
      <c r="C461" s="38" t="s">
        <v>953</v>
      </c>
      <c r="D461" s="70"/>
      <c r="E461" s="59"/>
      <c r="F461" s="39"/>
      <c r="G461" s="39">
        <v>269980000</v>
      </c>
      <c r="H461" s="165">
        <v>96000000</v>
      </c>
      <c r="I461" s="150" t="s">
        <v>3552</v>
      </c>
      <c r="J461" s="149" t="s">
        <v>3564</v>
      </c>
      <c r="K461" s="149" t="s">
        <v>3584</v>
      </c>
      <c r="L461" s="171">
        <f t="shared" si="10"/>
        <v>173980000</v>
      </c>
    </row>
    <row r="462" spans="1:12" x14ac:dyDescent="0.25">
      <c r="A462" s="21" t="s">
        <v>954</v>
      </c>
      <c r="B462" s="60">
        <v>521211</v>
      </c>
      <c r="C462" s="41" t="s">
        <v>7</v>
      </c>
      <c r="D462" s="71"/>
      <c r="E462" s="60"/>
      <c r="F462" s="42"/>
      <c r="G462" s="42">
        <v>50750000</v>
      </c>
      <c r="H462" s="165">
        <v>269980000</v>
      </c>
      <c r="I462" s="150" t="s">
        <v>3552</v>
      </c>
      <c r="J462" s="149" t="s">
        <v>3564</v>
      </c>
      <c r="K462" s="149" t="s">
        <v>3584</v>
      </c>
      <c r="L462" s="171">
        <f t="shared" ref="L462:L525" si="11">G462-H462</f>
        <v>-219230000</v>
      </c>
    </row>
    <row r="463" spans="1:12" x14ac:dyDescent="0.25">
      <c r="A463" s="21" t="s">
        <v>955</v>
      </c>
      <c r="B463" s="192"/>
      <c r="C463" s="191" t="s">
        <v>3625</v>
      </c>
      <c r="D463" s="197">
        <v>1</v>
      </c>
      <c r="E463" s="192" t="s">
        <v>52</v>
      </c>
      <c r="F463" s="193">
        <v>2500000</v>
      </c>
      <c r="G463" s="45">
        <f>ROUNDDOWN(D463*F463,-3)</f>
        <v>2500000</v>
      </c>
      <c r="H463" s="165">
        <v>50750000</v>
      </c>
      <c r="I463" s="150" t="s">
        <v>3552</v>
      </c>
      <c r="J463" s="149" t="s">
        <v>3564</v>
      </c>
      <c r="K463" s="149" t="s">
        <v>3584</v>
      </c>
      <c r="L463" s="171">
        <f t="shared" si="11"/>
        <v>-48250000</v>
      </c>
    </row>
    <row r="464" spans="1:12" x14ac:dyDescent="0.25">
      <c r="A464" s="21" t="s">
        <v>956</v>
      </c>
      <c r="B464" s="155"/>
      <c r="C464" s="154" t="s">
        <v>3744</v>
      </c>
      <c r="D464" s="155">
        <v>1</v>
      </c>
      <c r="E464" s="155" t="s">
        <v>52</v>
      </c>
      <c r="F464" s="156">
        <v>2500000</v>
      </c>
      <c r="G464" s="45">
        <f>ROUNDDOWN(D464*F464,-3)</f>
        <v>2500000</v>
      </c>
      <c r="H464" s="165">
        <v>2500000</v>
      </c>
      <c r="I464" s="150" t="s">
        <v>3552</v>
      </c>
      <c r="J464" s="149" t="s">
        <v>3564</v>
      </c>
      <c r="K464" s="149" t="s">
        <v>3584</v>
      </c>
      <c r="L464" s="171">
        <f t="shared" si="11"/>
        <v>0</v>
      </c>
    </row>
    <row r="465" spans="1:12" x14ac:dyDescent="0.25">
      <c r="A465" s="21" t="s">
        <v>957</v>
      </c>
      <c r="B465" s="61"/>
      <c r="C465" s="44" t="s">
        <v>3627</v>
      </c>
      <c r="D465" s="47">
        <v>1</v>
      </c>
      <c r="E465" s="61" t="s">
        <v>52</v>
      </c>
      <c r="F465" s="45">
        <v>1000000</v>
      </c>
      <c r="G465" s="45">
        <f>ROUNDDOWN(D465*F465,-3)</f>
        <v>1000000</v>
      </c>
      <c r="H465" s="165">
        <v>2500000</v>
      </c>
      <c r="I465" s="150" t="s">
        <v>3552</v>
      </c>
      <c r="J465" s="149" t="s">
        <v>3564</v>
      </c>
      <c r="K465" s="149" t="s">
        <v>3584</v>
      </c>
      <c r="L465" s="171">
        <f t="shared" si="11"/>
        <v>-1500000</v>
      </c>
    </row>
    <row r="466" spans="1:12" x14ac:dyDescent="0.25">
      <c r="A466" s="21" t="s">
        <v>958</v>
      </c>
      <c r="B466" s="61"/>
      <c r="C466" s="44" t="s">
        <v>3760</v>
      </c>
      <c r="D466" s="47">
        <v>1</v>
      </c>
      <c r="E466" s="61" t="s">
        <v>52</v>
      </c>
      <c r="F466" s="45">
        <v>1000000</v>
      </c>
      <c r="G466" s="45">
        <f>ROUNDDOWN(D466*F466,-3)</f>
        <v>1000000</v>
      </c>
      <c r="H466" s="165">
        <v>1000000</v>
      </c>
      <c r="I466" s="150" t="s">
        <v>3552</v>
      </c>
      <c r="J466" s="149" t="s">
        <v>3564</v>
      </c>
      <c r="K466" s="149" t="s">
        <v>3584</v>
      </c>
      <c r="L466" s="171">
        <f t="shared" si="11"/>
        <v>0</v>
      </c>
    </row>
    <row r="467" spans="1:12" x14ac:dyDescent="0.25">
      <c r="A467" s="21" t="s">
        <v>959</v>
      </c>
      <c r="B467" s="155"/>
      <c r="C467" s="154" t="s">
        <v>3761</v>
      </c>
      <c r="D467" s="155">
        <v>125</v>
      </c>
      <c r="E467" s="155" t="s">
        <v>52</v>
      </c>
      <c r="F467" s="156">
        <v>350000</v>
      </c>
      <c r="G467" s="45">
        <f>ROUNDDOWN(D467*F467,-3)</f>
        <v>43750000</v>
      </c>
      <c r="H467" s="165">
        <v>1000000</v>
      </c>
      <c r="I467" s="150" t="s">
        <v>3552</v>
      </c>
      <c r="J467" s="149" t="s">
        <v>3564</v>
      </c>
      <c r="K467" s="149" t="s">
        <v>3584</v>
      </c>
      <c r="L467" s="171">
        <f t="shared" si="11"/>
        <v>42750000</v>
      </c>
    </row>
    <row r="468" spans="1:12" x14ac:dyDescent="0.25">
      <c r="A468" s="21" t="s">
        <v>960</v>
      </c>
      <c r="B468" s="60">
        <v>522151</v>
      </c>
      <c r="C468" s="41" t="s">
        <v>11</v>
      </c>
      <c r="D468" s="71"/>
      <c r="E468" s="60"/>
      <c r="F468" s="42"/>
      <c r="G468" s="42">
        <v>11000000</v>
      </c>
      <c r="H468" s="165">
        <v>43750000</v>
      </c>
      <c r="I468" s="150" t="s">
        <v>3552</v>
      </c>
      <c r="J468" s="149" t="s">
        <v>3564</v>
      </c>
      <c r="K468" s="149" t="s">
        <v>3584</v>
      </c>
      <c r="L468" s="171">
        <f t="shared" si="11"/>
        <v>-32750000</v>
      </c>
    </row>
    <row r="469" spans="1:12" x14ac:dyDescent="0.25">
      <c r="A469" s="21" t="s">
        <v>961</v>
      </c>
      <c r="B469" s="192"/>
      <c r="C469" s="191" t="s">
        <v>3771</v>
      </c>
      <c r="D469" s="192">
        <v>2</v>
      </c>
      <c r="E469" s="192" t="s">
        <v>54</v>
      </c>
      <c r="F469" s="193">
        <v>1000000</v>
      </c>
      <c r="G469" s="45">
        <f>ROUNDDOWN(D469*F469,-3)</f>
        <v>2000000</v>
      </c>
      <c r="H469" s="165">
        <v>11000000</v>
      </c>
      <c r="I469" s="150" t="s">
        <v>3552</v>
      </c>
      <c r="J469" s="149" t="s">
        <v>3564</v>
      </c>
      <c r="K469" s="149" t="s">
        <v>3584</v>
      </c>
      <c r="L469" s="171">
        <f t="shared" si="11"/>
        <v>-9000000</v>
      </c>
    </row>
    <row r="470" spans="1:12" ht="26.4" x14ac:dyDescent="0.25">
      <c r="A470" s="21" t="s">
        <v>963</v>
      </c>
      <c r="B470" s="61"/>
      <c r="C470" s="44" t="s">
        <v>3772</v>
      </c>
      <c r="D470" s="47">
        <v>10</v>
      </c>
      <c r="E470" s="61" t="s">
        <v>54</v>
      </c>
      <c r="F470" s="45">
        <v>900000</v>
      </c>
      <c r="G470" s="45">
        <f>ROUNDDOWN(D470*F470,-3)</f>
        <v>9000000</v>
      </c>
      <c r="H470" s="165">
        <v>2000000</v>
      </c>
      <c r="I470" s="150" t="s">
        <v>3552</v>
      </c>
      <c r="J470" s="149" t="s">
        <v>3564</v>
      </c>
      <c r="K470" s="149" t="s">
        <v>3584</v>
      </c>
      <c r="L470" s="171">
        <f t="shared" si="11"/>
        <v>7000000</v>
      </c>
    </row>
    <row r="471" spans="1:12" x14ac:dyDescent="0.25">
      <c r="A471" s="21" t="s">
        <v>965</v>
      </c>
      <c r="B471" s="60">
        <v>524111</v>
      </c>
      <c r="C471" s="41" t="s">
        <v>19</v>
      </c>
      <c r="D471" s="60"/>
      <c r="E471" s="60"/>
      <c r="F471" s="42"/>
      <c r="G471" s="42">
        <v>208230000</v>
      </c>
      <c r="H471" s="165">
        <v>9000000</v>
      </c>
      <c r="I471" s="150" t="s">
        <v>3552</v>
      </c>
      <c r="J471" s="149" t="s">
        <v>3564</v>
      </c>
      <c r="K471" s="149" t="s">
        <v>3584</v>
      </c>
      <c r="L471" s="171">
        <f t="shared" si="11"/>
        <v>199230000</v>
      </c>
    </row>
    <row r="472" spans="1:12" ht="26.4" x14ac:dyDescent="0.25">
      <c r="A472" s="21" t="s">
        <v>966</v>
      </c>
      <c r="B472" s="192"/>
      <c r="C472" s="191" t="s">
        <v>3773</v>
      </c>
      <c r="D472" s="197">
        <v>40</v>
      </c>
      <c r="E472" s="192" t="s">
        <v>73</v>
      </c>
      <c r="F472" s="193">
        <v>5205750</v>
      </c>
      <c r="G472" s="45">
        <f>ROUNDDOWN(D472*F472,-3)</f>
        <v>208230000</v>
      </c>
      <c r="H472" s="165">
        <v>208230000</v>
      </c>
      <c r="I472" s="150" t="s">
        <v>3552</v>
      </c>
      <c r="J472" s="149" t="s">
        <v>3564</v>
      </c>
      <c r="K472" s="149" t="s">
        <v>3584</v>
      </c>
      <c r="L472" s="171">
        <f t="shared" si="11"/>
        <v>0</v>
      </c>
    </row>
    <row r="473" spans="1:12" x14ac:dyDescent="0.25">
      <c r="A473" s="21" t="s">
        <v>968</v>
      </c>
      <c r="B473" s="59" t="s">
        <v>579</v>
      </c>
      <c r="C473" s="38" t="s">
        <v>187</v>
      </c>
      <c r="D473" s="59"/>
      <c r="E473" s="59"/>
      <c r="F473" s="39"/>
      <c r="G473" s="39">
        <v>113300000</v>
      </c>
      <c r="H473" s="165">
        <v>208230000</v>
      </c>
      <c r="I473" s="150" t="s">
        <v>3552</v>
      </c>
      <c r="J473" s="149" t="s">
        <v>3564</v>
      </c>
      <c r="K473" s="149" t="s">
        <v>3584</v>
      </c>
      <c r="L473" s="171">
        <f t="shared" si="11"/>
        <v>-94930000</v>
      </c>
    </row>
    <row r="474" spans="1:12" x14ac:dyDescent="0.25">
      <c r="A474" s="21" t="s">
        <v>969</v>
      </c>
      <c r="B474" s="60">
        <v>521211</v>
      </c>
      <c r="C474" s="41" t="s">
        <v>7</v>
      </c>
      <c r="D474" s="71"/>
      <c r="E474" s="60"/>
      <c r="F474" s="42"/>
      <c r="G474" s="42">
        <v>5000000</v>
      </c>
      <c r="H474" s="165">
        <v>113300000</v>
      </c>
      <c r="I474" s="150" t="s">
        <v>3552</v>
      </c>
      <c r="J474" s="149" t="s">
        <v>3564</v>
      </c>
      <c r="K474" s="149" t="s">
        <v>3584</v>
      </c>
      <c r="L474" s="171">
        <f t="shared" si="11"/>
        <v>-108300000</v>
      </c>
    </row>
    <row r="475" spans="1:12" x14ac:dyDescent="0.25">
      <c r="A475" s="21" t="s">
        <v>970</v>
      </c>
      <c r="B475" s="192"/>
      <c r="C475" s="191" t="s">
        <v>3598</v>
      </c>
      <c r="D475" s="192">
        <v>20</v>
      </c>
      <c r="E475" s="192" t="s">
        <v>853</v>
      </c>
      <c r="F475" s="193">
        <v>250000</v>
      </c>
      <c r="G475" s="45">
        <f>ROUNDDOWN(D475*F475,-3)</f>
        <v>5000000</v>
      </c>
      <c r="H475" s="165">
        <v>5000000</v>
      </c>
      <c r="I475" s="150" t="s">
        <v>3552</v>
      </c>
      <c r="J475" s="149" t="s">
        <v>3564</v>
      </c>
      <c r="K475" s="149" t="s">
        <v>3584</v>
      </c>
      <c r="L475" s="171">
        <f t="shared" si="11"/>
        <v>0</v>
      </c>
    </row>
    <row r="476" spans="1:12" x14ac:dyDescent="0.25">
      <c r="A476" s="21" t="s">
        <v>971</v>
      </c>
      <c r="B476" s="60">
        <v>521811</v>
      </c>
      <c r="C476" s="41" t="s">
        <v>64</v>
      </c>
      <c r="D476" s="60"/>
      <c r="E476" s="60"/>
      <c r="F476" s="42"/>
      <c r="G476" s="42">
        <v>24000000</v>
      </c>
      <c r="H476" s="165">
        <v>5000000</v>
      </c>
      <c r="I476" s="150" t="s">
        <v>3552</v>
      </c>
      <c r="J476" s="149" t="s">
        <v>3564</v>
      </c>
      <c r="K476" s="149" t="s">
        <v>3584</v>
      </c>
      <c r="L476" s="171">
        <f t="shared" si="11"/>
        <v>19000000</v>
      </c>
    </row>
    <row r="477" spans="1:12" x14ac:dyDescent="0.25">
      <c r="A477" s="21" t="s">
        <v>972</v>
      </c>
      <c r="B477" s="192"/>
      <c r="C477" s="191" t="s">
        <v>3625</v>
      </c>
      <c r="D477" s="197">
        <v>12</v>
      </c>
      <c r="E477" s="192" t="s">
        <v>23</v>
      </c>
      <c r="F477" s="193">
        <v>1000000</v>
      </c>
      <c r="G477" s="45">
        <f>ROUNDDOWN(D477*F477,-3)</f>
        <v>12000000</v>
      </c>
      <c r="H477" s="165">
        <v>24000000</v>
      </c>
      <c r="I477" s="150" t="s">
        <v>3552</v>
      </c>
      <c r="J477" s="149" t="s">
        <v>3564</v>
      </c>
      <c r="K477" s="149" t="s">
        <v>3584</v>
      </c>
      <c r="L477" s="171">
        <f t="shared" si="11"/>
        <v>-12000000</v>
      </c>
    </row>
    <row r="478" spans="1:12" x14ac:dyDescent="0.25">
      <c r="A478" s="21" t="s">
        <v>973</v>
      </c>
      <c r="B478" s="61"/>
      <c r="C478" s="44" t="s">
        <v>3774</v>
      </c>
      <c r="D478" s="47">
        <v>12</v>
      </c>
      <c r="E478" s="61" t="s">
        <v>23</v>
      </c>
      <c r="F478" s="45">
        <v>1000000</v>
      </c>
      <c r="G478" s="45">
        <f>ROUNDDOWN(D478*F478,-3)</f>
        <v>12000000</v>
      </c>
      <c r="H478" s="165">
        <v>12000000</v>
      </c>
      <c r="I478" s="150" t="s">
        <v>3552</v>
      </c>
      <c r="J478" s="149" t="s">
        <v>3564</v>
      </c>
      <c r="K478" s="149" t="s">
        <v>3584</v>
      </c>
      <c r="L478" s="171">
        <f t="shared" si="11"/>
        <v>0</v>
      </c>
    </row>
    <row r="479" spans="1:12" x14ac:dyDescent="0.25">
      <c r="A479" s="21" t="s">
        <v>975</v>
      </c>
      <c r="B479" s="60">
        <v>522151</v>
      </c>
      <c r="C479" s="41" t="s">
        <v>11</v>
      </c>
      <c r="D479" s="71"/>
      <c r="E479" s="60"/>
      <c r="F479" s="42"/>
      <c r="G479" s="42">
        <v>7200000</v>
      </c>
      <c r="H479" s="165">
        <v>12000000</v>
      </c>
      <c r="I479" s="150" t="s">
        <v>3552</v>
      </c>
      <c r="J479" s="149" t="s">
        <v>3564</v>
      </c>
      <c r="K479" s="149" t="s">
        <v>3584</v>
      </c>
      <c r="L479" s="171">
        <f t="shared" si="11"/>
        <v>-4800000</v>
      </c>
    </row>
    <row r="480" spans="1:12" ht="26.4" x14ac:dyDescent="0.25">
      <c r="A480" s="21" t="s">
        <v>976</v>
      </c>
      <c r="B480" s="192"/>
      <c r="C480" s="191" t="s">
        <v>3775</v>
      </c>
      <c r="D480" s="197">
        <v>8</v>
      </c>
      <c r="E480" s="192" t="s">
        <v>54</v>
      </c>
      <c r="F480" s="193">
        <v>900000</v>
      </c>
      <c r="G480" s="45">
        <f>ROUNDDOWN(D480*F480,-3)</f>
        <v>7200000</v>
      </c>
      <c r="H480" s="165">
        <v>7200000</v>
      </c>
      <c r="I480" s="150" t="s">
        <v>3552</v>
      </c>
      <c r="J480" s="149" t="s">
        <v>3564</v>
      </c>
      <c r="K480" s="149" t="s">
        <v>3584</v>
      </c>
      <c r="L480" s="171">
        <f t="shared" si="11"/>
        <v>0</v>
      </c>
    </row>
    <row r="481" spans="1:12" x14ac:dyDescent="0.25">
      <c r="A481" s="21" t="s">
        <v>978</v>
      </c>
      <c r="B481" s="60">
        <v>522192</v>
      </c>
      <c r="C481" s="41" t="s">
        <v>24</v>
      </c>
      <c r="D481" s="60"/>
      <c r="E481" s="60"/>
      <c r="F481" s="42"/>
      <c r="G481" s="42">
        <v>2400000</v>
      </c>
      <c r="H481" s="165">
        <v>7200000</v>
      </c>
      <c r="I481" s="150" t="s">
        <v>3552</v>
      </c>
      <c r="J481" s="149" t="s">
        <v>3564</v>
      </c>
      <c r="K481" s="149" t="s">
        <v>3584</v>
      </c>
      <c r="L481" s="171">
        <f t="shared" si="11"/>
        <v>-4800000</v>
      </c>
    </row>
    <row r="482" spans="1:12" x14ac:dyDescent="0.25">
      <c r="A482" s="21" t="s">
        <v>979</v>
      </c>
      <c r="B482" s="192"/>
      <c r="C482" s="191" t="s">
        <v>3776</v>
      </c>
      <c r="D482" s="197">
        <v>8</v>
      </c>
      <c r="E482" s="192" t="s">
        <v>25</v>
      </c>
      <c r="F482" s="193">
        <v>300000</v>
      </c>
      <c r="G482" s="45">
        <f>ROUNDDOWN(D482*F482,-3)</f>
        <v>2400000</v>
      </c>
      <c r="H482" s="165">
        <v>2400000</v>
      </c>
      <c r="I482" s="150" t="s">
        <v>3552</v>
      </c>
      <c r="J482" s="149" t="s">
        <v>3564</v>
      </c>
      <c r="K482" s="149" t="s">
        <v>3584</v>
      </c>
      <c r="L482" s="171">
        <f t="shared" si="11"/>
        <v>0</v>
      </c>
    </row>
    <row r="483" spans="1:12" x14ac:dyDescent="0.25">
      <c r="A483" s="21" t="s">
        <v>981</v>
      </c>
      <c r="B483" s="60">
        <v>524111</v>
      </c>
      <c r="C483" s="41" t="s">
        <v>19</v>
      </c>
      <c r="D483" s="60"/>
      <c r="E483" s="60"/>
      <c r="F483" s="42"/>
      <c r="G483" s="42">
        <v>72000000</v>
      </c>
      <c r="H483" s="165">
        <v>2400000</v>
      </c>
      <c r="I483" s="150" t="s">
        <v>3552</v>
      </c>
      <c r="J483" s="149" t="s">
        <v>3564</v>
      </c>
      <c r="K483" s="149" t="s">
        <v>3584</v>
      </c>
      <c r="L483" s="171">
        <f t="shared" si="11"/>
        <v>69600000</v>
      </c>
    </row>
    <row r="484" spans="1:12" ht="26.4" x14ac:dyDescent="0.25">
      <c r="A484" s="21" t="s">
        <v>982</v>
      </c>
      <c r="B484" s="192"/>
      <c r="C484" s="191" t="s">
        <v>3777</v>
      </c>
      <c r="D484" s="197">
        <v>12</v>
      </c>
      <c r="E484" s="192" t="s">
        <v>91</v>
      </c>
      <c r="F484" s="193">
        <v>6000000</v>
      </c>
      <c r="G484" s="45">
        <f>ROUNDDOWN(D484*F484,-3)</f>
        <v>72000000</v>
      </c>
      <c r="H484" s="165">
        <v>72000000</v>
      </c>
      <c r="I484" s="150" t="s">
        <v>3552</v>
      </c>
      <c r="J484" s="149" t="s">
        <v>3564</v>
      </c>
      <c r="K484" s="149" t="s">
        <v>3584</v>
      </c>
      <c r="L484" s="171">
        <f t="shared" si="11"/>
        <v>0</v>
      </c>
    </row>
    <row r="485" spans="1:12" x14ac:dyDescent="0.25">
      <c r="A485" s="21" t="s">
        <v>984</v>
      </c>
      <c r="B485" s="60">
        <v>524113</v>
      </c>
      <c r="C485" s="41" t="s">
        <v>13</v>
      </c>
      <c r="D485" s="71"/>
      <c r="E485" s="60"/>
      <c r="F485" s="42"/>
      <c r="G485" s="42">
        <v>2700000</v>
      </c>
      <c r="H485" s="165">
        <v>72000000</v>
      </c>
      <c r="I485" s="150" t="s">
        <v>3552</v>
      </c>
      <c r="J485" s="149" t="s">
        <v>3564</v>
      </c>
      <c r="K485" s="149" t="s">
        <v>3584</v>
      </c>
      <c r="L485" s="171">
        <f t="shared" si="11"/>
        <v>-69300000</v>
      </c>
    </row>
    <row r="486" spans="1:12" x14ac:dyDescent="0.25">
      <c r="A486" s="21" t="s">
        <v>985</v>
      </c>
      <c r="B486" s="192"/>
      <c r="C486" s="191" t="s">
        <v>3778</v>
      </c>
      <c r="D486" s="197">
        <v>18</v>
      </c>
      <c r="E486" s="192" t="s">
        <v>73</v>
      </c>
      <c r="F486" s="193">
        <v>150000</v>
      </c>
      <c r="G486" s="45">
        <f>ROUNDDOWN(D486*F486,-3)</f>
        <v>2700000</v>
      </c>
      <c r="H486" s="165">
        <v>2700000</v>
      </c>
      <c r="I486" s="150" t="s">
        <v>3552</v>
      </c>
      <c r="J486" s="149" t="s">
        <v>3564</v>
      </c>
      <c r="K486" s="149" t="s">
        <v>3584</v>
      </c>
      <c r="L486" s="171">
        <f t="shared" si="11"/>
        <v>0</v>
      </c>
    </row>
    <row r="487" spans="1:12" x14ac:dyDescent="0.25">
      <c r="A487" s="7" t="s">
        <v>987</v>
      </c>
      <c r="B487" s="138" t="s">
        <v>3779</v>
      </c>
      <c r="C487" s="137" t="s">
        <v>989</v>
      </c>
      <c r="D487" s="140">
        <v>1</v>
      </c>
      <c r="E487" s="138" t="s">
        <v>3740</v>
      </c>
      <c r="F487" s="139"/>
      <c r="G487" s="139">
        <v>600000000</v>
      </c>
      <c r="H487" s="165">
        <v>2700000</v>
      </c>
      <c r="I487" s="150" t="s">
        <v>3552</v>
      </c>
      <c r="J487" s="149" t="s">
        <v>3564</v>
      </c>
      <c r="K487" s="149" t="s">
        <v>3584</v>
      </c>
      <c r="L487" s="171">
        <f t="shared" si="11"/>
        <v>597300000</v>
      </c>
    </row>
    <row r="488" spans="1:12" ht="26.4" x14ac:dyDescent="0.25">
      <c r="A488" s="7" t="s">
        <v>990</v>
      </c>
      <c r="B488" s="58">
        <v>101</v>
      </c>
      <c r="C488" s="35" t="s">
        <v>991</v>
      </c>
      <c r="D488" s="58">
        <v>0</v>
      </c>
      <c r="E488" s="58"/>
      <c r="F488" s="36"/>
      <c r="G488" s="36">
        <v>600000000</v>
      </c>
      <c r="H488" s="165">
        <v>600000000</v>
      </c>
      <c r="I488" s="150" t="s">
        <v>3552</v>
      </c>
      <c r="J488" s="149" t="s">
        <v>3562</v>
      </c>
      <c r="K488" s="149" t="s">
        <v>3581</v>
      </c>
      <c r="L488" s="171">
        <f t="shared" si="11"/>
        <v>0</v>
      </c>
    </row>
    <row r="489" spans="1:12" x14ac:dyDescent="0.25">
      <c r="A489" s="21" t="s">
        <v>992</v>
      </c>
      <c r="B489" s="59" t="s">
        <v>8</v>
      </c>
      <c r="C489" s="38" t="s">
        <v>993</v>
      </c>
      <c r="D489" s="59"/>
      <c r="E489" s="59"/>
      <c r="F489" s="39"/>
      <c r="G489" s="39">
        <v>320190000</v>
      </c>
      <c r="H489" s="165">
        <v>600000000</v>
      </c>
      <c r="I489" s="150" t="s">
        <v>3552</v>
      </c>
      <c r="J489" s="149" t="s">
        <v>3562</v>
      </c>
      <c r="K489" s="149" t="s">
        <v>3581</v>
      </c>
      <c r="L489" s="171">
        <f t="shared" si="11"/>
        <v>-279810000</v>
      </c>
    </row>
    <row r="490" spans="1:12" x14ac:dyDescent="0.25">
      <c r="A490" s="21" t="s">
        <v>994</v>
      </c>
      <c r="B490" s="60">
        <v>521211</v>
      </c>
      <c r="C490" s="41" t="s">
        <v>7</v>
      </c>
      <c r="D490" s="60"/>
      <c r="E490" s="60"/>
      <c r="F490" s="42"/>
      <c r="G490" s="42">
        <v>44990000</v>
      </c>
      <c r="H490" s="165">
        <v>320190000</v>
      </c>
      <c r="I490" s="150" t="s">
        <v>3552</v>
      </c>
      <c r="J490" s="149" t="s">
        <v>3562</v>
      </c>
      <c r="K490" s="149" t="s">
        <v>3581</v>
      </c>
      <c r="L490" s="171">
        <f t="shared" si="11"/>
        <v>-275200000</v>
      </c>
    </row>
    <row r="491" spans="1:12" x14ac:dyDescent="0.25">
      <c r="A491" s="21" t="s">
        <v>995</v>
      </c>
      <c r="B491" s="192"/>
      <c r="C491" s="191" t="s">
        <v>3780</v>
      </c>
      <c r="D491" s="192">
        <v>10</v>
      </c>
      <c r="E491" s="192" t="s">
        <v>23</v>
      </c>
      <c r="F491" s="193">
        <v>1000000</v>
      </c>
      <c r="G491" s="45">
        <f>ROUNDDOWN(D491*F491,-3)</f>
        <v>10000000</v>
      </c>
      <c r="H491" s="165">
        <v>44990000</v>
      </c>
      <c r="I491" s="150" t="s">
        <v>3552</v>
      </c>
      <c r="J491" s="149" t="s">
        <v>3562</v>
      </c>
      <c r="K491" s="149" t="s">
        <v>3581</v>
      </c>
      <c r="L491" s="171">
        <f t="shared" si="11"/>
        <v>-34990000</v>
      </c>
    </row>
    <row r="492" spans="1:12" x14ac:dyDescent="0.25">
      <c r="A492" s="21" t="s">
        <v>997</v>
      </c>
      <c r="B492" s="61"/>
      <c r="C492" s="44" t="s">
        <v>3781</v>
      </c>
      <c r="D492" s="47">
        <v>200</v>
      </c>
      <c r="E492" s="61" t="s">
        <v>999</v>
      </c>
      <c r="F492" s="45">
        <v>174950</v>
      </c>
      <c r="G492" s="45">
        <f>ROUNDDOWN(D492*F492,-3)</f>
        <v>34990000</v>
      </c>
      <c r="H492" s="165">
        <v>10000000</v>
      </c>
      <c r="I492" s="150" t="s">
        <v>3552</v>
      </c>
      <c r="J492" s="149" t="s">
        <v>3562</v>
      </c>
      <c r="K492" s="149" t="s">
        <v>3581</v>
      </c>
      <c r="L492" s="171">
        <f t="shared" si="11"/>
        <v>24990000</v>
      </c>
    </row>
    <row r="493" spans="1:12" ht="26.4" x14ac:dyDescent="0.25">
      <c r="A493" s="21" t="s">
        <v>1000</v>
      </c>
      <c r="B493" s="60">
        <v>521241</v>
      </c>
      <c r="C493" s="41" t="s">
        <v>642</v>
      </c>
      <c r="D493" s="71"/>
      <c r="E493" s="60"/>
      <c r="F493" s="42"/>
      <c r="G493" s="42">
        <v>19200000</v>
      </c>
      <c r="H493" s="165">
        <v>34990000</v>
      </c>
      <c r="I493" s="150" t="s">
        <v>3552</v>
      </c>
      <c r="J493" s="149" t="s">
        <v>3562</v>
      </c>
      <c r="K493" s="149" t="s">
        <v>3581</v>
      </c>
      <c r="L493" s="171">
        <f t="shared" si="11"/>
        <v>-15790000</v>
      </c>
    </row>
    <row r="494" spans="1:12" ht="26.4" x14ac:dyDescent="0.25">
      <c r="A494" s="21" t="s">
        <v>1001</v>
      </c>
      <c r="B494" s="192"/>
      <c r="C494" s="191" t="s">
        <v>3782</v>
      </c>
      <c r="D494" s="197">
        <v>96</v>
      </c>
      <c r="E494" s="192" t="s">
        <v>25</v>
      </c>
      <c r="F494" s="193">
        <v>200000</v>
      </c>
      <c r="G494" s="45">
        <f>ROUNDDOWN(D494*F494,-3)</f>
        <v>19200000</v>
      </c>
      <c r="H494" s="165">
        <v>19200000</v>
      </c>
      <c r="I494" s="150" t="s">
        <v>3552</v>
      </c>
      <c r="J494" s="149" t="s">
        <v>3562</v>
      </c>
      <c r="K494" s="149" t="s">
        <v>3581</v>
      </c>
      <c r="L494" s="171">
        <f t="shared" si="11"/>
        <v>0</v>
      </c>
    </row>
    <row r="495" spans="1:12" x14ac:dyDescent="0.25">
      <c r="A495" s="21" t="s">
        <v>1003</v>
      </c>
      <c r="B495" s="60">
        <v>521811</v>
      </c>
      <c r="C495" s="41" t="s">
        <v>64</v>
      </c>
      <c r="D495" s="71"/>
      <c r="E495" s="60"/>
      <c r="F495" s="42"/>
      <c r="G495" s="42">
        <v>20000000</v>
      </c>
      <c r="H495" s="165">
        <v>19200000</v>
      </c>
      <c r="I495" s="150" t="s">
        <v>3552</v>
      </c>
      <c r="J495" s="149" t="s">
        <v>3562</v>
      </c>
      <c r="K495" s="149" t="s">
        <v>3581</v>
      </c>
      <c r="L495" s="171">
        <f t="shared" si="11"/>
        <v>800000</v>
      </c>
    </row>
    <row r="496" spans="1:12" x14ac:dyDescent="0.25">
      <c r="A496" s="21" t="s">
        <v>1004</v>
      </c>
      <c r="B496" s="192"/>
      <c r="C496" s="191" t="s">
        <v>3625</v>
      </c>
      <c r="D496" s="197">
        <v>10</v>
      </c>
      <c r="E496" s="192" t="s">
        <v>23</v>
      </c>
      <c r="F496" s="193">
        <v>1000000</v>
      </c>
      <c r="G496" s="45">
        <f>ROUNDDOWN(D496*F496,-3)</f>
        <v>10000000</v>
      </c>
      <c r="H496" s="165">
        <v>20000000</v>
      </c>
      <c r="I496" s="150" t="s">
        <v>3552</v>
      </c>
      <c r="J496" s="149" t="s">
        <v>3562</v>
      </c>
      <c r="K496" s="149" t="s">
        <v>3581</v>
      </c>
      <c r="L496" s="171">
        <f t="shared" si="11"/>
        <v>-10000000</v>
      </c>
    </row>
    <row r="497" spans="1:12" x14ac:dyDescent="0.25">
      <c r="A497" s="21" t="s">
        <v>1005</v>
      </c>
      <c r="B497" s="155"/>
      <c r="C497" s="154" t="s">
        <v>3783</v>
      </c>
      <c r="D497" s="155">
        <v>10</v>
      </c>
      <c r="E497" s="155" t="s">
        <v>23</v>
      </c>
      <c r="F497" s="156">
        <v>1000000</v>
      </c>
      <c r="G497" s="45">
        <f>ROUNDDOWN(D497*F497,-3)</f>
        <v>10000000</v>
      </c>
      <c r="H497" s="165">
        <v>10000000</v>
      </c>
      <c r="I497" s="150" t="s">
        <v>3552</v>
      </c>
      <c r="J497" s="149" t="s">
        <v>3562</v>
      </c>
      <c r="K497" s="149" t="s">
        <v>3581</v>
      </c>
      <c r="L497" s="171">
        <f t="shared" si="11"/>
        <v>0</v>
      </c>
    </row>
    <row r="498" spans="1:12" x14ac:dyDescent="0.25">
      <c r="A498" s="21" t="s">
        <v>1007</v>
      </c>
      <c r="B498" s="60">
        <v>522151</v>
      </c>
      <c r="C498" s="41" t="s">
        <v>11</v>
      </c>
      <c r="D498" s="71"/>
      <c r="E498" s="60"/>
      <c r="F498" s="42"/>
      <c r="G498" s="42">
        <v>8000000</v>
      </c>
      <c r="H498" s="165">
        <v>10000000</v>
      </c>
      <c r="I498" s="150" t="s">
        <v>3552</v>
      </c>
      <c r="J498" s="149" t="s">
        <v>3562</v>
      </c>
      <c r="K498" s="149" t="s">
        <v>3581</v>
      </c>
      <c r="L498" s="171">
        <f t="shared" si="11"/>
        <v>-2000000</v>
      </c>
    </row>
    <row r="499" spans="1:12" x14ac:dyDescent="0.25">
      <c r="A499" s="21" t="s">
        <v>1008</v>
      </c>
      <c r="B499" s="192"/>
      <c r="C499" s="191" t="s">
        <v>3784</v>
      </c>
      <c r="D499" s="192">
        <v>8</v>
      </c>
      <c r="E499" s="192" t="s">
        <v>54</v>
      </c>
      <c r="F499" s="193">
        <v>1000000</v>
      </c>
      <c r="G499" s="45">
        <f>ROUNDDOWN(D499*F499,-3)</f>
        <v>8000000</v>
      </c>
      <c r="H499" s="165">
        <v>8000000</v>
      </c>
      <c r="I499" s="150" t="s">
        <v>3552</v>
      </c>
      <c r="J499" s="149" t="s">
        <v>3562</v>
      </c>
      <c r="K499" s="149" t="s">
        <v>3581</v>
      </c>
      <c r="L499" s="171">
        <f t="shared" si="11"/>
        <v>0</v>
      </c>
    </row>
    <row r="500" spans="1:12" x14ac:dyDescent="0.25">
      <c r="A500" s="21" t="s">
        <v>1010</v>
      </c>
      <c r="B500" s="60">
        <v>524111</v>
      </c>
      <c r="C500" s="41" t="s">
        <v>19</v>
      </c>
      <c r="D500" s="71"/>
      <c r="E500" s="60"/>
      <c r="F500" s="42"/>
      <c r="G500" s="42">
        <v>220800000</v>
      </c>
      <c r="H500" s="165">
        <v>8000000</v>
      </c>
      <c r="I500" s="150" t="s">
        <v>3552</v>
      </c>
      <c r="J500" s="149" t="s">
        <v>3562</v>
      </c>
      <c r="K500" s="149" t="s">
        <v>3581</v>
      </c>
      <c r="L500" s="171">
        <f t="shared" si="11"/>
        <v>212800000</v>
      </c>
    </row>
    <row r="501" spans="1:12" ht="39.6" x14ac:dyDescent="0.25">
      <c r="A501" s="21" t="s">
        <v>1011</v>
      </c>
      <c r="B501" s="192"/>
      <c r="C501" s="191" t="s">
        <v>3785</v>
      </c>
      <c r="D501" s="192">
        <v>46</v>
      </c>
      <c r="E501" s="192" t="s">
        <v>25</v>
      </c>
      <c r="F501" s="193">
        <v>4800000</v>
      </c>
      <c r="G501" s="45">
        <f>ROUNDDOWN(D501*F501,-3)</f>
        <v>220800000</v>
      </c>
      <c r="H501" s="165">
        <v>220800000</v>
      </c>
      <c r="I501" s="150" t="s">
        <v>3552</v>
      </c>
      <c r="J501" s="149" t="s">
        <v>3562</v>
      </c>
      <c r="K501" s="149" t="s">
        <v>3581</v>
      </c>
      <c r="L501" s="171">
        <f t="shared" si="11"/>
        <v>0</v>
      </c>
    </row>
    <row r="502" spans="1:12" x14ac:dyDescent="0.25">
      <c r="A502" s="21" t="s">
        <v>1013</v>
      </c>
      <c r="B502" s="60">
        <v>524114</v>
      </c>
      <c r="C502" s="41" t="s">
        <v>14</v>
      </c>
      <c r="D502" s="71"/>
      <c r="E502" s="60"/>
      <c r="F502" s="42"/>
      <c r="G502" s="42">
        <v>7200000</v>
      </c>
      <c r="H502" s="165">
        <v>220800000</v>
      </c>
      <c r="I502" s="150" t="s">
        <v>3552</v>
      </c>
      <c r="J502" s="149" t="s">
        <v>3562</v>
      </c>
      <c r="K502" s="149" t="s">
        <v>3581</v>
      </c>
      <c r="L502" s="171">
        <f t="shared" si="11"/>
        <v>-213600000</v>
      </c>
    </row>
    <row r="503" spans="1:12" x14ac:dyDescent="0.25">
      <c r="A503" s="21" t="s">
        <v>1014</v>
      </c>
      <c r="B503" s="192"/>
      <c r="C503" s="191" t="s">
        <v>3786</v>
      </c>
      <c r="D503" s="192">
        <v>20</v>
      </c>
      <c r="E503" s="192" t="s">
        <v>25</v>
      </c>
      <c r="F503" s="193">
        <v>210000</v>
      </c>
      <c r="G503" s="45">
        <f>ROUNDDOWN(D503*F503,-3)</f>
        <v>4200000</v>
      </c>
      <c r="H503" s="165">
        <v>7200000</v>
      </c>
      <c r="I503" s="150" t="s">
        <v>3552</v>
      </c>
      <c r="J503" s="149" t="s">
        <v>3562</v>
      </c>
      <c r="K503" s="149" t="s">
        <v>3581</v>
      </c>
      <c r="L503" s="171">
        <f t="shared" si="11"/>
        <v>-3000000</v>
      </c>
    </row>
    <row r="504" spans="1:12" x14ac:dyDescent="0.25">
      <c r="A504" s="21" t="s">
        <v>1016</v>
      </c>
      <c r="B504" s="155"/>
      <c r="C504" s="154" t="s">
        <v>3787</v>
      </c>
      <c r="D504" s="155">
        <v>20</v>
      </c>
      <c r="E504" s="155" t="s">
        <v>73</v>
      </c>
      <c r="F504" s="156">
        <v>150000</v>
      </c>
      <c r="G504" s="45">
        <f>ROUNDDOWN(D504*F504,-3)</f>
        <v>3000000</v>
      </c>
      <c r="H504" s="165">
        <v>4200000</v>
      </c>
      <c r="I504" s="150" t="s">
        <v>3552</v>
      </c>
      <c r="J504" s="149" t="s">
        <v>3562</v>
      </c>
      <c r="K504" s="149" t="s">
        <v>3581</v>
      </c>
      <c r="L504" s="171">
        <f t="shared" si="11"/>
        <v>-1200000</v>
      </c>
    </row>
    <row r="505" spans="1:12" x14ac:dyDescent="0.25">
      <c r="A505" s="21" t="s">
        <v>1017</v>
      </c>
      <c r="B505" s="59" t="s">
        <v>511</v>
      </c>
      <c r="C505" s="38" t="s">
        <v>158</v>
      </c>
      <c r="D505" s="70"/>
      <c r="E505" s="59"/>
      <c r="F505" s="39"/>
      <c r="G505" s="39">
        <v>279810000</v>
      </c>
      <c r="H505" s="165">
        <v>3000000</v>
      </c>
      <c r="I505" s="150" t="s">
        <v>3552</v>
      </c>
      <c r="J505" s="149" t="s">
        <v>3562</v>
      </c>
      <c r="K505" s="149" t="s">
        <v>3581</v>
      </c>
      <c r="L505" s="171">
        <f t="shared" si="11"/>
        <v>276810000</v>
      </c>
    </row>
    <row r="506" spans="1:12" x14ac:dyDescent="0.25">
      <c r="A506" s="21" t="s">
        <v>1018</v>
      </c>
      <c r="B506" s="60">
        <v>521211</v>
      </c>
      <c r="C506" s="41" t="s">
        <v>7</v>
      </c>
      <c r="D506" s="71"/>
      <c r="E506" s="60"/>
      <c r="F506" s="42"/>
      <c r="G506" s="42">
        <v>10000000</v>
      </c>
      <c r="H506" s="165">
        <v>279810000</v>
      </c>
      <c r="I506" s="150" t="s">
        <v>3552</v>
      </c>
      <c r="J506" s="149" t="s">
        <v>3562</v>
      </c>
      <c r="K506" s="149" t="s">
        <v>3581</v>
      </c>
      <c r="L506" s="171">
        <f t="shared" si="11"/>
        <v>-269810000</v>
      </c>
    </row>
    <row r="507" spans="1:12" ht="26.4" x14ac:dyDescent="0.25">
      <c r="A507" s="21" t="s">
        <v>1019</v>
      </c>
      <c r="B507" s="192"/>
      <c r="C507" s="191" t="s">
        <v>3788</v>
      </c>
      <c r="D507" s="197">
        <v>10</v>
      </c>
      <c r="E507" s="192" t="s">
        <v>23</v>
      </c>
      <c r="F507" s="193">
        <v>1000000</v>
      </c>
      <c r="G507" s="45">
        <f>ROUNDDOWN(D507*F507,-3)</f>
        <v>10000000</v>
      </c>
      <c r="H507" s="165">
        <v>10000000</v>
      </c>
      <c r="I507" s="150" t="s">
        <v>3552</v>
      </c>
      <c r="J507" s="149" t="s">
        <v>3562</v>
      </c>
      <c r="K507" s="149" t="s">
        <v>3581</v>
      </c>
      <c r="L507" s="171">
        <f t="shared" si="11"/>
        <v>0</v>
      </c>
    </row>
    <row r="508" spans="1:12" x14ac:dyDescent="0.25">
      <c r="A508" s="21" t="s">
        <v>1021</v>
      </c>
      <c r="B508" s="60">
        <v>521811</v>
      </c>
      <c r="C508" s="41" t="s">
        <v>64</v>
      </c>
      <c r="D508" s="71"/>
      <c r="E508" s="60"/>
      <c r="F508" s="42"/>
      <c r="G508" s="42">
        <v>20000000</v>
      </c>
      <c r="H508" s="165">
        <v>10000000</v>
      </c>
      <c r="I508" s="150" t="s">
        <v>3552</v>
      </c>
      <c r="J508" s="149" t="s">
        <v>3562</v>
      </c>
      <c r="K508" s="149" t="s">
        <v>3581</v>
      </c>
      <c r="L508" s="171">
        <f t="shared" si="11"/>
        <v>10000000</v>
      </c>
    </row>
    <row r="509" spans="1:12" x14ac:dyDescent="0.25">
      <c r="A509" s="21" t="s">
        <v>1022</v>
      </c>
      <c r="B509" s="192"/>
      <c r="C509" s="191" t="s">
        <v>3625</v>
      </c>
      <c r="D509" s="197">
        <v>10</v>
      </c>
      <c r="E509" s="192" t="s">
        <v>23</v>
      </c>
      <c r="F509" s="193">
        <v>1000000</v>
      </c>
      <c r="G509" s="45">
        <f>ROUNDDOWN(D509*F509,-3)</f>
        <v>10000000</v>
      </c>
      <c r="H509" s="165">
        <v>20000000</v>
      </c>
      <c r="I509" s="150" t="s">
        <v>3552</v>
      </c>
      <c r="J509" s="149" t="s">
        <v>3562</v>
      </c>
      <c r="K509" s="149" t="s">
        <v>3581</v>
      </c>
      <c r="L509" s="171">
        <f t="shared" si="11"/>
        <v>-10000000</v>
      </c>
    </row>
    <row r="510" spans="1:12" x14ac:dyDescent="0.25">
      <c r="A510" s="21" t="s">
        <v>1023</v>
      </c>
      <c r="B510" s="61"/>
      <c r="C510" s="44" t="s">
        <v>3783</v>
      </c>
      <c r="D510" s="47">
        <v>10</v>
      </c>
      <c r="E510" s="61" t="s">
        <v>23</v>
      </c>
      <c r="F510" s="45">
        <v>1000000</v>
      </c>
      <c r="G510" s="45">
        <f>ROUNDDOWN(D510*F510,-3)</f>
        <v>10000000</v>
      </c>
      <c r="H510" s="165">
        <v>10000000</v>
      </c>
      <c r="I510" s="150" t="s">
        <v>3552</v>
      </c>
      <c r="J510" s="149" t="s">
        <v>3562</v>
      </c>
      <c r="K510" s="149" t="s">
        <v>3581</v>
      </c>
      <c r="L510" s="171">
        <f t="shared" si="11"/>
        <v>0</v>
      </c>
    </row>
    <row r="511" spans="1:12" x14ac:dyDescent="0.25">
      <c r="A511" s="21" t="s">
        <v>1024</v>
      </c>
      <c r="B511" s="60">
        <v>522151</v>
      </c>
      <c r="C511" s="41" t="s">
        <v>11</v>
      </c>
      <c r="D511" s="71"/>
      <c r="E511" s="60"/>
      <c r="F511" s="42"/>
      <c r="G511" s="42">
        <v>21600000</v>
      </c>
      <c r="H511" s="165">
        <v>10000000</v>
      </c>
      <c r="I511" s="150" t="s">
        <v>3552</v>
      </c>
      <c r="J511" s="149" t="s">
        <v>3562</v>
      </c>
      <c r="K511" s="149" t="s">
        <v>3581</v>
      </c>
      <c r="L511" s="171">
        <f t="shared" si="11"/>
        <v>11600000</v>
      </c>
    </row>
    <row r="512" spans="1:12" x14ac:dyDescent="0.25">
      <c r="A512" s="21" t="s">
        <v>1025</v>
      </c>
      <c r="B512" s="192"/>
      <c r="C512" s="191" t="s">
        <v>3789</v>
      </c>
      <c r="D512" s="192">
        <v>6</v>
      </c>
      <c r="E512" s="192" t="s">
        <v>25</v>
      </c>
      <c r="F512" s="193">
        <v>1800000</v>
      </c>
      <c r="G512" s="45">
        <f>ROUNDDOWN(D512*F512,-3)</f>
        <v>10800000</v>
      </c>
      <c r="H512" s="165">
        <v>21600000</v>
      </c>
      <c r="I512" s="150" t="s">
        <v>3552</v>
      </c>
      <c r="J512" s="149" t="s">
        <v>3562</v>
      </c>
      <c r="K512" s="149" t="s">
        <v>3581</v>
      </c>
      <c r="L512" s="171">
        <f t="shared" si="11"/>
        <v>-10800000</v>
      </c>
    </row>
    <row r="513" spans="1:12" x14ac:dyDescent="0.25">
      <c r="A513" s="21" t="s">
        <v>1027</v>
      </c>
      <c r="B513" s="61"/>
      <c r="C513" s="44" t="s">
        <v>3790</v>
      </c>
      <c r="D513" s="47">
        <v>6</v>
      </c>
      <c r="E513" s="61" t="s">
        <v>25</v>
      </c>
      <c r="F513" s="45">
        <v>1800000</v>
      </c>
      <c r="G513" s="45">
        <f>ROUNDDOWN(D513*F513,-3)</f>
        <v>10800000</v>
      </c>
      <c r="H513" s="165">
        <v>10800000</v>
      </c>
      <c r="I513" s="150" t="s">
        <v>3552</v>
      </c>
      <c r="J513" s="149" t="s">
        <v>3562</v>
      </c>
      <c r="K513" s="149" t="s">
        <v>3581</v>
      </c>
      <c r="L513" s="171">
        <f t="shared" si="11"/>
        <v>0</v>
      </c>
    </row>
    <row r="514" spans="1:12" x14ac:dyDescent="0.25">
      <c r="A514" s="21" t="s">
        <v>1029</v>
      </c>
      <c r="B514" s="60">
        <v>524111</v>
      </c>
      <c r="C514" s="41" t="s">
        <v>19</v>
      </c>
      <c r="D514" s="71"/>
      <c r="E514" s="60"/>
      <c r="F514" s="42"/>
      <c r="G514" s="42">
        <v>223680000</v>
      </c>
      <c r="H514" s="165">
        <v>10800000</v>
      </c>
      <c r="I514" s="150" t="s">
        <v>3552</v>
      </c>
      <c r="J514" s="149" t="s">
        <v>3562</v>
      </c>
      <c r="K514" s="149" t="s">
        <v>3581</v>
      </c>
      <c r="L514" s="171">
        <f t="shared" si="11"/>
        <v>212880000</v>
      </c>
    </row>
    <row r="515" spans="1:12" ht="26.4" x14ac:dyDescent="0.25">
      <c r="A515" s="21" t="s">
        <v>1030</v>
      </c>
      <c r="B515" s="192"/>
      <c r="C515" s="191" t="s">
        <v>3791</v>
      </c>
      <c r="D515" s="192">
        <v>48</v>
      </c>
      <c r="E515" s="192" t="s">
        <v>25</v>
      </c>
      <c r="F515" s="193">
        <v>4660000</v>
      </c>
      <c r="G515" s="45">
        <f>ROUNDDOWN(D515*F515,-3)</f>
        <v>223680000</v>
      </c>
      <c r="H515" s="165">
        <v>223680000</v>
      </c>
      <c r="I515" s="150" t="s">
        <v>3552</v>
      </c>
      <c r="J515" s="149" t="s">
        <v>3562</v>
      </c>
      <c r="K515" s="149" t="s">
        <v>3581</v>
      </c>
      <c r="L515" s="171">
        <f t="shared" si="11"/>
        <v>0</v>
      </c>
    </row>
    <row r="516" spans="1:12" x14ac:dyDescent="0.25">
      <c r="A516" s="21" t="s">
        <v>1032</v>
      </c>
      <c r="B516" s="60">
        <v>524114</v>
      </c>
      <c r="C516" s="41" t="s">
        <v>14</v>
      </c>
      <c r="D516" s="71"/>
      <c r="E516" s="60"/>
      <c r="F516" s="42"/>
      <c r="G516" s="42">
        <v>4530000</v>
      </c>
      <c r="H516" s="165">
        <v>223680000</v>
      </c>
      <c r="I516" s="150" t="s">
        <v>3552</v>
      </c>
      <c r="J516" s="149" t="s">
        <v>3562</v>
      </c>
      <c r="K516" s="149" t="s">
        <v>3581</v>
      </c>
      <c r="L516" s="171">
        <f t="shared" si="11"/>
        <v>-219150000</v>
      </c>
    </row>
    <row r="517" spans="1:12" x14ac:dyDescent="0.25">
      <c r="A517" s="21" t="s">
        <v>1033</v>
      </c>
      <c r="B517" s="192"/>
      <c r="C517" s="191" t="s">
        <v>3786</v>
      </c>
      <c r="D517" s="192">
        <v>13</v>
      </c>
      <c r="E517" s="192" t="s">
        <v>25</v>
      </c>
      <c r="F517" s="193">
        <v>210000</v>
      </c>
      <c r="G517" s="45">
        <f>ROUNDDOWN(D517*F517,-3)</f>
        <v>2730000</v>
      </c>
      <c r="H517" s="165">
        <v>4530000</v>
      </c>
      <c r="I517" s="150" t="s">
        <v>3552</v>
      </c>
      <c r="J517" s="149" t="s">
        <v>3562</v>
      </c>
      <c r="K517" s="149" t="s">
        <v>3581</v>
      </c>
      <c r="L517" s="171">
        <f t="shared" si="11"/>
        <v>-1800000</v>
      </c>
    </row>
    <row r="518" spans="1:12" x14ac:dyDescent="0.25">
      <c r="A518" s="21" t="s">
        <v>1034</v>
      </c>
      <c r="B518" s="61"/>
      <c r="C518" s="44" t="s">
        <v>3787</v>
      </c>
      <c r="D518" s="47">
        <v>12</v>
      </c>
      <c r="E518" s="61" t="s">
        <v>73</v>
      </c>
      <c r="F518" s="45">
        <v>150000</v>
      </c>
      <c r="G518" s="45">
        <f>ROUNDDOWN(D518*F518,-3)</f>
        <v>1800000</v>
      </c>
      <c r="H518" s="165">
        <v>2730000</v>
      </c>
      <c r="I518" s="150" t="s">
        <v>3552</v>
      </c>
      <c r="J518" s="149" t="s">
        <v>3562</v>
      </c>
      <c r="K518" s="149" t="s">
        <v>3581</v>
      </c>
      <c r="L518" s="171">
        <f t="shared" si="11"/>
        <v>-930000</v>
      </c>
    </row>
    <row r="519" spans="1:12" x14ac:dyDescent="0.25">
      <c r="A519" s="21" t="s">
        <v>1035</v>
      </c>
      <c r="B519" s="138" t="s">
        <v>3792</v>
      </c>
      <c r="C519" s="137" t="s">
        <v>1037</v>
      </c>
      <c r="D519" s="138">
        <v>2</v>
      </c>
      <c r="E519" s="138" t="s">
        <v>3740</v>
      </c>
      <c r="F519" s="139"/>
      <c r="G519" s="139">
        <v>5353780000</v>
      </c>
      <c r="H519" s="165">
        <v>1800000</v>
      </c>
      <c r="I519" s="150" t="s">
        <v>3552</v>
      </c>
      <c r="J519" s="149" t="s">
        <v>3562</v>
      </c>
      <c r="K519" s="149" t="s">
        <v>3581</v>
      </c>
      <c r="L519" s="171">
        <f t="shared" si="11"/>
        <v>5351980000</v>
      </c>
    </row>
    <row r="520" spans="1:12" ht="26.4" x14ac:dyDescent="0.25">
      <c r="A520" s="21" t="s">
        <v>1038</v>
      </c>
      <c r="B520" s="58">
        <v>101</v>
      </c>
      <c r="C520" s="35" t="s">
        <v>1041</v>
      </c>
      <c r="D520" s="58">
        <v>0</v>
      </c>
      <c r="E520" s="58"/>
      <c r="F520" s="36"/>
      <c r="G520" s="36">
        <v>1900000000</v>
      </c>
      <c r="H520" s="165">
        <v>5353780000</v>
      </c>
      <c r="I520" s="150"/>
      <c r="J520" s="149"/>
      <c r="K520" s="149"/>
      <c r="L520" s="171">
        <f t="shared" si="11"/>
        <v>-3453780000</v>
      </c>
    </row>
    <row r="521" spans="1:12" ht="26.4" x14ac:dyDescent="0.25">
      <c r="A521" s="21" t="s">
        <v>1040</v>
      </c>
      <c r="B521" s="59" t="s">
        <v>8</v>
      </c>
      <c r="C521" s="38" t="s">
        <v>1041</v>
      </c>
      <c r="D521" s="70"/>
      <c r="E521" s="59"/>
      <c r="F521" s="39"/>
      <c r="G521" s="39">
        <v>1900000000</v>
      </c>
      <c r="H521" s="165">
        <v>1900000000</v>
      </c>
      <c r="I521" s="150" t="s">
        <v>3552</v>
      </c>
      <c r="J521" s="149" t="s">
        <v>3563</v>
      </c>
      <c r="K521" s="149" t="s">
        <v>3582</v>
      </c>
      <c r="L521" s="171">
        <f t="shared" si="11"/>
        <v>0</v>
      </c>
    </row>
    <row r="522" spans="1:12" x14ac:dyDescent="0.25">
      <c r="A522" s="21" t="s">
        <v>1042</v>
      </c>
      <c r="B522" s="60">
        <v>521211</v>
      </c>
      <c r="C522" s="41" t="s">
        <v>7</v>
      </c>
      <c r="D522" s="71"/>
      <c r="E522" s="60"/>
      <c r="F522" s="42"/>
      <c r="G522" s="42">
        <v>600000000</v>
      </c>
      <c r="H522" s="165">
        <v>1900000000</v>
      </c>
      <c r="I522" s="150" t="s">
        <v>3552</v>
      </c>
      <c r="J522" s="149" t="s">
        <v>3563</v>
      </c>
      <c r="K522" s="149" t="s">
        <v>3582</v>
      </c>
      <c r="L522" s="171">
        <f t="shared" si="11"/>
        <v>-1300000000</v>
      </c>
    </row>
    <row r="523" spans="1:12" x14ac:dyDescent="0.25">
      <c r="A523" s="21" t="s">
        <v>1043</v>
      </c>
      <c r="B523" s="192"/>
      <c r="C523" s="191" t="s">
        <v>3793</v>
      </c>
      <c r="D523" s="197">
        <v>20</v>
      </c>
      <c r="E523" s="192" t="s">
        <v>106</v>
      </c>
      <c r="F523" s="193">
        <v>30000000</v>
      </c>
      <c r="G523" s="45">
        <f>ROUNDDOWN(D523*F523,-3)</f>
        <v>600000000</v>
      </c>
      <c r="H523" s="165">
        <v>600000000</v>
      </c>
      <c r="I523" s="150" t="s">
        <v>3552</v>
      </c>
      <c r="J523" s="149" t="s">
        <v>3563</v>
      </c>
      <c r="K523" s="149" t="s">
        <v>3582</v>
      </c>
      <c r="L523" s="171">
        <f t="shared" si="11"/>
        <v>0</v>
      </c>
    </row>
    <row r="524" spans="1:12" x14ac:dyDescent="0.25">
      <c r="A524" s="21" t="s">
        <v>1045</v>
      </c>
      <c r="B524" s="60">
        <v>521213</v>
      </c>
      <c r="C524" s="41" t="s">
        <v>30</v>
      </c>
      <c r="D524" s="71"/>
      <c r="E524" s="60"/>
      <c r="F524" s="42"/>
      <c r="G524" s="42">
        <v>115600000</v>
      </c>
      <c r="H524" s="165">
        <v>600000000</v>
      </c>
      <c r="I524" s="150" t="s">
        <v>3552</v>
      </c>
      <c r="J524" s="149" t="s">
        <v>3563</v>
      </c>
      <c r="K524" s="149" t="s">
        <v>3582</v>
      </c>
      <c r="L524" s="171">
        <f t="shared" si="11"/>
        <v>-484400000</v>
      </c>
    </row>
    <row r="525" spans="1:12" x14ac:dyDescent="0.25">
      <c r="A525" s="21"/>
      <c r="B525" s="192"/>
      <c r="C525" s="191" t="s">
        <v>3794</v>
      </c>
      <c r="D525" s="197"/>
      <c r="E525" s="192"/>
      <c r="F525" s="193"/>
      <c r="G525" s="193">
        <v>115600000</v>
      </c>
      <c r="H525" s="165">
        <v>115600000</v>
      </c>
      <c r="I525" s="150" t="s">
        <v>3552</v>
      </c>
      <c r="J525" s="149" t="s">
        <v>3563</v>
      </c>
      <c r="K525" s="149" t="s">
        <v>3582</v>
      </c>
      <c r="L525" s="171">
        <f t="shared" si="11"/>
        <v>0</v>
      </c>
    </row>
    <row r="526" spans="1:12" x14ac:dyDescent="0.25">
      <c r="A526" s="21" t="s">
        <v>1047</v>
      </c>
      <c r="B526" s="155"/>
      <c r="C526" s="154" t="s">
        <v>3795</v>
      </c>
      <c r="D526" s="155">
        <v>12</v>
      </c>
      <c r="E526" s="155" t="s">
        <v>32</v>
      </c>
      <c r="F526" s="156">
        <v>400000</v>
      </c>
      <c r="G526" s="45">
        <f>ROUNDDOWN(D526*F526,-3)</f>
        <v>4800000</v>
      </c>
      <c r="H526" s="165">
        <v>0</v>
      </c>
      <c r="I526" s="150" t="s">
        <v>3552</v>
      </c>
      <c r="J526" s="149" t="s">
        <v>3563</v>
      </c>
      <c r="K526" s="149" t="s">
        <v>3582</v>
      </c>
      <c r="L526" s="171">
        <f t="shared" ref="L526:L589" si="12">G526-H526</f>
        <v>4800000</v>
      </c>
    </row>
    <row r="527" spans="1:12" x14ac:dyDescent="0.25">
      <c r="A527" s="21" t="s">
        <v>1049</v>
      </c>
      <c r="B527" s="61"/>
      <c r="C527" s="44" t="s">
        <v>3796</v>
      </c>
      <c r="D527" s="47">
        <v>12</v>
      </c>
      <c r="E527" s="61" t="s">
        <v>32</v>
      </c>
      <c r="F527" s="45">
        <v>300000</v>
      </c>
      <c r="G527" s="45">
        <f>ROUNDDOWN(D527*F527,-3)</f>
        <v>3600000</v>
      </c>
      <c r="H527" s="165">
        <v>4800000</v>
      </c>
      <c r="I527" s="150" t="s">
        <v>3552</v>
      </c>
      <c r="J527" s="149" t="s">
        <v>3563</v>
      </c>
      <c r="K527" s="149" t="s">
        <v>3582</v>
      </c>
      <c r="L527" s="171">
        <f t="shared" si="12"/>
        <v>-1200000</v>
      </c>
    </row>
    <row r="528" spans="1:12" x14ac:dyDescent="0.25">
      <c r="A528" s="21" t="s">
        <v>1051</v>
      </c>
      <c r="B528" s="155"/>
      <c r="C528" s="154" t="s">
        <v>3797</v>
      </c>
      <c r="D528" s="155">
        <v>60</v>
      </c>
      <c r="E528" s="155" t="s">
        <v>32</v>
      </c>
      <c r="F528" s="156">
        <v>300000</v>
      </c>
      <c r="G528" s="45">
        <f>ROUNDDOWN(D528*F528,-3)</f>
        <v>18000000</v>
      </c>
      <c r="H528" s="165">
        <v>3600000</v>
      </c>
      <c r="I528" s="150" t="s">
        <v>3552</v>
      </c>
      <c r="J528" s="149" t="s">
        <v>3563</v>
      </c>
      <c r="K528" s="149" t="s">
        <v>3582</v>
      </c>
      <c r="L528" s="171">
        <f t="shared" si="12"/>
        <v>14400000</v>
      </c>
    </row>
    <row r="529" spans="1:12" x14ac:dyDescent="0.25">
      <c r="A529" s="21"/>
      <c r="B529" s="61"/>
      <c r="C529" s="44" t="s">
        <v>3798</v>
      </c>
      <c r="D529" s="47"/>
      <c r="E529" s="61"/>
      <c r="F529" s="45"/>
      <c r="G529" s="45">
        <v>55600000</v>
      </c>
      <c r="H529" s="165">
        <v>25200000</v>
      </c>
      <c r="I529" s="150" t="s">
        <v>3552</v>
      </c>
      <c r="J529" s="149" t="s">
        <v>3563</v>
      </c>
      <c r="K529" s="149" t="s">
        <v>3582</v>
      </c>
      <c r="L529" s="171">
        <f t="shared" si="12"/>
        <v>30400000</v>
      </c>
    </row>
    <row r="530" spans="1:12" x14ac:dyDescent="0.25">
      <c r="A530" s="21" t="s">
        <v>1053</v>
      </c>
      <c r="B530" s="155"/>
      <c r="C530" s="154" t="s">
        <v>3799</v>
      </c>
      <c r="D530" s="155">
        <v>40</v>
      </c>
      <c r="E530" s="155" t="s">
        <v>1060</v>
      </c>
      <c r="F530" s="156">
        <v>400000</v>
      </c>
      <c r="G530" s="45">
        <f>ROUNDDOWN(D530*F530,-3)</f>
        <v>16000000</v>
      </c>
      <c r="H530" s="165">
        <v>4800000</v>
      </c>
      <c r="I530" s="150" t="s">
        <v>3552</v>
      </c>
      <c r="J530" s="149" t="s">
        <v>3563</v>
      </c>
      <c r="K530" s="149" t="s">
        <v>3582</v>
      </c>
      <c r="L530" s="171">
        <f t="shared" si="12"/>
        <v>11200000</v>
      </c>
    </row>
    <row r="531" spans="1:12" x14ac:dyDescent="0.25">
      <c r="A531" s="21" t="s">
        <v>1054</v>
      </c>
      <c r="B531" s="155"/>
      <c r="C531" s="154" t="s">
        <v>3800</v>
      </c>
      <c r="D531" s="155">
        <v>120</v>
      </c>
      <c r="E531" s="155" t="s">
        <v>1060</v>
      </c>
      <c r="F531" s="156">
        <v>300000</v>
      </c>
      <c r="G531" s="45">
        <f>ROUNDDOWN(D531*F531,-3)</f>
        <v>36000000</v>
      </c>
      <c r="H531" s="165">
        <v>3600000</v>
      </c>
      <c r="I531" s="150" t="s">
        <v>3552</v>
      </c>
      <c r="J531" s="149" t="s">
        <v>3563</v>
      </c>
      <c r="K531" s="149" t="s">
        <v>3582</v>
      </c>
      <c r="L531" s="171">
        <f t="shared" si="12"/>
        <v>32400000</v>
      </c>
    </row>
    <row r="532" spans="1:12" x14ac:dyDescent="0.25">
      <c r="A532" s="21" t="s">
        <v>1055</v>
      </c>
      <c r="B532" s="61"/>
      <c r="C532" s="44" t="s">
        <v>3801</v>
      </c>
      <c r="D532" s="47">
        <v>20</v>
      </c>
      <c r="E532" s="61" t="s">
        <v>1060</v>
      </c>
      <c r="F532" s="45">
        <v>180000</v>
      </c>
      <c r="G532" s="45">
        <f>ROUNDDOWN(D532*F532,-3)</f>
        <v>3600000</v>
      </c>
      <c r="H532" s="165">
        <v>18000000</v>
      </c>
      <c r="I532" s="150" t="s">
        <v>3552</v>
      </c>
      <c r="J532" s="149" t="s">
        <v>3563</v>
      </c>
      <c r="K532" s="149" t="s">
        <v>3582</v>
      </c>
      <c r="L532" s="171">
        <f t="shared" si="12"/>
        <v>-14400000</v>
      </c>
    </row>
    <row r="533" spans="1:12" ht="26.4" x14ac:dyDescent="0.25">
      <c r="A533" s="21"/>
      <c r="B533" s="155"/>
      <c r="C533" s="154" t="s">
        <v>3802</v>
      </c>
      <c r="D533" s="155"/>
      <c r="E533" s="155"/>
      <c r="F533" s="156"/>
      <c r="G533" s="156">
        <v>33600000</v>
      </c>
      <c r="H533" s="165">
        <v>0</v>
      </c>
      <c r="I533" s="150" t="s">
        <v>3552</v>
      </c>
      <c r="J533" s="149" t="s">
        <v>3563</v>
      </c>
      <c r="K533" s="149" t="s">
        <v>3582</v>
      </c>
      <c r="L533" s="171">
        <f t="shared" si="12"/>
        <v>33600000</v>
      </c>
    </row>
    <row r="534" spans="1:12" x14ac:dyDescent="0.25">
      <c r="A534" s="21" t="s">
        <v>1058</v>
      </c>
      <c r="B534" s="61"/>
      <c r="C534" s="44" t="s">
        <v>3803</v>
      </c>
      <c r="D534" s="47">
        <v>12</v>
      </c>
      <c r="E534" s="61" t="s">
        <v>32</v>
      </c>
      <c r="F534" s="45">
        <v>400000</v>
      </c>
      <c r="G534" s="45">
        <f>ROUNDDOWN(D534*F534,-3)</f>
        <v>4800000</v>
      </c>
      <c r="H534" s="165">
        <v>16000000</v>
      </c>
      <c r="I534" s="150" t="s">
        <v>3552</v>
      </c>
      <c r="J534" s="149" t="s">
        <v>3563</v>
      </c>
      <c r="K534" s="149" t="s">
        <v>3582</v>
      </c>
      <c r="L534" s="171">
        <f t="shared" si="12"/>
        <v>-11200000</v>
      </c>
    </row>
    <row r="535" spans="1:12" x14ac:dyDescent="0.25">
      <c r="A535" s="7" t="s">
        <v>1061</v>
      </c>
      <c r="B535" s="155"/>
      <c r="C535" s="154" t="s">
        <v>3804</v>
      </c>
      <c r="D535" s="155">
        <v>12</v>
      </c>
      <c r="E535" s="155" t="s">
        <v>32</v>
      </c>
      <c r="F535" s="156">
        <v>300000</v>
      </c>
      <c r="G535" s="45">
        <f>ROUNDDOWN(D535*F535,-3)</f>
        <v>3600000</v>
      </c>
      <c r="H535" s="165">
        <v>36000000</v>
      </c>
      <c r="I535" s="150" t="s">
        <v>3552</v>
      </c>
      <c r="J535" s="149" t="s">
        <v>3563</v>
      </c>
      <c r="K535" s="149" t="s">
        <v>3582</v>
      </c>
      <c r="L535" s="171">
        <f t="shared" si="12"/>
        <v>-32400000</v>
      </c>
    </row>
    <row r="536" spans="1:12" x14ac:dyDescent="0.25">
      <c r="A536" s="7" t="s">
        <v>1063</v>
      </c>
      <c r="B536" s="155"/>
      <c r="C536" s="154" t="s">
        <v>3805</v>
      </c>
      <c r="D536" s="160">
        <v>84</v>
      </c>
      <c r="E536" s="155" t="s">
        <v>32</v>
      </c>
      <c r="F536" s="156">
        <v>300000</v>
      </c>
      <c r="G536" s="45">
        <f>ROUNDDOWN(D536*F536,-3)</f>
        <v>25200000</v>
      </c>
      <c r="H536" s="165">
        <v>3600000</v>
      </c>
      <c r="I536" s="150" t="s">
        <v>3552</v>
      </c>
      <c r="J536" s="149" t="s">
        <v>3563</v>
      </c>
      <c r="K536" s="149" t="s">
        <v>3582</v>
      </c>
      <c r="L536" s="171">
        <f t="shared" si="12"/>
        <v>21600000</v>
      </c>
    </row>
    <row r="537" spans="1:12" ht="26.4" x14ac:dyDescent="0.25">
      <c r="A537" s="7" t="s">
        <v>1066</v>
      </c>
      <c r="B537" s="60">
        <v>521241</v>
      </c>
      <c r="C537" s="41" t="s">
        <v>642</v>
      </c>
      <c r="D537" s="60"/>
      <c r="E537" s="60"/>
      <c r="F537" s="42"/>
      <c r="G537" s="42">
        <v>30000000</v>
      </c>
      <c r="H537" s="165">
        <v>0</v>
      </c>
      <c r="I537" s="150" t="s">
        <v>3552</v>
      </c>
      <c r="J537" s="149" t="s">
        <v>3563</v>
      </c>
      <c r="K537" s="149" t="s">
        <v>3582</v>
      </c>
      <c r="L537" s="171">
        <f t="shared" si="12"/>
        <v>30000000</v>
      </c>
    </row>
    <row r="538" spans="1:12" ht="26.4" x14ac:dyDescent="0.25">
      <c r="A538" s="7" t="s">
        <v>1067</v>
      </c>
      <c r="B538" s="192"/>
      <c r="C538" s="191" t="s">
        <v>3806</v>
      </c>
      <c r="D538" s="192">
        <v>12</v>
      </c>
      <c r="E538" s="192" t="s">
        <v>106</v>
      </c>
      <c r="F538" s="193">
        <v>300000</v>
      </c>
      <c r="G538" s="45">
        <f>ROUNDDOWN(D538*F538,-3)</f>
        <v>3600000</v>
      </c>
      <c r="H538" s="165">
        <v>30000000</v>
      </c>
      <c r="I538" s="150" t="s">
        <v>3552</v>
      </c>
      <c r="J538" s="149" t="s">
        <v>3563</v>
      </c>
      <c r="K538" s="149" t="s">
        <v>3582</v>
      </c>
      <c r="L538" s="171">
        <f t="shared" si="12"/>
        <v>-26400000</v>
      </c>
    </row>
    <row r="539" spans="1:12" ht="26.4" x14ac:dyDescent="0.25">
      <c r="A539" s="7" t="s">
        <v>1068</v>
      </c>
      <c r="B539" s="155"/>
      <c r="C539" s="154" t="s">
        <v>3807</v>
      </c>
      <c r="D539" s="155">
        <v>132</v>
      </c>
      <c r="E539" s="155" t="s">
        <v>106</v>
      </c>
      <c r="F539" s="156">
        <v>200000</v>
      </c>
      <c r="G539" s="45">
        <f>ROUNDDOWN(D539*F539,-3)</f>
        <v>26400000</v>
      </c>
      <c r="H539" s="165">
        <v>3600000</v>
      </c>
      <c r="I539" s="150" t="s">
        <v>3552</v>
      </c>
      <c r="J539" s="149" t="s">
        <v>3563</v>
      </c>
      <c r="K539" s="149" t="s">
        <v>3582</v>
      </c>
      <c r="L539" s="171">
        <f t="shared" si="12"/>
        <v>22800000</v>
      </c>
    </row>
    <row r="540" spans="1:12" x14ac:dyDescent="0.25">
      <c r="A540" s="7" t="s">
        <v>1070</v>
      </c>
      <c r="B540" s="60">
        <v>521811</v>
      </c>
      <c r="C540" s="41" t="s">
        <v>64</v>
      </c>
      <c r="D540" s="60"/>
      <c r="E540" s="60"/>
      <c r="F540" s="42"/>
      <c r="G540" s="42">
        <v>24000000</v>
      </c>
      <c r="H540" s="165">
        <v>26400000</v>
      </c>
      <c r="I540" s="150" t="s">
        <v>3552</v>
      </c>
      <c r="J540" s="149" t="s">
        <v>3563</v>
      </c>
      <c r="K540" s="149" t="s">
        <v>3582</v>
      </c>
      <c r="L540" s="171">
        <f t="shared" si="12"/>
        <v>-2400000</v>
      </c>
    </row>
    <row r="541" spans="1:12" x14ac:dyDescent="0.25">
      <c r="A541" s="7" t="s">
        <v>1071</v>
      </c>
      <c r="B541" s="192"/>
      <c r="C541" s="191" t="s">
        <v>3625</v>
      </c>
      <c r="D541" s="197">
        <v>12</v>
      </c>
      <c r="E541" s="192" t="s">
        <v>106</v>
      </c>
      <c r="F541" s="193">
        <v>1000000</v>
      </c>
      <c r="G541" s="45">
        <f>ROUNDDOWN(D541*F541,-3)</f>
        <v>12000000</v>
      </c>
      <c r="H541" s="165">
        <v>24000000</v>
      </c>
      <c r="I541" s="150" t="s">
        <v>3552</v>
      </c>
      <c r="J541" s="149" t="s">
        <v>3563</v>
      </c>
      <c r="K541" s="149" t="s">
        <v>3582</v>
      </c>
      <c r="L541" s="171">
        <f t="shared" si="12"/>
        <v>-12000000</v>
      </c>
    </row>
    <row r="542" spans="1:12" x14ac:dyDescent="0.25">
      <c r="A542" s="7" t="s">
        <v>1072</v>
      </c>
      <c r="B542" s="61"/>
      <c r="C542" s="44" t="s">
        <v>3626</v>
      </c>
      <c r="D542" s="47">
        <v>12</v>
      </c>
      <c r="E542" s="61" t="s">
        <v>106</v>
      </c>
      <c r="F542" s="45">
        <v>1000000</v>
      </c>
      <c r="G542" s="45">
        <f>ROUNDDOWN(D542*F542,-3)</f>
        <v>12000000</v>
      </c>
      <c r="H542" s="165">
        <v>12000000</v>
      </c>
      <c r="I542" s="150" t="s">
        <v>3552</v>
      </c>
      <c r="J542" s="149" t="s">
        <v>3563</v>
      </c>
      <c r="K542" s="149" t="s">
        <v>3582</v>
      </c>
      <c r="L542" s="171">
        <f t="shared" si="12"/>
        <v>0</v>
      </c>
    </row>
    <row r="543" spans="1:12" x14ac:dyDescent="0.25">
      <c r="A543" s="7" t="s">
        <v>1073</v>
      </c>
      <c r="B543" s="60">
        <v>522151</v>
      </c>
      <c r="C543" s="41" t="s">
        <v>11</v>
      </c>
      <c r="D543" s="60"/>
      <c r="E543" s="60"/>
      <c r="F543" s="42"/>
      <c r="G543" s="42">
        <v>33400000</v>
      </c>
      <c r="H543" s="165">
        <v>12000000</v>
      </c>
      <c r="I543" s="150" t="s">
        <v>3552</v>
      </c>
      <c r="J543" s="149" t="s">
        <v>3563</v>
      </c>
      <c r="K543" s="149" t="s">
        <v>3582</v>
      </c>
      <c r="L543" s="171">
        <f t="shared" si="12"/>
        <v>21400000</v>
      </c>
    </row>
    <row r="544" spans="1:12" x14ac:dyDescent="0.25">
      <c r="A544" s="7" t="s">
        <v>1074</v>
      </c>
      <c r="B544" s="192"/>
      <c r="C544" s="191" t="s">
        <v>3808</v>
      </c>
      <c r="D544" s="197">
        <v>10</v>
      </c>
      <c r="E544" s="192" t="s">
        <v>54</v>
      </c>
      <c r="F544" s="193">
        <v>1400000</v>
      </c>
      <c r="G544" s="45">
        <f>ROUNDDOWN(D544*F544,-3)</f>
        <v>14000000</v>
      </c>
      <c r="H544" s="165">
        <v>33400000</v>
      </c>
      <c r="I544" s="150" t="s">
        <v>3552</v>
      </c>
      <c r="J544" s="149" t="s">
        <v>3563</v>
      </c>
      <c r="K544" s="149" t="s">
        <v>3582</v>
      </c>
      <c r="L544" s="171">
        <f t="shared" si="12"/>
        <v>-19400000</v>
      </c>
    </row>
    <row r="545" spans="1:12" x14ac:dyDescent="0.25">
      <c r="A545" s="7" t="s">
        <v>1076</v>
      </c>
      <c r="B545" s="61"/>
      <c r="C545" s="44" t="s">
        <v>3809</v>
      </c>
      <c r="D545" s="47">
        <v>5</v>
      </c>
      <c r="E545" s="61" t="s">
        <v>54</v>
      </c>
      <c r="F545" s="45">
        <v>1000000</v>
      </c>
      <c r="G545" s="45">
        <f>ROUNDDOWN(D545*F545,-3)</f>
        <v>5000000</v>
      </c>
      <c r="H545" s="165">
        <v>14000000</v>
      </c>
      <c r="I545" s="150" t="s">
        <v>3552</v>
      </c>
      <c r="J545" s="149" t="s">
        <v>3563</v>
      </c>
      <c r="K545" s="149" t="s">
        <v>3582</v>
      </c>
      <c r="L545" s="171">
        <f t="shared" si="12"/>
        <v>-9000000</v>
      </c>
    </row>
    <row r="546" spans="1:12" x14ac:dyDescent="0.25">
      <c r="A546" s="7" t="s">
        <v>1078</v>
      </c>
      <c r="B546" s="155"/>
      <c r="C546" s="154" t="s">
        <v>3810</v>
      </c>
      <c r="D546" s="155">
        <v>16</v>
      </c>
      <c r="E546" s="155" t="s">
        <v>54</v>
      </c>
      <c r="F546" s="156">
        <v>900000</v>
      </c>
      <c r="G546" s="45">
        <f>ROUNDDOWN(D546*F546,-3)</f>
        <v>14400000</v>
      </c>
      <c r="H546" s="165">
        <v>5000000</v>
      </c>
      <c r="I546" s="150" t="s">
        <v>3552</v>
      </c>
      <c r="J546" s="149" t="s">
        <v>3563</v>
      </c>
      <c r="K546" s="149" t="s">
        <v>3582</v>
      </c>
      <c r="L546" s="171">
        <f t="shared" si="12"/>
        <v>9400000</v>
      </c>
    </row>
    <row r="547" spans="1:12" x14ac:dyDescent="0.25">
      <c r="A547" s="7" t="s">
        <v>1080</v>
      </c>
      <c r="B547" s="60">
        <v>522191</v>
      </c>
      <c r="C547" s="41" t="s">
        <v>22</v>
      </c>
      <c r="D547" s="71"/>
      <c r="E547" s="60"/>
      <c r="F547" s="42"/>
      <c r="G547" s="42">
        <v>413400000</v>
      </c>
      <c r="H547" s="165">
        <v>14400000</v>
      </c>
      <c r="I547" s="150" t="s">
        <v>3552</v>
      </c>
      <c r="J547" s="149" t="s">
        <v>3563</v>
      </c>
      <c r="K547" s="149" t="s">
        <v>3582</v>
      </c>
      <c r="L547" s="171">
        <f t="shared" si="12"/>
        <v>399000000</v>
      </c>
    </row>
    <row r="548" spans="1:12" ht="26.4" x14ac:dyDescent="0.25">
      <c r="A548" s="7" t="s">
        <v>1081</v>
      </c>
      <c r="B548" s="192"/>
      <c r="C548" s="191" t="s">
        <v>3811</v>
      </c>
      <c r="D548" s="197">
        <v>2</v>
      </c>
      <c r="E548" s="192" t="s">
        <v>106</v>
      </c>
      <c r="F548" s="193">
        <v>86700000</v>
      </c>
      <c r="G548" s="45">
        <f>ROUNDDOWN(D548*F548,-3)</f>
        <v>173400000</v>
      </c>
      <c r="H548" s="165">
        <v>413400000</v>
      </c>
      <c r="I548" s="150" t="s">
        <v>3552</v>
      </c>
      <c r="J548" s="149" t="s">
        <v>3563</v>
      </c>
      <c r="K548" s="149" t="s">
        <v>3582</v>
      </c>
      <c r="L548" s="171">
        <f t="shared" si="12"/>
        <v>-240000000</v>
      </c>
    </row>
    <row r="549" spans="1:12" ht="26.4" x14ac:dyDescent="0.25">
      <c r="A549" s="7" t="s">
        <v>1083</v>
      </c>
      <c r="B549" s="155"/>
      <c r="C549" s="154" t="s">
        <v>3812</v>
      </c>
      <c r="D549" s="155">
        <v>12</v>
      </c>
      <c r="E549" s="155" t="s">
        <v>106</v>
      </c>
      <c r="F549" s="156">
        <v>20000000</v>
      </c>
      <c r="G549" s="45">
        <f>ROUNDDOWN(D549*F549,-3)</f>
        <v>240000000</v>
      </c>
      <c r="H549" s="165">
        <v>173400000</v>
      </c>
      <c r="I549" s="150" t="s">
        <v>3552</v>
      </c>
      <c r="J549" s="149" t="s">
        <v>3563</v>
      </c>
      <c r="K549" s="149" t="s">
        <v>3582</v>
      </c>
      <c r="L549" s="171">
        <f t="shared" si="12"/>
        <v>66600000</v>
      </c>
    </row>
    <row r="550" spans="1:12" x14ac:dyDescent="0.25">
      <c r="A550" s="7" t="s">
        <v>1085</v>
      </c>
      <c r="B550" s="60">
        <v>524111</v>
      </c>
      <c r="C550" s="41" t="s">
        <v>19</v>
      </c>
      <c r="D550" s="71"/>
      <c r="E550" s="60"/>
      <c r="F550" s="42"/>
      <c r="G550" s="42">
        <v>520000000</v>
      </c>
      <c r="H550" s="165">
        <v>240000000</v>
      </c>
      <c r="I550" s="150" t="s">
        <v>3552</v>
      </c>
      <c r="J550" s="149" t="s">
        <v>3563</v>
      </c>
      <c r="K550" s="149" t="s">
        <v>3582</v>
      </c>
      <c r="L550" s="171">
        <f t="shared" si="12"/>
        <v>280000000</v>
      </c>
    </row>
    <row r="551" spans="1:12" ht="26.4" x14ac:dyDescent="0.25">
      <c r="A551" s="7" t="s">
        <v>1086</v>
      </c>
      <c r="B551" s="192"/>
      <c r="C551" s="191" t="s">
        <v>3813</v>
      </c>
      <c r="D551" s="192">
        <v>80</v>
      </c>
      <c r="E551" s="192" t="s">
        <v>25</v>
      </c>
      <c r="F551" s="193">
        <v>5000000</v>
      </c>
      <c r="G551" s="45">
        <f>ROUNDDOWN(D551*F551,-3)</f>
        <v>400000000</v>
      </c>
      <c r="H551" s="165">
        <v>520000000</v>
      </c>
      <c r="I551" s="150" t="s">
        <v>3552</v>
      </c>
      <c r="J551" s="149" t="s">
        <v>3563</v>
      </c>
      <c r="K551" s="149" t="s">
        <v>3582</v>
      </c>
      <c r="L551" s="171">
        <f t="shared" si="12"/>
        <v>-120000000</v>
      </c>
    </row>
    <row r="552" spans="1:12" ht="26.4" x14ac:dyDescent="0.25">
      <c r="A552" s="7" t="s">
        <v>1088</v>
      </c>
      <c r="B552" s="61"/>
      <c r="C552" s="44" t="s">
        <v>3814</v>
      </c>
      <c r="D552" s="47">
        <v>24</v>
      </c>
      <c r="E552" s="61" t="s">
        <v>25</v>
      </c>
      <c r="F552" s="45">
        <v>5000000</v>
      </c>
      <c r="G552" s="45">
        <f>ROUNDDOWN(D552*F552,-3)</f>
        <v>120000000</v>
      </c>
      <c r="H552" s="165">
        <v>400000000</v>
      </c>
      <c r="I552" s="150" t="s">
        <v>3552</v>
      </c>
      <c r="J552" s="149" t="s">
        <v>3563</v>
      </c>
      <c r="K552" s="149" t="s">
        <v>3582</v>
      </c>
      <c r="L552" s="171">
        <f t="shared" si="12"/>
        <v>-280000000</v>
      </c>
    </row>
    <row r="553" spans="1:12" x14ac:dyDescent="0.25">
      <c r="A553" s="7" t="s">
        <v>1090</v>
      </c>
      <c r="B553" s="60">
        <v>524114</v>
      </c>
      <c r="C553" s="41" t="s">
        <v>14</v>
      </c>
      <c r="D553" s="71"/>
      <c r="E553" s="60"/>
      <c r="F553" s="42"/>
      <c r="G553" s="42">
        <v>163600000</v>
      </c>
      <c r="H553" s="165">
        <v>120000000</v>
      </c>
      <c r="I553" s="150" t="s">
        <v>3552</v>
      </c>
      <c r="J553" s="149" t="s">
        <v>3563</v>
      </c>
      <c r="K553" s="149" t="s">
        <v>3582</v>
      </c>
      <c r="L553" s="171">
        <f t="shared" si="12"/>
        <v>43600000</v>
      </c>
    </row>
    <row r="554" spans="1:12" ht="26.4" x14ac:dyDescent="0.25">
      <c r="A554" s="7" t="s">
        <v>1091</v>
      </c>
      <c r="B554" s="192"/>
      <c r="C554" s="191" t="s">
        <v>3815</v>
      </c>
      <c r="D554" s="192">
        <v>50</v>
      </c>
      <c r="E554" s="192" t="s">
        <v>25</v>
      </c>
      <c r="F554" s="193">
        <v>200000</v>
      </c>
      <c r="G554" s="45">
        <f>ROUNDDOWN(D554*F554,-3)</f>
        <v>10000000</v>
      </c>
      <c r="H554" s="165">
        <v>163600000</v>
      </c>
      <c r="I554" s="150" t="s">
        <v>3552</v>
      </c>
      <c r="J554" s="149" t="s">
        <v>3563</v>
      </c>
      <c r="K554" s="149" t="s">
        <v>3582</v>
      </c>
      <c r="L554" s="171">
        <f t="shared" si="12"/>
        <v>-153600000</v>
      </c>
    </row>
    <row r="555" spans="1:12" x14ac:dyDescent="0.25">
      <c r="A555" s="7" t="s">
        <v>1093</v>
      </c>
      <c r="B555" s="155"/>
      <c r="C555" s="154" t="s">
        <v>3816</v>
      </c>
      <c r="D555" s="155">
        <v>249</v>
      </c>
      <c r="E555" s="155" t="s">
        <v>25</v>
      </c>
      <c r="F555" s="156">
        <v>250000</v>
      </c>
      <c r="G555" s="45">
        <f>ROUNDDOWN(D555*F555,-3)</f>
        <v>62250000</v>
      </c>
      <c r="H555" s="165">
        <v>10000000</v>
      </c>
      <c r="I555" s="150" t="s">
        <v>3552</v>
      </c>
      <c r="J555" s="149" t="s">
        <v>3563</v>
      </c>
      <c r="K555" s="149" t="s">
        <v>3582</v>
      </c>
      <c r="L555" s="171">
        <f t="shared" si="12"/>
        <v>52250000</v>
      </c>
    </row>
    <row r="556" spans="1:12" x14ac:dyDescent="0.25">
      <c r="A556" s="7" t="s">
        <v>1095</v>
      </c>
      <c r="B556" s="61"/>
      <c r="C556" s="44" t="s">
        <v>3817</v>
      </c>
      <c r="D556" s="47">
        <v>100</v>
      </c>
      <c r="E556" s="61" t="s">
        <v>25</v>
      </c>
      <c r="F556" s="45">
        <v>300000</v>
      </c>
      <c r="G556" s="45">
        <f>ROUNDDOWN(D556*F556,-3)</f>
        <v>30000000</v>
      </c>
      <c r="H556" s="165">
        <v>62250000</v>
      </c>
      <c r="I556" s="150" t="s">
        <v>3552</v>
      </c>
      <c r="J556" s="149" t="s">
        <v>3563</v>
      </c>
      <c r="K556" s="149" t="s">
        <v>3582</v>
      </c>
      <c r="L556" s="171">
        <f t="shared" si="12"/>
        <v>-32250000</v>
      </c>
    </row>
    <row r="557" spans="1:12" x14ac:dyDescent="0.25">
      <c r="A557" s="7" t="s">
        <v>1097</v>
      </c>
      <c r="B557" s="61"/>
      <c r="C557" s="44" t="s">
        <v>3818</v>
      </c>
      <c r="D557" s="47">
        <v>269</v>
      </c>
      <c r="E557" s="61" t="s">
        <v>73</v>
      </c>
      <c r="F557" s="45">
        <v>150000</v>
      </c>
      <c r="G557" s="45">
        <f>ROUNDDOWN(D557*F557,-3)</f>
        <v>40350000</v>
      </c>
      <c r="H557" s="165">
        <v>30000000</v>
      </c>
      <c r="I557" s="150" t="s">
        <v>3552</v>
      </c>
      <c r="J557" s="149" t="s">
        <v>3563</v>
      </c>
      <c r="K557" s="149" t="s">
        <v>3582</v>
      </c>
      <c r="L557" s="171">
        <f t="shared" si="12"/>
        <v>10350000</v>
      </c>
    </row>
    <row r="558" spans="1:12" x14ac:dyDescent="0.25">
      <c r="A558" s="7" t="s">
        <v>1099</v>
      </c>
      <c r="B558" s="155"/>
      <c r="C558" s="154" t="s">
        <v>3819</v>
      </c>
      <c r="D558" s="155">
        <v>100</v>
      </c>
      <c r="E558" s="155" t="s">
        <v>73</v>
      </c>
      <c r="F558" s="156">
        <v>210000</v>
      </c>
      <c r="G558" s="45">
        <f>ROUNDDOWN(D558*F558,-3)</f>
        <v>21000000</v>
      </c>
      <c r="H558" s="165">
        <v>40350000</v>
      </c>
      <c r="I558" s="150" t="s">
        <v>3552</v>
      </c>
      <c r="J558" s="149" t="s">
        <v>3563</v>
      </c>
      <c r="K558" s="149" t="s">
        <v>3582</v>
      </c>
      <c r="L558" s="171">
        <f t="shared" si="12"/>
        <v>-19350000</v>
      </c>
    </row>
    <row r="559" spans="1:12" ht="26.4" x14ac:dyDescent="0.25">
      <c r="A559" s="7" t="s">
        <v>1101</v>
      </c>
      <c r="B559" s="58">
        <v>102</v>
      </c>
      <c r="C559" s="35" t="s">
        <v>1103</v>
      </c>
      <c r="D559" s="69">
        <v>0</v>
      </c>
      <c r="E559" s="58"/>
      <c r="F559" s="36"/>
      <c r="G559" s="36">
        <v>100000000</v>
      </c>
      <c r="H559" s="165">
        <v>21000000</v>
      </c>
      <c r="I559" s="150" t="s">
        <v>3552</v>
      </c>
      <c r="J559" s="149" t="s">
        <v>3563</v>
      </c>
      <c r="K559" s="149" t="s">
        <v>3582</v>
      </c>
      <c r="L559" s="171">
        <f t="shared" si="12"/>
        <v>79000000</v>
      </c>
    </row>
    <row r="560" spans="1:12" ht="26.4" x14ac:dyDescent="0.25">
      <c r="A560" s="7" t="s">
        <v>1104</v>
      </c>
      <c r="B560" s="59" t="s">
        <v>8</v>
      </c>
      <c r="C560" s="38" t="s">
        <v>1103</v>
      </c>
      <c r="D560" s="70"/>
      <c r="E560" s="59"/>
      <c r="F560" s="39"/>
      <c r="G560" s="39">
        <v>100000000</v>
      </c>
      <c r="H560" s="165">
        <v>100000000</v>
      </c>
      <c r="I560" s="150" t="s">
        <v>3552</v>
      </c>
      <c r="J560" s="149" t="s">
        <v>3563</v>
      </c>
      <c r="K560" s="149" t="s">
        <v>3582</v>
      </c>
      <c r="L560" s="171">
        <f t="shared" si="12"/>
        <v>0</v>
      </c>
    </row>
    <row r="561" spans="1:12" x14ac:dyDescent="0.25">
      <c r="A561" s="7" t="s">
        <v>1105</v>
      </c>
      <c r="B561" s="60">
        <v>521811</v>
      </c>
      <c r="C561" s="41" t="s">
        <v>64</v>
      </c>
      <c r="D561" s="60"/>
      <c r="E561" s="60"/>
      <c r="F561" s="42"/>
      <c r="G561" s="42">
        <v>4200000</v>
      </c>
      <c r="H561" s="165">
        <v>100000000</v>
      </c>
      <c r="I561" s="150" t="s">
        <v>3552</v>
      </c>
      <c r="J561" s="149" t="s">
        <v>3563</v>
      </c>
      <c r="K561" s="149" t="s">
        <v>3582</v>
      </c>
      <c r="L561" s="171">
        <f t="shared" si="12"/>
        <v>-95800000</v>
      </c>
    </row>
    <row r="562" spans="1:12" x14ac:dyDescent="0.25">
      <c r="A562" s="7" t="s">
        <v>1106</v>
      </c>
      <c r="B562" s="192"/>
      <c r="C562" s="191" t="s">
        <v>3625</v>
      </c>
      <c r="D562" s="197">
        <v>2</v>
      </c>
      <c r="E562" s="192" t="s">
        <v>106</v>
      </c>
      <c r="F562" s="193">
        <v>1000000</v>
      </c>
      <c r="G562" s="45">
        <f>ROUNDDOWN(D562*F562,-3)</f>
        <v>2000000</v>
      </c>
      <c r="H562" s="165">
        <v>4200000</v>
      </c>
      <c r="I562" s="150" t="s">
        <v>3552</v>
      </c>
      <c r="J562" s="149" t="s">
        <v>3563</v>
      </c>
      <c r="K562" s="149" t="s">
        <v>3582</v>
      </c>
      <c r="L562" s="171">
        <f t="shared" si="12"/>
        <v>-2200000</v>
      </c>
    </row>
    <row r="563" spans="1:12" x14ac:dyDescent="0.25">
      <c r="A563" s="7" t="s">
        <v>1107</v>
      </c>
      <c r="B563" s="61"/>
      <c r="C563" s="44" t="s">
        <v>3626</v>
      </c>
      <c r="D563" s="47">
        <v>2</v>
      </c>
      <c r="E563" s="61" t="s">
        <v>106</v>
      </c>
      <c r="F563" s="45">
        <v>1000000</v>
      </c>
      <c r="G563" s="45">
        <f>ROUNDDOWN(D563*F563,-3)</f>
        <v>2000000</v>
      </c>
      <c r="H563" s="165">
        <v>2000000</v>
      </c>
      <c r="I563" s="150" t="s">
        <v>3552</v>
      </c>
      <c r="J563" s="149" t="s">
        <v>3563</v>
      </c>
      <c r="K563" s="149" t="s">
        <v>3582</v>
      </c>
      <c r="L563" s="171">
        <f t="shared" si="12"/>
        <v>0</v>
      </c>
    </row>
    <row r="564" spans="1:12" x14ac:dyDescent="0.25">
      <c r="A564" s="7" t="s">
        <v>1108</v>
      </c>
      <c r="B564" s="155"/>
      <c r="C564" s="154" t="s">
        <v>3820</v>
      </c>
      <c r="D564" s="155">
        <v>2</v>
      </c>
      <c r="E564" s="155" t="s">
        <v>106</v>
      </c>
      <c r="F564" s="156">
        <v>100000</v>
      </c>
      <c r="G564" s="45">
        <f>ROUNDDOWN(D564*F564,-3)</f>
        <v>200000</v>
      </c>
      <c r="H564" s="165">
        <v>2000000</v>
      </c>
      <c r="I564" s="150" t="s">
        <v>3552</v>
      </c>
      <c r="J564" s="149" t="s">
        <v>3563</v>
      </c>
      <c r="K564" s="149" t="s">
        <v>3582</v>
      </c>
      <c r="L564" s="171">
        <f t="shared" si="12"/>
        <v>-1800000</v>
      </c>
    </row>
    <row r="565" spans="1:12" x14ac:dyDescent="0.25">
      <c r="A565" s="7" t="s">
        <v>1110</v>
      </c>
      <c r="B565" s="60">
        <v>522151</v>
      </c>
      <c r="C565" s="41" t="s">
        <v>11</v>
      </c>
      <c r="D565" s="71"/>
      <c r="E565" s="60"/>
      <c r="F565" s="42"/>
      <c r="G565" s="42">
        <v>20800000</v>
      </c>
      <c r="H565" s="165">
        <v>200000</v>
      </c>
      <c r="I565" s="150" t="s">
        <v>3552</v>
      </c>
      <c r="J565" s="149" t="s">
        <v>3563</v>
      </c>
      <c r="K565" s="149" t="s">
        <v>3582</v>
      </c>
      <c r="L565" s="171">
        <f t="shared" si="12"/>
        <v>20600000</v>
      </c>
    </row>
    <row r="566" spans="1:12" x14ac:dyDescent="0.25">
      <c r="A566" s="7" t="s">
        <v>1111</v>
      </c>
      <c r="B566" s="192"/>
      <c r="C566" s="191" t="s">
        <v>3821</v>
      </c>
      <c r="D566" s="192">
        <v>12</v>
      </c>
      <c r="E566" s="192" t="s">
        <v>25</v>
      </c>
      <c r="F566" s="193">
        <v>1400000</v>
      </c>
      <c r="G566" s="45">
        <f>ROUNDDOWN(D566*F566,-3)</f>
        <v>16800000</v>
      </c>
      <c r="H566" s="165">
        <v>20800000</v>
      </c>
      <c r="I566" s="150" t="s">
        <v>3552</v>
      </c>
      <c r="J566" s="149" t="s">
        <v>3563</v>
      </c>
      <c r="K566" s="149" t="s">
        <v>3582</v>
      </c>
      <c r="L566" s="171">
        <f t="shared" si="12"/>
        <v>-4000000</v>
      </c>
    </row>
    <row r="567" spans="1:12" x14ac:dyDescent="0.25">
      <c r="A567" s="7" t="s">
        <v>1113</v>
      </c>
      <c r="B567" s="61"/>
      <c r="C567" s="44" t="s">
        <v>3822</v>
      </c>
      <c r="D567" s="47">
        <v>4</v>
      </c>
      <c r="E567" s="61" t="s">
        <v>25</v>
      </c>
      <c r="F567" s="45">
        <v>1000000</v>
      </c>
      <c r="G567" s="45">
        <f>ROUNDDOWN(D567*F567,-3)</f>
        <v>4000000</v>
      </c>
      <c r="H567" s="165">
        <v>16800000</v>
      </c>
      <c r="I567" s="150" t="s">
        <v>3552</v>
      </c>
      <c r="J567" s="149" t="s">
        <v>3563</v>
      </c>
      <c r="K567" s="149" t="s">
        <v>3582</v>
      </c>
      <c r="L567" s="171">
        <f t="shared" si="12"/>
        <v>-12800000</v>
      </c>
    </row>
    <row r="568" spans="1:12" x14ac:dyDescent="0.25">
      <c r="A568" s="7" t="s">
        <v>1115</v>
      </c>
      <c r="B568" s="60">
        <v>524111</v>
      </c>
      <c r="C568" s="41" t="s">
        <v>19</v>
      </c>
      <c r="D568" s="71"/>
      <c r="E568" s="60"/>
      <c r="F568" s="42"/>
      <c r="G568" s="42">
        <v>75000000</v>
      </c>
      <c r="H568" s="165">
        <v>4000000</v>
      </c>
      <c r="I568" s="150" t="s">
        <v>3552</v>
      </c>
      <c r="J568" s="149" t="s">
        <v>3563</v>
      </c>
      <c r="K568" s="149" t="s">
        <v>3582</v>
      </c>
      <c r="L568" s="171">
        <f t="shared" si="12"/>
        <v>71000000</v>
      </c>
    </row>
    <row r="569" spans="1:12" ht="26.4" x14ac:dyDescent="0.25">
      <c r="A569" s="7" t="s">
        <v>1116</v>
      </c>
      <c r="B569" s="192"/>
      <c r="C569" s="191" t="s">
        <v>3823</v>
      </c>
      <c r="D569" s="192">
        <v>15</v>
      </c>
      <c r="E569" s="192" t="s">
        <v>25</v>
      </c>
      <c r="F569" s="193">
        <v>5000000</v>
      </c>
      <c r="G569" s="45">
        <f>ROUNDDOWN(D569*F569,-3)</f>
        <v>75000000</v>
      </c>
      <c r="H569" s="165">
        <v>75000000</v>
      </c>
      <c r="I569" s="150" t="s">
        <v>3552</v>
      </c>
      <c r="J569" s="149" t="s">
        <v>3563</v>
      </c>
      <c r="K569" s="149" t="s">
        <v>3582</v>
      </c>
      <c r="L569" s="171">
        <f t="shared" si="12"/>
        <v>0</v>
      </c>
    </row>
    <row r="570" spans="1:12" ht="26.4" x14ac:dyDescent="0.25">
      <c r="A570" s="7" t="s">
        <v>1118</v>
      </c>
      <c r="B570" s="58">
        <v>103</v>
      </c>
      <c r="C570" s="35" t="s">
        <v>1120</v>
      </c>
      <c r="D570" s="58">
        <v>0</v>
      </c>
      <c r="E570" s="58"/>
      <c r="F570" s="36"/>
      <c r="G570" s="36">
        <v>200000000</v>
      </c>
      <c r="H570" s="165">
        <v>75000000</v>
      </c>
      <c r="I570" s="150" t="s">
        <v>3552</v>
      </c>
      <c r="J570" s="149" t="s">
        <v>3563</v>
      </c>
      <c r="K570" s="149" t="s">
        <v>3582</v>
      </c>
      <c r="L570" s="171">
        <f t="shared" si="12"/>
        <v>125000000</v>
      </c>
    </row>
    <row r="571" spans="1:12" ht="26.4" x14ac:dyDescent="0.25">
      <c r="A571" s="7" t="s">
        <v>1121</v>
      </c>
      <c r="B571" s="59" t="s">
        <v>8</v>
      </c>
      <c r="C571" s="38" t="s">
        <v>1122</v>
      </c>
      <c r="D571" s="70"/>
      <c r="E571" s="59"/>
      <c r="F571" s="39"/>
      <c r="G571" s="39">
        <v>200000000</v>
      </c>
      <c r="H571" s="165">
        <v>200000000</v>
      </c>
      <c r="I571" s="150" t="s">
        <v>3552</v>
      </c>
      <c r="J571" s="149" t="s">
        <v>3563</v>
      </c>
      <c r="K571" s="149" t="s">
        <v>3582</v>
      </c>
      <c r="L571" s="171">
        <f t="shared" si="12"/>
        <v>0</v>
      </c>
    </row>
    <row r="572" spans="1:12" x14ac:dyDescent="0.25">
      <c r="A572" s="7" t="s">
        <v>1123</v>
      </c>
      <c r="B572" s="60">
        <v>521811</v>
      </c>
      <c r="C572" s="41" t="s">
        <v>64</v>
      </c>
      <c r="D572" s="60"/>
      <c r="E572" s="60"/>
      <c r="F572" s="42"/>
      <c r="G572" s="42">
        <v>20000000</v>
      </c>
      <c r="H572" s="165">
        <v>200000000</v>
      </c>
      <c r="I572" s="150" t="s">
        <v>3552</v>
      </c>
      <c r="J572" s="149" t="s">
        <v>3563</v>
      </c>
      <c r="K572" s="149" t="s">
        <v>3582</v>
      </c>
      <c r="L572" s="171">
        <f t="shared" si="12"/>
        <v>-180000000</v>
      </c>
    </row>
    <row r="573" spans="1:12" x14ac:dyDescent="0.25">
      <c r="A573" s="7" t="s">
        <v>1124</v>
      </c>
      <c r="B573" s="192"/>
      <c r="C573" s="191" t="s">
        <v>3625</v>
      </c>
      <c r="D573" s="197">
        <v>10</v>
      </c>
      <c r="E573" s="192" t="s">
        <v>106</v>
      </c>
      <c r="F573" s="193">
        <v>1000000</v>
      </c>
      <c r="G573" s="45">
        <f>ROUNDDOWN(D573*F573,-3)</f>
        <v>10000000</v>
      </c>
      <c r="H573" s="165">
        <v>20000000</v>
      </c>
      <c r="I573" s="150" t="s">
        <v>3552</v>
      </c>
      <c r="J573" s="149" t="s">
        <v>3563</v>
      </c>
      <c r="K573" s="149" t="s">
        <v>3582</v>
      </c>
      <c r="L573" s="171">
        <f t="shared" si="12"/>
        <v>-10000000</v>
      </c>
    </row>
    <row r="574" spans="1:12" x14ac:dyDescent="0.25">
      <c r="A574" s="7" t="s">
        <v>1125</v>
      </c>
      <c r="B574" s="155"/>
      <c r="C574" s="154" t="s">
        <v>3744</v>
      </c>
      <c r="D574" s="155">
        <v>10</v>
      </c>
      <c r="E574" s="155" t="s">
        <v>106</v>
      </c>
      <c r="F574" s="156">
        <v>1000000</v>
      </c>
      <c r="G574" s="45">
        <f>ROUNDDOWN(D574*F574,-3)</f>
        <v>10000000</v>
      </c>
      <c r="H574" s="165">
        <v>10000000</v>
      </c>
      <c r="I574" s="150" t="s">
        <v>3552</v>
      </c>
      <c r="J574" s="149" t="s">
        <v>3563</v>
      </c>
      <c r="K574" s="149" t="s">
        <v>3582</v>
      </c>
      <c r="L574" s="171">
        <f t="shared" si="12"/>
        <v>0</v>
      </c>
    </row>
    <row r="575" spans="1:12" x14ac:dyDescent="0.25">
      <c r="A575" s="7" t="s">
        <v>1126</v>
      </c>
      <c r="B575" s="60">
        <v>524111</v>
      </c>
      <c r="C575" s="41" t="s">
        <v>19</v>
      </c>
      <c r="D575" s="60"/>
      <c r="E575" s="60"/>
      <c r="F575" s="42"/>
      <c r="G575" s="42">
        <v>180000000</v>
      </c>
      <c r="H575" s="165">
        <v>10000000</v>
      </c>
      <c r="I575" s="150" t="s">
        <v>3552</v>
      </c>
      <c r="J575" s="149" t="s">
        <v>3563</v>
      </c>
      <c r="K575" s="149" t="s">
        <v>3582</v>
      </c>
      <c r="L575" s="171">
        <f t="shared" si="12"/>
        <v>170000000</v>
      </c>
    </row>
    <row r="576" spans="1:12" ht="26.4" x14ac:dyDescent="0.25">
      <c r="A576" s="7" t="s">
        <v>1127</v>
      </c>
      <c r="B576" s="192"/>
      <c r="C576" s="191" t="s">
        <v>3824</v>
      </c>
      <c r="D576" s="197">
        <v>26</v>
      </c>
      <c r="E576" s="192" t="s">
        <v>25</v>
      </c>
      <c r="F576" s="193">
        <v>5000000</v>
      </c>
      <c r="G576" s="45">
        <f>ROUNDDOWN(D576*F576,-3)</f>
        <v>130000000</v>
      </c>
      <c r="H576" s="165">
        <v>180000000</v>
      </c>
      <c r="I576" s="150" t="s">
        <v>3552</v>
      </c>
      <c r="J576" s="149" t="s">
        <v>3563</v>
      </c>
      <c r="K576" s="149" t="s">
        <v>3582</v>
      </c>
      <c r="L576" s="171">
        <f t="shared" si="12"/>
        <v>-50000000</v>
      </c>
    </row>
    <row r="577" spans="1:24" ht="26.4" x14ac:dyDescent="0.25">
      <c r="A577" s="7" t="s">
        <v>1129</v>
      </c>
      <c r="B577" s="155"/>
      <c r="C577" s="154" t="s">
        <v>3825</v>
      </c>
      <c r="D577" s="155">
        <v>10</v>
      </c>
      <c r="E577" s="155" t="s">
        <v>25</v>
      </c>
      <c r="F577" s="156">
        <v>5000000</v>
      </c>
      <c r="G577" s="45">
        <f>ROUNDDOWN(D577*F577,-3)</f>
        <v>50000000</v>
      </c>
      <c r="H577" s="165">
        <v>130000000</v>
      </c>
      <c r="I577" s="150" t="s">
        <v>3552</v>
      </c>
      <c r="J577" s="149" t="s">
        <v>3563</v>
      </c>
      <c r="K577" s="149" t="s">
        <v>3582</v>
      </c>
      <c r="L577" s="171">
        <f t="shared" si="12"/>
        <v>-80000000</v>
      </c>
    </row>
    <row r="578" spans="1:24" ht="26.4" x14ac:dyDescent="0.25">
      <c r="A578" s="7" t="s">
        <v>1131</v>
      </c>
      <c r="B578" s="58">
        <v>111</v>
      </c>
      <c r="C578" s="35" t="s">
        <v>1133</v>
      </c>
      <c r="D578" s="58">
        <v>0</v>
      </c>
      <c r="E578" s="58"/>
      <c r="F578" s="36"/>
      <c r="G578" s="36">
        <v>3000000000</v>
      </c>
      <c r="H578" s="165">
        <v>50000000</v>
      </c>
      <c r="I578" s="150" t="s">
        <v>3552</v>
      </c>
      <c r="J578" s="149" t="s">
        <v>3563</v>
      </c>
      <c r="K578" s="149" t="s">
        <v>3582</v>
      </c>
      <c r="L578" s="171">
        <f t="shared" si="12"/>
        <v>2950000000</v>
      </c>
    </row>
    <row r="579" spans="1:24" ht="26.4" x14ac:dyDescent="0.25">
      <c r="A579" s="7" t="s">
        <v>1134</v>
      </c>
      <c r="B579" s="59" t="s">
        <v>8</v>
      </c>
      <c r="C579" s="38" t="s">
        <v>72</v>
      </c>
      <c r="D579" s="59"/>
      <c r="E579" s="59"/>
      <c r="F579" s="39"/>
      <c r="G579" s="39">
        <v>2463500000</v>
      </c>
      <c r="H579" s="165">
        <v>3000000000</v>
      </c>
      <c r="I579" s="150" t="s">
        <v>3552</v>
      </c>
      <c r="J579" s="149" t="s">
        <v>3563</v>
      </c>
      <c r="K579" s="149" t="s">
        <v>3563</v>
      </c>
      <c r="L579" s="171">
        <f t="shared" si="12"/>
        <v>-536500000</v>
      </c>
    </row>
    <row r="580" spans="1:24" x14ac:dyDescent="0.25">
      <c r="A580" s="7" t="s">
        <v>1135</v>
      </c>
      <c r="B580" s="60">
        <v>521211</v>
      </c>
      <c r="C580" s="41" t="s">
        <v>7</v>
      </c>
      <c r="D580" s="60"/>
      <c r="E580" s="60"/>
      <c r="F580" s="42"/>
      <c r="G580" s="42">
        <v>35700000</v>
      </c>
      <c r="H580" s="165">
        <v>2463500000</v>
      </c>
      <c r="I580" s="150" t="s">
        <v>3552</v>
      </c>
      <c r="J580" s="149" t="s">
        <v>3563</v>
      </c>
      <c r="K580" s="149" t="s">
        <v>3563</v>
      </c>
      <c r="L580" s="171">
        <f t="shared" si="12"/>
        <v>-2427800000</v>
      </c>
    </row>
    <row r="581" spans="1:24" ht="26.4" x14ac:dyDescent="0.25">
      <c r="A581" s="7" t="s">
        <v>1136</v>
      </c>
      <c r="B581" s="192"/>
      <c r="C581" s="191" t="s">
        <v>3826</v>
      </c>
      <c r="D581" s="197">
        <v>200</v>
      </c>
      <c r="E581" s="192" t="s">
        <v>853</v>
      </c>
      <c r="F581" s="193">
        <v>178500</v>
      </c>
      <c r="G581" s="45">
        <f>ROUNDDOWN(D581*F581,-3)</f>
        <v>35700000</v>
      </c>
      <c r="H581" s="165">
        <v>35700000</v>
      </c>
      <c r="I581" s="150" t="s">
        <v>3552</v>
      </c>
      <c r="J581" s="149" t="s">
        <v>3563</v>
      </c>
      <c r="K581" s="149" t="s">
        <v>3563</v>
      </c>
      <c r="L581" s="171">
        <f t="shared" si="12"/>
        <v>0</v>
      </c>
    </row>
    <row r="582" spans="1:24" x14ac:dyDescent="0.25">
      <c r="A582" s="7" t="s">
        <v>1138</v>
      </c>
      <c r="B582" s="60">
        <v>521811</v>
      </c>
      <c r="C582" s="41" t="s">
        <v>64</v>
      </c>
      <c r="D582" s="71"/>
      <c r="E582" s="60"/>
      <c r="F582" s="42"/>
      <c r="G582" s="42">
        <v>24000000</v>
      </c>
      <c r="H582" s="165">
        <v>35700000</v>
      </c>
      <c r="I582" s="150" t="s">
        <v>3552</v>
      </c>
      <c r="J582" s="149" t="s">
        <v>3563</v>
      </c>
      <c r="K582" s="149" t="s">
        <v>3563</v>
      </c>
      <c r="L582" s="171">
        <f t="shared" si="12"/>
        <v>-11700000</v>
      </c>
    </row>
    <row r="583" spans="1:24" x14ac:dyDescent="0.25">
      <c r="A583" s="7" t="s">
        <v>1139</v>
      </c>
      <c r="B583" s="192"/>
      <c r="C583" s="191" t="s">
        <v>3625</v>
      </c>
      <c r="D583" s="192">
        <v>12</v>
      </c>
      <c r="E583" s="192" t="s">
        <v>106</v>
      </c>
      <c r="F583" s="193">
        <v>1000000</v>
      </c>
      <c r="G583" s="45">
        <f>ROUNDDOWN(D583*F583,-3)</f>
        <v>12000000</v>
      </c>
      <c r="H583" s="165">
        <v>24000000</v>
      </c>
      <c r="I583" s="150" t="s">
        <v>3552</v>
      </c>
      <c r="J583" s="149" t="s">
        <v>3563</v>
      </c>
      <c r="K583" s="149" t="s">
        <v>3563</v>
      </c>
      <c r="L583" s="171">
        <f t="shared" si="12"/>
        <v>-12000000</v>
      </c>
    </row>
    <row r="584" spans="1:24" x14ac:dyDescent="0.25">
      <c r="A584" s="7" t="s">
        <v>1140</v>
      </c>
      <c r="B584" s="61"/>
      <c r="C584" s="44" t="s">
        <v>3626</v>
      </c>
      <c r="D584" s="47">
        <v>12</v>
      </c>
      <c r="E584" s="61" t="s">
        <v>106</v>
      </c>
      <c r="F584" s="45">
        <v>1000000</v>
      </c>
      <c r="G584" s="45">
        <f>ROUNDDOWN(D584*F584,-3)</f>
        <v>12000000</v>
      </c>
      <c r="H584" s="165">
        <v>12000000</v>
      </c>
      <c r="I584" s="150" t="s">
        <v>3552</v>
      </c>
      <c r="J584" s="149" t="s">
        <v>3563</v>
      </c>
      <c r="K584" s="149" t="s">
        <v>3563</v>
      </c>
      <c r="L584" s="171">
        <f t="shared" si="12"/>
        <v>0</v>
      </c>
    </row>
    <row r="585" spans="1:24" x14ac:dyDescent="0.25">
      <c r="A585" s="7" t="s">
        <v>1141</v>
      </c>
      <c r="B585" s="60">
        <v>524111</v>
      </c>
      <c r="C585" s="41" t="s">
        <v>19</v>
      </c>
      <c r="D585" s="71"/>
      <c r="E585" s="60"/>
      <c r="F585" s="42"/>
      <c r="G585" s="42">
        <v>349800000</v>
      </c>
      <c r="H585" s="165">
        <v>12000000</v>
      </c>
      <c r="I585" s="150" t="s">
        <v>3552</v>
      </c>
      <c r="J585" s="149" t="s">
        <v>3563</v>
      </c>
      <c r="K585" s="149" t="s">
        <v>3563</v>
      </c>
      <c r="L585" s="171">
        <f t="shared" si="12"/>
        <v>337800000</v>
      </c>
    </row>
    <row r="586" spans="1:24" ht="26.4" x14ac:dyDescent="0.25">
      <c r="A586" s="7" t="s">
        <v>1142</v>
      </c>
      <c r="B586" s="192"/>
      <c r="C586" s="191" t="s">
        <v>3827</v>
      </c>
      <c r="D586" s="192">
        <v>60</v>
      </c>
      <c r="E586" s="192" t="s">
        <v>25</v>
      </c>
      <c r="F586" s="193">
        <v>5830000</v>
      </c>
      <c r="G586" s="45">
        <f>ROUNDDOWN(D586*F586,-3)</f>
        <v>349800000</v>
      </c>
      <c r="H586" s="165">
        <v>349800000</v>
      </c>
      <c r="I586" s="150" t="s">
        <v>3552</v>
      </c>
      <c r="J586" s="149" t="s">
        <v>3563</v>
      </c>
      <c r="K586" s="149" t="s">
        <v>3563</v>
      </c>
      <c r="L586" s="171">
        <f t="shared" si="12"/>
        <v>0</v>
      </c>
    </row>
    <row r="587" spans="1:24" x14ac:dyDescent="0.25">
      <c r="A587" s="7" t="s">
        <v>1144</v>
      </c>
      <c r="B587" s="60">
        <v>524113</v>
      </c>
      <c r="C587" s="41" t="s">
        <v>13</v>
      </c>
      <c r="D587" s="71"/>
      <c r="E587" s="60"/>
      <c r="F587" s="42"/>
      <c r="G587" s="42">
        <v>54000000</v>
      </c>
      <c r="H587" s="165">
        <v>349800000</v>
      </c>
      <c r="I587" s="150" t="s">
        <v>3552</v>
      </c>
      <c r="J587" s="149" t="s">
        <v>3563</v>
      </c>
      <c r="K587" s="149" t="s">
        <v>3563</v>
      </c>
      <c r="L587" s="171">
        <f t="shared" si="12"/>
        <v>-295800000</v>
      </c>
    </row>
    <row r="588" spans="1:24" ht="26.4" x14ac:dyDescent="0.25">
      <c r="A588" s="7" t="s">
        <v>1145</v>
      </c>
      <c r="B588" s="192"/>
      <c r="C588" s="191" t="s">
        <v>3828</v>
      </c>
      <c r="D588" s="192">
        <v>150</v>
      </c>
      <c r="E588" s="192" t="s">
        <v>73</v>
      </c>
      <c r="F588" s="193">
        <v>210000</v>
      </c>
      <c r="G588" s="45">
        <f>ROUNDDOWN(D588*F588,-3)</f>
        <v>31500000</v>
      </c>
      <c r="H588" s="165">
        <v>54000000</v>
      </c>
      <c r="I588" s="150" t="s">
        <v>3552</v>
      </c>
      <c r="J588" s="149" t="s">
        <v>3563</v>
      </c>
      <c r="K588" s="149" t="s">
        <v>3563</v>
      </c>
      <c r="L588" s="171">
        <f t="shared" si="12"/>
        <v>-22500000</v>
      </c>
    </row>
    <row r="589" spans="1:24" s="63" customFormat="1" ht="14.25" customHeight="1" x14ac:dyDescent="0.3">
      <c r="A589" s="62" t="s">
        <v>1147</v>
      </c>
      <c r="B589" s="198"/>
      <c r="C589" s="161" t="s">
        <v>3829</v>
      </c>
      <c r="D589" s="198">
        <v>150</v>
      </c>
      <c r="E589" s="161" t="s">
        <v>25</v>
      </c>
      <c r="F589" s="161">
        <v>150000</v>
      </c>
      <c r="G589" s="45">
        <f>ROUNDDOWN(D589*F589,-3)</f>
        <v>22500000</v>
      </c>
      <c r="H589" s="167">
        <v>31500000</v>
      </c>
      <c r="I589" s="150" t="s">
        <v>3552</v>
      </c>
      <c r="J589" s="149" t="s">
        <v>3563</v>
      </c>
      <c r="K589" s="149" t="s">
        <v>3563</v>
      </c>
      <c r="L589" s="171">
        <f t="shared" si="12"/>
        <v>-9000000</v>
      </c>
      <c r="V589" s="119"/>
      <c r="W589" s="120"/>
      <c r="X589" s="120"/>
    </row>
    <row r="590" spans="1:24" s="63" customFormat="1" ht="14.25" customHeight="1" x14ac:dyDescent="0.3">
      <c r="A590" s="62" t="s">
        <v>1149</v>
      </c>
      <c r="B590" s="200">
        <v>524211</v>
      </c>
      <c r="C590" s="199" t="s">
        <v>1151</v>
      </c>
      <c r="D590" s="200"/>
      <c r="E590" s="199"/>
      <c r="F590" s="199"/>
      <c r="G590" s="199">
        <v>2000000000</v>
      </c>
      <c r="H590" s="167">
        <v>22500000</v>
      </c>
      <c r="I590" s="150" t="s">
        <v>3552</v>
      </c>
      <c r="J590" s="149" t="s">
        <v>3563</v>
      </c>
      <c r="K590" s="149" t="s">
        <v>3563</v>
      </c>
      <c r="L590" s="171">
        <f t="shared" ref="L590:L653" si="13">G590-H590</f>
        <v>1977500000</v>
      </c>
      <c r="V590" s="119"/>
      <c r="W590" s="120"/>
      <c r="X590" s="120"/>
    </row>
    <row r="591" spans="1:24" s="63" customFormat="1" ht="14.25" customHeight="1" x14ac:dyDescent="0.3">
      <c r="A591" s="62" t="s">
        <v>1152</v>
      </c>
      <c r="B591" s="202"/>
      <c r="C591" s="201" t="s">
        <v>3830</v>
      </c>
      <c r="D591" s="202">
        <v>32</v>
      </c>
      <c r="E591" s="201" t="s">
        <v>25</v>
      </c>
      <c r="F591" s="201">
        <v>62500000</v>
      </c>
      <c r="G591" s="45">
        <f>ROUNDDOWN(D591*F591,-3)</f>
        <v>2000000000</v>
      </c>
      <c r="H591" s="167">
        <v>2000000000</v>
      </c>
      <c r="I591" s="150" t="s">
        <v>3552</v>
      </c>
      <c r="J591" s="149" t="s">
        <v>3563</v>
      </c>
      <c r="K591" s="149" t="s">
        <v>3563</v>
      </c>
      <c r="L591" s="171">
        <f t="shared" si="13"/>
        <v>0</v>
      </c>
      <c r="V591" s="119"/>
      <c r="W591" s="120"/>
      <c r="X591" s="120"/>
    </row>
    <row r="592" spans="1:24" s="63" customFormat="1" ht="14.25" customHeight="1" x14ac:dyDescent="0.3">
      <c r="A592" s="64" t="s">
        <v>1154</v>
      </c>
      <c r="B592" s="204" t="s">
        <v>511</v>
      </c>
      <c r="C592" s="203" t="s">
        <v>74</v>
      </c>
      <c r="D592" s="204"/>
      <c r="E592" s="203"/>
      <c r="F592" s="203"/>
      <c r="G592" s="203">
        <v>536500000</v>
      </c>
      <c r="H592" s="167">
        <v>2000000000</v>
      </c>
      <c r="I592" s="150" t="s">
        <v>3552</v>
      </c>
      <c r="J592" s="149" t="s">
        <v>3563</v>
      </c>
      <c r="K592" s="149" t="s">
        <v>3563</v>
      </c>
      <c r="L592" s="171">
        <f t="shared" si="13"/>
        <v>-1463500000</v>
      </c>
      <c r="V592" s="119"/>
      <c r="W592" s="120"/>
      <c r="X592" s="120"/>
    </row>
    <row r="593" spans="1:24" s="63" customFormat="1" ht="14.25" customHeight="1" x14ac:dyDescent="0.3">
      <c r="A593" s="64" t="s">
        <v>1155</v>
      </c>
      <c r="B593" s="200">
        <v>521211</v>
      </c>
      <c r="C593" s="199" t="s">
        <v>7</v>
      </c>
      <c r="D593" s="200"/>
      <c r="E593" s="199"/>
      <c r="F593" s="199"/>
      <c r="G593" s="205">
        <v>35700000</v>
      </c>
      <c r="H593" s="167">
        <v>536500000</v>
      </c>
      <c r="I593" s="150" t="s">
        <v>3552</v>
      </c>
      <c r="J593" s="149" t="s">
        <v>3563</v>
      </c>
      <c r="K593" s="149" t="s">
        <v>3563</v>
      </c>
      <c r="L593" s="171">
        <f t="shared" si="13"/>
        <v>-500800000</v>
      </c>
      <c r="V593" s="119"/>
      <c r="W593" s="120"/>
      <c r="X593" s="120"/>
    </row>
    <row r="594" spans="1:24" ht="26.4" x14ac:dyDescent="0.25">
      <c r="A594" s="7" t="s">
        <v>1156</v>
      </c>
      <c r="B594" s="192"/>
      <c r="C594" s="191" t="s">
        <v>3831</v>
      </c>
      <c r="D594" s="192">
        <v>200</v>
      </c>
      <c r="E594" s="192" t="s">
        <v>180</v>
      </c>
      <c r="F594" s="193">
        <v>178500</v>
      </c>
      <c r="G594" s="45">
        <f>ROUNDDOWN(D594*F594,-3)</f>
        <v>35700000</v>
      </c>
      <c r="H594" s="165">
        <v>35700000</v>
      </c>
      <c r="I594" s="150" t="s">
        <v>3552</v>
      </c>
      <c r="J594" s="149" t="s">
        <v>3563</v>
      </c>
      <c r="K594" s="149" t="s">
        <v>3563</v>
      </c>
      <c r="L594" s="171">
        <f t="shared" si="13"/>
        <v>0</v>
      </c>
    </row>
    <row r="595" spans="1:24" ht="26.4" x14ac:dyDescent="0.25">
      <c r="A595" s="7" t="s">
        <v>1158</v>
      </c>
      <c r="B595" s="60">
        <v>521241</v>
      </c>
      <c r="C595" s="41" t="s">
        <v>642</v>
      </c>
      <c r="D595" s="60"/>
      <c r="E595" s="60"/>
      <c r="F595" s="42"/>
      <c r="G595" s="42">
        <v>14400000</v>
      </c>
      <c r="H595" s="165">
        <v>35700000</v>
      </c>
      <c r="I595" s="150" t="s">
        <v>3552</v>
      </c>
      <c r="J595" s="149" t="s">
        <v>3563</v>
      </c>
      <c r="K595" s="149" t="s">
        <v>3563</v>
      </c>
      <c r="L595" s="171">
        <f t="shared" si="13"/>
        <v>-21300000</v>
      </c>
    </row>
    <row r="596" spans="1:24" x14ac:dyDescent="0.25">
      <c r="A596" s="7" t="s">
        <v>1159</v>
      </c>
      <c r="B596" s="192"/>
      <c r="C596" s="191" t="s">
        <v>3832</v>
      </c>
      <c r="D596" s="192">
        <v>72</v>
      </c>
      <c r="E596" s="192" t="s">
        <v>32</v>
      </c>
      <c r="F596" s="193">
        <v>200000</v>
      </c>
      <c r="G596" s="45">
        <f>ROUNDDOWN(D596*F596,-3)</f>
        <v>14400000</v>
      </c>
      <c r="H596" s="165">
        <v>14400000</v>
      </c>
      <c r="I596" s="150" t="s">
        <v>3552</v>
      </c>
      <c r="J596" s="149" t="s">
        <v>3563</v>
      </c>
      <c r="K596" s="149" t="s">
        <v>3563</v>
      </c>
      <c r="L596" s="171">
        <f t="shared" si="13"/>
        <v>0</v>
      </c>
    </row>
    <row r="597" spans="1:24" x14ac:dyDescent="0.25">
      <c r="A597" s="7" t="s">
        <v>1161</v>
      </c>
      <c r="B597" s="60">
        <v>521811</v>
      </c>
      <c r="C597" s="41" t="s">
        <v>64</v>
      </c>
      <c r="D597" s="60"/>
      <c r="E597" s="60"/>
      <c r="F597" s="42"/>
      <c r="G597" s="42">
        <v>24000000</v>
      </c>
      <c r="H597" s="165">
        <v>14400000</v>
      </c>
      <c r="I597" s="150" t="s">
        <v>3552</v>
      </c>
      <c r="J597" s="149" t="s">
        <v>3563</v>
      </c>
      <c r="K597" s="149" t="s">
        <v>3563</v>
      </c>
      <c r="L597" s="171">
        <f t="shared" si="13"/>
        <v>9600000</v>
      </c>
    </row>
    <row r="598" spans="1:24" x14ac:dyDescent="0.25">
      <c r="A598" s="7" t="s">
        <v>1162</v>
      </c>
      <c r="B598" s="192"/>
      <c r="C598" s="191" t="s">
        <v>3625</v>
      </c>
      <c r="D598" s="192">
        <v>12</v>
      </c>
      <c r="E598" s="192" t="s">
        <v>106</v>
      </c>
      <c r="F598" s="193">
        <v>1000000</v>
      </c>
      <c r="G598" s="45">
        <f>ROUNDDOWN(D598*F598,-3)</f>
        <v>12000000</v>
      </c>
      <c r="H598" s="165">
        <v>24000000</v>
      </c>
      <c r="I598" s="150" t="s">
        <v>3552</v>
      </c>
      <c r="J598" s="149" t="s">
        <v>3563</v>
      </c>
      <c r="K598" s="149" t="s">
        <v>3563</v>
      </c>
      <c r="L598" s="171">
        <f t="shared" si="13"/>
        <v>-12000000</v>
      </c>
    </row>
    <row r="599" spans="1:24" x14ac:dyDescent="0.25">
      <c r="A599" s="7" t="s">
        <v>1163</v>
      </c>
      <c r="B599" s="61"/>
      <c r="C599" s="44" t="s">
        <v>3626</v>
      </c>
      <c r="D599" s="61">
        <v>12</v>
      </c>
      <c r="E599" s="61" t="s">
        <v>106</v>
      </c>
      <c r="F599" s="45">
        <v>1000000</v>
      </c>
      <c r="G599" s="45">
        <f>ROUNDDOWN(D599*F599,-3)</f>
        <v>12000000</v>
      </c>
      <c r="H599" s="165">
        <v>12000000</v>
      </c>
      <c r="I599" s="150" t="s">
        <v>3552</v>
      </c>
      <c r="J599" s="149" t="s">
        <v>3563</v>
      </c>
      <c r="K599" s="149" t="s">
        <v>3563</v>
      </c>
      <c r="L599" s="171">
        <f t="shared" si="13"/>
        <v>0</v>
      </c>
    </row>
    <row r="600" spans="1:24" x14ac:dyDescent="0.25">
      <c r="A600" s="7" t="s">
        <v>1164</v>
      </c>
      <c r="B600" s="60">
        <v>522151</v>
      </c>
      <c r="C600" s="41" t="s">
        <v>11</v>
      </c>
      <c r="D600" s="60"/>
      <c r="E600" s="60"/>
      <c r="F600" s="42"/>
      <c r="G600" s="42">
        <v>37600000</v>
      </c>
      <c r="H600" s="165">
        <v>12000000</v>
      </c>
      <c r="I600" s="150" t="s">
        <v>3552</v>
      </c>
      <c r="J600" s="149" t="s">
        <v>3563</v>
      </c>
      <c r="K600" s="149" t="s">
        <v>3563</v>
      </c>
      <c r="L600" s="171">
        <f t="shared" si="13"/>
        <v>25600000</v>
      </c>
    </row>
    <row r="601" spans="1:24" x14ac:dyDescent="0.25">
      <c r="A601" s="7" t="s">
        <v>1165</v>
      </c>
      <c r="B601" s="192"/>
      <c r="C601" s="191" t="s">
        <v>3833</v>
      </c>
      <c r="D601" s="192">
        <v>8</v>
      </c>
      <c r="E601" s="192" t="s">
        <v>54</v>
      </c>
      <c r="F601" s="193">
        <v>1400000</v>
      </c>
      <c r="G601" s="45">
        <f>ROUNDDOWN(D601*F601,-3)</f>
        <v>11200000</v>
      </c>
      <c r="H601" s="165">
        <v>37600000</v>
      </c>
      <c r="I601" s="150" t="s">
        <v>3552</v>
      </c>
      <c r="J601" s="149" t="s">
        <v>3563</v>
      </c>
      <c r="K601" s="149" t="s">
        <v>3563</v>
      </c>
      <c r="L601" s="171">
        <f t="shared" si="13"/>
        <v>-26400000</v>
      </c>
    </row>
    <row r="602" spans="1:24" x14ac:dyDescent="0.25">
      <c r="A602" s="7" t="s">
        <v>1167</v>
      </c>
      <c r="B602" s="61"/>
      <c r="C602" s="44" t="s">
        <v>3834</v>
      </c>
      <c r="D602" s="61">
        <v>12</v>
      </c>
      <c r="E602" s="61" t="s">
        <v>54</v>
      </c>
      <c r="F602" s="45">
        <v>1000000</v>
      </c>
      <c r="G602" s="45">
        <f>ROUNDDOWN(D602*F602,-3)</f>
        <v>12000000</v>
      </c>
      <c r="H602" s="165">
        <v>11200000</v>
      </c>
      <c r="I602" s="150" t="s">
        <v>3552</v>
      </c>
      <c r="J602" s="149" t="s">
        <v>3563</v>
      </c>
      <c r="K602" s="149" t="s">
        <v>3563</v>
      </c>
      <c r="L602" s="171">
        <f t="shared" si="13"/>
        <v>800000</v>
      </c>
    </row>
    <row r="603" spans="1:24" x14ac:dyDescent="0.25">
      <c r="A603" s="7" t="s">
        <v>1169</v>
      </c>
      <c r="B603" s="61"/>
      <c r="C603" s="44" t="s">
        <v>3835</v>
      </c>
      <c r="D603" s="61">
        <v>16</v>
      </c>
      <c r="E603" s="61" t="s">
        <v>54</v>
      </c>
      <c r="F603" s="45">
        <v>900000</v>
      </c>
      <c r="G603" s="45">
        <f>ROUNDDOWN(D603*F603,-3)</f>
        <v>14400000</v>
      </c>
      <c r="H603" s="165">
        <v>12000000</v>
      </c>
      <c r="I603" s="150" t="s">
        <v>3552</v>
      </c>
      <c r="J603" s="149" t="s">
        <v>3563</v>
      </c>
      <c r="K603" s="149" t="s">
        <v>3563</v>
      </c>
      <c r="L603" s="171">
        <f t="shared" si="13"/>
        <v>2400000</v>
      </c>
    </row>
    <row r="604" spans="1:24" x14ac:dyDescent="0.25">
      <c r="A604" s="7" t="s">
        <v>1171</v>
      </c>
      <c r="B604" s="60">
        <v>522192</v>
      </c>
      <c r="C604" s="41" t="s">
        <v>24</v>
      </c>
      <c r="D604" s="60"/>
      <c r="E604" s="60"/>
      <c r="F604" s="42"/>
      <c r="G604" s="42">
        <v>21000000</v>
      </c>
      <c r="H604" s="165">
        <v>14400000</v>
      </c>
      <c r="I604" s="150" t="s">
        <v>3552</v>
      </c>
      <c r="J604" s="149" t="s">
        <v>3563</v>
      </c>
      <c r="K604" s="149" t="s">
        <v>3563</v>
      </c>
      <c r="L604" s="171">
        <f t="shared" si="13"/>
        <v>6600000</v>
      </c>
    </row>
    <row r="605" spans="1:24" x14ac:dyDescent="0.25">
      <c r="A605" s="7" t="s">
        <v>1172</v>
      </c>
      <c r="B605" s="192"/>
      <c r="C605" s="191" t="s">
        <v>3836</v>
      </c>
      <c r="D605" s="192">
        <v>30</v>
      </c>
      <c r="E605" s="192" t="s">
        <v>25</v>
      </c>
      <c r="F605" s="193">
        <v>100000</v>
      </c>
      <c r="G605" s="45">
        <f>ROUNDDOWN(D605*F605,-3)</f>
        <v>3000000</v>
      </c>
      <c r="H605" s="165">
        <v>21000000</v>
      </c>
      <c r="I605" s="150" t="s">
        <v>3552</v>
      </c>
      <c r="J605" s="149" t="s">
        <v>3563</v>
      </c>
      <c r="K605" s="149" t="s">
        <v>3563</v>
      </c>
      <c r="L605" s="171">
        <f t="shared" si="13"/>
        <v>-18000000</v>
      </c>
    </row>
    <row r="606" spans="1:24" x14ac:dyDescent="0.25">
      <c r="A606" s="7" t="s">
        <v>1174</v>
      </c>
      <c r="B606" s="61"/>
      <c r="C606" s="44" t="s">
        <v>3837</v>
      </c>
      <c r="D606" s="61">
        <v>30</v>
      </c>
      <c r="E606" s="61" t="s">
        <v>25</v>
      </c>
      <c r="F606" s="45">
        <v>600000</v>
      </c>
      <c r="G606" s="45">
        <f>ROUNDDOWN(D606*F606,-3)</f>
        <v>18000000</v>
      </c>
      <c r="H606" s="165">
        <v>3000000</v>
      </c>
      <c r="I606" s="150" t="s">
        <v>3552</v>
      </c>
      <c r="J606" s="149" t="s">
        <v>3563</v>
      </c>
      <c r="K606" s="149" t="s">
        <v>3563</v>
      </c>
      <c r="L606" s="171">
        <f t="shared" si="13"/>
        <v>15000000</v>
      </c>
    </row>
    <row r="607" spans="1:24" x14ac:dyDescent="0.25">
      <c r="A607" s="7" t="s">
        <v>1176</v>
      </c>
      <c r="B607" s="60">
        <v>524111</v>
      </c>
      <c r="C607" s="41" t="s">
        <v>19</v>
      </c>
      <c r="D607" s="60"/>
      <c r="E607" s="60"/>
      <c r="F607" s="42"/>
      <c r="G607" s="42">
        <v>349800000</v>
      </c>
      <c r="H607" s="165">
        <v>18000000</v>
      </c>
      <c r="I607" s="150" t="s">
        <v>3552</v>
      </c>
      <c r="J607" s="149" t="s">
        <v>3563</v>
      </c>
      <c r="K607" s="149" t="s">
        <v>3563</v>
      </c>
      <c r="L607" s="171">
        <f t="shared" si="13"/>
        <v>331800000</v>
      </c>
    </row>
    <row r="608" spans="1:24" ht="26.4" x14ac:dyDescent="0.25">
      <c r="A608" s="7" t="s">
        <v>1177</v>
      </c>
      <c r="B608" s="192"/>
      <c r="C608" s="191" t="s">
        <v>3838</v>
      </c>
      <c r="D608" s="192">
        <v>60</v>
      </c>
      <c r="E608" s="192" t="s">
        <v>25</v>
      </c>
      <c r="F608" s="193">
        <v>5830000</v>
      </c>
      <c r="G608" s="45">
        <f>ROUNDDOWN(D608*F608,-3)</f>
        <v>349800000</v>
      </c>
      <c r="H608" s="165">
        <v>349800000</v>
      </c>
      <c r="I608" s="150" t="s">
        <v>3552</v>
      </c>
      <c r="J608" s="149" t="s">
        <v>3563</v>
      </c>
      <c r="K608" s="149" t="s">
        <v>3563</v>
      </c>
      <c r="L608" s="171">
        <f t="shared" si="13"/>
        <v>0</v>
      </c>
    </row>
    <row r="609" spans="1:12" x14ac:dyDescent="0.25">
      <c r="A609" s="7" t="s">
        <v>1179</v>
      </c>
      <c r="B609" s="60">
        <v>524113</v>
      </c>
      <c r="C609" s="41" t="s">
        <v>13</v>
      </c>
      <c r="D609" s="60"/>
      <c r="E609" s="60"/>
      <c r="F609" s="42"/>
      <c r="G609" s="42">
        <v>54000000</v>
      </c>
      <c r="H609" s="165">
        <v>349800000</v>
      </c>
      <c r="I609" s="150" t="s">
        <v>3552</v>
      </c>
      <c r="J609" s="149" t="s">
        <v>3563</v>
      </c>
      <c r="K609" s="149" t="s">
        <v>3563</v>
      </c>
      <c r="L609" s="171">
        <f t="shared" si="13"/>
        <v>-295800000</v>
      </c>
    </row>
    <row r="610" spans="1:12" ht="26.4" x14ac:dyDescent="0.25">
      <c r="A610" s="7" t="s">
        <v>1180</v>
      </c>
      <c r="B610" s="192"/>
      <c r="C610" s="191" t="s">
        <v>3839</v>
      </c>
      <c r="D610" s="192">
        <v>150</v>
      </c>
      <c r="E610" s="192" t="s">
        <v>73</v>
      </c>
      <c r="F610" s="193">
        <v>210000</v>
      </c>
      <c r="G610" s="45">
        <f>ROUNDDOWN(D610*F610,-3)</f>
        <v>31500000</v>
      </c>
      <c r="H610" s="165">
        <v>54000000</v>
      </c>
      <c r="I610" s="150" t="s">
        <v>3552</v>
      </c>
      <c r="J610" s="149" t="s">
        <v>3563</v>
      </c>
      <c r="K610" s="149" t="s">
        <v>3563</v>
      </c>
      <c r="L610" s="171">
        <f t="shared" si="13"/>
        <v>-22500000</v>
      </c>
    </row>
    <row r="611" spans="1:12" x14ac:dyDescent="0.25">
      <c r="A611" s="7" t="s">
        <v>1182</v>
      </c>
      <c r="B611" s="61"/>
      <c r="C611" s="44" t="s">
        <v>3829</v>
      </c>
      <c r="D611" s="61">
        <v>150</v>
      </c>
      <c r="E611" s="61" t="s">
        <v>25</v>
      </c>
      <c r="F611" s="45">
        <v>150000</v>
      </c>
      <c r="G611" s="45">
        <f>ROUNDDOWN(D611*F611,-3)</f>
        <v>22500000</v>
      </c>
      <c r="H611" s="165">
        <v>31500000</v>
      </c>
      <c r="I611" s="150" t="s">
        <v>3552</v>
      </c>
      <c r="J611" s="149" t="s">
        <v>3563</v>
      </c>
      <c r="K611" s="149" t="s">
        <v>3563</v>
      </c>
      <c r="L611" s="171">
        <f t="shared" si="13"/>
        <v>-9000000</v>
      </c>
    </row>
    <row r="612" spans="1:12" x14ac:dyDescent="0.25">
      <c r="A612" s="7" t="s">
        <v>1184</v>
      </c>
      <c r="B612" s="58">
        <v>311</v>
      </c>
      <c r="C612" s="35" t="s">
        <v>1186</v>
      </c>
      <c r="D612" s="58">
        <v>0</v>
      </c>
      <c r="E612" s="58"/>
      <c r="F612" s="36"/>
      <c r="G612" s="36">
        <v>153780000</v>
      </c>
      <c r="H612" s="165">
        <v>22500000</v>
      </c>
      <c r="I612" s="150" t="s">
        <v>3552</v>
      </c>
      <c r="J612" s="149" t="s">
        <v>3563</v>
      </c>
      <c r="K612" s="149" t="s">
        <v>3563</v>
      </c>
      <c r="L612" s="171">
        <f t="shared" si="13"/>
        <v>131280000</v>
      </c>
    </row>
    <row r="613" spans="1:12" x14ac:dyDescent="0.25">
      <c r="A613" s="7" t="s">
        <v>1187</v>
      </c>
      <c r="B613" s="59" t="s">
        <v>8</v>
      </c>
      <c r="C613" s="38" t="s">
        <v>75</v>
      </c>
      <c r="D613" s="59"/>
      <c r="E613" s="59"/>
      <c r="F613" s="39"/>
      <c r="G613" s="39">
        <v>153780000</v>
      </c>
      <c r="H613" s="165">
        <v>153780000</v>
      </c>
      <c r="I613" s="150" t="s">
        <v>557</v>
      </c>
      <c r="J613" s="149" t="s">
        <v>3559</v>
      </c>
      <c r="K613" s="149" t="s">
        <v>3571</v>
      </c>
      <c r="L613" s="171">
        <f t="shared" si="13"/>
        <v>0</v>
      </c>
    </row>
    <row r="614" spans="1:12" x14ac:dyDescent="0.25">
      <c r="A614" s="7" t="s">
        <v>1188</v>
      </c>
      <c r="B614" s="60">
        <v>521211</v>
      </c>
      <c r="C614" s="41" t="s">
        <v>7</v>
      </c>
      <c r="D614" s="60"/>
      <c r="E614" s="60"/>
      <c r="F614" s="42"/>
      <c r="G614" s="42">
        <v>14400000</v>
      </c>
      <c r="H614" s="165">
        <v>153780000</v>
      </c>
      <c r="I614" s="150" t="s">
        <v>557</v>
      </c>
      <c r="J614" s="149" t="s">
        <v>3559</v>
      </c>
      <c r="K614" s="149" t="s">
        <v>3571</v>
      </c>
      <c r="L614" s="171">
        <f t="shared" si="13"/>
        <v>-139380000</v>
      </c>
    </row>
    <row r="615" spans="1:12" x14ac:dyDescent="0.25">
      <c r="A615" s="7" t="s">
        <v>1189</v>
      </c>
      <c r="B615" s="192"/>
      <c r="C615" s="191" t="s">
        <v>3598</v>
      </c>
      <c r="D615" s="192">
        <v>6</v>
      </c>
      <c r="E615" s="192" t="s">
        <v>52</v>
      </c>
      <c r="F615" s="193">
        <v>1000000</v>
      </c>
      <c r="G615" s="45">
        <f>ROUNDDOWN(D615*F615,-3)</f>
        <v>6000000</v>
      </c>
      <c r="H615" s="165">
        <v>14400000</v>
      </c>
      <c r="I615" s="150" t="s">
        <v>557</v>
      </c>
      <c r="J615" s="149" t="s">
        <v>3559</v>
      </c>
      <c r="K615" s="149" t="s">
        <v>3571</v>
      </c>
      <c r="L615" s="171">
        <f t="shared" si="13"/>
        <v>-8400000</v>
      </c>
    </row>
    <row r="616" spans="1:12" x14ac:dyDescent="0.25">
      <c r="A616" s="7" t="s">
        <v>1190</v>
      </c>
      <c r="B616" s="61"/>
      <c r="C616" s="44" t="s">
        <v>3720</v>
      </c>
      <c r="D616" s="61">
        <v>120</v>
      </c>
      <c r="E616" s="61" t="s">
        <v>25</v>
      </c>
      <c r="F616" s="45">
        <v>70000</v>
      </c>
      <c r="G616" s="45">
        <f>ROUNDDOWN(D616*F616,-3)</f>
        <v>8400000</v>
      </c>
      <c r="H616" s="168">
        <v>6000000</v>
      </c>
      <c r="I616" s="150" t="s">
        <v>557</v>
      </c>
      <c r="J616" s="149" t="s">
        <v>3559</v>
      </c>
      <c r="K616" s="149" t="s">
        <v>3571</v>
      </c>
      <c r="L616" s="171">
        <f t="shared" si="13"/>
        <v>2400000</v>
      </c>
    </row>
    <row r="617" spans="1:12" x14ac:dyDescent="0.25">
      <c r="A617" s="7" t="s">
        <v>1191</v>
      </c>
      <c r="B617" s="60">
        <v>521219</v>
      </c>
      <c r="C617" s="41" t="s">
        <v>53</v>
      </c>
      <c r="D617" s="60"/>
      <c r="E617" s="60"/>
      <c r="F617" s="42"/>
      <c r="G617" s="42">
        <v>8000000</v>
      </c>
      <c r="H617" s="168">
        <v>8400000</v>
      </c>
      <c r="I617" s="150" t="s">
        <v>557</v>
      </c>
      <c r="J617" s="149" t="s">
        <v>3559</v>
      </c>
      <c r="K617" s="149" t="s">
        <v>3571</v>
      </c>
      <c r="L617" s="171">
        <f t="shared" si="13"/>
        <v>-400000</v>
      </c>
    </row>
    <row r="618" spans="1:12" x14ac:dyDescent="0.25">
      <c r="A618" s="7" t="s">
        <v>1192</v>
      </c>
      <c r="B618" s="192"/>
      <c r="C618" s="191" t="s">
        <v>3840</v>
      </c>
      <c r="D618" s="192">
        <v>1</v>
      </c>
      <c r="E618" s="192" t="s">
        <v>106</v>
      </c>
      <c r="F618" s="193">
        <v>8000000</v>
      </c>
      <c r="G618" s="45">
        <f>ROUNDDOWN(D618*F618,-3)</f>
        <v>8000000</v>
      </c>
      <c r="H618" s="165">
        <v>8000000</v>
      </c>
      <c r="I618" s="150" t="s">
        <v>557</v>
      </c>
      <c r="J618" s="149" t="s">
        <v>3559</v>
      </c>
      <c r="K618" s="149" t="s">
        <v>3571</v>
      </c>
      <c r="L618" s="171">
        <f t="shared" si="13"/>
        <v>0</v>
      </c>
    </row>
    <row r="619" spans="1:12" x14ac:dyDescent="0.25">
      <c r="A619" s="7" t="s">
        <v>1194</v>
      </c>
      <c r="B619" s="60">
        <v>521811</v>
      </c>
      <c r="C619" s="41" t="s">
        <v>64</v>
      </c>
      <c r="D619" s="60"/>
      <c r="E619" s="60"/>
      <c r="F619" s="42"/>
      <c r="G619" s="42">
        <v>12000000</v>
      </c>
      <c r="H619" s="168">
        <v>8000000</v>
      </c>
      <c r="I619" s="150" t="s">
        <v>557</v>
      </c>
      <c r="J619" s="149" t="s">
        <v>3559</v>
      </c>
      <c r="K619" s="149" t="s">
        <v>3571</v>
      </c>
      <c r="L619" s="171">
        <f t="shared" si="13"/>
        <v>4000000</v>
      </c>
    </row>
    <row r="620" spans="1:12" x14ac:dyDescent="0.25">
      <c r="A620" s="7" t="s">
        <v>1195</v>
      </c>
      <c r="B620" s="192"/>
      <c r="C620" s="191" t="s">
        <v>3625</v>
      </c>
      <c r="D620" s="192">
        <v>6</v>
      </c>
      <c r="E620" s="192" t="s">
        <v>52</v>
      </c>
      <c r="F620" s="193">
        <v>1000000</v>
      </c>
      <c r="G620" s="45">
        <f>ROUNDDOWN(D620*F620,-3)</f>
        <v>6000000</v>
      </c>
      <c r="H620" s="165">
        <v>12000000</v>
      </c>
      <c r="I620" s="150" t="s">
        <v>557</v>
      </c>
      <c r="J620" s="149" t="s">
        <v>3559</v>
      </c>
      <c r="K620" s="149" t="s">
        <v>3571</v>
      </c>
      <c r="L620" s="171">
        <f t="shared" si="13"/>
        <v>-6000000</v>
      </c>
    </row>
    <row r="621" spans="1:12" x14ac:dyDescent="0.25">
      <c r="A621" s="7" t="s">
        <v>1196</v>
      </c>
      <c r="B621" s="61"/>
      <c r="C621" s="44" t="s">
        <v>3841</v>
      </c>
      <c r="D621" s="61">
        <v>6</v>
      </c>
      <c r="E621" s="61" t="s">
        <v>52</v>
      </c>
      <c r="F621" s="45">
        <v>1000000</v>
      </c>
      <c r="G621" s="45">
        <f>ROUNDDOWN(D621*F621,-3)</f>
        <v>6000000</v>
      </c>
      <c r="H621" s="168">
        <v>6000000</v>
      </c>
      <c r="I621" s="150" t="s">
        <v>557</v>
      </c>
      <c r="J621" s="149" t="s">
        <v>3559</v>
      </c>
      <c r="K621" s="149" t="s">
        <v>3571</v>
      </c>
      <c r="L621" s="171">
        <f t="shared" si="13"/>
        <v>0</v>
      </c>
    </row>
    <row r="622" spans="1:12" x14ac:dyDescent="0.25">
      <c r="A622" s="7" t="s">
        <v>1198</v>
      </c>
      <c r="B622" s="60">
        <v>522151</v>
      </c>
      <c r="C622" s="41" t="s">
        <v>11</v>
      </c>
      <c r="D622" s="60"/>
      <c r="E622" s="60"/>
      <c r="F622" s="42"/>
      <c r="G622" s="42">
        <v>4000000</v>
      </c>
      <c r="H622" s="168">
        <v>6000000</v>
      </c>
      <c r="I622" s="150" t="s">
        <v>557</v>
      </c>
      <c r="J622" s="149" t="s">
        <v>3559</v>
      </c>
      <c r="K622" s="149" t="s">
        <v>3571</v>
      </c>
      <c r="L622" s="171">
        <f t="shared" si="13"/>
        <v>-2000000</v>
      </c>
    </row>
    <row r="623" spans="1:12" x14ac:dyDescent="0.25">
      <c r="A623" s="7" t="s">
        <v>1199</v>
      </c>
      <c r="B623" s="192"/>
      <c r="C623" s="191" t="s">
        <v>3715</v>
      </c>
      <c r="D623" s="192">
        <v>4</v>
      </c>
      <c r="E623" s="192" t="s">
        <v>54</v>
      </c>
      <c r="F623" s="193">
        <v>1000000</v>
      </c>
      <c r="G623" s="45">
        <f>ROUNDDOWN(D623*F623,-3)</f>
        <v>4000000</v>
      </c>
      <c r="H623" s="165">
        <v>4000000</v>
      </c>
      <c r="I623" s="150" t="s">
        <v>557</v>
      </c>
      <c r="J623" s="149" t="s">
        <v>3559</v>
      </c>
      <c r="K623" s="149" t="s">
        <v>3571</v>
      </c>
      <c r="L623" s="171">
        <f t="shared" si="13"/>
        <v>0</v>
      </c>
    </row>
    <row r="624" spans="1:12" x14ac:dyDescent="0.25">
      <c r="A624" s="7" t="s">
        <v>1200</v>
      </c>
      <c r="B624" s="60">
        <v>524111</v>
      </c>
      <c r="C624" s="41" t="s">
        <v>19</v>
      </c>
      <c r="D624" s="60"/>
      <c r="E624" s="60"/>
      <c r="F624" s="42"/>
      <c r="G624" s="42">
        <v>115380000</v>
      </c>
      <c r="H624" s="168">
        <v>4000000</v>
      </c>
      <c r="I624" s="150" t="s">
        <v>557</v>
      </c>
      <c r="J624" s="149" t="s">
        <v>3559</v>
      </c>
      <c r="K624" s="149" t="s">
        <v>3571</v>
      </c>
      <c r="L624" s="171">
        <f t="shared" si="13"/>
        <v>111380000</v>
      </c>
    </row>
    <row r="625" spans="1:12" x14ac:dyDescent="0.25">
      <c r="A625" s="7" t="s">
        <v>1201</v>
      </c>
      <c r="B625" s="192"/>
      <c r="C625" s="191" t="s">
        <v>3842</v>
      </c>
      <c r="D625" s="192">
        <v>20</v>
      </c>
      <c r="E625" s="192" t="s">
        <v>25</v>
      </c>
      <c r="F625" s="193">
        <v>5769000</v>
      </c>
      <c r="G625" s="45">
        <f>ROUNDDOWN(D625*F625,-3)</f>
        <v>115380000</v>
      </c>
      <c r="H625" s="165">
        <v>115380000</v>
      </c>
      <c r="I625" s="150" t="s">
        <v>557</v>
      </c>
      <c r="J625" s="149" t="s">
        <v>3559</v>
      </c>
      <c r="K625" s="149" t="s">
        <v>3571</v>
      </c>
      <c r="L625" s="171">
        <f t="shared" si="13"/>
        <v>0</v>
      </c>
    </row>
    <row r="626" spans="1:12" x14ac:dyDescent="0.25">
      <c r="A626" s="7" t="s">
        <v>1203</v>
      </c>
      <c r="B626" s="138" t="s">
        <v>3843</v>
      </c>
      <c r="C626" s="137" t="s">
        <v>1205</v>
      </c>
      <c r="D626" s="138">
        <v>1</v>
      </c>
      <c r="E626" s="138" t="s">
        <v>3740</v>
      </c>
      <c r="F626" s="139"/>
      <c r="G626" s="139">
        <v>600000000</v>
      </c>
      <c r="H626" s="168">
        <v>115380000</v>
      </c>
      <c r="I626" s="150" t="s">
        <v>557</v>
      </c>
      <c r="J626" s="149" t="s">
        <v>3559</v>
      </c>
      <c r="K626" s="149" t="s">
        <v>3571</v>
      </c>
      <c r="L626" s="171">
        <f t="shared" si="13"/>
        <v>484620000</v>
      </c>
    </row>
    <row r="627" spans="1:12" x14ac:dyDescent="0.25">
      <c r="A627" s="7" t="s">
        <v>1206</v>
      </c>
      <c r="B627" s="58">
        <v>101</v>
      </c>
      <c r="C627" s="35" t="s">
        <v>1205</v>
      </c>
      <c r="D627" s="58">
        <v>0</v>
      </c>
      <c r="E627" s="58"/>
      <c r="F627" s="36"/>
      <c r="G627" s="36">
        <v>300000000</v>
      </c>
      <c r="H627" s="165">
        <v>600000000</v>
      </c>
      <c r="I627" s="150" t="s">
        <v>3552</v>
      </c>
      <c r="J627" s="149" t="s">
        <v>3562</v>
      </c>
      <c r="K627" s="149" t="s">
        <v>3581</v>
      </c>
      <c r="L627" s="171">
        <f t="shared" si="13"/>
        <v>-300000000</v>
      </c>
    </row>
    <row r="628" spans="1:12" x14ac:dyDescent="0.25">
      <c r="A628" s="7" t="s">
        <v>1207</v>
      </c>
      <c r="B628" s="59" t="s">
        <v>8</v>
      </c>
      <c r="C628" s="38" t="s">
        <v>159</v>
      </c>
      <c r="D628" s="59"/>
      <c r="E628" s="59"/>
      <c r="F628" s="39"/>
      <c r="G628" s="39">
        <v>154800000</v>
      </c>
      <c r="H628" s="165">
        <v>300000000</v>
      </c>
      <c r="I628" s="150" t="s">
        <v>3552</v>
      </c>
      <c r="J628" s="149" t="s">
        <v>3562</v>
      </c>
      <c r="K628" s="149" t="s">
        <v>3581</v>
      </c>
      <c r="L628" s="171">
        <f t="shared" si="13"/>
        <v>-145200000</v>
      </c>
    </row>
    <row r="629" spans="1:12" x14ac:dyDescent="0.25">
      <c r="A629" s="7" t="s">
        <v>1208</v>
      </c>
      <c r="B629" s="60">
        <v>521211</v>
      </c>
      <c r="C629" s="41" t="s">
        <v>7</v>
      </c>
      <c r="D629" s="60"/>
      <c r="E629" s="60"/>
      <c r="F629" s="42"/>
      <c r="G629" s="42">
        <v>10000000</v>
      </c>
      <c r="H629" s="165">
        <v>154800000</v>
      </c>
      <c r="I629" s="150" t="s">
        <v>3552</v>
      </c>
      <c r="J629" s="149" t="s">
        <v>3562</v>
      </c>
      <c r="K629" s="149" t="s">
        <v>3581</v>
      </c>
      <c r="L629" s="171">
        <f t="shared" si="13"/>
        <v>-144800000</v>
      </c>
    </row>
    <row r="630" spans="1:12" ht="26.4" x14ac:dyDescent="0.25">
      <c r="A630" s="7" t="s">
        <v>1209</v>
      </c>
      <c r="B630" s="192"/>
      <c r="C630" s="191" t="s">
        <v>3844</v>
      </c>
      <c r="D630" s="192">
        <v>10</v>
      </c>
      <c r="E630" s="192" t="s">
        <v>52</v>
      </c>
      <c r="F630" s="193">
        <v>1000000</v>
      </c>
      <c r="G630" s="45">
        <f>ROUNDDOWN(D630*F630,-3)</f>
        <v>10000000</v>
      </c>
      <c r="H630" s="165">
        <v>10000000</v>
      </c>
      <c r="I630" s="150" t="s">
        <v>3552</v>
      </c>
      <c r="J630" s="149" t="s">
        <v>3562</v>
      </c>
      <c r="K630" s="149" t="s">
        <v>3581</v>
      </c>
      <c r="L630" s="171">
        <f t="shared" si="13"/>
        <v>0</v>
      </c>
    </row>
    <row r="631" spans="1:12" ht="26.4" x14ac:dyDescent="0.25">
      <c r="A631" s="7" t="s">
        <v>1211</v>
      </c>
      <c r="B631" s="60">
        <v>521241</v>
      </c>
      <c r="C631" s="41" t="s">
        <v>642</v>
      </c>
      <c r="D631" s="60"/>
      <c r="E631" s="60"/>
      <c r="F631" s="42"/>
      <c r="G631" s="42">
        <v>3600000</v>
      </c>
      <c r="H631" s="165">
        <v>10000000</v>
      </c>
      <c r="I631" s="150" t="s">
        <v>3552</v>
      </c>
      <c r="J631" s="149" t="s">
        <v>3562</v>
      </c>
      <c r="K631" s="149" t="s">
        <v>3581</v>
      </c>
      <c r="L631" s="171">
        <f t="shared" si="13"/>
        <v>-6400000</v>
      </c>
    </row>
    <row r="632" spans="1:12" ht="26.4" x14ac:dyDescent="0.25">
      <c r="A632" s="7" t="s">
        <v>1212</v>
      </c>
      <c r="B632" s="192"/>
      <c r="C632" s="191" t="s">
        <v>3806</v>
      </c>
      <c r="D632" s="192">
        <v>12</v>
      </c>
      <c r="E632" s="192" t="s">
        <v>52</v>
      </c>
      <c r="F632" s="193">
        <v>300000</v>
      </c>
      <c r="G632" s="45">
        <f>ROUNDDOWN(D632*F632,-3)</f>
        <v>3600000</v>
      </c>
      <c r="H632" s="165">
        <v>3600000</v>
      </c>
      <c r="I632" s="150" t="s">
        <v>3552</v>
      </c>
      <c r="J632" s="149" t="s">
        <v>3562</v>
      </c>
      <c r="K632" s="149" t="s">
        <v>3581</v>
      </c>
      <c r="L632" s="171">
        <f t="shared" si="13"/>
        <v>0</v>
      </c>
    </row>
    <row r="633" spans="1:12" x14ac:dyDescent="0.25">
      <c r="A633" s="7" t="s">
        <v>1213</v>
      </c>
      <c r="B633" s="60">
        <v>521811</v>
      </c>
      <c r="C633" s="41" t="s">
        <v>64</v>
      </c>
      <c r="D633" s="60"/>
      <c r="E633" s="60"/>
      <c r="F633" s="42"/>
      <c r="G633" s="42">
        <v>20000000</v>
      </c>
      <c r="H633" s="165">
        <v>3600000</v>
      </c>
      <c r="I633" s="150" t="s">
        <v>3552</v>
      </c>
      <c r="J633" s="149" t="s">
        <v>3562</v>
      </c>
      <c r="K633" s="149" t="s">
        <v>3581</v>
      </c>
      <c r="L633" s="171">
        <f t="shared" si="13"/>
        <v>16400000</v>
      </c>
    </row>
    <row r="634" spans="1:12" x14ac:dyDescent="0.25">
      <c r="A634" s="7" t="s">
        <v>1214</v>
      </c>
      <c r="B634" s="192"/>
      <c r="C634" s="191" t="s">
        <v>3625</v>
      </c>
      <c r="D634" s="192">
        <v>10</v>
      </c>
      <c r="E634" s="192" t="s">
        <v>52</v>
      </c>
      <c r="F634" s="193">
        <v>1000000</v>
      </c>
      <c r="G634" s="45">
        <f>ROUNDDOWN(D634*F634,-3)</f>
        <v>10000000</v>
      </c>
      <c r="H634" s="165">
        <v>20000000</v>
      </c>
      <c r="I634" s="150" t="s">
        <v>3552</v>
      </c>
      <c r="J634" s="149" t="s">
        <v>3562</v>
      </c>
      <c r="K634" s="149" t="s">
        <v>3581</v>
      </c>
      <c r="L634" s="171">
        <f t="shared" si="13"/>
        <v>-10000000</v>
      </c>
    </row>
    <row r="635" spans="1:12" x14ac:dyDescent="0.25">
      <c r="A635" s="7" t="s">
        <v>1215</v>
      </c>
      <c r="B635" s="61"/>
      <c r="C635" s="44" t="s">
        <v>3841</v>
      </c>
      <c r="D635" s="61">
        <v>10</v>
      </c>
      <c r="E635" s="61" t="s">
        <v>52</v>
      </c>
      <c r="F635" s="45">
        <v>1000000</v>
      </c>
      <c r="G635" s="45">
        <f>ROUNDDOWN(D635*F635,-3)</f>
        <v>10000000</v>
      </c>
      <c r="H635" s="165">
        <v>10000000</v>
      </c>
      <c r="I635" s="150" t="s">
        <v>3552</v>
      </c>
      <c r="J635" s="149" t="s">
        <v>3562</v>
      </c>
      <c r="K635" s="149" t="s">
        <v>3581</v>
      </c>
      <c r="L635" s="171">
        <f t="shared" si="13"/>
        <v>0</v>
      </c>
    </row>
    <row r="636" spans="1:12" x14ac:dyDescent="0.25">
      <c r="A636" s="7" t="s">
        <v>1216</v>
      </c>
      <c r="B636" s="60">
        <v>522151</v>
      </c>
      <c r="C636" s="41" t="s">
        <v>11</v>
      </c>
      <c r="D636" s="60"/>
      <c r="E636" s="60"/>
      <c r="F636" s="42"/>
      <c r="G636" s="42">
        <v>2000000</v>
      </c>
      <c r="H636" s="165">
        <v>10000000</v>
      </c>
      <c r="I636" s="150" t="s">
        <v>3552</v>
      </c>
      <c r="J636" s="149" t="s">
        <v>3562</v>
      </c>
      <c r="K636" s="149" t="s">
        <v>3581</v>
      </c>
      <c r="L636" s="171">
        <f t="shared" si="13"/>
        <v>-8000000</v>
      </c>
    </row>
    <row r="637" spans="1:12" x14ac:dyDescent="0.25">
      <c r="A637" s="7" t="s">
        <v>1217</v>
      </c>
      <c r="B637" s="192"/>
      <c r="C637" s="191" t="s">
        <v>3845</v>
      </c>
      <c r="D637" s="192">
        <v>2</v>
      </c>
      <c r="E637" s="192" t="s">
        <v>54</v>
      </c>
      <c r="F637" s="193">
        <v>1000000</v>
      </c>
      <c r="G637" s="45">
        <f>ROUNDDOWN(D637*F637,-3)</f>
        <v>2000000</v>
      </c>
      <c r="H637" s="165">
        <v>2000000</v>
      </c>
      <c r="I637" s="150" t="s">
        <v>3552</v>
      </c>
      <c r="J637" s="149" t="s">
        <v>3562</v>
      </c>
      <c r="K637" s="149" t="s">
        <v>3581</v>
      </c>
      <c r="L637" s="171">
        <f t="shared" si="13"/>
        <v>0</v>
      </c>
    </row>
    <row r="638" spans="1:12" x14ac:dyDescent="0.25">
      <c r="A638" s="7" t="s">
        <v>1219</v>
      </c>
      <c r="B638" s="60">
        <v>524111</v>
      </c>
      <c r="C638" s="41" t="s">
        <v>19</v>
      </c>
      <c r="D638" s="60"/>
      <c r="E638" s="60"/>
      <c r="F638" s="42"/>
      <c r="G638" s="42">
        <v>113800000</v>
      </c>
      <c r="H638" s="165">
        <v>2000000</v>
      </c>
      <c r="I638" s="150" t="s">
        <v>3552</v>
      </c>
      <c r="J638" s="149" t="s">
        <v>3562</v>
      </c>
      <c r="K638" s="149" t="s">
        <v>3581</v>
      </c>
      <c r="L638" s="171">
        <f t="shared" si="13"/>
        <v>111800000</v>
      </c>
    </row>
    <row r="639" spans="1:12" ht="39.6" x14ac:dyDescent="0.25">
      <c r="A639" s="7" t="s">
        <v>1220</v>
      </c>
      <c r="B639" s="192"/>
      <c r="C639" s="191" t="s">
        <v>3846</v>
      </c>
      <c r="D639" s="192">
        <v>20</v>
      </c>
      <c r="E639" s="192" t="s">
        <v>25</v>
      </c>
      <c r="F639" s="193">
        <v>5690000</v>
      </c>
      <c r="G639" s="45">
        <f>ROUNDDOWN(D639*F639,-3)</f>
        <v>113800000</v>
      </c>
      <c r="H639" s="165">
        <v>113800000</v>
      </c>
      <c r="I639" s="150" t="s">
        <v>3552</v>
      </c>
      <c r="J639" s="149" t="s">
        <v>3562</v>
      </c>
      <c r="K639" s="149" t="s">
        <v>3581</v>
      </c>
      <c r="L639" s="171">
        <f t="shared" si="13"/>
        <v>0</v>
      </c>
    </row>
    <row r="640" spans="1:12" x14ac:dyDescent="0.25">
      <c r="A640" s="7" t="s">
        <v>1222</v>
      </c>
      <c r="B640" s="60">
        <v>524114</v>
      </c>
      <c r="C640" s="41" t="s">
        <v>14</v>
      </c>
      <c r="D640" s="60"/>
      <c r="E640" s="60"/>
      <c r="F640" s="42"/>
      <c r="G640" s="42">
        <v>5400000</v>
      </c>
      <c r="H640" s="165">
        <v>113800000</v>
      </c>
      <c r="I640" s="150" t="s">
        <v>3552</v>
      </c>
      <c r="J640" s="149" t="s">
        <v>3562</v>
      </c>
      <c r="K640" s="149" t="s">
        <v>3581</v>
      </c>
      <c r="L640" s="171">
        <f t="shared" si="13"/>
        <v>-108400000</v>
      </c>
    </row>
    <row r="641" spans="1:12" x14ac:dyDescent="0.25">
      <c r="A641" s="7" t="s">
        <v>1223</v>
      </c>
      <c r="B641" s="192"/>
      <c r="C641" s="191" t="s">
        <v>3847</v>
      </c>
      <c r="D641" s="192">
        <v>15</v>
      </c>
      <c r="E641" s="192" t="s">
        <v>25</v>
      </c>
      <c r="F641" s="193">
        <v>210000</v>
      </c>
      <c r="G641" s="45">
        <f>ROUNDDOWN(D641*F641,-3)</f>
        <v>3150000</v>
      </c>
      <c r="H641" s="165">
        <v>5400000</v>
      </c>
      <c r="I641" s="150" t="s">
        <v>3552</v>
      </c>
      <c r="J641" s="149" t="s">
        <v>3562</v>
      </c>
      <c r="K641" s="149" t="s">
        <v>3581</v>
      </c>
      <c r="L641" s="171">
        <f t="shared" si="13"/>
        <v>-2250000</v>
      </c>
    </row>
    <row r="642" spans="1:12" x14ac:dyDescent="0.25">
      <c r="A642" s="7" t="s">
        <v>1225</v>
      </c>
      <c r="B642" s="61"/>
      <c r="C642" s="44" t="s">
        <v>3787</v>
      </c>
      <c r="D642" s="61">
        <v>15</v>
      </c>
      <c r="E642" s="61" t="s">
        <v>73</v>
      </c>
      <c r="F642" s="45">
        <v>150000</v>
      </c>
      <c r="G642" s="45">
        <f>ROUNDDOWN(D642*F642,-3)</f>
        <v>2250000</v>
      </c>
      <c r="H642" s="165">
        <v>3150000</v>
      </c>
      <c r="I642" s="150" t="s">
        <v>3552</v>
      </c>
      <c r="J642" s="149" t="s">
        <v>3562</v>
      </c>
      <c r="K642" s="149" t="s">
        <v>3581</v>
      </c>
      <c r="L642" s="171">
        <f t="shared" si="13"/>
        <v>-900000</v>
      </c>
    </row>
    <row r="643" spans="1:12" x14ac:dyDescent="0.25">
      <c r="A643" s="7" t="s">
        <v>1226</v>
      </c>
      <c r="B643" s="59" t="s">
        <v>511</v>
      </c>
      <c r="C643" s="38" t="s">
        <v>160</v>
      </c>
      <c r="D643" s="59"/>
      <c r="E643" s="59"/>
      <c r="F643" s="39"/>
      <c r="G643" s="39">
        <v>145200000</v>
      </c>
      <c r="H643" s="165">
        <v>2250000</v>
      </c>
      <c r="I643" s="150" t="s">
        <v>3552</v>
      </c>
      <c r="J643" s="149" t="s">
        <v>3562</v>
      </c>
      <c r="K643" s="149" t="s">
        <v>3581</v>
      </c>
      <c r="L643" s="171">
        <f t="shared" si="13"/>
        <v>142950000</v>
      </c>
    </row>
    <row r="644" spans="1:12" x14ac:dyDescent="0.25">
      <c r="A644" s="7" t="s">
        <v>1227</v>
      </c>
      <c r="B644" s="60">
        <v>521211</v>
      </c>
      <c r="C644" s="41" t="s">
        <v>7</v>
      </c>
      <c r="D644" s="60"/>
      <c r="E644" s="60"/>
      <c r="F644" s="42"/>
      <c r="G644" s="42">
        <v>10000000</v>
      </c>
      <c r="H644" s="165">
        <v>145200000</v>
      </c>
      <c r="I644" s="150" t="s">
        <v>3552</v>
      </c>
      <c r="J644" s="149" t="s">
        <v>3562</v>
      </c>
      <c r="K644" s="149" t="s">
        <v>3581</v>
      </c>
      <c r="L644" s="171">
        <f t="shared" si="13"/>
        <v>-135200000</v>
      </c>
    </row>
    <row r="645" spans="1:12" ht="26.4" x14ac:dyDescent="0.25">
      <c r="A645" s="7" t="s">
        <v>1228</v>
      </c>
      <c r="B645" s="192"/>
      <c r="C645" s="191" t="s">
        <v>3848</v>
      </c>
      <c r="D645" s="192">
        <v>10</v>
      </c>
      <c r="E645" s="192" t="s">
        <v>52</v>
      </c>
      <c r="F645" s="193">
        <v>1000000</v>
      </c>
      <c r="G645" s="45">
        <f>ROUNDDOWN(D645*F645,-3)</f>
        <v>10000000</v>
      </c>
      <c r="H645" s="165">
        <v>10000000</v>
      </c>
      <c r="I645" s="150" t="s">
        <v>3552</v>
      </c>
      <c r="J645" s="149" t="s">
        <v>3562</v>
      </c>
      <c r="K645" s="149" t="s">
        <v>3581</v>
      </c>
      <c r="L645" s="171">
        <f t="shared" si="13"/>
        <v>0</v>
      </c>
    </row>
    <row r="646" spans="1:12" x14ac:dyDescent="0.25">
      <c r="A646" s="7" t="s">
        <v>1230</v>
      </c>
      <c r="B646" s="60">
        <v>521811</v>
      </c>
      <c r="C646" s="41" t="s">
        <v>64</v>
      </c>
      <c r="D646" s="60"/>
      <c r="E646" s="60"/>
      <c r="F646" s="42"/>
      <c r="G646" s="42">
        <v>20000000</v>
      </c>
      <c r="H646" s="165">
        <v>10000000</v>
      </c>
      <c r="I646" s="150" t="s">
        <v>3552</v>
      </c>
      <c r="J646" s="149" t="s">
        <v>3562</v>
      </c>
      <c r="K646" s="149" t="s">
        <v>3581</v>
      </c>
      <c r="L646" s="171">
        <f t="shared" si="13"/>
        <v>10000000</v>
      </c>
    </row>
    <row r="647" spans="1:12" x14ac:dyDescent="0.25">
      <c r="A647" s="7" t="s">
        <v>1231</v>
      </c>
      <c r="B647" s="192"/>
      <c r="C647" s="191" t="s">
        <v>3625</v>
      </c>
      <c r="D647" s="192">
        <v>10</v>
      </c>
      <c r="E647" s="192" t="s">
        <v>52</v>
      </c>
      <c r="F647" s="193">
        <v>1000000</v>
      </c>
      <c r="G647" s="45">
        <f>ROUNDDOWN(D647*F647,-3)</f>
        <v>10000000</v>
      </c>
      <c r="H647" s="165">
        <v>20000000</v>
      </c>
      <c r="I647" s="150" t="s">
        <v>3552</v>
      </c>
      <c r="J647" s="149" t="s">
        <v>3562</v>
      </c>
      <c r="K647" s="149" t="s">
        <v>3581</v>
      </c>
      <c r="L647" s="171">
        <f t="shared" si="13"/>
        <v>-10000000</v>
      </c>
    </row>
    <row r="648" spans="1:12" x14ac:dyDescent="0.25">
      <c r="A648" s="7" t="s">
        <v>1232</v>
      </c>
      <c r="B648" s="61"/>
      <c r="C648" s="44" t="s">
        <v>3841</v>
      </c>
      <c r="D648" s="61">
        <v>10</v>
      </c>
      <c r="E648" s="61" t="s">
        <v>52</v>
      </c>
      <c r="F648" s="45">
        <v>1000000</v>
      </c>
      <c r="G648" s="45">
        <f>ROUNDDOWN(D648*F648,-3)</f>
        <v>10000000</v>
      </c>
      <c r="H648" s="165">
        <v>10000000</v>
      </c>
      <c r="I648" s="150" t="s">
        <v>3552</v>
      </c>
      <c r="J648" s="149" t="s">
        <v>3562</v>
      </c>
      <c r="K648" s="149" t="s">
        <v>3581</v>
      </c>
      <c r="L648" s="171">
        <f t="shared" si="13"/>
        <v>0</v>
      </c>
    </row>
    <row r="649" spans="1:12" x14ac:dyDescent="0.25">
      <c r="A649" s="7" t="s">
        <v>1233</v>
      </c>
      <c r="B649" s="60">
        <v>522151</v>
      </c>
      <c r="C649" s="41" t="s">
        <v>11</v>
      </c>
      <c r="D649" s="60"/>
      <c r="E649" s="60"/>
      <c r="F649" s="42"/>
      <c r="G649" s="42">
        <v>3800000</v>
      </c>
      <c r="H649" s="165">
        <v>10000000</v>
      </c>
      <c r="I649" s="150" t="s">
        <v>3552</v>
      </c>
      <c r="J649" s="149" t="s">
        <v>3562</v>
      </c>
      <c r="K649" s="149" t="s">
        <v>3581</v>
      </c>
      <c r="L649" s="171">
        <f t="shared" si="13"/>
        <v>-6200000</v>
      </c>
    </row>
    <row r="650" spans="1:12" x14ac:dyDescent="0.25">
      <c r="A650" s="7" t="s">
        <v>1234</v>
      </c>
      <c r="B650" s="192"/>
      <c r="C650" s="191" t="s">
        <v>3845</v>
      </c>
      <c r="D650" s="192">
        <v>2</v>
      </c>
      <c r="E650" s="192" t="s">
        <v>54</v>
      </c>
      <c r="F650" s="193">
        <v>1000000</v>
      </c>
      <c r="G650" s="45">
        <f>ROUNDDOWN(D650*F650,-3)</f>
        <v>2000000</v>
      </c>
      <c r="H650" s="165">
        <v>3800000</v>
      </c>
      <c r="I650" s="150" t="s">
        <v>3552</v>
      </c>
      <c r="J650" s="149" t="s">
        <v>3562</v>
      </c>
      <c r="K650" s="149" t="s">
        <v>3581</v>
      </c>
      <c r="L650" s="171">
        <f t="shared" si="13"/>
        <v>-1800000</v>
      </c>
    </row>
    <row r="651" spans="1:12" x14ac:dyDescent="0.25">
      <c r="A651" s="7" t="s">
        <v>1235</v>
      </c>
      <c r="B651" s="61"/>
      <c r="C651" s="44" t="s">
        <v>3849</v>
      </c>
      <c r="D651" s="61">
        <v>2</v>
      </c>
      <c r="E651" s="61" t="s">
        <v>54</v>
      </c>
      <c r="F651" s="45">
        <v>900000</v>
      </c>
      <c r="G651" s="45">
        <f>ROUNDDOWN(D651*F651,-3)</f>
        <v>1800000</v>
      </c>
      <c r="H651" s="165">
        <v>2000000</v>
      </c>
      <c r="I651" s="150" t="s">
        <v>3552</v>
      </c>
      <c r="J651" s="149" t="s">
        <v>3562</v>
      </c>
      <c r="K651" s="149" t="s">
        <v>3581</v>
      </c>
      <c r="L651" s="171">
        <f t="shared" si="13"/>
        <v>-200000</v>
      </c>
    </row>
    <row r="652" spans="1:12" x14ac:dyDescent="0.25">
      <c r="A652" s="7" t="s">
        <v>1237</v>
      </c>
      <c r="B652" s="60">
        <v>524111</v>
      </c>
      <c r="C652" s="41" t="s">
        <v>19</v>
      </c>
      <c r="D652" s="60"/>
      <c r="E652" s="60"/>
      <c r="F652" s="42"/>
      <c r="G652" s="42">
        <v>106000000</v>
      </c>
      <c r="H652" s="165">
        <v>1800000</v>
      </c>
      <c r="I652" s="150" t="s">
        <v>3552</v>
      </c>
      <c r="J652" s="149" t="s">
        <v>3562</v>
      </c>
      <c r="K652" s="149" t="s">
        <v>3581</v>
      </c>
      <c r="L652" s="171">
        <f t="shared" si="13"/>
        <v>104200000</v>
      </c>
    </row>
    <row r="653" spans="1:12" ht="39.6" x14ac:dyDescent="0.25">
      <c r="A653" s="7" t="s">
        <v>1238</v>
      </c>
      <c r="B653" s="192"/>
      <c r="C653" s="191" t="s">
        <v>3850</v>
      </c>
      <c r="D653" s="192">
        <v>25</v>
      </c>
      <c r="E653" s="192" t="s">
        <v>25</v>
      </c>
      <c r="F653" s="193">
        <v>4240000</v>
      </c>
      <c r="G653" s="45">
        <f>ROUNDDOWN(D653*F653,-3)</f>
        <v>106000000</v>
      </c>
      <c r="H653" s="165">
        <v>106000000</v>
      </c>
      <c r="I653" s="150" t="s">
        <v>3552</v>
      </c>
      <c r="J653" s="149" t="s">
        <v>3562</v>
      </c>
      <c r="K653" s="149" t="s">
        <v>3581</v>
      </c>
      <c r="L653" s="171">
        <f t="shared" si="13"/>
        <v>0</v>
      </c>
    </row>
    <row r="654" spans="1:12" x14ac:dyDescent="0.25">
      <c r="A654" s="7" t="s">
        <v>1240</v>
      </c>
      <c r="B654" s="60">
        <v>524114</v>
      </c>
      <c r="C654" s="41" t="s">
        <v>14</v>
      </c>
      <c r="D654" s="60"/>
      <c r="E654" s="60"/>
      <c r="F654" s="42"/>
      <c r="G654" s="42">
        <v>5400000</v>
      </c>
      <c r="H654" s="165">
        <v>106000000</v>
      </c>
      <c r="I654" s="150" t="s">
        <v>3552</v>
      </c>
      <c r="J654" s="149" t="s">
        <v>3562</v>
      </c>
      <c r="K654" s="149" t="s">
        <v>3581</v>
      </c>
      <c r="L654" s="171">
        <f t="shared" ref="L654:L717" si="14">G654-H654</f>
        <v>-100600000</v>
      </c>
    </row>
    <row r="655" spans="1:12" x14ac:dyDescent="0.25">
      <c r="A655" s="7" t="s">
        <v>1241</v>
      </c>
      <c r="B655" s="192"/>
      <c r="C655" s="191" t="s">
        <v>3847</v>
      </c>
      <c r="D655" s="192">
        <v>15</v>
      </c>
      <c r="E655" s="192" t="s">
        <v>25</v>
      </c>
      <c r="F655" s="193">
        <v>210000</v>
      </c>
      <c r="G655" s="45">
        <f>ROUNDDOWN(D655*F655,-3)</f>
        <v>3150000</v>
      </c>
      <c r="H655" s="165">
        <v>5400000</v>
      </c>
      <c r="I655" s="150" t="s">
        <v>3552</v>
      </c>
      <c r="J655" s="149" t="s">
        <v>3562</v>
      </c>
      <c r="K655" s="149" t="s">
        <v>3581</v>
      </c>
      <c r="L655" s="171">
        <f t="shared" si="14"/>
        <v>-2250000</v>
      </c>
    </row>
    <row r="656" spans="1:12" x14ac:dyDescent="0.25">
      <c r="A656" s="7" t="s">
        <v>1242</v>
      </c>
      <c r="B656" s="61"/>
      <c r="C656" s="44" t="s">
        <v>3787</v>
      </c>
      <c r="D656" s="61">
        <v>15</v>
      </c>
      <c r="E656" s="61" t="s">
        <v>73</v>
      </c>
      <c r="F656" s="45">
        <v>150000</v>
      </c>
      <c r="G656" s="45">
        <f>ROUNDDOWN(D656*F656,-3)</f>
        <v>2250000</v>
      </c>
      <c r="H656" s="165">
        <v>3150000</v>
      </c>
      <c r="I656" s="150" t="s">
        <v>3552</v>
      </c>
      <c r="J656" s="149" t="s">
        <v>3562</v>
      </c>
      <c r="K656" s="149" t="s">
        <v>3581</v>
      </c>
      <c r="L656" s="171">
        <f t="shared" si="14"/>
        <v>-900000</v>
      </c>
    </row>
    <row r="657" spans="1:12" ht="26.4" x14ac:dyDescent="0.25">
      <c r="A657" s="7" t="s">
        <v>1243</v>
      </c>
      <c r="B657" s="58">
        <v>102</v>
      </c>
      <c r="C657" s="35" t="s">
        <v>1244</v>
      </c>
      <c r="D657" s="58">
        <v>0</v>
      </c>
      <c r="E657" s="58"/>
      <c r="F657" s="36"/>
      <c r="G657" s="36">
        <v>300000000</v>
      </c>
      <c r="H657" s="165">
        <v>2250000</v>
      </c>
      <c r="I657" s="150" t="s">
        <v>3552</v>
      </c>
      <c r="J657" s="149" t="s">
        <v>3562</v>
      </c>
      <c r="K657" s="149" t="s">
        <v>3581</v>
      </c>
      <c r="L657" s="171">
        <f t="shared" si="14"/>
        <v>297750000</v>
      </c>
    </row>
    <row r="658" spans="1:12" x14ac:dyDescent="0.25">
      <c r="A658" s="7" t="s">
        <v>1245</v>
      </c>
      <c r="B658" s="59" t="s">
        <v>8</v>
      </c>
      <c r="C658" s="38" t="s">
        <v>161</v>
      </c>
      <c r="D658" s="59"/>
      <c r="E658" s="59"/>
      <c r="F658" s="39"/>
      <c r="G658" s="39">
        <v>165000000</v>
      </c>
      <c r="H658" s="165">
        <v>300000000</v>
      </c>
      <c r="I658" s="150" t="s">
        <v>3552</v>
      </c>
      <c r="J658" s="149" t="s">
        <v>3562</v>
      </c>
      <c r="K658" s="149" t="s">
        <v>3581</v>
      </c>
      <c r="L658" s="171">
        <f t="shared" si="14"/>
        <v>-135000000</v>
      </c>
    </row>
    <row r="659" spans="1:12" x14ac:dyDescent="0.25">
      <c r="A659" s="7" t="s">
        <v>1246</v>
      </c>
      <c r="B659" s="60">
        <v>521211</v>
      </c>
      <c r="C659" s="41" t="s">
        <v>7</v>
      </c>
      <c r="D659" s="60"/>
      <c r="E659" s="60"/>
      <c r="F659" s="42"/>
      <c r="G659" s="42">
        <v>10000000</v>
      </c>
      <c r="H659" s="165">
        <v>165000000</v>
      </c>
      <c r="I659" s="150" t="s">
        <v>3552</v>
      </c>
      <c r="J659" s="149" t="s">
        <v>3562</v>
      </c>
      <c r="K659" s="149" t="s">
        <v>3581</v>
      </c>
      <c r="L659" s="171">
        <f t="shared" si="14"/>
        <v>-155000000</v>
      </c>
    </row>
    <row r="660" spans="1:12" ht="26.4" x14ac:dyDescent="0.25">
      <c r="A660" s="7" t="s">
        <v>1247</v>
      </c>
      <c r="B660" s="192"/>
      <c r="C660" s="191" t="s">
        <v>3851</v>
      </c>
      <c r="D660" s="192">
        <v>10</v>
      </c>
      <c r="E660" s="192" t="s">
        <v>52</v>
      </c>
      <c r="F660" s="193">
        <v>1000000</v>
      </c>
      <c r="G660" s="45">
        <f>ROUNDDOWN(D660*F660,-3)</f>
        <v>10000000</v>
      </c>
      <c r="H660" s="165">
        <v>10000000</v>
      </c>
      <c r="I660" s="150" t="s">
        <v>3552</v>
      </c>
      <c r="J660" s="149" t="s">
        <v>3562</v>
      </c>
      <c r="K660" s="149" t="s">
        <v>3581</v>
      </c>
      <c r="L660" s="171">
        <f t="shared" si="14"/>
        <v>0</v>
      </c>
    </row>
    <row r="661" spans="1:12" x14ac:dyDescent="0.25">
      <c r="A661" s="7" t="s">
        <v>1249</v>
      </c>
      <c r="B661" s="60">
        <v>521811</v>
      </c>
      <c r="C661" s="41" t="s">
        <v>64</v>
      </c>
      <c r="D661" s="60"/>
      <c r="E661" s="60"/>
      <c r="F661" s="42"/>
      <c r="G661" s="42">
        <v>20000000</v>
      </c>
      <c r="H661" s="165">
        <v>10000000</v>
      </c>
      <c r="I661" s="150" t="s">
        <v>3552</v>
      </c>
      <c r="J661" s="149" t="s">
        <v>3562</v>
      </c>
      <c r="K661" s="149" t="s">
        <v>3581</v>
      </c>
      <c r="L661" s="171">
        <f t="shared" si="14"/>
        <v>10000000</v>
      </c>
    </row>
    <row r="662" spans="1:12" x14ac:dyDescent="0.25">
      <c r="A662" s="7" t="s">
        <v>1250</v>
      </c>
      <c r="B662" s="192"/>
      <c r="C662" s="191" t="s">
        <v>3625</v>
      </c>
      <c r="D662" s="192">
        <v>10</v>
      </c>
      <c r="E662" s="192" t="s">
        <v>52</v>
      </c>
      <c r="F662" s="193">
        <v>1000000</v>
      </c>
      <c r="G662" s="45">
        <f>ROUNDDOWN(D662*F662,-3)</f>
        <v>10000000</v>
      </c>
      <c r="H662" s="165">
        <v>20000000</v>
      </c>
      <c r="I662" s="150" t="s">
        <v>3552</v>
      </c>
      <c r="J662" s="149" t="s">
        <v>3562</v>
      </c>
      <c r="K662" s="149" t="s">
        <v>3581</v>
      </c>
      <c r="L662" s="171">
        <f t="shared" si="14"/>
        <v>-10000000</v>
      </c>
    </row>
    <row r="663" spans="1:12" x14ac:dyDescent="0.25">
      <c r="A663" s="7" t="s">
        <v>1251</v>
      </c>
      <c r="B663" s="61"/>
      <c r="C663" s="44" t="s">
        <v>3841</v>
      </c>
      <c r="D663" s="61">
        <v>10</v>
      </c>
      <c r="E663" s="61" t="s">
        <v>52</v>
      </c>
      <c r="F663" s="45">
        <v>1000000</v>
      </c>
      <c r="G663" s="45">
        <f>ROUNDDOWN(D663*F663,-3)</f>
        <v>10000000</v>
      </c>
      <c r="H663" s="165">
        <v>10000000</v>
      </c>
      <c r="I663" s="150" t="s">
        <v>3552</v>
      </c>
      <c r="J663" s="149" t="s">
        <v>3562</v>
      </c>
      <c r="K663" s="149" t="s">
        <v>3581</v>
      </c>
      <c r="L663" s="171">
        <f t="shared" si="14"/>
        <v>0</v>
      </c>
    </row>
    <row r="664" spans="1:12" x14ac:dyDescent="0.25">
      <c r="A664" s="7" t="s">
        <v>1252</v>
      </c>
      <c r="B664" s="60">
        <v>524111</v>
      </c>
      <c r="C664" s="41" t="s">
        <v>19</v>
      </c>
      <c r="D664" s="60"/>
      <c r="E664" s="60"/>
      <c r="F664" s="42"/>
      <c r="G664" s="42">
        <v>135000000</v>
      </c>
      <c r="H664" s="165">
        <v>10000000</v>
      </c>
      <c r="I664" s="150" t="s">
        <v>3552</v>
      </c>
      <c r="J664" s="149" t="s">
        <v>3562</v>
      </c>
      <c r="K664" s="149" t="s">
        <v>3581</v>
      </c>
      <c r="L664" s="171">
        <f t="shared" si="14"/>
        <v>125000000</v>
      </c>
    </row>
    <row r="665" spans="1:12" ht="39.6" x14ac:dyDescent="0.25">
      <c r="A665" s="7" t="s">
        <v>1253</v>
      </c>
      <c r="B665" s="192"/>
      <c r="C665" s="191" t="s">
        <v>3852</v>
      </c>
      <c r="D665" s="192">
        <v>27</v>
      </c>
      <c r="E665" s="192" t="s">
        <v>25</v>
      </c>
      <c r="F665" s="193">
        <v>5000000</v>
      </c>
      <c r="G665" s="45">
        <f>ROUNDDOWN(D665*F665,-3)</f>
        <v>135000000</v>
      </c>
      <c r="H665" s="165">
        <v>135000000</v>
      </c>
      <c r="I665" s="150" t="s">
        <v>3552</v>
      </c>
      <c r="J665" s="149" t="s">
        <v>3562</v>
      </c>
      <c r="K665" s="149" t="s">
        <v>3581</v>
      </c>
      <c r="L665" s="171">
        <f t="shared" si="14"/>
        <v>0</v>
      </c>
    </row>
    <row r="666" spans="1:12" ht="26.4" x14ac:dyDescent="0.25">
      <c r="A666" s="7" t="s">
        <v>1255</v>
      </c>
      <c r="B666" s="59" t="s">
        <v>511</v>
      </c>
      <c r="C666" s="38" t="s">
        <v>1256</v>
      </c>
      <c r="D666" s="59"/>
      <c r="E666" s="59"/>
      <c r="F666" s="39"/>
      <c r="G666" s="39">
        <v>135000000</v>
      </c>
      <c r="H666" s="165">
        <v>135000000</v>
      </c>
      <c r="I666" s="150" t="s">
        <v>3552</v>
      </c>
      <c r="J666" s="149" t="s">
        <v>3562</v>
      </c>
      <c r="K666" s="149" t="s">
        <v>3581</v>
      </c>
      <c r="L666" s="171">
        <f t="shared" si="14"/>
        <v>0</v>
      </c>
    </row>
    <row r="667" spans="1:12" x14ac:dyDescent="0.25">
      <c r="A667" s="7" t="s">
        <v>1257</v>
      </c>
      <c r="B667" s="60">
        <v>521211</v>
      </c>
      <c r="C667" s="41" t="s">
        <v>7</v>
      </c>
      <c r="D667" s="60"/>
      <c r="E667" s="60"/>
      <c r="F667" s="42"/>
      <c r="G667" s="42">
        <v>10000000</v>
      </c>
      <c r="H667" s="165">
        <v>135000000</v>
      </c>
      <c r="I667" s="150" t="s">
        <v>3552</v>
      </c>
      <c r="J667" s="149" t="s">
        <v>3562</v>
      </c>
      <c r="K667" s="149" t="s">
        <v>3581</v>
      </c>
      <c r="L667" s="171">
        <f t="shared" si="14"/>
        <v>-125000000</v>
      </c>
    </row>
    <row r="668" spans="1:12" ht="26.4" x14ac:dyDescent="0.25">
      <c r="A668" s="7" t="s">
        <v>1258</v>
      </c>
      <c r="B668" s="192"/>
      <c r="C668" s="191" t="s">
        <v>3853</v>
      </c>
      <c r="D668" s="192">
        <v>10</v>
      </c>
      <c r="E668" s="192" t="s">
        <v>52</v>
      </c>
      <c r="F668" s="193">
        <v>1000000</v>
      </c>
      <c r="G668" s="45">
        <f>ROUNDDOWN(D668*F668,-3)</f>
        <v>10000000</v>
      </c>
      <c r="H668" s="165">
        <v>10000000</v>
      </c>
      <c r="I668" s="150" t="s">
        <v>3552</v>
      </c>
      <c r="J668" s="149" t="s">
        <v>3562</v>
      </c>
      <c r="K668" s="149" t="s">
        <v>3581</v>
      </c>
      <c r="L668" s="171">
        <f t="shared" si="14"/>
        <v>0</v>
      </c>
    </row>
    <row r="669" spans="1:12" x14ac:dyDescent="0.25">
      <c r="A669" s="7" t="s">
        <v>1260</v>
      </c>
      <c r="B669" s="60">
        <v>521811</v>
      </c>
      <c r="C669" s="41" t="s">
        <v>64</v>
      </c>
      <c r="D669" s="60"/>
      <c r="E669" s="60"/>
      <c r="F669" s="42"/>
      <c r="G669" s="42">
        <v>20000000</v>
      </c>
      <c r="H669" s="165">
        <v>10000000</v>
      </c>
      <c r="I669" s="150" t="s">
        <v>3552</v>
      </c>
      <c r="J669" s="149" t="s">
        <v>3562</v>
      </c>
      <c r="K669" s="149" t="s">
        <v>3581</v>
      </c>
      <c r="L669" s="171">
        <f t="shared" si="14"/>
        <v>10000000</v>
      </c>
    </row>
    <row r="670" spans="1:12" x14ac:dyDescent="0.25">
      <c r="A670" s="7" t="s">
        <v>1261</v>
      </c>
      <c r="B670" s="192"/>
      <c r="C670" s="191" t="s">
        <v>3625</v>
      </c>
      <c r="D670" s="192">
        <v>10</v>
      </c>
      <c r="E670" s="192" t="s">
        <v>52</v>
      </c>
      <c r="F670" s="193">
        <v>1000000</v>
      </c>
      <c r="G670" s="45">
        <f>ROUNDDOWN(D670*F670,-3)</f>
        <v>10000000</v>
      </c>
      <c r="H670" s="165">
        <v>20000000</v>
      </c>
      <c r="I670" s="150" t="s">
        <v>3552</v>
      </c>
      <c r="J670" s="149" t="s">
        <v>3562</v>
      </c>
      <c r="K670" s="149" t="s">
        <v>3581</v>
      </c>
      <c r="L670" s="171">
        <f t="shared" si="14"/>
        <v>-10000000</v>
      </c>
    </row>
    <row r="671" spans="1:12" x14ac:dyDescent="0.25">
      <c r="A671" s="7" t="s">
        <v>1262</v>
      </c>
      <c r="B671" s="61"/>
      <c r="C671" s="44" t="s">
        <v>3841</v>
      </c>
      <c r="D671" s="61">
        <v>10</v>
      </c>
      <c r="E671" s="61" t="s">
        <v>52</v>
      </c>
      <c r="F671" s="45">
        <v>1000000</v>
      </c>
      <c r="G671" s="45">
        <f>ROUNDDOWN(D671*F671,-3)</f>
        <v>10000000</v>
      </c>
      <c r="H671" s="165">
        <v>10000000</v>
      </c>
      <c r="I671" s="150" t="s">
        <v>3552</v>
      </c>
      <c r="J671" s="149" t="s">
        <v>3562</v>
      </c>
      <c r="K671" s="149" t="s">
        <v>3581</v>
      </c>
      <c r="L671" s="171">
        <f t="shared" si="14"/>
        <v>0</v>
      </c>
    </row>
    <row r="672" spans="1:12" x14ac:dyDescent="0.25">
      <c r="A672" s="7" t="s">
        <v>1263</v>
      </c>
      <c r="B672" s="60">
        <v>524111</v>
      </c>
      <c r="C672" s="41" t="s">
        <v>19</v>
      </c>
      <c r="D672" s="60"/>
      <c r="E672" s="60"/>
      <c r="F672" s="42"/>
      <c r="G672" s="42">
        <v>102600000</v>
      </c>
      <c r="H672" s="165">
        <v>10000000</v>
      </c>
      <c r="I672" s="150" t="s">
        <v>3552</v>
      </c>
      <c r="J672" s="149" t="s">
        <v>3562</v>
      </c>
      <c r="K672" s="149" t="s">
        <v>3581</v>
      </c>
      <c r="L672" s="171">
        <f t="shared" si="14"/>
        <v>92600000</v>
      </c>
    </row>
    <row r="673" spans="1:12" ht="39.6" x14ac:dyDescent="0.25">
      <c r="A673" s="7" t="s">
        <v>1264</v>
      </c>
      <c r="B673" s="192"/>
      <c r="C673" s="191" t="s">
        <v>3854</v>
      </c>
      <c r="D673" s="192">
        <v>20</v>
      </c>
      <c r="E673" s="192" t="s">
        <v>25</v>
      </c>
      <c r="F673" s="193">
        <v>5130000</v>
      </c>
      <c r="G673" s="45">
        <f>ROUNDDOWN(D673*F673,-3)</f>
        <v>102600000</v>
      </c>
      <c r="H673" s="165">
        <v>102600000</v>
      </c>
      <c r="I673" s="150" t="s">
        <v>3552</v>
      </c>
      <c r="J673" s="149" t="s">
        <v>3562</v>
      </c>
      <c r="K673" s="149" t="s">
        <v>3581</v>
      </c>
      <c r="L673" s="171">
        <f t="shared" si="14"/>
        <v>0</v>
      </c>
    </row>
    <row r="674" spans="1:12" x14ac:dyDescent="0.25">
      <c r="A674" s="7" t="s">
        <v>1266</v>
      </c>
      <c r="B674" s="60">
        <v>524114</v>
      </c>
      <c r="C674" s="41" t="s">
        <v>14</v>
      </c>
      <c r="D674" s="60"/>
      <c r="E674" s="60"/>
      <c r="F674" s="42"/>
      <c r="G674" s="42">
        <v>2400000</v>
      </c>
      <c r="H674" s="165">
        <v>102600000</v>
      </c>
      <c r="I674" s="150" t="s">
        <v>3552</v>
      </c>
      <c r="J674" s="149" t="s">
        <v>3562</v>
      </c>
      <c r="K674" s="149" t="s">
        <v>3581</v>
      </c>
      <c r="L674" s="171">
        <f t="shared" si="14"/>
        <v>-100200000</v>
      </c>
    </row>
    <row r="675" spans="1:12" x14ac:dyDescent="0.25">
      <c r="A675" s="7" t="s">
        <v>1267</v>
      </c>
      <c r="B675" s="192"/>
      <c r="C675" s="191" t="s">
        <v>3787</v>
      </c>
      <c r="D675" s="192">
        <v>16</v>
      </c>
      <c r="E675" s="192" t="s">
        <v>73</v>
      </c>
      <c r="F675" s="193">
        <v>150000</v>
      </c>
      <c r="G675" s="45">
        <f>ROUNDDOWN(D675*F675,-3)</f>
        <v>2400000</v>
      </c>
      <c r="H675" s="165">
        <v>2400000</v>
      </c>
      <c r="I675" s="150" t="s">
        <v>3552</v>
      </c>
      <c r="J675" s="149" t="s">
        <v>3562</v>
      </c>
      <c r="K675" s="149" t="s">
        <v>3581</v>
      </c>
      <c r="L675" s="171">
        <f t="shared" si="14"/>
        <v>0</v>
      </c>
    </row>
    <row r="676" spans="1:12" x14ac:dyDescent="0.25">
      <c r="A676" s="7" t="s">
        <v>1268</v>
      </c>
      <c r="B676" s="138" t="s">
        <v>3855</v>
      </c>
      <c r="C676" s="137" t="s">
        <v>1270</v>
      </c>
      <c r="D676" s="138">
        <v>1</v>
      </c>
      <c r="E676" s="138" t="s">
        <v>3740</v>
      </c>
      <c r="F676" s="139"/>
      <c r="G676" s="139">
        <v>5596502000</v>
      </c>
      <c r="H676" s="165">
        <v>2400000</v>
      </c>
      <c r="I676" s="150" t="s">
        <v>3552</v>
      </c>
      <c r="J676" s="149" t="s">
        <v>3562</v>
      </c>
      <c r="K676" s="149" t="s">
        <v>3581</v>
      </c>
      <c r="L676" s="171">
        <f t="shared" si="14"/>
        <v>5594102000</v>
      </c>
    </row>
    <row r="677" spans="1:12" ht="26.4" x14ac:dyDescent="0.25">
      <c r="A677" s="7" t="s">
        <v>1271</v>
      </c>
      <c r="B677" s="58">
        <v>101</v>
      </c>
      <c r="C677" s="35" t="s">
        <v>1272</v>
      </c>
      <c r="D677" s="58">
        <v>0</v>
      </c>
      <c r="E677" s="58"/>
      <c r="F677" s="36"/>
      <c r="G677" s="36">
        <v>2000000000</v>
      </c>
      <c r="H677" s="165">
        <v>5596502000</v>
      </c>
      <c r="I677" s="150"/>
      <c r="J677" s="149"/>
      <c r="K677" s="149"/>
      <c r="L677" s="171">
        <f t="shared" si="14"/>
        <v>-3596502000</v>
      </c>
    </row>
    <row r="678" spans="1:12" x14ac:dyDescent="0.25">
      <c r="A678" s="7" t="s">
        <v>1273</v>
      </c>
      <c r="B678" s="59" t="s">
        <v>8</v>
      </c>
      <c r="C678" s="38" t="s">
        <v>132</v>
      </c>
      <c r="D678" s="59"/>
      <c r="E678" s="59"/>
      <c r="F678" s="39"/>
      <c r="G678" s="39">
        <v>259650000</v>
      </c>
      <c r="H678" s="165">
        <v>2000000000</v>
      </c>
      <c r="I678" s="150" t="s">
        <v>3552</v>
      </c>
      <c r="J678" s="149" t="s">
        <v>3564</v>
      </c>
      <c r="K678" s="149" t="s">
        <v>3570</v>
      </c>
      <c r="L678" s="171">
        <f t="shared" si="14"/>
        <v>-1740350000</v>
      </c>
    </row>
    <row r="679" spans="1:12" x14ac:dyDescent="0.25">
      <c r="A679" s="7" t="s">
        <v>1274</v>
      </c>
      <c r="B679" s="60">
        <v>521211</v>
      </c>
      <c r="C679" s="41" t="s">
        <v>7</v>
      </c>
      <c r="D679" s="60"/>
      <c r="E679" s="60"/>
      <c r="F679" s="42"/>
      <c r="G679" s="42">
        <v>12000000</v>
      </c>
      <c r="H679" s="165">
        <v>259650000</v>
      </c>
      <c r="I679" s="150" t="s">
        <v>3552</v>
      </c>
      <c r="J679" s="149" t="s">
        <v>3564</v>
      </c>
      <c r="K679" s="149" t="s">
        <v>3570</v>
      </c>
      <c r="L679" s="171">
        <f t="shared" si="14"/>
        <v>-247650000</v>
      </c>
    </row>
    <row r="680" spans="1:12" x14ac:dyDescent="0.25">
      <c r="A680" s="7" t="s">
        <v>1275</v>
      </c>
      <c r="B680" s="192"/>
      <c r="C680" s="191" t="s">
        <v>3856</v>
      </c>
      <c r="D680" s="192">
        <v>12</v>
      </c>
      <c r="E680" s="192" t="s">
        <v>52</v>
      </c>
      <c r="F680" s="193">
        <v>1000000</v>
      </c>
      <c r="G680" s="45">
        <f>ROUNDDOWN(D680*F680,-3)</f>
        <v>12000000</v>
      </c>
      <c r="H680" s="165">
        <v>12000000</v>
      </c>
      <c r="I680" s="150" t="s">
        <v>3552</v>
      </c>
      <c r="J680" s="149" t="s">
        <v>3564</v>
      </c>
      <c r="K680" s="149" t="s">
        <v>3570</v>
      </c>
      <c r="L680" s="171">
        <f t="shared" si="14"/>
        <v>0</v>
      </c>
    </row>
    <row r="681" spans="1:12" x14ac:dyDescent="0.25">
      <c r="A681" s="7" t="s">
        <v>1277</v>
      </c>
      <c r="B681" s="60">
        <v>521811</v>
      </c>
      <c r="C681" s="41" t="s">
        <v>64</v>
      </c>
      <c r="D681" s="60"/>
      <c r="E681" s="60"/>
      <c r="F681" s="42"/>
      <c r="G681" s="42">
        <v>24000000</v>
      </c>
      <c r="H681" s="165">
        <v>12000000</v>
      </c>
      <c r="I681" s="150" t="s">
        <v>3552</v>
      </c>
      <c r="J681" s="149" t="s">
        <v>3564</v>
      </c>
      <c r="K681" s="149" t="s">
        <v>3570</v>
      </c>
      <c r="L681" s="171">
        <f t="shared" si="14"/>
        <v>12000000</v>
      </c>
    </row>
    <row r="682" spans="1:12" x14ac:dyDescent="0.25">
      <c r="A682" s="7" t="s">
        <v>1278</v>
      </c>
      <c r="B682" s="192"/>
      <c r="C682" s="191" t="s">
        <v>3625</v>
      </c>
      <c r="D682" s="192">
        <v>12</v>
      </c>
      <c r="E682" s="192" t="s">
        <v>52</v>
      </c>
      <c r="F682" s="193">
        <v>1000000</v>
      </c>
      <c r="G682" s="45">
        <f>ROUNDDOWN(D682*F682,-3)</f>
        <v>12000000</v>
      </c>
      <c r="H682" s="165">
        <v>24000000</v>
      </c>
      <c r="I682" s="150" t="s">
        <v>3552</v>
      </c>
      <c r="J682" s="149" t="s">
        <v>3564</v>
      </c>
      <c r="K682" s="149" t="s">
        <v>3570</v>
      </c>
      <c r="L682" s="171">
        <f t="shared" si="14"/>
        <v>-12000000</v>
      </c>
    </row>
    <row r="683" spans="1:12" x14ac:dyDescent="0.25">
      <c r="A683" s="7" t="s">
        <v>1279</v>
      </c>
      <c r="B683" s="61"/>
      <c r="C683" s="44" t="s">
        <v>3744</v>
      </c>
      <c r="D683" s="61">
        <v>12</v>
      </c>
      <c r="E683" s="61" t="s">
        <v>52</v>
      </c>
      <c r="F683" s="45">
        <v>1000000</v>
      </c>
      <c r="G683" s="45">
        <f>ROUNDDOWN(D683*F683,-3)</f>
        <v>12000000</v>
      </c>
      <c r="H683" s="165">
        <v>12000000</v>
      </c>
      <c r="I683" s="150" t="s">
        <v>3552</v>
      </c>
      <c r="J683" s="149" t="s">
        <v>3564</v>
      </c>
      <c r="K683" s="149" t="s">
        <v>3570</v>
      </c>
      <c r="L683" s="171">
        <f t="shared" si="14"/>
        <v>0</v>
      </c>
    </row>
    <row r="684" spans="1:12" x14ac:dyDescent="0.25">
      <c r="A684" s="7" t="s">
        <v>1280</v>
      </c>
      <c r="B684" s="60">
        <v>524111</v>
      </c>
      <c r="C684" s="41" t="s">
        <v>19</v>
      </c>
      <c r="D684" s="60"/>
      <c r="E684" s="60"/>
      <c r="F684" s="42"/>
      <c r="G684" s="42">
        <v>210000000</v>
      </c>
      <c r="H684" s="165">
        <v>12000000</v>
      </c>
      <c r="I684" s="150" t="s">
        <v>3552</v>
      </c>
      <c r="J684" s="149" t="s">
        <v>3564</v>
      </c>
      <c r="K684" s="149" t="s">
        <v>3570</v>
      </c>
      <c r="L684" s="171">
        <f t="shared" si="14"/>
        <v>198000000</v>
      </c>
    </row>
    <row r="685" spans="1:12" ht="26.4" x14ac:dyDescent="0.25">
      <c r="A685" s="7" t="s">
        <v>1281</v>
      </c>
      <c r="B685" s="192"/>
      <c r="C685" s="191" t="s">
        <v>3857</v>
      </c>
      <c r="D685" s="192">
        <v>30</v>
      </c>
      <c r="E685" s="192" t="s">
        <v>25</v>
      </c>
      <c r="F685" s="193">
        <v>5000000</v>
      </c>
      <c r="G685" s="45">
        <f>ROUNDDOWN(D685*F685,-3)</f>
        <v>150000000</v>
      </c>
      <c r="H685" s="165">
        <v>210000000</v>
      </c>
      <c r="I685" s="150" t="s">
        <v>3552</v>
      </c>
      <c r="J685" s="149" t="s">
        <v>3564</v>
      </c>
      <c r="K685" s="149" t="s">
        <v>3570</v>
      </c>
      <c r="L685" s="171">
        <f t="shared" si="14"/>
        <v>-60000000</v>
      </c>
    </row>
    <row r="686" spans="1:12" ht="26.4" x14ac:dyDescent="0.25">
      <c r="A686" s="7" t="s">
        <v>1283</v>
      </c>
      <c r="B686" s="61"/>
      <c r="C686" s="44" t="s">
        <v>3858</v>
      </c>
      <c r="D686" s="61">
        <v>12</v>
      </c>
      <c r="E686" s="61" t="s">
        <v>25</v>
      </c>
      <c r="F686" s="45">
        <v>5000000</v>
      </c>
      <c r="G686" s="45">
        <f>ROUNDDOWN(D686*F686,-3)</f>
        <v>60000000</v>
      </c>
      <c r="H686" s="165">
        <v>150000000</v>
      </c>
      <c r="I686" s="150" t="s">
        <v>3552</v>
      </c>
      <c r="J686" s="149" t="s">
        <v>3564</v>
      </c>
      <c r="K686" s="149" t="s">
        <v>3570</v>
      </c>
      <c r="L686" s="171">
        <f t="shared" si="14"/>
        <v>-90000000</v>
      </c>
    </row>
    <row r="687" spans="1:12" x14ac:dyDescent="0.25">
      <c r="A687" s="7" t="s">
        <v>1285</v>
      </c>
      <c r="B687" s="60">
        <v>524114</v>
      </c>
      <c r="C687" s="41" t="s">
        <v>14</v>
      </c>
      <c r="D687" s="60"/>
      <c r="E687" s="60"/>
      <c r="F687" s="42"/>
      <c r="G687" s="42">
        <v>13650000</v>
      </c>
      <c r="H687" s="165">
        <v>60000000</v>
      </c>
      <c r="I687" s="150" t="s">
        <v>3552</v>
      </c>
      <c r="J687" s="149" t="s">
        <v>3564</v>
      </c>
      <c r="K687" s="149" t="s">
        <v>3570</v>
      </c>
      <c r="L687" s="171">
        <f t="shared" si="14"/>
        <v>-46350000</v>
      </c>
    </row>
    <row r="688" spans="1:12" x14ac:dyDescent="0.25">
      <c r="A688" s="7" t="s">
        <v>1286</v>
      </c>
      <c r="B688" s="192"/>
      <c r="C688" s="191" t="s">
        <v>3613</v>
      </c>
      <c r="D688" s="192">
        <v>91</v>
      </c>
      <c r="E688" s="192" t="s">
        <v>73</v>
      </c>
      <c r="F688" s="193">
        <v>150000</v>
      </c>
      <c r="G688" s="45">
        <f>ROUNDDOWN(D688*F688,-3)</f>
        <v>13650000</v>
      </c>
      <c r="H688" s="165">
        <v>13650000</v>
      </c>
      <c r="I688" s="150" t="s">
        <v>3552</v>
      </c>
      <c r="J688" s="149" t="s">
        <v>3564</v>
      </c>
      <c r="K688" s="149" t="s">
        <v>3570</v>
      </c>
      <c r="L688" s="171">
        <f t="shared" si="14"/>
        <v>0</v>
      </c>
    </row>
    <row r="689" spans="1:12" ht="39.6" x14ac:dyDescent="0.25">
      <c r="A689" s="7" t="s">
        <v>1287</v>
      </c>
      <c r="B689" s="59" t="s">
        <v>511</v>
      </c>
      <c r="C689" s="38" t="s">
        <v>3859</v>
      </c>
      <c r="D689" s="59"/>
      <c r="E689" s="59"/>
      <c r="F689" s="39"/>
      <c r="G689" s="39">
        <v>1740350000</v>
      </c>
      <c r="H689" s="165">
        <v>13650000</v>
      </c>
      <c r="I689" s="150" t="s">
        <v>3552</v>
      </c>
      <c r="J689" s="149" t="s">
        <v>3564</v>
      </c>
      <c r="K689" s="149" t="s">
        <v>3570</v>
      </c>
      <c r="L689" s="171">
        <f t="shared" si="14"/>
        <v>1726700000</v>
      </c>
    </row>
    <row r="690" spans="1:12" ht="26.4" x14ac:dyDescent="0.25">
      <c r="A690" s="7" t="s">
        <v>1288</v>
      </c>
      <c r="B690" s="60">
        <v>521241</v>
      </c>
      <c r="C690" s="41" t="s">
        <v>642</v>
      </c>
      <c r="D690" s="60"/>
      <c r="E690" s="60"/>
      <c r="F690" s="42"/>
      <c r="G690" s="42">
        <v>86400000</v>
      </c>
      <c r="H690" s="165">
        <v>1740350000</v>
      </c>
      <c r="I690" s="150" t="s">
        <v>3552</v>
      </c>
      <c r="J690" s="149" t="s">
        <v>3564</v>
      </c>
      <c r="K690" s="149" t="s">
        <v>3570</v>
      </c>
      <c r="L690" s="171">
        <f t="shared" si="14"/>
        <v>-1653950000</v>
      </c>
    </row>
    <row r="691" spans="1:12" ht="26.4" x14ac:dyDescent="0.25">
      <c r="A691" s="7" t="s">
        <v>1289</v>
      </c>
      <c r="B691" s="192"/>
      <c r="C691" s="191" t="s">
        <v>3860</v>
      </c>
      <c r="D691" s="192">
        <v>24</v>
      </c>
      <c r="E691" s="192" t="s">
        <v>32</v>
      </c>
      <c r="F691" s="193">
        <v>400000</v>
      </c>
      <c r="G691" s="45">
        <f>ROUNDDOWN(D691*F691,-3)</f>
        <v>9600000</v>
      </c>
      <c r="H691" s="165">
        <v>86400000</v>
      </c>
      <c r="I691" s="150" t="s">
        <v>3552</v>
      </c>
      <c r="J691" s="149" t="s">
        <v>3564</v>
      </c>
      <c r="K691" s="149" t="s">
        <v>3570</v>
      </c>
      <c r="L691" s="171">
        <f t="shared" si="14"/>
        <v>-76800000</v>
      </c>
    </row>
    <row r="692" spans="1:12" x14ac:dyDescent="0.25">
      <c r="A692" s="7" t="s">
        <v>1291</v>
      </c>
      <c r="B692" s="61"/>
      <c r="C692" s="44" t="s">
        <v>3861</v>
      </c>
      <c r="D692" s="61">
        <v>384</v>
      </c>
      <c r="E692" s="61" t="s">
        <v>32</v>
      </c>
      <c r="F692" s="45">
        <v>200000</v>
      </c>
      <c r="G692" s="45">
        <f>ROUNDDOWN(D692*F692,-3)</f>
        <v>76800000</v>
      </c>
      <c r="H692" s="165">
        <v>9600000</v>
      </c>
      <c r="I692" s="150" t="s">
        <v>3552</v>
      </c>
      <c r="J692" s="149" t="s">
        <v>3564</v>
      </c>
      <c r="K692" s="149" t="s">
        <v>3570</v>
      </c>
      <c r="L692" s="171">
        <f t="shared" si="14"/>
        <v>67200000</v>
      </c>
    </row>
    <row r="693" spans="1:12" x14ac:dyDescent="0.25">
      <c r="A693" s="7" t="s">
        <v>1293</v>
      </c>
      <c r="B693" s="60">
        <v>521811</v>
      </c>
      <c r="C693" s="41" t="s">
        <v>64</v>
      </c>
      <c r="D693" s="60"/>
      <c r="E693" s="60"/>
      <c r="F693" s="42"/>
      <c r="G693" s="42">
        <v>24000000</v>
      </c>
      <c r="H693" s="165">
        <v>76800000</v>
      </c>
      <c r="I693" s="150" t="s">
        <v>3552</v>
      </c>
      <c r="J693" s="149" t="s">
        <v>3564</v>
      </c>
      <c r="K693" s="149" t="s">
        <v>3570</v>
      </c>
      <c r="L693" s="171">
        <f t="shared" si="14"/>
        <v>-52800000</v>
      </c>
    </row>
    <row r="694" spans="1:12" x14ac:dyDescent="0.25">
      <c r="A694" s="7" t="s">
        <v>1294</v>
      </c>
      <c r="B694" s="192"/>
      <c r="C694" s="191" t="s">
        <v>3625</v>
      </c>
      <c r="D694" s="192">
        <v>12</v>
      </c>
      <c r="E694" s="192" t="s">
        <v>52</v>
      </c>
      <c r="F694" s="193">
        <v>1000000</v>
      </c>
      <c r="G694" s="45">
        <f>ROUNDDOWN(D694*F694,-3)</f>
        <v>12000000</v>
      </c>
      <c r="H694" s="165">
        <v>24000000</v>
      </c>
      <c r="I694" s="150" t="s">
        <v>3552</v>
      </c>
      <c r="J694" s="149" t="s">
        <v>3564</v>
      </c>
      <c r="K694" s="149" t="s">
        <v>3570</v>
      </c>
      <c r="L694" s="171">
        <f t="shared" si="14"/>
        <v>-12000000</v>
      </c>
    </row>
    <row r="695" spans="1:12" x14ac:dyDescent="0.25">
      <c r="A695" s="7" t="s">
        <v>1295</v>
      </c>
      <c r="B695" s="61"/>
      <c r="C695" s="44" t="s">
        <v>3744</v>
      </c>
      <c r="D695" s="61">
        <v>12</v>
      </c>
      <c r="E695" s="61" t="s">
        <v>52</v>
      </c>
      <c r="F695" s="45">
        <v>1000000</v>
      </c>
      <c r="G695" s="45">
        <f>ROUNDDOWN(D695*F695,-3)</f>
        <v>12000000</v>
      </c>
      <c r="H695" s="165">
        <v>12000000</v>
      </c>
      <c r="I695" s="150" t="s">
        <v>3552</v>
      </c>
      <c r="J695" s="149" t="s">
        <v>3564</v>
      </c>
      <c r="K695" s="149" t="s">
        <v>3570</v>
      </c>
      <c r="L695" s="171">
        <f t="shared" si="14"/>
        <v>0</v>
      </c>
    </row>
    <row r="696" spans="1:12" x14ac:dyDescent="0.25">
      <c r="A696" s="7" t="s">
        <v>1296</v>
      </c>
      <c r="B696" s="60">
        <v>522151</v>
      </c>
      <c r="C696" s="41" t="s">
        <v>11</v>
      </c>
      <c r="D696" s="60"/>
      <c r="E696" s="60"/>
      <c r="F696" s="42"/>
      <c r="G696" s="42">
        <v>43200000</v>
      </c>
      <c r="H696" s="165">
        <v>12000000</v>
      </c>
      <c r="I696" s="150" t="s">
        <v>3552</v>
      </c>
      <c r="J696" s="149" t="s">
        <v>3564</v>
      </c>
      <c r="K696" s="149" t="s">
        <v>3570</v>
      </c>
      <c r="L696" s="171">
        <f t="shared" si="14"/>
        <v>31200000</v>
      </c>
    </row>
    <row r="697" spans="1:12" x14ac:dyDescent="0.25">
      <c r="A697" s="7" t="s">
        <v>1297</v>
      </c>
      <c r="B697" s="192"/>
      <c r="C697" s="191" t="s">
        <v>3862</v>
      </c>
      <c r="D697" s="192">
        <v>24</v>
      </c>
      <c r="E697" s="192" t="s">
        <v>54</v>
      </c>
      <c r="F697" s="193">
        <v>1200000</v>
      </c>
      <c r="G697" s="45">
        <f>ROUNDDOWN(D697*F697,-3)</f>
        <v>28800000</v>
      </c>
      <c r="H697" s="165">
        <v>43200000</v>
      </c>
      <c r="I697" s="150" t="s">
        <v>3552</v>
      </c>
      <c r="J697" s="149" t="s">
        <v>3564</v>
      </c>
      <c r="K697" s="149" t="s">
        <v>3570</v>
      </c>
      <c r="L697" s="171">
        <f t="shared" si="14"/>
        <v>-14400000</v>
      </c>
    </row>
    <row r="698" spans="1:12" ht="26.4" x14ac:dyDescent="0.25">
      <c r="A698" s="7" t="s">
        <v>1299</v>
      </c>
      <c r="B698" s="61"/>
      <c r="C698" s="44" t="s">
        <v>3863</v>
      </c>
      <c r="D698" s="61">
        <v>16</v>
      </c>
      <c r="E698" s="61" t="s">
        <v>54</v>
      </c>
      <c r="F698" s="45">
        <v>900000</v>
      </c>
      <c r="G698" s="45">
        <f>ROUNDDOWN(D698*F698,-3)</f>
        <v>14400000</v>
      </c>
      <c r="H698" s="165">
        <v>28800000</v>
      </c>
      <c r="I698" s="150" t="s">
        <v>3552</v>
      </c>
      <c r="J698" s="149" t="s">
        <v>3564</v>
      </c>
      <c r="K698" s="149" t="s">
        <v>3570</v>
      </c>
      <c r="L698" s="171">
        <f t="shared" si="14"/>
        <v>-14400000</v>
      </c>
    </row>
    <row r="699" spans="1:12" x14ac:dyDescent="0.25">
      <c r="A699" s="7" t="s">
        <v>1301</v>
      </c>
      <c r="B699" s="60">
        <v>522192</v>
      </c>
      <c r="C699" s="41" t="s">
        <v>24</v>
      </c>
      <c r="D699" s="60"/>
      <c r="E699" s="60"/>
      <c r="F699" s="42"/>
      <c r="G699" s="42">
        <v>150000000</v>
      </c>
      <c r="H699" s="165">
        <v>14400000</v>
      </c>
      <c r="I699" s="150" t="s">
        <v>3552</v>
      </c>
      <c r="J699" s="149" t="s">
        <v>3564</v>
      </c>
      <c r="K699" s="149" t="s">
        <v>3570</v>
      </c>
      <c r="L699" s="171">
        <f t="shared" si="14"/>
        <v>135600000</v>
      </c>
    </row>
    <row r="700" spans="1:12" x14ac:dyDescent="0.25">
      <c r="A700" s="7" t="s">
        <v>1302</v>
      </c>
      <c r="B700" s="192"/>
      <c r="C700" s="191" t="s">
        <v>3864</v>
      </c>
      <c r="D700" s="192">
        <v>500</v>
      </c>
      <c r="E700" s="192" t="s">
        <v>25</v>
      </c>
      <c r="F700" s="193">
        <v>300000</v>
      </c>
      <c r="G700" s="45">
        <f>ROUNDDOWN(D700*F700,-3)</f>
        <v>150000000</v>
      </c>
      <c r="H700" s="165">
        <v>150000000</v>
      </c>
      <c r="I700" s="150" t="s">
        <v>3552</v>
      </c>
      <c r="J700" s="149" t="s">
        <v>3564</v>
      </c>
      <c r="K700" s="149" t="s">
        <v>3570</v>
      </c>
      <c r="L700" s="171">
        <f t="shared" si="14"/>
        <v>0</v>
      </c>
    </row>
    <row r="701" spans="1:12" x14ac:dyDescent="0.25">
      <c r="A701" s="7" t="s">
        <v>1304</v>
      </c>
      <c r="B701" s="60">
        <v>524111</v>
      </c>
      <c r="C701" s="41" t="s">
        <v>19</v>
      </c>
      <c r="D701" s="60"/>
      <c r="E701" s="60"/>
      <c r="F701" s="42"/>
      <c r="G701" s="42">
        <v>1415000000</v>
      </c>
      <c r="H701" s="165">
        <v>150000000</v>
      </c>
      <c r="I701" s="150" t="s">
        <v>3552</v>
      </c>
      <c r="J701" s="149" t="s">
        <v>3564</v>
      </c>
      <c r="K701" s="149" t="s">
        <v>3570</v>
      </c>
      <c r="L701" s="171">
        <f t="shared" si="14"/>
        <v>1265000000</v>
      </c>
    </row>
    <row r="702" spans="1:12" ht="39.6" x14ac:dyDescent="0.25">
      <c r="A702" s="7" t="s">
        <v>1305</v>
      </c>
      <c r="B702" s="192"/>
      <c r="C702" s="191" t="s">
        <v>3865</v>
      </c>
      <c r="D702" s="192">
        <v>15</v>
      </c>
      <c r="E702" s="192" t="s">
        <v>25</v>
      </c>
      <c r="F702" s="193">
        <v>5000000</v>
      </c>
      <c r="G702" s="45">
        <f>ROUNDDOWN(D702*F702,-3)</f>
        <v>75000000</v>
      </c>
      <c r="H702" s="165">
        <v>1415000000</v>
      </c>
      <c r="I702" s="150" t="s">
        <v>3552</v>
      </c>
      <c r="J702" s="149" t="s">
        <v>3564</v>
      </c>
      <c r="K702" s="149" t="s">
        <v>3570</v>
      </c>
      <c r="L702" s="171">
        <f t="shared" si="14"/>
        <v>-1340000000</v>
      </c>
    </row>
    <row r="703" spans="1:12" x14ac:dyDescent="0.25">
      <c r="A703" s="7" t="s">
        <v>1307</v>
      </c>
      <c r="B703" s="61"/>
      <c r="C703" s="44" t="s">
        <v>3866</v>
      </c>
      <c r="D703" s="61">
        <v>74</v>
      </c>
      <c r="E703" s="61" t="s">
        <v>25</v>
      </c>
      <c r="F703" s="45">
        <v>10000000</v>
      </c>
      <c r="G703" s="45">
        <f>ROUNDDOWN(D703*F703,-3)</f>
        <v>740000000</v>
      </c>
      <c r="H703" s="165">
        <v>75000000</v>
      </c>
      <c r="I703" s="150" t="s">
        <v>3552</v>
      </c>
      <c r="J703" s="149" t="s">
        <v>3564</v>
      </c>
      <c r="K703" s="149" t="s">
        <v>3570</v>
      </c>
      <c r="L703" s="171">
        <f t="shared" si="14"/>
        <v>665000000</v>
      </c>
    </row>
    <row r="704" spans="1:12" x14ac:dyDescent="0.25">
      <c r="A704" s="7" t="s">
        <v>1309</v>
      </c>
      <c r="B704" s="61"/>
      <c r="C704" s="44" t="s">
        <v>3867</v>
      </c>
      <c r="D704" s="61">
        <v>60</v>
      </c>
      <c r="E704" s="61" t="s">
        <v>25</v>
      </c>
      <c r="F704" s="45">
        <v>10000000</v>
      </c>
      <c r="G704" s="45">
        <f>ROUNDDOWN(D704*F704,-3)</f>
        <v>600000000</v>
      </c>
      <c r="H704" s="165">
        <v>740000000</v>
      </c>
      <c r="I704" s="150" t="s">
        <v>3552</v>
      </c>
      <c r="J704" s="149" t="s">
        <v>3564</v>
      </c>
      <c r="K704" s="149" t="s">
        <v>3570</v>
      </c>
      <c r="L704" s="171">
        <f t="shared" si="14"/>
        <v>-140000000</v>
      </c>
    </row>
    <row r="705" spans="1:12" x14ac:dyDescent="0.25">
      <c r="A705" s="7" t="s">
        <v>1311</v>
      </c>
      <c r="B705" s="60">
        <v>524114</v>
      </c>
      <c r="C705" s="41" t="s">
        <v>14</v>
      </c>
      <c r="D705" s="60"/>
      <c r="E705" s="60"/>
      <c r="F705" s="42"/>
      <c r="G705" s="42">
        <v>21750000</v>
      </c>
      <c r="H705" s="165">
        <v>600000000</v>
      </c>
      <c r="I705" s="150" t="s">
        <v>3552</v>
      </c>
      <c r="J705" s="149" t="s">
        <v>3564</v>
      </c>
      <c r="K705" s="149" t="s">
        <v>3570</v>
      </c>
      <c r="L705" s="171">
        <f t="shared" si="14"/>
        <v>-578250000</v>
      </c>
    </row>
    <row r="706" spans="1:12" x14ac:dyDescent="0.25">
      <c r="A706" s="7" t="s">
        <v>1312</v>
      </c>
      <c r="B706" s="192"/>
      <c r="C706" s="191" t="s">
        <v>3868</v>
      </c>
      <c r="D706" s="192">
        <v>60</v>
      </c>
      <c r="E706" s="192" t="s">
        <v>73</v>
      </c>
      <c r="F706" s="193">
        <v>210000</v>
      </c>
      <c r="G706" s="45">
        <f>ROUNDDOWN(D706*F706,-3)</f>
        <v>12600000</v>
      </c>
      <c r="H706" s="165">
        <v>21750000</v>
      </c>
      <c r="I706" s="150" t="s">
        <v>3552</v>
      </c>
      <c r="J706" s="149" t="s">
        <v>3564</v>
      </c>
      <c r="K706" s="149" t="s">
        <v>3570</v>
      </c>
      <c r="L706" s="171">
        <f t="shared" si="14"/>
        <v>-9150000</v>
      </c>
    </row>
    <row r="707" spans="1:12" x14ac:dyDescent="0.25">
      <c r="A707" s="7" t="s">
        <v>1314</v>
      </c>
      <c r="B707" s="61"/>
      <c r="C707" s="44" t="s">
        <v>3787</v>
      </c>
      <c r="D707" s="61">
        <v>61</v>
      </c>
      <c r="E707" s="61" t="s">
        <v>73</v>
      </c>
      <c r="F707" s="45">
        <v>150000</v>
      </c>
      <c r="G707" s="45">
        <f>ROUNDDOWN(D707*F707,-3)</f>
        <v>9150000</v>
      </c>
      <c r="H707" s="165">
        <v>12600000</v>
      </c>
      <c r="I707" s="150" t="s">
        <v>3552</v>
      </c>
      <c r="J707" s="149" t="s">
        <v>3564</v>
      </c>
      <c r="K707" s="149" t="s">
        <v>3570</v>
      </c>
      <c r="L707" s="171">
        <f t="shared" si="14"/>
        <v>-3450000</v>
      </c>
    </row>
    <row r="708" spans="1:12" ht="26.4" x14ac:dyDescent="0.25">
      <c r="A708" s="7" t="s">
        <v>1315</v>
      </c>
      <c r="B708" s="58">
        <v>201</v>
      </c>
      <c r="C708" s="35" t="s">
        <v>1317</v>
      </c>
      <c r="D708" s="58">
        <v>0</v>
      </c>
      <c r="E708" s="58"/>
      <c r="F708" s="36"/>
      <c r="G708" s="36">
        <v>860000000</v>
      </c>
      <c r="H708" s="165">
        <v>9150000</v>
      </c>
      <c r="I708" s="150" t="s">
        <v>3552</v>
      </c>
      <c r="J708" s="149" t="s">
        <v>3564</v>
      </c>
      <c r="K708" s="149" t="s">
        <v>3570</v>
      </c>
      <c r="L708" s="171">
        <f t="shared" si="14"/>
        <v>850850000</v>
      </c>
    </row>
    <row r="709" spans="1:12" x14ac:dyDescent="0.25">
      <c r="A709" s="7" t="s">
        <v>1318</v>
      </c>
      <c r="B709" s="59" t="s">
        <v>8</v>
      </c>
      <c r="C709" s="38" t="s">
        <v>142</v>
      </c>
      <c r="D709" s="59"/>
      <c r="E709" s="59"/>
      <c r="F709" s="39"/>
      <c r="G709" s="39">
        <v>29629000</v>
      </c>
      <c r="H709" s="165">
        <v>860000000</v>
      </c>
      <c r="I709" s="150" t="s">
        <v>3553</v>
      </c>
      <c r="J709" s="149" t="s">
        <v>3558</v>
      </c>
      <c r="K709" s="149" t="s">
        <v>3570</v>
      </c>
      <c r="L709" s="171">
        <f t="shared" si="14"/>
        <v>-830371000</v>
      </c>
    </row>
    <row r="710" spans="1:12" x14ac:dyDescent="0.25">
      <c r="A710" s="7" t="s">
        <v>1319</v>
      </c>
      <c r="B710" s="60">
        <v>521211</v>
      </c>
      <c r="C710" s="41" t="s">
        <v>7</v>
      </c>
      <c r="D710" s="60"/>
      <c r="E710" s="60"/>
      <c r="F710" s="42"/>
      <c r="G710" s="42">
        <v>3629000</v>
      </c>
      <c r="H710" s="165">
        <v>29629000</v>
      </c>
      <c r="I710" s="150" t="s">
        <v>3553</v>
      </c>
      <c r="J710" s="149" t="s">
        <v>3558</v>
      </c>
      <c r="K710" s="149" t="s">
        <v>3570</v>
      </c>
      <c r="L710" s="171">
        <f t="shared" si="14"/>
        <v>-26000000</v>
      </c>
    </row>
    <row r="711" spans="1:12" x14ac:dyDescent="0.25">
      <c r="A711" s="7" t="s">
        <v>1320</v>
      </c>
      <c r="B711" s="192"/>
      <c r="C711" s="191" t="s">
        <v>3869</v>
      </c>
      <c r="D711" s="192">
        <v>36</v>
      </c>
      <c r="E711" s="192" t="s">
        <v>10</v>
      </c>
      <c r="F711" s="193">
        <v>75000</v>
      </c>
      <c r="G711" s="45">
        <f>ROUNDDOWN(D711*F711,-3)</f>
        <v>2700000</v>
      </c>
      <c r="H711" s="165">
        <v>3629000</v>
      </c>
      <c r="I711" s="150" t="s">
        <v>3553</v>
      </c>
      <c r="J711" s="149" t="s">
        <v>3558</v>
      </c>
      <c r="K711" s="149" t="s">
        <v>3570</v>
      </c>
      <c r="L711" s="171">
        <f t="shared" si="14"/>
        <v>-929000</v>
      </c>
    </row>
    <row r="712" spans="1:12" x14ac:dyDescent="0.25">
      <c r="A712" s="7" t="s">
        <v>1322</v>
      </c>
      <c r="B712" s="61"/>
      <c r="C712" s="44" t="s">
        <v>3870</v>
      </c>
      <c r="D712" s="61">
        <v>1</v>
      </c>
      <c r="E712" s="61" t="s">
        <v>9</v>
      </c>
      <c r="F712" s="45">
        <v>929000</v>
      </c>
      <c r="G712" s="45">
        <f>ROUNDDOWN(D712*F712,-3)</f>
        <v>929000</v>
      </c>
      <c r="H712" s="165">
        <v>2700000</v>
      </c>
      <c r="I712" s="150" t="s">
        <v>3553</v>
      </c>
      <c r="J712" s="149" t="s">
        <v>3558</v>
      </c>
      <c r="K712" s="149" t="s">
        <v>3570</v>
      </c>
      <c r="L712" s="171">
        <f t="shared" si="14"/>
        <v>-1771000</v>
      </c>
    </row>
    <row r="713" spans="1:12" x14ac:dyDescent="0.25">
      <c r="A713" s="7" t="s">
        <v>1324</v>
      </c>
      <c r="B713" s="60">
        <v>521811</v>
      </c>
      <c r="C713" s="41" t="s">
        <v>64</v>
      </c>
      <c r="D713" s="60"/>
      <c r="E713" s="60"/>
      <c r="F713" s="42"/>
      <c r="G713" s="42">
        <v>2000000</v>
      </c>
      <c r="H713" s="165">
        <v>929000</v>
      </c>
      <c r="I713" s="150" t="s">
        <v>3553</v>
      </c>
      <c r="J713" s="149" t="s">
        <v>3558</v>
      </c>
      <c r="K713" s="149" t="s">
        <v>3570</v>
      </c>
      <c r="L713" s="171">
        <f t="shared" si="14"/>
        <v>1071000</v>
      </c>
    </row>
    <row r="714" spans="1:12" x14ac:dyDescent="0.25">
      <c r="A714" s="7" t="s">
        <v>1325</v>
      </c>
      <c r="B714" s="192"/>
      <c r="C714" s="191" t="s">
        <v>3625</v>
      </c>
      <c r="D714" s="192">
        <v>1</v>
      </c>
      <c r="E714" s="192" t="s">
        <v>9</v>
      </c>
      <c r="F714" s="193">
        <v>1000000</v>
      </c>
      <c r="G714" s="45">
        <f>ROUNDDOWN(D714*F714,-3)</f>
        <v>1000000</v>
      </c>
      <c r="H714" s="165">
        <v>2000000</v>
      </c>
      <c r="I714" s="150" t="s">
        <v>3553</v>
      </c>
      <c r="J714" s="149" t="s">
        <v>3558</v>
      </c>
      <c r="K714" s="149" t="s">
        <v>3570</v>
      </c>
      <c r="L714" s="171">
        <f t="shared" si="14"/>
        <v>-1000000</v>
      </c>
    </row>
    <row r="715" spans="1:12" x14ac:dyDescent="0.25">
      <c r="A715" s="7" t="s">
        <v>1326</v>
      </c>
      <c r="B715" s="61"/>
      <c r="C715" s="44" t="s">
        <v>3626</v>
      </c>
      <c r="D715" s="61">
        <v>1</v>
      </c>
      <c r="E715" s="61" t="s">
        <v>9</v>
      </c>
      <c r="F715" s="45">
        <v>1000000</v>
      </c>
      <c r="G715" s="45">
        <f>ROUNDDOWN(D715*F715,-3)</f>
        <v>1000000</v>
      </c>
      <c r="H715" s="165">
        <v>1000000</v>
      </c>
      <c r="I715" s="150" t="s">
        <v>3553</v>
      </c>
      <c r="J715" s="149" t="s">
        <v>3558</v>
      </c>
      <c r="K715" s="149" t="s">
        <v>3570</v>
      </c>
      <c r="L715" s="171">
        <f t="shared" si="14"/>
        <v>0</v>
      </c>
    </row>
    <row r="716" spans="1:12" x14ac:dyDescent="0.25">
      <c r="A716" s="7" t="s">
        <v>1327</v>
      </c>
      <c r="B716" s="60">
        <v>524111</v>
      </c>
      <c r="C716" s="41" t="s">
        <v>19</v>
      </c>
      <c r="D716" s="60"/>
      <c r="E716" s="60"/>
      <c r="F716" s="42"/>
      <c r="G716" s="42">
        <v>24000000</v>
      </c>
      <c r="H716" s="165">
        <v>1000000</v>
      </c>
      <c r="I716" s="150" t="s">
        <v>3553</v>
      </c>
      <c r="J716" s="149" t="s">
        <v>3558</v>
      </c>
      <c r="K716" s="149" t="s">
        <v>3570</v>
      </c>
      <c r="L716" s="171">
        <f t="shared" si="14"/>
        <v>23000000</v>
      </c>
    </row>
    <row r="717" spans="1:12" x14ac:dyDescent="0.25">
      <c r="A717" s="7" t="s">
        <v>1328</v>
      </c>
      <c r="B717" s="192"/>
      <c r="C717" s="191" t="s">
        <v>3871</v>
      </c>
      <c r="D717" s="192">
        <v>4</v>
      </c>
      <c r="E717" s="192" t="s">
        <v>10</v>
      </c>
      <c r="F717" s="193">
        <v>6000000</v>
      </c>
      <c r="G717" s="45">
        <f>ROUNDDOWN(D717*F717,-3)</f>
        <v>24000000</v>
      </c>
      <c r="H717" s="165">
        <v>24000000</v>
      </c>
      <c r="I717" s="150" t="s">
        <v>3553</v>
      </c>
      <c r="J717" s="149" t="s">
        <v>3558</v>
      </c>
      <c r="K717" s="149" t="s">
        <v>3570</v>
      </c>
      <c r="L717" s="171">
        <f t="shared" si="14"/>
        <v>0</v>
      </c>
    </row>
    <row r="718" spans="1:12" x14ac:dyDescent="0.25">
      <c r="A718" s="7" t="s">
        <v>1330</v>
      </c>
      <c r="B718" s="59" t="s">
        <v>511</v>
      </c>
      <c r="C718" s="38" t="s">
        <v>139</v>
      </c>
      <c r="D718" s="59"/>
      <c r="E718" s="59"/>
      <c r="F718" s="39"/>
      <c r="G718" s="39">
        <v>215971000</v>
      </c>
      <c r="H718" s="165">
        <v>24000000</v>
      </c>
      <c r="I718" s="150" t="s">
        <v>3553</v>
      </c>
      <c r="J718" s="149" t="s">
        <v>3558</v>
      </c>
      <c r="K718" s="149" t="s">
        <v>3570</v>
      </c>
      <c r="L718" s="171">
        <f t="shared" ref="L718:L781" si="15">G718-H718</f>
        <v>191971000</v>
      </c>
    </row>
    <row r="719" spans="1:12" x14ac:dyDescent="0.25">
      <c r="A719" s="7" t="s">
        <v>1331</v>
      </c>
      <c r="B719" s="60">
        <v>521211</v>
      </c>
      <c r="C719" s="41" t="s">
        <v>7</v>
      </c>
      <c r="D719" s="60"/>
      <c r="E719" s="60"/>
      <c r="F719" s="42"/>
      <c r="G719" s="42">
        <v>15500000</v>
      </c>
      <c r="H719" s="165">
        <v>215971000</v>
      </c>
      <c r="I719" s="150" t="s">
        <v>3553</v>
      </c>
      <c r="J719" s="149" t="s">
        <v>3558</v>
      </c>
      <c r="K719" s="149" t="s">
        <v>3570</v>
      </c>
      <c r="L719" s="171">
        <f t="shared" si="15"/>
        <v>-200471000</v>
      </c>
    </row>
    <row r="720" spans="1:12" x14ac:dyDescent="0.25">
      <c r="A720" s="7" t="s">
        <v>1332</v>
      </c>
      <c r="B720" s="192"/>
      <c r="C720" s="191" t="s">
        <v>3625</v>
      </c>
      <c r="D720" s="192">
        <v>3</v>
      </c>
      <c r="E720" s="192" t="s">
        <v>9</v>
      </c>
      <c r="F720" s="193">
        <v>1000000</v>
      </c>
      <c r="G720" s="45">
        <f>ROUNDDOWN(D720*F720,-3)</f>
        <v>3000000</v>
      </c>
      <c r="H720" s="165">
        <v>15500000</v>
      </c>
      <c r="I720" s="150" t="s">
        <v>3553</v>
      </c>
      <c r="J720" s="149" t="s">
        <v>3558</v>
      </c>
      <c r="K720" s="149" t="s">
        <v>3570</v>
      </c>
      <c r="L720" s="171">
        <f t="shared" si="15"/>
        <v>-12500000</v>
      </c>
    </row>
    <row r="721" spans="1:12" x14ac:dyDescent="0.25">
      <c r="A721" s="7" t="s">
        <v>1333</v>
      </c>
      <c r="B721" s="61"/>
      <c r="C721" s="44" t="s">
        <v>3626</v>
      </c>
      <c r="D721" s="61">
        <v>3</v>
      </c>
      <c r="E721" s="61" t="s">
        <v>9</v>
      </c>
      <c r="F721" s="45">
        <v>1000000</v>
      </c>
      <c r="G721" s="45">
        <f>ROUNDDOWN(D721*F721,-3)</f>
        <v>3000000</v>
      </c>
      <c r="H721" s="165">
        <v>3000000</v>
      </c>
      <c r="I721" s="150" t="s">
        <v>3553</v>
      </c>
      <c r="J721" s="149" t="s">
        <v>3558</v>
      </c>
      <c r="K721" s="149" t="s">
        <v>3570</v>
      </c>
      <c r="L721" s="171">
        <f t="shared" si="15"/>
        <v>0</v>
      </c>
    </row>
    <row r="722" spans="1:12" x14ac:dyDescent="0.25">
      <c r="A722" s="7" t="s">
        <v>1334</v>
      </c>
      <c r="B722" s="61"/>
      <c r="C722" s="44" t="s">
        <v>3627</v>
      </c>
      <c r="D722" s="61">
        <v>1</v>
      </c>
      <c r="E722" s="61" t="s">
        <v>9</v>
      </c>
      <c r="F722" s="45">
        <v>2000000</v>
      </c>
      <c r="G722" s="45">
        <f>ROUNDDOWN(D722*F722,-3)</f>
        <v>2000000</v>
      </c>
      <c r="H722" s="165">
        <v>3000000</v>
      </c>
      <c r="I722" s="150" t="s">
        <v>3553</v>
      </c>
      <c r="J722" s="149" t="s">
        <v>3558</v>
      </c>
      <c r="K722" s="149" t="s">
        <v>3570</v>
      </c>
      <c r="L722" s="171">
        <f t="shared" si="15"/>
        <v>-1000000</v>
      </c>
    </row>
    <row r="723" spans="1:12" x14ac:dyDescent="0.25">
      <c r="A723" s="7" t="s">
        <v>1335</v>
      </c>
      <c r="B723" s="61"/>
      <c r="C723" s="44" t="s">
        <v>3872</v>
      </c>
      <c r="D723" s="61">
        <v>100</v>
      </c>
      <c r="E723" s="61" t="s">
        <v>10</v>
      </c>
      <c r="F723" s="45">
        <v>75000</v>
      </c>
      <c r="G723" s="45">
        <f>ROUNDDOWN(D723*F723,-3)</f>
        <v>7500000</v>
      </c>
      <c r="H723" s="165">
        <v>2000000</v>
      </c>
      <c r="I723" s="150" t="s">
        <v>3553</v>
      </c>
      <c r="J723" s="149" t="s">
        <v>3558</v>
      </c>
      <c r="K723" s="149" t="s">
        <v>3570</v>
      </c>
      <c r="L723" s="171">
        <f t="shared" si="15"/>
        <v>5500000</v>
      </c>
    </row>
    <row r="724" spans="1:12" x14ac:dyDescent="0.25">
      <c r="A724" s="7" t="s">
        <v>1337</v>
      </c>
      <c r="B724" s="60">
        <v>522151</v>
      </c>
      <c r="C724" s="41" t="s">
        <v>11</v>
      </c>
      <c r="D724" s="60"/>
      <c r="E724" s="60"/>
      <c r="F724" s="42"/>
      <c r="G724" s="42">
        <v>6000000</v>
      </c>
      <c r="H724" s="165">
        <v>7500000</v>
      </c>
      <c r="I724" s="150" t="s">
        <v>3553</v>
      </c>
      <c r="J724" s="149" t="s">
        <v>3558</v>
      </c>
      <c r="K724" s="149" t="s">
        <v>3570</v>
      </c>
      <c r="L724" s="171">
        <f t="shared" si="15"/>
        <v>-1500000</v>
      </c>
    </row>
    <row r="725" spans="1:12" x14ac:dyDescent="0.25">
      <c r="A725" s="7" t="s">
        <v>1338</v>
      </c>
      <c r="B725" s="192"/>
      <c r="C725" s="191" t="s">
        <v>3873</v>
      </c>
      <c r="D725" s="192">
        <v>6</v>
      </c>
      <c r="E725" s="192" t="s">
        <v>12</v>
      </c>
      <c r="F725" s="193">
        <v>1000000</v>
      </c>
      <c r="G725" s="45">
        <f>ROUNDDOWN(D725*F725,-3)</f>
        <v>6000000</v>
      </c>
      <c r="H725" s="165">
        <v>6000000</v>
      </c>
      <c r="I725" s="150" t="s">
        <v>3553</v>
      </c>
      <c r="J725" s="149" t="s">
        <v>3558</v>
      </c>
      <c r="K725" s="149" t="s">
        <v>3570</v>
      </c>
      <c r="L725" s="171">
        <f t="shared" si="15"/>
        <v>0</v>
      </c>
    </row>
    <row r="726" spans="1:12" x14ac:dyDescent="0.25">
      <c r="A726" s="7" t="s">
        <v>1340</v>
      </c>
      <c r="B726" s="60">
        <v>524111</v>
      </c>
      <c r="C726" s="41" t="s">
        <v>19</v>
      </c>
      <c r="D726" s="60"/>
      <c r="E726" s="60"/>
      <c r="F726" s="42"/>
      <c r="G726" s="42">
        <v>194471000</v>
      </c>
      <c r="H726" s="165">
        <v>6000000</v>
      </c>
      <c r="I726" s="150" t="s">
        <v>3553</v>
      </c>
      <c r="J726" s="149" t="s">
        <v>3558</v>
      </c>
      <c r="K726" s="149" t="s">
        <v>3570</v>
      </c>
      <c r="L726" s="171">
        <f t="shared" si="15"/>
        <v>188471000</v>
      </c>
    </row>
    <row r="727" spans="1:12" ht="26.4" x14ac:dyDescent="0.25">
      <c r="A727" s="7" t="s">
        <v>1341</v>
      </c>
      <c r="B727" s="192"/>
      <c r="C727" s="191" t="s">
        <v>3874</v>
      </c>
      <c r="D727" s="192">
        <v>30</v>
      </c>
      <c r="E727" s="192" t="s">
        <v>10</v>
      </c>
      <c r="F727" s="193">
        <v>6482367</v>
      </c>
      <c r="G727" s="45">
        <f>ROUNDDOWN(D727*F727,-3)</f>
        <v>194471000</v>
      </c>
      <c r="H727" s="165">
        <v>194471000</v>
      </c>
      <c r="I727" s="150" t="s">
        <v>3553</v>
      </c>
      <c r="J727" s="149" t="s">
        <v>3558</v>
      </c>
      <c r="K727" s="149" t="s">
        <v>3570</v>
      </c>
      <c r="L727" s="171">
        <f t="shared" si="15"/>
        <v>0</v>
      </c>
    </row>
    <row r="728" spans="1:12" ht="26.4" x14ac:dyDescent="0.25">
      <c r="A728" s="7" t="s">
        <v>1343</v>
      </c>
      <c r="B728" s="59" t="s">
        <v>512</v>
      </c>
      <c r="C728" s="38" t="s">
        <v>140</v>
      </c>
      <c r="D728" s="59"/>
      <c r="E728" s="59"/>
      <c r="F728" s="39"/>
      <c r="G728" s="39">
        <v>11200000</v>
      </c>
      <c r="H728" s="165">
        <v>194471000</v>
      </c>
      <c r="I728" s="150" t="s">
        <v>3553</v>
      </c>
      <c r="J728" s="149" t="s">
        <v>3558</v>
      </c>
      <c r="K728" s="149" t="s">
        <v>3570</v>
      </c>
      <c r="L728" s="171">
        <f t="shared" si="15"/>
        <v>-183271000</v>
      </c>
    </row>
    <row r="729" spans="1:12" x14ac:dyDescent="0.25">
      <c r="A729" s="7" t="s">
        <v>1344</v>
      </c>
      <c r="B729" s="60">
        <v>521211</v>
      </c>
      <c r="C729" s="41" t="s">
        <v>7</v>
      </c>
      <c r="D729" s="60"/>
      <c r="E729" s="60"/>
      <c r="F729" s="42"/>
      <c r="G729" s="42">
        <v>1200000</v>
      </c>
      <c r="H729" s="165">
        <v>11200000</v>
      </c>
      <c r="I729" s="150" t="s">
        <v>3553</v>
      </c>
      <c r="J729" s="149" t="s">
        <v>3558</v>
      </c>
      <c r="K729" s="149" t="s">
        <v>3570</v>
      </c>
      <c r="L729" s="171">
        <f t="shared" si="15"/>
        <v>-10000000</v>
      </c>
    </row>
    <row r="730" spans="1:12" x14ac:dyDescent="0.25">
      <c r="A730" s="7" t="s">
        <v>1345</v>
      </c>
      <c r="B730" s="192"/>
      <c r="C730" s="191" t="s">
        <v>3875</v>
      </c>
      <c r="D730" s="192">
        <v>16</v>
      </c>
      <c r="E730" s="192" t="s">
        <v>10</v>
      </c>
      <c r="F730" s="193">
        <v>75000</v>
      </c>
      <c r="G730" s="45">
        <f>ROUNDDOWN(D730*F730,-3)</f>
        <v>1200000</v>
      </c>
      <c r="H730" s="165">
        <v>1200000</v>
      </c>
      <c r="I730" s="150" t="s">
        <v>3553</v>
      </c>
      <c r="J730" s="149" t="s">
        <v>3558</v>
      </c>
      <c r="K730" s="149" t="s">
        <v>3570</v>
      </c>
      <c r="L730" s="171">
        <f t="shared" si="15"/>
        <v>0</v>
      </c>
    </row>
    <row r="731" spans="1:12" x14ac:dyDescent="0.25">
      <c r="A731" s="7" t="s">
        <v>1347</v>
      </c>
      <c r="B731" s="60">
        <v>521811</v>
      </c>
      <c r="C731" s="41" t="s">
        <v>64</v>
      </c>
      <c r="D731" s="60"/>
      <c r="E731" s="60"/>
      <c r="F731" s="42"/>
      <c r="G731" s="42">
        <v>4000000</v>
      </c>
      <c r="H731" s="165">
        <v>1200000</v>
      </c>
      <c r="I731" s="150" t="s">
        <v>3553</v>
      </c>
      <c r="J731" s="149" t="s">
        <v>3558</v>
      </c>
      <c r="K731" s="149" t="s">
        <v>3570</v>
      </c>
      <c r="L731" s="171">
        <f t="shared" si="15"/>
        <v>2800000</v>
      </c>
    </row>
    <row r="732" spans="1:12" x14ac:dyDescent="0.25">
      <c r="A732" s="7" t="s">
        <v>1348</v>
      </c>
      <c r="B732" s="192"/>
      <c r="C732" s="191" t="s">
        <v>3625</v>
      </c>
      <c r="D732" s="192">
        <v>2</v>
      </c>
      <c r="E732" s="192" t="s">
        <v>9</v>
      </c>
      <c r="F732" s="193">
        <v>1000000</v>
      </c>
      <c r="G732" s="45">
        <f>ROUNDDOWN(D732*F732,-3)</f>
        <v>2000000</v>
      </c>
      <c r="H732" s="165">
        <v>4000000</v>
      </c>
      <c r="I732" s="150" t="s">
        <v>3553</v>
      </c>
      <c r="J732" s="149" t="s">
        <v>3558</v>
      </c>
      <c r="K732" s="149" t="s">
        <v>3570</v>
      </c>
      <c r="L732" s="171">
        <f t="shared" si="15"/>
        <v>-2000000</v>
      </c>
    </row>
    <row r="733" spans="1:12" x14ac:dyDescent="0.25">
      <c r="A733" s="7" t="s">
        <v>1349</v>
      </c>
      <c r="B733" s="61"/>
      <c r="C733" s="44" t="s">
        <v>3626</v>
      </c>
      <c r="D733" s="61">
        <v>2</v>
      </c>
      <c r="E733" s="61" t="s">
        <v>9</v>
      </c>
      <c r="F733" s="45">
        <v>1000000</v>
      </c>
      <c r="G733" s="45">
        <f>ROUNDDOWN(D733*F733,-3)</f>
        <v>2000000</v>
      </c>
      <c r="H733" s="165">
        <v>2000000</v>
      </c>
      <c r="I733" s="150" t="s">
        <v>3553</v>
      </c>
      <c r="J733" s="149" t="s">
        <v>3558</v>
      </c>
      <c r="K733" s="149" t="s">
        <v>3570</v>
      </c>
      <c r="L733" s="171">
        <f t="shared" si="15"/>
        <v>0</v>
      </c>
    </row>
    <row r="734" spans="1:12" x14ac:dyDescent="0.25">
      <c r="A734" s="7" t="s">
        <v>1350</v>
      </c>
      <c r="B734" s="60">
        <v>524111</v>
      </c>
      <c r="C734" s="41" t="s">
        <v>19</v>
      </c>
      <c r="D734" s="60"/>
      <c r="E734" s="60"/>
      <c r="F734" s="42"/>
      <c r="G734" s="42">
        <v>6000000</v>
      </c>
      <c r="H734" s="165">
        <v>2000000</v>
      </c>
      <c r="I734" s="150" t="s">
        <v>3553</v>
      </c>
      <c r="J734" s="149" t="s">
        <v>3558</v>
      </c>
      <c r="K734" s="149" t="s">
        <v>3570</v>
      </c>
      <c r="L734" s="171">
        <f t="shared" si="15"/>
        <v>4000000</v>
      </c>
    </row>
    <row r="735" spans="1:12" x14ac:dyDescent="0.25">
      <c r="A735" s="7" t="s">
        <v>1351</v>
      </c>
      <c r="B735" s="192"/>
      <c r="C735" s="191" t="s">
        <v>3876</v>
      </c>
      <c r="D735" s="192">
        <v>4</v>
      </c>
      <c r="E735" s="192" t="s">
        <v>10</v>
      </c>
      <c r="F735" s="193">
        <v>1500000</v>
      </c>
      <c r="G735" s="45">
        <f>ROUNDDOWN(D735*F735,-3)</f>
        <v>6000000</v>
      </c>
      <c r="H735" s="165">
        <v>6000000</v>
      </c>
      <c r="I735" s="150" t="s">
        <v>3553</v>
      </c>
      <c r="J735" s="149" t="s">
        <v>3558</v>
      </c>
      <c r="K735" s="149" t="s">
        <v>3570</v>
      </c>
      <c r="L735" s="171">
        <f t="shared" si="15"/>
        <v>0</v>
      </c>
    </row>
    <row r="736" spans="1:12" x14ac:dyDescent="0.25">
      <c r="A736" s="7" t="s">
        <v>1353</v>
      </c>
      <c r="B736" s="59" t="s">
        <v>514</v>
      </c>
      <c r="C736" s="38" t="s">
        <v>1354</v>
      </c>
      <c r="D736" s="59"/>
      <c r="E736" s="59"/>
      <c r="F736" s="39"/>
      <c r="G736" s="39">
        <v>8750000</v>
      </c>
      <c r="H736" s="165">
        <v>6000000</v>
      </c>
      <c r="I736" s="150" t="s">
        <v>3553</v>
      </c>
      <c r="J736" s="149" t="s">
        <v>3558</v>
      </c>
      <c r="K736" s="149" t="s">
        <v>3570</v>
      </c>
      <c r="L736" s="171">
        <f t="shared" si="15"/>
        <v>2750000</v>
      </c>
    </row>
    <row r="737" spans="1:12" x14ac:dyDescent="0.25">
      <c r="A737" s="7" t="s">
        <v>1355</v>
      </c>
      <c r="B737" s="60">
        <v>521211</v>
      </c>
      <c r="C737" s="41" t="s">
        <v>7</v>
      </c>
      <c r="D737" s="60"/>
      <c r="E737" s="60"/>
      <c r="F737" s="42"/>
      <c r="G737" s="42">
        <v>8750000</v>
      </c>
      <c r="H737" s="165">
        <v>8750000</v>
      </c>
      <c r="I737" s="150" t="s">
        <v>3553</v>
      </c>
      <c r="J737" s="149" t="s">
        <v>3558</v>
      </c>
      <c r="K737" s="149" t="s">
        <v>3570</v>
      </c>
      <c r="L737" s="171">
        <f t="shared" si="15"/>
        <v>0</v>
      </c>
    </row>
    <row r="738" spans="1:12" x14ac:dyDescent="0.25">
      <c r="A738" s="7" t="s">
        <v>1356</v>
      </c>
      <c r="B738" s="192"/>
      <c r="C738" s="191" t="s">
        <v>3625</v>
      </c>
      <c r="D738" s="192">
        <v>1</v>
      </c>
      <c r="E738" s="192" t="s">
        <v>9</v>
      </c>
      <c r="F738" s="193">
        <v>1000000</v>
      </c>
      <c r="G738" s="45">
        <f>ROUNDDOWN(D738*F738,-3)</f>
        <v>1000000</v>
      </c>
      <c r="H738" s="165">
        <v>8750000</v>
      </c>
      <c r="I738" s="150" t="s">
        <v>3553</v>
      </c>
      <c r="J738" s="149" t="s">
        <v>3558</v>
      </c>
      <c r="K738" s="149" t="s">
        <v>3570</v>
      </c>
      <c r="L738" s="171">
        <f t="shared" si="15"/>
        <v>-7750000</v>
      </c>
    </row>
    <row r="739" spans="1:12" x14ac:dyDescent="0.25">
      <c r="A739" s="7" t="s">
        <v>1357</v>
      </c>
      <c r="B739" s="61"/>
      <c r="C739" s="44" t="s">
        <v>3626</v>
      </c>
      <c r="D739" s="61">
        <v>1</v>
      </c>
      <c r="E739" s="61" t="s">
        <v>9</v>
      </c>
      <c r="F739" s="45">
        <v>1000000</v>
      </c>
      <c r="G739" s="45">
        <f>ROUNDDOWN(D739*F739,-3)</f>
        <v>1000000</v>
      </c>
      <c r="H739" s="165">
        <v>1000000</v>
      </c>
      <c r="I739" s="150" t="s">
        <v>3553</v>
      </c>
      <c r="J739" s="149" t="s">
        <v>3558</v>
      </c>
      <c r="K739" s="149" t="s">
        <v>3570</v>
      </c>
      <c r="L739" s="171">
        <f t="shared" si="15"/>
        <v>0</v>
      </c>
    </row>
    <row r="740" spans="1:12" x14ac:dyDescent="0.25">
      <c r="A740" s="7" t="s">
        <v>1358</v>
      </c>
      <c r="B740" s="61"/>
      <c r="C740" s="44" t="s">
        <v>3627</v>
      </c>
      <c r="D740" s="61">
        <v>1</v>
      </c>
      <c r="E740" s="61" t="s">
        <v>9</v>
      </c>
      <c r="F740" s="45">
        <v>750000</v>
      </c>
      <c r="G740" s="45">
        <f>ROUNDDOWN(D740*F740,-3)</f>
        <v>750000</v>
      </c>
      <c r="H740" s="165">
        <v>1000000</v>
      </c>
      <c r="I740" s="150" t="s">
        <v>3553</v>
      </c>
      <c r="J740" s="149" t="s">
        <v>3558</v>
      </c>
      <c r="K740" s="149" t="s">
        <v>3570</v>
      </c>
      <c r="L740" s="171">
        <f t="shared" si="15"/>
        <v>-250000</v>
      </c>
    </row>
    <row r="741" spans="1:12" x14ac:dyDescent="0.25">
      <c r="A741" s="7" t="s">
        <v>1359</v>
      </c>
      <c r="B741" s="61"/>
      <c r="C741" s="44" t="s">
        <v>3877</v>
      </c>
      <c r="D741" s="61">
        <v>80</v>
      </c>
      <c r="E741" s="61" t="s">
        <v>10</v>
      </c>
      <c r="F741" s="45">
        <v>75000</v>
      </c>
      <c r="G741" s="45">
        <f>ROUNDDOWN(D741*F741,-3)</f>
        <v>6000000</v>
      </c>
      <c r="H741" s="165">
        <v>750000</v>
      </c>
      <c r="I741" s="150" t="s">
        <v>3553</v>
      </c>
      <c r="J741" s="149" t="s">
        <v>3558</v>
      </c>
      <c r="K741" s="149" t="s">
        <v>3570</v>
      </c>
      <c r="L741" s="171">
        <f t="shared" si="15"/>
        <v>5250000</v>
      </c>
    </row>
    <row r="742" spans="1:12" x14ac:dyDescent="0.25">
      <c r="A742" s="7" t="s">
        <v>1361</v>
      </c>
      <c r="B742" s="59" t="s">
        <v>519</v>
      </c>
      <c r="C742" s="38" t="s">
        <v>1362</v>
      </c>
      <c r="D742" s="59"/>
      <c r="E742" s="59"/>
      <c r="F742" s="39"/>
      <c r="G742" s="39">
        <v>174450000</v>
      </c>
      <c r="H742" s="165">
        <v>6000000</v>
      </c>
      <c r="I742" s="150" t="s">
        <v>3553</v>
      </c>
      <c r="J742" s="149" t="s">
        <v>3558</v>
      </c>
      <c r="K742" s="149" t="s">
        <v>3570</v>
      </c>
      <c r="L742" s="171">
        <f t="shared" si="15"/>
        <v>168450000</v>
      </c>
    </row>
    <row r="743" spans="1:12" x14ac:dyDescent="0.25">
      <c r="A743" s="7" t="s">
        <v>1363</v>
      </c>
      <c r="B743" s="60">
        <v>521211</v>
      </c>
      <c r="C743" s="41" t="s">
        <v>7</v>
      </c>
      <c r="D743" s="60"/>
      <c r="E743" s="60"/>
      <c r="F743" s="42"/>
      <c r="G743" s="42">
        <v>10750000</v>
      </c>
      <c r="H743" s="165">
        <v>174450000</v>
      </c>
      <c r="I743" s="150" t="s">
        <v>3553</v>
      </c>
      <c r="J743" s="149" t="s">
        <v>3558</v>
      </c>
      <c r="K743" s="149" t="s">
        <v>3570</v>
      </c>
      <c r="L743" s="171">
        <f t="shared" si="15"/>
        <v>-163700000</v>
      </c>
    </row>
    <row r="744" spans="1:12" x14ac:dyDescent="0.25">
      <c r="A744" s="7" t="s">
        <v>1364</v>
      </c>
      <c r="B744" s="192"/>
      <c r="C744" s="191" t="s">
        <v>3625</v>
      </c>
      <c r="D744" s="192">
        <v>1</v>
      </c>
      <c r="E744" s="192" t="s">
        <v>9</v>
      </c>
      <c r="F744" s="193">
        <v>1000000</v>
      </c>
      <c r="G744" s="45">
        <f>ROUNDDOWN(D744*F744,-3)</f>
        <v>1000000</v>
      </c>
      <c r="H744" s="165">
        <v>10750000</v>
      </c>
      <c r="I744" s="150" t="s">
        <v>3553</v>
      </c>
      <c r="J744" s="149" t="s">
        <v>3558</v>
      </c>
      <c r="K744" s="149" t="s">
        <v>3570</v>
      </c>
      <c r="L744" s="171">
        <f t="shared" si="15"/>
        <v>-9750000</v>
      </c>
    </row>
    <row r="745" spans="1:12" x14ac:dyDescent="0.25">
      <c r="A745" s="7" t="s">
        <v>1365</v>
      </c>
      <c r="B745" s="61"/>
      <c r="C745" s="44" t="s">
        <v>3878</v>
      </c>
      <c r="D745" s="61">
        <v>1</v>
      </c>
      <c r="E745" s="61" t="s">
        <v>9</v>
      </c>
      <c r="F745" s="45">
        <v>1000000</v>
      </c>
      <c r="G745" s="45">
        <f>ROUNDDOWN(D745*F745,-3)</f>
        <v>1000000</v>
      </c>
      <c r="H745" s="165">
        <v>1000000</v>
      </c>
      <c r="I745" s="150" t="s">
        <v>3553</v>
      </c>
      <c r="J745" s="149" t="s">
        <v>3558</v>
      </c>
      <c r="K745" s="149" t="s">
        <v>3570</v>
      </c>
      <c r="L745" s="171">
        <f t="shared" si="15"/>
        <v>0</v>
      </c>
    </row>
    <row r="746" spans="1:12" x14ac:dyDescent="0.25">
      <c r="A746" s="7" t="s">
        <v>1367</v>
      </c>
      <c r="B746" s="61"/>
      <c r="C746" s="44" t="s">
        <v>3879</v>
      </c>
      <c r="D746" s="61">
        <v>10</v>
      </c>
      <c r="E746" s="61" t="s">
        <v>1369</v>
      </c>
      <c r="F746" s="45">
        <v>425000</v>
      </c>
      <c r="G746" s="45">
        <f>ROUNDDOWN(D746*F746,-3)</f>
        <v>4250000</v>
      </c>
      <c r="H746" s="165">
        <v>1000000</v>
      </c>
      <c r="I746" s="150" t="s">
        <v>3553</v>
      </c>
      <c r="J746" s="149" t="s">
        <v>3558</v>
      </c>
      <c r="K746" s="149" t="s">
        <v>3570</v>
      </c>
      <c r="L746" s="171">
        <f t="shared" si="15"/>
        <v>3250000</v>
      </c>
    </row>
    <row r="747" spans="1:12" x14ac:dyDescent="0.25">
      <c r="A747" s="7" t="s">
        <v>1370</v>
      </c>
      <c r="B747" s="61"/>
      <c r="C747" s="44" t="s">
        <v>3880</v>
      </c>
      <c r="D747" s="61">
        <v>60</v>
      </c>
      <c r="E747" s="61" t="s">
        <v>10</v>
      </c>
      <c r="F747" s="45">
        <v>75000</v>
      </c>
      <c r="G747" s="45">
        <f>ROUNDDOWN(D747*F747,-3)</f>
        <v>4500000</v>
      </c>
      <c r="H747" s="165">
        <v>4250000</v>
      </c>
      <c r="I747" s="150" t="s">
        <v>3553</v>
      </c>
      <c r="J747" s="149" t="s">
        <v>3558</v>
      </c>
      <c r="K747" s="149" t="s">
        <v>3570</v>
      </c>
      <c r="L747" s="171">
        <f t="shared" si="15"/>
        <v>250000</v>
      </c>
    </row>
    <row r="748" spans="1:12" x14ac:dyDescent="0.25">
      <c r="A748" s="7" t="s">
        <v>1372</v>
      </c>
      <c r="B748" s="60">
        <v>522151</v>
      </c>
      <c r="C748" s="41" t="s">
        <v>11</v>
      </c>
      <c r="D748" s="60"/>
      <c r="E748" s="60"/>
      <c r="F748" s="42"/>
      <c r="G748" s="42">
        <v>13700000</v>
      </c>
      <c r="H748" s="165">
        <v>4500000</v>
      </c>
      <c r="I748" s="150" t="s">
        <v>3553</v>
      </c>
      <c r="J748" s="149" t="s">
        <v>3558</v>
      </c>
      <c r="K748" s="149" t="s">
        <v>3570</v>
      </c>
      <c r="L748" s="171">
        <f t="shared" si="15"/>
        <v>9200000</v>
      </c>
    </row>
    <row r="749" spans="1:12" x14ac:dyDescent="0.25">
      <c r="A749" s="7" t="s">
        <v>1373</v>
      </c>
      <c r="B749" s="192"/>
      <c r="C749" s="191" t="s">
        <v>3881</v>
      </c>
      <c r="D749" s="192">
        <v>2</v>
      </c>
      <c r="E749" s="192" t="s">
        <v>12</v>
      </c>
      <c r="F749" s="193">
        <v>1000000</v>
      </c>
      <c r="G749" s="45">
        <f>ROUNDDOWN(D749*F749,-3)</f>
        <v>2000000</v>
      </c>
      <c r="H749" s="165">
        <v>13700000</v>
      </c>
      <c r="I749" s="150" t="s">
        <v>3553</v>
      </c>
      <c r="J749" s="149" t="s">
        <v>3558</v>
      </c>
      <c r="K749" s="149" t="s">
        <v>3570</v>
      </c>
      <c r="L749" s="171">
        <f t="shared" si="15"/>
        <v>-11700000</v>
      </c>
    </row>
    <row r="750" spans="1:12" x14ac:dyDescent="0.25">
      <c r="A750" s="7" t="s">
        <v>1375</v>
      </c>
      <c r="B750" s="61"/>
      <c r="C750" s="44" t="s">
        <v>3882</v>
      </c>
      <c r="D750" s="61">
        <v>4</v>
      </c>
      <c r="E750" s="61" t="s">
        <v>54</v>
      </c>
      <c r="F750" s="45">
        <v>900000</v>
      </c>
      <c r="G750" s="45">
        <f>ROUNDDOWN(D750*F750,-3)</f>
        <v>3600000</v>
      </c>
      <c r="H750" s="165">
        <v>2000000</v>
      </c>
      <c r="I750" s="150" t="s">
        <v>3553</v>
      </c>
      <c r="J750" s="149" t="s">
        <v>3558</v>
      </c>
      <c r="K750" s="149" t="s">
        <v>3570</v>
      </c>
      <c r="L750" s="171">
        <f t="shared" si="15"/>
        <v>1600000</v>
      </c>
    </row>
    <row r="751" spans="1:12" ht="26.4" x14ac:dyDescent="0.25">
      <c r="A751" s="7" t="s">
        <v>1377</v>
      </c>
      <c r="B751" s="61"/>
      <c r="C751" s="44" t="s">
        <v>3883</v>
      </c>
      <c r="D751" s="61">
        <v>9</v>
      </c>
      <c r="E751" s="61" t="s">
        <v>54</v>
      </c>
      <c r="F751" s="45">
        <v>900000</v>
      </c>
      <c r="G751" s="45">
        <f>ROUNDDOWN(D751*F751,-3)</f>
        <v>8100000</v>
      </c>
      <c r="H751" s="165">
        <v>3600000</v>
      </c>
      <c r="I751" s="150" t="s">
        <v>3553</v>
      </c>
      <c r="J751" s="149" t="s">
        <v>3558</v>
      </c>
      <c r="K751" s="149" t="s">
        <v>3570</v>
      </c>
      <c r="L751" s="171">
        <f t="shared" si="15"/>
        <v>4500000</v>
      </c>
    </row>
    <row r="752" spans="1:12" x14ac:dyDescent="0.25">
      <c r="A752" s="7" t="s">
        <v>1379</v>
      </c>
      <c r="B752" s="60">
        <v>524111</v>
      </c>
      <c r="C752" s="41" t="s">
        <v>19</v>
      </c>
      <c r="D752" s="60"/>
      <c r="E752" s="60"/>
      <c r="F752" s="42"/>
      <c r="G752" s="42">
        <v>150000000</v>
      </c>
      <c r="H752" s="165">
        <v>8100000</v>
      </c>
      <c r="I752" s="150" t="s">
        <v>3553</v>
      </c>
      <c r="J752" s="149" t="s">
        <v>3558</v>
      </c>
      <c r="K752" s="149" t="s">
        <v>3570</v>
      </c>
      <c r="L752" s="171">
        <f t="shared" si="15"/>
        <v>141900000</v>
      </c>
    </row>
    <row r="753" spans="1:12" x14ac:dyDescent="0.25">
      <c r="A753" s="7" t="s">
        <v>1380</v>
      </c>
      <c r="B753" s="192"/>
      <c r="C753" s="191" t="s">
        <v>3884</v>
      </c>
      <c r="D753" s="192">
        <v>15</v>
      </c>
      <c r="E753" s="192" t="s">
        <v>25</v>
      </c>
      <c r="F753" s="193">
        <v>6000000</v>
      </c>
      <c r="G753" s="45">
        <f>ROUNDDOWN(D753*F753,-3)</f>
        <v>90000000</v>
      </c>
      <c r="H753" s="165">
        <v>150000000</v>
      </c>
      <c r="I753" s="150" t="s">
        <v>3553</v>
      </c>
      <c r="J753" s="149" t="s">
        <v>3558</v>
      </c>
      <c r="K753" s="149" t="s">
        <v>3570</v>
      </c>
      <c r="L753" s="171">
        <f t="shared" si="15"/>
        <v>-60000000</v>
      </c>
    </row>
    <row r="754" spans="1:12" x14ac:dyDescent="0.25">
      <c r="A754" s="7" t="s">
        <v>1382</v>
      </c>
      <c r="B754" s="61"/>
      <c r="C754" s="44" t="s">
        <v>3885</v>
      </c>
      <c r="D754" s="61">
        <v>10</v>
      </c>
      <c r="E754" s="61" t="s">
        <v>25</v>
      </c>
      <c r="F754" s="45">
        <v>6000000</v>
      </c>
      <c r="G754" s="45">
        <f>ROUNDDOWN(D754*F754,-3)</f>
        <v>60000000</v>
      </c>
      <c r="H754" s="165">
        <v>90000000</v>
      </c>
      <c r="I754" s="150" t="s">
        <v>3553</v>
      </c>
      <c r="J754" s="149" t="s">
        <v>3558</v>
      </c>
      <c r="K754" s="149" t="s">
        <v>3570</v>
      </c>
      <c r="L754" s="171">
        <f t="shared" si="15"/>
        <v>-30000000</v>
      </c>
    </row>
    <row r="755" spans="1:12" x14ac:dyDescent="0.25">
      <c r="A755" s="7" t="s">
        <v>1384</v>
      </c>
      <c r="B755" s="59" t="s">
        <v>578</v>
      </c>
      <c r="C755" s="38" t="s">
        <v>141</v>
      </c>
      <c r="D755" s="59"/>
      <c r="E755" s="59"/>
      <c r="F755" s="39"/>
      <c r="G755" s="39">
        <v>420000000</v>
      </c>
      <c r="H755" s="165">
        <v>60000000</v>
      </c>
      <c r="I755" s="150" t="s">
        <v>3553</v>
      </c>
      <c r="J755" s="149" t="s">
        <v>3558</v>
      </c>
      <c r="K755" s="149" t="s">
        <v>3570</v>
      </c>
      <c r="L755" s="171">
        <f t="shared" si="15"/>
        <v>360000000</v>
      </c>
    </row>
    <row r="756" spans="1:12" x14ac:dyDescent="0.25">
      <c r="A756" s="7" t="s">
        <v>1385</v>
      </c>
      <c r="B756" s="60">
        <v>524111</v>
      </c>
      <c r="C756" s="41" t="s">
        <v>19</v>
      </c>
      <c r="D756" s="60"/>
      <c r="E756" s="60"/>
      <c r="F756" s="42"/>
      <c r="G756" s="42">
        <v>420000000</v>
      </c>
      <c r="H756" s="165">
        <v>420000000</v>
      </c>
      <c r="I756" s="150" t="s">
        <v>3553</v>
      </c>
      <c r="J756" s="149" t="s">
        <v>3558</v>
      </c>
      <c r="K756" s="149" t="s">
        <v>3570</v>
      </c>
      <c r="L756" s="171">
        <f t="shared" si="15"/>
        <v>0</v>
      </c>
    </row>
    <row r="757" spans="1:12" x14ac:dyDescent="0.25">
      <c r="A757" s="7" t="s">
        <v>1386</v>
      </c>
      <c r="B757" s="192"/>
      <c r="C757" s="191" t="s">
        <v>3886</v>
      </c>
      <c r="D757" s="192">
        <v>70</v>
      </c>
      <c r="E757" s="192" t="s">
        <v>25</v>
      </c>
      <c r="F757" s="193">
        <v>6000000</v>
      </c>
      <c r="G757" s="45">
        <f>ROUNDDOWN(D757*F757,-3)</f>
        <v>420000000</v>
      </c>
      <c r="H757" s="165">
        <v>420000000</v>
      </c>
      <c r="I757" s="150" t="s">
        <v>3553</v>
      </c>
      <c r="J757" s="149" t="s">
        <v>3558</v>
      </c>
      <c r="K757" s="149" t="s">
        <v>3570</v>
      </c>
      <c r="L757" s="171">
        <f t="shared" si="15"/>
        <v>0</v>
      </c>
    </row>
    <row r="758" spans="1:12" ht="26.4" x14ac:dyDescent="0.25">
      <c r="A758" s="7" t="s">
        <v>1388</v>
      </c>
      <c r="B758" s="58">
        <v>301</v>
      </c>
      <c r="C758" s="35" t="s">
        <v>1389</v>
      </c>
      <c r="D758" s="58">
        <v>0</v>
      </c>
      <c r="E758" s="58"/>
      <c r="F758" s="36"/>
      <c r="G758" s="36">
        <v>2736502000</v>
      </c>
      <c r="H758" s="165">
        <v>420000000</v>
      </c>
      <c r="I758" s="150" t="s">
        <v>3553</v>
      </c>
      <c r="J758" s="149" t="s">
        <v>3558</v>
      </c>
      <c r="K758" s="149" t="s">
        <v>3570</v>
      </c>
      <c r="L758" s="171">
        <f t="shared" si="15"/>
        <v>2316502000</v>
      </c>
    </row>
    <row r="759" spans="1:12" x14ac:dyDescent="0.25">
      <c r="A759" s="7" t="s">
        <v>1390</v>
      </c>
      <c r="B759" s="59" t="s">
        <v>8</v>
      </c>
      <c r="C759" s="38" t="s">
        <v>148</v>
      </c>
      <c r="D759" s="59"/>
      <c r="E759" s="59"/>
      <c r="F759" s="39"/>
      <c r="G759" s="39">
        <v>42100000</v>
      </c>
      <c r="H759" s="165">
        <v>2736502000</v>
      </c>
      <c r="I759" s="150" t="s">
        <v>557</v>
      </c>
      <c r="J759" s="149"/>
      <c r="K759" s="149"/>
      <c r="L759" s="171">
        <f t="shared" si="15"/>
        <v>-2694402000</v>
      </c>
    </row>
    <row r="760" spans="1:12" x14ac:dyDescent="0.25">
      <c r="A760" s="7" t="s">
        <v>1391</v>
      </c>
      <c r="B760" s="60">
        <v>521211</v>
      </c>
      <c r="C760" s="41" t="s">
        <v>7</v>
      </c>
      <c r="D760" s="60"/>
      <c r="E760" s="60"/>
      <c r="F760" s="42"/>
      <c r="G760" s="42">
        <v>22000000</v>
      </c>
      <c r="H760" s="165">
        <v>42100000</v>
      </c>
      <c r="I760" s="150" t="s">
        <v>557</v>
      </c>
      <c r="J760" s="149" t="s">
        <v>3558</v>
      </c>
      <c r="K760" s="149" t="s">
        <v>3570</v>
      </c>
      <c r="L760" s="171">
        <f t="shared" si="15"/>
        <v>-20100000</v>
      </c>
    </row>
    <row r="761" spans="1:12" x14ac:dyDescent="0.25">
      <c r="A761" s="7" t="s">
        <v>1392</v>
      </c>
      <c r="B761" s="192"/>
      <c r="C761" s="191" t="s">
        <v>3625</v>
      </c>
      <c r="D761" s="192">
        <v>4</v>
      </c>
      <c r="E761" s="192" t="s">
        <v>9</v>
      </c>
      <c r="F761" s="193">
        <v>1500000</v>
      </c>
      <c r="G761" s="45">
        <f>ROUNDDOWN(D761*F761,-3)</f>
        <v>6000000</v>
      </c>
      <c r="H761" s="165">
        <v>22000000</v>
      </c>
      <c r="I761" s="150" t="s">
        <v>557</v>
      </c>
      <c r="J761" s="149" t="s">
        <v>3558</v>
      </c>
      <c r="K761" s="149" t="s">
        <v>3570</v>
      </c>
      <c r="L761" s="171">
        <f t="shared" si="15"/>
        <v>-16000000</v>
      </c>
    </row>
    <row r="762" spans="1:12" x14ac:dyDescent="0.25">
      <c r="A762" s="7" t="s">
        <v>1393</v>
      </c>
      <c r="B762" s="61"/>
      <c r="C762" s="44" t="s">
        <v>3626</v>
      </c>
      <c r="D762" s="61">
        <v>4</v>
      </c>
      <c r="E762" s="61" t="s">
        <v>9</v>
      </c>
      <c r="F762" s="45">
        <v>1000000</v>
      </c>
      <c r="G762" s="45">
        <f>ROUNDDOWN(D762*F762,-3)</f>
        <v>4000000</v>
      </c>
      <c r="H762" s="168">
        <v>6000000</v>
      </c>
      <c r="I762" s="150" t="s">
        <v>557</v>
      </c>
      <c r="J762" s="149" t="s">
        <v>3558</v>
      </c>
      <c r="K762" s="149" t="s">
        <v>3570</v>
      </c>
      <c r="L762" s="171">
        <f t="shared" si="15"/>
        <v>-2000000</v>
      </c>
    </row>
    <row r="763" spans="1:12" x14ac:dyDescent="0.25">
      <c r="A763" s="7" t="s">
        <v>1394</v>
      </c>
      <c r="B763" s="61"/>
      <c r="C763" s="44" t="s">
        <v>3627</v>
      </c>
      <c r="D763" s="61">
        <v>4</v>
      </c>
      <c r="E763" s="61" t="s">
        <v>9</v>
      </c>
      <c r="F763" s="45">
        <v>1500000</v>
      </c>
      <c r="G763" s="45">
        <f>ROUNDDOWN(D763*F763,-3)</f>
        <v>6000000</v>
      </c>
      <c r="H763" s="168">
        <v>4000000</v>
      </c>
      <c r="I763" s="150" t="s">
        <v>557</v>
      </c>
      <c r="J763" s="149" t="s">
        <v>3558</v>
      </c>
      <c r="K763" s="149" t="s">
        <v>3570</v>
      </c>
      <c r="L763" s="171">
        <f t="shared" si="15"/>
        <v>2000000</v>
      </c>
    </row>
    <row r="764" spans="1:12" x14ac:dyDescent="0.25">
      <c r="A764" s="7" t="s">
        <v>1395</v>
      </c>
      <c r="B764" s="61"/>
      <c r="C764" s="44" t="s">
        <v>3887</v>
      </c>
      <c r="D764" s="61">
        <v>12</v>
      </c>
      <c r="E764" s="61" t="s">
        <v>176</v>
      </c>
      <c r="F764" s="45">
        <v>500000</v>
      </c>
      <c r="G764" s="45">
        <f>ROUNDDOWN(D764*F764,-3)</f>
        <v>6000000</v>
      </c>
      <c r="H764" s="168">
        <v>6000000</v>
      </c>
      <c r="I764" s="150" t="s">
        <v>557</v>
      </c>
      <c r="J764" s="149" t="s">
        <v>3558</v>
      </c>
      <c r="K764" s="149" t="s">
        <v>3570</v>
      </c>
      <c r="L764" s="171">
        <f t="shared" si="15"/>
        <v>0</v>
      </c>
    </row>
    <row r="765" spans="1:12" x14ac:dyDescent="0.25">
      <c r="A765" s="7" t="s">
        <v>1397</v>
      </c>
      <c r="B765" s="60">
        <v>524111</v>
      </c>
      <c r="C765" s="41" t="s">
        <v>19</v>
      </c>
      <c r="D765" s="60"/>
      <c r="E765" s="60"/>
      <c r="F765" s="42"/>
      <c r="G765" s="42">
        <v>18000000</v>
      </c>
      <c r="H765" s="168">
        <v>6000000</v>
      </c>
      <c r="I765" s="150" t="s">
        <v>557</v>
      </c>
      <c r="J765" s="149" t="s">
        <v>3558</v>
      </c>
      <c r="K765" s="149" t="s">
        <v>3570</v>
      </c>
      <c r="L765" s="171">
        <f t="shared" si="15"/>
        <v>12000000</v>
      </c>
    </row>
    <row r="766" spans="1:12" x14ac:dyDescent="0.25">
      <c r="A766" s="7" t="s">
        <v>1398</v>
      </c>
      <c r="B766" s="192"/>
      <c r="C766" s="191" t="s">
        <v>3888</v>
      </c>
      <c r="D766" s="192">
        <v>6</v>
      </c>
      <c r="E766" s="192" t="s">
        <v>10</v>
      </c>
      <c r="F766" s="193">
        <v>3000000</v>
      </c>
      <c r="G766" s="45">
        <f>ROUNDDOWN(D766*F766,-3)</f>
        <v>18000000</v>
      </c>
      <c r="H766" s="165">
        <v>18000000</v>
      </c>
      <c r="I766" s="150" t="s">
        <v>557</v>
      </c>
      <c r="J766" s="149" t="s">
        <v>3558</v>
      </c>
      <c r="K766" s="149" t="s">
        <v>3570</v>
      </c>
      <c r="L766" s="171">
        <f t="shared" si="15"/>
        <v>0</v>
      </c>
    </row>
    <row r="767" spans="1:12" x14ac:dyDescent="0.25">
      <c r="A767" s="7" t="s">
        <v>1400</v>
      </c>
      <c r="B767" s="60">
        <v>524113</v>
      </c>
      <c r="C767" s="41" t="s">
        <v>13</v>
      </c>
      <c r="D767" s="60"/>
      <c r="E767" s="60"/>
      <c r="F767" s="42"/>
      <c r="G767" s="42">
        <v>2100000</v>
      </c>
      <c r="H767" s="168">
        <v>18000000</v>
      </c>
      <c r="I767" s="150" t="s">
        <v>557</v>
      </c>
      <c r="J767" s="149" t="s">
        <v>3558</v>
      </c>
      <c r="K767" s="149" t="s">
        <v>3570</v>
      </c>
      <c r="L767" s="171">
        <f t="shared" si="15"/>
        <v>-15900000</v>
      </c>
    </row>
    <row r="768" spans="1:12" x14ac:dyDescent="0.25">
      <c r="A768" s="7" t="s">
        <v>1401</v>
      </c>
      <c r="B768" s="192"/>
      <c r="C768" s="191" t="s">
        <v>3889</v>
      </c>
      <c r="D768" s="192">
        <v>14</v>
      </c>
      <c r="E768" s="192" t="s">
        <v>10</v>
      </c>
      <c r="F768" s="193">
        <v>150000</v>
      </c>
      <c r="G768" s="45">
        <f>ROUNDDOWN(D768*F768,-3)</f>
        <v>2100000</v>
      </c>
      <c r="H768" s="165">
        <v>2100000</v>
      </c>
      <c r="I768" s="150" t="s">
        <v>557</v>
      </c>
      <c r="J768" s="149" t="s">
        <v>3558</v>
      </c>
      <c r="K768" s="149" t="s">
        <v>3570</v>
      </c>
      <c r="L768" s="171">
        <f t="shared" si="15"/>
        <v>0</v>
      </c>
    </row>
    <row r="769" spans="1:12" x14ac:dyDescent="0.25">
      <c r="A769" s="7" t="s">
        <v>1403</v>
      </c>
      <c r="B769" s="59" t="s">
        <v>511</v>
      </c>
      <c r="C769" s="38" t="s">
        <v>150</v>
      </c>
      <c r="D769" s="59"/>
      <c r="E769" s="59"/>
      <c r="F769" s="39"/>
      <c r="G769" s="39">
        <v>571380000</v>
      </c>
      <c r="H769" s="168">
        <v>2100000</v>
      </c>
      <c r="I769" s="150" t="s">
        <v>557</v>
      </c>
      <c r="J769" s="149" t="s">
        <v>3558</v>
      </c>
      <c r="K769" s="149" t="s">
        <v>3570</v>
      </c>
      <c r="L769" s="171">
        <f t="shared" si="15"/>
        <v>569280000</v>
      </c>
    </row>
    <row r="770" spans="1:12" x14ac:dyDescent="0.25">
      <c r="A770" s="7" t="s">
        <v>1404</v>
      </c>
      <c r="B770" s="60">
        <v>521211</v>
      </c>
      <c r="C770" s="41" t="s">
        <v>7</v>
      </c>
      <c r="D770" s="60"/>
      <c r="E770" s="60"/>
      <c r="F770" s="42"/>
      <c r="G770" s="42">
        <v>10000000</v>
      </c>
      <c r="H770" s="165">
        <v>571380000</v>
      </c>
      <c r="I770" s="150" t="s">
        <v>557</v>
      </c>
      <c r="J770" s="149" t="s">
        <v>3558</v>
      </c>
      <c r="K770" s="149" t="s">
        <v>3570</v>
      </c>
      <c r="L770" s="171">
        <f t="shared" si="15"/>
        <v>-561380000</v>
      </c>
    </row>
    <row r="771" spans="1:12" x14ac:dyDescent="0.25">
      <c r="A771" s="7" t="s">
        <v>1405</v>
      </c>
      <c r="B771" s="192"/>
      <c r="C771" s="191" t="s">
        <v>3625</v>
      </c>
      <c r="D771" s="192">
        <v>4</v>
      </c>
      <c r="E771" s="192" t="s">
        <v>9</v>
      </c>
      <c r="F771" s="193">
        <v>1500000</v>
      </c>
      <c r="G771" s="45">
        <f>ROUNDDOWN(D771*F771,-3)</f>
        <v>6000000</v>
      </c>
      <c r="H771" s="165">
        <v>10000000</v>
      </c>
      <c r="I771" s="150" t="s">
        <v>557</v>
      </c>
      <c r="J771" s="149" t="s">
        <v>3558</v>
      </c>
      <c r="K771" s="149" t="s">
        <v>3570</v>
      </c>
      <c r="L771" s="171">
        <f t="shared" si="15"/>
        <v>-4000000</v>
      </c>
    </row>
    <row r="772" spans="1:12" x14ac:dyDescent="0.25">
      <c r="A772" s="7" t="s">
        <v>1406</v>
      </c>
      <c r="B772" s="61"/>
      <c r="C772" s="44" t="s">
        <v>3626</v>
      </c>
      <c r="D772" s="61">
        <v>4</v>
      </c>
      <c r="E772" s="61" t="s">
        <v>9</v>
      </c>
      <c r="F772" s="45">
        <v>1000000</v>
      </c>
      <c r="G772" s="45">
        <f>ROUNDDOWN(D772*F772,-3)</f>
        <v>4000000</v>
      </c>
      <c r="H772" s="168">
        <v>6000000</v>
      </c>
      <c r="I772" s="150" t="s">
        <v>557</v>
      </c>
      <c r="J772" s="149" t="s">
        <v>3558</v>
      </c>
      <c r="K772" s="149" t="s">
        <v>3570</v>
      </c>
      <c r="L772" s="171">
        <f t="shared" si="15"/>
        <v>-2000000</v>
      </c>
    </row>
    <row r="773" spans="1:12" x14ac:dyDescent="0.25">
      <c r="A773" s="7" t="s">
        <v>1407</v>
      </c>
      <c r="B773" s="60">
        <v>521219</v>
      </c>
      <c r="C773" s="41" t="s">
        <v>53</v>
      </c>
      <c r="D773" s="60"/>
      <c r="E773" s="60"/>
      <c r="F773" s="42"/>
      <c r="G773" s="42">
        <v>7800000</v>
      </c>
      <c r="H773" s="168">
        <v>4000000</v>
      </c>
      <c r="I773" s="150" t="s">
        <v>557</v>
      </c>
      <c r="J773" s="149" t="s">
        <v>3558</v>
      </c>
      <c r="K773" s="149" t="s">
        <v>3570</v>
      </c>
      <c r="L773" s="171">
        <f t="shared" si="15"/>
        <v>3800000</v>
      </c>
    </row>
    <row r="774" spans="1:12" x14ac:dyDescent="0.25">
      <c r="A774" s="7" t="s">
        <v>1408</v>
      </c>
      <c r="B774" s="192"/>
      <c r="C774" s="191" t="s">
        <v>3722</v>
      </c>
      <c r="D774" s="192">
        <v>12</v>
      </c>
      <c r="E774" s="192" t="s">
        <v>66</v>
      </c>
      <c r="F774" s="193">
        <v>650000</v>
      </c>
      <c r="G774" s="45">
        <f>ROUNDDOWN(D774*F774,-3)</f>
        <v>7800000</v>
      </c>
      <c r="H774" s="165">
        <v>7800000</v>
      </c>
      <c r="I774" s="150" t="s">
        <v>557</v>
      </c>
      <c r="J774" s="149" t="s">
        <v>3558</v>
      </c>
      <c r="K774" s="149" t="s">
        <v>3570</v>
      </c>
      <c r="L774" s="171">
        <f t="shared" si="15"/>
        <v>0</v>
      </c>
    </row>
    <row r="775" spans="1:12" x14ac:dyDescent="0.25">
      <c r="A775" s="7" t="s">
        <v>1409</v>
      </c>
      <c r="B775" s="60">
        <v>522192</v>
      </c>
      <c r="C775" s="41" t="s">
        <v>24</v>
      </c>
      <c r="D775" s="60"/>
      <c r="E775" s="60"/>
      <c r="F775" s="42"/>
      <c r="G775" s="42">
        <v>39080000</v>
      </c>
      <c r="H775" s="168">
        <v>7800000</v>
      </c>
      <c r="I775" s="150" t="s">
        <v>557</v>
      </c>
      <c r="J775" s="149" t="s">
        <v>3558</v>
      </c>
      <c r="K775" s="149" t="s">
        <v>3570</v>
      </c>
      <c r="L775" s="171">
        <f t="shared" si="15"/>
        <v>31280000</v>
      </c>
    </row>
    <row r="776" spans="1:12" x14ac:dyDescent="0.25">
      <c r="A776" s="7" t="s">
        <v>1410</v>
      </c>
      <c r="B776" s="192"/>
      <c r="C776" s="191" t="s">
        <v>3890</v>
      </c>
      <c r="D776" s="192">
        <v>80</v>
      </c>
      <c r="E776" s="192" t="s">
        <v>25</v>
      </c>
      <c r="F776" s="193">
        <v>488500</v>
      </c>
      <c r="G776" s="45">
        <f>ROUNDDOWN(D776*F776,-3)</f>
        <v>39080000</v>
      </c>
      <c r="H776" s="165">
        <v>39080000</v>
      </c>
      <c r="I776" s="150" t="s">
        <v>557</v>
      </c>
      <c r="J776" s="149" t="s">
        <v>3558</v>
      </c>
      <c r="K776" s="149" t="s">
        <v>3570</v>
      </c>
      <c r="L776" s="171">
        <f t="shared" si="15"/>
        <v>0</v>
      </c>
    </row>
    <row r="777" spans="1:12" x14ac:dyDescent="0.25">
      <c r="A777" s="7" t="s">
        <v>1412</v>
      </c>
      <c r="B777" s="60">
        <v>524111</v>
      </c>
      <c r="C777" s="41" t="s">
        <v>19</v>
      </c>
      <c r="D777" s="60"/>
      <c r="E777" s="60"/>
      <c r="F777" s="42"/>
      <c r="G777" s="42">
        <v>514500000</v>
      </c>
      <c r="H777" s="168">
        <v>39080000</v>
      </c>
      <c r="I777" s="150" t="s">
        <v>557</v>
      </c>
      <c r="J777" s="149" t="s">
        <v>3558</v>
      </c>
      <c r="K777" s="149" t="s">
        <v>3570</v>
      </c>
      <c r="L777" s="171">
        <f t="shared" si="15"/>
        <v>475420000</v>
      </c>
    </row>
    <row r="778" spans="1:12" x14ac:dyDescent="0.25">
      <c r="A778" s="7" t="s">
        <v>1413</v>
      </c>
      <c r="B778" s="192"/>
      <c r="C778" s="191" t="s">
        <v>3891</v>
      </c>
      <c r="D778" s="192">
        <v>55</v>
      </c>
      <c r="E778" s="192" t="s">
        <v>10</v>
      </c>
      <c r="F778" s="193">
        <v>6075000</v>
      </c>
      <c r="G778" s="45">
        <f>ROUNDDOWN(D778*F778,-3)</f>
        <v>334125000</v>
      </c>
      <c r="H778" s="165">
        <v>514500000</v>
      </c>
      <c r="I778" s="150" t="s">
        <v>557</v>
      </c>
      <c r="J778" s="149" t="s">
        <v>3558</v>
      </c>
      <c r="K778" s="149" t="s">
        <v>3570</v>
      </c>
      <c r="L778" s="171">
        <f t="shared" si="15"/>
        <v>-180375000</v>
      </c>
    </row>
    <row r="779" spans="1:12" ht="26.4" x14ac:dyDescent="0.25">
      <c r="A779" s="7" t="s">
        <v>1415</v>
      </c>
      <c r="B779" s="61"/>
      <c r="C779" s="44" t="s">
        <v>3892</v>
      </c>
      <c r="D779" s="61">
        <v>30</v>
      </c>
      <c r="E779" s="61" t="s">
        <v>776</v>
      </c>
      <c r="F779" s="45">
        <v>6012500</v>
      </c>
      <c r="G779" s="45">
        <f>ROUNDDOWN(D779*F779,-3)</f>
        <v>180375000</v>
      </c>
      <c r="H779" s="168">
        <v>334125000</v>
      </c>
      <c r="I779" s="150" t="s">
        <v>557</v>
      </c>
      <c r="J779" s="149" t="s">
        <v>3558</v>
      </c>
      <c r="K779" s="149" t="s">
        <v>3570</v>
      </c>
      <c r="L779" s="171">
        <f t="shared" si="15"/>
        <v>-153750000</v>
      </c>
    </row>
    <row r="780" spans="1:12" ht="26.4" x14ac:dyDescent="0.25">
      <c r="A780" s="7" t="s">
        <v>1417</v>
      </c>
      <c r="B780" s="59" t="s">
        <v>512</v>
      </c>
      <c r="C780" s="38" t="s">
        <v>1418</v>
      </c>
      <c r="D780" s="59"/>
      <c r="E780" s="59"/>
      <c r="F780" s="39"/>
      <c r="G780" s="39">
        <v>83500000</v>
      </c>
      <c r="H780" s="168">
        <v>180375000</v>
      </c>
      <c r="I780" s="150" t="s">
        <v>557</v>
      </c>
      <c r="J780" s="149" t="s">
        <v>3558</v>
      </c>
      <c r="K780" s="149" t="s">
        <v>3570</v>
      </c>
      <c r="L780" s="171">
        <f t="shared" si="15"/>
        <v>-96875000</v>
      </c>
    </row>
    <row r="781" spans="1:12" x14ac:dyDescent="0.25">
      <c r="A781" s="7" t="s">
        <v>1419</v>
      </c>
      <c r="B781" s="60">
        <v>521211</v>
      </c>
      <c r="C781" s="41" t="s">
        <v>7</v>
      </c>
      <c r="D781" s="60"/>
      <c r="E781" s="60"/>
      <c r="F781" s="42"/>
      <c r="G781" s="42">
        <v>46000000</v>
      </c>
      <c r="H781" s="165">
        <v>83500000</v>
      </c>
      <c r="I781" s="150" t="s">
        <v>557</v>
      </c>
      <c r="J781" s="149" t="s">
        <v>3558</v>
      </c>
      <c r="K781" s="149" t="s">
        <v>3570</v>
      </c>
      <c r="L781" s="171">
        <f t="shared" si="15"/>
        <v>-37500000</v>
      </c>
    </row>
    <row r="782" spans="1:12" x14ac:dyDescent="0.25">
      <c r="A782" s="7" t="s">
        <v>1420</v>
      </c>
      <c r="B782" s="192"/>
      <c r="C782" s="191" t="s">
        <v>3893</v>
      </c>
      <c r="D782" s="192">
        <v>500</v>
      </c>
      <c r="E782" s="192" t="s">
        <v>1422</v>
      </c>
      <c r="F782" s="193">
        <v>36000</v>
      </c>
      <c r="G782" s="45">
        <f>ROUNDDOWN(D782*F782,-3)</f>
        <v>18000000</v>
      </c>
      <c r="H782" s="165">
        <v>46000000</v>
      </c>
      <c r="I782" s="150" t="s">
        <v>557</v>
      </c>
      <c r="J782" s="149" t="s">
        <v>3558</v>
      </c>
      <c r="K782" s="149" t="s">
        <v>3570</v>
      </c>
      <c r="L782" s="171">
        <f t="shared" ref="L782:L845" si="16">G782-H782</f>
        <v>-28000000</v>
      </c>
    </row>
    <row r="783" spans="1:12" x14ac:dyDescent="0.25">
      <c r="A783" s="7" t="s">
        <v>1423</v>
      </c>
      <c r="B783" s="61"/>
      <c r="C783" s="44" t="s">
        <v>3714</v>
      </c>
      <c r="D783" s="61">
        <v>4</v>
      </c>
      <c r="E783" s="61" t="s">
        <v>9</v>
      </c>
      <c r="F783" s="45">
        <v>1500000</v>
      </c>
      <c r="G783" s="45">
        <f>ROUNDDOWN(D783*F783,-3)</f>
        <v>6000000</v>
      </c>
      <c r="H783" s="168">
        <v>18000000</v>
      </c>
      <c r="I783" s="150" t="s">
        <v>557</v>
      </c>
      <c r="J783" s="149" t="s">
        <v>3558</v>
      </c>
      <c r="K783" s="149" t="s">
        <v>3570</v>
      </c>
      <c r="L783" s="171">
        <f t="shared" si="16"/>
        <v>-12000000</v>
      </c>
    </row>
    <row r="784" spans="1:12" x14ac:dyDescent="0.25">
      <c r="A784" s="7" t="s">
        <v>1424</v>
      </c>
      <c r="B784" s="61"/>
      <c r="C784" s="44" t="s">
        <v>3600</v>
      </c>
      <c r="D784" s="61">
        <v>4</v>
      </c>
      <c r="E784" s="61" t="s">
        <v>9</v>
      </c>
      <c r="F784" s="45">
        <v>1000000</v>
      </c>
      <c r="G784" s="45">
        <f>ROUNDDOWN(D784*F784,-3)</f>
        <v>4000000</v>
      </c>
      <c r="H784" s="168">
        <v>6000000</v>
      </c>
      <c r="I784" s="150" t="s">
        <v>557</v>
      </c>
      <c r="J784" s="149" t="s">
        <v>3558</v>
      </c>
      <c r="K784" s="149" t="s">
        <v>3570</v>
      </c>
      <c r="L784" s="171">
        <f t="shared" si="16"/>
        <v>-2000000</v>
      </c>
    </row>
    <row r="785" spans="1:12" x14ac:dyDescent="0.25">
      <c r="A785" s="7" t="s">
        <v>1425</v>
      </c>
      <c r="B785" s="61"/>
      <c r="C785" s="44" t="s">
        <v>3601</v>
      </c>
      <c r="D785" s="61">
        <v>4</v>
      </c>
      <c r="E785" s="61" t="s">
        <v>9</v>
      </c>
      <c r="F785" s="45">
        <v>1500000</v>
      </c>
      <c r="G785" s="45">
        <f>ROUNDDOWN(D785*F785,-3)</f>
        <v>6000000</v>
      </c>
      <c r="H785" s="168">
        <v>4000000</v>
      </c>
      <c r="I785" s="150" t="s">
        <v>557</v>
      </c>
      <c r="J785" s="149" t="s">
        <v>3558</v>
      </c>
      <c r="K785" s="149" t="s">
        <v>3570</v>
      </c>
      <c r="L785" s="171">
        <f t="shared" si="16"/>
        <v>2000000</v>
      </c>
    </row>
    <row r="786" spans="1:12" x14ac:dyDescent="0.25">
      <c r="A786" s="7" t="s">
        <v>1426</v>
      </c>
      <c r="B786" s="61"/>
      <c r="C786" s="44" t="s">
        <v>3894</v>
      </c>
      <c r="D786" s="61">
        <v>24</v>
      </c>
      <c r="E786" s="61" t="s">
        <v>176</v>
      </c>
      <c r="F786" s="45">
        <v>500000</v>
      </c>
      <c r="G786" s="45">
        <f>ROUNDDOWN(D786*F786,-3)</f>
        <v>12000000</v>
      </c>
      <c r="H786" s="168">
        <v>6000000</v>
      </c>
      <c r="I786" s="150" t="s">
        <v>557</v>
      </c>
      <c r="J786" s="149" t="s">
        <v>3558</v>
      </c>
      <c r="K786" s="149" t="s">
        <v>3570</v>
      </c>
      <c r="L786" s="171">
        <f t="shared" si="16"/>
        <v>6000000</v>
      </c>
    </row>
    <row r="787" spans="1:12" x14ac:dyDescent="0.25">
      <c r="A787" s="7" t="s">
        <v>1428</v>
      </c>
      <c r="B787" s="60">
        <v>522141</v>
      </c>
      <c r="C787" s="41" t="s">
        <v>95</v>
      </c>
      <c r="D787" s="60"/>
      <c r="E787" s="60"/>
      <c r="F787" s="42"/>
      <c r="G787" s="42">
        <v>6000000</v>
      </c>
      <c r="H787" s="168">
        <v>12000000</v>
      </c>
      <c r="I787" s="150" t="s">
        <v>557</v>
      </c>
      <c r="J787" s="149" t="s">
        <v>3558</v>
      </c>
      <c r="K787" s="149" t="s">
        <v>3570</v>
      </c>
      <c r="L787" s="171">
        <f t="shared" si="16"/>
        <v>-6000000</v>
      </c>
    </row>
    <row r="788" spans="1:12" x14ac:dyDescent="0.25">
      <c r="A788" s="7" t="s">
        <v>1429</v>
      </c>
      <c r="B788" s="192"/>
      <c r="C788" s="191" t="s">
        <v>3895</v>
      </c>
      <c r="D788" s="192">
        <v>4</v>
      </c>
      <c r="E788" s="192" t="s">
        <v>149</v>
      </c>
      <c r="F788" s="193">
        <v>1500000</v>
      </c>
      <c r="G788" s="45">
        <f>ROUNDDOWN(D788*F788,-3)</f>
        <v>6000000</v>
      </c>
      <c r="H788" s="165">
        <v>6000000</v>
      </c>
      <c r="I788" s="150" t="s">
        <v>557</v>
      </c>
      <c r="J788" s="149" t="s">
        <v>3558</v>
      </c>
      <c r="K788" s="149" t="s">
        <v>3570</v>
      </c>
      <c r="L788" s="171">
        <f t="shared" si="16"/>
        <v>0</v>
      </c>
    </row>
    <row r="789" spans="1:12" x14ac:dyDescent="0.25">
      <c r="A789" s="7" t="s">
        <v>1431</v>
      </c>
      <c r="B789" s="60">
        <v>524111</v>
      </c>
      <c r="C789" s="41" t="s">
        <v>19</v>
      </c>
      <c r="D789" s="60"/>
      <c r="E789" s="60"/>
      <c r="F789" s="42"/>
      <c r="G789" s="42">
        <v>27000000</v>
      </c>
      <c r="H789" s="168">
        <v>6000000</v>
      </c>
      <c r="I789" s="150" t="s">
        <v>557</v>
      </c>
      <c r="J789" s="149" t="s">
        <v>3558</v>
      </c>
      <c r="K789" s="149" t="s">
        <v>3570</v>
      </c>
      <c r="L789" s="171">
        <f t="shared" si="16"/>
        <v>21000000</v>
      </c>
    </row>
    <row r="790" spans="1:12" ht="26.4" x14ac:dyDescent="0.25">
      <c r="A790" s="7" t="s">
        <v>1432</v>
      </c>
      <c r="B790" s="192"/>
      <c r="C790" s="191" t="s">
        <v>3896</v>
      </c>
      <c r="D790" s="192">
        <v>9</v>
      </c>
      <c r="E790" s="192" t="s">
        <v>10</v>
      </c>
      <c r="F790" s="193">
        <v>3000000</v>
      </c>
      <c r="G790" s="45">
        <f>ROUNDDOWN(D790*F790,-3)</f>
        <v>27000000</v>
      </c>
      <c r="H790" s="165">
        <v>27000000</v>
      </c>
      <c r="I790" s="150" t="s">
        <v>557</v>
      </c>
      <c r="J790" s="149" t="s">
        <v>3558</v>
      </c>
      <c r="K790" s="149" t="s">
        <v>3570</v>
      </c>
      <c r="L790" s="171">
        <f t="shared" si="16"/>
        <v>0</v>
      </c>
    </row>
    <row r="791" spans="1:12" x14ac:dyDescent="0.25">
      <c r="A791" s="7" t="s">
        <v>1434</v>
      </c>
      <c r="B791" s="60">
        <v>524113</v>
      </c>
      <c r="C791" s="41" t="s">
        <v>13</v>
      </c>
      <c r="D791" s="60"/>
      <c r="E791" s="60"/>
      <c r="F791" s="42"/>
      <c r="G791" s="42">
        <v>4500000</v>
      </c>
      <c r="H791" s="168">
        <v>27000000</v>
      </c>
      <c r="I791" s="150" t="s">
        <v>557</v>
      </c>
      <c r="J791" s="149" t="s">
        <v>3558</v>
      </c>
      <c r="K791" s="149" t="s">
        <v>3570</v>
      </c>
      <c r="L791" s="171">
        <f t="shared" si="16"/>
        <v>-22500000</v>
      </c>
    </row>
    <row r="792" spans="1:12" x14ac:dyDescent="0.25">
      <c r="A792" s="7" t="s">
        <v>1435</v>
      </c>
      <c r="B792" s="192"/>
      <c r="C792" s="191" t="s">
        <v>3897</v>
      </c>
      <c r="D792" s="192">
        <v>30</v>
      </c>
      <c r="E792" s="192" t="s">
        <v>10</v>
      </c>
      <c r="F792" s="193">
        <v>150000</v>
      </c>
      <c r="G792" s="45">
        <f>ROUNDDOWN(D792*F792,-3)</f>
        <v>4500000</v>
      </c>
      <c r="H792" s="165">
        <v>4500000</v>
      </c>
      <c r="I792" s="150" t="s">
        <v>557</v>
      </c>
      <c r="J792" s="149" t="s">
        <v>3558</v>
      </c>
      <c r="K792" s="149" t="s">
        <v>3570</v>
      </c>
      <c r="L792" s="171">
        <f t="shared" si="16"/>
        <v>0</v>
      </c>
    </row>
    <row r="793" spans="1:12" x14ac:dyDescent="0.25">
      <c r="A793" s="7" t="s">
        <v>1437</v>
      </c>
      <c r="B793" s="59" t="s">
        <v>514</v>
      </c>
      <c r="C793" s="38" t="s">
        <v>151</v>
      </c>
      <c r="D793" s="59"/>
      <c r="E793" s="59"/>
      <c r="F793" s="39"/>
      <c r="G793" s="39">
        <v>101050000</v>
      </c>
      <c r="H793" s="168">
        <v>4500000</v>
      </c>
      <c r="I793" s="150" t="s">
        <v>557</v>
      </c>
      <c r="J793" s="149" t="s">
        <v>3558</v>
      </c>
      <c r="K793" s="149" t="s">
        <v>3570</v>
      </c>
      <c r="L793" s="171">
        <f t="shared" si="16"/>
        <v>96550000</v>
      </c>
    </row>
    <row r="794" spans="1:12" x14ac:dyDescent="0.25">
      <c r="A794" s="7" t="s">
        <v>1438</v>
      </c>
      <c r="B794" s="60">
        <v>521211</v>
      </c>
      <c r="C794" s="41" t="s">
        <v>7</v>
      </c>
      <c r="D794" s="60"/>
      <c r="E794" s="60"/>
      <c r="F794" s="42"/>
      <c r="G794" s="42">
        <v>28000000</v>
      </c>
      <c r="H794" s="165">
        <v>101050000</v>
      </c>
      <c r="I794" s="150" t="s">
        <v>557</v>
      </c>
      <c r="J794" s="149" t="s">
        <v>3558</v>
      </c>
      <c r="K794" s="149" t="s">
        <v>3570</v>
      </c>
      <c r="L794" s="171">
        <f t="shared" si="16"/>
        <v>-73050000</v>
      </c>
    </row>
    <row r="795" spans="1:12" x14ac:dyDescent="0.25">
      <c r="A795" s="7" t="s">
        <v>1439</v>
      </c>
      <c r="B795" s="192"/>
      <c r="C795" s="191" t="s">
        <v>3625</v>
      </c>
      <c r="D795" s="192">
        <v>4</v>
      </c>
      <c r="E795" s="192" t="s">
        <v>9</v>
      </c>
      <c r="F795" s="193">
        <v>1000000</v>
      </c>
      <c r="G795" s="45">
        <f>ROUNDDOWN(D795*F795,-3)</f>
        <v>4000000</v>
      </c>
      <c r="H795" s="165">
        <v>28000000</v>
      </c>
      <c r="I795" s="150" t="s">
        <v>557</v>
      </c>
      <c r="J795" s="149" t="s">
        <v>3558</v>
      </c>
      <c r="K795" s="149" t="s">
        <v>3570</v>
      </c>
      <c r="L795" s="171">
        <f t="shared" si="16"/>
        <v>-24000000</v>
      </c>
    </row>
    <row r="796" spans="1:12" x14ac:dyDescent="0.25">
      <c r="A796" s="7" t="s">
        <v>1440</v>
      </c>
      <c r="B796" s="61"/>
      <c r="C796" s="44" t="s">
        <v>3626</v>
      </c>
      <c r="D796" s="61">
        <v>4</v>
      </c>
      <c r="E796" s="61" t="s">
        <v>9</v>
      </c>
      <c r="F796" s="45">
        <v>1500000</v>
      </c>
      <c r="G796" s="45">
        <f>ROUNDDOWN(D796*F796,-3)</f>
        <v>6000000</v>
      </c>
      <c r="H796" s="168">
        <v>4000000</v>
      </c>
      <c r="I796" s="150" t="s">
        <v>557</v>
      </c>
      <c r="J796" s="149" t="s">
        <v>3558</v>
      </c>
      <c r="K796" s="149" t="s">
        <v>3570</v>
      </c>
      <c r="L796" s="171">
        <f t="shared" si="16"/>
        <v>2000000</v>
      </c>
    </row>
    <row r="797" spans="1:12" x14ac:dyDescent="0.25">
      <c r="A797" s="7" t="s">
        <v>1441</v>
      </c>
      <c r="B797" s="61"/>
      <c r="C797" s="44" t="s">
        <v>3627</v>
      </c>
      <c r="D797" s="61">
        <v>4</v>
      </c>
      <c r="E797" s="61" t="s">
        <v>9</v>
      </c>
      <c r="F797" s="45">
        <v>1500000</v>
      </c>
      <c r="G797" s="45">
        <f>ROUNDDOWN(D797*F797,-3)</f>
        <v>6000000</v>
      </c>
      <c r="H797" s="168">
        <v>6000000</v>
      </c>
      <c r="I797" s="150" t="s">
        <v>557</v>
      </c>
      <c r="J797" s="149" t="s">
        <v>3558</v>
      </c>
      <c r="K797" s="149" t="s">
        <v>3570</v>
      </c>
      <c r="L797" s="171">
        <f t="shared" si="16"/>
        <v>0</v>
      </c>
    </row>
    <row r="798" spans="1:12" x14ac:dyDescent="0.25">
      <c r="A798" s="7" t="s">
        <v>1442</v>
      </c>
      <c r="B798" s="61"/>
      <c r="C798" s="44" t="s">
        <v>3898</v>
      </c>
      <c r="D798" s="61">
        <v>24</v>
      </c>
      <c r="E798" s="61" t="s">
        <v>176</v>
      </c>
      <c r="F798" s="45">
        <v>500000</v>
      </c>
      <c r="G798" s="45">
        <f>ROUNDDOWN(D798*F798,-3)</f>
        <v>12000000</v>
      </c>
      <c r="H798" s="168">
        <v>6000000</v>
      </c>
      <c r="I798" s="150" t="s">
        <v>557</v>
      </c>
      <c r="J798" s="149" t="s">
        <v>3558</v>
      </c>
      <c r="K798" s="149" t="s">
        <v>3570</v>
      </c>
      <c r="L798" s="171">
        <f t="shared" si="16"/>
        <v>6000000</v>
      </c>
    </row>
    <row r="799" spans="1:12" x14ac:dyDescent="0.25">
      <c r="A799" s="7" t="s">
        <v>1443</v>
      </c>
      <c r="B799" s="60">
        <v>524111</v>
      </c>
      <c r="C799" s="41" t="s">
        <v>19</v>
      </c>
      <c r="D799" s="60"/>
      <c r="E799" s="60"/>
      <c r="F799" s="42"/>
      <c r="G799" s="42">
        <v>71250000</v>
      </c>
      <c r="H799" s="168">
        <v>12000000</v>
      </c>
      <c r="I799" s="150" t="s">
        <v>557</v>
      </c>
      <c r="J799" s="149" t="s">
        <v>3558</v>
      </c>
      <c r="K799" s="149" t="s">
        <v>3570</v>
      </c>
      <c r="L799" s="171">
        <f t="shared" si="16"/>
        <v>59250000</v>
      </c>
    </row>
    <row r="800" spans="1:12" ht="26.4" x14ac:dyDescent="0.25">
      <c r="A800" s="7" t="s">
        <v>1444</v>
      </c>
      <c r="B800" s="192"/>
      <c r="C800" s="191" t="s">
        <v>3899</v>
      </c>
      <c r="D800" s="192">
        <v>15</v>
      </c>
      <c r="E800" s="192" t="s">
        <v>10</v>
      </c>
      <c r="F800" s="193">
        <v>4750000</v>
      </c>
      <c r="G800" s="45">
        <f>ROUNDDOWN(D800*F800,-3)</f>
        <v>71250000</v>
      </c>
      <c r="H800" s="165">
        <v>71250000</v>
      </c>
      <c r="I800" s="150" t="s">
        <v>557</v>
      </c>
      <c r="J800" s="149" t="s">
        <v>3558</v>
      </c>
      <c r="K800" s="149" t="s">
        <v>3570</v>
      </c>
      <c r="L800" s="171">
        <f t="shared" si="16"/>
        <v>0</v>
      </c>
    </row>
    <row r="801" spans="1:12" x14ac:dyDescent="0.25">
      <c r="A801" s="7" t="s">
        <v>1446</v>
      </c>
      <c r="B801" s="60">
        <v>524113</v>
      </c>
      <c r="C801" s="41" t="s">
        <v>13</v>
      </c>
      <c r="D801" s="60"/>
      <c r="E801" s="60"/>
      <c r="F801" s="42"/>
      <c r="G801" s="42">
        <v>1800000</v>
      </c>
      <c r="H801" s="168">
        <v>71250000</v>
      </c>
      <c r="I801" s="150" t="s">
        <v>557</v>
      </c>
      <c r="J801" s="149" t="s">
        <v>3558</v>
      </c>
      <c r="K801" s="149" t="s">
        <v>3570</v>
      </c>
      <c r="L801" s="171">
        <f t="shared" si="16"/>
        <v>-69450000</v>
      </c>
    </row>
    <row r="802" spans="1:12" x14ac:dyDescent="0.25">
      <c r="A802" s="7" t="s">
        <v>1447</v>
      </c>
      <c r="B802" s="192"/>
      <c r="C802" s="191" t="s">
        <v>3897</v>
      </c>
      <c r="D802" s="192">
        <v>12</v>
      </c>
      <c r="E802" s="192" t="s">
        <v>10</v>
      </c>
      <c r="F802" s="193">
        <v>150000</v>
      </c>
      <c r="G802" s="45">
        <f>ROUNDDOWN(D802*F802,-3)</f>
        <v>1800000</v>
      </c>
      <c r="H802" s="165">
        <v>1800000</v>
      </c>
      <c r="I802" s="150" t="s">
        <v>557</v>
      </c>
      <c r="J802" s="149" t="s">
        <v>3558</v>
      </c>
      <c r="K802" s="149" t="s">
        <v>3570</v>
      </c>
      <c r="L802" s="171">
        <f t="shared" si="16"/>
        <v>0</v>
      </c>
    </row>
    <row r="803" spans="1:12" x14ac:dyDescent="0.25">
      <c r="A803" s="7" t="s">
        <v>1448</v>
      </c>
      <c r="B803" s="59" t="s">
        <v>519</v>
      </c>
      <c r="C803" s="38" t="s">
        <v>152</v>
      </c>
      <c r="D803" s="59"/>
      <c r="E803" s="59"/>
      <c r="F803" s="39"/>
      <c r="G803" s="39">
        <v>388472000</v>
      </c>
      <c r="H803" s="168">
        <v>1800000</v>
      </c>
      <c r="I803" s="150" t="s">
        <v>557</v>
      </c>
      <c r="J803" s="149" t="s">
        <v>3558</v>
      </c>
      <c r="K803" s="149" t="s">
        <v>3570</v>
      </c>
      <c r="L803" s="171">
        <f t="shared" si="16"/>
        <v>386672000</v>
      </c>
    </row>
    <row r="804" spans="1:12" x14ac:dyDescent="0.25">
      <c r="A804" s="7" t="s">
        <v>1449</v>
      </c>
      <c r="B804" s="60">
        <v>521211</v>
      </c>
      <c r="C804" s="41" t="s">
        <v>7</v>
      </c>
      <c r="D804" s="60"/>
      <c r="E804" s="60"/>
      <c r="F804" s="42"/>
      <c r="G804" s="42">
        <v>46000000</v>
      </c>
      <c r="H804" s="165">
        <v>388472000</v>
      </c>
      <c r="I804" s="150" t="s">
        <v>557</v>
      </c>
      <c r="J804" s="149" t="s">
        <v>3558</v>
      </c>
      <c r="K804" s="149" t="s">
        <v>3570</v>
      </c>
      <c r="L804" s="171">
        <f t="shared" si="16"/>
        <v>-342472000</v>
      </c>
    </row>
    <row r="805" spans="1:12" x14ac:dyDescent="0.25">
      <c r="A805" s="7" t="s">
        <v>1450</v>
      </c>
      <c r="B805" s="192"/>
      <c r="C805" s="191" t="s">
        <v>3598</v>
      </c>
      <c r="D805" s="192">
        <v>4</v>
      </c>
      <c r="E805" s="192" t="s">
        <v>9</v>
      </c>
      <c r="F805" s="193">
        <v>1500000</v>
      </c>
      <c r="G805" s="45">
        <f>ROUNDDOWN(D805*F805,-3)</f>
        <v>6000000</v>
      </c>
      <c r="H805" s="165">
        <v>46000000</v>
      </c>
      <c r="I805" s="150" t="s">
        <v>557</v>
      </c>
      <c r="J805" s="149" t="s">
        <v>3558</v>
      </c>
      <c r="K805" s="149" t="s">
        <v>3570</v>
      </c>
      <c r="L805" s="171">
        <f t="shared" si="16"/>
        <v>-40000000</v>
      </c>
    </row>
    <row r="806" spans="1:12" x14ac:dyDescent="0.25">
      <c r="A806" s="7" t="s">
        <v>1451</v>
      </c>
      <c r="B806" s="61"/>
      <c r="C806" s="44" t="s">
        <v>3632</v>
      </c>
      <c r="D806" s="61">
        <v>4</v>
      </c>
      <c r="E806" s="61" t="s">
        <v>9</v>
      </c>
      <c r="F806" s="45">
        <v>1000000</v>
      </c>
      <c r="G806" s="45">
        <f>ROUNDDOWN(D806*F806,-3)</f>
        <v>4000000</v>
      </c>
      <c r="H806" s="168">
        <v>6000000</v>
      </c>
      <c r="I806" s="150" t="s">
        <v>557</v>
      </c>
      <c r="J806" s="149" t="s">
        <v>3558</v>
      </c>
      <c r="K806" s="149" t="s">
        <v>3570</v>
      </c>
      <c r="L806" s="171">
        <f t="shared" si="16"/>
        <v>-2000000</v>
      </c>
    </row>
    <row r="807" spans="1:12" x14ac:dyDescent="0.25">
      <c r="A807" s="7" t="s">
        <v>1452</v>
      </c>
      <c r="B807" s="61"/>
      <c r="C807" s="44" t="s">
        <v>3633</v>
      </c>
      <c r="D807" s="61">
        <v>4</v>
      </c>
      <c r="E807" s="61" t="s">
        <v>9</v>
      </c>
      <c r="F807" s="45">
        <v>1500000</v>
      </c>
      <c r="G807" s="45">
        <f>ROUNDDOWN(D807*F807,-3)</f>
        <v>6000000</v>
      </c>
      <c r="H807" s="168">
        <v>4000000</v>
      </c>
      <c r="I807" s="150" t="s">
        <v>557</v>
      </c>
      <c r="J807" s="149" t="s">
        <v>3558</v>
      </c>
      <c r="K807" s="149" t="s">
        <v>3570</v>
      </c>
      <c r="L807" s="171">
        <f t="shared" si="16"/>
        <v>2000000</v>
      </c>
    </row>
    <row r="808" spans="1:12" ht="26.4" x14ac:dyDescent="0.25">
      <c r="A808" s="7" t="s">
        <v>1453</v>
      </c>
      <c r="B808" s="61"/>
      <c r="C808" s="44" t="s">
        <v>3900</v>
      </c>
      <c r="D808" s="61">
        <v>60</v>
      </c>
      <c r="E808" s="61" t="s">
        <v>176</v>
      </c>
      <c r="F808" s="45">
        <v>500000</v>
      </c>
      <c r="G808" s="45">
        <f>ROUNDDOWN(D808*F808,-3)</f>
        <v>30000000</v>
      </c>
      <c r="H808" s="168">
        <v>6000000</v>
      </c>
      <c r="I808" s="150" t="s">
        <v>557</v>
      </c>
      <c r="J808" s="149" t="s">
        <v>3558</v>
      </c>
      <c r="K808" s="149" t="s">
        <v>3570</v>
      </c>
      <c r="L808" s="171">
        <f t="shared" si="16"/>
        <v>24000000</v>
      </c>
    </row>
    <row r="809" spans="1:12" ht="26.4" x14ac:dyDescent="0.25">
      <c r="A809" s="7" t="s">
        <v>1455</v>
      </c>
      <c r="B809" s="60">
        <v>521241</v>
      </c>
      <c r="C809" s="41" t="s">
        <v>642</v>
      </c>
      <c r="D809" s="60"/>
      <c r="E809" s="60"/>
      <c r="F809" s="42"/>
      <c r="G809" s="42">
        <v>249600000</v>
      </c>
      <c r="H809" s="168">
        <v>30000000</v>
      </c>
      <c r="I809" s="150" t="s">
        <v>557</v>
      </c>
      <c r="J809" s="149" t="s">
        <v>3558</v>
      </c>
      <c r="K809" s="149" t="s">
        <v>3570</v>
      </c>
      <c r="L809" s="171">
        <f t="shared" si="16"/>
        <v>219600000</v>
      </c>
    </row>
    <row r="810" spans="1:12" x14ac:dyDescent="0.25">
      <c r="A810" s="7" t="s">
        <v>1456</v>
      </c>
      <c r="B810" s="192"/>
      <c r="C810" s="191" t="s">
        <v>3901</v>
      </c>
      <c r="D810" s="192">
        <v>720</v>
      </c>
      <c r="E810" s="192" t="s">
        <v>32</v>
      </c>
      <c r="F810" s="193">
        <v>200000</v>
      </c>
      <c r="G810" s="45">
        <f>ROUNDDOWN(D810*F810,-3)</f>
        <v>144000000</v>
      </c>
      <c r="H810" s="165">
        <v>249600000</v>
      </c>
      <c r="I810" s="150" t="s">
        <v>557</v>
      </c>
      <c r="J810" s="149" t="s">
        <v>3558</v>
      </c>
      <c r="K810" s="149" t="s">
        <v>3570</v>
      </c>
      <c r="L810" s="171">
        <f t="shared" si="16"/>
        <v>-105600000</v>
      </c>
    </row>
    <row r="811" spans="1:12" ht="26.4" x14ac:dyDescent="0.25">
      <c r="A811" s="7" t="s">
        <v>1458</v>
      </c>
      <c r="B811" s="61"/>
      <c r="C811" s="44" t="s">
        <v>3902</v>
      </c>
      <c r="D811" s="61">
        <v>360</v>
      </c>
      <c r="E811" s="61" t="s">
        <v>776</v>
      </c>
      <c r="F811" s="45">
        <v>280000</v>
      </c>
      <c r="G811" s="45">
        <f>ROUNDDOWN(D811*F811,-3)</f>
        <v>100800000</v>
      </c>
      <c r="H811" s="168">
        <v>144000000</v>
      </c>
      <c r="I811" s="150" t="s">
        <v>557</v>
      </c>
      <c r="J811" s="149" t="s">
        <v>3558</v>
      </c>
      <c r="K811" s="149" t="s">
        <v>3570</v>
      </c>
      <c r="L811" s="171">
        <f t="shared" si="16"/>
        <v>-43200000</v>
      </c>
    </row>
    <row r="812" spans="1:12" x14ac:dyDescent="0.25">
      <c r="A812" s="7" t="s">
        <v>1460</v>
      </c>
      <c r="B812" s="61"/>
      <c r="C812" s="44" t="s">
        <v>3903</v>
      </c>
      <c r="D812" s="61">
        <v>12</v>
      </c>
      <c r="E812" s="61" t="s">
        <v>32</v>
      </c>
      <c r="F812" s="45">
        <v>400000</v>
      </c>
      <c r="G812" s="45">
        <f>ROUNDDOWN(D812*F812,-3)</f>
        <v>4800000</v>
      </c>
      <c r="H812" s="168">
        <v>100800000</v>
      </c>
      <c r="I812" s="150" t="s">
        <v>557</v>
      </c>
      <c r="J812" s="149" t="s">
        <v>3558</v>
      </c>
      <c r="K812" s="149" t="s">
        <v>3570</v>
      </c>
      <c r="L812" s="171">
        <f t="shared" si="16"/>
        <v>-96000000</v>
      </c>
    </row>
    <row r="813" spans="1:12" x14ac:dyDescent="0.25">
      <c r="A813" s="7" t="s">
        <v>1462</v>
      </c>
      <c r="B813" s="60">
        <v>522192</v>
      </c>
      <c r="C813" s="41" t="s">
        <v>24</v>
      </c>
      <c r="D813" s="60"/>
      <c r="E813" s="60"/>
      <c r="F813" s="42"/>
      <c r="G813" s="42">
        <v>48000000</v>
      </c>
      <c r="H813" s="168">
        <v>4800000</v>
      </c>
      <c r="I813" s="150" t="s">
        <v>557</v>
      </c>
      <c r="J813" s="149" t="s">
        <v>3558</v>
      </c>
      <c r="K813" s="149" t="s">
        <v>3570</v>
      </c>
      <c r="L813" s="171">
        <f t="shared" si="16"/>
        <v>43200000</v>
      </c>
    </row>
    <row r="814" spans="1:12" x14ac:dyDescent="0.25">
      <c r="A814" s="7" t="s">
        <v>1463</v>
      </c>
      <c r="B814" s="192"/>
      <c r="C814" s="191" t="s">
        <v>3890</v>
      </c>
      <c r="D814" s="192">
        <v>480</v>
      </c>
      <c r="E814" s="192" t="s">
        <v>25</v>
      </c>
      <c r="F814" s="193">
        <v>100000</v>
      </c>
      <c r="G814" s="45">
        <f>ROUNDDOWN(D814*F814,-3)</f>
        <v>48000000</v>
      </c>
      <c r="H814" s="165">
        <v>48000000</v>
      </c>
      <c r="I814" s="150" t="s">
        <v>557</v>
      </c>
      <c r="J814" s="149" t="s">
        <v>3558</v>
      </c>
      <c r="K814" s="149" t="s">
        <v>3570</v>
      </c>
      <c r="L814" s="171">
        <f t="shared" si="16"/>
        <v>0</v>
      </c>
    </row>
    <row r="815" spans="1:12" x14ac:dyDescent="0.25">
      <c r="A815" s="7" t="s">
        <v>1464</v>
      </c>
      <c r="B815" s="60">
        <v>524111</v>
      </c>
      <c r="C815" s="41" t="s">
        <v>19</v>
      </c>
      <c r="D815" s="60"/>
      <c r="E815" s="60"/>
      <c r="F815" s="42"/>
      <c r="G815" s="42">
        <v>42772000</v>
      </c>
      <c r="H815" s="168">
        <v>48000000</v>
      </c>
      <c r="I815" s="150" t="s">
        <v>557</v>
      </c>
      <c r="J815" s="149" t="s">
        <v>3558</v>
      </c>
      <c r="K815" s="149" t="s">
        <v>3570</v>
      </c>
      <c r="L815" s="171">
        <f t="shared" si="16"/>
        <v>-5228000</v>
      </c>
    </row>
    <row r="816" spans="1:12" x14ac:dyDescent="0.25">
      <c r="A816" s="7" t="s">
        <v>1465</v>
      </c>
      <c r="B816" s="192"/>
      <c r="C816" s="191" t="s">
        <v>3904</v>
      </c>
      <c r="D816" s="192">
        <v>10</v>
      </c>
      <c r="E816" s="192" t="s">
        <v>10</v>
      </c>
      <c r="F816" s="193">
        <v>4277200</v>
      </c>
      <c r="G816" s="45">
        <f>ROUNDDOWN(D816*F816,-3)</f>
        <v>42772000</v>
      </c>
      <c r="H816" s="165">
        <v>42772000</v>
      </c>
      <c r="I816" s="150" t="s">
        <v>557</v>
      </c>
      <c r="J816" s="149" t="s">
        <v>3558</v>
      </c>
      <c r="K816" s="149" t="s">
        <v>3570</v>
      </c>
      <c r="L816" s="171">
        <f t="shared" si="16"/>
        <v>0</v>
      </c>
    </row>
    <row r="817" spans="1:12" x14ac:dyDescent="0.25">
      <c r="A817" s="7" t="s">
        <v>1467</v>
      </c>
      <c r="B817" s="60">
        <v>524113</v>
      </c>
      <c r="C817" s="41" t="s">
        <v>13</v>
      </c>
      <c r="D817" s="60"/>
      <c r="E817" s="60"/>
      <c r="F817" s="42"/>
      <c r="G817" s="42">
        <v>2100000</v>
      </c>
      <c r="H817" s="168">
        <v>42772000</v>
      </c>
      <c r="I817" s="150" t="s">
        <v>557</v>
      </c>
      <c r="J817" s="149" t="s">
        <v>3558</v>
      </c>
      <c r="K817" s="149" t="s">
        <v>3570</v>
      </c>
      <c r="L817" s="171">
        <f t="shared" si="16"/>
        <v>-40672000</v>
      </c>
    </row>
    <row r="818" spans="1:12" x14ac:dyDescent="0.25">
      <c r="A818" s="7" t="s">
        <v>1468</v>
      </c>
      <c r="B818" s="192"/>
      <c r="C818" s="191" t="s">
        <v>3897</v>
      </c>
      <c r="D818" s="192">
        <v>14</v>
      </c>
      <c r="E818" s="192" t="s">
        <v>10</v>
      </c>
      <c r="F818" s="193">
        <v>150000</v>
      </c>
      <c r="G818" s="45">
        <f>ROUNDDOWN(D818*F818,-3)</f>
        <v>2100000</v>
      </c>
      <c r="H818" s="165">
        <v>2100000</v>
      </c>
      <c r="I818" s="150" t="s">
        <v>557</v>
      </c>
      <c r="J818" s="149" t="s">
        <v>3558</v>
      </c>
      <c r="K818" s="149" t="s">
        <v>3570</v>
      </c>
      <c r="L818" s="171">
        <f t="shared" si="16"/>
        <v>0</v>
      </c>
    </row>
    <row r="819" spans="1:12" ht="26.4" x14ac:dyDescent="0.25">
      <c r="A819" s="7" t="s">
        <v>1469</v>
      </c>
      <c r="B819" s="59" t="s">
        <v>578</v>
      </c>
      <c r="C819" s="38" t="s">
        <v>154</v>
      </c>
      <c r="D819" s="59"/>
      <c r="E819" s="59"/>
      <c r="F819" s="39"/>
      <c r="G819" s="39">
        <v>450000000</v>
      </c>
      <c r="H819" s="168">
        <v>2100000</v>
      </c>
      <c r="I819" s="150" t="s">
        <v>557</v>
      </c>
      <c r="J819" s="149" t="s">
        <v>3558</v>
      </c>
      <c r="K819" s="149" t="s">
        <v>3570</v>
      </c>
      <c r="L819" s="171">
        <f t="shared" si="16"/>
        <v>447900000</v>
      </c>
    </row>
    <row r="820" spans="1:12" x14ac:dyDescent="0.25">
      <c r="A820" s="7" t="s">
        <v>1470</v>
      </c>
      <c r="B820" s="60">
        <v>521211</v>
      </c>
      <c r="C820" s="41" t="s">
        <v>7</v>
      </c>
      <c r="D820" s="60"/>
      <c r="E820" s="60"/>
      <c r="F820" s="42"/>
      <c r="G820" s="42">
        <v>32000000</v>
      </c>
      <c r="H820" s="165">
        <v>450000000</v>
      </c>
      <c r="I820" s="150" t="s">
        <v>557</v>
      </c>
      <c r="J820" s="149" t="s">
        <v>3560</v>
      </c>
      <c r="K820" s="149" t="s">
        <v>3575</v>
      </c>
      <c r="L820" s="171">
        <f t="shared" si="16"/>
        <v>-418000000</v>
      </c>
    </row>
    <row r="821" spans="1:12" x14ac:dyDescent="0.25">
      <c r="A821" s="7" t="s">
        <v>1471</v>
      </c>
      <c r="B821" s="192"/>
      <c r="C821" s="191" t="s">
        <v>3598</v>
      </c>
      <c r="D821" s="192">
        <v>8</v>
      </c>
      <c r="E821" s="192" t="s">
        <v>9</v>
      </c>
      <c r="F821" s="193">
        <v>1500000</v>
      </c>
      <c r="G821" s="45">
        <f>ROUNDDOWN(D821*F821,-3)</f>
        <v>12000000</v>
      </c>
      <c r="H821" s="165">
        <v>32000000</v>
      </c>
      <c r="I821" s="150" t="s">
        <v>557</v>
      </c>
      <c r="J821" s="149" t="s">
        <v>3560</v>
      </c>
      <c r="K821" s="149" t="s">
        <v>3575</v>
      </c>
      <c r="L821" s="171">
        <f t="shared" si="16"/>
        <v>-20000000</v>
      </c>
    </row>
    <row r="822" spans="1:12" x14ac:dyDescent="0.25">
      <c r="A822" s="7" t="s">
        <v>1472</v>
      </c>
      <c r="B822" s="61"/>
      <c r="C822" s="44" t="s">
        <v>3632</v>
      </c>
      <c r="D822" s="61">
        <v>8</v>
      </c>
      <c r="E822" s="61" t="s">
        <v>9</v>
      </c>
      <c r="F822" s="45">
        <v>1000000</v>
      </c>
      <c r="G822" s="45">
        <f>ROUNDDOWN(D822*F822,-3)</f>
        <v>8000000</v>
      </c>
      <c r="H822" s="168">
        <v>12000000</v>
      </c>
      <c r="I822" s="150" t="s">
        <v>557</v>
      </c>
      <c r="J822" s="149" t="s">
        <v>3560</v>
      </c>
      <c r="K822" s="149" t="s">
        <v>3575</v>
      </c>
      <c r="L822" s="171">
        <f t="shared" si="16"/>
        <v>-4000000</v>
      </c>
    </row>
    <row r="823" spans="1:12" x14ac:dyDescent="0.25">
      <c r="A823" s="7" t="s">
        <v>1473</v>
      </c>
      <c r="B823" s="61"/>
      <c r="C823" s="44" t="s">
        <v>3633</v>
      </c>
      <c r="D823" s="61">
        <v>8</v>
      </c>
      <c r="E823" s="61" t="s">
        <v>9</v>
      </c>
      <c r="F823" s="45">
        <v>1500000</v>
      </c>
      <c r="G823" s="45">
        <f>ROUNDDOWN(D823*F823,-3)</f>
        <v>12000000</v>
      </c>
      <c r="H823" s="168">
        <v>8000000</v>
      </c>
      <c r="I823" s="150" t="s">
        <v>557</v>
      </c>
      <c r="J823" s="149" t="s">
        <v>3560</v>
      </c>
      <c r="K823" s="149" t="s">
        <v>3575</v>
      </c>
      <c r="L823" s="171">
        <f t="shared" si="16"/>
        <v>4000000</v>
      </c>
    </row>
    <row r="824" spans="1:12" x14ac:dyDescent="0.25">
      <c r="A824" s="7" t="s">
        <v>1474</v>
      </c>
      <c r="B824" s="60">
        <v>521219</v>
      </c>
      <c r="C824" s="41" t="s">
        <v>53</v>
      </c>
      <c r="D824" s="60"/>
      <c r="E824" s="60"/>
      <c r="F824" s="42"/>
      <c r="G824" s="42">
        <v>298141000</v>
      </c>
      <c r="H824" s="168">
        <v>12000000</v>
      </c>
      <c r="I824" s="150" t="s">
        <v>557</v>
      </c>
      <c r="J824" s="149" t="s">
        <v>3560</v>
      </c>
      <c r="K824" s="149" t="s">
        <v>3575</v>
      </c>
      <c r="L824" s="171">
        <f t="shared" si="16"/>
        <v>286141000</v>
      </c>
    </row>
    <row r="825" spans="1:12" x14ac:dyDescent="0.25">
      <c r="A825" s="7" t="s">
        <v>1475</v>
      </c>
      <c r="B825" s="192"/>
      <c r="C825" s="191" t="s">
        <v>3905</v>
      </c>
      <c r="D825" s="192">
        <v>40</v>
      </c>
      <c r="E825" s="192" t="s">
        <v>10</v>
      </c>
      <c r="F825" s="193">
        <v>1000000</v>
      </c>
      <c r="G825" s="45">
        <f>ROUNDDOWN(D825*F825,-3)</f>
        <v>40000000</v>
      </c>
      <c r="H825" s="165">
        <v>298141000</v>
      </c>
      <c r="I825" s="150" t="s">
        <v>557</v>
      </c>
      <c r="J825" s="149" t="s">
        <v>3560</v>
      </c>
      <c r="K825" s="149" t="s">
        <v>3575</v>
      </c>
      <c r="L825" s="171">
        <f t="shared" si="16"/>
        <v>-258141000</v>
      </c>
    </row>
    <row r="826" spans="1:12" x14ac:dyDescent="0.25">
      <c r="A826" s="7" t="s">
        <v>1477</v>
      </c>
      <c r="B826" s="61"/>
      <c r="C826" s="44" t="s">
        <v>3906</v>
      </c>
      <c r="D826" s="61">
        <v>30</v>
      </c>
      <c r="E826" s="61" t="s">
        <v>776</v>
      </c>
      <c r="F826" s="45">
        <v>8000000</v>
      </c>
      <c r="G826" s="45">
        <f>ROUNDDOWN(D826*F826,-3)</f>
        <v>240000000</v>
      </c>
      <c r="H826" s="168">
        <v>40000000</v>
      </c>
      <c r="I826" s="150" t="s">
        <v>557</v>
      </c>
      <c r="J826" s="149" t="s">
        <v>3560</v>
      </c>
      <c r="K826" s="149" t="s">
        <v>3575</v>
      </c>
      <c r="L826" s="171">
        <f t="shared" si="16"/>
        <v>200000000</v>
      </c>
    </row>
    <row r="827" spans="1:12" ht="26.4" x14ac:dyDescent="0.25">
      <c r="A827" s="7" t="s">
        <v>1479</v>
      </c>
      <c r="B827" s="61"/>
      <c r="C827" s="44" t="s">
        <v>3907</v>
      </c>
      <c r="D827" s="61">
        <v>400</v>
      </c>
      <c r="E827" s="61" t="s">
        <v>10</v>
      </c>
      <c r="F827" s="45">
        <v>15000</v>
      </c>
      <c r="G827" s="45">
        <f>ROUNDDOWN(D827*F827,-3)</f>
        <v>6000000</v>
      </c>
      <c r="H827" s="168">
        <v>240000000</v>
      </c>
      <c r="I827" s="150" t="s">
        <v>557</v>
      </c>
      <c r="J827" s="149" t="s">
        <v>3560</v>
      </c>
      <c r="K827" s="149" t="s">
        <v>3575</v>
      </c>
      <c r="L827" s="171">
        <f t="shared" si="16"/>
        <v>-234000000</v>
      </c>
    </row>
    <row r="828" spans="1:12" x14ac:dyDescent="0.25">
      <c r="A828" s="7" t="s">
        <v>1481</v>
      </c>
      <c r="B828" s="61"/>
      <c r="C828" s="44" t="s">
        <v>3908</v>
      </c>
      <c r="D828" s="61">
        <v>1</v>
      </c>
      <c r="E828" s="61" t="s">
        <v>60</v>
      </c>
      <c r="F828" s="45">
        <v>12141000</v>
      </c>
      <c r="G828" s="45">
        <f>ROUNDDOWN(D828*F828,-3)</f>
        <v>12141000</v>
      </c>
      <c r="H828" s="168">
        <v>6000000</v>
      </c>
      <c r="I828" s="150" t="s">
        <v>557</v>
      </c>
      <c r="J828" s="149" t="s">
        <v>3560</v>
      </c>
      <c r="K828" s="149" t="s">
        <v>3575</v>
      </c>
      <c r="L828" s="171">
        <f t="shared" si="16"/>
        <v>6141000</v>
      </c>
    </row>
    <row r="829" spans="1:12" x14ac:dyDescent="0.25">
      <c r="A829" s="7" t="s">
        <v>1483</v>
      </c>
      <c r="B829" s="60">
        <v>522151</v>
      </c>
      <c r="C829" s="41" t="s">
        <v>11</v>
      </c>
      <c r="D829" s="60"/>
      <c r="E829" s="60"/>
      <c r="F829" s="42"/>
      <c r="G829" s="42">
        <v>30000000</v>
      </c>
      <c r="H829" s="168">
        <v>12141000</v>
      </c>
      <c r="I829" s="150" t="s">
        <v>557</v>
      </c>
      <c r="J829" s="149" t="s">
        <v>3560</v>
      </c>
      <c r="K829" s="149" t="s">
        <v>3575</v>
      </c>
      <c r="L829" s="171">
        <f t="shared" si="16"/>
        <v>17859000</v>
      </c>
    </row>
    <row r="830" spans="1:12" x14ac:dyDescent="0.25">
      <c r="A830" s="7" t="s">
        <v>1484</v>
      </c>
      <c r="B830" s="192"/>
      <c r="C830" s="191" t="s">
        <v>3715</v>
      </c>
      <c r="D830" s="192">
        <v>30</v>
      </c>
      <c r="E830" s="192" t="s">
        <v>54</v>
      </c>
      <c r="F830" s="193">
        <v>1000000</v>
      </c>
      <c r="G830" s="45">
        <f>ROUNDDOWN(D830*F830,-3)</f>
        <v>30000000</v>
      </c>
      <c r="H830" s="165">
        <v>30000000</v>
      </c>
      <c r="I830" s="150" t="s">
        <v>557</v>
      </c>
      <c r="J830" s="149" t="s">
        <v>3560</v>
      </c>
      <c r="K830" s="149" t="s">
        <v>3575</v>
      </c>
      <c r="L830" s="171">
        <f t="shared" si="16"/>
        <v>0</v>
      </c>
    </row>
    <row r="831" spans="1:12" x14ac:dyDescent="0.25">
      <c r="A831" s="7" t="s">
        <v>1485</v>
      </c>
      <c r="B831" s="60">
        <v>522192</v>
      </c>
      <c r="C831" s="41" t="s">
        <v>24</v>
      </c>
      <c r="D831" s="60"/>
      <c r="E831" s="60"/>
      <c r="F831" s="42"/>
      <c r="G831" s="42">
        <v>8000000</v>
      </c>
      <c r="H831" s="168">
        <v>30000000</v>
      </c>
      <c r="I831" s="150" t="s">
        <v>557</v>
      </c>
      <c r="J831" s="149" t="s">
        <v>3560</v>
      </c>
      <c r="K831" s="149" t="s">
        <v>3575</v>
      </c>
      <c r="L831" s="171">
        <f t="shared" si="16"/>
        <v>-22000000</v>
      </c>
    </row>
    <row r="832" spans="1:12" x14ac:dyDescent="0.25">
      <c r="A832" s="7" t="s">
        <v>1486</v>
      </c>
      <c r="B832" s="192"/>
      <c r="C832" s="191" t="s">
        <v>3735</v>
      </c>
      <c r="D832" s="192">
        <v>1</v>
      </c>
      <c r="E832" s="192" t="s">
        <v>60</v>
      </c>
      <c r="F832" s="193">
        <v>8000000</v>
      </c>
      <c r="G832" s="45">
        <f>ROUNDDOWN(D832*F832,-3)</f>
        <v>8000000</v>
      </c>
      <c r="H832" s="165">
        <v>8000000</v>
      </c>
      <c r="I832" s="150" t="s">
        <v>557</v>
      </c>
      <c r="J832" s="149" t="s">
        <v>3560</v>
      </c>
      <c r="K832" s="149" t="s">
        <v>3575</v>
      </c>
      <c r="L832" s="171">
        <f t="shared" si="16"/>
        <v>0</v>
      </c>
    </row>
    <row r="833" spans="1:12" x14ac:dyDescent="0.25">
      <c r="A833" s="7" t="s">
        <v>1487</v>
      </c>
      <c r="B833" s="60">
        <v>524111</v>
      </c>
      <c r="C833" s="41" t="s">
        <v>19</v>
      </c>
      <c r="D833" s="60"/>
      <c r="E833" s="60"/>
      <c r="F833" s="42"/>
      <c r="G833" s="42">
        <v>81859000</v>
      </c>
      <c r="H833" s="168">
        <v>8000000</v>
      </c>
      <c r="I833" s="150" t="s">
        <v>557</v>
      </c>
      <c r="J833" s="149" t="s">
        <v>3560</v>
      </c>
      <c r="K833" s="149" t="s">
        <v>3575</v>
      </c>
      <c r="L833" s="171">
        <f t="shared" si="16"/>
        <v>73859000</v>
      </c>
    </row>
    <row r="834" spans="1:12" ht="26.4" x14ac:dyDescent="0.25">
      <c r="A834" s="7" t="s">
        <v>1488</v>
      </c>
      <c r="B834" s="192"/>
      <c r="C834" s="191" t="s">
        <v>3909</v>
      </c>
      <c r="D834" s="192">
        <v>32</v>
      </c>
      <c r="E834" s="192" t="s">
        <v>10</v>
      </c>
      <c r="F834" s="193">
        <v>2558095</v>
      </c>
      <c r="G834" s="45">
        <f>ROUNDDOWN(D834*F834,-3)</f>
        <v>81859000</v>
      </c>
      <c r="H834" s="165">
        <v>81859000</v>
      </c>
      <c r="I834" s="150" t="s">
        <v>557</v>
      </c>
      <c r="J834" s="149" t="s">
        <v>3560</v>
      </c>
      <c r="K834" s="149" t="s">
        <v>3575</v>
      </c>
      <c r="L834" s="171">
        <f t="shared" si="16"/>
        <v>0</v>
      </c>
    </row>
    <row r="835" spans="1:12" x14ac:dyDescent="0.25">
      <c r="A835" s="7" t="s">
        <v>1490</v>
      </c>
      <c r="B835" s="59" t="s">
        <v>579</v>
      </c>
      <c r="C835" s="38" t="s">
        <v>56</v>
      </c>
      <c r="D835" s="59"/>
      <c r="E835" s="59"/>
      <c r="F835" s="39"/>
      <c r="G835" s="39">
        <v>350000000</v>
      </c>
      <c r="H835" s="168">
        <v>81859000</v>
      </c>
      <c r="I835" s="150" t="s">
        <v>557</v>
      </c>
      <c r="J835" s="149" t="s">
        <v>3560</v>
      </c>
      <c r="K835" s="149" t="s">
        <v>3575</v>
      </c>
      <c r="L835" s="171">
        <f t="shared" si="16"/>
        <v>268141000</v>
      </c>
    </row>
    <row r="836" spans="1:12" x14ac:dyDescent="0.25">
      <c r="A836" s="7" t="s">
        <v>1491</v>
      </c>
      <c r="B836" s="60">
        <v>521211</v>
      </c>
      <c r="C836" s="41" t="s">
        <v>7</v>
      </c>
      <c r="D836" s="60"/>
      <c r="E836" s="60"/>
      <c r="F836" s="42"/>
      <c r="G836" s="42">
        <v>31000000</v>
      </c>
      <c r="H836" s="165">
        <v>350000000</v>
      </c>
      <c r="I836" s="150" t="s">
        <v>557</v>
      </c>
      <c r="J836" s="149" t="s">
        <v>3557</v>
      </c>
      <c r="K836" s="149" t="s">
        <v>3574</v>
      </c>
      <c r="L836" s="171">
        <f t="shared" si="16"/>
        <v>-319000000</v>
      </c>
    </row>
    <row r="837" spans="1:12" x14ac:dyDescent="0.25">
      <c r="A837" s="7" t="s">
        <v>1492</v>
      </c>
      <c r="B837" s="192"/>
      <c r="C837" s="191" t="s">
        <v>3713</v>
      </c>
      <c r="D837" s="192">
        <v>300</v>
      </c>
      <c r="E837" s="192" t="s">
        <v>10</v>
      </c>
      <c r="F837" s="193">
        <v>75000</v>
      </c>
      <c r="G837" s="45">
        <f>ROUNDDOWN(D837*F837,-3)</f>
        <v>22500000</v>
      </c>
      <c r="H837" s="165">
        <v>31000000</v>
      </c>
      <c r="I837" s="150" t="s">
        <v>557</v>
      </c>
      <c r="J837" s="149" t="s">
        <v>3557</v>
      </c>
      <c r="K837" s="149" t="s">
        <v>3574</v>
      </c>
      <c r="L837" s="171">
        <f t="shared" si="16"/>
        <v>-8500000</v>
      </c>
    </row>
    <row r="838" spans="1:12" x14ac:dyDescent="0.25">
      <c r="A838" s="7" t="s">
        <v>1493</v>
      </c>
      <c r="B838" s="61"/>
      <c r="C838" s="44" t="s">
        <v>3714</v>
      </c>
      <c r="D838" s="61">
        <v>1</v>
      </c>
      <c r="E838" s="61" t="s">
        <v>9</v>
      </c>
      <c r="F838" s="45">
        <v>1000000</v>
      </c>
      <c r="G838" s="45">
        <f>ROUNDDOWN(D838*F838,-3)</f>
        <v>1000000</v>
      </c>
      <c r="H838" s="168">
        <v>22500000</v>
      </c>
      <c r="I838" s="150" t="s">
        <v>557</v>
      </c>
      <c r="J838" s="149" t="s">
        <v>3557</v>
      </c>
      <c r="K838" s="149" t="s">
        <v>3574</v>
      </c>
      <c r="L838" s="171">
        <f t="shared" si="16"/>
        <v>-21500000</v>
      </c>
    </row>
    <row r="839" spans="1:12" x14ac:dyDescent="0.25">
      <c r="A839" s="7" t="s">
        <v>1494</v>
      </c>
      <c r="B839" s="61"/>
      <c r="C839" s="44" t="s">
        <v>3600</v>
      </c>
      <c r="D839" s="61">
        <v>3</v>
      </c>
      <c r="E839" s="61" t="s">
        <v>9</v>
      </c>
      <c r="F839" s="45">
        <v>1000000</v>
      </c>
      <c r="G839" s="45">
        <f>ROUNDDOWN(D839*F839,-3)</f>
        <v>3000000</v>
      </c>
      <c r="H839" s="168">
        <v>1000000</v>
      </c>
      <c r="I839" s="150" t="s">
        <v>557</v>
      </c>
      <c r="J839" s="149" t="s">
        <v>3557</v>
      </c>
      <c r="K839" s="149" t="s">
        <v>3574</v>
      </c>
      <c r="L839" s="171">
        <f t="shared" si="16"/>
        <v>2000000</v>
      </c>
    </row>
    <row r="840" spans="1:12" x14ac:dyDescent="0.25">
      <c r="A840" s="7" t="s">
        <v>1495</v>
      </c>
      <c r="B840" s="61"/>
      <c r="C840" s="44" t="s">
        <v>3601</v>
      </c>
      <c r="D840" s="61">
        <v>3</v>
      </c>
      <c r="E840" s="61" t="s">
        <v>9</v>
      </c>
      <c r="F840" s="45">
        <v>1500000</v>
      </c>
      <c r="G840" s="45">
        <f>ROUNDDOWN(D840*F840,-3)</f>
        <v>4500000</v>
      </c>
      <c r="H840" s="168">
        <v>3000000</v>
      </c>
      <c r="I840" s="150" t="s">
        <v>557</v>
      </c>
      <c r="J840" s="149" t="s">
        <v>3557</v>
      </c>
      <c r="K840" s="149" t="s">
        <v>3574</v>
      </c>
      <c r="L840" s="171">
        <f t="shared" si="16"/>
        <v>1500000</v>
      </c>
    </row>
    <row r="841" spans="1:12" x14ac:dyDescent="0.25">
      <c r="A841" s="7" t="s">
        <v>1496</v>
      </c>
      <c r="B841" s="60">
        <v>521219</v>
      </c>
      <c r="C841" s="41" t="s">
        <v>53</v>
      </c>
      <c r="D841" s="60"/>
      <c r="E841" s="60"/>
      <c r="F841" s="42"/>
      <c r="G841" s="42">
        <v>3000000</v>
      </c>
      <c r="H841" s="168">
        <v>4500000</v>
      </c>
      <c r="I841" s="150" t="s">
        <v>557</v>
      </c>
      <c r="J841" s="149" t="s">
        <v>3557</v>
      </c>
      <c r="K841" s="149" t="s">
        <v>3574</v>
      </c>
      <c r="L841" s="171">
        <f t="shared" si="16"/>
        <v>-1500000</v>
      </c>
    </row>
    <row r="842" spans="1:12" x14ac:dyDescent="0.25">
      <c r="A842" s="7" t="s">
        <v>1497</v>
      </c>
      <c r="B842" s="192"/>
      <c r="C842" s="191" t="s">
        <v>3722</v>
      </c>
      <c r="D842" s="192">
        <v>12</v>
      </c>
      <c r="E842" s="192" t="s">
        <v>78</v>
      </c>
      <c r="F842" s="193">
        <v>250000</v>
      </c>
      <c r="G842" s="45">
        <f>ROUNDDOWN(D842*F842,-3)</f>
        <v>3000000</v>
      </c>
      <c r="H842" s="165">
        <v>3000000</v>
      </c>
      <c r="I842" s="150" t="s">
        <v>557</v>
      </c>
      <c r="J842" s="149" t="s">
        <v>3557</v>
      </c>
      <c r="K842" s="149" t="s">
        <v>3574</v>
      </c>
      <c r="L842" s="171">
        <f t="shared" si="16"/>
        <v>0</v>
      </c>
    </row>
    <row r="843" spans="1:12" x14ac:dyDescent="0.25">
      <c r="A843" s="7" t="s">
        <v>1498</v>
      </c>
      <c r="B843" s="60">
        <v>522151</v>
      </c>
      <c r="C843" s="41" t="s">
        <v>11</v>
      </c>
      <c r="D843" s="60"/>
      <c r="E843" s="60"/>
      <c r="F843" s="42"/>
      <c r="G843" s="42">
        <v>70000000</v>
      </c>
      <c r="H843" s="168">
        <v>3000000</v>
      </c>
      <c r="I843" s="150" t="s">
        <v>557</v>
      </c>
      <c r="J843" s="149" t="s">
        <v>3557</v>
      </c>
      <c r="K843" s="149" t="s">
        <v>3574</v>
      </c>
      <c r="L843" s="171">
        <f t="shared" si="16"/>
        <v>67000000</v>
      </c>
    </row>
    <row r="844" spans="1:12" x14ac:dyDescent="0.25">
      <c r="A844" s="7" t="s">
        <v>1499</v>
      </c>
      <c r="B844" s="192"/>
      <c r="C844" s="191" t="s">
        <v>3910</v>
      </c>
      <c r="D844" s="192">
        <v>70</v>
      </c>
      <c r="E844" s="192" t="s">
        <v>12</v>
      </c>
      <c r="F844" s="193">
        <v>1000000</v>
      </c>
      <c r="G844" s="45">
        <f>ROUNDDOWN(D844*F844,-3)</f>
        <v>70000000</v>
      </c>
      <c r="H844" s="165">
        <v>70000000</v>
      </c>
      <c r="I844" s="150" t="s">
        <v>557</v>
      </c>
      <c r="J844" s="149" t="s">
        <v>3557</v>
      </c>
      <c r="K844" s="149" t="s">
        <v>3574</v>
      </c>
      <c r="L844" s="171">
        <f t="shared" si="16"/>
        <v>0</v>
      </c>
    </row>
    <row r="845" spans="1:12" x14ac:dyDescent="0.25">
      <c r="A845" s="7" t="s">
        <v>1501</v>
      </c>
      <c r="B845" s="60">
        <v>524111</v>
      </c>
      <c r="C845" s="41" t="s">
        <v>19</v>
      </c>
      <c r="D845" s="60"/>
      <c r="E845" s="60"/>
      <c r="F845" s="42"/>
      <c r="G845" s="42">
        <v>246000000</v>
      </c>
      <c r="H845" s="168">
        <v>70000000</v>
      </c>
      <c r="I845" s="150" t="s">
        <v>557</v>
      </c>
      <c r="J845" s="149" t="s">
        <v>3557</v>
      </c>
      <c r="K845" s="149" t="s">
        <v>3574</v>
      </c>
      <c r="L845" s="171">
        <f t="shared" si="16"/>
        <v>176000000</v>
      </c>
    </row>
    <row r="846" spans="1:12" x14ac:dyDescent="0.25">
      <c r="A846" s="7" t="s">
        <v>1502</v>
      </c>
      <c r="B846" s="192"/>
      <c r="C846" s="191" t="s">
        <v>3911</v>
      </c>
      <c r="D846" s="192">
        <v>39</v>
      </c>
      <c r="E846" s="192" t="s">
        <v>10</v>
      </c>
      <c r="F846" s="193">
        <v>6307694</v>
      </c>
      <c r="G846" s="45">
        <f>ROUNDDOWN(D846*F846,-3)</f>
        <v>246000000</v>
      </c>
      <c r="H846" s="165">
        <v>246000000</v>
      </c>
      <c r="I846" s="150" t="s">
        <v>557</v>
      </c>
      <c r="J846" s="149" t="s">
        <v>3557</v>
      </c>
      <c r="K846" s="149" t="s">
        <v>3574</v>
      </c>
      <c r="L846" s="171">
        <f t="shared" ref="L846:L909" si="17">G846-H846</f>
        <v>0</v>
      </c>
    </row>
    <row r="847" spans="1:12" ht="26.4" x14ac:dyDescent="0.25">
      <c r="A847" s="7" t="s">
        <v>1504</v>
      </c>
      <c r="B847" s="59" t="s">
        <v>580</v>
      </c>
      <c r="C847" s="38" t="s">
        <v>1505</v>
      </c>
      <c r="D847" s="59"/>
      <c r="E847" s="59"/>
      <c r="F847" s="39"/>
      <c r="G847" s="39">
        <v>668000000</v>
      </c>
      <c r="H847" s="168">
        <v>246000000</v>
      </c>
      <c r="I847" s="150" t="s">
        <v>557</v>
      </c>
      <c r="J847" s="149" t="s">
        <v>3557</v>
      </c>
      <c r="K847" s="149" t="s">
        <v>3574</v>
      </c>
      <c r="L847" s="171">
        <f t="shared" si="17"/>
        <v>422000000</v>
      </c>
    </row>
    <row r="848" spans="1:12" x14ac:dyDescent="0.25">
      <c r="A848" s="7" t="s">
        <v>1506</v>
      </c>
      <c r="B848" s="60">
        <v>521211</v>
      </c>
      <c r="C848" s="41" t="s">
        <v>7</v>
      </c>
      <c r="D848" s="60"/>
      <c r="E848" s="60"/>
      <c r="F848" s="42"/>
      <c r="G848" s="42">
        <v>84800000</v>
      </c>
      <c r="H848" s="165">
        <v>668000000</v>
      </c>
      <c r="I848" s="150" t="s">
        <v>557</v>
      </c>
      <c r="J848" s="149" t="s">
        <v>3557</v>
      </c>
      <c r="K848" s="149" t="s">
        <v>3573</v>
      </c>
      <c r="L848" s="171">
        <f t="shared" si="17"/>
        <v>-583200000</v>
      </c>
    </row>
    <row r="849" spans="1:12" x14ac:dyDescent="0.25">
      <c r="A849" s="7" t="s">
        <v>1507</v>
      </c>
      <c r="B849" s="192"/>
      <c r="C849" s="191" t="s">
        <v>3713</v>
      </c>
      <c r="D849" s="192">
        <v>50</v>
      </c>
      <c r="E849" s="192" t="s">
        <v>10</v>
      </c>
      <c r="F849" s="193">
        <v>75000</v>
      </c>
      <c r="G849" s="45">
        <f t="shared" ref="G849:G857" si="18">ROUNDDOWN(D849*F849,-3)</f>
        <v>3750000</v>
      </c>
      <c r="H849" s="165">
        <v>84800000</v>
      </c>
      <c r="I849" s="150" t="s">
        <v>557</v>
      </c>
      <c r="J849" s="149" t="s">
        <v>3557</v>
      </c>
      <c r="K849" s="149" t="s">
        <v>3573</v>
      </c>
      <c r="L849" s="171">
        <f t="shared" si="17"/>
        <v>-81050000</v>
      </c>
    </row>
    <row r="850" spans="1:12" x14ac:dyDescent="0.25">
      <c r="A850" s="7" t="s">
        <v>1508</v>
      </c>
      <c r="B850" s="61"/>
      <c r="C850" s="44" t="s">
        <v>3714</v>
      </c>
      <c r="D850" s="61">
        <v>2</v>
      </c>
      <c r="E850" s="61" t="s">
        <v>9</v>
      </c>
      <c r="F850" s="45">
        <v>1000000</v>
      </c>
      <c r="G850" s="45">
        <f t="shared" si="18"/>
        <v>2000000</v>
      </c>
      <c r="H850" s="168">
        <v>3750000</v>
      </c>
      <c r="I850" s="150" t="s">
        <v>557</v>
      </c>
      <c r="J850" s="149" t="s">
        <v>3557</v>
      </c>
      <c r="K850" s="149" t="s">
        <v>3573</v>
      </c>
      <c r="L850" s="171">
        <f t="shared" si="17"/>
        <v>-1750000</v>
      </c>
    </row>
    <row r="851" spans="1:12" x14ac:dyDescent="0.25">
      <c r="A851" s="7" t="s">
        <v>1509</v>
      </c>
      <c r="B851" s="61"/>
      <c r="C851" s="44" t="s">
        <v>3600</v>
      </c>
      <c r="D851" s="61">
        <v>2</v>
      </c>
      <c r="E851" s="61" t="s">
        <v>9</v>
      </c>
      <c r="F851" s="45">
        <v>1000000</v>
      </c>
      <c r="G851" s="45">
        <f t="shared" si="18"/>
        <v>2000000</v>
      </c>
      <c r="H851" s="168">
        <v>2000000</v>
      </c>
      <c r="I851" s="150" t="s">
        <v>557</v>
      </c>
      <c r="J851" s="149" t="s">
        <v>3557</v>
      </c>
      <c r="K851" s="149" t="s">
        <v>3573</v>
      </c>
      <c r="L851" s="171">
        <f t="shared" si="17"/>
        <v>0</v>
      </c>
    </row>
    <row r="852" spans="1:12" x14ac:dyDescent="0.25">
      <c r="A852" s="7" t="s">
        <v>1510</v>
      </c>
      <c r="B852" s="61"/>
      <c r="C852" s="44" t="s">
        <v>3601</v>
      </c>
      <c r="D852" s="61">
        <v>2</v>
      </c>
      <c r="E852" s="61" t="s">
        <v>9</v>
      </c>
      <c r="F852" s="45">
        <v>1500000</v>
      </c>
      <c r="G852" s="45">
        <f t="shared" si="18"/>
        <v>3000000</v>
      </c>
      <c r="H852" s="168">
        <v>2000000</v>
      </c>
      <c r="I852" s="150" t="s">
        <v>557</v>
      </c>
      <c r="J852" s="149" t="s">
        <v>3557</v>
      </c>
      <c r="K852" s="149" t="s">
        <v>3573</v>
      </c>
      <c r="L852" s="171">
        <f t="shared" si="17"/>
        <v>1000000</v>
      </c>
    </row>
    <row r="853" spans="1:12" x14ac:dyDescent="0.25">
      <c r="A853" s="7" t="s">
        <v>1511</v>
      </c>
      <c r="B853" s="61"/>
      <c r="C853" s="44" t="s">
        <v>3912</v>
      </c>
      <c r="D853" s="61">
        <v>20</v>
      </c>
      <c r="E853" s="61" t="s">
        <v>58</v>
      </c>
      <c r="F853" s="45">
        <v>450000</v>
      </c>
      <c r="G853" s="45">
        <f t="shared" si="18"/>
        <v>9000000</v>
      </c>
      <c r="H853" s="168">
        <v>3000000</v>
      </c>
      <c r="I853" s="150" t="s">
        <v>557</v>
      </c>
      <c r="J853" s="149" t="s">
        <v>3557</v>
      </c>
      <c r="K853" s="149" t="s">
        <v>3573</v>
      </c>
      <c r="L853" s="171">
        <f t="shared" si="17"/>
        <v>6000000</v>
      </c>
    </row>
    <row r="854" spans="1:12" x14ac:dyDescent="0.25">
      <c r="A854" s="7" t="s">
        <v>1513</v>
      </c>
      <c r="B854" s="61"/>
      <c r="C854" s="44" t="s">
        <v>3913</v>
      </c>
      <c r="D854" s="61">
        <v>20</v>
      </c>
      <c r="E854" s="61" t="s">
        <v>58</v>
      </c>
      <c r="F854" s="45">
        <v>450000</v>
      </c>
      <c r="G854" s="45">
        <f t="shared" si="18"/>
        <v>9000000</v>
      </c>
      <c r="H854" s="168">
        <v>9000000</v>
      </c>
      <c r="I854" s="150" t="s">
        <v>557</v>
      </c>
      <c r="J854" s="149" t="s">
        <v>3557</v>
      </c>
      <c r="K854" s="149" t="s">
        <v>3573</v>
      </c>
      <c r="L854" s="171">
        <f t="shared" si="17"/>
        <v>0</v>
      </c>
    </row>
    <row r="855" spans="1:12" x14ac:dyDescent="0.25">
      <c r="A855" s="7" t="s">
        <v>1515</v>
      </c>
      <c r="B855" s="61"/>
      <c r="C855" s="44" t="s">
        <v>3914</v>
      </c>
      <c r="D855" s="61">
        <v>1</v>
      </c>
      <c r="E855" s="61" t="s">
        <v>23</v>
      </c>
      <c r="F855" s="45">
        <v>27575000</v>
      </c>
      <c r="G855" s="45">
        <f t="shared" si="18"/>
        <v>27575000</v>
      </c>
      <c r="H855" s="168">
        <v>9000000</v>
      </c>
      <c r="I855" s="150" t="s">
        <v>557</v>
      </c>
      <c r="J855" s="149" t="s">
        <v>3557</v>
      </c>
      <c r="K855" s="149" t="s">
        <v>3573</v>
      </c>
      <c r="L855" s="171">
        <f t="shared" si="17"/>
        <v>18575000</v>
      </c>
    </row>
    <row r="856" spans="1:12" x14ac:dyDescent="0.25">
      <c r="A856" s="7" t="s">
        <v>1517</v>
      </c>
      <c r="B856" s="61"/>
      <c r="C856" s="44" t="s">
        <v>3915</v>
      </c>
      <c r="D856" s="61">
        <v>1</v>
      </c>
      <c r="E856" s="61" t="s">
        <v>23</v>
      </c>
      <c r="F856" s="45">
        <v>27575000</v>
      </c>
      <c r="G856" s="45">
        <f t="shared" si="18"/>
        <v>27575000</v>
      </c>
      <c r="H856" s="168">
        <v>27575000</v>
      </c>
      <c r="I856" s="150" t="s">
        <v>557</v>
      </c>
      <c r="J856" s="149" t="s">
        <v>3557</v>
      </c>
      <c r="K856" s="149" t="s">
        <v>3573</v>
      </c>
      <c r="L856" s="171">
        <f t="shared" si="17"/>
        <v>0</v>
      </c>
    </row>
    <row r="857" spans="1:12" x14ac:dyDescent="0.25">
      <c r="A857" s="7" t="s">
        <v>1519</v>
      </c>
      <c r="B857" s="61"/>
      <c r="C857" s="44" t="s">
        <v>3916</v>
      </c>
      <c r="D857" s="61">
        <v>3</v>
      </c>
      <c r="E857" s="61" t="s">
        <v>58</v>
      </c>
      <c r="F857" s="45">
        <v>300000</v>
      </c>
      <c r="G857" s="45">
        <f t="shared" si="18"/>
        <v>900000</v>
      </c>
      <c r="H857" s="168">
        <v>27575000</v>
      </c>
      <c r="I857" s="150" t="s">
        <v>557</v>
      </c>
      <c r="J857" s="149" t="s">
        <v>3557</v>
      </c>
      <c r="K857" s="149" t="s">
        <v>3573</v>
      </c>
      <c r="L857" s="171">
        <f t="shared" si="17"/>
        <v>-26675000</v>
      </c>
    </row>
    <row r="858" spans="1:12" x14ac:dyDescent="0.25">
      <c r="A858" s="7" t="s">
        <v>1521</v>
      </c>
      <c r="B858" s="60">
        <v>521219</v>
      </c>
      <c r="C858" s="41" t="s">
        <v>53</v>
      </c>
      <c r="D858" s="60"/>
      <c r="E858" s="60"/>
      <c r="F858" s="42"/>
      <c r="G858" s="42">
        <v>393200000</v>
      </c>
      <c r="H858" s="168">
        <v>900000</v>
      </c>
      <c r="I858" s="150" t="s">
        <v>557</v>
      </c>
      <c r="J858" s="149" t="s">
        <v>3557</v>
      </c>
      <c r="K858" s="149" t="s">
        <v>3573</v>
      </c>
      <c r="L858" s="171">
        <f t="shared" si="17"/>
        <v>392300000</v>
      </c>
    </row>
    <row r="859" spans="1:12" x14ac:dyDescent="0.25">
      <c r="A859" s="7" t="s">
        <v>1522</v>
      </c>
      <c r="B859" s="192"/>
      <c r="C859" s="191" t="s">
        <v>3917</v>
      </c>
      <c r="D859" s="192">
        <v>1</v>
      </c>
      <c r="E859" s="192" t="s">
        <v>66</v>
      </c>
      <c r="F859" s="193">
        <v>196600000</v>
      </c>
      <c r="G859" s="45">
        <f>ROUNDDOWN(D859*F859,-3)</f>
        <v>196600000</v>
      </c>
      <c r="H859" s="165">
        <v>393200000</v>
      </c>
      <c r="I859" s="150" t="s">
        <v>557</v>
      </c>
      <c r="J859" s="149" t="s">
        <v>3557</v>
      </c>
      <c r="K859" s="149" t="s">
        <v>3573</v>
      </c>
      <c r="L859" s="171">
        <f t="shared" si="17"/>
        <v>-196600000</v>
      </c>
    </row>
    <row r="860" spans="1:12" x14ac:dyDescent="0.25">
      <c r="A860" s="7" t="s">
        <v>1524</v>
      </c>
      <c r="B860" s="61"/>
      <c r="C860" s="44" t="s">
        <v>3918</v>
      </c>
      <c r="D860" s="61">
        <v>1</v>
      </c>
      <c r="E860" s="61" t="s">
        <v>66</v>
      </c>
      <c r="F860" s="45">
        <v>196600000</v>
      </c>
      <c r="G860" s="45">
        <f>ROUNDDOWN(D860*F860,-3)</f>
        <v>196600000</v>
      </c>
      <c r="H860" s="168">
        <v>196600000</v>
      </c>
      <c r="I860" s="150" t="s">
        <v>557</v>
      </c>
      <c r="J860" s="149" t="s">
        <v>3557</v>
      </c>
      <c r="K860" s="149" t="s">
        <v>3573</v>
      </c>
      <c r="L860" s="171">
        <f t="shared" si="17"/>
        <v>0</v>
      </c>
    </row>
    <row r="861" spans="1:12" x14ac:dyDescent="0.25">
      <c r="A861" s="7" t="s">
        <v>1526</v>
      </c>
      <c r="B861" s="60">
        <v>522141</v>
      </c>
      <c r="C861" s="41" t="s">
        <v>95</v>
      </c>
      <c r="D861" s="60"/>
      <c r="E861" s="60"/>
      <c r="F861" s="42"/>
      <c r="G861" s="42">
        <v>160000000</v>
      </c>
      <c r="H861" s="168">
        <v>196600000</v>
      </c>
      <c r="I861" s="150" t="s">
        <v>557</v>
      </c>
      <c r="J861" s="149" t="s">
        <v>3557</v>
      </c>
      <c r="K861" s="149" t="s">
        <v>3573</v>
      </c>
      <c r="L861" s="171">
        <f t="shared" si="17"/>
        <v>-36600000</v>
      </c>
    </row>
    <row r="862" spans="1:12" x14ac:dyDescent="0.25">
      <c r="A862" s="7" t="s">
        <v>1527</v>
      </c>
      <c r="B862" s="192"/>
      <c r="C862" s="191" t="s">
        <v>3919</v>
      </c>
      <c r="D862" s="192">
        <v>2</v>
      </c>
      <c r="E862" s="192" t="s">
        <v>23</v>
      </c>
      <c r="F862" s="193">
        <v>50000000</v>
      </c>
      <c r="G862" s="45">
        <f>ROUNDDOWN(D862*F862,-3)</f>
        <v>100000000</v>
      </c>
      <c r="H862" s="165">
        <v>160000000</v>
      </c>
      <c r="I862" s="150" t="s">
        <v>557</v>
      </c>
      <c r="J862" s="149" t="s">
        <v>3557</v>
      </c>
      <c r="K862" s="149" t="s">
        <v>3573</v>
      </c>
      <c r="L862" s="171">
        <f t="shared" si="17"/>
        <v>-60000000</v>
      </c>
    </row>
    <row r="863" spans="1:12" x14ac:dyDescent="0.25">
      <c r="A863" s="7" t="s">
        <v>1529</v>
      </c>
      <c r="B863" s="61"/>
      <c r="C863" s="44" t="s">
        <v>3920</v>
      </c>
      <c r="D863" s="61">
        <v>2</v>
      </c>
      <c r="E863" s="61" t="s">
        <v>23</v>
      </c>
      <c r="F863" s="45">
        <v>10000000</v>
      </c>
      <c r="G863" s="45">
        <f>ROUNDDOWN(D863*F863,-3)</f>
        <v>20000000</v>
      </c>
      <c r="H863" s="168">
        <v>100000000</v>
      </c>
      <c r="I863" s="150" t="s">
        <v>557</v>
      </c>
      <c r="J863" s="149" t="s">
        <v>3557</v>
      </c>
      <c r="K863" s="149" t="s">
        <v>3573</v>
      </c>
      <c r="L863" s="171">
        <f t="shared" si="17"/>
        <v>-80000000</v>
      </c>
    </row>
    <row r="864" spans="1:12" x14ac:dyDescent="0.25">
      <c r="A864" s="7" t="s">
        <v>1531</v>
      </c>
      <c r="B864" s="61"/>
      <c r="C864" s="44" t="s">
        <v>3921</v>
      </c>
      <c r="D864" s="61">
        <v>4</v>
      </c>
      <c r="E864" s="61" t="s">
        <v>23</v>
      </c>
      <c r="F864" s="45">
        <v>10000000</v>
      </c>
      <c r="G864" s="45">
        <f>ROUNDDOWN(D864*F864,-3)</f>
        <v>40000000</v>
      </c>
      <c r="H864" s="168">
        <v>20000000</v>
      </c>
      <c r="I864" s="150" t="s">
        <v>557</v>
      </c>
      <c r="J864" s="149" t="s">
        <v>3557</v>
      </c>
      <c r="K864" s="149" t="s">
        <v>3573</v>
      </c>
      <c r="L864" s="171">
        <f t="shared" si="17"/>
        <v>20000000</v>
      </c>
    </row>
    <row r="865" spans="1:12" x14ac:dyDescent="0.25">
      <c r="A865" s="7" t="s">
        <v>1533</v>
      </c>
      <c r="B865" s="60">
        <v>524111</v>
      </c>
      <c r="C865" s="41" t="s">
        <v>19</v>
      </c>
      <c r="D865" s="60"/>
      <c r="E865" s="60"/>
      <c r="F865" s="42"/>
      <c r="G865" s="42">
        <v>30000000</v>
      </c>
      <c r="H865" s="168">
        <v>40000000</v>
      </c>
      <c r="I865" s="150" t="s">
        <v>557</v>
      </c>
      <c r="J865" s="149" t="s">
        <v>3557</v>
      </c>
      <c r="K865" s="149" t="s">
        <v>3573</v>
      </c>
      <c r="L865" s="171">
        <f t="shared" si="17"/>
        <v>-10000000</v>
      </c>
    </row>
    <row r="866" spans="1:12" ht="26.4" x14ac:dyDescent="0.25">
      <c r="A866" s="7" t="s">
        <v>1534</v>
      </c>
      <c r="B866" s="192"/>
      <c r="C866" s="191" t="s">
        <v>3922</v>
      </c>
      <c r="D866" s="192">
        <v>12</v>
      </c>
      <c r="E866" s="192" t="s">
        <v>10</v>
      </c>
      <c r="F866" s="193">
        <v>2500000</v>
      </c>
      <c r="G866" s="45">
        <f>ROUNDDOWN(D866*F866,-3)</f>
        <v>30000000</v>
      </c>
      <c r="H866" s="165">
        <v>30000000</v>
      </c>
      <c r="I866" s="150" t="s">
        <v>557</v>
      </c>
      <c r="J866" s="149" t="s">
        <v>3557</v>
      </c>
      <c r="K866" s="149" t="s">
        <v>3573</v>
      </c>
      <c r="L866" s="171">
        <f t="shared" si="17"/>
        <v>0</v>
      </c>
    </row>
    <row r="867" spans="1:12" ht="26.4" x14ac:dyDescent="0.25">
      <c r="A867" s="7" t="s">
        <v>1536</v>
      </c>
      <c r="B867" s="59" t="s">
        <v>581</v>
      </c>
      <c r="C867" s="38" t="s">
        <v>1537</v>
      </c>
      <c r="D867" s="59"/>
      <c r="E867" s="59"/>
      <c r="F867" s="39"/>
      <c r="G867" s="39">
        <v>82000000</v>
      </c>
      <c r="H867" s="168">
        <v>30000000</v>
      </c>
      <c r="I867" s="150" t="s">
        <v>557</v>
      </c>
      <c r="J867" s="149" t="s">
        <v>3557</v>
      </c>
      <c r="K867" s="149" t="s">
        <v>3573</v>
      </c>
      <c r="L867" s="171">
        <f t="shared" si="17"/>
        <v>52000000</v>
      </c>
    </row>
    <row r="868" spans="1:12" x14ac:dyDescent="0.25">
      <c r="A868" s="7" t="s">
        <v>1538</v>
      </c>
      <c r="B868" s="60">
        <v>521211</v>
      </c>
      <c r="C868" s="41" t="s">
        <v>7</v>
      </c>
      <c r="D868" s="60"/>
      <c r="E868" s="60"/>
      <c r="F868" s="42"/>
      <c r="G868" s="42">
        <v>17550000</v>
      </c>
      <c r="H868" s="165">
        <v>82000000</v>
      </c>
      <c r="I868" s="150" t="s">
        <v>557</v>
      </c>
      <c r="J868" s="149" t="s">
        <v>3557</v>
      </c>
      <c r="K868" s="149" t="s">
        <v>3573</v>
      </c>
      <c r="L868" s="171">
        <f t="shared" si="17"/>
        <v>-64450000</v>
      </c>
    </row>
    <row r="869" spans="1:12" x14ac:dyDescent="0.25">
      <c r="A869" s="7" t="s">
        <v>1539</v>
      </c>
      <c r="B869" s="192"/>
      <c r="C869" s="191" t="s">
        <v>3713</v>
      </c>
      <c r="D869" s="192">
        <v>20</v>
      </c>
      <c r="E869" s="192" t="s">
        <v>10</v>
      </c>
      <c r="F869" s="193">
        <v>75000</v>
      </c>
      <c r="G869" s="45">
        <f t="shared" ref="G869:G875" si="19">ROUNDDOWN(D869*F869,-3)</f>
        <v>1500000</v>
      </c>
      <c r="H869" s="165">
        <v>17550000</v>
      </c>
      <c r="I869" s="150" t="s">
        <v>557</v>
      </c>
      <c r="J869" s="149" t="s">
        <v>3557</v>
      </c>
      <c r="K869" s="149" t="s">
        <v>3573</v>
      </c>
      <c r="L869" s="171">
        <f t="shared" si="17"/>
        <v>-16050000</v>
      </c>
    </row>
    <row r="870" spans="1:12" x14ac:dyDescent="0.25">
      <c r="A870" s="7" t="s">
        <v>1540</v>
      </c>
      <c r="B870" s="61"/>
      <c r="C870" s="44" t="s">
        <v>3714</v>
      </c>
      <c r="D870" s="61">
        <v>2</v>
      </c>
      <c r="E870" s="61" t="s">
        <v>9</v>
      </c>
      <c r="F870" s="45">
        <v>1000000</v>
      </c>
      <c r="G870" s="45">
        <f t="shared" si="19"/>
        <v>2000000</v>
      </c>
      <c r="H870" s="168">
        <v>1500000</v>
      </c>
      <c r="I870" s="150" t="s">
        <v>557</v>
      </c>
      <c r="J870" s="149" t="s">
        <v>3557</v>
      </c>
      <c r="K870" s="149" t="s">
        <v>3573</v>
      </c>
      <c r="L870" s="171">
        <f t="shared" si="17"/>
        <v>500000</v>
      </c>
    </row>
    <row r="871" spans="1:12" x14ac:dyDescent="0.25">
      <c r="A871" s="7" t="s">
        <v>1541</v>
      </c>
      <c r="B871" s="61"/>
      <c r="C871" s="44" t="s">
        <v>3600</v>
      </c>
      <c r="D871" s="61">
        <v>2</v>
      </c>
      <c r="E871" s="61" t="s">
        <v>9</v>
      </c>
      <c r="F871" s="45">
        <v>1000000</v>
      </c>
      <c r="G871" s="45">
        <f t="shared" si="19"/>
        <v>2000000</v>
      </c>
      <c r="H871" s="168">
        <v>2000000</v>
      </c>
      <c r="I871" s="150" t="s">
        <v>557</v>
      </c>
      <c r="J871" s="149" t="s">
        <v>3557</v>
      </c>
      <c r="K871" s="149" t="s">
        <v>3573</v>
      </c>
      <c r="L871" s="171">
        <f t="shared" si="17"/>
        <v>0</v>
      </c>
    </row>
    <row r="872" spans="1:12" x14ac:dyDescent="0.25">
      <c r="A872" s="7" t="s">
        <v>1542</v>
      </c>
      <c r="B872" s="61"/>
      <c r="C872" s="44" t="s">
        <v>3601</v>
      </c>
      <c r="D872" s="61">
        <v>2</v>
      </c>
      <c r="E872" s="61" t="s">
        <v>9</v>
      </c>
      <c r="F872" s="45">
        <v>1500000</v>
      </c>
      <c r="G872" s="45">
        <f t="shared" si="19"/>
        <v>3000000</v>
      </c>
      <c r="H872" s="168">
        <v>2000000</v>
      </c>
      <c r="I872" s="150" t="s">
        <v>557</v>
      </c>
      <c r="J872" s="149" t="s">
        <v>3557</v>
      </c>
      <c r="K872" s="149" t="s">
        <v>3573</v>
      </c>
      <c r="L872" s="171">
        <f t="shared" si="17"/>
        <v>1000000</v>
      </c>
    </row>
    <row r="873" spans="1:12" x14ac:dyDescent="0.25">
      <c r="A873" s="7" t="s">
        <v>1543</v>
      </c>
      <c r="B873" s="61"/>
      <c r="C873" s="44" t="s">
        <v>3923</v>
      </c>
      <c r="D873" s="61">
        <v>10</v>
      </c>
      <c r="E873" s="61" t="s">
        <v>58</v>
      </c>
      <c r="F873" s="45">
        <v>250000</v>
      </c>
      <c r="G873" s="45">
        <f t="shared" si="19"/>
        <v>2500000</v>
      </c>
      <c r="H873" s="168">
        <v>3000000</v>
      </c>
      <c r="I873" s="150" t="s">
        <v>557</v>
      </c>
      <c r="J873" s="149" t="s">
        <v>3557</v>
      </c>
      <c r="K873" s="149" t="s">
        <v>3573</v>
      </c>
      <c r="L873" s="171">
        <f t="shared" si="17"/>
        <v>-500000</v>
      </c>
    </row>
    <row r="874" spans="1:12" x14ac:dyDescent="0.25">
      <c r="A874" s="7" t="s">
        <v>1545</v>
      </c>
      <c r="B874" s="61"/>
      <c r="C874" s="44" t="s">
        <v>3924</v>
      </c>
      <c r="D874" s="61">
        <v>500</v>
      </c>
      <c r="E874" s="61" t="s">
        <v>58</v>
      </c>
      <c r="F874" s="45">
        <v>6000</v>
      </c>
      <c r="G874" s="45">
        <f t="shared" si="19"/>
        <v>3000000</v>
      </c>
      <c r="H874" s="168">
        <v>2500000</v>
      </c>
      <c r="I874" s="150" t="s">
        <v>557</v>
      </c>
      <c r="J874" s="149" t="s">
        <v>3557</v>
      </c>
      <c r="K874" s="149" t="s">
        <v>3573</v>
      </c>
      <c r="L874" s="171">
        <f t="shared" si="17"/>
        <v>500000</v>
      </c>
    </row>
    <row r="875" spans="1:12" x14ac:dyDescent="0.25">
      <c r="A875" s="7" t="s">
        <v>1547</v>
      </c>
      <c r="B875" s="61"/>
      <c r="C875" s="44" t="s">
        <v>3925</v>
      </c>
      <c r="D875" s="61">
        <v>100</v>
      </c>
      <c r="E875" s="61" t="s">
        <v>58</v>
      </c>
      <c r="F875" s="45">
        <v>35500</v>
      </c>
      <c r="G875" s="45">
        <f t="shared" si="19"/>
        <v>3550000</v>
      </c>
      <c r="H875" s="168">
        <v>3000000</v>
      </c>
      <c r="I875" s="150" t="s">
        <v>557</v>
      </c>
      <c r="J875" s="149" t="s">
        <v>3557</v>
      </c>
      <c r="K875" s="149" t="s">
        <v>3573</v>
      </c>
      <c r="L875" s="171">
        <f t="shared" si="17"/>
        <v>550000</v>
      </c>
    </row>
    <row r="876" spans="1:12" x14ac:dyDescent="0.25">
      <c r="A876" s="7" t="s">
        <v>1549</v>
      </c>
      <c r="B876" s="60">
        <v>521219</v>
      </c>
      <c r="C876" s="41" t="s">
        <v>53</v>
      </c>
      <c r="D876" s="60"/>
      <c r="E876" s="60"/>
      <c r="F876" s="42"/>
      <c r="G876" s="42">
        <v>3000000</v>
      </c>
      <c r="H876" s="168">
        <v>3550000</v>
      </c>
      <c r="I876" s="150" t="s">
        <v>557</v>
      </c>
      <c r="J876" s="149" t="s">
        <v>3557</v>
      </c>
      <c r="K876" s="149" t="s">
        <v>3573</v>
      </c>
      <c r="L876" s="171">
        <f t="shared" si="17"/>
        <v>-550000</v>
      </c>
    </row>
    <row r="877" spans="1:12" x14ac:dyDescent="0.25">
      <c r="A877" s="7" t="s">
        <v>1550</v>
      </c>
      <c r="B877" s="192"/>
      <c r="C877" s="191" t="s">
        <v>3722</v>
      </c>
      <c r="D877" s="192">
        <v>12</v>
      </c>
      <c r="E877" s="192" t="s">
        <v>66</v>
      </c>
      <c r="F877" s="193">
        <v>250000</v>
      </c>
      <c r="G877" s="45">
        <f>ROUNDDOWN(D877*F877,-3)</f>
        <v>3000000</v>
      </c>
      <c r="H877" s="165">
        <v>3000000</v>
      </c>
      <c r="I877" s="150" t="s">
        <v>557</v>
      </c>
      <c r="J877" s="149" t="s">
        <v>3557</v>
      </c>
      <c r="K877" s="149" t="s">
        <v>3573</v>
      </c>
      <c r="L877" s="171">
        <f t="shared" si="17"/>
        <v>0</v>
      </c>
    </row>
    <row r="878" spans="1:12" x14ac:dyDescent="0.25">
      <c r="A878" s="7" t="s">
        <v>1551</v>
      </c>
      <c r="B878" s="60">
        <v>522151</v>
      </c>
      <c r="C878" s="41" t="s">
        <v>11</v>
      </c>
      <c r="D878" s="60"/>
      <c r="E878" s="60"/>
      <c r="F878" s="42"/>
      <c r="G878" s="42">
        <v>40000000</v>
      </c>
      <c r="H878" s="168">
        <v>3000000</v>
      </c>
      <c r="I878" s="150" t="s">
        <v>557</v>
      </c>
      <c r="J878" s="149" t="s">
        <v>3557</v>
      </c>
      <c r="K878" s="149" t="s">
        <v>3573</v>
      </c>
      <c r="L878" s="171">
        <f t="shared" si="17"/>
        <v>37000000</v>
      </c>
    </row>
    <row r="879" spans="1:12" x14ac:dyDescent="0.25">
      <c r="A879" s="7" t="s">
        <v>1552</v>
      </c>
      <c r="B879" s="192"/>
      <c r="C879" s="191" t="s">
        <v>3910</v>
      </c>
      <c r="D879" s="192">
        <v>40</v>
      </c>
      <c r="E879" s="192" t="s">
        <v>54</v>
      </c>
      <c r="F879" s="193">
        <v>1000000</v>
      </c>
      <c r="G879" s="45">
        <f>ROUNDDOWN(D879*F879,-3)</f>
        <v>40000000</v>
      </c>
      <c r="H879" s="165">
        <v>40000000</v>
      </c>
      <c r="I879" s="150" t="s">
        <v>557</v>
      </c>
      <c r="J879" s="149" t="s">
        <v>3557</v>
      </c>
      <c r="K879" s="149" t="s">
        <v>3573</v>
      </c>
      <c r="L879" s="171">
        <f t="shared" si="17"/>
        <v>0</v>
      </c>
    </row>
    <row r="880" spans="1:12" x14ac:dyDescent="0.25">
      <c r="A880" s="7" t="s">
        <v>1553</v>
      </c>
      <c r="B880" s="60">
        <v>524111</v>
      </c>
      <c r="C880" s="41" t="s">
        <v>19</v>
      </c>
      <c r="D880" s="60"/>
      <c r="E880" s="60"/>
      <c r="F880" s="42"/>
      <c r="G880" s="42">
        <v>21450000</v>
      </c>
      <c r="H880" s="168">
        <v>40000000</v>
      </c>
      <c r="I880" s="150" t="s">
        <v>557</v>
      </c>
      <c r="J880" s="149" t="s">
        <v>3557</v>
      </c>
      <c r="K880" s="149" t="s">
        <v>3573</v>
      </c>
      <c r="L880" s="171">
        <f t="shared" si="17"/>
        <v>-18550000</v>
      </c>
    </row>
    <row r="881" spans="1:12" ht="26.4" x14ac:dyDescent="0.25">
      <c r="A881" s="7" t="s">
        <v>1554</v>
      </c>
      <c r="B881" s="192"/>
      <c r="C881" s="191" t="s">
        <v>3926</v>
      </c>
      <c r="D881" s="192">
        <v>10</v>
      </c>
      <c r="E881" s="192" t="s">
        <v>10</v>
      </c>
      <c r="F881" s="193">
        <v>2145000</v>
      </c>
      <c r="G881" s="45">
        <f>ROUNDDOWN(D881*F881,-3)</f>
        <v>21450000</v>
      </c>
      <c r="H881" s="165">
        <v>21450000</v>
      </c>
      <c r="I881" s="150" t="s">
        <v>557</v>
      </c>
      <c r="J881" s="149" t="s">
        <v>3557</v>
      </c>
      <c r="K881" s="149" t="s">
        <v>3573</v>
      </c>
      <c r="L881" s="171">
        <f t="shared" si="17"/>
        <v>0</v>
      </c>
    </row>
    <row r="882" spans="1:12" x14ac:dyDescent="0.25">
      <c r="A882" s="7" t="s">
        <v>1556</v>
      </c>
      <c r="B882" s="138" t="s">
        <v>3927</v>
      </c>
      <c r="C882" s="137" t="s">
        <v>1558</v>
      </c>
      <c r="D882" s="138">
        <v>2</v>
      </c>
      <c r="E882" s="138" t="s">
        <v>3740</v>
      </c>
      <c r="F882" s="139"/>
      <c r="G882" s="139">
        <v>920000000</v>
      </c>
      <c r="H882" s="168">
        <v>21450000</v>
      </c>
      <c r="I882" s="150" t="s">
        <v>557</v>
      </c>
      <c r="J882" s="149" t="s">
        <v>3557</v>
      </c>
      <c r="K882" s="149" t="s">
        <v>3573</v>
      </c>
      <c r="L882" s="171">
        <f t="shared" si="17"/>
        <v>898550000</v>
      </c>
    </row>
    <row r="883" spans="1:12" ht="26.4" x14ac:dyDescent="0.25">
      <c r="A883" s="7" t="s">
        <v>1559</v>
      </c>
      <c r="B883" s="58">
        <v>101</v>
      </c>
      <c r="C883" s="35" t="s">
        <v>1560</v>
      </c>
      <c r="D883" s="58">
        <v>0</v>
      </c>
      <c r="E883" s="58"/>
      <c r="F883" s="36"/>
      <c r="G883" s="36">
        <v>649500000</v>
      </c>
      <c r="H883" s="165">
        <v>920000000</v>
      </c>
      <c r="I883" s="150" t="s">
        <v>3552</v>
      </c>
      <c r="J883" s="149" t="s">
        <v>3563</v>
      </c>
      <c r="K883" s="149" t="s">
        <v>3583</v>
      </c>
      <c r="L883" s="171">
        <f t="shared" si="17"/>
        <v>-270500000</v>
      </c>
    </row>
    <row r="884" spans="1:12" x14ac:dyDescent="0.25">
      <c r="A884" s="7" t="s">
        <v>1561</v>
      </c>
      <c r="B884" s="59" t="s">
        <v>8</v>
      </c>
      <c r="C884" s="38" t="s">
        <v>1562</v>
      </c>
      <c r="D884" s="59"/>
      <c r="E884" s="59"/>
      <c r="F884" s="39"/>
      <c r="G884" s="39">
        <v>446900000</v>
      </c>
      <c r="H884" s="165">
        <v>649500000</v>
      </c>
      <c r="I884" s="150" t="s">
        <v>3552</v>
      </c>
      <c r="J884" s="149" t="s">
        <v>3563</v>
      </c>
      <c r="K884" s="149" t="s">
        <v>3583</v>
      </c>
      <c r="L884" s="171">
        <f t="shared" si="17"/>
        <v>-202600000</v>
      </c>
    </row>
    <row r="885" spans="1:12" x14ac:dyDescent="0.25">
      <c r="A885" s="7" t="s">
        <v>1563</v>
      </c>
      <c r="B885" s="60">
        <v>521211</v>
      </c>
      <c r="C885" s="41" t="s">
        <v>7</v>
      </c>
      <c r="D885" s="60"/>
      <c r="E885" s="60"/>
      <c r="F885" s="42"/>
      <c r="G885" s="42">
        <v>102000000</v>
      </c>
      <c r="H885" s="165">
        <v>446900000</v>
      </c>
      <c r="I885" s="150" t="s">
        <v>3552</v>
      </c>
      <c r="J885" s="149" t="s">
        <v>3563</v>
      </c>
      <c r="K885" s="149" t="s">
        <v>3583</v>
      </c>
      <c r="L885" s="171">
        <f t="shared" si="17"/>
        <v>-344900000</v>
      </c>
    </row>
    <row r="886" spans="1:12" x14ac:dyDescent="0.25">
      <c r="B886" s="192"/>
      <c r="C886" s="191" t="s">
        <v>3928</v>
      </c>
      <c r="D886" s="192"/>
      <c r="E886" s="192"/>
      <c r="F886" s="193"/>
      <c r="G886" s="193">
        <v>102000000</v>
      </c>
      <c r="H886" s="165">
        <v>102000000</v>
      </c>
      <c r="I886" s="150" t="s">
        <v>3552</v>
      </c>
      <c r="J886" s="149" t="s">
        <v>3563</v>
      </c>
      <c r="K886" s="149" t="s">
        <v>3583</v>
      </c>
      <c r="L886" s="171">
        <f t="shared" si="17"/>
        <v>0</v>
      </c>
    </row>
    <row r="887" spans="1:12" x14ac:dyDescent="0.25">
      <c r="A887" s="7" t="s">
        <v>1565</v>
      </c>
      <c r="B887" s="61"/>
      <c r="C887" s="44" t="s">
        <v>3929</v>
      </c>
      <c r="D887" s="61">
        <v>200</v>
      </c>
      <c r="E887" s="61" t="s">
        <v>180</v>
      </c>
      <c r="F887" s="45">
        <v>300000</v>
      </c>
      <c r="G887" s="45">
        <f>ROUNDDOWN(D887*F887,-3)</f>
        <v>60000000</v>
      </c>
      <c r="H887" s="165">
        <v>0</v>
      </c>
      <c r="I887" s="150" t="s">
        <v>3552</v>
      </c>
      <c r="J887" s="149" t="s">
        <v>3563</v>
      </c>
      <c r="K887" s="149" t="s">
        <v>3583</v>
      </c>
      <c r="L887" s="171">
        <f t="shared" si="17"/>
        <v>60000000</v>
      </c>
    </row>
    <row r="888" spans="1:12" x14ac:dyDescent="0.25">
      <c r="A888" s="7" t="s">
        <v>1567</v>
      </c>
      <c r="B888" s="61"/>
      <c r="C888" s="44" t="s">
        <v>3930</v>
      </c>
      <c r="D888" s="61">
        <v>100</v>
      </c>
      <c r="E888" s="61" t="s">
        <v>180</v>
      </c>
      <c r="F888" s="45">
        <v>300000</v>
      </c>
      <c r="G888" s="45">
        <f>ROUNDDOWN(D888*F888,-3)</f>
        <v>30000000</v>
      </c>
      <c r="H888" s="165">
        <v>60000000</v>
      </c>
      <c r="I888" s="150" t="s">
        <v>3552</v>
      </c>
      <c r="J888" s="149" t="s">
        <v>3563</v>
      </c>
      <c r="K888" s="149" t="s">
        <v>3583</v>
      </c>
      <c r="L888" s="171">
        <f t="shared" si="17"/>
        <v>-30000000</v>
      </c>
    </row>
    <row r="889" spans="1:12" x14ac:dyDescent="0.25">
      <c r="A889" s="7" t="s">
        <v>1569</v>
      </c>
      <c r="B889" s="61"/>
      <c r="C889" s="44" t="s">
        <v>3931</v>
      </c>
      <c r="D889" s="61">
        <v>12</v>
      </c>
      <c r="E889" s="61" t="s">
        <v>52</v>
      </c>
      <c r="F889" s="45">
        <v>1000000</v>
      </c>
      <c r="G889" s="45">
        <f>ROUNDDOWN(D889*F889,-3)</f>
        <v>12000000</v>
      </c>
      <c r="H889" s="165">
        <v>30000000</v>
      </c>
      <c r="I889" s="150" t="s">
        <v>3552</v>
      </c>
      <c r="J889" s="149" t="s">
        <v>3563</v>
      </c>
      <c r="K889" s="149" t="s">
        <v>3583</v>
      </c>
      <c r="L889" s="171">
        <f t="shared" si="17"/>
        <v>-18000000</v>
      </c>
    </row>
    <row r="890" spans="1:12" x14ac:dyDescent="0.25">
      <c r="A890" s="7" t="s">
        <v>1570</v>
      </c>
      <c r="B890" s="60">
        <v>521213</v>
      </c>
      <c r="C890" s="41" t="s">
        <v>30</v>
      </c>
      <c r="D890" s="60"/>
      <c r="E890" s="60"/>
      <c r="F890" s="42"/>
      <c r="G890" s="42">
        <v>13400000</v>
      </c>
      <c r="H890" s="165">
        <v>12000000</v>
      </c>
      <c r="I890" s="150" t="s">
        <v>3552</v>
      </c>
      <c r="J890" s="149" t="s">
        <v>3563</v>
      </c>
      <c r="K890" s="149" t="s">
        <v>3583</v>
      </c>
      <c r="L890" s="171">
        <f t="shared" si="17"/>
        <v>1400000</v>
      </c>
    </row>
    <row r="891" spans="1:12" x14ac:dyDescent="0.25">
      <c r="B891" s="192"/>
      <c r="C891" s="191" t="s">
        <v>3932</v>
      </c>
      <c r="D891" s="192"/>
      <c r="E891" s="192"/>
      <c r="F891" s="193"/>
      <c r="G891" s="193">
        <v>13400000</v>
      </c>
      <c r="H891" s="165">
        <v>13400000</v>
      </c>
      <c r="I891" s="150" t="s">
        <v>3552</v>
      </c>
      <c r="J891" s="149" t="s">
        <v>3563</v>
      </c>
      <c r="K891" s="149" t="s">
        <v>3583</v>
      </c>
      <c r="L891" s="171">
        <f t="shared" si="17"/>
        <v>0</v>
      </c>
    </row>
    <row r="892" spans="1:12" x14ac:dyDescent="0.25">
      <c r="A892" s="7" t="s">
        <v>1572</v>
      </c>
      <c r="B892" s="61"/>
      <c r="C892" s="44" t="s">
        <v>3933</v>
      </c>
      <c r="D892" s="61">
        <v>2</v>
      </c>
      <c r="E892" s="61" t="s">
        <v>1060</v>
      </c>
      <c r="F892" s="45">
        <v>500000</v>
      </c>
      <c r="G892" s="45">
        <f>ROUNDDOWN(D892*F892,-3)</f>
        <v>1000000</v>
      </c>
      <c r="H892" s="165">
        <v>0</v>
      </c>
      <c r="I892" s="150" t="s">
        <v>3552</v>
      </c>
      <c r="J892" s="149" t="s">
        <v>3563</v>
      </c>
      <c r="K892" s="149" t="s">
        <v>3583</v>
      </c>
      <c r="L892" s="171">
        <f t="shared" si="17"/>
        <v>1000000</v>
      </c>
    </row>
    <row r="893" spans="1:12" x14ac:dyDescent="0.25">
      <c r="A893" s="7" t="s">
        <v>1574</v>
      </c>
      <c r="B893" s="61"/>
      <c r="C893" s="44" t="s">
        <v>3934</v>
      </c>
      <c r="D893" s="61">
        <v>16</v>
      </c>
      <c r="E893" s="61" t="s">
        <v>1060</v>
      </c>
      <c r="F893" s="45">
        <v>400000</v>
      </c>
      <c r="G893" s="45">
        <f>ROUNDDOWN(D893*F893,-3)</f>
        <v>6400000</v>
      </c>
      <c r="H893" s="165">
        <v>1000000</v>
      </c>
      <c r="I893" s="150" t="s">
        <v>3552</v>
      </c>
      <c r="J893" s="149" t="s">
        <v>3563</v>
      </c>
      <c r="K893" s="149" t="s">
        <v>3583</v>
      </c>
      <c r="L893" s="171">
        <f t="shared" si="17"/>
        <v>5400000</v>
      </c>
    </row>
    <row r="894" spans="1:12" x14ac:dyDescent="0.25">
      <c r="A894" s="7" t="s">
        <v>1576</v>
      </c>
      <c r="B894" s="61"/>
      <c r="C894" s="44" t="s">
        <v>3935</v>
      </c>
      <c r="D894" s="61">
        <v>20</v>
      </c>
      <c r="E894" s="61" t="s">
        <v>1060</v>
      </c>
      <c r="F894" s="45">
        <v>300000</v>
      </c>
      <c r="G894" s="45">
        <f>ROUNDDOWN(D894*F894,-3)</f>
        <v>6000000</v>
      </c>
      <c r="H894" s="165">
        <v>6400000</v>
      </c>
      <c r="I894" s="150" t="s">
        <v>3552</v>
      </c>
      <c r="J894" s="149" t="s">
        <v>3563</v>
      </c>
      <c r="K894" s="149" t="s">
        <v>3583</v>
      </c>
      <c r="L894" s="171">
        <f t="shared" si="17"/>
        <v>-400000</v>
      </c>
    </row>
    <row r="895" spans="1:12" ht="26.4" x14ac:dyDescent="0.25">
      <c r="A895" s="7" t="s">
        <v>1578</v>
      </c>
      <c r="B895" s="60">
        <v>521241</v>
      </c>
      <c r="C895" s="41" t="s">
        <v>642</v>
      </c>
      <c r="D895" s="60"/>
      <c r="E895" s="60"/>
      <c r="F895" s="42"/>
      <c r="G895" s="42">
        <v>19200000</v>
      </c>
      <c r="H895" s="165">
        <v>6000000</v>
      </c>
      <c r="I895" s="150" t="s">
        <v>3552</v>
      </c>
      <c r="J895" s="149" t="s">
        <v>3563</v>
      </c>
      <c r="K895" s="149" t="s">
        <v>3583</v>
      </c>
      <c r="L895" s="171">
        <f t="shared" si="17"/>
        <v>13200000</v>
      </c>
    </row>
    <row r="896" spans="1:12" ht="26.4" x14ac:dyDescent="0.25">
      <c r="A896" s="7" t="s">
        <v>1579</v>
      </c>
      <c r="B896" s="192"/>
      <c r="C896" s="191" t="s">
        <v>3936</v>
      </c>
      <c r="D896" s="192">
        <v>96</v>
      </c>
      <c r="E896" s="192" t="s">
        <v>32</v>
      </c>
      <c r="F896" s="193">
        <v>200000</v>
      </c>
      <c r="G896" s="45">
        <f>ROUNDDOWN(D896*F896,-3)</f>
        <v>19200000</v>
      </c>
      <c r="H896" s="165">
        <v>19200000</v>
      </c>
      <c r="I896" s="150" t="s">
        <v>3552</v>
      </c>
      <c r="J896" s="149" t="s">
        <v>3563</v>
      </c>
      <c r="K896" s="149" t="s">
        <v>3583</v>
      </c>
      <c r="L896" s="171">
        <f t="shared" si="17"/>
        <v>0</v>
      </c>
    </row>
    <row r="897" spans="1:12" x14ac:dyDescent="0.25">
      <c r="A897" s="7" t="s">
        <v>1581</v>
      </c>
      <c r="B897" s="60">
        <v>521811</v>
      </c>
      <c r="C897" s="41" t="s">
        <v>64</v>
      </c>
      <c r="D897" s="60"/>
      <c r="E897" s="60"/>
      <c r="F897" s="42"/>
      <c r="G897" s="42">
        <v>24000000</v>
      </c>
      <c r="H897" s="165">
        <v>19200000</v>
      </c>
      <c r="I897" s="150" t="s">
        <v>3552</v>
      </c>
      <c r="J897" s="149" t="s">
        <v>3563</v>
      </c>
      <c r="K897" s="149" t="s">
        <v>3583</v>
      </c>
      <c r="L897" s="171">
        <f t="shared" si="17"/>
        <v>4800000</v>
      </c>
    </row>
    <row r="898" spans="1:12" x14ac:dyDescent="0.25">
      <c r="A898" s="7" t="s">
        <v>1582</v>
      </c>
      <c r="B898" s="192"/>
      <c r="C898" s="191" t="s">
        <v>3625</v>
      </c>
      <c r="D898" s="192">
        <v>12</v>
      </c>
      <c r="E898" s="192" t="s">
        <v>52</v>
      </c>
      <c r="F898" s="193">
        <v>1000000</v>
      </c>
      <c r="G898" s="45">
        <f>ROUNDDOWN(D898*F898,-3)</f>
        <v>12000000</v>
      </c>
      <c r="H898" s="165">
        <v>24000000</v>
      </c>
      <c r="I898" s="150" t="s">
        <v>3552</v>
      </c>
      <c r="J898" s="149" t="s">
        <v>3563</v>
      </c>
      <c r="K898" s="149" t="s">
        <v>3583</v>
      </c>
      <c r="L898" s="171">
        <f t="shared" si="17"/>
        <v>-12000000</v>
      </c>
    </row>
    <row r="899" spans="1:12" x14ac:dyDescent="0.25">
      <c r="A899" s="7" t="s">
        <v>1583</v>
      </c>
      <c r="B899" s="61"/>
      <c r="C899" s="44" t="s">
        <v>3744</v>
      </c>
      <c r="D899" s="61">
        <v>12</v>
      </c>
      <c r="E899" s="61" t="s">
        <v>52</v>
      </c>
      <c r="F899" s="45">
        <v>1000000</v>
      </c>
      <c r="G899" s="45">
        <f>ROUNDDOWN(D899*F899,-3)</f>
        <v>12000000</v>
      </c>
      <c r="H899" s="165">
        <v>12000000</v>
      </c>
      <c r="I899" s="150" t="s">
        <v>3552</v>
      </c>
      <c r="J899" s="149" t="s">
        <v>3563</v>
      </c>
      <c r="K899" s="149" t="s">
        <v>3583</v>
      </c>
      <c r="L899" s="171">
        <f t="shared" si="17"/>
        <v>0</v>
      </c>
    </row>
    <row r="900" spans="1:12" x14ac:dyDescent="0.25">
      <c r="A900" s="7" t="s">
        <v>1584</v>
      </c>
      <c r="B900" s="60">
        <v>522151</v>
      </c>
      <c r="C900" s="41" t="s">
        <v>11</v>
      </c>
      <c r="D900" s="60"/>
      <c r="E900" s="60"/>
      <c r="F900" s="42"/>
      <c r="G900" s="42">
        <v>22400000</v>
      </c>
      <c r="H900" s="165">
        <v>12000000</v>
      </c>
      <c r="I900" s="150" t="s">
        <v>3552</v>
      </c>
      <c r="J900" s="149" t="s">
        <v>3563</v>
      </c>
      <c r="K900" s="149" t="s">
        <v>3583</v>
      </c>
      <c r="L900" s="171">
        <f t="shared" si="17"/>
        <v>10400000</v>
      </c>
    </row>
    <row r="901" spans="1:12" x14ac:dyDescent="0.25">
      <c r="A901" s="7" t="s">
        <v>1585</v>
      </c>
      <c r="B901" s="192"/>
      <c r="C901" s="191" t="s">
        <v>3937</v>
      </c>
      <c r="D901" s="192">
        <v>8</v>
      </c>
      <c r="E901" s="192" t="s">
        <v>54</v>
      </c>
      <c r="F901" s="193">
        <v>1000000</v>
      </c>
      <c r="G901" s="45">
        <f>ROUNDDOWN(D901*F901,-3)</f>
        <v>8000000</v>
      </c>
      <c r="H901" s="165">
        <v>22400000</v>
      </c>
      <c r="I901" s="150" t="s">
        <v>3552</v>
      </c>
      <c r="J901" s="149" t="s">
        <v>3563</v>
      </c>
      <c r="K901" s="149" t="s">
        <v>3583</v>
      </c>
      <c r="L901" s="171">
        <f t="shared" si="17"/>
        <v>-14400000</v>
      </c>
    </row>
    <row r="902" spans="1:12" x14ac:dyDescent="0.25">
      <c r="A902" s="7" t="s">
        <v>1587</v>
      </c>
      <c r="B902" s="61"/>
      <c r="C902" s="44" t="s">
        <v>3938</v>
      </c>
      <c r="D902" s="61">
        <v>16</v>
      </c>
      <c r="E902" s="61" t="s">
        <v>54</v>
      </c>
      <c r="F902" s="45">
        <v>900000</v>
      </c>
      <c r="G902" s="45">
        <f>ROUNDDOWN(D902*F902,-3)</f>
        <v>14400000</v>
      </c>
      <c r="H902" s="165">
        <v>8000000</v>
      </c>
      <c r="I902" s="150" t="s">
        <v>3552</v>
      </c>
      <c r="J902" s="149" t="s">
        <v>3563</v>
      </c>
      <c r="K902" s="149" t="s">
        <v>3583</v>
      </c>
      <c r="L902" s="171">
        <f t="shared" si="17"/>
        <v>6400000</v>
      </c>
    </row>
    <row r="903" spans="1:12" x14ac:dyDescent="0.25">
      <c r="A903" s="7" t="s">
        <v>1589</v>
      </c>
      <c r="B903" s="60">
        <v>522191</v>
      </c>
      <c r="C903" s="41" t="s">
        <v>22</v>
      </c>
      <c r="D903" s="60"/>
      <c r="E903" s="60"/>
      <c r="F903" s="42"/>
      <c r="G903" s="42">
        <v>60000000</v>
      </c>
      <c r="H903" s="165">
        <v>14400000</v>
      </c>
      <c r="I903" s="150" t="s">
        <v>3552</v>
      </c>
      <c r="J903" s="149" t="s">
        <v>3563</v>
      </c>
      <c r="K903" s="149" t="s">
        <v>3583</v>
      </c>
      <c r="L903" s="171">
        <f t="shared" si="17"/>
        <v>45600000</v>
      </c>
    </row>
    <row r="904" spans="1:12" x14ac:dyDescent="0.25">
      <c r="A904" s="7" t="s">
        <v>1590</v>
      </c>
      <c r="B904" s="192"/>
      <c r="C904" s="191" t="s">
        <v>3939</v>
      </c>
      <c r="D904" s="192">
        <v>12</v>
      </c>
      <c r="E904" s="192" t="s">
        <v>52</v>
      </c>
      <c r="F904" s="193">
        <v>5000000</v>
      </c>
      <c r="G904" s="45">
        <f>ROUNDDOWN(D904*F904,-3)</f>
        <v>60000000</v>
      </c>
      <c r="H904" s="165">
        <v>60000000</v>
      </c>
      <c r="I904" s="150" t="s">
        <v>3552</v>
      </c>
      <c r="J904" s="149" t="s">
        <v>3563</v>
      </c>
      <c r="K904" s="149" t="s">
        <v>3583</v>
      </c>
      <c r="L904" s="171">
        <f t="shared" si="17"/>
        <v>0</v>
      </c>
    </row>
    <row r="905" spans="1:12" x14ac:dyDescent="0.25">
      <c r="A905" s="7" t="s">
        <v>1592</v>
      </c>
      <c r="B905" s="60">
        <v>522192</v>
      </c>
      <c r="C905" s="41" t="s">
        <v>24</v>
      </c>
      <c r="D905" s="60"/>
      <c r="E905" s="60"/>
      <c r="F905" s="42"/>
      <c r="G905" s="42">
        <v>24500000</v>
      </c>
      <c r="H905" s="165">
        <v>60000000</v>
      </c>
      <c r="I905" s="150" t="s">
        <v>3552</v>
      </c>
      <c r="J905" s="149" t="s">
        <v>3563</v>
      </c>
      <c r="K905" s="149" t="s">
        <v>3583</v>
      </c>
      <c r="L905" s="171">
        <f t="shared" si="17"/>
        <v>-35500000</v>
      </c>
    </row>
    <row r="906" spans="1:12" x14ac:dyDescent="0.25">
      <c r="A906" s="7" t="s">
        <v>1593</v>
      </c>
      <c r="B906" s="192"/>
      <c r="C906" s="191" t="s">
        <v>3940</v>
      </c>
      <c r="D906" s="192">
        <v>70</v>
      </c>
      <c r="E906" s="192" t="s">
        <v>25</v>
      </c>
      <c r="F906" s="193">
        <v>350000</v>
      </c>
      <c r="G906" s="45">
        <f>ROUNDDOWN(D906*F906,-3)</f>
        <v>24500000</v>
      </c>
      <c r="H906" s="165">
        <v>24500000</v>
      </c>
      <c r="I906" s="150" t="s">
        <v>3552</v>
      </c>
      <c r="J906" s="149" t="s">
        <v>3563</v>
      </c>
      <c r="K906" s="149" t="s">
        <v>3583</v>
      </c>
      <c r="L906" s="171">
        <f t="shared" si="17"/>
        <v>0</v>
      </c>
    </row>
    <row r="907" spans="1:12" x14ac:dyDescent="0.25">
      <c r="A907" s="7" t="s">
        <v>1595</v>
      </c>
      <c r="B907" s="60">
        <v>524111</v>
      </c>
      <c r="C907" s="41" t="s">
        <v>19</v>
      </c>
      <c r="D907" s="60"/>
      <c r="E907" s="60"/>
      <c r="F907" s="42"/>
      <c r="G907" s="42">
        <v>150000000</v>
      </c>
      <c r="H907" s="165">
        <v>24500000</v>
      </c>
      <c r="I907" s="150" t="s">
        <v>3552</v>
      </c>
      <c r="J907" s="149" t="s">
        <v>3563</v>
      </c>
      <c r="K907" s="149" t="s">
        <v>3583</v>
      </c>
      <c r="L907" s="171">
        <f t="shared" si="17"/>
        <v>125500000</v>
      </c>
    </row>
    <row r="908" spans="1:12" ht="26.4" x14ac:dyDescent="0.25">
      <c r="A908" s="7" t="s">
        <v>1596</v>
      </c>
      <c r="B908" s="192"/>
      <c r="C908" s="191" t="s">
        <v>3941</v>
      </c>
      <c r="D908" s="192">
        <v>30</v>
      </c>
      <c r="E908" s="192" t="s">
        <v>25</v>
      </c>
      <c r="F908" s="193">
        <v>5000000</v>
      </c>
      <c r="G908" s="45">
        <f>ROUNDDOWN(D908*F908,-3)</f>
        <v>150000000</v>
      </c>
      <c r="H908" s="165">
        <v>150000000</v>
      </c>
      <c r="I908" s="150" t="s">
        <v>3552</v>
      </c>
      <c r="J908" s="149" t="s">
        <v>3563</v>
      </c>
      <c r="K908" s="149" t="s">
        <v>3583</v>
      </c>
      <c r="L908" s="171">
        <f t="shared" si="17"/>
        <v>0</v>
      </c>
    </row>
    <row r="909" spans="1:12" x14ac:dyDescent="0.25">
      <c r="A909" s="7" t="s">
        <v>1598</v>
      </c>
      <c r="B909" s="60">
        <v>524113</v>
      </c>
      <c r="C909" s="41" t="s">
        <v>13</v>
      </c>
      <c r="D909" s="60"/>
      <c r="E909" s="60"/>
      <c r="F909" s="42"/>
      <c r="G909" s="42">
        <v>15300000</v>
      </c>
      <c r="H909" s="165">
        <v>150000000</v>
      </c>
      <c r="I909" s="150" t="s">
        <v>3552</v>
      </c>
      <c r="J909" s="149" t="s">
        <v>3563</v>
      </c>
      <c r="K909" s="149" t="s">
        <v>3583</v>
      </c>
      <c r="L909" s="171">
        <f t="shared" si="17"/>
        <v>-134700000</v>
      </c>
    </row>
    <row r="910" spans="1:12" x14ac:dyDescent="0.25">
      <c r="A910" s="7" t="s">
        <v>1599</v>
      </c>
      <c r="B910" s="192"/>
      <c r="C910" s="191" t="s">
        <v>3613</v>
      </c>
      <c r="D910" s="192">
        <v>60</v>
      </c>
      <c r="E910" s="192" t="s">
        <v>25</v>
      </c>
      <c r="F910" s="193">
        <v>150000</v>
      </c>
      <c r="G910" s="45">
        <f>ROUNDDOWN(D910*F910,-3)</f>
        <v>9000000</v>
      </c>
      <c r="H910" s="165">
        <v>15300000</v>
      </c>
      <c r="I910" s="150" t="s">
        <v>3552</v>
      </c>
      <c r="J910" s="149" t="s">
        <v>3563</v>
      </c>
      <c r="K910" s="149" t="s">
        <v>3583</v>
      </c>
      <c r="L910" s="171">
        <f t="shared" ref="L910:L973" si="20">G910-H910</f>
        <v>-6300000</v>
      </c>
    </row>
    <row r="911" spans="1:12" x14ac:dyDescent="0.25">
      <c r="A911" s="7" t="s">
        <v>1600</v>
      </c>
      <c r="B911" s="61"/>
      <c r="C911" s="44" t="s">
        <v>3942</v>
      </c>
      <c r="D911" s="61">
        <v>30</v>
      </c>
      <c r="E911" s="61" t="s">
        <v>73</v>
      </c>
      <c r="F911" s="45">
        <v>210000</v>
      </c>
      <c r="G911" s="45">
        <f>ROUNDDOWN(D911*F911,-3)</f>
        <v>6300000</v>
      </c>
      <c r="H911" s="165">
        <v>9000000</v>
      </c>
      <c r="I911" s="150" t="s">
        <v>3552</v>
      </c>
      <c r="J911" s="149" t="s">
        <v>3563</v>
      </c>
      <c r="K911" s="149" t="s">
        <v>3583</v>
      </c>
      <c r="L911" s="171">
        <f t="shared" si="20"/>
        <v>-2700000</v>
      </c>
    </row>
    <row r="912" spans="1:12" x14ac:dyDescent="0.25">
      <c r="A912" s="7" t="s">
        <v>1602</v>
      </c>
      <c r="B912" s="60">
        <v>524114</v>
      </c>
      <c r="C912" s="41" t="s">
        <v>14</v>
      </c>
      <c r="D912" s="60"/>
      <c r="E912" s="60"/>
      <c r="F912" s="42"/>
      <c r="G912" s="42">
        <v>5600000</v>
      </c>
      <c r="H912" s="165">
        <v>6300000</v>
      </c>
      <c r="I912" s="150" t="s">
        <v>3552</v>
      </c>
      <c r="J912" s="149" t="s">
        <v>3563</v>
      </c>
      <c r="K912" s="149" t="s">
        <v>3583</v>
      </c>
      <c r="L912" s="171">
        <f t="shared" si="20"/>
        <v>-700000</v>
      </c>
    </row>
    <row r="913" spans="1:12" x14ac:dyDescent="0.25">
      <c r="A913" s="7" t="s">
        <v>1603</v>
      </c>
      <c r="B913" s="192"/>
      <c r="C913" s="191" t="s">
        <v>3943</v>
      </c>
      <c r="D913" s="192">
        <v>20</v>
      </c>
      <c r="E913" s="192" t="s">
        <v>25</v>
      </c>
      <c r="F913" s="193">
        <v>130000</v>
      </c>
      <c r="G913" s="45">
        <f>ROUNDDOWN(D913*F913,-3)</f>
        <v>2600000</v>
      </c>
      <c r="H913" s="165">
        <v>5600000</v>
      </c>
      <c r="I913" s="150" t="s">
        <v>3552</v>
      </c>
      <c r="J913" s="149" t="s">
        <v>3563</v>
      </c>
      <c r="K913" s="149" t="s">
        <v>3583</v>
      </c>
      <c r="L913" s="171">
        <f t="shared" si="20"/>
        <v>-3000000</v>
      </c>
    </row>
    <row r="914" spans="1:12" x14ac:dyDescent="0.25">
      <c r="A914" s="7" t="s">
        <v>1605</v>
      </c>
      <c r="B914" s="61"/>
      <c r="C914" s="44" t="s">
        <v>3944</v>
      </c>
      <c r="D914" s="61">
        <v>20</v>
      </c>
      <c r="E914" s="61" t="s">
        <v>25</v>
      </c>
      <c r="F914" s="45">
        <v>150000</v>
      </c>
      <c r="G914" s="45">
        <f>ROUNDDOWN(D914*F914,-3)</f>
        <v>3000000</v>
      </c>
      <c r="H914" s="165">
        <v>2600000</v>
      </c>
      <c r="I914" s="150" t="s">
        <v>3552</v>
      </c>
      <c r="J914" s="149" t="s">
        <v>3563</v>
      </c>
      <c r="K914" s="149" t="s">
        <v>3583</v>
      </c>
      <c r="L914" s="171">
        <f t="shared" si="20"/>
        <v>400000</v>
      </c>
    </row>
    <row r="915" spans="1:12" x14ac:dyDescent="0.25">
      <c r="A915" s="7" t="s">
        <v>1607</v>
      </c>
      <c r="B915" s="60">
        <v>524119</v>
      </c>
      <c r="C915" s="41" t="s">
        <v>15</v>
      </c>
      <c r="D915" s="60"/>
      <c r="E915" s="60"/>
      <c r="F915" s="42"/>
      <c r="G915" s="42">
        <v>10500000</v>
      </c>
      <c r="H915" s="165">
        <v>3000000</v>
      </c>
      <c r="I915" s="150" t="s">
        <v>3552</v>
      </c>
      <c r="J915" s="149" t="s">
        <v>3563</v>
      </c>
      <c r="K915" s="149" t="s">
        <v>3583</v>
      </c>
      <c r="L915" s="171">
        <f t="shared" si="20"/>
        <v>7500000</v>
      </c>
    </row>
    <row r="916" spans="1:12" x14ac:dyDescent="0.25">
      <c r="A916" s="7" t="s">
        <v>1608</v>
      </c>
      <c r="B916" s="192"/>
      <c r="C916" s="191" t="s">
        <v>3945</v>
      </c>
      <c r="D916" s="192">
        <v>14</v>
      </c>
      <c r="E916" s="192" t="s">
        <v>25</v>
      </c>
      <c r="F916" s="193">
        <v>150000</v>
      </c>
      <c r="G916" s="45">
        <f>ROUNDDOWN(D916*F916,-3)</f>
        <v>2100000</v>
      </c>
      <c r="H916" s="165">
        <v>10500000</v>
      </c>
      <c r="I916" s="150" t="s">
        <v>3552</v>
      </c>
      <c r="J916" s="149" t="s">
        <v>3563</v>
      </c>
      <c r="K916" s="149" t="s">
        <v>3583</v>
      </c>
      <c r="L916" s="171">
        <f t="shared" si="20"/>
        <v>-8400000</v>
      </c>
    </row>
    <row r="917" spans="1:12" x14ac:dyDescent="0.25">
      <c r="A917" s="7" t="s">
        <v>1610</v>
      </c>
      <c r="B917" s="61"/>
      <c r="C917" s="44" t="s">
        <v>3946</v>
      </c>
      <c r="D917" s="61">
        <v>14</v>
      </c>
      <c r="E917" s="61" t="s">
        <v>25</v>
      </c>
      <c r="F917" s="45">
        <v>600000</v>
      </c>
      <c r="G917" s="45">
        <f>ROUNDDOWN(D917*F917,-3)</f>
        <v>8400000</v>
      </c>
      <c r="H917" s="165">
        <v>2100000</v>
      </c>
      <c r="I917" s="150" t="s">
        <v>3552</v>
      </c>
      <c r="J917" s="149" t="s">
        <v>3563</v>
      </c>
      <c r="K917" s="149" t="s">
        <v>3583</v>
      </c>
      <c r="L917" s="171">
        <f t="shared" si="20"/>
        <v>6300000</v>
      </c>
    </row>
    <row r="918" spans="1:12" x14ac:dyDescent="0.25">
      <c r="A918" s="7" t="s">
        <v>1612</v>
      </c>
      <c r="B918" s="59" t="s">
        <v>511</v>
      </c>
      <c r="C918" s="38" t="s">
        <v>1613</v>
      </c>
      <c r="D918" s="59"/>
      <c r="E918" s="59"/>
      <c r="F918" s="39"/>
      <c r="G918" s="39">
        <v>202600000</v>
      </c>
      <c r="H918" s="165">
        <v>8400000</v>
      </c>
      <c r="I918" s="150" t="s">
        <v>3552</v>
      </c>
      <c r="J918" s="149" t="s">
        <v>3563</v>
      </c>
      <c r="K918" s="149" t="s">
        <v>3583</v>
      </c>
      <c r="L918" s="171">
        <f t="shared" si="20"/>
        <v>194200000</v>
      </c>
    </row>
    <row r="919" spans="1:12" x14ac:dyDescent="0.25">
      <c r="A919" s="7" t="s">
        <v>1614</v>
      </c>
      <c r="B919" s="60">
        <v>521211</v>
      </c>
      <c r="C919" s="41" t="s">
        <v>7</v>
      </c>
      <c r="D919" s="60"/>
      <c r="E919" s="60"/>
      <c r="F919" s="42"/>
      <c r="G919" s="42">
        <v>30000000</v>
      </c>
      <c r="H919" s="165">
        <v>202600000</v>
      </c>
      <c r="I919" s="150" t="s">
        <v>3552</v>
      </c>
      <c r="J919" s="149" t="s">
        <v>3563</v>
      </c>
      <c r="K919" s="149" t="s">
        <v>3583</v>
      </c>
      <c r="L919" s="171">
        <f t="shared" si="20"/>
        <v>-172600000</v>
      </c>
    </row>
    <row r="920" spans="1:12" x14ac:dyDescent="0.25">
      <c r="B920" s="192"/>
      <c r="C920" s="191" t="s">
        <v>3947</v>
      </c>
      <c r="D920" s="192"/>
      <c r="E920" s="192"/>
      <c r="F920" s="193"/>
      <c r="G920" s="193">
        <v>15000000</v>
      </c>
      <c r="H920" s="165">
        <v>30000000</v>
      </c>
      <c r="I920" s="150" t="s">
        <v>3552</v>
      </c>
      <c r="J920" s="149" t="s">
        <v>3563</v>
      </c>
      <c r="K920" s="149" t="s">
        <v>3583</v>
      </c>
      <c r="L920" s="171">
        <f t="shared" si="20"/>
        <v>-15000000</v>
      </c>
    </row>
    <row r="921" spans="1:12" x14ac:dyDescent="0.25">
      <c r="A921" s="7" t="s">
        <v>1616</v>
      </c>
      <c r="B921" s="61"/>
      <c r="C921" s="44" t="s">
        <v>3948</v>
      </c>
      <c r="D921" s="61">
        <v>1</v>
      </c>
      <c r="E921" s="61" t="s">
        <v>52</v>
      </c>
      <c r="F921" s="45">
        <v>2500000</v>
      </c>
      <c r="G921" s="45">
        <f>ROUNDDOWN(D921*F921,-3)</f>
        <v>2500000</v>
      </c>
      <c r="H921" s="165">
        <v>0</v>
      </c>
      <c r="I921" s="150" t="s">
        <v>3552</v>
      </c>
      <c r="J921" s="149" t="s">
        <v>3563</v>
      </c>
      <c r="K921" s="149" t="s">
        <v>3583</v>
      </c>
      <c r="L921" s="171">
        <f t="shared" si="20"/>
        <v>2500000</v>
      </c>
    </row>
    <row r="922" spans="1:12" x14ac:dyDescent="0.25">
      <c r="A922" s="7" t="s">
        <v>1617</v>
      </c>
      <c r="B922" s="61"/>
      <c r="C922" s="44" t="s">
        <v>3949</v>
      </c>
      <c r="D922" s="61">
        <v>1</v>
      </c>
      <c r="E922" s="61" t="s">
        <v>52</v>
      </c>
      <c r="F922" s="45">
        <v>2500000</v>
      </c>
      <c r="G922" s="45">
        <f>ROUNDDOWN(D922*F922,-3)</f>
        <v>2500000</v>
      </c>
      <c r="H922" s="165">
        <v>9000000</v>
      </c>
      <c r="I922" s="150" t="s">
        <v>3552</v>
      </c>
      <c r="J922" s="149" t="s">
        <v>3563</v>
      </c>
      <c r="K922" s="149" t="s">
        <v>3583</v>
      </c>
      <c r="L922" s="171">
        <f t="shared" si="20"/>
        <v>-6500000</v>
      </c>
    </row>
    <row r="923" spans="1:12" x14ac:dyDescent="0.25">
      <c r="A923" s="7" t="s">
        <v>1618</v>
      </c>
      <c r="B923" s="61"/>
      <c r="C923" s="44" t="s">
        <v>3950</v>
      </c>
      <c r="D923" s="61">
        <v>1</v>
      </c>
      <c r="E923" s="61" t="s">
        <v>52</v>
      </c>
      <c r="F923" s="45">
        <v>1000000</v>
      </c>
      <c r="G923" s="45">
        <f>ROUNDDOWN(D923*F923,-3)</f>
        <v>1000000</v>
      </c>
      <c r="H923" s="165">
        <v>2500000</v>
      </c>
      <c r="I923" s="150" t="s">
        <v>3552</v>
      </c>
      <c r="J923" s="149" t="s">
        <v>3563</v>
      </c>
      <c r="K923" s="149" t="s">
        <v>3583</v>
      </c>
      <c r="L923" s="171">
        <f t="shared" si="20"/>
        <v>-1500000</v>
      </c>
    </row>
    <row r="924" spans="1:12" x14ac:dyDescent="0.25">
      <c r="A924" s="7" t="s">
        <v>1619</v>
      </c>
      <c r="B924" s="61"/>
      <c r="C924" s="44" t="s">
        <v>3951</v>
      </c>
      <c r="D924" s="61">
        <v>45</v>
      </c>
      <c r="E924" s="61" t="s">
        <v>52</v>
      </c>
      <c r="F924" s="45">
        <v>200000</v>
      </c>
      <c r="G924" s="45">
        <f>ROUNDDOWN(D924*F924,-3)</f>
        <v>9000000</v>
      </c>
      <c r="H924" s="165">
        <v>2500000</v>
      </c>
      <c r="I924" s="150" t="s">
        <v>3552</v>
      </c>
      <c r="J924" s="149" t="s">
        <v>3563</v>
      </c>
      <c r="K924" s="149" t="s">
        <v>3583</v>
      </c>
      <c r="L924" s="171">
        <f t="shared" si="20"/>
        <v>6500000</v>
      </c>
    </row>
    <row r="925" spans="1:12" x14ac:dyDescent="0.25">
      <c r="B925" s="61"/>
      <c r="C925" s="44" t="s">
        <v>3952</v>
      </c>
      <c r="D925" s="61"/>
      <c r="E925" s="61"/>
      <c r="F925" s="45"/>
      <c r="G925" s="45">
        <v>15000000</v>
      </c>
      <c r="H925" s="165">
        <v>1000000</v>
      </c>
      <c r="I925" s="150" t="s">
        <v>3552</v>
      </c>
      <c r="J925" s="149" t="s">
        <v>3563</v>
      </c>
      <c r="K925" s="149" t="s">
        <v>3583</v>
      </c>
      <c r="L925" s="171">
        <f t="shared" si="20"/>
        <v>14000000</v>
      </c>
    </row>
    <row r="926" spans="1:12" x14ac:dyDescent="0.25">
      <c r="A926" s="7" t="s">
        <v>1621</v>
      </c>
      <c r="B926" s="61"/>
      <c r="C926" s="44" t="s">
        <v>3953</v>
      </c>
      <c r="D926" s="61">
        <v>1</v>
      </c>
      <c r="E926" s="61" t="s">
        <v>52</v>
      </c>
      <c r="F926" s="45">
        <v>2500000</v>
      </c>
      <c r="G926" s="45">
        <f>ROUNDDOWN(D926*F926,-3)</f>
        <v>2500000</v>
      </c>
      <c r="H926" s="165">
        <v>9000000</v>
      </c>
      <c r="I926" s="150" t="s">
        <v>3552</v>
      </c>
      <c r="J926" s="149" t="s">
        <v>3563</v>
      </c>
      <c r="K926" s="149" t="s">
        <v>3583</v>
      </c>
      <c r="L926" s="171">
        <f t="shared" si="20"/>
        <v>-6500000</v>
      </c>
    </row>
    <row r="927" spans="1:12" x14ac:dyDescent="0.25">
      <c r="A927" s="7" t="s">
        <v>1623</v>
      </c>
      <c r="B927" s="61"/>
      <c r="C927" s="44" t="s">
        <v>3954</v>
      </c>
      <c r="D927" s="61">
        <v>1</v>
      </c>
      <c r="E927" s="61" t="s">
        <v>52</v>
      </c>
      <c r="F927" s="45">
        <v>2500000</v>
      </c>
      <c r="G927" s="45">
        <f>ROUNDDOWN(D927*F927,-3)</f>
        <v>2500000</v>
      </c>
      <c r="H927" s="165">
        <v>0</v>
      </c>
      <c r="I927" s="150" t="s">
        <v>3552</v>
      </c>
      <c r="J927" s="149" t="s">
        <v>3563</v>
      </c>
      <c r="K927" s="149" t="s">
        <v>3583</v>
      </c>
      <c r="L927" s="171">
        <f t="shared" si="20"/>
        <v>2500000</v>
      </c>
    </row>
    <row r="928" spans="1:12" x14ac:dyDescent="0.25">
      <c r="A928" s="7" t="s">
        <v>1624</v>
      </c>
      <c r="B928" s="61"/>
      <c r="C928" s="44" t="s">
        <v>3955</v>
      </c>
      <c r="D928" s="61">
        <v>1</v>
      </c>
      <c r="E928" s="61" t="s">
        <v>52</v>
      </c>
      <c r="F928" s="45">
        <v>1000000</v>
      </c>
      <c r="G928" s="45">
        <f>ROUNDDOWN(D928*F928,-3)</f>
        <v>1000000</v>
      </c>
      <c r="H928" s="165">
        <v>2500000</v>
      </c>
      <c r="I928" s="150" t="s">
        <v>3552</v>
      </c>
      <c r="J928" s="149" t="s">
        <v>3563</v>
      </c>
      <c r="K928" s="149" t="s">
        <v>3583</v>
      </c>
      <c r="L928" s="171">
        <f t="shared" si="20"/>
        <v>-1500000</v>
      </c>
    </row>
    <row r="929" spans="1:12" x14ac:dyDescent="0.25">
      <c r="A929" s="7" t="s">
        <v>1625</v>
      </c>
      <c r="B929" s="61"/>
      <c r="C929" s="44" t="s">
        <v>3956</v>
      </c>
      <c r="D929" s="61">
        <v>45</v>
      </c>
      <c r="E929" s="61" t="s">
        <v>52</v>
      </c>
      <c r="F929" s="45">
        <v>200000</v>
      </c>
      <c r="G929" s="45">
        <f>ROUNDDOWN(D929*F929,-3)</f>
        <v>9000000</v>
      </c>
      <c r="H929" s="165">
        <v>2500000</v>
      </c>
      <c r="I929" s="150" t="s">
        <v>3552</v>
      </c>
      <c r="J929" s="149" t="s">
        <v>3563</v>
      </c>
      <c r="K929" s="149" t="s">
        <v>3583</v>
      </c>
      <c r="L929" s="171">
        <f t="shared" si="20"/>
        <v>6500000</v>
      </c>
    </row>
    <row r="930" spans="1:12" x14ac:dyDescent="0.25">
      <c r="A930" s="7" t="s">
        <v>1626</v>
      </c>
      <c r="B930" s="60">
        <v>522151</v>
      </c>
      <c r="C930" s="41" t="s">
        <v>11</v>
      </c>
      <c r="D930" s="60"/>
      <c r="E930" s="60"/>
      <c r="F930" s="42"/>
      <c r="G930" s="42">
        <v>16800000</v>
      </c>
      <c r="H930" s="165">
        <v>1000000</v>
      </c>
      <c r="I930" s="150" t="s">
        <v>3552</v>
      </c>
      <c r="J930" s="149" t="s">
        <v>3563</v>
      </c>
      <c r="K930" s="149" t="s">
        <v>3583</v>
      </c>
      <c r="L930" s="171">
        <f t="shared" si="20"/>
        <v>15800000</v>
      </c>
    </row>
    <row r="931" spans="1:12" x14ac:dyDescent="0.25">
      <c r="B931" s="192"/>
      <c r="C931" s="191" t="s">
        <v>3947</v>
      </c>
      <c r="D931" s="192"/>
      <c r="E931" s="192"/>
      <c r="F931" s="193"/>
      <c r="G931" s="193">
        <v>7600000</v>
      </c>
      <c r="H931" s="165">
        <v>16800000</v>
      </c>
      <c r="I931" s="150" t="s">
        <v>3552</v>
      </c>
      <c r="J931" s="149" t="s">
        <v>3563</v>
      </c>
      <c r="K931" s="149" t="s">
        <v>3583</v>
      </c>
      <c r="L931" s="171">
        <f t="shared" si="20"/>
        <v>-9200000</v>
      </c>
    </row>
    <row r="932" spans="1:12" x14ac:dyDescent="0.25">
      <c r="A932" s="7" t="s">
        <v>1627</v>
      </c>
      <c r="B932" s="61"/>
      <c r="C932" s="44" t="s">
        <v>3957</v>
      </c>
      <c r="D932" s="61">
        <v>4</v>
      </c>
      <c r="E932" s="61" t="s">
        <v>54</v>
      </c>
      <c r="F932" s="45">
        <v>1000000</v>
      </c>
      <c r="G932" s="45">
        <f>ROUNDDOWN(D932*F932,-3)</f>
        <v>4000000</v>
      </c>
      <c r="H932" s="165">
        <v>0</v>
      </c>
      <c r="I932" s="150" t="s">
        <v>3552</v>
      </c>
      <c r="J932" s="149" t="s">
        <v>3563</v>
      </c>
      <c r="K932" s="149" t="s">
        <v>3583</v>
      </c>
      <c r="L932" s="171">
        <f t="shared" si="20"/>
        <v>4000000</v>
      </c>
    </row>
    <row r="933" spans="1:12" x14ac:dyDescent="0.25">
      <c r="A933" s="7" t="s">
        <v>1629</v>
      </c>
      <c r="B933" s="61"/>
      <c r="C933" s="44" t="s">
        <v>3958</v>
      </c>
      <c r="D933" s="61">
        <v>4</v>
      </c>
      <c r="E933" s="61" t="s">
        <v>25</v>
      </c>
      <c r="F933" s="45">
        <v>900000</v>
      </c>
      <c r="G933" s="45">
        <f>ROUNDDOWN(D933*F933,-3)</f>
        <v>3600000</v>
      </c>
      <c r="H933" s="165">
        <v>4000000</v>
      </c>
      <c r="I933" s="150" t="s">
        <v>3552</v>
      </c>
      <c r="J933" s="149" t="s">
        <v>3563</v>
      </c>
      <c r="K933" s="149" t="s">
        <v>3583</v>
      </c>
      <c r="L933" s="171">
        <f t="shared" si="20"/>
        <v>-400000</v>
      </c>
    </row>
    <row r="934" spans="1:12" x14ac:dyDescent="0.25">
      <c r="B934" s="61"/>
      <c r="C934" s="44" t="s">
        <v>3959</v>
      </c>
      <c r="D934" s="61"/>
      <c r="E934" s="61"/>
      <c r="F934" s="45"/>
      <c r="G934" s="45">
        <v>9200000</v>
      </c>
      <c r="H934" s="165">
        <v>3600000</v>
      </c>
      <c r="I934" s="150" t="s">
        <v>3552</v>
      </c>
      <c r="J934" s="149" t="s">
        <v>3563</v>
      </c>
      <c r="K934" s="149" t="s">
        <v>3583</v>
      </c>
      <c r="L934" s="171">
        <f t="shared" si="20"/>
        <v>5600000</v>
      </c>
    </row>
    <row r="935" spans="1:12" x14ac:dyDescent="0.25">
      <c r="A935" s="7" t="s">
        <v>1632</v>
      </c>
      <c r="B935" s="61"/>
      <c r="C935" s="44" t="s">
        <v>3960</v>
      </c>
      <c r="D935" s="61">
        <v>2</v>
      </c>
      <c r="E935" s="61" t="s">
        <v>54</v>
      </c>
      <c r="F935" s="45">
        <v>1000000</v>
      </c>
      <c r="G935" s="45">
        <f>ROUNDDOWN(D935*F935,-3)</f>
        <v>2000000</v>
      </c>
      <c r="H935" s="165">
        <v>0</v>
      </c>
      <c r="I935" s="150" t="s">
        <v>3552</v>
      </c>
      <c r="J935" s="149" t="s">
        <v>3563</v>
      </c>
      <c r="K935" s="149" t="s">
        <v>3583</v>
      </c>
      <c r="L935" s="171">
        <f t="shared" si="20"/>
        <v>2000000</v>
      </c>
    </row>
    <row r="936" spans="1:12" x14ac:dyDescent="0.25">
      <c r="A936" s="7" t="s">
        <v>1634</v>
      </c>
      <c r="B936" s="61"/>
      <c r="C936" s="44" t="s">
        <v>3961</v>
      </c>
      <c r="D936" s="61">
        <v>8</v>
      </c>
      <c r="E936" s="61" t="s">
        <v>25</v>
      </c>
      <c r="F936" s="45">
        <v>900000</v>
      </c>
      <c r="G936" s="45">
        <f>ROUNDDOWN(D936*F936,-3)</f>
        <v>7200000</v>
      </c>
      <c r="H936" s="165">
        <v>2000000</v>
      </c>
      <c r="I936" s="150" t="s">
        <v>3552</v>
      </c>
      <c r="J936" s="149" t="s">
        <v>3563</v>
      </c>
      <c r="K936" s="149" t="s">
        <v>3583</v>
      </c>
      <c r="L936" s="171">
        <f t="shared" si="20"/>
        <v>5200000</v>
      </c>
    </row>
    <row r="937" spans="1:12" x14ac:dyDescent="0.25">
      <c r="A937" s="7" t="s">
        <v>1636</v>
      </c>
      <c r="B937" s="60">
        <v>524111</v>
      </c>
      <c r="C937" s="41" t="s">
        <v>19</v>
      </c>
      <c r="D937" s="60"/>
      <c r="E937" s="60"/>
      <c r="F937" s="42"/>
      <c r="G937" s="42">
        <v>10000000</v>
      </c>
      <c r="H937" s="165">
        <v>7200000</v>
      </c>
      <c r="I937" s="150" t="s">
        <v>3552</v>
      </c>
      <c r="J937" s="149" t="s">
        <v>3563</v>
      </c>
      <c r="K937" s="149" t="s">
        <v>3583</v>
      </c>
      <c r="L937" s="171">
        <f t="shared" si="20"/>
        <v>2800000</v>
      </c>
    </row>
    <row r="938" spans="1:12" ht="26.4" x14ac:dyDescent="0.25">
      <c r="A938" s="7" t="s">
        <v>1637</v>
      </c>
      <c r="B938" s="192"/>
      <c r="C938" s="191" t="s">
        <v>3962</v>
      </c>
      <c r="D938" s="192">
        <v>2</v>
      </c>
      <c r="E938" s="192" t="s">
        <v>25</v>
      </c>
      <c r="F938" s="193">
        <v>5000000</v>
      </c>
      <c r="G938" s="45">
        <f>ROUNDDOWN(D938*F938,-3)</f>
        <v>10000000</v>
      </c>
      <c r="H938" s="165">
        <v>10000000</v>
      </c>
      <c r="I938" s="150" t="s">
        <v>3552</v>
      </c>
      <c r="J938" s="149" t="s">
        <v>3563</v>
      </c>
      <c r="K938" s="149" t="s">
        <v>3583</v>
      </c>
      <c r="L938" s="171">
        <f t="shared" si="20"/>
        <v>0</v>
      </c>
    </row>
    <row r="939" spans="1:12" x14ac:dyDescent="0.25">
      <c r="A939" s="7" t="s">
        <v>1639</v>
      </c>
      <c r="B939" s="60">
        <v>524119</v>
      </c>
      <c r="C939" s="41" t="s">
        <v>15</v>
      </c>
      <c r="D939" s="60"/>
      <c r="E939" s="60"/>
      <c r="F939" s="42"/>
      <c r="G939" s="42">
        <v>145800000</v>
      </c>
      <c r="H939" s="165">
        <v>10000000</v>
      </c>
      <c r="I939" s="150" t="s">
        <v>3552</v>
      </c>
      <c r="J939" s="149" t="s">
        <v>3563</v>
      </c>
      <c r="K939" s="149" t="s">
        <v>3583</v>
      </c>
      <c r="L939" s="171">
        <f t="shared" si="20"/>
        <v>135800000</v>
      </c>
    </row>
    <row r="940" spans="1:12" x14ac:dyDescent="0.25">
      <c r="B940" s="192"/>
      <c r="C940" s="191" t="s">
        <v>3947</v>
      </c>
      <c r="D940" s="192"/>
      <c r="E940" s="192"/>
      <c r="F940" s="193"/>
      <c r="G940" s="193">
        <v>72900000</v>
      </c>
      <c r="H940" s="165">
        <v>145800000</v>
      </c>
      <c r="I940" s="150" t="s">
        <v>3552</v>
      </c>
      <c r="J940" s="149" t="s">
        <v>3563</v>
      </c>
      <c r="K940" s="149" t="s">
        <v>3583</v>
      </c>
      <c r="L940" s="171">
        <f t="shared" si="20"/>
        <v>-72900000</v>
      </c>
    </row>
    <row r="941" spans="1:12" x14ac:dyDescent="0.25">
      <c r="A941" s="7" t="s">
        <v>1640</v>
      </c>
      <c r="B941" s="61"/>
      <c r="C941" s="44" t="s">
        <v>3963</v>
      </c>
      <c r="D941" s="61">
        <v>45</v>
      </c>
      <c r="E941" s="61" t="s">
        <v>105</v>
      </c>
      <c r="F941" s="45">
        <v>820000</v>
      </c>
      <c r="G941" s="45">
        <f>ROUNDDOWN(D941*F941,-3)</f>
        <v>36900000</v>
      </c>
      <c r="H941" s="165">
        <v>0</v>
      </c>
      <c r="I941" s="150" t="s">
        <v>3552</v>
      </c>
      <c r="J941" s="149" t="s">
        <v>3563</v>
      </c>
      <c r="K941" s="149" t="s">
        <v>3583</v>
      </c>
      <c r="L941" s="171">
        <f t="shared" si="20"/>
        <v>36900000</v>
      </c>
    </row>
    <row r="942" spans="1:12" x14ac:dyDescent="0.25">
      <c r="A942" s="7" t="s">
        <v>1642</v>
      </c>
      <c r="B942" s="61"/>
      <c r="C942" s="44" t="s">
        <v>3964</v>
      </c>
      <c r="D942" s="61">
        <v>90</v>
      </c>
      <c r="E942" s="61" t="s">
        <v>73</v>
      </c>
      <c r="F942" s="45">
        <v>150000</v>
      </c>
      <c r="G942" s="45">
        <f>ROUNDDOWN(D942*F942,-3)</f>
        <v>13500000</v>
      </c>
      <c r="H942" s="165">
        <v>36900000</v>
      </c>
      <c r="I942" s="150" t="s">
        <v>3552</v>
      </c>
      <c r="J942" s="149" t="s">
        <v>3563</v>
      </c>
      <c r="K942" s="149" t="s">
        <v>3583</v>
      </c>
      <c r="L942" s="171">
        <f t="shared" si="20"/>
        <v>-23400000</v>
      </c>
    </row>
    <row r="943" spans="1:12" x14ac:dyDescent="0.25">
      <c r="A943" s="7" t="s">
        <v>1644</v>
      </c>
      <c r="B943" s="61"/>
      <c r="C943" s="44" t="s">
        <v>3965</v>
      </c>
      <c r="D943" s="61">
        <v>45</v>
      </c>
      <c r="E943" s="61" t="s">
        <v>25</v>
      </c>
      <c r="F943" s="45">
        <v>500000</v>
      </c>
      <c r="G943" s="45">
        <f>ROUNDDOWN(D943*F943,-3)</f>
        <v>22500000</v>
      </c>
      <c r="H943" s="165">
        <v>13500000</v>
      </c>
      <c r="I943" s="150" t="s">
        <v>3552</v>
      </c>
      <c r="J943" s="149" t="s">
        <v>3563</v>
      </c>
      <c r="K943" s="149" t="s">
        <v>3583</v>
      </c>
      <c r="L943" s="171">
        <f t="shared" si="20"/>
        <v>9000000</v>
      </c>
    </row>
    <row r="944" spans="1:12" x14ac:dyDescent="0.25">
      <c r="B944" s="61"/>
      <c r="C944" s="44" t="s">
        <v>3966</v>
      </c>
      <c r="D944" s="61"/>
      <c r="E944" s="61"/>
      <c r="F944" s="45"/>
      <c r="G944" s="45">
        <v>72900000</v>
      </c>
      <c r="H944" s="165">
        <v>22500000</v>
      </c>
      <c r="I944" s="150" t="s">
        <v>3552</v>
      </c>
      <c r="J944" s="149" t="s">
        <v>3563</v>
      </c>
      <c r="K944" s="149" t="s">
        <v>3583</v>
      </c>
      <c r="L944" s="171">
        <f t="shared" si="20"/>
        <v>50400000</v>
      </c>
    </row>
    <row r="945" spans="1:12" x14ac:dyDescent="0.25">
      <c r="A945" s="7" t="s">
        <v>1646</v>
      </c>
      <c r="B945" s="61"/>
      <c r="C945" s="44" t="s">
        <v>3967</v>
      </c>
      <c r="D945" s="61">
        <v>45</v>
      </c>
      <c r="E945" s="61" t="s">
        <v>105</v>
      </c>
      <c r="F945" s="45">
        <v>820000</v>
      </c>
      <c r="G945" s="45">
        <f>ROUNDDOWN(D945*F945,-3)</f>
        <v>36900000</v>
      </c>
      <c r="H945" s="165">
        <v>0</v>
      </c>
      <c r="I945" s="150" t="s">
        <v>3552</v>
      </c>
      <c r="J945" s="149" t="s">
        <v>3563</v>
      </c>
      <c r="K945" s="149" t="s">
        <v>3583</v>
      </c>
      <c r="L945" s="171">
        <f t="shared" si="20"/>
        <v>36900000</v>
      </c>
    </row>
    <row r="946" spans="1:12" x14ac:dyDescent="0.25">
      <c r="A946" s="7" t="s">
        <v>1647</v>
      </c>
      <c r="B946" s="61"/>
      <c r="C946" s="44" t="s">
        <v>3968</v>
      </c>
      <c r="D946" s="61">
        <v>90</v>
      </c>
      <c r="E946" s="61" t="s">
        <v>73</v>
      </c>
      <c r="F946" s="45">
        <v>150000</v>
      </c>
      <c r="G946" s="45">
        <f>ROUNDDOWN(D946*F946,-3)</f>
        <v>13500000</v>
      </c>
      <c r="H946" s="165">
        <v>36900000</v>
      </c>
      <c r="I946" s="150" t="s">
        <v>3552</v>
      </c>
      <c r="J946" s="149" t="s">
        <v>3563</v>
      </c>
      <c r="K946" s="149" t="s">
        <v>3583</v>
      </c>
      <c r="L946" s="171">
        <f t="shared" si="20"/>
        <v>-23400000</v>
      </c>
    </row>
    <row r="947" spans="1:12" x14ac:dyDescent="0.25">
      <c r="A947" s="7" t="s">
        <v>1648</v>
      </c>
      <c r="B947" s="61"/>
      <c r="C947" s="44" t="s">
        <v>3969</v>
      </c>
      <c r="D947" s="61">
        <v>45</v>
      </c>
      <c r="E947" s="61" t="s">
        <v>25</v>
      </c>
      <c r="F947" s="45">
        <v>500000</v>
      </c>
      <c r="G947" s="45">
        <f>ROUNDDOWN(D947*F947,-3)</f>
        <v>22500000</v>
      </c>
      <c r="H947" s="165">
        <v>13500000</v>
      </c>
      <c r="I947" s="150" t="s">
        <v>3552</v>
      </c>
      <c r="J947" s="149" t="s">
        <v>3563</v>
      </c>
      <c r="K947" s="149" t="s">
        <v>3583</v>
      </c>
      <c r="L947" s="171">
        <f t="shared" si="20"/>
        <v>9000000</v>
      </c>
    </row>
    <row r="948" spans="1:12" ht="26.4" x14ac:dyDescent="0.25">
      <c r="A948" s="7" t="s">
        <v>1649</v>
      </c>
      <c r="B948" s="58">
        <v>102</v>
      </c>
      <c r="C948" s="35" t="s">
        <v>1650</v>
      </c>
      <c r="D948" s="58">
        <v>0</v>
      </c>
      <c r="E948" s="58"/>
      <c r="F948" s="36"/>
      <c r="G948" s="36">
        <v>270500000</v>
      </c>
      <c r="H948" s="165">
        <v>22500000</v>
      </c>
      <c r="I948" s="150" t="s">
        <v>3552</v>
      </c>
      <c r="J948" s="149" t="s">
        <v>3563</v>
      </c>
      <c r="K948" s="149" t="s">
        <v>3583</v>
      </c>
      <c r="L948" s="171">
        <f t="shared" si="20"/>
        <v>248000000</v>
      </c>
    </row>
    <row r="949" spans="1:12" x14ac:dyDescent="0.25">
      <c r="A949" s="7" t="s">
        <v>1651</v>
      </c>
      <c r="B949" s="59" t="s">
        <v>8</v>
      </c>
      <c r="C949" s="38" t="s">
        <v>3970</v>
      </c>
      <c r="D949" s="59"/>
      <c r="E949" s="59"/>
      <c r="F949" s="39"/>
      <c r="G949" s="39">
        <v>180400000</v>
      </c>
      <c r="H949" s="165">
        <v>270500000</v>
      </c>
      <c r="I949" s="150" t="s">
        <v>3552</v>
      </c>
      <c r="J949" s="149" t="s">
        <v>3563</v>
      </c>
      <c r="K949" s="149" t="s">
        <v>3583</v>
      </c>
      <c r="L949" s="171">
        <f t="shared" si="20"/>
        <v>-90100000</v>
      </c>
    </row>
    <row r="950" spans="1:12" x14ac:dyDescent="0.25">
      <c r="A950" s="7" t="s">
        <v>1653</v>
      </c>
      <c r="B950" s="60">
        <v>521211</v>
      </c>
      <c r="C950" s="41" t="s">
        <v>7</v>
      </c>
      <c r="D950" s="60"/>
      <c r="E950" s="60"/>
      <c r="F950" s="42"/>
      <c r="G950" s="42">
        <v>12000000</v>
      </c>
      <c r="H950" s="165">
        <v>180400000</v>
      </c>
      <c r="I950" s="150" t="s">
        <v>3552</v>
      </c>
      <c r="J950" s="149" t="s">
        <v>3563</v>
      </c>
      <c r="K950" s="149" t="s">
        <v>3583</v>
      </c>
      <c r="L950" s="171">
        <f t="shared" si="20"/>
        <v>-168400000</v>
      </c>
    </row>
    <row r="951" spans="1:12" x14ac:dyDescent="0.25">
      <c r="A951" s="7" t="s">
        <v>1654</v>
      </c>
      <c r="B951" s="192"/>
      <c r="C951" s="191" t="s">
        <v>3971</v>
      </c>
      <c r="D951" s="192">
        <v>12</v>
      </c>
      <c r="E951" s="192" t="s">
        <v>52</v>
      </c>
      <c r="F951" s="193">
        <v>1000000</v>
      </c>
      <c r="G951" s="45">
        <f>ROUNDDOWN(D951*F951,-3)</f>
        <v>12000000</v>
      </c>
      <c r="H951" s="165">
        <v>12000000</v>
      </c>
      <c r="I951" s="150" t="s">
        <v>3552</v>
      </c>
      <c r="J951" s="149" t="s">
        <v>3563</v>
      </c>
      <c r="K951" s="149" t="s">
        <v>3583</v>
      </c>
      <c r="L951" s="171">
        <f t="shared" si="20"/>
        <v>0</v>
      </c>
    </row>
    <row r="952" spans="1:12" x14ac:dyDescent="0.25">
      <c r="A952" s="7" t="s">
        <v>1655</v>
      </c>
      <c r="B952" s="60">
        <v>521213</v>
      </c>
      <c r="C952" s="41" t="s">
        <v>30</v>
      </c>
      <c r="D952" s="60"/>
      <c r="E952" s="60"/>
      <c r="F952" s="42"/>
      <c r="G952" s="42">
        <v>49800000</v>
      </c>
      <c r="H952" s="165">
        <v>12000000</v>
      </c>
      <c r="I952" s="150" t="s">
        <v>3552</v>
      </c>
      <c r="J952" s="149" t="s">
        <v>3563</v>
      </c>
      <c r="K952" s="149" t="s">
        <v>3583</v>
      </c>
      <c r="L952" s="171">
        <f t="shared" si="20"/>
        <v>37800000</v>
      </c>
    </row>
    <row r="953" spans="1:12" x14ac:dyDescent="0.25">
      <c r="B953" s="192"/>
      <c r="C953" s="191" t="s">
        <v>3972</v>
      </c>
      <c r="D953" s="192"/>
      <c r="E953" s="192"/>
      <c r="F953" s="193"/>
      <c r="G953" s="193">
        <v>49800000</v>
      </c>
      <c r="H953" s="165">
        <v>49800000</v>
      </c>
      <c r="I953" s="150" t="s">
        <v>3552</v>
      </c>
      <c r="J953" s="149" t="s">
        <v>3563</v>
      </c>
      <c r="K953" s="149" t="s">
        <v>3583</v>
      </c>
      <c r="L953" s="171">
        <f t="shared" si="20"/>
        <v>0</v>
      </c>
    </row>
    <row r="954" spans="1:12" x14ac:dyDescent="0.25">
      <c r="A954" s="7" t="s">
        <v>1657</v>
      </c>
      <c r="B954" s="61"/>
      <c r="C954" s="44" t="s">
        <v>3973</v>
      </c>
      <c r="D954" s="61">
        <v>12</v>
      </c>
      <c r="E954" s="61" t="s">
        <v>32</v>
      </c>
      <c r="F954" s="45">
        <v>500000</v>
      </c>
      <c r="G954" s="45">
        <f>ROUNDDOWN(D954*F954,-3)</f>
        <v>6000000</v>
      </c>
      <c r="H954" s="165">
        <v>0</v>
      </c>
      <c r="I954" s="150" t="s">
        <v>3552</v>
      </c>
      <c r="J954" s="149" t="s">
        <v>3563</v>
      </c>
      <c r="K954" s="149" t="s">
        <v>3583</v>
      </c>
      <c r="L954" s="171">
        <f t="shared" si="20"/>
        <v>6000000</v>
      </c>
    </row>
    <row r="955" spans="1:12" x14ac:dyDescent="0.25">
      <c r="A955" s="7" t="s">
        <v>1659</v>
      </c>
      <c r="B955" s="61"/>
      <c r="C955" s="44" t="s">
        <v>3974</v>
      </c>
      <c r="D955" s="61">
        <v>12</v>
      </c>
      <c r="E955" s="61" t="s">
        <v>32</v>
      </c>
      <c r="F955" s="45">
        <v>450000</v>
      </c>
      <c r="G955" s="45">
        <f>ROUNDDOWN(D955*F955,-3)</f>
        <v>5400000</v>
      </c>
      <c r="H955" s="165">
        <v>6000000</v>
      </c>
      <c r="I955" s="150" t="s">
        <v>3552</v>
      </c>
      <c r="J955" s="149" t="s">
        <v>3563</v>
      </c>
      <c r="K955" s="149" t="s">
        <v>3583</v>
      </c>
      <c r="L955" s="171">
        <f t="shared" si="20"/>
        <v>-600000</v>
      </c>
    </row>
    <row r="956" spans="1:12" x14ac:dyDescent="0.25">
      <c r="A956" s="7" t="s">
        <v>1661</v>
      </c>
      <c r="B956" s="61"/>
      <c r="C956" s="44" t="s">
        <v>3975</v>
      </c>
      <c r="D956" s="61">
        <v>12</v>
      </c>
      <c r="E956" s="61" t="s">
        <v>32</v>
      </c>
      <c r="F956" s="45">
        <v>400000</v>
      </c>
      <c r="G956" s="45">
        <f>ROUNDDOWN(D956*F956,-3)</f>
        <v>4800000</v>
      </c>
      <c r="H956" s="165">
        <v>5400000</v>
      </c>
      <c r="I956" s="150" t="s">
        <v>3552</v>
      </c>
      <c r="J956" s="149" t="s">
        <v>3563</v>
      </c>
      <c r="K956" s="149" t="s">
        <v>3583</v>
      </c>
      <c r="L956" s="171">
        <f t="shared" si="20"/>
        <v>-600000</v>
      </c>
    </row>
    <row r="957" spans="1:12" x14ac:dyDescent="0.25">
      <c r="A957" s="7" t="s">
        <v>1663</v>
      </c>
      <c r="B957" s="61"/>
      <c r="C957" s="44" t="s">
        <v>3976</v>
      </c>
      <c r="D957" s="61">
        <v>96</v>
      </c>
      <c r="E957" s="61" t="s">
        <v>32</v>
      </c>
      <c r="F957" s="45">
        <v>350000</v>
      </c>
      <c r="G957" s="45">
        <f>ROUNDDOWN(D957*F957,-3)</f>
        <v>33600000</v>
      </c>
      <c r="H957" s="165">
        <v>4800000</v>
      </c>
      <c r="I957" s="150" t="s">
        <v>3552</v>
      </c>
      <c r="J957" s="149" t="s">
        <v>3563</v>
      </c>
      <c r="K957" s="149" t="s">
        <v>3583</v>
      </c>
      <c r="L957" s="171">
        <f t="shared" si="20"/>
        <v>28800000</v>
      </c>
    </row>
    <row r="958" spans="1:12" x14ac:dyDescent="0.25">
      <c r="A958" s="7" t="s">
        <v>1665</v>
      </c>
      <c r="B958" s="60">
        <v>521219</v>
      </c>
      <c r="C958" s="41" t="s">
        <v>53</v>
      </c>
      <c r="D958" s="60"/>
      <c r="E958" s="60"/>
      <c r="F958" s="42"/>
      <c r="G958" s="42">
        <v>34600000</v>
      </c>
      <c r="H958" s="165">
        <v>33600000</v>
      </c>
      <c r="I958" s="150" t="s">
        <v>3552</v>
      </c>
      <c r="J958" s="149" t="s">
        <v>3563</v>
      </c>
      <c r="K958" s="149" t="s">
        <v>3583</v>
      </c>
      <c r="L958" s="171">
        <f t="shared" si="20"/>
        <v>1000000</v>
      </c>
    </row>
    <row r="959" spans="1:12" x14ac:dyDescent="0.25">
      <c r="B959" s="192"/>
      <c r="C959" s="191" t="s">
        <v>3977</v>
      </c>
      <c r="D959" s="192"/>
      <c r="E959" s="192"/>
      <c r="F959" s="193"/>
      <c r="G959" s="193">
        <v>34600000</v>
      </c>
      <c r="H959" s="165">
        <v>34600000</v>
      </c>
      <c r="I959" s="150" t="s">
        <v>3552</v>
      </c>
      <c r="J959" s="149" t="s">
        <v>3563</v>
      </c>
      <c r="K959" s="149" t="s">
        <v>3583</v>
      </c>
      <c r="L959" s="171">
        <f t="shared" si="20"/>
        <v>0</v>
      </c>
    </row>
    <row r="960" spans="1:12" x14ac:dyDescent="0.25">
      <c r="A960" s="7" t="s">
        <v>1667</v>
      </c>
      <c r="B960" s="61"/>
      <c r="C960" s="44" t="s">
        <v>3978</v>
      </c>
      <c r="D960" s="61">
        <v>750</v>
      </c>
      <c r="E960" s="61" t="s">
        <v>1669</v>
      </c>
      <c r="F960" s="45">
        <v>16000</v>
      </c>
      <c r="G960" s="45">
        <f>ROUNDDOWN(D960*F960,-3)</f>
        <v>12000000</v>
      </c>
      <c r="H960" s="165">
        <v>0</v>
      </c>
      <c r="I960" s="150" t="s">
        <v>3552</v>
      </c>
      <c r="J960" s="149" t="s">
        <v>3563</v>
      </c>
      <c r="K960" s="149" t="s">
        <v>3583</v>
      </c>
      <c r="L960" s="171">
        <f t="shared" si="20"/>
        <v>12000000</v>
      </c>
    </row>
    <row r="961" spans="1:12" x14ac:dyDescent="0.25">
      <c r="A961" s="7" t="s">
        <v>1670</v>
      </c>
      <c r="B961" s="61"/>
      <c r="C961" s="44" t="s">
        <v>3979</v>
      </c>
      <c r="D961" s="61">
        <v>1</v>
      </c>
      <c r="E961" s="61" t="s">
        <v>1672</v>
      </c>
      <c r="F961" s="45">
        <v>5000000</v>
      </c>
      <c r="G961" s="45">
        <f>ROUNDDOWN(D961*F961,-3)</f>
        <v>5000000</v>
      </c>
      <c r="H961" s="165">
        <v>12000000</v>
      </c>
      <c r="I961" s="150" t="s">
        <v>3552</v>
      </c>
      <c r="J961" s="149" t="s">
        <v>3563</v>
      </c>
      <c r="K961" s="149" t="s">
        <v>3583</v>
      </c>
      <c r="L961" s="171">
        <f t="shared" si="20"/>
        <v>-7000000</v>
      </c>
    </row>
    <row r="962" spans="1:12" x14ac:dyDescent="0.25">
      <c r="A962" s="7" t="s">
        <v>1673</v>
      </c>
      <c r="B962" s="61"/>
      <c r="C962" s="44" t="s">
        <v>3980</v>
      </c>
      <c r="D962" s="61">
        <v>1</v>
      </c>
      <c r="E962" s="61" t="s">
        <v>1672</v>
      </c>
      <c r="F962" s="45">
        <v>1000000</v>
      </c>
      <c r="G962" s="45">
        <f>ROUNDDOWN(D962*F962,-3)</f>
        <v>1000000</v>
      </c>
      <c r="H962" s="165">
        <v>5000000</v>
      </c>
      <c r="I962" s="150" t="s">
        <v>3552</v>
      </c>
      <c r="J962" s="149" t="s">
        <v>3563</v>
      </c>
      <c r="K962" s="149" t="s">
        <v>3583</v>
      </c>
      <c r="L962" s="171">
        <f t="shared" si="20"/>
        <v>-4000000</v>
      </c>
    </row>
    <row r="963" spans="1:12" x14ac:dyDescent="0.25">
      <c r="A963" s="7" t="s">
        <v>1675</v>
      </c>
      <c r="B963" s="61"/>
      <c r="C963" s="44" t="s">
        <v>3981</v>
      </c>
      <c r="D963" s="61">
        <v>750</v>
      </c>
      <c r="E963" s="61" t="s">
        <v>1677</v>
      </c>
      <c r="F963" s="45">
        <v>16000</v>
      </c>
      <c r="G963" s="45">
        <f>ROUNDDOWN(D963*F963,-3)</f>
        <v>12000000</v>
      </c>
      <c r="H963" s="165">
        <v>1000000</v>
      </c>
      <c r="I963" s="150" t="s">
        <v>3552</v>
      </c>
      <c r="J963" s="149" t="s">
        <v>3563</v>
      </c>
      <c r="K963" s="149" t="s">
        <v>3583</v>
      </c>
      <c r="L963" s="171">
        <f t="shared" si="20"/>
        <v>11000000</v>
      </c>
    </row>
    <row r="964" spans="1:12" x14ac:dyDescent="0.25">
      <c r="A964" s="7" t="s">
        <v>1678</v>
      </c>
      <c r="B964" s="61"/>
      <c r="C964" s="44" t="s">
        <v>3982</v>
      </c>
      <c r="D964" s="61">
        <v>1</v>
      </c>
      <c r="E964" s="61" t="s">
        <v>1672</v>
      </c>
      <c r="F964" s="45">
        <v>4600000</v>
      </c>
      <c r="G964" s="45">
        <f>ROUNDDOWN(D964*F964,-3)</f>
        <v>4600000</v>
      </c>
      <c r="H964" s="165">
        <v>12000000</v>
      </c>
      <c r="I964" s="150" t="s">
        <v>3552</v>
      </c>
      <c r="J964" s="149" t="s">
        <v>3563</v>
      </c>
      <c r="K964" s="149" t="s">
        <v>3583</v>
      </c>
      <c r="L964" s="171">
        <f t="shared" si="20"/>
        <v>-7400000</v>
      </c>
    </row>
    <row r="965" spans="1:12" x14ac:dyDescent="0.25">
      <c r="A965" s="7" t="s">
        <v>1680</v>
      </c>
      <c r="B965" s="60">
        <v>521811</v>
      </c>
      <c r="C965" s="41" t="s">
        <v>64</v>
      </c>
      <c r="D965" s="60"/>
      <c r="E965" s="60"/>
      <c r="F965" s="42"/>
      <c r="G965" s="42">
        <v>24000000</v>
      </c>
      <c r="H965" s="165">
        <v>4600000</v>
      </c>
      <c r="I965" s="150" t="s">
        <v>3552</v>
      </c>
      <c r="J965" s="149" t="s">
        <v>3563</v>
      </c>
      <c r="K965" s="149" t="s">
        <v>3583</v>
      </c>
      <c r="L965" s="171">
        <f t="shared" si="20"/>
        <v>19400000</v>
      </c>
    </row>
    <row r="966" spans="1:12" x14ac:dyDescent="0.25">
      <c r="A966" s="7" t="s">
        <v>1681</v>
      </c>
      <c r="B966" s="192"/>
      <c r="C966" s="191" t="s">
        <v>3625</v>
      </c>
      <c r="D966" s="192">
        <v>12</v>
      </c>
      <c r="E966" s="192" t="s">
        <v>52</v>
      </c>
      <c r="F966" s="193">
        <v>1000000</v>
      </c>
      <c r="G966" s="45">
        <f>ROUNDDOWN(D966*F966,-3)</f>
        <v>12000000</v>
      </c>
      <c r="H966" s="165">
        <v>24000000</v>
      </c>
      <c r="I966" s="150" t="s">
        <v>3552</v>
      </c>
      <c r="J966" s="149" t="s">
        <v>3563</v>
      </c>
      <c r="K966" s="149" t="s">
        <v>3583</v>
      </c>
      <c r="L966" s="171">
        <f t="shared" si="20"/>
        <v>-12000000</v>
      </c>
    </row>
    <row r="967" spans="1:12" x14ac:dyDescent="0.25">
      <c r="A967" s="7" t="s">
        <v>1682</v>
      </c>
      <c r="B967" s="61"/>
      <c r="C967" s="44" t="s">
        <v>3744</v>
      </c>
      <c r="D967" s="61">
        <v>12</v>
      </c>
      <c r="E967" s="61" t="s">
        <v>52</v>
      </c>
      <c r="F967" s="45">
        <v>1000000</v>
      </c>
      <c r="G967" s="45">
        <f>ROUNDDOWN(D967*F967,-3)</f>
        <v>12000000</v>
      </c>
      <c r="H967" s="165">
        <v>12000000</v>
      </c>
      <c r="I967" s="150" t="s">
        <v>3552</v>
      </c>
      <c r="J967" s="149" t="s">
        <v>3563</v>
      </c>
      <c r="K967" s="149" t="s">
        <v>3583</v>
      </c>
      <c r="L967" s="171">
        <f t="shared" si="20"/>
        <v>0</v>
      </c>
    </row>
    <row r="968" spans="1:12" x14ac:dyDescent="0.25">
      <c r="A968" s="7" t="s">
        <v>1683</v>
      </c>
      <c r="B968" s="60">
        <v>524111</v>
      </c>
      <c r="C968" s="41" t="s">
        <v>19</v>
      </c>
      <c r="D968" s="60"/>
      <c r="E968" s="60"/>
      <c r="F968" s="42"/>
      <c r="G968" s="42">
        <v>60000000</v>
      </c>
      <c r="H968" s="165">
        <v>12000000</v>
      </c>
      <c r="I968" s="150" t="s">
        <v>3552</v>
      </c>
      <c r="J968" s="149" t="s">
        <v>3563</v>
      </c>
      <c r="K968" s="149" t="s">
        <v>3583</v>
      </c>
      <c r="L968" s="171">
        <f t="shared" si="20"/>
        <v>48000000</v>
      </c>
    </row>
    <row r="969" spans="1:12" ht="26.4" x14ac:dyDescent="0.25">
      <c r="A969" s="7" t="s">
        <v>1684</v>
      </c>
      <c r="B969" s="192"/>
      <c r="C969" s="191" t="s">
        <v>3983</v>
      </c>
      <c r="D969" s="192">
        <v>12</v>
      </c>
      <c r="E969" s="192" t="s">
        <v>25</v>
      </c>
      <c r="F969" s="193">
        <v>5000000</v>
      </c>
      <c r="G969" s="45">
        <f>ROUNDDOWN(D969*F969,-3)</f>
        <v>60000000</v>
      </c>
      <c r="H969" s="165">
        <v>60000000</v>
      </c>
      <c r="I969" s="150" t="s">
        <v>3552</v>
      </c>
      <c r="J969" s="149" t="s">
        <v>3563</v>
      </c>
      <c r="K969" s="149" t="s">
        <v>3583</v>
      </c>
      <c r="L969" s="171">
        <f t="shared" si="20"/>
        <v>0</v>
      </c>
    </row>
    <row r="970" spans="1:12" x14ac:dyDescent="0.25">
      <c r="A970" s="7" t="s">
        <v>1686</v>
      </c>
      <c r="B970" s="59" t="s">
        <v>511</v>
      </c>
      <c r="C970" s="38" t="s">
        <v>1687</v>
      </c>
      <c r="D970" s="59"/>
      <c r="E970" s="59"/>
      <c r="F970" s="39"/>
      <c r="G970" s="39">
        <v>90100000</v>
      </c>
      <c r="H970" s="165">
        <v>60000000</v>
      </c>
      <c r="I970" s="150" t="s">
        <v>3552</v>
      </c>
      <c r="J970" s="149" t="s">
        <v>3563</v>
      </c>
      <c r="K970" s="149" t="s">
        <v>3583</v>
      </c>
      <c r="L970" s="171">
        <f t="shared" si="20"/>
        <v>30100000</v>
      </c>
    </row>
    <row r="971" spans="1:12" x14ac:dyDescent="0.25">
      <c r="A971" s="7" t="s">
        <v>1688</v>
      </c>
      <c r="B971" s="60">
        <v>521211</v>
      </c>
      <c r="C971" s="41" t="s">
        <v>7</v>
      </c>
      <c r="D971" s="60"/>
      <c r="E971" s="60"/>
      <c r="F971" s="42"/>
      <c r="G971" s="42">
        <v>4000000</v>
      </c>
      <c r="H971" s="165">
        <v>90100000</v>
      </c>
      <c r="I971" s="150" t="s">
        <v>3552</v>
      </c>
      <c r="J971" s="149" t="s">
        <v>3563</v>
      </c>
      <c r="K971" s="149" t="s">
        <v>3583</v>
      </c>
      <c r="L971" s="171">
        <f t="shared" si="20"/>
        <v>-86100000</v>
      </c>
    </row>
    <row r="972" spans="1:12" x14ac:dyDescent="0.25">
      <c r="A972" s="7" t="s">
        <v>1689</v>
      </c>
      <c r="B972" s="192"/>
      <c r="C972" s="191" t="s">
        <v>3971</v>
      </c>
      <c r="D972" s="192">
        <v>4</v>
      </c>
      <c r="E972" s="192" t="s">
        <v>52</v>
      </c>
      <c r="F972" s="193">
        <v>1000000</v>
      </c>
      <c r="G972" s="45">
        <f>ROUNDDOWN(D972*F972,-3)</f>
        <v>4000000</v>
      </c>
      <c r="H972" s="165">
        <v>4000000</v>
      </c>
      <c r="I972" s="150" t="s">
        <v>3552</v>
      </c>
      <c r="J972" s="149" t="s">
        <v>3563</v>
      </c>
      <c r="K972" s="149" t="s">
        <v>3583</v>
      </c>
      <c r="L972" s="171">
        <f t="shared" si="20"/>
        <v>0</v>
      </c>
    </row>
    <row r="973" spans="1:12" x14ac:dyDescent="0.25">
      <c r="A973" s="7" t="s">
        <v>1690</v>
      </c>
      <c r="B973" s="60">
        <v>521811</v>
      </c>
      <c r="C973" s="41" t="s">
        <v>64</v>
      </c>
      <c r="D973" s="60"/>
      <c r="E973" s="60"/>
      <c r="F973" s="42"/>
      <c r="G973" s="42">
        <v>8000000</v>
      </c>
      <c r="H973" s="165">
        <v>4000000</v>
      </c>
      <c r="I973" s="150" t="s">
        <v>3552</v>
      </c>
      <c r="J973" s="149" t="s">
        <v>3563</v>
      </c>
      <c r="K973" s="149" t="s">
        <v>3583</v>
      </c>
      <c r="L973" s="171">
        <f t="shared" si="20"/>
        <v>4000000</v>
      </c>
    </row>
    <row r="974" spans="1:12" x14ac:dyDescent="0.25">
      <c r="A974" s="7" t="s">
        <v>1691</v>
      </c>
      <c r="B974" s="192"/>
      <c r="C974" s="191" t="s">
        <v>3625</v>
      </c>
      <c r="D974" s="192">
        <v>4</v>
      </c>
      <c r="E974" s="192" t="s">
        <v>52</v>
      </c>
      <c r="F974" s="193">
        <v>1000000</v>
      </c>
      <c r="G974" s="45">
        <f>ROUNDDOWN(D974*F974,-3)</f>
        <v>4000000</v>
      </c>
      <c r="H974" s="165">
        <v>8000000</v>
      </c>
      <c r="I974" s="150" t="s">
        <v>3552</v>
      </c>
      <c r="J974" s="149" t="s">
        <v>3563</v>
      </c>
      <c r="K974" s="149" t="s">
        <v>3583</v>
      </c>
      <c r="L974" s="171">
        <f t="shared" ref="L974:L1037" si="21">G974-H974</f>
        <v>-4000000</v>
      </c>
    </row>
    <row r="975" spans="1:12" x14ac:dyDescent="0.25">
      <c r="A975" s="7" t="s">
        <v>1692</v>
      </c>
      <c r="B975" s="61"/>
      <c r="C975" s="44" t="s">
        <v>3744</v>
      </c>
      <c r="D975" s="61">
        <v>4</v>
      </c>
      <c r="E975" s="61" t="s">
        <v>52</v>
      </c>
      <c r="F975" s="45">
        <v>1000000</v>
      </c>
      <c r="G975" s="45">
        <f>ROUNDDOWN(D975*F975,-3)</f>
        <v>4000000</v>
      </c>
      <c r="H975" s="165">
        <v>4000000</v>
      </c>
      <c r="I975" s="150" t="s">
        <v>3552</v>
      </c>
      <c r="J975" s="149" t="s">
        <v>3563</v>
      </c>
      <c r="K975" s="149" t="s">
        <v>3583</v>
      </c>
      <c r="L975" s="171">
        <f t="shared" si="21"/>
        <v>0</v>
      </c>
    </row>
    <row r="976" spans="1:12" x14ac:dyDescent="0.25">
      <c r="A976" s="7" t="s">
        <v>1693</v>
      </c>
      <c r="B976" s="60">
        <v>524111</v>
      </c>
      <c r="C976" s="41" t="s">
        <v>19</v>
      </c>
      <c r="D976" s="60"/>
      <c r="E976" s="60"/>
      <c r="F976" s="42"/>
      <c r="G976" s="42">
        <v>70000000</v>
      </c>
      <c r="H976" s="165">
        <v>4000000</v>
      </c>
      <c r="I976" s="150" t="s">
        <v>3552</v>
      </c>
      <c r="J976" s="149" t="s">
        <v>3563</v>
      </c>
      <c r="K976" s="149" t="s">
        <v>3583</v>
      </c>
      <c r="L976" s="171">
        <f t="shared" si="21"/>
        <v>66000000</v>
      </c>
    </row>
    <row r="977" spans="1:12" ht="26.4" x14ac:dyDescent="0.25">
      <c r="A977" s="7" t="s">
        <v>1694</v>
      </c>
      <c r="B977" s="192"/>
      <c r="C977" s="191" t="s">
        <v>3984</v>
      </c>
      <c r="D977" s="192">
        <v>14</v>
      </c>
      <c r="E977" s="192" t="s">
        <v>25</v>
      </c>
      <c r="F977" s="193">
        <v>5000000</v>
      </c>
      <c r="G977" s="45">
        <f>ROUNDDOWN(D977*F977,-3)</f>
        <v>70000000</v>
      </c>
      <c r="H977" s="165">
        <v>70000000</v>
      </c>
      <c r="I977" s="150" t="s">
        <v>3552</v>
      </c>
      <c r="J977" s="149" t="s">
        <v>3563</v>
      </c>
      <c r="K977" s="149" t="s">
        <v>3583</v>
      </c>
      <c r="L977" s="171">
        <f t="shared" si="21"/>
        <v>0</v>
      </c>
    </row>
    <row r="978" spans="1:12" x14ac:dyDescent="0.25">
      <c r="A978" s="7" t="s">
        <v>1696</v>
      </c>
      <c r="B978" s="60">
        <v>524113</v>
      </c>
      <c r="C978" s="41" t="s">
        <v>13</v>
      </c>
      <c r="D978" s="60"/>
      <c r="E978" s="60"/>
      <c r="F978" s="42"/>
      <c r="G978" s="42">
        <v>8100000</v>
      </c>
      <c r="H978" s="165">
        <v>70000000</v>
      </c>
      <c r="I978" s="150" t="s">
        <v>3552</v>
      </c>
      <c r="J978" s="149" t="s">
        <v>3563</v>
      </c>
      <c r="K978" s="149" t="s">
        <v>3583</v>
      </c>
      <c r="L978" s="171">
        <f t="shared" si="21"/>
        <v>-61900000</v>
      </c>
    </row>
    <row r="979" spans="1:12" x14ac:dyDescent="0.25">
      <c r="A979" s="7" t="s">
        <v>1697</v>
      </c>
      <c r="B979" s="192"/>
      <c r="C979" s="191" t="s">
        <v>3985</v>
      </c>
      <c r="D979" s="192">
        <v>54</v>
      </c>
      <c r="E979" s="192" t="s">
        <v>25</v>
      </c>
      <c r="F979" s="193">
        <v>150000</v>
      </c>
      <c r="G979" s="45">
        <f>ROUNDDOWN(D979*F979,-3)</f>
        <v>8100000</v>
      </c>
      <c r="H979" s="165">
        <v>8100000</v>
      </c>
      <c r="I979" s="150" t="s">
        <v>3552</v>
      </c>
      <c r="J979" s="149" t="s">
        <v>3563</v>
      </c>
      <c r="K979" s="149" t="s">
        <v>3583</v>
      </c>
      <c r="L979" s="171">
        <f t="shared" si="21"/>
        <v>0</v>
      </c>
    </row>
    <row r="980" spans="1:12" x14ac:dyDescent="0.25">
      <c r="A980" s="7" t="s">
        <v>1699</v>
      </c>
      <c r="B980" s="138" t="s">
        <v>3986</v>
      </c>
      <c r="C980" s="137" t="s">
        <v>1701</v>
      </c>
      <c r="D980" s="138">
        <v>1</v>
      </c>
      <c r="E980" s="138" t="s">
        <v>3740</v>
      </c>
      <c r="F980" s="139"/>
      <c r="G980" s="139">
        <v>48823181000</v>
      </c>
      <c r="H980" s="165">
        <v>8100000</v>
      </c>
      <c r="I980" s="150" t="s">
        <v>3552</v>
      </c>
      <c r="J980" s="149" t="s">
        <v>3563</v>
      </c>
      <c r="K980" s="149" t="s">
        <v>3583</v>
      </c>
      <c r="L980" s="171">
        <f t="shared" si="21"/>
        <v>48815081000</v>
      </c>
    </row>
    <row r="981" spans="1:12" x14ac:dyDescent="0.25">
      <c r="A981" s="7" t="s">
        <v>1702</v>
      </c>
      <c r="B981" s="58" t="s">
        <v>501</v>
      </c>
      <c r="C981" s="35" t="s">
        <v>76</v>
      </c>
      <c r="D981" s="58">
        <v>0</v>
      </c>
      <c r="E981" s="58"/>
      <c r="F981" s="36"/>
      <c r="G981" s="36">
        <v>23048523000</v>
      </c>
      <c r="H981" s="165">
        <v>48823181000</v>
      </c>
      <c r="I981" s="150"/>
      <c r="J981" s="149"/>
      <c r="K981" s="149"/>
      <c r="L981" s="171">
        <f t="shared" si="21"/>
        <v>-25774658000</v>
      </c>
    </row>
    <row r="982" spans="1:12" x14ac:dyDescent="0.25">
      <c r="A982" s="7" t="s">
        <v>1703</v>
      </c>
      <c r="B982" s="59" t="s">
        <v>558</v>
      </c>
      <c r="C982" s="38" t="s">
        <v>1704</v>
      </c>
      <c r="D982" s="59"/>
      <c r="E982" s="59"/>
      <c r="F982" s="39"/>
      <c r="G982" s="39">
        <v>10355000000</v>
      </c>
      <c r="H982" s="165">
        <v>23048523000</v>
      </c>
      <c r="I982" s="150"/>
      <c r="J982" s="149"/>
      <c r="K982" s="149"/>
      <c r="L982" s="171">
        <f t="shared" si="21"/>
        <v>-12693523000</v>
      </c>
    </row>
    <row r="983" spans="1:12" x14ac:dyDescent="0.25">
      <c r="A983" s="7" t="s">
        <v>1705</v>
      </c>
      <c r="B983" s="60">
        <v>511111</v>
      </c>
      <c r="C983" s="41" t="s">
        <v>77</v>
      </c>
      <c r="D983" s="60"/>
      <c r="E983" s="60"/>
      <c r="F983" s="42"/>
      <c r="G983" s="42">
        <v>3820000000</v>
      </c>
      <c r="H983" s="165">
        <v>10900000000</v>
      </c>
      <c r="I983" s="150" t="s">
        <v>3552</v>
      </c>
      <c r="J983" s="149" t="s">
        <v>3564</v>
      </c>
      <c r="K983" s="149" t="s">
        <v>3564</v>
      </c>
      <c r="L983" s="171">
        <f t="shared" si="21"/>
        <v>-7080000000</v>
      </c>
    </row>
    <row r="984" spans="1:12" x14ac:dyDescent="0.25">
      <c r="A984" s="7" t="s">
        <v>1706</v>
      </c>
      <c r="B984" s="192"/>
      <c r="C984" s="191" t="s">
        <v>3987</v>
      </c>
      <c r="D984" s="192">
        <v>1</v>
      </c>
      <c r="E984" s="192" t="s">
        <v>97</v>
      </c>
      <c r="F984" s="193">
        <v>275000000</v>
      </c>
      <c r="G984" s="45">
        <f>ROUNDDOWN(D984*F984,-3)</f>
        <v>275000000</v>
      </c>
      <c r="H984" s="165">
        <v>3970000000</v>
      </c>
      <c r="I984" s="150" t="s">
        <v>3552</v>
      </c>
      <c r="J984" s="149" t="s">
        <v>3564</v>
      </c>
      <c r="K984" s="149" t="s">
        <v>3564</v>
      </c>
      <c r="L984" s="171">
        <f t="shared" si="21"/>
        <v>-3695000000</v>
      </c>
    </row>
    <row r="985" spans="1:12" x14ac:dyDescent="0.25">
      <c r="A985" s="7" t="s">
        <v>1708</v>
      </c>
      <c r="B985" s="61"/>
      <c r="C985" s="44" t="s">
        <v>3988</v>
      </c>
      <c r="D985" s="61">
        <v>12</v>
      </c>
      <c r="E985" s="61" t="s">
        <v>97</v>
      </c>
      <c r="F985" s="45">
        <v>272500000</v>
      </c>
      <c r="G985" s="45">
        <f>ROUNDDOWN(D985*F985,-3)</f>
        <v>3270000000</v>
      </c>
      <c r="H985" s="165">
        <v>275000000</v>
      </c>
      <c r="I985" s="150" t="s">
        <v>3552</v>
      </c>
      <c r="J985" s="149" t="s">
        <v>3564</v>
      </c>
      <c r="K985" s="149" t="s">
        <v>3564</v>
      </c>
      <c r="L985" s="171">
        <f t="shared" si="21"/>
        <v>2995000000</v>
      </c>
    </row>
    <row r="986" spans="1:12" x14ac:dyDescent="0.25">
      <c r="A986" s="7" t="s">
        <v>1710</v>
      </c>
      <c r="B986" s="61"/>
      <c r="C986" s="44" t="s">
        <v>3989</v>
      </c>
      <c r="D986" s="61">
        <v>1</v>
      </c>
      <c r="E986" s="61" t="s">
        <v>97</v>
      </c>
      <c r="F986" s="45">
        <v>275000000</v>
      </c>
      <c r="G986" s="45">
        <f>ROUNDDOWN(D986*F986,-3)</f>
        <v>275000000</v>
      </c>
      <c r="H986" s="165">
        <v>3420000000</v>
      </c>
      <c r="I986" s="150" t="s">
        <v>3552</v>
      </c>
      <c r="J986" s="149" t="s">
        <v>3564</v>
      </c>
      <c r="K986" s="149" t="s">
        <v>3564</v>
      </c>
      <c r="L986" s="171">
        <f t="shared" si="21"/>
        <v>-3145000000</v>
      </c>
    </row>
    <row r="987" spans="1:12" x14ac:dyDescent="0.25">
      <c r="A987" s="7" t="s">
        <v>1712</v>
      </c>
      <c r="B987" s="60">
        <v>511119</v>
      </c>
      <c r="C987" s="41" t="s">
        <v>79</v>
      </c>
      <c r="D987" s="60"/>
      <c r="E987" s="60"/>
      <c r="F987" s="42"/>
      <c r="G987" s="42">
        <v>145000</v>
      </c>
      <c r="H987" s="165">
        <v>275000000</v>
      </c>
      <c r="I987" s="150" t="s">
        <v>3552</v>
      </c>
      <c r="J987" s="149" t="s">
        <v>3564</v>
      </c>
      <c r="K987" s="149" t="s">
        <v>3564</v>
      </c>
      <c r="L987" s="171">
        <f t="shared" si="21"/>
        <v>-274855000</v>
      </c>
    </row>
    <row r="988" spans="1:12" x14ac:dyDescent="0.25">
      <c r="A988" s="7" t="s">
        <v>1713</v>
      </c>
      <c r="B988" s="192"/>
      <c r="C988" s="191" t="s">
        <v>3990</v>
      </c>
      <c r="D988" s="192">
        <v>1</v>
      </c>
      <c r="E988" s="192" t="s">
        <v>97</v>
      </c>
      <c r="F988" s="193">
        <v>5000</v>
      </c>
      <c r="G988" s="45">
        <f>ROUNDDOWN(D988*F988,-3)</f>
        <v>5000</v>
      </c>
      <c r="H988" s="165">
        <v>145000</v>
      </c>
      <c r="I988" s="150" t="s">
        <v>3552</v>
      </c>
      <c r="J988" s="149" t="s">
        <v>3564</v>
      </c>
      <c r="K988" s="149" t="s">
        <v>3564</v>
      </c>
      <c r="L988" s="171">
        <f t="shared" si="21"/>
        <v>-140000</v>
      </c>
    </row>
    <row r="989" spans="1:12" x14ac:dyDescent="0.25">
      <c r="A989" s="7" t="s">
        <v>1715</v>
      </c>
      <c r="B989" s="61"/>
      <c r="C989" s="44" t="s">
        <v>3991</v>
      </c>
      <c r="D989" s="61">
        <v>1</v>
      </c>
      <c r="E989" s="61" t="s">
        <v>153</v>
      </c>
      <c r="F989" s="45">
        <v>135000</v>
      </c>
      <c r="G989" s="45">
        <f>ROUNDDOWN(D989*F989,-3)</f>
        <v>135000</v>
      </c>
      <c r="H989" s="165">
        <v>5000</v>
      </c>
      <c r="I989" s="150" t="s">
        <v>3552</v>
      </c>
      <c r="J989" s="149" t="s">
        <v>3564</v>
      </c>
      <c r="K989" s="149" t="s">
        <v>3564</v>
      </c>
      <c r="L989" s="171">
        <f t="shared" si="21"/>
        <v>130000</v>
      </c>
    </row>
    <row r="990" spans="1:12" x14ac:dyDescent="0.25">
      <c r="A990" s="7" t="s">
        <v>1717</v>
      </c>
      <c r="B990" s="61"/>
      <c r="C990" s="44" t="s">
        <v>3992</v>
      </c>
      <c r="D990" s="61">
        <v>1</v>
      </c>
      <c r="E990" s="61" t="s">
        <v>97</v>
      </c>
      <c r="F990" s="45">
        <v>5000</v>
      </c>
      <c r="G990" s="45">
        <f>ROUNDDOWN(D990*F990,-3)</f>
        <v>5000</v>
      </c>
      <c r="H990" s="165">
        <v>135000</v>
      </c>
      <c r="I990" s="150" t="s">
        <v>3552</v>
      </c>
      <c r="J990" s="149" t="s">
        <v>3564</v>
      </c>
      <c r="K990" s="149" t="s">
        <v>3564</v>
      </c>
      <c r="L990" s="171">
        <f t="shared" si="21"/>
        <v>-130000</v>
      </c>
    </row>
    <row r="991" spans="1:12" x14ac:dyDescent="0.25">
      <c r="A991" s="7" t="s">
        <v>1719</v>
      </c>
      <c r="B991" s="60">
        <v>511121</v>
      </c>
      <c r="C991" s="41" t="s">
        <v>80</v>
      </c>
      <c r="D991" s="60"/>
      <c r="E991" s="60"/>
      <c r="F991" s="42"/>
      <c r="G991" s="42">
        <v>250000000</v>
      </c>
      <c r="H991" s="165">
        <v>5000</v>
      </c>
      <c r="I991" s="150" t="s">
        <v>3552</v>
      </c>
      <c r="J991" s="149" t="s">
        <v>3564</v>
      </c>
      <c r="K991" s="149" t="s">
        <v>3564</v>
      </c>
      <c r="L991" s="171">
        <f t="shared" si="21"/>
        <v>249995000</v>
      </c>
    </row>
    <row r="992" spans="1:12" x14ac:dyDescent="0.25">
      <c r="A992" s="7" t="s">
        <v>1720</v>
      </c>
      <c r="B992" s="192"/>
      <c r="C992" s="191" t="s">
        <v>3993</v>
      </c>
      <c r="D992" s="192">
        <v>12</v>
      </c>
      <c r="E992" s="192" t="s">
        <v>97</v>
      </c>
      <c r="F992" s="193">
        <v>17509000</v>
      </c>
      <c r="G992" s="45">
        <f>ROUNDDOWN(D992*F992,-3)</f>
        <v>210108000</v>
      </c>
      <c r="H992" s="165">
        <v>374784000</v>
      </c>
      <c r="I992" s="150" t="s">
        <v>3552</v>
      </c>
      <c r="J992" s="149" t="s">
        <v>3564</v>
      </c>
      <c r="K992" s="149" t="s">
        <v>3564</v>
      </c>
      <c r="L992" s="171">
        <f t="shared" si="21"/>
        <v>-164676000</v>
      </c>
    </row>
    <row r="993" spans="1:12" x14ac:dyDescent="0.25">
      <c r="A993" s="7" t="s">
        <v>1722</v>
      </c>
      <c r="B993" s="61"/>
      <c r="C993" s="44" t="s">
        <v>3994</v>
      </c>
      <c r="D993" s="61">
        <v>1</v>
      </c>
      <c r="E993" s="61" t="s">
        <v>97</v>
      </c>
      <c r="F993" s="45">
        <v>19946000</v>
      </c>
      <c r="G993" s="45">
        <f>ROUNDDOWN(D993*F993,-3)</f>
        <v>19946000</v>
      </c>
      <c r="H993" s="165">
        <v>334892000</v>
      </c>
      <c r="I993" s="150" t="s">
        <v>3552</v>
      </c>
      <c r="J993" s="149" t="s">
        <v>3564</v>
      </c>
      <c r="K993" s="149" t="s">
        <v>3564</v>
      </c>
      <c r="L993" s="171">
        <f t="shared" si="21"/>
        <v>-314946000</v>
      </c>
    </row>
    <row r="994" spans="1:12" x14ac:dyDescent="0.25">
      <c r="A994" s="7" t="s">
        <v>1724</v>
      </c>
      <c r="B994" s="61"/>
      <c r="C994" s="44" t="s">
        <v>3995</v>
      </c>
      <c r="D994" s="61">
        <v>1</v>
      </c>
      <c r="E994" s="61" t="s">
        <v>97</v>
      </c>
      <c r="F994" s="45">
        <v>19946000</v>
      </c>
      <c r="G994" s="45">
        <f>ROUNDDOWN(D994*F994,-3)</f>
        <v>19946000</v>
      </c>
      <c r="H994" s="165">
        <v>19946000</v>
      </c>
      <c r="I994" s="150" t="s">
        <v>3552</v>
      </c>
      <c r="J994" s="149" t="s">
        <v>3564</v>
      </c>
      <c r="K994" s="149" t="s">
        <v>3564</v>
      </c>
      <c r="L994" s="171">
        <f t="shared" si="21"/>
        <v>0</v>
      </c>
    </row>
    <row r="995" spans="1:12" x14ac:dyDescent="0.25">
      <c r="A995" s="7" t="s">
        <v>1726</v>
      </c>
      <c r="B995" s="60">
        <v>511122</v>
      </c>
      <c r="C995" s="41" t="s">
        <v>81</v>
      </c>
      <c r="D995" s="60"/>
      <c r="E995" s="60"/>
      <c r="F995" s="42"/>
      <c r="G995" s="42">
        <v>90255000</v>
      </c>
      <c r="H995" s="165">
        <v>19946000</v>
      </c>
      <c r="I995" s="150" t="s">
        <v>3552</v>
      </c>
      <c r="J995" s="149" t="s">
        <v>3564</v>
      </c>
      <c r="K995" s="149" t="s">
        <v>3564</v>
      </c>
      <c r="L995" s="171">
        <f t="shared" si="21"/>
        <v>70309000</v>
      </c>
    </row>
    <row r="996" spans="1:12" x14ac:dyDescent="0.25">
      <c r="A996" s="7" t="s">
        <v>1727</v>
      </c>
      <c r="B996" s="192"/>
      <c r="C996" s="191" t="s">
        <v>3996</v>
      </c>
      <c r="D996" s="192">
        <v>1</v>
      </c>
      <c r="E996" s="192" t="s">
        <v>97</v>
      </c>
      <c r="F996" s="193">
        <v>9000000</v>
      </c>
      <c r="G996" s="45">
        <f>ROUNDDOWN(D996*F996,-3)</f>
        <v>9000000</v>
      </c>
      <c r="H996" s="165">
        <v>94000000</v>
      </c>
      <c r="I996" s="150" t="s">
        <v>3552</v>
      </c>
      <c r="J996" s="149" t="s">
        <v>3564</v>
      </c>
      <c r="K996" s="149" t="s">
        <v>3564</v>
      </c>
      <c r="L996" s="171">
        <f t="shared" si="21"/>
        <v>-85000000</v>
      </c>
    </row>
    <row r="997" spans="1:12" x14ac:dyDescent="0.25">
      <c r="A997" s="7" t="s">
        <v>1729</v>
      </c>
      <c r="B997" s="61"/>
      <c r="C997" s="44" t="s">
        <v>3997</v>
      </c>
      <c r="D997" s="61">
        <v>12</v>
      </c>
      <c r="E997" s="61" t="s">
        <v>97</v>
      </c>
      <c r="F997" s="45">
        <v>6021250</v>
      </c>
      <c r="G997" s="45">
        <f>ROUNDDOWN(D997*F997,-3)</f>
        <v>72255000</v>
      </c>
      <c r="H997" s="165">
        <v>9000000</v>
      </c>
      <c r="I997" s="150" t="s">
        <v>3552</v>
      </c>
      <c r="J997" s="149" t="s">
        <v>3564</v>
      </c>
      <c r="K997" s="149" t="s">
        <v>3564</v>
      </c>
      <c r="L997" s="171">
        <f t="shared" si="21"/>
        <v>63255000</v>
      </c>
    </row>
    <row r="998" spans="1:12" x14ac:dyDescent="0.25">
      <c r="A998" s="7" t="s">
        <v>1731</v>
      </c>
      <c r="B998" s="61"/>
      <c r="C998" s="44" t="s">
        <v>3998</v>
      </c>
      <c r="D998" s="61">
        <v>1</v>
      </c>
      <c r="E998" s="61" t="s">
        <v>97</v>
      </c>
      <c r="F998" s="45">
        <v>9000000</v>
      </c>
      <c r="G998" s="45">
        <f>ROUNDDOWN(D998*F998,-3)</f>
        <v>9000000</v>
      </c>
      <c r="H998" s="165">
        <v>76000000</v>
      </c>
      <c r="I998" s="150" t="s">
        <v>3552</v>
      </c>
      <c r="J998" s="149" t="s">
        <v>3564</v>
      </c>
      <c r="K998" s="149" t="s">
        <v>3564</v>
      </c>
      <c r="L998" s="171">
        <f t="shared" si="21"/>
        <v>-67000000</v>
      </c>
    </row>
    <row r="999" spans="1:12" x14ac:dyDescent="0.25">
      <c r="A999" s="7" t="s">
        <v>1733</v>
      </c>
      <c r="B999" s="60">
        <v>511123</v>
      </c>
      <c r="C999" s="41" t="s">
        <v>82</v>
      </c>
      <c r="D999" s="60"/>
      <c r="E999" s="60"/>
      <c r="F999" s="42"/>
      <c r="G999" s="42">
        <v>217000000</v>
      </c>
      <c r="H999" s="165">
        <v>9000000</v>
      </c>
      <c r="I999" s="150" t="s">
        <v>3552</v>
      </c>
      <c r="J999" s="149" t="s">
        <v>3564</v>
      </c>
      <c r="K999" s="149" t="s">
        <v>3564</v>
      </c>
      <c r="L999" s="171">
        <f t="shared" si="21"/>
        <v>208000000</v>
      </c>
    </row>
    <row r="1000" spans="1:12" x14ac:dyDescent="0.25">
      <c r="A1000" s="7" t="s">
        <v>1734</v>
      </c>
      <c r="B1000" s="192"/>
      <c r="C1000" s="191" t="s">
        <v>3999</v>
      </c>
      <c r="D1000" s="192">
        <v>1</v>
      </c>
      <c r="E1000" s="192" t="s">
        <v>97</v>
      </c>
      <c r="F1000" s="193">
        <v>15500000</v>
      </c>
      <c r="G1000" s="45">
        <f>ROUNDDOWN(D1000*F1000,-3)</f>
        <v>15500000</v>
      </c>
      <c r="H1000" s="165">
        <v>217000000</v>
      </c>
      <c r="I1000" s="150" t="s">
        <v>3552</v>
      </c>
      <c r="J1000" s="149" t="s">
        <v>3564</v>
      </c>
      <c r="K1000" s="149" t="s">
        <v>3564</v>
      </c>
      <c r="L1000" s="171">
        <f t="shared" si="21"/>
        <v>-201500000</v>
      </c>
    </row>
    <row r="1001" spans="1:12" x14ac:dyDescent="0.25">
      <c r="A1001" s="7" t="s">
        <v>1736</v>
      </c>
      <c r="B1001" s="61"/>
      <c r="C1001" s="44" t="s">
        <v>4000</v>
      </c>
      <c r="D1001" s="61">
        <v>12</v>
      </c>
      <c r="E1001" s="61" t="s">
        <v>97</v>
      </c>
      <c r="F1001" s="45">
        <v>15500000</v>
      </c>
      <c r="G1001" s="45">
        <f>ROUNDDOWN(D1001*F1001,-3)</f>
        <v>186000000</v>
      </c>
      <c r="H1001" s="165">
        <v>15500000</v>
      </c>
      <c r="I1001" s="150" t="s">
        <v>3552</v>
      </c>
      <c r="J1001" s="149" t="s">
        <v>3564</v>
      </c>
      <c r="K1001" s="149" t="s">
        <v>3564</v>
      </c>
      <c r="L1001" s="171">
        <f t="shared" si="21"/>
        <v>170500000</v>
      </c>
    </row>
    <row r="1002" spans="1:12" x14ac:dyDescent="0.25">
      <c r="A1002" s="7" t="s">
        <v>1738</v>
      </c>
      <c r="B1002" s="61"/>
      <c r="C1002" s="44" t="s">
        <v>4001</v>
      </c>
      <c r="D1002" s="61">
        <v>1</v>
      </c>
      <c r="E1002" s="61" t="s">
        <v>97</v>
      </c>
      <c r="F1002" s="45">
        <v>15500000</v>
      </c>
      <c r="G1002" s="45">
        <f>ROUNDDOWN(D1002*F1002,-3)</f>
        <v>15500000</v>
      </c>
      <c r="H1002" s="165">
        <v>186000000</v>
      </c>
      <c r="I1002" s="150" t="s">
        <v>3552</v>
      </c>
      <c r="J1002" s="149" t="s">
        <v>3564</v>
      </c>
      <c r="K1002" s="149" t="s">
        <v>3564</v>
      </c>
      <c r="L1002" s="171">
        <f t="shared" si="21"/>
        <v>-170500000</v>
      </c>
    </row>
    <row r="1003" spans="1:12" x14ac:dyDescent="0.25">
      <c r="A1003" s="7" t="s">
        <v>1740</v>
      </c>
      <c r="B1003" s="60">
        <v>511124</v>
      </c>
      <c r="C1003" s="41" t="s">
        <v>83</v>
      </c>
      <c r="D1003" s="60"/>
      <c r="E1003" s="60"/>
      <c r="F1003" s="42"/>
      <c r="G1003" s="42">
        <v>210000000</v>
      </c>
      <c r="H1003" s="165">
        <v>15500000</v>
      </c>
      <c r="I1003" s="150" t="s">
        <v>3552</v>
      </c>
      <c r="J1003" s="149" t="s">
        <v>3564</v>
      </c>
      <c r="K1003" s="149" t="s">
        <v>3564</v>
      </c>
      <c r="L1003" s="171">
        <f t="shared" si="21"/>
        <v>194500000</v>
      </c>
    </row>
    <row r="1004" spans="1:12" x14ac:dyDescent="0.25">
      <c r="A1004" s="7" t="s">
        <v>1741</v>
      </c>
      <c r="B1004" s="192"/>
      <c r="C1004" s="191" t="s">
        <v>4002</v>
      </c>
      <c r="D1004" s="192">
        <v>1</v>
      </c>
      <c r="E1004" s="192" t="s">
        <v>97</v>
      </c>
      <c r="F1004" s="193">
        <v>15000000</v>
      </c>
      <c r="G1004" s="45">
        <f>ROUNDDOWN(D1004*F1004,-3)</f>
        <v>15000000</v>
      </c>
      <c r="H1004" s="165">
        <v>210000000</v>
      </c>
      <c r="I1004" s="150" t="s">
        <v>3552</v>
      </c>
      <c r="J1004" s="149" t="s">
        <v>3564</v>
      </c>
      <c r="K1004" s="149" t="s">
        <v>3564</v>
      </c>
      <c r="L1004" s="171">
        <f t="shared" si="21"/>
        <v>-195000000</v>
      </c>
    </row>
    <row r="1005" spans="1:12" x14ac:dyDescent="0.25">
      <c r="A1005" s="7" t="s">
        <v>1743</v>
      </c>
      <c r="B1005" s="61"/>
      <c r="C1005" s="44" t="s">
        <v>4003</v>
      </c>
      <c r="D1005" s="61">
        <v>12</v>
      </c>
      <c r="E1005" s="61" t="s">
        <v>97</v>
      </c>
      <c r="F1005" s="45">
        <v>15000000</v>
      </c>
      <c r="G1005" s="45">
        <f>ROUNDDOWN(D1005*F1005,-3)</f>
        <v>180000000</v>
      </c>
      <c r="H1005" s="165">
        <v>15000000</v>
      </c>
      <c r="I1005" s="150" t="s">
        <v>3552</v>
      </c>
      <c r="J1005" s="149" t="s">
        <v>3564</v>
      </c>
      <c r="K1005" s="149" t="s">
        <v>3564</v>
      </c>
      <c r="L1005" s="171">
        <f t="shared" si="21"/>
        <v>165000000</v>
      </c>
    </row>
    <row r="1006" spans="1:12" x14ac:dyDescent="0.25">
      <c r="A1006" s="7" t="s">
        <v>1745</v>
      </c>
      <c r="B1006" s="61"/>
      <c r="C1006" s="44" t="s">
        <v>4004</v>
      </c>
      <c r="D1006" s="61">
        <v>1</v>
      </c>
      <c r="E1006" s="61" t="s">
        <v>97</v>
      </c>
      <c r="F1006" s="45">
        <v>15000000</v>
      </c>
      <c r="G1006" s="45">
        <f>ROUNDDOWN(D1006*F1006,-3)</f>
        <v>15000000</v>
      </c>
      <c r="H1006" s="165">
        <v>180000000</v>
      </c>
      <c r="I1006" s="150" t="s">
        <v>3552</v>
      </c>
      <c r="J1006" s="149" t="s">
        <v>3564</v>
      </c>
      <c r="K1006" s="149" t="s">
        <v>3564</v>
      </c>
      <c r="L1006" s="171">
        <f t="shared" si="21"/>
        <v>-165000000</v>
      </c>
    </row>
    <row r="1007" spans="1:12" x14ac:dyDescent="0.25">
      <c r="A1007" s="7" t="s">
        <v>1747</v>
      </c>
      <c r="B1007" s="60">
        <v>511125</v>
      </c>
      <c r="C1007" s="41" t="s">
        <v>84</v>
      </c>
      <c r="D1007" s="60"/>
      <c r="E1007" s="60"/>
      <c r="F1007" s="42"/>
      <c r="G1007" s="42">
        <v>12600000</v>
      </c>
      <c r="H1007" s="165">
        <v>15000000</v>
      </c>
      <c r="I1007" s="150" t="s">
        <v>3552</v>
      </c>
      <c r="J1007" s="149" t="s">
        <v>3564</v>
      </c>
      <c r="K1007" s="149" t="s">
        <v>3564</v>
      </c>
      <c r="L1007" s="171">
        <f t="shared" si="21"/>
        <v>-2400000</v>
      </c>
    </row>
    <row r="1008" spans="1:12" x14ac:dyDescent="0.25">
      <c r="A1008" s="7" t="s">
        <v>1748</v>
      </c>
      <c r="B1008" s="192"/>
      <c r="C1008" s="191" t="s">
        <v>4005</v>
      </c>
      <c r="D1008" s="192">
        <v>1</v>
      </c>
      <c r="E1008" s="192" t="s">
        <v>97</v>
      </c>
      <c r="F1008" s="193">
        <v>2100000</v>
      </c>
      <c r="G1008" s="45">
        <f>ROUNDDOWN(D1008*F1008,-3)</f>
        <v>2100000</v>
      </c>
      <c r="H1008" s="165">
        <v>12600000</v>
      </c>
      <c r="I1008" s="150" t="s">
        <v>3552</v>
      </c>
      <c r="J1008" s="149" t="s">
        <v>3564</v>
      </c>
      <c r="K1008" s="149" t="s">
        <v>3564</v>
      </c>
      <c r="L1008" s="171">
        <f t="shared" si="21"/>
        <v>-10500000</v>
      </c>
    </row>
    <row r="1009" spans="1:12" x14ac:dyDescent="0.25">
      <c r="A1009" s="7" t="s">
        <v>1750</v>
      </c>
      <c r="B1009" s="61"/>
      <c r="C1009" s="44" t="s">
        <v>4006</v>
      </c>
      <c r="D1009" s="61">
        <v>1</v>
      </c>
      <c r="E1009" s="61" t="s">
        <v>153</v>
      </c>
      <c r="F1009" s="45">
        <v>8400000</v>
      </c>
      <c r="G1009" s="45">
        <f>ROUNDDOWN(D1009*F1009,-3)</f>
        <v>8400000</v>
      </c>
      <c r="H1009" s="165">
        <v>2100000</v>
      </c>
      <c r="I1009" s="150" t="s">
        <v>3552</v>
      </c>
      <c r="J1009" s="149" t="s">
        <v>3564</v>
      </c>
      <c r="K1009" s="149" t="s">
        <v>3564</v>
      </c>
      <c r="L1009" s="171">
        <f t="shared" si="21"/>
        <v>6300000</v>
      </c>
    </row>
    <row r="1010" spans="1:12" x14ac:dyDescent="0.25">
      <c r="A1010" s="7" t="s">
        <v>1752</v>
      </c>
      <c r="B1010" s="61"/>
      <c r="C1010" s="44" t="s">
        <v>4007</v>
      </c>
      <c r="D1010" s="61">
        <v>1</v>
      </c>
      <c r="E1010" s="61" t="s">
        <v>97</v>
      </c>
      <c r="F1010" s="45">
        <v>2100000</v>
      </c>
      <c r="G1010" s="45">
        <f>ROUNDDOWN(D1010*F1010,-3)</f>
        <v>2100000</v>
      </c>
      <c r="H1010" s="165">
        <v>8400000</v>
      </c>
      <c r="I1010" s="150" t="s">
        <v>3552</v>
      </c>
      <c r="J1010" s="149" t="s">
        <v>3564</v>
      </c>
      <c r="K1010" s="149" t="s">
        <v>3564</v>
      </c>
      <c r="L1010" s="171">
        <f t="shared" si="21"/>
        <v>-6300000</v>
      </c>
    </row>
    <row r="1011" spans="1:12" x14ac:dyDescent="0.25">
      <c r="A1011" s="7" t="s">
        <v>1754</v>
      </c>
      <c r="B1011" s="60">
        <v>511126</v>
      </c>
      <c r="C1011" s="41" t="s">
        <v>85</v>
      </c>
      <c r="D1011" s="60"/>
      <c r="E1011" s="60"/>
      <c r="F1011" s="42"/>
      <c r="G1011" s="42">
        <v>205000000</v>
      </c>
      <c r="H1011" s="165">
        <v>2100000</v>
      </c>
      <c r="I1011" s="150" t="s">
        <v>3552</v>
      </c>
      <c r="J1011" s="149" t="s">
        <v>3564</v>
      </c>
      <c r="K1011" s="149" t="s">
        <v>3564</v>
      </c>
      <c r="L1011" s="171">
        <f t="shared" si="21"/>
        <v>202900000</v>
      </c>
    </row>
    <row r="1012" spans="1:12" x14ac:dyDescent="0.25">
      <c r="A1012" s="7" t="s">
        <v>1755</v>
      </c>
      <c r="B1012" s="192"/>
      <c r="C1012" s="191" t="s">
        <v>4008</v>
      </c>
      <c r="D1012" s="192">
        <v>12</v>
      </c>
      <c r="E1012" s="192" t="s">
        <v>97</v>
      </c>
      <c r="F1012" s="193">
        <v>17083334</v>
      </c>
      <c r="G1012" s="45">
        <f>ROUNDDOWN(D1012*F1012,-3)</f>
        <v>205000000</v>
      </c>
      <c r="H1012" s="165">
        <v>205000000</v>
      </c>
      <c r="I1012" s="150" t="s">
        <v>3552</v>
      </c>
      <c r="J1012" s="149" t="s">
        <v>3564</v>
      </c>
      <c r="K1012" s="149" t="s">
        <v>3564</v>
      </c>
      <c r="L1012" s="171">
        <f t="shared" si="21"/>
        <v>0</v>
      </c>
    </row>
    <row r="1013" spans="1:12" x14ac:dyDescent="0.25">
      <c r="A1013" s="7" t="s">
        <v>1757</v>
      </c>
      <c r="B1013" s="60">
        <v>511129</v>
      </c>
      <c r="C1013" s="41" t="s">
        <v>86</v>
      </c>
      <c r="D1013" s="60"/>
      <c r="E1013" s="60"/>
      <c r="F1013" s="42"/>
      <c r="G1013" s="42">
        <v>568000000</v>
      </c>
      <c r="H1013" s="165">
        <v>205000000</v>
      </c>
      <c r="I1013" s="150" t="s">
        <v>3552</v>
      </c>
      <c r="J1013" s="149" t="s">
        <v>3564</v>
      </c>
      <c r="K1013" s="149" t="s">
        <v>3564</v>
      </c>
      <c r="L1013" s="171">
        <f t="shared" si="21"/>
        <v>363000000</v>
      </c>
    </row>
    <row r="1014" spans="1:12" x14ac:dyDescent="0.25">
      <c r="A1014" s="7" t="s">
        <v>1758</v>
      </c>
      <c r="B1014" s="192"/>
      <c r="C1014" s="191" t="s">
        <v>4009</v>
      </c>
      <c r="D1014" s="192">
        <v>12</v>
      </c>
      <c r="E1014" s="192" t="s">
        <v>97</v>
      </c>
      <c r="F1014" s="193">
        <v>47333334</v>
      </c>
      <c r="G1014" s="45">
        <f>ROUNDDOWN(D1014*F1014,-3)</f>
        <v>568000000</v>
      </c>
      <c r="H1014" s="165">
        <v>568000000</v>
      </c>
      <c r="I1014" s="150" t="s">
        <v>3552</v>
      </c>
      <c r="J1014" s="149" t="s">
        <v>3564</v>
      </c>
      <c r="K1014" s="149" t="s">
        <v>3564</v>
      </c>
      <c r="L1014" s="171">
        <f t="shared" si="21"/>
        <v>0</v>
      </c>
    </row>
    <row r="1015" spans="1:12" x14ac:dyDescent="0.25">
      <c r="A1015" s="7" t="s">
        <v>1760</v>
      </c>
      <c r="B1015" s="60">
        <v>511151</v>
      </c>
      <c r="C1015" s="41" t="s">
        <v>87</v>
      </c>
      <c r="D1015" s="60"/>
      <c r="E1015" s="60"/>
      <c r="F1015" s="42"/>
      <c r="G1015" s="42">
        <v>132000000</v>
      </c>
      <c r="H1015" s="165">
        <v>568000000</v>
      </c>
      <c r="I1015" s="150" t="s">
        <v>3552</v>
      </c>
      <c r="J1015" s="149" t="s">
        <v>3564</v>
      </c>
      <c r="K1015" s="149" t="s">
        <v>3564</v>
      </c>
      <c r="L1015" s="171">
        <f t="shared" si="21"/>
        <v>-436000000</v>
      </c>
    </row>
    <row r="1016" spans="1:12" x14ac:dyDescent="0.25">
      <c r="A1016" s="7" t="s">
        <v>1761</v>
      </c>
      <c r="B1016" s="192"/>
      <c r="C1016" s="191" t="s">
        <v>4010</v>
      </c>
      <c r="D1016" s="192">
        <v>1</v>
      </c>
      <c r="E1016" s="192" t="s">
        <v>97</v>
      </c>
      <c r="F1016" s="193">
        <v>11800000</v>
      </c>
      <c r="G1016" s="45">
        <f>ROUNDDOWN(D1016*F1016,-3)</f>
        <v>11800000</v>
      </c>
      <c r="H1016" s="165">
        <v>132000000</v>
      </c>
      <c r="I1016" s="150" t="s">
        <v>3552</v>
      </c>
      <c r="J1016" s="149" t="s">
        <v>3564</v>
      </c>
      <c r="K1016" s="149" t="s">
        <v>3564</v>
      </c>
      <c r="L1016" s="171">
        <f t="shared" si="21"/>
        <v>-120200000</v>
      </c>
    </row>
    <row r="1017" spans="1:12" x14ac:dyDescent="0.25">
      <c r="A1017" s="7" t="s">
        <v>1763</v>
      </c>
      <c r="B1017" s="61"/>
      <c r="C1017" s="44" t="s">
        <v>4011</v>
      </c>
      <c r="D1017" s="61">
        <v>12</v>
      </c>
      <c r="E1017" s="61" t="s">
        <v>97</v>
      </c>
      <c r="F1017" s="45">
        <v>9033334</v>
      </c>
      <c r="G1017" s="45">
        <f>ROUNDDOWN(D1017*F1017,-3)</f>
        <v>108400000</v>
      </c>
      <c r="H1017" s="165">
        <v>11800000</v>
      </c>
      <c r="I1017" s="150" t="s">
        <v>3552</v>
      </c>
      <c r="J1017" s="149" t="s">
        <v>3564</v>
      </c>
      <c r="K1017" s="149" t="s">
        <v>3564</v>
      </c>
      <c r="L1017" s="171">
        <f t="shared" si="21"/>
        <v>96600000</v>
      </c>
    </row>
    <row r="1018" spans="1:12" x14ac:dyDescent="0.25">
      <c r="A1018" s="7" t="s">
        <v>1765</v>
      </c>
      <c r="B1018" s="61"/>
      <c r="C1018" s="44" t="s">
        <v>4012</v>
      </c>
      <c r="D1018" s="61">
        <v>1</v>
      </c>
      <c r="E1018" s="61" t="s">
        <v>97</v>
      </c>
      <c r="F1018" s="45">
        <v>11800000</v>
      </c>
      <c r="G1018" s="45">
        <f>ROUNDDOWN(D1018*F1018,-3)</f>
        <v>11800000</v>
      </c>
      <c r="H1018" s="165">
        <v>108400000</v>
      </c>
      <c r="I1018" s="150" t="s">
        <v>3552</v>
      </c>
      <c r="J1018" s="149" t="s">
        <v>3564</v>
      </c>
      <c r="K1018" s="149" t="s">
        <v>3564</v>
      </c>
      <c r="L1018" s="171">
        <f t="shared" si="21"/>
        <v>-96600000</v>
      </c>
    </row>
    <row r="1019" spans="1:12" x14ac:dyDescent="0.25">
      <c r="A1019" s="7" t="s">
        <v>1767</v>
      </c>
      <c r="B1019" s="60">
        <v>512411</v>
      </c>
      <c r="C1019" s="41" t="s">
        <v>88</v>
      </c>
      <c r="D1019" s="60"/>
      <c r="E1019" s="60"/>
      <c r="F1019" s="42"/>
      <c r="G1019" s="42">
        <v>4850000000</v>
      </c>
      <c r="H1019" s="165">
        <v>11800000</v>
      </c>
      <c r="I1019" s="150" t="s">
        <v>3552</v>
      </c>
      <c r="J1019" s="149" t="s">
        <v>3564</v>
      </c>
      <c r="K1019" s="149" t="s">
        <v>3564</v>
      </c>
      <c r="L1019" s="171">
        <f t="shared" si="21"/>
        <v>4838200000</v>
      </c>
    </row>
    <row r="1020" spans="1:12" x14ac:dyDescent="0.25">
      <c r="A1020" s="7" t="s">
        <v>1768</v>
      </c>
      <c r="B1020" s="192"/>
      <c r="C1020" s="191" t="s">
        <v>4013</v>
      </c>
      <c r="D1020" s="192">
        <v>1</v>
      </c>
      <c r="E1020" s="192" t="s">
        <v>153</v>
      </c>
      <c r="F1020" s="193">
        <v>4850000000</v>
      </c>
      <c r="G1020" s="45">
        <f>ROUNDDOWN(D1020*F1020,-3)</f>
        <v>4850000000</v>
      </c>
      <c r="H1020" s="165">
        <v>5116471000</v>
      </c>
      <c r="I1020" s="150" t="s">
        <v>3552</v>
      </c>
      <c r="J1020" s="149" t="s">
        <v>3564</v>
      </c>
      <c r="K1020" s="149" t="s">
        <v>3564</v>
      </c>
      <c r="L1020" s="171">
        <f t="shared" si="21"/>
        <v>-266471000</v>
      </c>
    </row>
    <row r="1021" spans="1:12" x14ac:dyDescent="0.25">
      <c r="A1021" s="7" t="s">
        <v>4014</v>
      </c>
      <c r="B1021" s="59" t="s">
        <v>562</v>
      </c>
      <c r="C1021" s="38" t="s">
        <v>4015</v>
      </c>
      <c r="D1021" s="59"/>
      <c r="E1021" s="59"/>
      <c r="F1021" s="39"/>
      <c r="G1021" s="39">
        <v>545000000</v>
      </c>
      <c r="H1021" s="165">
        <v>5116471000</v>
      </c>
      <c r="I1021" s="150" t="s">
        <v>3552</v>
      </c>
      <c r="J1021" s="149" t="s">
        <v>3564</v>
      </c>
      <c r="K1021" s="149" t="s">
        <v>3564</v>
      </c>
      <c r="L1021" s="171">
        <f t="shared" si="21"/>
        <v>-4571471000</v>
      </c>
    </row>
    <row r="1022" spans="1:12" x14ac:dyDescent="0.25">
      <c r="A1022" s="7" t="s">
        <v>4016</v>
      </c>
      <c r="B1022" s="60">
        <v>511111</v>
      </c>
      <c r="C1022" s="41" t="s">
        <v>77</v>
      </c>
      <c r="D1022" s="60"/>
      <c r="E1022" s="60"/>
      <c r="F1022" s="42"/>
      <c r="G1022" s="42">
        <v>150000000</v>
      </c>
      <c r="H1022" s="165">
        <v>5669527000</v>
      </c>
      <c r="I1022" s="150" t="s">
        <v>3553</v>
      </c>
      <c r="J1022" s="149" t="s">
        <v>3558</v>
      </c>
      <c r="K1022" s="149" t="s">
        <v>3564</v>
      </c>
      <c r="L1022" s="171">
        <f t="shared" si="21"/>
        <v>-5519527000</v>
      </c>
    </row>
    <row r="1023" spans="1:12" x14ac:dyDescent="0.25">
      <c r="A1023" s="7" t="s">
        <v>4017</v>
      </c>
      <c r="B1023" s="192"/>
      <c r="C1023" s="191" t="s">
        <v>4018</v>
      </c>
      <c r="D1023" s="192">
        <v>12</v>
      </c>
      <c r="E1023" s="192" t="s">
        <v>97</v>
      </c>
      <c r="F1023" s="193">
        <v>12500000</v>
      </c>
      <c r="G1023" s="45">
        <f>ROUNDDOWN(D1023*F1023,-3)</f>
        <v>150000000</v>
      </c>
      <c r="H1023" s="165">
        <v>2136876000</v>
      </c>
      <c r="I1023" s="150" t="s">
        <v>3553</v>
      </c>
      <c r="J1023" s="149" t="s">
        <v>3558</v>
      </c>
      <c r="K1023" s="149" t="s">
        <v>3564</v>
      </c>
      <c r="L1023" s="171">
        <f t="shared" si="21"/>
        <v>-1986876000</v>
      </c>
    </row>
    <row r="1024" spans="1:12" x14ac:dyDescent="0.25">
      <c r="A1024" s="7" t="s">
        <v>4019</v>
      </c>
      <c r="B1024" s="60">
        <v>511121</v>
      </c>
      <c r="C1024" s="41" t="s">
        <v>80</v>
      </c>
      <c r="D1024" s="60"/>
      <c r="E1024" s="60"/>
      <c r="F1024" s="42"/>
      <c r="G1024" s="42">
        <v>124784000</v>
      </c>
      <c r="H1024" s="165">
        <v>2136876000</v>
      </c>
      <c r="I1024" s="150" t="s">
        <v>3553</v>
      </c>
      <c r="J1024" s="149" t="s">
        <v>3558</v>
      </c>
      <c r="K1024" s="149" t="s">
        <v>3564</v>
      </c>
      <c r="L1024" s="171">
        <f t="shared" si="21"/>
        <v>-2012092000</v>
      </c>
    </row>
    <row r="1025" spans="1:12" x14ac:dyDescent="0.25">
      <c r="A1025" s="7" t="s">
        <v>4020</v>
      </c>
      <c r="B1025" s="192"/>
      <c r="C1025" s="191" t="s">
        <v>3993</v>
      </c>
      <c r="D1025" s="192">
        <v>12</v>
      </c>
      <c r="E1025" s="192" t="s">
        <v>97</v>
      </c>
      <c r="F1025" s="193">
        <v>10398667</v>
      </c>
      <c r="G1025" s="45">
        <f>ROUNDDOWN(D1025*F1025,-3)</f>
        <v>124784000</v>
      </c>
      <c r="H1025" s="165">
        <v>41000</v>
      </c>
      <c r="I1025" s="150" t="s">
        <v>3553</v>
      </c>
      <c r="J1025" s="149" t="s">
        <v>3558</v>
      </c>
      <c r="K1025" s="149" t="s">
        <v>3564</v>
      </c>
      <c r="L1025" s="171">
        <f t="shared" si="21"/>
        <v>124743000</v>
      </c>
    </row>
    <row r="1026" spans="1:12" x14ac:dyDescent="0.25">
      <c r="A1026" s="7" t="s">
        <v>4021</v>
      </c>
      <c r="B1026" s="60">
        <v>511122</v>
      </c>
      <c r="C1026" s="41" t="s">
        <v>81</v>
      </c>
      <c r="D1026" s="60"/>
      <c r="E1026" s="60"/>
      <c r="F1026" s="42"/>
      <c r="G1026" s="42">
        <v>3744000</v>
      </c>
      <c r="H1026" s="165">
        <v>41000</v>
      </c>
      <c r="I1026" s="150" t="s">
        <v>3553</v>
      </c>
      <c r="J1026" s="149" t="s">
        <v>3558</v>
      </c>
      <c r="K1026" s="149" t="s">
        <v>3564</v>
      </c>
      <c r="L1026" s="171">
        <f t="shared" si="21"/>
        <v>3703000</v>
      </c>
    </row>
    <row r="1027" spans="1:12" x14ac:dyDescent="0.25">
      <c r="A1027" s="7" t="s">
        <v>4022</v>
      </c>
      <c r="B1027" s="192"/>
      <c r="C1027" s="191" t="s">
        <v>4023</v>
      </c>
      <c r="D1027" s="192">
        <v>12</v>
      </c>
      <c r="E1027" s="192" t="s">
        <v>97</v>
      </c>
      <c r="F1027" s="193">
        <v>312083</v>
      </c>
      <c r="G1027" s="45">
        <f>ROUNDDOWN(D1027*F1027,-3)</f>
        <v>3744000</v>
      </c>
      <c r="H1027" s="165">
        <v>167664000</v>
      </c>
      <c r="I1027" s="150" t="s">
        <v>3553</v>
      </c>
      <c r="J1027" s="149" t="s">
        <v>3558</v>
      </c>
      <c r="K1027" s="149" t="s">
        <v>3564</v>
      </c>
      <c r="L1027" s="171">
        <f t="shared" si="21"/>
        <v>-163920000</v>
      </c>
    </row>
    <row r="1028" spans="1:12" x14ac:dyDescent="0.25">
      <c r="A1028" s="7" t="s">
        <v>4024</v>
      </c>
      <c r="B1028" s="60">
        <v>512411</v>
      </c>
      <c r="C1028" s="41" t="s">
        <v>88</v>
      </c>
      <c r="D1028" s="60"/>
      <c r="E1028" s="60"/>
      <c r="F1028" s="42"/>
      <c r="G1028" s="42">
        <v>266472000</v>
      </c>
      <c r="H1028" s="165">
        <v>167664000</v>
      </c>
      <c r="I1028" s="150" t="s">
        <v>3553</v>
      </c>
      <c r="J1028" s="149" t="s">
        <v>3558</v>
      </c>
      <c r="K1028" s="149" t="s">
        <v>3564</v>
      </c>
      <c r="L1028" s="171">
        <f t="shared" si="21"/>
        <v>98808000</v>
      </c>
    </row>
    <row r="1029" spans="1:12" x14ac:dyDescent="0.25">
      <c r="A1029" s="7" t="s">
        <v>4025</v>
      </c>
      <c r="B1029" s="192"/>
      <c r="C1029" s="191" t="s">
        <v>4013</v>
      </c>
      <c r="D1029" s="192">
        <v>1</v>
      </c>
      <c r="E1029" s="192" t="s">
        <v>153</v>
      </c>
      <c r="F1029" s="193">
        <v>266472000</v>
      </c>
      <c r="G1029" s="45">
        <f>ROUNDDOWN(D1029*F1029,-3)</f>
        <v>266472000</v>
      </c>
      <c r="H1029" s="165">
        <v>50764000</v>
      </c>
      <c r="I1029" s="150" t="s">
        <v>3553</v>
      </c>
      <c r="J1029" s="149" t="s">
        <v>3558</v>
      </c>
      <c r="K1029" s="149" t="s">
        <v>3564</v>
      </c>
      <c r="L1029" s="171">
        <f t="shared" si="21"/>
        <v>215708000</v>
      </c>
    </row>
    <row r="1030" spans="1:12" x14ac:dyDescent="0.25">
      <c r="A1030" s="7" t="s">
        <v>1770</v>
      </c>
      <c r="B1030" s="59" t="s">
        <v>1771</v>
      </c>
      <c r="C1030" s="38" t="s">
        <v>1772</v>
      </c>
      <c r="D1030" s="59"/>
      <c r="E1030" s="59"/>
      <c r="F1030" s="39"/>
      <c r="G1030" s="39">
        <v>5386050000</v>
      </c>
      <c r="H1030" s="165">
        <v>50764000</v>
      </c>
      <c r="I1030" s="150" t="s">
        <v>3553</v>
      </c>
      <c r="J1030" s="149" t="s">
        <v>3558</v>
      </c>
      <c r="K1030" s="149" t="s">
        <v>3564</v>
      </c>
      <c r="L1030" s="171">
        <f t="shared" si="21"/>
        <v>5335286000</v>
      </c>
    </row>
    <row r="1031" spans="1:12" x14ac:dyDescent="0.25">
      <c r="A1031" s="7" t="s">
        <v>1773</v>
      </c>
      <c r="B1031" s="60">
        <v>511111</v>
      </c>
      <c r="C1031" s="41" t="s">
        <v>77</v>
      </c>
      <c r="D1031" s="60"/>
      <c r="E1031" s="60"/>
      <c r="F1031" s="42"/>
      <c r="G1031" s="42">
        <v>1900066000</v>
      </c>
      <c r="H1031" s="165">
        <v>45500000</v>
      </c>
      <c r="I1031" s="150" t="s">
        <v>3553</v>
      </c>
      <c r="J1031" s="149" t="s">
        <v>3558</v>
      </c>
      <c r="K1031" s="149" t="s">
        <v>3564</v>
      </c>
      <c r="L1031" s="171">
        <f t="shared" si="21"/>
        <v>1854566000</v>
      </c>
    </row>
    <row r="1032" spans="1:12" x14ac:dyDescent="0.25">
      <c r="A1032" s="7" t="s">
        <v>1774</v>
      </c>
      <c r="B1032" s="61"/>
      <c r="C1032" s="44" t="s">
        <v>4026</v>
      </c>
      <c r="D1032" s="61">
        <v>14</v>
      </c>
      <c r="E1032" s="61" t="s">
        <v>97</v>
      </c>
      <c r="F1032" s="45">
        <v>135719000</v>
      </c>
      <c r="G1032" s="45">
        <f>ROUNDDOWN(D1032*F1032,-3)</f>
        <v>1900066000</v>
      </c>
      <c r="H1032" s="165">
        <v>45500000</v>
      </c>
      <c r="I1032" s="150" t="s">
        <v>3553</v>
      </c>
      <c r="J1032" s="149" t="s">
        <v>3558</v>
      </c>
      <c r="K1032" s="149" t="s">
        <v>3564</v>
      </c>
      <c r="L1032" s="171">
        <f t="shared" si="21"/>
        <v>1854566000</v>
      </c>
    </row>
    <row r="1033" spans="1:12" x14ac:dyDescent="0.25">
      <c r="A1033" s="7" t="s">
        <v>1776</v>
      </c>
      <c r="B1033" s="60">
        <v>511119</v>
      </c>
      <c r="C1033" s="41" t="s">
        <v>79</v>
      </c>
      <c r="D1033" s="60"/>
      <c r="E1033" s="60"/>
      <c r="F1033" s="42"/>
      <c r="G1033" s="42">
        <v>40000</v>
      </c>
      <c r="H1033" s="165">
        <v>200830000</v>
      </c>
      <c r="I1033" s="150" t="s">
        <v>3553</v>
      </c>
      <c r="J1033" s="149" t="s">
        <v>3558</v>
      </c>
      <c r="K1033" s="149" t="s">
        <v>3564</v>
      </c>
      <c r="L1033" s="171">
        <f t="shared" si="21"/>
        <v>-200790000</v>
      </c>
    </row>
    <row r="1034" spans="1:12" x14ac:dyDescent="0.25">
      <c r="A1034" s="7" t="s">
        <v>1777</v>
      </c>
      <c r="B1034" s="61"/>
      <c r="C1034" s="44" t="s">
        <v>4027</v>
      </c>
      <c r="D1034" s="61">
        <v>14</v>
      </c>
      <c r="E1034" s="61" t="s">
        <v>97</v>
      </c>
      <c r="F1034" s="45">
        <v>2858</v>
      </c>
      <c r="G1034" s="45">
        <f>ROUNDDOWN(D1034*F1034,-3)</f>
        <v>40000</v>
      </c>
      <c r="H1034" s="165">
        <v>200830000</v>
      </c>
      <c r="I1034" s="150" t="s">
        <v>3553</v>
      </c>
      <c r="J1034" s="149" t="s">
        <v>3558</v>
      </c>
      <c r="K1034" s="149" t="s">
        <v>3564</v>
      </c>
      <c r="L1034" s="171">
        <f t="shared" si="21"/>
        <v>-200790000</v>
      </c>
    </row>
    <row r="1035" spans="1:12" x14ac:dyDescent="0.25">
      <c r="A1035" s="7" t="s">
        <v>1779</v>
      </c>
      <c r="B1035" s="60">
        <v>511121</v>
      </c>
      <c r="C1035" s="41" t="s">
        <v>80</v>
      </c>
      <c r="D1035" s="60"/>
      <c r="E1035" s="60"/>
      <c r="F1035" s="42"/>
      <c r="G1035" s="42">
        <v>143612000</v>
      </c>
      <c r="H1035" s="165">
        <v>4858000</v>
      </c>
      <c r="I1035" s="150" t="s">
        <v>3553</v>
      </c>
      <c r="J1035" s="149" t="s">
        <v>3558</v>
      </c>
      <c r="K1035" s="149" t="s">
        <v>3564</v>
      </c>
      <c r="L1035" s="171">
        <f t="shared" si="21"/>
        <v>138754000</v>
      </c>
    </row>
    <row r="1036" spans="1:12" x14ac:dyDescent="0.25">
      <c r="A1036" s="7" t="s">
        <v>1780</v>
      </c>
      <c r="B1036" s="61"/>
      <c r="C1036" s="44" t="s">
        <v>4028</v>
      </c>
      <c r="D1036" s="61">
        <v>14</v>
      </c>
      <c r="E1036" s="61" t="s">
        <v>97</v>
      </c>
      <c r="F1036" s="45">
        <v>10258000</v>
      </c>
      <c r="G1036" s="45">
        <f>ROUNDDOWN(D1036*F1036,-3)</f>
        <v>143612000</v>
      </c>
      <c r="H1036" s="165">
        <v>4858000</v>
      </c>
      <c r="I1036" s="150" t="s">
        <v>3553</v>
      </c>
      <c r="J1036" s="149" t="s">
        <v>3558</v>
      </c>
      <c r="K1036" s="149" t="s">
        <v>3564</v>
      </c>
      <c r="L1036" s="171">
        <f t="shared" si="21"/>
        <v>138754000</v>
      </c>
    </row>
    <row r="1037" spans="1:12" x14ac:dyDescent="0.25">
      <c r="A1037" s="7" t="s">
        <v>1782</v>
      </c>
      <c r="B1037" s="60">
        <v>511122</v>
      </c>
      <c r="C1037" s="41" t="s">
        <v>81</v>
      </c>
      <c r="D1037" s="60"/>
      <c r="E1037" s="60"/>
      <c r="F1037" s="42"/>
      <c r="G1037" s="42">
        <v>43358000</v>
      </c>
      <c r="H1037" s="165">
        <v>105156000</v>
      </c>
      <c r="I1037" s="150" t="s">
        <v>3553</v>
      </c>
      <c r="J1037" s="149" t="s">
        <v>3558</v>
      </c>
      <c r="K1037" s="149" t="s">
        <v>3564</v>
      </c>
      <c r="L1037" s="171">
        <f t="shared" si="21"/>
        <v>-61798000</v>
      </c>
    </row>
    <row r="1038" spans="1:12" x14ac:dyDescent="0.25">
      <c r="A1038" s="7" t="s">
        <v>1783</v>
      </c>
      <c r="B1038" s="61"/>
      <c r="C1038" s="44" t="s">
        <v>4029</v>
      </c>
      <c r="D1038" s="61">
        <v>14</v>
      </c>
      <c r="E1038" s="61" t="s">
        <v>97</v>
      </c>
      <c r="F1038" s="45">
        <v>3097000</v>
      </c>
      <c r="G1038" s="45">
        <f>ROUNDDOWN(D1038*F1038,-3)</f>
        <v>43358000</v>
      </c>
      <c r="H1038" s="165">
        <v>105156000</v>
      </c>
      <c r="I1038" s="150" t="s">
        <v>3553</v>
      </c>
      <c r="J1038" s="149" t="s">
        <v>3558</v>
      </c>
      <c r="K1038" s="149" t="s">
        <v>3564</v>
      </c>
      <c r="L1038" s="171">
        <f t="shared" ref="L1038:L1101" si="22">G1038-H1038</f>
        <v>-61798000</v>
      </c>
    </row>
    <row r="1039" spans="1:12" x14ac:dyDescent="0.25">
      <c r="A1039" s="7" t="s">
        <v>1785</v>
      </c>
      <c r="B1039" s="60">
        <v>511123</v>
      </c>
      <c r="C1039" s="41" t="s">
        <v>82</v>
      </c>
      <c r="D1039" s="60"/>
      <c r="E1039" s="60"/>
      <c r="F1039" s="42"/>
      <c r="G1039" s="42">
        <v>45500000</v>
      </c>
      <c r="H1039" s="165">
        <v>386916000</v>
      </c>
      <c r="I1039" s="150" t="s">
        <v>3553</v>
      </c>
      <c r="J1039" s="149" t="s">
        <v>3558</v>
      </c>
      <c r="K1039" s="149" t="s">
        <v>3564</v>
      </c>
      <c r="L1039" s="171">
        <f t="shared" si="22"/>
        <v>-341416000</v>
      </c>
    </row>
    <row r="1040" spans="1:12" x14ac:dyDescent="0.25">
      <c r="A1040" s="7" t="s">
        <v>1786</v>
      </c>
      <c r="B1040" s="61"/>
      <c r="C1040" s="44" t="s">
        <v>4030</v>
      </c>
      <c r="D1040" s="61">
        <v>14</v>
      </c>
      <c r="E1040" s="61" t="s">
        <v>97</v>
      </c>
      <c r="F1040" s="45">
        <v>3250000</v>
      </c>
      <c r="G1040" s="45">
        <f>ROUNDDOWN(D1040*F1040,-3)</f>
        <v>45500000</v>
      </c>
      <c r="H1040" s="165">
        <v>386916000</v>
      </c>
      <c r="I1040" s="150" t="s">
        <v>3553</v>
      </c>
      <c r="J1040" s="149" t="s">
        <v>3558</v>
      </c>
      <c r="K1040" s="149" t="s">
        <v>3564</v>
      </c>
      <c r="L1040" s="171">
        <f t="shared" si="22"/>
        <v>-341416000</v>
      </c>
    </row>
    <row r="1041" spans="1:12" x14ac:dyDescent="0.25">
      <c r="A1041" s="7" t="s">
        <v>1788</v>
      </c>
      <c r="B1041" s="60">
        <v>511124</v>
      </c>
      <c r="C1041" s="41" t="s">
        <v>83</v>
      </c>
      <c r="D1041" s="60"/>
      <c r="E1041" s="60"/>
      <c r="F1041" s="42"/>
      <c r="G1041" s="42">
        <v>200830000</v>
      </c>
      <c r="H1041" s="165">
        <v>51870000</v>
      </c>
      <c r="I1041" s="150" t="s">
        <v>3553</v>
      </c>
      <c r="J1041" s="149" t="s">
        <v>3558</v>
      </c>
      <c r="K1041" s="149" t="s">
        <v>3564</v>
      </c>
      <c r="L1041" s="171">
        <f t="shared" si="22"/>
        <v>148960000</v>
      </c>
    </row>
    <row r="1042" spans="1:12" x14ac:dyDescent="0.25">
      <c r="A1042" s="7" t="s">
        <v>1789</v>
      </c>
      <c r="B1042" s="61"/>
      <c r="C1042" s="44" t="s">
        <v>4031</v>
      </c>
      <c r="D1042" s="61">
        <v>14</v>
      </c>
      <c r="E1042" s="61" t="s">
        <v>97</v>
      </c>
      <c r="F1042" s="45">
        <v>14345000</v>
      </c>
      <c r="G1042" s="45">
        <f>ROUNDDOWN(D1042*F1042,-3)</f>
        <v>200830000</v>
      </c>
      <c r="H1042" s="165">
        <v>51870000</v>
      </c>
      <c r="I1042" s="150" t="s">
        <v>3553</v>
      </c>
      <c r="J1042" s="149" t="s">
        <v>3558</v>
      </c>
      <c r="K1042" s="149" t="s">
        <v>3564</v>
      </c>
      <c r="L1042" s="171">
        <f t="shared" si="22"/>
        <v>148960000</v>
      </c>
    </row>
    <row r="1043" spans="1:12" x14ac:dyDescent="0.25">
      <c r="A1043" s="7" t="s">
        <v>1791</v>
      </c>
      <c r="B1043" s="60">
        <v>511125</v>
      </c>
      <c r="C1043" s="41" t="s">
        <v>84</v>
      </c>
      <c r="D1043" s="60"/>
      <c r="E1043" s="60"/>
      <c r="F1043" s="42"/>
      <c r="G1043" s="42">
        <v>4858000</v>
      </c>
      <c r="H1043" s="165">
        <v>2519052000</v>
      </c>
      <c r="I1043" s="150" t="s">
        <v>3553</v>
      </c>
      <c r="J1043" s="149" t="s">
        <v>3558</v>
      </c>
      <c r="K1043" s="149" t="s">
        <v>3564</v>
      </c>
      <c r="L1043" s="171">
        <f t="shared" si="22"/>
        <v>-2514194000</v>
      </c>
    </row>
    <row r="1044" spans="1:12" x14ac:dyDescent="0.25">
      <c r="A1044" s="7" t="s">
        <v>1792</v>
      </c>
      <c r="B1044" s="61"/>
      <c r="C1044" s="44" t="s">
        <v>4032</v>
      </c>
      <c r="D1044" s="61">
        <v>14</v>
      </c>
      <c r="E1044" s="61" t="s">
        <v>97</v>
      </c>
      <c r="F1044" s="45">
        <v>347000</v>
      </c>
      <c r="G1044" s="45">
        <f>ROUNDDOWN(D1044*F1044,-3)</f>
        <v>4858000</v>
      </c>
      <c r="H1044" s="165">
        <v>2519052000</v>
      </c>
      <c r="I1044" s="150" t="s">
        <v>3553</v>
      </c>
      <c r="J1044" s="149" t="s">
        <v>3558</v>
      </c>
      <c r="K1044" s="149" t="s">
        <v>3564</v>
      </c>
      <c r="L1044" s="171">
        <f t="shared" si="22"/>
        <v>-2514194000</v>
      </c>
    </row>
    <row r="1045" spans="1:12" x14ac:dyDescent="0.25">
      <c r="A1045" s="7" t="s">
        <v>1794</v>
      </c>
      <c r="B1045" s="60">
        <v>511126</v>
      </c>
      <c r="C1045" s="41" t="s">
        <v>85</v>
      </c>
      <c r="D1045" s="60"/>
      <c r="E1045" s="60"/>
      <c r="F1045" s="42"/>
      <c r="G1045" s="42">
        <v>89948000</v>
      </c>
      <c r="H1045" s="165">
        <v>6478996000</v>
      </c>
      <c r="I1045" s="150" t="s">
        <v>557</v>
      </c>
      <c r="J1045" s="149" t="s">
        <v>3558</v>
      </c>
      <c r="K1045" s="149" t="s">
        <v>3564</v>
      </c>
      <c r="L1045" s="171">
        <f t="shared" si="22"/>
        <v>-6389048000</v>
      </c>
    </row>
    <row r="1046" spans="1:12" x14ac:dyDescent="0.25">
      <c r="A1046" s="7" t="s">
        <v>1795</v>
      </c>
      <c r="B1046" s="192"/>
      <c r="C1046" s="191" t="s">
        <v>4033</v>
      </c>
      <c r="D1046" s="192">
        <v>12</v>
      </c>
      <c r="E1046" s="192" t="s">
        <v>97</v>
      </c>
      <c r="F1046" s="193">
        <v>7495667</v>
      </c>
      <c r="G1046" s="45">
        <f>ROUNDDOWN(D1046*F1046,-3)</f>
        <v>89948000</v>
      </c>
      <c r="H1046" s="165">
        <v>2483477000</v>
      </c>
      <c r="I1046" s="150" t="s">
        <v>557</v>
      </c>
      <c r="J1046" s="149" t="s">
        <v>3558</v>
      </c>
      <c r="K1046" s="149" t="s">
        <v>3564</v>
      </c>
      <c r="L1046" s="171">
        <f t="shared" si="22"/>
        <v>-2393529000</v>
      </c>
    </row>
    <row r="1047" spans="1:12" x14ac:dyDescent="0.25">
      <c r="A1047" s="7" t="s">
        <v>1797</v>
      </c>
      <c r="B1047" s="60">
        <v>511129</v>
      </c>
      <c r="C1047" s="41" t="s">
        <v>86</v>
      </c>
      <c r="D1047" s="60"/>
      <c r="E1047" s="60"/>
      <c r="F1047" s="42"/>
      <c r="G1047" s="42">
        <v>386916000</v>
      </c>
      <c r="H1047" s="168">
        <v>180000000</v>
      </c>
      <c r="I1047" s="150" t="s">
        <v>557</v>
      </c>
      <c r="J1047" s="149" t="s">
        <v>3558</v>
      </c>
      <c r="K1047" s="149" t="s">
        <v>3564</v>
      </c>
      <c r="L1047" s="171">
        <f t="shared" si="22"/>
        <v>206916000</v>
      </c>
    </row>
    <row r="1048" spans="1:12" x14ac:dyDescent="0.25">
      <c r="A1048" s="7" t="s">
        <v>1798</v>
      </c>
      <c r="B1048" s="61"/>
      <c r="C1048" s="44" t="s">
        <v>4034</v>
      </c>
      <c r="D1048" s="61">
        <v>12</v>
      </c>
      <c r="E1048" s="61" t="s">
        <v>97</v>
      </c>
      <c r="F1048" s="45">
        <v>32243000</v>
      </c>
      <c r="G1048" s="45">
        <f>ROUNDDOWN(D1048*F1048,-3)</f>
        <v>386916000</v>
      </c>
      <c r="H1048" s="168">
        <v>2123477000</v>
      </c>
      <c r="I1048" s="150" t="s">
        <v>557</v>
      </c>
      <c r="J1048" s="149" t="s">
        <v>3558</v>
      </c>
      <c r="K1048" s="149" t="s">
        <v>3564</v>
      </c>
      <c r="L1048" s="171">
        <f t="shared" si="22"/>
        <v>-1736561000</v>
      </c>
    </row>
    <row r="1049" spans="1:12" x14ac:dyDescent="0.25">
      <c r="A1049" s="7" t="s">
        <v>1800</v>
      </c>
      <c r="B1049" s="60">
        <v>511151</v>
      </c>
      <c r="C1049" s="41" t="s">
        <v>87</v>
      </c>
      <c r="D1049" s="60"/>
      <c r="E1049" s="60"/>
      <c r="F1049" s="42"/>
      <c r="G1049" s="42">
        <v>51870000</v>
      </c>
      <c r="H1049" s="168">
        <v>180000000</v>
      </c>
      <c r="I1049" s="150" t="s">
        <v>557</v>
      </c>
      <c r="J1049" s="149" t="s">
        <v>3558</v>
      </c>
      <c r="K1049" s="149" t="s">
        <v>3564</v>
      </c>
      <c r="L1049" s="171">
        <f t="shared" si="22"/>
        <v>-128130000</v>
      </c>
    </row>
    <row r="1050" spans="1:12" x14ac:dyDescent="0.25">
      <c r="A1050" s="7" t="s">
        <v>1801</v>
      </c>
      <c r="B1050" s="192"/>
      <c r="C1050" s="191" t="s">
        <v>4035</v>
      </c>
      <c r="D1050" s="192">
        <v>14</v>
      </c>
      <c r="E1050" s="192" t="s">
        <v>97</v>
      </c>
      <c r="F1050" s="193">
        <v>3705000</v>
      </c>
      <c r="G1050" s="45">
        <f>ROUNDDOWN(D1050*F1050,-3)</f>
        <v>51870000</v>
      </c>
      <c r="H1050" s="165">
        <v>38000</v>
      </c>
      <c r="I1050" s="150" t="s">
        <v>557</v>
      </c>
      <c r="J1050" s="149" t="s">
        <v>3558</v>
      </c>
      <c r="K1050" s="149" t="s">
        <v>3564</v>
      </c>
      <c r="L1050" s="171">
        <f t="shared" si="22"/>
        <v>51832000</v>
      </c>
    </row>
    <row r="1051" spans="1:12" x14ac:dyDescent="0.25">
      <c r="A1051" s="7" t="s">
        <v>1803</v>
      </c>
      <c r="B1051" s="60">
        <v>512411</v>
      </c>
      <c r="C1051" s="41" t="s">
        <v>88</v>
      </c>
      <c r="D1051" s="60"/>
      <c r="E1051" s="60"/>
      <c r="F1051" s="42"/>
      <c r="G1051" s="42">
        <v>2519052000</v>
      </c>
      <c r="H1051" s="168">
        <v>3000</v>
      </c>
      <c r="I1051" s="150" t="s">
        <v>557</v>
      </c>
      <c r="J1051" s="149" t="s">
        <v>3558</v>
      </c>
      <c r="K1051" s="149" t="s">
        <v>3564</v>
      </c>
      <c r="L1051" s="171">
        <f t="shared" si="22"/>
        <v>2519049000</v>
      </c>
    </row>
    <row r="1052" spans="1:12" ht="26.4" x14ac:dyDescent="0.25">
      <c r="A1052" s="7" t="s">
        <v>1804</v>
      </c>
      <c r="B1052" s="61"/>
      <c r="C1052" s="44" t="s">
        <v>4036</v>
      </c>
      <c r="D1052" s="61">
        <v>12</v>
      </c>
      <c r="E1052" s="61" t="s">
        <v>97</v>
      </c>
      <c r="F1052" s="45">
        <v>209921000</v>
      </c>
      <c r="G1052" s="45">
        <f>ROUNDDOWN(D1052*F1052,-3)</f>
        <v>2519052000</v>
      </c>
      <c r="H1052" s="168">
        <v>32000</v>
      </c>
      <c r="I1052" s="150" t="s">
        <v>557</v>
      </c>
      <c r="J1052" s="149" t="s">
        <v>3558</v>
      </c>
      <c r="K1052" s="149" t="s">
        <v>3564</v>
      </c>
      <c r="L1052" s="171">
        <f t="shared" si="22"/>
        <v>2519020000</v>
      </c>
    </row>
    <row r="1053" spans="1:12" ht="26.4" x14ac:dyDescent="0.25">
      <c r="A1053" s="7" t="s">
        <v>4037</v>
      </c>
      <c r="B1053" s="59" t="s">
        <v>2116</v>
      </c>
      <c r="C1053" s="38" t="s">
        <v>4038</v>
      </c>
      <c r="D1053" s="59"/>
      <c r="E1053" s="59"/>
      <c r="F1053" s="39"/>
      <c r="G1053" s="39">
        <v>283477000</v>
      </c>
      <c r="H1053" s="168">
        <v>3000</v>
      </c>
      <c r="I1053" s="150" t="s">
        <v>557</v>
      </c>
      <c r="J1053" s="149" t="s">
        <v>3558</v>
      </c>
      <c r="K1053" s="149" t="s">
        <v>3564</v>
      </c>
      <c r="L1053" s="171">
        <f t="shared" si="22"/>
        <v>283474000</v>
      </c>
    </row>
    <row r="1054" spans="1:12" x14ac:dyDescent="0.25">
      <c r="A1054" s="7" t="s">
        <v>4039</v>
      </c>
      <c r="B1054" s="60">
        <v>512411</v>
      </c>
      <c r="C1054" s="41" t="s">
        <v>88</v>
      </c>
      <c r="D1054" s="60"/>
      <c r="E1054" s="60"/>
      <c r="F1054" s="42"/>
      <c r="G1054" s="42">
        <v>283477000</v>
      </c>
      <c r="H1054" s="165">
        <v>171959000</v>
      </c>
      <c r="I1054" s="150" t="s">
        <v>557</v>
      </c>
      <c r="J1054" s="149" t="s">
        <v>3558</v>
      </c>
      <c r="K1054" s="149" t="s">
        <v>3564</v>
      </c>
      <c r="L1054" s="171">
        <f t="shared" si="22"/>
        <v>111518000</v>
      </c>
    </row>
    <row r="1055" spans="1:12" ht="26.4" x14ac:dyDescent="0.25">
      <c r="A1055" s="7" t="s">
        <v>4040</v>
      </c>
      <c r="B1055" s="61"/>
      <c r="C1055" s="44" t="s">
        <v>4036</v>
      </c>
      <c r="D1055" s="61">
        <v>10</v>
      </c>
      <c r="E1055" s="61" t="s">
        <v>2120</v>
      </c>
      <c r="F1055" s="45">
        <v>28347700</v>
      </c>
      <c r="G1055" s="45">
        <f>ROUNDDOWN(D1055*F1055,-3)</f>
        <v>283477000</v>
      </c>
      <c r="H1055" s="168">
        <v>147267000</v>
      </c>
      <c r="I1055" s="150" t="s">
        <v>557</v>
      </c>
      <c r="J1055" s="149" t="s">
        <v>3558</v>
      </c>
      <c r="K1055" s="149" t="s">
        <v>3564</v>
      </c>
      <c r="L1055" s="171">
        <f t="shared" si="22"/>
        <v>136210000</v>
      </c>
    </row>
    <row r="1056" spans="1:12" x14ac:dyDescent="0.25">
      <c r="A1056" s="7" t="s">
        <v>1806</v>
      </c>
      <c r="B1056" s="59" t="s">
        <v>1807</v>
      </c>
      <c r="C1056" s="38" t="s">
        <v>1808</v>
      </c>
      <c r="D1056" s="59"/>
      <c r="E1056" s="59"/>
      <c r="F1056" s="39"/>
      <c r="G1056" s="39">
        <v>6155047000</v>
      </c>
      <c r="H1056" s="168">
        <v>12494000</v>
      </c>
      <c r="I1056" s="150" t="s">
        <v>557</v>
      </c>
      <c r="J1056" s="149" t="s">
        <v>3558</v>
      </c>
      <c r="K1056" s="149" t="s">
        <v>3564</v>
      </c>
      <c r="L1056" s="171">
        <f t="shared" si="22"/>
        <v>6142553000</v>
      </c>
    </row>
    <row r="1057" spans="1:12" x14ac:dyDescent="0.25">
      <c r="A1057" s="7" t="s">
        <v>1809</v>
      </c>
      <c r="B1057" s="60">
        <v>511111</v>
      </c>
      <c r="C1057" s="41" t="s">
        <v>77</v>
      </c>
      <c r="D1057" s="60"/>
      <c r="E1057" s="60"/>
      <c r="F1057" s="42"/>
      <c r="G1057" s="42">
        <v>2483477000</v>
      </c>
      <c r="H1057" s="168">
        <v>12198000</v>
      </c>
      <c r="I1057" s="150" t="s">
        <v>557</v>
      </c>
      <c r="J1057" s="149" t="s">
        <v>3558</v>
      </c>
      <c r="K1057" s="149" t="s">
        <v>3564</v>
      </c>
      <c r="L1057" s="171">
        <f t="shared" si="22"/>
        <v>2471279000</v>
      </c>
    </row>
    <row r="1058" spans="1:12" x14ac:dyDescent="0.25">
      <c r="A1058" s="7" t="s">
        <v>1810</v>
      </c>
      <c r="B1058" s="192"/>
      <c r="C1058" s="191" t="s">
        <v>3987</v>
      </c>
      <c r="D1058" s="192">
        <v>1</v>
      </c>
      <c r="E1058" s="192" t="s">
        <v>97</v>
      </c>
      <c r="F1058" s="193">
        <v>180000000</v>
      </c>
      <c r="G1058" s="45">
        <f>ROUNDDOWN(D1058*F1058,-3)</f>
        <v>180000000</v>
      </c>
      <c r="H1058" s="165">
        <v>46700000</v>
      </c>
      <c r="I1058" s="150" t="s">
        <v>557</v>
      </c>
      <c r="J1058" s="149" t="s">
        <v>3558</v>
      </c>
      <c r="K1058" s="149" t="s">
        <v>3564</v>
      </c>
      <c r="L1058" s="171">
        <f t="shared" si="22"/>
        <v>133300000</v>
      </c>
    </row>
    <row r="1059" spans="1:12" x14ac:dyDescent="0.25">
      <c r="A1059" s="7" t="s">
        <v>1811</v>
      </c>
      <c r="B1059" s="61"/>
      <c r="C1059" s="44" t="s">
        <v>3988</v>
      </c>
      <c r="D1059" s="61">
        <v>1</v>
      </c>
      <c r="E1059" s="61" t="s">
        <v>60</v>
      </c>
      <c r="F1059" s="45">
        <v>2123477000</v>
      </c>
      <c r="G1059" s="45">
        <f>ROUNDDOWN(D1059*F1059,-3)</f>
        <v>2123477000</v>
      </c>
      <c r="H1059" s="168">
        <v>3282000</v>
      </c>
      <c r="I1059" s="150" t="s">
        <v>557</v>
      </c>
      <c r="J1059" s="149" t="s">
        <v>3558</v>
      </c>
      <c r="K1059" s="149" t="s">
        <v>3564</v>
      </c>
      <c r="L1059" s="171">
        <f t="shared" si="22"/>
        <v>2120195000</v>
      </c>
    </row>
    <row r="1060" spans="1:12" x14ac:dyDescent="0.25">
      <c r="A1060" s="7" t="s">
        <v>1812</v>
      </c>
      <c r="B1060" s="61"/>
      <c r="C1060" s="44" t="s">
        <v>3989</v>
      </c>
      <c r="D1060" s="61">
        <v>1</v>
      </c>
      <c r="E1060" s="61" t="s">
        <v>97</v>
      </c>
      <c r="F1060" s="45">
        <v>180000000</v>
      </c>
      <c r="G1060" s="45">
        <f>ROUNDDOWN(D1060*F1060,-3)</f>
        <v>180000000</v>
      </c>
      <c r="H1060" s="168">
        <v>40080000</v>
      </c>
      <c r="I1060" s="150" t="s">
        <v>557</v>
      </c>
      <c r="J1060" s="149" t="s">
        <v>3558</v>
      </c>
      <c r="K1060" s="149" t="s">
        <v>3564</v>
      </c>
      <c r="L1060" s="171">
        <f t="shared" si="22"/>
        <v>139920000</v>
      </c>
    </row>
    <row r="1061" spans="1:12" x14ac:dyDescent="0.25">
      <c r="A1061" s="7" t="s">
        <v>1813</v>
      </c>
      <c r="B1061" s="60">
        <v>511119</v>
      </c>
      <c r="C1061" s="41" t="s">
        <v>79</v>
      </c>
      <c r="D1061" s="60"/>
      <c r="E1061" s="60"/>
      <c r="F1061" s="42"/>
      <c r="G1061" s="42">
        <v>38000</v>
      </c>
      <c r="H1061" s="168">
        <v>3338000</v>
      </c>
      <c r="I1061" s="150" t="s">
        <v>557</v>
      </c>
      <c r="J1061" s="149" t="s">
        <v>3558</v>
      </c>
      <c r="K1061" s="149" t="s">
        <v>3564</v>
      </c>
      <c r="L1061" s="171">
        <f t="shared" si="22"/>
        <v>-3300000</v>
      </c>
    </row>
    <row r="1062" spans="1:12" x14ac:dyDescent="0.25">
      <c r="A1062" s="7" t="s">
        <v>1814</v>
      </c>
      <c r="B1062" s="192"/>
      <c r="C1062" s="191" t="s">
        <v>3990</v>
      </c>
      <c r="D1062" s="192">
        <v>1</v>
      </c>
      <c r="E1062" s="192" t="s">
        <v>97</v>
      </c>
      <c r="F1062" s="193">
        <v>3000</v>
      </c>
      <c r="G1062" s="45">
        <f>ROUNDDOWN(D1062*F1062,-3)</f>
        <v>3000</v>
      </c>
      <c r="H1062" s="165">
        <v>158000000</v>
      </c>
      <c r="I1062" s="150" t="s">
        <v>557</v>
      </c>
      <c r="J1062" s="149" t="s">
        <v>3558</v>
      </c>
      <c r="K1062" s="149" t="s">
        <v>3564</v>
      </c>
      <c r="L1062" s="171">
        <f t="shared" si="22"/>
        <v>-157997000</v>
      </c>
    </row>
    <row r="1063" spans="1:12" x14ac:dyDescent="0.25">
      <c r="A1063" s="7" t="s">
        <v>1815</v>
      </c>
      <c r="B1063" s="61"/>
      <c r="C1063" s="44" t="s">
        <v>3991</v>
      </c>
      <c r="D1063" s="61">
        <v>1</v>
      </c>
      <c r="E1063" s="61" t="s">
        <v>153</v>
      </c>
      <c r="F1063" s="45">
        <v>32000</v>
      </c>
      <c r="G1063" s="45">
        <f>ROUNDDOWN(D1063*F1063,-3)</f>
        <v>32000</v>
      </c>
      <c r="H1063" s="168">
        <v>12070000</v>
      </c>
      <c r="I1063" s="150" t="s">
        <v>557</v>
      </c>
      <c r="J1063" s="149" t="s">
        <v>3558</v>
      </c>
      <c r="K1063" s="149" t="s">
        <v>3564</v>
      </c>
      <c r="L1063" s="171">
        <f t="shared" si="22"/>
        <v>-12038000</v>
      </c>
    </row>
    <row r="1064" spans="1:12" x14ac:dyDescent="0.25">
      <c r="A1064" s="7" t="s">
        <v>1816</v>
      </c>
      <c r="B1064" s="61"/>
      <c r="C1064" s="44" t="s">
        <v>3992</v>
      </c>
      <c r="D1064" s="61">
        <v>1</v>
      </c>
      <c r="E1064" s="61" t="s">
        <v>97</v>
      </c>
      <c r="F1064" s="45">
        <v>3000</v>
      </c>
      <c r="G1064" s="45">
        <f>ROUNDDOWN(D1064*F1064,-3)</f>
        <v>3000</v>
      </c>
      <c r="H1064" s="168">
        <v>133860000</v>
      </c>
      <c r="I1064" s="150" t="s">
        <v>557</v>
      </c>
      <c r="J1064" s="149" t="s">
        <v>3558</v>
      </c>
      <c r="K1064" s="149" t="s">
        <v>3564</v>
      </c>
      <c r="L1064" s="171">
        <f t="shared" si="22"/>
        <v>-133857000</v>
      </c>
    </row>
    <row r="1065" spans="1:12" x14ac:dyDescent="0.25">
      <c r="A1065" s="7" t="s">
        <v>1817</v>
      </c>
      <c r="B1065" s="60">
        <v>511121</v>
      </c>
      <c r="C1065" s="41" t="s">
        <v>80</v>
      </c>
      <c r="D1065" s="60"/>
      <c r="E1065" s="60"/>
      <c r="F1065" s="42"/>
      <c r="G1065" s="42">
        <v>171959000</v>
      </c>
      <c r="H1065" s="168">
        <v>12070000</v>
      </c>
      <c r="I1065" s="150" t="s">
        <v>557</v>
      </c>
      <c r="J1065" s="149" t="s">
        <v>3558</v>
      </c>
      <c r="K1065" s="149" t="s">
        <v>3564</v>
      </c>
      <c r="L1065" s="171">
        <f t="shared" si="22"/>
        <v>159889000</v>
      </c>
    </row>
    <row r="1066" spans="1:12" x14ac:dyDescent="0.25">
      <c r="A1066" s="7" t="s">
        <v>1818</v>
      </c>
      <c r="B1066" s="192"/>
      <c r="C1066" s="191" t="s">
        <v>3993</v>
      </c>
      <c r="D1066" s="192">
        <v>1</v>
      </c>
      <c r="E1066" s="192" t="s">
        <v>153</v>
      </c>
      <c r="F1066" s="193">
        <v>147267000</v>
      </c>
      <c r="G1066" s="45">
        <f>ROUNDDOWN(D1066*F1066,-3)</f>
        <v>147267000</v>
      </c>
      <c r="H1066" s="165">
        <v>48180000</v>
      </c>
      <c r="I1066" s="150" t="s">
        <v>557</v>
      </c>
      <c r="J1066" s="149" t="s">
        <v>3558</v>
      </c>
      <c r="K1066" s="149" t="s">
        <v>3564</v>
      </c>
      <c r="L1066" s="171">
        <f t="shared" si="22"/>
        <v>99087000</v>
      </c>
    </row>
    <row r="1067" spans="1:12" x14ac:dyDescent="0.25">
      <c r="A1067" s="7" t="s">
        <v>1819</v>
      </c>
      <c r="B1067" s="61"/>
      <c r="C1067" s="44" t="s">
        <v>3994</v>
      </c>
      <c r="D1067" s="61">
        <v>1</v>
      </c>
      <c r="E1067" s="61" t="s">
        <v>97</v>
      </c>
      <c r="F1067" s="45">
        <v>12494000</v>
      </c>
      <c r="G1067" s="45">
        <f>ROUNDDOWN(D1067*F1067,-3)</f>
        <v>12494000</v>
      </c>
      <c r="H1067" s="168">
        <v>2000000</v>
      </c>
      <c r="I1067" s="150" t="s">
        <v>557</v>
      </c>
      <c r="J1067" s="149" t="s">
        <v>3558</v>
      </c>
      <c r="K1067" s="149" t="s">
        <v>3564</v>
      </c>
      <c r="L1067" s="171">
        <f t="shared" si="22"/>
        <v>10494000</v>
      </c>
    </row>
    <row r="1068" spans="1:12" x14ac:dyDescent="0.25">
      <c r="A1068" s="7" t="s">
        <v>1820</v>
      </c>
      <c r="B1068" s="61"/>
      <c r="C1068" s="44" t="s">
        <v>3995</v>
      </c>
      <c r="D1068" s="61">
        <v>1</v>
      </c>
      <c r="E1068" s="61" t="s">
        <v>97</v>
      </c>
      <c r="F1068" s="45">
        <v>12198000</v>
      </c>
      <c r="G1068" s="45">
        <f>ROUNDDOWN(D1068*F1068,-3)</f>
        <v>12198000</v>
      </c>
      <c r="H1068" s="168">
        <v>44180000</v>
      </c>
      <c r="I1068" s="150" t="s">
        <v>557</v>
      </c>
      <c r="J1068" s="149" t="s">
        <v>3558</v>
      </c>
      <c r="K1068" s="149" t="s">
        <v>3564</v>
      </c>
      <c r="L1068" s="171">
        <f t="shared" si="22"/>
        <v>-31982000</v>
      </c>
    </row>
    <row r="1069" spans="1:12" x14ac:dyDescent="0.25">
      <c r="A1069" s="7" t="s">
        <v>1821</v>
      </c>
      <c r="B1069" s="60">
        <v>511122</v>
      </c>
      <c r="C1069" s="41" t="s">
        <v>81</v>
      </c>
      <c r="D1069" s="60"/>
      <c r="E1069" s="60"/>
      <c r="F1069" s="42"/>
      <c r="G1069" s="42">
        <v>46700000</v>
      </c>
      <c r="H1069" s="168">
        <v>2000000</v>
      </c>
      <c r="I1069" s="150" t="s">
        <v>557</v>
      </c>
      <c r="J1069" s="149" t="s">
        <v>3558</v>
      </c>
      <c r="K1069" s="149" t="s">
        <v>3564</v>
      </c>
      <c r="L1069" s="171">
        <f t="shared" si="22"/>
        <v>44700000</v>
      </c>
    </row>
    <row r="1070" spans="1:12" x14ac:dyDescent="0.25">
      <c r="A1070" s="7" t="s">
        <v>1822</v>
      </c>
      <c r="B1070" s="192"/>
      <c r="C1070" s="191" t="s">
        <v>3996</v>
      </c>
      <c r="D1070" s="192">
        <v>1</v>
      </c>
      <c r="E1070" s="192" t="s">
        <v>97</v>
      </c>
      <c r="F1070" s="193">
        <v>3282000</v>
      </c>
      <c r="G1070" s="45">
        <f>ROUNDDOWN(D1070*F1070,-3)</f>
        <v>3282000</v>
      </c>
      <c r="H1070" s="165">
        <v>13133000</v>
      </c>
      <c r="I1070" s="150" t="s">
        <v>557</v>
      </c>
      <c r="J1070" s="149" t="s">
        <v>3558</v>
      </c>
      <c r="K1070" s="149" t="s">
        <v>3564</v>
      </c>
      <c r="L1070" s="171">
        <f t="shared" si="22"/>
        <v>-9851000</v>
      </c>
    </row>
    <row r="1071" spans="1:12" x14ac:dyDescent="0.25">
      <c r="A1071" s="7" t="s">
        <v>1823</v>
      </c>
      <c r="B1071" s="61"/>
      <c r="C1071" s="44" t="s">
        <v>3997</v>
      </c>
      <c r="D1071" s="61">
        <v>1</v>
      </c>
      <c r="E1071" s="61" t="s">
        <v>153</v>
      </c>
      <c r="F1071" s="45">
        <v>40080000</v>
      </c>
      <c r="G1071" s="45">
        <f>ROUNDDOWN(D1071*F1071,-3)</f>
        <v>40080000</v>
      </c>
      <c r="H1071" s="168">
        <v>3360000</v>
      </c>
      <c r="I1071" s="150" t="s">
        <v>557</v>
      </c>
      <c r="J1071" s="149" t="s">
        <v>3558</v>
      </c>
      <c r="K1071" s="149" t="s">
        <v>3564</v>
      </c>
      <c r="L1071" s="171">
        <f t="shared" si="22"/>
        <v>36720000</v>
      </c>
    </row>
    <row r="1072" spans="1:12" x14ac:dyDescent="0.25">
      <c r="A1072" s="7" t="s">
        <v>1824</v>
      </c>
      <c r="B1072" s="61"/>
      <c r="C1072" s="44" t="s">
        <v>3998</v>
      </c>
      <c r="D1072" s="61">
        <v>1</v>
      </c>
      <c r="E1072" s="61" t="s">
        <v>97</v>
      </c>
      <c r="F1072" s="45">
        <v>3338000</v>
      </c>
      <c r="G1072" s="45">
        <f>ROUNDDOWN(D1072*F1072,-3)</f>
        <v>3338000</v>
      </c>
      <c r="H1072" s="168">
        <v>6407000</v>
      </c>
      <c r="I1072" s="150" t="s">
        <v>557</v>
      </c>
      <c r="J1072" s="149" t="s">
        <v>3558</v>
      </c>
      <c r="K1072" s="149" t="s">
        <v>3564</v>
      </c>
      <c r="L1072" s="171">
        <f t="shared" si="22"/>
        <v>-3069000</v>
      </c>
    </row>
    <row r="1073" spans="1:12" x14ac:dyDescent="0.25">
      <c r="A1073" s="7" t="s">
        <v>1825</v>
      </c>
      <c r="B1073" s="60">
        <v>511123</v>
      </c>
      <c r="C1073" s="41" t="s">
        <v>82</v>
      </c>
      <c r="D1073" s="60"/>
      <c r="E1073" s="60"/>
      <c r="F1073" s="42"/>
      <c r="G1073" s="42">
        <v>158000000</v>
      </c>
      <c r="H1073" s="168">
        <v>3366000</v>
      </c>
      <c r="I1073" s="150" t="s">
        <v>557</v>
      </c>
      <c r="J1073" s="149" t="s">
        <v>3558</v>
      </c>
      <c r="K1073" s="149" t="s">
        <v>3564</v>
      </c>
      <c r="L1073" s="171">
        <f t="shared" si="22"/>
        <v>154634000</v>
      </c>
    </row>
    <row r="1074" spans="1:12" x14ac:dyDescent="0.25">
      <c r="A1074" s="7" t="s">
        <v>1826</v>
      </c>
      <c r="B1074" s="192"/>
      <c r="C1074" s="191" t="s">
        <v>3999</v>
      </c>
      <c r="D1074" s="192">
        <v>1</v>
      </c>
      <c r="E1074" s="192" t="s">
        <v>97</v>
      </c>
      <c r="F1074" s="193">
        <v>12070000</v>
      </c>
      <c r="G1074" s="45">
        <f>ROUNDDOWN(D1074*F1074,-3)</f>
        <v>12070000</v>
      </c>
      <c r="H1074" s="165">
        <v>130333000</v>
      </c>
      <c r="I1074" s="150" t="s">
        <v>557</v>
      </c>
      <c r="J1074" s="149" t="s">
        <v>3558</v>
      </c>
      <c r="K1074" s="149" t="s">
        <v>3564</v>
      </c>
      <c r="L1074" s="171">
        <f t="shared" si="22"/>
        <v>-118263000</v>
      </c>
    </row>
    <row r="1075" spans="1:12" x14ac:dyDescent="0.25">
      <c r="A1075" s="7" t="s">
        <v>1827</v>
      </c>
      <c r="B1075" s="61"/>
      <c r="C1075" s="44" t="s">
        <v>4000</v>
      </c>
      <c r="D1075" s="61">
        <v>1</v>
      </c>
      <c r="E1075" s="61" t="s">
        <v>60</v>
      </c>
      <c r="F1075" s="45">
        <v>133860000</v>
      </c>
      <c r="G1075" s="45">
        <f>ROUNDDOWN(D1075*F1075,-3)</f>
        <v>133860000</v>
      </c>
      <c r="H1075" s="168">
        <v>130333000</v>
      </c>
      <c r="I1075" s="150" t="s">
        <v>557</v>
      </c>
      <c r="J1075" s="149" t="s">
        <v>3558</v>
      </c>
      <c r="K1075" s="149" t="s">
        <v>3564</v>
      </c>
      <c r="L1075" s="171">
        <f t="shared" si="22"/>
        <v>3527000</v>
      </c>
    </row>
    <row r="1076" spans="1:12" x14ac:dyDescent="0.25">
      <c r="A1076" s="7" t="s">
        <v>1828</v>
      </c>
      <c r="B1076" s="192"/>
      <c r="C1076" s="191" t="s">
        <v>4001</v>
      </c>
      <c r="D1076" s="192">
        <v>1</v>
      </c>
      <c r="E1076" s="192" t="s">
        <v>97</v>
      </c>
      <c r="F1076" s="193">
        <v>12070000</v>
      </c>
      <c r="G1076" s="45">
        <f>ROUNDDOWN(D1076*F1076,-3)</f>
        <v>12070000</v>
      </c>
      <c r="H1076" s="165">
        <v>379379000</v>
      </c>
      <c r="I1076" s="150" t="s">
        <v>557</v>
      </c>
      <c r="J1076" s="149" t="s">
        <v>3558</v>
      </c>
      <c r="K1076" s="149" t="s">
        <v>3564</v>
      </c>
      <c r="L1076" s="171">
        <f t="shared" si="22"/>
        <v>-367309000</v>
      </c>
    </row>
    <row r="1077" spans="1:12" x14ac:dyDescent="0.25">
      <c r="A1077" s="7" t="s">
        <v>1829</v>
      </c>
      <c r="B1077" s="60">
        <v>511124</v>
      </c>
      <c r="C1077" s="41" t="s">
        <v>83</v>
      </c>
      <c r="D1077" s="60"/>
      <c r="E1077" s="60"/>
      <c r="F1077" s="42"/>
      <c r="G1077" s="42">
        <v>48180000</v>
      </c>
      <c r="H1077" s="168">
        <v>379379000</v>
      </c>
      <c r="I1077" s="150" t="s">
        <v>557</v>
      </c>
      <c r="J1077" s="149" t="s">
        <v>3558</v>
      </c>
      <c r="K1077" s="149" t="s">
        <v>3564</v>
      </c>
      <c r="L1077" s="171">
        <f t="shared" si="22"/>
        <v>-331199000</v>
      </c>
    </row>
    <row r="1078" spans="1:12" x14ac:dyDescent="0.25">
      <c r="A1078" s="7" t="s">
        <v>1830</v>
      </c>
      <c r="B1078" s="192"/>
      <c r="C1078" s="191" t="s">
        <v>4002</v>
      </c>
      <c r="D1078" s="192">
        <v>1</v>
      </c>
      <c r="E1078" s="192" t="s">
        <v>97</v>
      </c>
      <c r="F1078" s="193">
        <v>2000000</v>
      </c>
      <c r="G1078" s="45">
        <f>ROUNDDOWN(D1078*F1078,-3)</f>
        <v>2000000</v>
      </c>
      <c r="H1078" s="165">
        <v>88360000</v>
      </c>
      <c r="I1078" s="150" t="s">
        <v>557</v>
      </c>
      <c r="J1078" s="149" t="s">
        <v>3558</v>
      </c>
      <c r="K1078" s="149" t="s">
        <v>3564</v>
      </c>
      <c r="L1078" s="171">
        <f t="shared" si="22"/>
        <v>-86360000</v>
      </c>
    </row>
    <row r="1079" spans="1:12" x14ac:dyDescent="0.25">
      <c r="A1079" s="7" t="s">
        <v>1831</v>
      </c>
      <c r="B1079" s="61"/>
      <c r="C1079" s="44" t="s">
        <v>4003</v>
      </c>
      <c r="D1079" s="61">
        <v>1</v>
      </c>
      <c r="E1079" s="61" t="s">
        <v>60</v>
      </c>
      <c r="F1079" s="45">
        <v>44180000</v>
      </c>
      <c r="G1079" s="45">
        <f>ROUNDDOWN(D1079*F1079,-3)</f>
        <v>44180000</v>
      </c>
      <c r="H1079" s="168">
        <v>6655000</v>
      </c>
      <c r="I1079" s="150" t="s">
        <v>557</v>
      </c>
      <c r="J1079" s="149" t="s">
        <v>3558</v>
      </c>
      <c r="K1079" s="149" t="s">
        <v>3564</v>
      </c>
      <c r="L1079" s="171">
        <f t="shared" si="22"/>
        <v>37525000</v>
      </c>
    </row>
    <row r="1080" spans="1:12" x14ac:dyDescent="0.25">
      <c r="A1080" s="7" t="s">
        <v>1832</v>
      </c>
      <c r="B1080" s="61"/>
      <c r="C1080" s="44" t="s">
        <v>4004</v>
      </c>
      <c r="D1080" s="61">
        <v>1</v>
      </c>
      <c r="E1080" s="61" t="s">
        <v>97</v>
      </c>
      <c r="F1080" s="45">
        <v>2000000</v>
      </c>
      <c r="G1080" s="45">
        <f>ROUNDDOWN(D1080*F1080,-3)</f>
        <v>2000000</v>
      </c>
      <c r="H1080" s="168">
        <v>75605000</v>
      </c>
      <c r="I1080" s="150" t="s">
        <v>557</v>
      </c>
      <c r="J1080" s="149" t="s">
        <v>3558</v>
      </c>
      <c r="K1080" s="149" t="s">
        <v>3564</v>
      </c>
      <c r="L1080" s="171">
        <f t="shared" si="22"/>
        <v>-73605000</v>
      </c>
    </row>
    <row r="1081" spans="1:12" x14ac:dyDescent="0.25">
      <c r="A1081" s="7" t="s">
        <v>1833</v>
      </c>
      <c r="B1081" s="60">
        <v>511125</v>
      </c>
      <c r="C1081" s="41" t="s">
        <v>84</v>
      </c>
      <c r="D1081" s="60"/>
      <c r="E1081" s="60"/>
      <c r="F1081" s="42"/>
      <c r="G1081" s="42">
        <v>13133000</v>
      </c>
      <c r="H1081" s="168">
        <v>6100000</v>
      </c>
      <c r="I1081" s="150" t="s">
        <v>557</v>
      </c>
      <c r="J1081" s="149" t="s">
        <v>3558</v>
      </c>
      <c r="K1081" s="149" t="s">
        <v>3564</v>
      </c>
      <c r="L1081" s="171">
        <f t="shared" si="22"/>
        <v>7033000</v>
      </c>
    </row>
    <row r="1082" spans="1:12" x14ac:dyDescent="0.25">
      <c r="A1082" s="7" t="s">
        <v>1834</v>
      </c>
      <c r="B1082" s="192"/>
      <c r="C1082" s="191" t="s">
        <v>4005</v>
      </c>
      <c r="D1082" s="192">
        <v>1</v>
      </c>
      <c r="E1082" s="192" t="s">
        <v>97</v>
      </c>
      <c r="F1082" s="193">
        <v>3360000</v>
      </c>
      <c r="G1082" s="45">
        <f>ROUNDDOWN(D1082*F1082,-3)</f>
        <v>3360000</v>
      </c>
      <c r="H1082" s="165">
        <v>2959437000</v>
      </c>
      <c r="I1082" s="150" t="s">
        <v>557</v>
      </c>
      <c r="J1082" s="149" t="s">
        <v>3558</v>
      </c>
      <c r="K1082" s="149" t="s">
        <v>3564</v>
      </c>
      <c r="L1082" s="171">
        <f t="shared" si="22"/>
        <v>-2956077000</v>
      </c>
    </row>
    <row r="1083" spans="1:12" x14ac:dyDescent="0.25">
      <c r="A1083" s="7" t="s">
        <v>1835</v>
      </c>
      <c r="B1083" s="61"/>
      <c r="C1083" s="44" t="s">
        <v>4006</v>
      </c>
      <c r="D1083" s="61">
        <v>1</v>
      </c>
      <c r="E1083" s="61" t="s">
        <v>153</v>
      </c>
      <c r="F1083" s="45">
        <v>6407000</v>
      </c>
      <c r="G1083" s="45">
        <f>ROUNDDOWN(D1083*F1083,-3)</f>
        <v>6407000</v>
      </c>
      <c r="H1083" s="168">
        <v>2959437000</v>
      </c>
      <c r="I1083" s="150" t="s">
        <v>557</v>
      </c>
      <c r="J1083" s="149" t="s">
        <v>3558</v>
      </c>
      <c r="K1083" s="149" t="s">
        <v>3564</v>
      </c>
      <c r="L1083" s="171">
        <f t="shared" si="22"/>
        <v>-2953030000</v>
      </c>
    </row>
    <row r="1084" spans="1:12" x14ac:dyDescent="0.25">
      <c r="A1084" s="7" t="s">
        <v>1836</v>
      </c>
      <c r="B1084" s="195"/>
      <c r="C1084" s="194" t="s">
        <v>4007</v>
      </c>
      <c r="D1084" s="195">
        <v>1</v>
      </c>
      <c r="E1084" s="195" t="s">
        <v>97</v>
      </c>
      <c r="F1084" s="196">
        <v>3366000</v>
      </c>
      <c r="G1084" s="45">
        <f>ROUNDDOWN(D1084*F1084,-3)</f>
        <v>3366000</v>
      </c>
      <c r="H1084" s="165">
        <v>25774658000</v>
      </c>
      <c r="I1084" s="150"/>
      <c r="J1084" s="149"/>
      <c r="K1084" s="149"/>
      <c r="L1084" s="171">
        <f t="shared" si="22"/>
        <v>-25771292000</v>
      </c>
    </row>
    <row r="1085" spans="1:12" x14ac:dyDescent="0.25">
      <c r="A1085" s="7" t="s">
        <v>1837</v>
      </c>
      <c r="B1085" s="60">
        <v>511126</v>
      </c>
      <c r="C1085" s="41" t="s">
        <v>85</v>
      </c>
      <c r="D1085" s="60"/>
      <c r="E1085" s="60"/>
      <c r="F1085" s="42"/>
      <c r="G1085" s="42">
        <v>130333000</v>
      </c>
      <c r="H1085" s="165">
        <v>4061938000</v>
      </c>
      <c r="I1085" s="150" t="s">
        <v>3552</v>
      </c>
      <c r="J1085" s="149" t="s">
        <v>3564</v>
      </c>
      <c r="K1085" s="149" t="s">
        <v>3570</v>
      </c>
      <c r="L1085" s="171">
        <f t="shared" si="22"/>
        <v>-3931605000</v>
      </c>
    </row>
    <row r="1086" spans="1:12" x14ac:dyDescent="0.25">
      <c r="A1086" s="7" t="s">
        <v>1838</v>
      </c>
      <c r="B1086" s="192"/>
      <c r="C1086" s="191" t="s">
        <v>4008</v>
      </c>
      <c r="D1086" s="192">
        <v>1</v>
      </c>
      <c r="E1086" s="192" t="s">
        <v>60</v>
      </c>
      <c r="F1086" s="193">
        <v>130333000</v>
      </c>
      <c r="G1086" s="45">
        <f>ROUNDDOWN(D1086*F1086,-3)</f>
        <v>130333000</v>
      </c>
      <c r="H1086" s="165">
        <v>3839118000</v>
      </c>
      <c r="I1086" s="150" t="s">
        <v>3552</v>
      </c>
      <c r="J1086" s="149" t="s">
        <v>3564</v>
      </c>
      <c r="K1086" s="149" t="s">
        <v>3570</v>
      </c>
      <c r="L1086" s="171">
        <f t="shared" si="22"/>
        <v>-3708785000</v>
      </c>
    </row>
    <row r="1087" spans="1:12" x14ac:dyDescent="0.25">
      <c r="A1087" s="7" t="s">
        <v>1839</v>
      </c>
      <c r="B1087" s="60">
        <v>511129</v>
      </c>
      <c r="C1087" s="41" t="s">
        <v>86</v>
      </c>
      <c r="D1087" s="60"/>
      <c r="E1087" s="60"/>
      <c r="F1087" s="42"/>
      <c r="G1087" s="42">
        <v>379379000</v>
      </c>
      <c r="H1087" s="165">
        <v>1699118000</v>
      </c>
      <c r="I1087" s="150" t="s">
        <v>3552</v>
      </c>
      <c r="J1087" s="149" t="s">
        <v>3564</v>
      </c>
      <c r="K1087" s="149" t="s">
        <v>3570</v>
      </c>
      <c r="L1087" s="171">
        <f t="shared" si="22"/>
        <v>-1319739000</v>
      </c>
    </row>
    <row r="1088" spans="1:12" x14ac:dyDescent="0.25">
      <c r="A1088" s="7" t="s">
        <v>1840</v>
      </c>
      <c r="B1088" s="61"/>
      <c r="C1088" s="44" t="s">
        <v>4009</v>
      </c>
      <c r="D1088" s="61">
        <v>1</v>
      </c>
      <c r="E1088" s="61" t="s">
        <v>153</v>
      </c>
      <c r="F1088" s="45">
        <v>379379000</v>
      </c>
      <c r="G1088" s="45">
        <f>ROUNDDOWN(D1088*F1088,-3)</f>
        <v>379379000</v>
      </c>
      <c r="H1088" s="165">
        <v>600000000</v>
      </c>
      <c r="I1088" s="150" t="s">
        <v>3552</v>
      </c>
      <c r="J1088" s="149" t="s">
        <v>3564</v>
      </c>
      <c r="K1088" s="149" t="s">
        <v>3570</v>
      </c>
      <c r="L1088" s="171">
        <f t="shared" si="22"/>
        <v>-220621000</v>
      </c>
    </row>
    <row r="1089" spans="1:12" x14ac:dyDescent="0.25">
      <c r="A1089" s="7" t="s">
        <v>1841</v>
      </c>
      <c r="B1089" s="60">
        <v>511151</v>
      </c>
      <c r="C1089" s="41" t="s">
        <v>87</v>
      </c>
      <c r="D1089" s="60"/>
      <c r="E1089" s="60"/>
      <c r="F1089" s="42"/>
      <c r="G1089" s="42">
        <v>88360000</v>
      </c>
      <c r="H1089" s="165">
        <v>240000000</v>
      </c>
      <c r="I1089" s="150" t="s">
        <v>3552</v>
      </c>
      <c r="J1089" s="149" t="s">
        <v>3564</v>
      </c>
      <c r="K1089" s="149" t="s">
        <v>3570</v>
      </c>
      <c r="L1089" s="171">
        <f t="shared" si="22"/>
        <v>-151640000</v>
      </c>
    </row>
    <row r="1090" spans="1:12" x14ac:dyDescent="0.25">
      <c r="A1090" s="7" t="s">
        <v>1842</v>
      </c>
      <c r="B1090" s="61"/>
      <c r="C1090" s="44" t="s">
        <v>4010</v>
      </c>
      <c r="D1090" s="61">
        <v>1</v>
      </c>
      <c r="E1090" s="61" t="s">
        <v>97</v>
      </c>
      <c r="F1090" s="45">
        <v>6655000</v>
      </c>
      <c r="G1090" s="45">
        <f>ROUNDDOWN(D1090*F1090,-3)</f>
        <v>6655000</v>
      </c>
      <c r="H1090" s="165">
        <v>240000000</v>
      </c>
      <c r="I1090" s="150" t="s">
        <v>3552</v>
      </c>
      <c r="J1090" s="149" t="s">
        <v>3564</v>
      </c>
      <c r="K1090" s="149" t="s">
        <v>3570</v>
      </c>
      <c r="L1090" s="171">
        <f t="shared" si="22"/>
        <v>-233345000</v>
      </c>
    </row>
    <row r="1091" spans="1:12" x14ac:dyDescent="0.25">
      <c r="A1091" s="7" t="s">
        <v>1843</v>
      </c>
      <c r="B1091" s="61"/>
      <c r="C1091" s="44" t="s">
        <v>4011</v>
      </c>
      <c r="D1091" s="61">
        <v>1</v>
      </c>
      <c r="E1091" s="61" t="s">
        <v>60</v>
      </c>
      <c r="F1091" s="45">
        <v>75605000</v>
      </c>
      <c r="G1091" s="45">
        <f>ROUNDDOWN(D1091*F1091,-3)</f>
        <v>75605000</v>
      </c>
      <c r="H1091" s="165">
        <v>330000000</v>
      </c>
      <c r="I1091" s="150" t="s">
        <v>3552</v>
      </c>
      <c r="J1091" s="149" t="s">
        <v>3564</v>
      </c>
      <c r="K1091" s="149" t="s">
        <v>3570</v>
      </c>
      <c r="L1091" s="171">
        <f t="shared" si="22"/>
        <v>-254395000</v>
      </c>
    </row>
    <row r="1092" spans="1:12" x14ac:dyDescent="0.25">
      <c r="A1092" s="7" t="s">
        <v>1844</v>
      </c>
      <c r="B1092" s="61"/>
      <c r="C1092" s="44" t="s">
        <v>4012</v>
      </c>
      <c r="D1092" s="61">
        <v>1</v>
      </c>
      <c r="E1092" s="61" t="s">
        <v>97</v>
      </c>
      <c r="F1092" s="45">
        <v>6100000</v>
      </c>
      <c r="G1092" s="45">
        <f>ROUNDDOWN(D1092*F1092,-3)</f>
        <v>6100000</v>
      </c>
      <c r="H1092" s="165">
        <v>250000000</v>
      </c>
      <c r="I1092" s="150" t="s">
        <v>3552</v>
      </c>
      <c r="J1092" s="149" t="s">
        <v>3564</v>
      </c>
      <c r="K1092" s="149" t="s">
        <v>3570</v>
      </c>
      <c r="L1092" s="171">
        <f t="shared" si="22"/>
        <v>-243900000</v>
      </c>
    </row>
    <row r="1093" spans="1:12" x14ac:dyDescent="0.25">
      <c r="A1093" s="7" t="s">
        <v>1845</v>
      </c>
      <c r="B1093" s="60">
        <v>512411</v>
      </c>
      <c r="C1093" s="41" t="s">
        <v>88</v>
      </c>
      <c r="D1093" s="60"/>
      <c r="E1093" s="60"/>
      <c r="F1093" s="42"/>
      <c r="G1093" s="42">
        <v>2635488000</v>
      </c>
      <c r="H1093" s="165">
        <v>120000000</v>
      </c>
      <c r="I1093" s="150" t="s">
        <v>3552</v>
      </c>
      <c r="J1093" s="149" t="s">
        <v>3564</v>
      </c>
      <c r="K1093" s="149" t="s">
        <v>3570</v>
      </c>
      <c r="L1093" s="171">
        <f t="shared" si="22"/>
        <v>2515488000</v>
      </c>
    </row>
    <row r="1094" spans="1:12" x14ac:dyDescent="0.25">
      <c r="A1094" s="7" t="s">
        <v>1846</v>
      </c>
      <c r="B1094" s="61"/>
      <c r="C1094" s="44" t="s">
        <v>4013</v>
      </c>
      <c r="D1094" s="61">
        <v>1</v>
      </c>
      <c r="E1094" s="61" t="s">
        <v>153</v>
      </c>
      <c r="F1094" s="45">
        <v>2635488000</v>
      </c>
      <c r="G1094" s="45">
        <f>ROUNDDOWN(D1094*F1094,-3)</f>
        <v>2635488000</v>
      </c>
      <c r="H1094" s="165">
        <v>180000000</v>
      </c>
      <c r="I1094" s="150" t="s">
        <v>3552</v>
      </c>
      <c r="J1094" s="149" t="s">
        <v>3564</v>
      </c>
      <c r="K1094" s="149" t="s">
        <v>3570</v>
      </c>
      <c r="L1094" s="171">
        <f t="shared" si="22"/>
        <v>2455488000</v>
      </c>
    </row>
    <row r="1095" spans="1:12" x14ac:dyDescent="0.25">
      <c r="A1095" s="7" t="s">
        <v>4041</v>
      </c>
      <c r="B1095" s="59" t="s">
        <v>2208</v>
      </c>
      <c r="C1095" s="38" t="s">
        <v>4042</v>
      </c>
      <c r="D1095" s="59"/>
      <c r="E1095" s="59"/>
      <c r="F1095" s="39"/>
      <c r="G1095" s="39">
        <v>323949000</v>
      </c>
      <c r="H1095" s="165">
        <v>180000000</v>
      </c>
      <c r="I1095" s="150" t="s">
        <v>3552</v>
      </c>
      <c r="J1095" s="149" t="s">
        <v>3564</v>
      </c>
      <c r="K1095" s="149" t="s">
        <v>3570</v>
      </c>
      <c r="L1095" s="171">
        <f t="shared" si="22"/>
        <v>143949000</v>
      </c>
    </row>
    <row r="1096" spans="1:12" x14ac:dyDescent="0.25">
      <c r="A1096" s="7" t="s">
        <v>4043</v>
      </c>
      <c r="B1096" s="60">
        <v>512411</v>
      </c>
      <c r="C1096" s="41" t="s">
        <v>88</v>
      </c>
      <c r="D1096" s="60"/>
      <c r="E1096" s="60"/>
      <c r="F1096" s="42"/>
      <c r="G1096" s="42">
        <v>323949000</v>
      </c>
      <c r="H1096" s="165">
        <v>222820000</v>
      </c>
      <c r="I1096" s="150" t="s">
        <v>3552</v>
      </c>
      <c r="J1096" s="149" t="s">
        <v>3564</v>
      </c>
      <c r="K1096" s="149" t="s">
        <v>3570</v>
      </c>
      <c r="L1096" s="171">
        <f t="shared" si="22"/>
        <v>101129000</v>
      </c>
    </row>
    <row r="1097" spans="1:12" x14ac:dyDescent="0.25">
      <c r="A1097" s="7" t="s">
        <v>4044</v>
      </c>
      <c r="B1097" s="61"/>
      <c r="C1097" s="44" t="s">
        <v>4045</v>
      </c>
      <c r="D1097" s="61">
        <v>1</v>
      </c>
      <c r="E1097" s="61" t="s">
        <v>4046</v>
      </c>
      <c r="F1097" s="45">
        <v>323949000</v>
      </c>
      <c r="G1097" s="45">
        <f>ROUNDDOWN(D1097*F1097,-3)</f>
        <v>323949000</v>
      </c>
      <c r="H1097" s="165">
        <v>222820000</v>
      </c>
      <c r="I1097" s="150" t="s">
        <v>3552</v>
      </c>
      <c r="J1097" s="149" t="s">
        <v>3564</v>
      </c>
      <c r="K1097" s="149" t="s">
        <v>3570</v>
      </c>
      <c r="L1097" s="171">
        <f t="shared" si="22"/>
        <v>101129000</v>
      </c>
    </row>
    <row r="1098" spans="1:12" x14ac:dyDescent="0.25">
      <c r="A1098" s="7" t="s">
        <v>1847</v>
      </c>
      <c r="B1098" s="58" t="s">
        <v>557</v>
      </c>
      <c r="C1098" s="35" t="s">
        <v>89</v>
      </c>
      <c r="D1098" s="58">
        <v>0</v>
      </c>
      <c r="E1098" s="58"/>
      <c r="F1098" s="36"/>
      <c r="G1098" s="36">
        <v>25774658000</v>
      </c>
      <c r="H1098" s="165">
        <v>652560000</v>
      </c>
      <c r="I1098" s="150" t="s">
        <v>3552</v>
      </c>
      <c r="J1098" s="149" t="s">
        <v>3564</v>
      </c>
      <c r="K1098" s="149" t="s">
        <v>3570</v>
      </c>
      <c r="L1098" s="171">
        <f t="shared" si="22"/>
        <v>25122098000</v>
      </c>
    </row>
    <row r="1099" spans="1:12" x14ac:dyDescent="0.25">
      <c r="A1099" s="7" t="s">
        <v>1848</v>
      </c>
      <c r="B1099" s="59" t="s">
        <v>558</v>
      </c>
      <c r="C1099" s="38" t="s">
        <v>1849</v>
      </c>
      <c r="D1099" s="59"/>
      <c r="E1099" s="59"/>
      <c r="F1099" s="39"/>
      <c r="G1099" s="39">
        <v>4061938000</v>
      </c>
      <c r="H1099" s="165">
        <v>60000000</v>
      </c>
      <c r="I1099" s="150" t="s">
        <v>3552</v>
      </c>
      <c r="J1099" s="149" t="s">
        <v>3564</v>
      </c>
      <c r="K1099" s="149" t="s">
        <v>3570</v>
      </c>
      <c r="L1099" s="171">
        <f t="shared" si="22"/>
        <v>4001938000</v>
      </c>
    </row>
    <row r="1100" spans="1:12" x14ac:dyDescent="0.25">
      <c r="A1100" s="7" t="s">
        <v>1850</v>
      </c>
      <c r="B1100" s="60">
        <v>521111</v>
      </c>
      <c r="C1100" s="41" t="s">
        <v>90</v>
      </c>
      <c r="D1100" s="60"/>
      <c r="E1100" s="60"/>
      <c r="F1100" s="42"/>
      <c r="G1100" s="42">
        <v>3839118000</v>
      </c>
      <c r="H1100" s="165">
        <v>60000000</v>
      </c>
      <c r="I1100" s="150" t="s">
        <v>3552</v>
      </c>
      <c r="J1100" s="149" t="s">
        <v>3564</v>
      </c>
      <c r="K1100" s="149" t="s">
        <v>3570</v>
      </c>
      <c r="L1100" s="171">
        <f t="shared" si="22"/>
        <v>3779118000</v>
      </c>
    </row>
    <row r="1101" spans="1:12" x14ac:dyDescent="0.25">
      <c r="A1101" s="7" t="s">
        <v>1851</v>
      </c>
      <c r="B1101" s="192"/>
      <c r="C1101" s="191" t="s">
        <v>4047</v>
      </c>
      <c r="D1101" s="192">
        <v>1</v>
      </c>
      <c r="E1101" s="192" t="s">
        <v>1672</v>
      </c>
      <c r="F1101" s="193">
        <v>1699118000</v>
      </c>
      <c r="G1101" s="45">
        <f t="shared" ref="G1101:G1109" si="23">ROUNDDOWN(D1101*F1101,-3)</f>
        <v>1699118000</v>
      </c>
      <c r="H1101" s="165">
        <v>300000000</v>
      </c>
      <c r="I1101" s="150" t="s">
        <v>3552</v>
      </c>
      <c r="J1101" s="149" t="s">
        <v>3564</v>
      </c>
      <c r="K1101" s="149" t="s">
        <v>3570</v>
      </c>
      <c r="L1101" s="171">
        <f t="shared" si="22"/>
        <v>1399118000</v>
      </c>
    </row>
    <row r="1102" spans="1:12" ht="26.4" x14ac:dyDescent="0.25">
      <c r="A1102" s="7" t="s">
        <v>1853</v>
      </c>
      <c r="B1102" s="61"/>
      <c r="C1102" s="44" t="s">
        <v>4048</v>
      </c>
      <c r="D1102" s="61">
        <v>12</v>
      </c>
      <c r="E1102" s="61" t="s">
        <v>1855</v>
      </c>
      <c r="F1102" s="45">
        <v>50000000</v>
      </c>
      <c r="G1102" s="45">
        <f t="shared" si="23"/>
        <v>600000000</v>
      </c>
      <c r="H1102" s="165">
        <v>300000000</v>
      </c>
      <c r="I1102" s="150" t="s">
        <v>3552</v>
      </c>
      <c r="J1102" s="149" t="s">
        <v>3564</v>
      </c>
      <c r="K1102" s="149" t="s">
        <v>3570</v>
      </c>
      <c r="L1102" s="171">
        <f t="shared" ref="L1102:L1165" si="24">G1102-H1102</f>
        <v>300000000</v>
      </c>
    </row>
    <row r="1103" spans="1:12" ht="26.4" x14ac:dyDescent="0.25">
      <c r="A1103" s="7" t="s">
        <v>1856</v>
      </c>
      <c r="B1103" s="192"/>
      <c r="C1103" s="191" t="s">
        <v>4049</v>
      </c>
      <c r="D1103" s="192">
        <v>12</v>
      </c>
      <c r="E1103" s="192" t="s">
        <v>1855</v>
      </c>
      <c r="F1103" s="193">
        <v>20000000</v>
      </c>
      <c r="G1103" s="45">
        <f t="shared" si="23"/>
        <v>240000000</v>
      </c>
      <c r="H1103" s="165">
        <v>292560000</v>
      </c>
      <c r="I1103" s="150" t="s">
        <v>3552</v>
      </c>
      <c r="J1103" s="149" t="s">
        <v>3564</v>
      </c>
      <c r="K1103" s="149" t="s">
        <v>3570</v>
      </c>
      <c r="L1103" s="171">
        <f t="shared" si="24"/>
        <v>-52560000</v>
      </c>
    </row>
    <row r="1104" spans="1:12" ht="26.4" x14ac:dyDescent="0.25">
      <c r="A1104" s="7" t="s">
        <v>1858</v>
      </c>
      <c r="B1104" s="61"/>
      <c r="C1104" s="44" t="s">
        <v>4050</v>
      </c>
      <c r="D1104" s="61">
        <v>12</v>
      </c>
      <c r="E1104" s="61" t="s">
        <v>1855</v>
      </c>
      <c r="F1104" s="45">
        <v>20000000</v>
      </c>
      <c r="G1104" s="45">
        <f t="shared" si="23"/>
        <v>240000000</v>
      </c>
      <c r="H1104" s="165">
        <v>132000000</v>
      </c>
      <c r="I1104" s="150" t="s">
        <v>3552</v>
      </c>
      <c r="J1104" s="149" t="s">
        <v>3564</v>
      </c>
      <c r="K1104" s="149" t="s">
        <v>3570</v>
      </c>
      <c r="L1104" s="171">
        <f t="shared" si="24"/>
        <v>108000000</v>
      </c>
    </row>
    <row r="1105" spans="1:12" x14ac:dyDescent="0.25">
      <c r="A1105" s="7" t="s">
        <v>1860</v>
      </c>
      <c r="B1105" s="61"/>
      <c r="C1105" s="44" t="s">
        <v>4051</v>
      </c>
      <c r="D1105" s="61">
        <v>165</v>
      </c>
      <c r="E1105" s="61" t="s">
        <v>1862</v>
      </c>
      <c r="F1105" s="45">
        <v>2000000</v>
      </c>
      <c r="G1105" s="45">
        <f t="shared" si="23"/>
        <v>330000000</v>
      </c>
      <c r="H1105" s="165">
        <v>160560000</v>
      </c>
      <c r="I1105" s="150" t="s">
        <v>3552</v>
      </c>
      <c r="J1105" s="149" t="s">
        <v>3564</v>
      </c>
      <c r="K1105" s="149" t="s">
        <v>3570</v>
      </c>
      <c r="L1105" s="171">
        <f t="shared" si="24"/>
        <v>169440000</v>
      </c>
    </row>
    <row r="1106" spans="1:12" ht="26.4" x14ac:dyDescent="0.25">
      <c r="A1106" s="7" t="s">
        <v>1863</v>
      </c>
      <c r="B1106" s="192"/>
      <c r="C1106" s="191" t="s">
        <v>4052</v>
      </c>
      <c r="D1106" s="192">
        <v>1</v>
      </c>
      <c r="E1106" s="192" t="s">
        <v>1672</v>
      </c>
      <c r="F1106" s="193">
        <v>250000000</v>
      </c>
      <c r="G1106" s="45">
        <f t="shared" si="23"/>
        <v>250000000</v>
      </c>
      <c r="H1106" s="165">
        <v>2200340000</v>
      </c>
      <c r="I1106" s="150" t="s">
        <v>3552</v>
      </c>
      <c r="J1106" s="149" t="s">
        <v>3564</v>
      </c>
      <c r="K1106" s="149" t="s">
        <v>3570</v>
      </c>
      <c r="L1106" s="171">
        <f t="shared" si="24"/>
        <v>-1950340000</v>
      </c>
    </row>
    <row r="1107" spans="1:12" x14ac:dyDescent="0.25">
      <c r="A1107" s="7" t="s">
        <v>1865</v>
      </c>
      <c r="B1107" s="192"/>
      <c r="C1107" s="191" t="s">
        <v>4053</v>
      </c>
      <c r="D1107" s="192">
        <v>12</v>
      </c>
      <c r="E1107" s="192" t="s">
        <v>97</v>
      </c>
      <c r="F1107" s="193">
        <v>10000000</v>
      </c>
      <c r="G1107" s="45">
        <f t="shared" si="23"/>
        <v>120000000</v>
      </c>
      <c r="H1107" s="165">
        <v>678000000</v>
      </c>
      <c r="I1107" s="150" t="s">
        <v>3552</v>
      </c>
      <c r="J1107" s="149" t="s">
        <v>3564</v>
      </c>
      <c r="K1107" s="149" t="s">
        <v>3570</v>
      </c>
      <c r="L1107" s="171">
        <f t="shared" si="24"/>
        <v>-558000000</v>
      </c>
    </row>
    <row r="1108" spans="1:12" x14ac:dyDescent="0.25">
      <c r="A1108" s="7" t="s">
        <v>1867</v>
      </c>
      <c r="B1108" s="61"/>
      <c r="C1108" s="44" t="s">
        <v>4054</v>
      </c>
      <c r="D1108" s="61">
        <v>72</v>
      </c>
      <c r="E1108" s="61" t="s">
        <v>106</v>
      </c>
      <c r="F1108" s="45">
        <v>2500000</v>
      </c>
      <c r="G1108" s="45">
        <f t="shared" si="23"/>
        <v>180000000</v>
      </c>
      <c r="H1108" s="165">
        <v>360000000</v>
      </c>
      <c r="I1108" s="150" t="s">
        <v>3552</v>
      </c>
      <c r="J1108" s="149" t="s">
        <v>3564</v>
      </c>
      <c r="K1108" s="149" t="s">
        <v>3570</v>
      </c>
      <c r="L1108" s="171">
        <f t="shared" si="24"/>
        <v>-180000000</v>
      </c>
    </row>
    <row r="1109" spans="1:12" ht="26.4" x14ac:dyDescent="0.25">
      <c r="A1109" s="7" t="s">
        <v>1869</v>
      </c>
      <c r="B1109" s="61"/>
      <c r="C1109" s="44" t="s">
        <v>4055</v>
      </c>
      <c r="D1109" s="61">
        <v>72</v>
      </c>
      <c r="E1109" s="61" t="s">
        <v>106</v>
      </c>
      <c r="F1109" s="45">
        <v>2500000</v>
      </c>
      <c r="G1109" s="45">
        <f t="shared" si="23"/>
        <v>180000000</v>
      </c>
      <c r="H1109" s="165">
        <v>18000000</v>
      </c>
      <c r="I1109" s="150" t="s">
        <v>3552</v>
      </c>
      <c r="J1109" s="149" t="s">
        <v>3564</v>
      </c>
      <c r="K1109" s="149" t="s">
        <v>3570</v>
      </c>
      <c r="L1109" s="171">
        <f t="shared" si="24"/>
        <v>162000000</v>
      </c>
    </row>
    <row r="1110" spans="1:12" x14ac:dyDescent="0.25">
      <c r="A1110" s="7" t="s">
        <v>1871</v>
      </c>
      <c r="B1110" s="60">
        <v>521119</v>
      </c>
      <c r="C1110" s="41" t="s">
        <v>92</v>
      </c>
      <c r="D1110" s="60"/>
      <c r="E1110" s="60"/>
      <c r="F1110" s="42"/>
      <c r="G1110" s="42">
        <v>222820000</v>
      </c>
      <c r="H1110" s="165">
        <v>300000000</v>
      </c>
      <c r="I1110" s="150" t="s">
        <v>3552</v>
      </c>
      <c r="J1110" s="149" t="s">
        <v>3564</v>
      </c>
      <c r="K1110" s="149" t="s">
        <v>3570</v>
      </c>
      <c r="L1110" s="171">
        <f t="shared" si="24"/>
        <v>-77180000</v>
      </c>
    </row>
    <row r="1111" spans="1:12" ht="26.4" x14ac:dyDescent="0.25">
      <c r="A1111" s="7" t="s">
        <v>1872</v>
      </c>
      <c r="B1111" s="192"/>
      <c r="C1111" s="191" t="s">
        <v>4056</v>
      </c>
      <c r="D1111" s="192">
        <v>260</v>
      </c>
      <c r="E1111" s="192" t="s">
        <v>1874</v>
      </c>
      <c r="F1111" s="193">
        <v>857000</v>
      </c>
      <c r="G1111" s="45">
        <f>ROUNDDOWN(D1111*F1111,-3)</f>
        <v>222820000</v>
      </c>
      <c r="H1111" s="165">
        <v>33750000</v>
      </c>
      <c r="I1111" s="150" t="s">
        <v>3552</v>
      </c>
      <c r="J1111" s="149" t="s">
        <v>3564</v>
      </c>
      <c r="K1111" s="149" t="s">
        <v>3570</v>
      </c>
      <c r="L1111" s="171">
        <f t="shared" si="24"/>
        <v>189070000</v>
      </c>
    </row>
    <row r="1112" spans="1:12" x14ac:dyDescent="0.25">
      <c r="A1112" s="7" t="s">
        <v>1875</v>
      </c>
      <c r="B1112" s="59" t="s">
        <v>562</v>
      </c>
      <c r="C1112" s="38" t="s">
        <v>93</v>
      </c>
      <c r="D1112" s="59"/>
      <c r="E1112" s="59"/>
      <c r="F1112" s="39"/>
      <c r="G1112" s="39">
        <v>652560000</v>
      </c>
      <c r="H1112" s="165">
        <v>33750000</v>
      </c>
      <c r="I1112" s="150" t="s">
        <v>3552</v>
      </c>
      <c r="J1112" s="149" t="s">
        <v>3564</v>
      </c>
      <c r="K1112" s="149" t="s">
        <v>3570</v>
      </c>
      <c r="L1112" s="171">
        <f t="shared" si="24"/>
        <v>618810000</v>
      </c>
    </row>
    <row r="1113" spans="1:12" x14ac:dyDescent="0.25">
      <c r="A1113" s="7" t="s">
        <v>1876</v>
      </c>
      <c r="B1113" s="60">
        <v>521111</v>
      </c>
      <c r="C1113" s="41" t="s">
        <v>90</v>
      </c>
      <c r="D1113" s="60"/>
      <c r="E1113" s="60"/>
      <c r="F1113" s="42"/>
      <c r="G1113" s="42">
        <v>60000000</v>
      </c>
      <c r="H1113" s="165">
        <v>1302590000</v>
      </c>
      <c r="I1113" s="150" t="s">
        <v>3552</v>
      </c>
      <c r="J1113" s="149" t="s">
        <v>3564</v>
      </c>
      <c r="K1113" s="149" t="s">
        <v>3570</v>
      </c>
      <c r="L1113" s="171">
        <f t="shared" si="24"/>
        <v>-1242590000</v>
      </c>
    </row>
    <row r="1114" spans="1:12" x14ac:dyDescent="0.25">
      <c r="A1114" s="7" t="s">
        <v>1877</v>
      </c>
      <c r="B1114" s="61"/>
      <c r="C1114" s="44" t="s">
        <v>4057</v>
      </c>
      <c r="D1114" s="61">
        <v>12</v>
      </c>
      <c r="E1114" s="61" t="s">
        <v>1855</v>
      </c>
      <c r="F1114" s="45">
        <v>5000000</v>
      </c>
      <c r="G1114" s="45">
        <f>ROUNDDOWN(D1114*F1114,-3)</f>
        <v>60000000</v>
      </c>
      <c r="H1114" s="165">
        <v>98550000</v>
      </c>
      <c r="I1114" s="150" t="s">
        <v>3552</v>
      </c>
      <c r="J1114" s="149" t="s">
        <v>3564</v>
      </c>
      <c r="K1114" s="149" t="s">
        <v>3570</v>
      </c>
      <c r="L1114" s="171">
        <f t="shared" si="24"/>
        <v>-38550000</v>
      </c>
    </row>
    <row r="1115" spans="1:12" x14ac:dyDescent="0.25">
      <c r="A1115" s="7" t="s">
        <v>1879</v>
      </c>
      <c r="B1115" s="60">
        <v>521114</v>
      </c>
      <c r="C1115" s="41" t="s">
        <v>94</v>
      </c>
      <c r="D1115" s="60"/>
      <c r="E1115" s="60"/>
      <c r="F1115" s="42"/>
      <c r="G1115" s="42">
        <v>300000000</v>
      </c>
      <c r="H1115" s="165">
        <v>49500000</v>
      </c>
      <c r="I1115" s="150" t="s">
        <v>3552</v>
      </c>
      <c r="J1115" s="149" t="s">
        <v>3564</v>
      </c>
      <c r="K1115" s="149" t="s">
        <v>3570</v>
      </c>
      <c r="L1115" s="171">
        <f t="shared" si="24"/>
        <v>250500000</v>
      </c>
    </row>
    <row r="1116" spans="1:12" ht="26.4" x14ac:dyDescent="0.25">
      <c r="A1116" s="7" t="s">
        <v>1880</v>
      </c>
      <c r="B1116" s="61"/>
      <c r="C1116" s="44" t="s">
        <v>4058</v>
      </c>
      <c r="D1116" s="61">
        <v>12</v>
      </c>
      <c r="E1116" s="61" t="s">
        <v>97</v>
      </c>
      <c r="F1116" s="45">
        <v>25000000</v>
      </c>
      <c r="G1116" s="45">
        <f>ROUNDDOWN(D1116*F1116,-3)</f>
        <v>300000000</v>
      </c>
      <c r="H1116" s="165">
        <v>13200000</v>
      </c>
      <c r="I1116" s="150" t="s">
        <v>3552</v>
      </c>
      <c r="J1116" s="149" t="s">
        <v>3564</v>
      </c>
      <c r="K1116" s="149" t="s">
        <v>3570</v>
      </c>
      <c r="L1116" s="171">
        <f t="shared" si="24"/>
        <v>286800000</v>
      </c>
    </row>
    <row r="1117" spans="1:12" x14ac:dyDescent="0.25">
      <c r="A1117" s="7" t="s">
        <v>1882</v>
      </c>
      <c r="B1117" s="60">
        <v>522141</v>
      </c>
      <c r="C1117" s="41" t="s">
        <v>95</v>
      </c>
      <c r="D1117" s="60"/>
      <c r="E1117" s="60"/>
      <c r="F1117" s="42"/>
      <c r="G1117" s="42">
        <v>292560000</v>
      </c>
      <c r="H1117" s="165">
        <v>25000000</v>
      </c>
      <c r="I1117" s="150" t="s">
        <v>3552</v>
      </c>
      <c r="J1117" s="149" t="s">
        <v>3564</v>
      </c>
      <c r="K1117" s="149" t="s">
        <v>3570</v>
      </c>
      <c r="L1117" s="171">
        <f t="shared" si="24"/>
        <v>267560000</v>
      </c>
    </row>
    <row r="1118" spans="1:12" x14ac:dyDescent="0.25">
      <c r="A1118" s="7" t="s">
        <v>1883</v>
      </c>
      <c r="B1118" s="61"/>
      <c r="C1118" s="44" t="s">
        <v>4059</v>
      </c>
      <c r="D1118" s="61">
        <v>24</v>
      </c>
      <c r="E1118" s="61" t="s">
        <v>97</v>
      </c>
      <c r="F1118" s="45">
        <v>5500000</v>
      </c>
      <c r="G1118" s="45">
        <f>ROUNDDOWN(D1118*F1118,-3)</f>
        <v>132000000</v>
      </c>
      <c r="H1118" s="165">
        <v>100000000</v>
      </c>
      <c r="I1118" s="150" t="s">
        <v>3552</v>
      </c>
      <c r="J1118" s="149" t="s">
        <v>3564</v>
      </c>
      <c r="K1118" s="149" t="s">
        <v>3570</v>
      </c>
      <c r="L1118" s="171">
        <f t="shared" si="24"/>
        <v>32000000</v>
      </c>
    </row>
    <row r="1119" spans="1:12" x14ac:dyDescent="0.25">
      <c r="A1119" s="7" t="s">
        <v>1885</v>
      </c>
      <c r="B1119" s="61"/>
      <c r="C1119" s="44" t="s">
        <v>4060</v>
      </c>
      <c r="D1119" s="61">
        <v>24</v>
      </c>
      <c r="E1119" s="61" t="s">
        <v>97</v>
      </c>
      <c r="F1119" s="45">
        <v>6690000</v>
      </c>
      <c r="G1119" s="45">
        <f>ROUNDDOWN(D1119*F1119,-3)</f>
        <v>160560000</v>
      </c>
      <c r="H1119" s="165">
        <v>0</v>
      </c>
      <c r="I1119" s="150" t="s">
        <v>3552</v>
      </c>
      <c r="J1119" s="149" t="s">
        <v>3564</v>
      </c>
      <c r="K1119" s="149" t="s">
        <v>3570</v>
      </c>
      <c r="L1119" s="171">
        <f t="shared" si="24"/>
        <v>160560000</v>
      </c>
    </row>
    <row r="1120" spans="1:12" x14ac:dyDescent="0.25">
      <c r="A1120" s="7" t="s">
        <v>1887</v>
      </c>
      <c r="B1120" s="59" t="s">
        <v>565</v>
      </c>
      <c r="C1120" s="38" t="s">
        <v>98</v>
      </c>
      <c r="D1120" s="59"/>
      <c r="E1120" s="59"/>
      <c r="F1120" s="39"/>
      <c r="G1120" s="39">
        <v>2200340000</v>
      </c>
      <c r="H1120" s="165">
        <v>40000000</v>
      </c>
      <c r="I1120" s="150" t="s">
        <v>3552</v>
      </c>
      <c r="J1120" s="149" t="s">
        <v>3564</v>
      </c>
      <c r="K1120" s="149" t="s">
        <v>3570</v>
      </c>
      <c r="L1120" s="171">
        <f t="shared" si="24"/>
        <v>2160340000</v>
      </c>
    </row>
    <row r="1121" spans="1:12" ht="26.4" x14ac:dyDescent="0.25">
      <c r="A1121" s="7" t="s">
        <v>1888</v>
      </c>
      <c r="B1121" s="60">
        <v>521131</v>
      </c>
      <c r="C1121" s="41" t="s">
        <v>1889</v>
      </c>
      <c r="D1121" s="60"/>
      <c r="E1121" s="60"/>
      <c r="F1121" s="42"/>
      <c r="G1121" s="42">
        <v>678000000</v>
      </c>
      <c r="H1121" s="165">
        <v>38730000</v>
      </c>
      <c r="I1121" s="150" t="s">
        <v>3552</v>
      </c>
      <c r="J1121" s="149" t="s">
        <v>3564</v>
      </c>
      <c r="K1121" s="149" t="s">
        <v>3570</v>
      </c>
      <c r="L1121" s="171">
        <f t="shared" si="24"/>
        <v>639270000</v>
      </c>
    </row>
    <row r="1122" spans="1:12" ht="26.4" x14ac:dyDescent="0.25">
      <c r="A1122" s="7" t="s">
        <v>1890</v>
      </c>
      <c r="B1122" s="61"/>
      <c r="C1122" s="44" t="s">
        <v>4061</v>
      </c>
      <c r="D1122" s="61">
        <v>12</v>
      </c>
      <c r="E1122" s="61" t="s">
        <v>52</v>
      </c>
      <c r="F1122" s="45">
        <v>30000000</v>
      </c>
      <c r="G1122" s="45">
        <f>ROUNDDOWN(D1122*F1122,-3)</f>
        <v>360000000</v>
      </c>
      <c r="H1122" s="165">
        <v>403800000</v>
      </c>
      <c r="I1122" s="150" t="s">
        <v>3552</v>
      </c>
      <c r="J1122" s="149" t="s">
        <v>3564</v>
      </c>
      <c r="K1122" s="149" t="s">
        <v>3570</v>
      </c>
      <c r="L1122" s="171">
        <f t="shared" si="24"/>
        <v>-43800000</v>
      </c>
    </row>
    <row r="1123" spans="1:12" ht="26.4" x14ac:dyDescent="0.25">
      <c r="A1123" s="7" t="s">
        <v>1892</v>
      </c>
      <c r="B1123" s="61"/>
      <c r="C1123" s="44" t="s">
        <v>4062</v>
      </c>
      <c r="D1123" s="61">
        <v>12</v>
      </c>
      <c r="E1123" s="61" t="s">
        <v>52</v>
      </c>
      <c r="F1123" s="45">
        <v>1500000</v>
      </c>
      <c r="G1123" s="45">
        <f>ROUNDDOWN(D1123*F1123,-3)</f>
        <v>18000000</v>
      </c>
      <c r="H1123" s="165">
        <v>150000000</v>
      </c>
      <c r="I1123" s="150" t="s">
        <v>3552</v>
      </c>
      <c r="J1123" s="149" t="s">
        <v>3564</v>
      </c>
      <c r="K1123" s="149" t="s">
        <v>3570</v>
      </c>
      <c r="L1123" s="171">
        <f t="shared" si="24"/>
        <v>-132000000</v>
      </c>
    </row>
    <row r="1124" spans="1:12" x14ac:dyDescent="0.25">
      <c r="A1124" s="7" t="s">
        <v>1894</v>
      </c>
      <c r="B1124" s="61"/>
      <c r="C1124" s="44" t="s">
        <v>4063</v>
      </c>
      <c r="D1124" s="61">
        <v>1</v>
      </c>
      <c r="E1124" s="61" t="s">
        <v>1672</v>
      </c>
      <c r="F1124" s="45">
        <v>300000000</v>
      </c>
      <c r="G1124" s="45">
        <f>ROUNDDOWN(D1124*F1124,-3)</f>
        <v>300000000</v>
      </c>
      <c r="H1124" s="165">
        <v>0</v>
      </c>
      <c r="I1124" s="150" t="s">
        <v>3552</v>
      </c>
      <c r="J1124" s="149" t="s">
        <v>3564</v>
      </c>
      <c r="K1124" s="149" t="s">
        <v>3570</v>
      </c>
      <c r="L1124" s="171">
        <f t="shared" si="24"/>
        <v>300000000</v>
      </c>
    </row>
    <row r="1125" spans="1:12" x14ac:dyDescent="0.25">
      <c r="A1125" s="7" t="s">
        <v>1896</v>
      </c>
      <c r="B1125" s="60">
        <v>523111</v>
      </c>
      <c r="C1125" s="41" t="s">
        <v>113</v>
      </c>
      <c r="D1125" s="60"/>
      <c r="E1125" s="60"/>
      <c r="F1125" s="42"/>
      <c r="G1125" s="42">
        <v>33750000</v>
      </c>
      <c r="H1125" s="165">
        <v>98550000</v>
      </c>
      <c r="I1125" s="150" t="s">
        <v>3552</v>
      </c>
      <c r="J1125" s="149" t="s">
        <v>3564</v>
      </c>
      <c r="K1125" s="149" t="s">
        <v>3570</v>
      </c>
      <c r="L1125" s="171">
        <f t="shared" si="24"/>
        <v>-64800000</v>
      </c>
    </row>
    <row r="1126" spans="1:12" x14ac:dyDescent="0.25">
      <c r="A1126" s="7" t="s">
        <v>1897</v>
      </c>
      <c r="B1126" s="61"/>
      <c r="C1126" s="44" t="s">
        <v>4064</v>
      </c>
      <c r="D1126" s="61">
        <v>250</v>
      </c>
      <c r="E1126" s="61" t="s">
        <v>114</v>
      </c>
      <c r="F1126" s="45">
        <v>135000</v>
      </c>
      <c r="G1126" s="45">
        <f>ROUNDDOWN(D1126*F1126,-3)</f>
        <v>33750000</v>
      </c>
      <c r="H1126" s="165">
        <v>91000000</v>
      </c>
      <c r="I1126" s="150" t="s">
        <v>3552</v>
      </c>
      <c r="J1126" s="149" t="s">
        <v>3564</v>
      </c>
      <c r="K1126" s="149" t="s">
        <v>3570</v>
      </c>
      <c r="L1126" s="171">
        <f t="shared" si="24"/>
        <v>-57250000</v>
      </c>
    </row>
    <row r="1127" spans="1:12" x14ac:dyDescent="0.25">
      <c r="A1127" s="7" t="s">
        <v>1899</v>
      </c>
      <c r="B1127" s="60">
        <v>523121</v>
      </c>
      <c r="C1127" s="41" t="s">
        <v>99</v>
      </c>
      <c r="D1127" s="60"/>
      <c r="E1127" s="60"/>
      <c r="F1127" s="42"/>
      <c r="G1127" s="42">
        <v>1302590000</v>
      </c>
      <c r="H1127" s="165">
        <v>93150000</v>
      </c>
      <c r="I1127" s="150" t="s">
        <v>3552</v>
      </c>
      <c r="J1127" s="149" t="s">
        <v>3564</v>
      </c>
      <c r="K1127" s="149" t="s">
        <v>3570</v>
      </c>
      <c r="L1127" s="171">
        <f t="shared" si="24"/>
        <v>1209440000</v>
      </c>
    </row>
    <row r="1128" spans="1:12" x14ac:dyDescent="0.25">
      <c r="A1128" s="7" t="s">
        <v>1900</v>
      </c>
      <c r="B1128" s="61"/>
      <c r="C1128" s="44" t="s">
        <v>4065</v>
      </c>
      <c r="D1128" s="61">
        <v>135</v>
      </c>
      <c r="E1128" s="61" t="s">
        <v>100</v>
      </c>
      <c r="F1128" s="45">
        <v>730000</v>
      </c>
      <c r="G1128" s="45">
        <f t="shared" ref="G1128:G1140" si="25">ROUNDDOWN(D1128*F1128,-3)</f>
        <v>98550000</v>
      </c>
      <c r="H1128" s="165">
        <v>13800000</v>
      </c>
      <c r="I1128" s="150" t="s">
        <v>3552</v>
      </c>
      <c r="J1128" s="149" t="s">
        <v>3564</v>
      </c>
      <c r="K1128" s="149" t="s">
        <v>3570</v>
      </c>
      <c r="L1128" s="171">
        <f t="shared" si="24"/>
        <v>84750000</v>
      </c>
    </row>
    <row r="1129" spans="1:12" x14ac:dyDescent="0.25">
      <c r="A1129" s="7" t="s">
        <v>1902</v>
      </c>
      <c r="B1129" s="61"/>
      <c r="C1129" s="44" t="s">
        <v>4066</v>
      </c>
      <c r="D1129" s="61">
        <v>135</v>
      </c>
      <c r="E1129" s="61" t="s">
        <v>100</v>
      </c>
      <c r="F1129" s="45">
        <v>730000</v>
      </c>
      <c r="G1129" s="45">
        <f t="shared" si="25"/>
        <v>98550000</v>
      </c>
      <c r="H1129" s="165">
        <v>34500000</v>
      </c>
      <c r="I1129" s="150" t="s">
        <v>3552</v>
      </c>
      <c r="J1129" s="149" t="s">
        <v>3564</v>
      </c>
      <c r="K1129" s="149" t="s">
        <v>3570</v>
      </c>
      <c r="L1129" s="171">
        <f t="shared" si="24"/>
        <v>64050000</v>
      </c>
    </row>
    <row r="1130" spans="1:12" x14ac:dyDescent="0.25">
      <c r="A1130" s="7" t="s">
        <v>1904</v>
      </c>
      <c r="B1130" s="61"/>
      <c r="C1130" s="44" t="s">
        <v>4067</v>
      </c>
      <c r="D1130" s="61">
        <v>135</v>
      </c>
      <c r="E1130" s="61" t="s">
        <v>100</v>
      </c>
      <c r="F1130" s="45">
        <v>690000</v>
      </c>
      <c r="G1130" s="45">
        <f t="shared" si="25"/>
        <v>93150000</v>
      </c>
      <c r="H1130" s="165">
        <v>6210000</v>
      </c>
      <c r="I1130" s="150" t="s">
        <v>3552</v>
      </c>
      <c r="J1130" s="149" t="s">
        <v>3564</v>
      </c>
      <c r="K1130" s="149" t="s">
        <v>3570</v>
      </c>
      <c r="L1130" s="171">
        <f t="shared" si="24"/>
        <v>86940000</v>
      </c>
    </row>
    <row r="1131" spans="1:12" x14ac:dyDescent="0.25">
      <c r="A1131" s="7" t="s">
        <v>1906</v>
      </c>
      <c r="B1131" s="61"/>
      <c r="C1131" s="44" t="s">
        <v>4068</v>
      </c>
      <c r="D1131" s="61">
        <v>20</v>
      </c>
      <c r="E1131" s="61" t="s">
        <v>100</v>
      </c>
      <c r="F1131" s="45">
        <v>690000</v>
      </c>
      <c r="G1131" s="45">
        <f t="shared" si="25"/>
        <v>13800000</v>
      </c>
      <c r="H1131" s="165">
        <v>25000000</v>
      </c>
      <c r="I1131" s="150" t="s">
        <v>3552</v>
      </c>
      <c r="J1131" s="149" t="s">
        <v>3564</v>
      </c>
      <c r="K1131" s="149" t="s">
        <v>3570</v>
      </c>
      <c r="L1131" s="171">
        <f t="shared" si="24"/>
        <v>-11200000</v>
      </c>
    </row>
    <row r="1132" spans="1:12" x14ac:dyDescent="0.25">
      <c r="A1132" s="7" t="s">
        <v>1908</v>
      </c>
      <c r="B1132" s="61"/>
      <c r="C1132" s="44" t="s">
        <v>4069</v>
      </c>
      <c r="D1132" s="61">
        <v>50</v>
      </c>
      <c r="E1132" s="61" t="s">
        <v>100</v>
      </c>
      <c r="F1132" s="45">
        <v>690000</v>
      </c>
      <c r="G1132" s="45">
        <f t="shared" si="25"/>
        <v>34500000</v>
      </c>
      <c r="H1132" s="165">
        <v>3000000</v>
      </c>
      <c r="I1132" s="150" t="s">
        <v>3552</v>
      </c>
      <c r="J1132" s="149" t="s">
        <v>3564</v>
      </c>
      <c r="K1132" s="149" t="s">
        <v>3570</v>
      </c>
      <c r="L1132" s="171">
        <f t="shared" si="24"/>
        <v>31500000</v>
      </c>
    </row>
    <row r="1133" spans="1:12" x14ac:dyDescent="0.25">
      <c r="A1133" s="7" t="s">
        <v>1911</v>
      </c>
      <c r="B1133" s="61"/>
      <c r="C1133" s="44" t="s">
        <v>4070</v>
      </c>
      <c r="D1133" s="61">
        <v>9</v>
      </c>
      <c r="E1133" s="61" t="s">
        <v>100</v>
      </c>
      <c r="F1133" s="45">
        <v>690000</v>
      </c>
      <c r="G1133" s="45">
        <f t="shared" si="25"/>
        <v>6210000</v>
      </c>
      <c r="H1133" s="165">
        <v>18600000</v>
      </c>
      <c r="I1133" s="150" t="s">
        <v>3552</v>
      </c>
      <c r="J1133" s="149" t="s">
        <v>3564</v>
      </c>
      <c r="K1133" s="149" t="s">
        <v>3570</v>
      </c>
      <c r="L1133" s="171">
        <f t="shared" si="24"/>
        <v>-12390000</v>
      </c>
    </row>
    <row r="1134" spans="1:12" x14ac:dyDescent="0.25">
      <c r="A1134" s="7" t="s">
        <v>1913</v>
      </c>
      <c r="B1134" s="192"/>
      <c r="C1134" s="191" t="s">
        <v>4071</v>
      </c>
      <c r="D1134" s="192">
        <v>1</v>
      </c>
      <c r="E1134" s="192" t="s">
        <v>1672</v>
      </c>
      <c r="F1134" s="193">
        <v>25000000</v>
      </c>
      <c r="G1134" s="45">
        <f t="shared" si="25"/>
        <v>25000000</v>
      </c>
      <c r="H1134" s="165">
        <v>186000000</v>
      </c>
      <c r="I1134" s="150" t="s">
        <v>3552</v>
      </c>
      <c r="J1134" s="149" t="s">
        <v>3564</v>
      </c>
      <c r="K1134" s="149" t="s">
        <v>3570</v>
      </c>
      <c r="L1134" s="171">
        <f t="shared" si="24"/>
        <v>-161000000</v>
      </c>
    </row>
    <row r="1135" spans="1:12" x14ac:dyDescent="0.25">
      <c r="A1135" s="7" t="s">
        <v>1915</v>
      </c>
      <c r="B1135" s="61"/>
      <c r="C1135" s="44" t="s">
        <v>4072</v>
      </c>
      <c r="D1135" s="61">
        <v>10</v>
      </c>
      <c r="E1135" s="61" t="s">
        <v>100</v>
      </c>
      <c r="F1135" s="45">
        <v>300000</v>
      </c>
      <c r="G1135" s="45">
        <f t="shared" si="25"/>
        <v>3000000</v>
      </c>
      <c r="H1135" s="165">
        <v>100000000</v>
      </c>
      <c r="I1135" s="150" t="s">
        <v>3552</v>
      </c>
      <c r="J1135" s="149" t="s">
        <v>3564</v>
      </c>
      <c r="K1135" s="149" t="s">
        <v>3570</v>
      </c>
      <c r="L1135" s="171">
        <f t="shared" si="24"/>
        <v>-97000000</v>
      </c>
    </row>
    <row r="1136" spans="1:12" x14ac:dyDescent="0.25">
      <c r="A1136" s="7" t="s">
        <v>1917</v>
      </c>
      <c r="B1136" s="61"/>
      <c r="C1136" s="44" t="s">
        <v>4073</v>
      </c>
      <c r="D1136" s="61">
        <v>31</v>
      </c>
      <c r="E1136" s="61" t="s">
        <v>100</v>
      </c>
      <c r="F1136" s="45">
        <v>600000</v>
      </c>
      <c r="G1136" s="45">
        <f t="shared" si="25"/>
        <v>18600000</v>
      </c>
      <c r="H1136" s="165">
        <v>50000000</v>
      </c>
      <c r="I1136" s="150" t="s">
        <v>3552</v>
      </c>
      <c r="J1136" s="149" t="s">
        <v>3564</v>
      </c>
      <c r="K1136" s="149" t="s">
        <v>3570</v>
      </c>
      <c r="L1136" s="171">
        <f t="shared" si="24"/>
        <v>-31400000</v>
      </c>
    </row>
    <row r="1137" spans="1:12" x14ac:dyDescent="0.25">
      <c r="A1137" s="7" t="s">
        <v>1920</v>
      </c>
      <c r="B1137" s="61"/>
      <c r="C1137" s="44" t="s">
        <v>4074</v>
      </c>
      <c r="D1137" s="61">
        <v>165</v>
      </c>
      <c r="E1137" s="61" t="s">
        <v>100</v>
      </c>
      <c r="F1137" s="45">
        <v>300000</v>
      </c>
      <c r="G1137" s="45">
        <f t="shared" si="25"/>
        <v>49500000</v>
      </c>
      <c r="H1137" s="165">
        <v>36000000</v>
      </c>
      <c r="I1137" s="150" t="s">
        <v>3552</v>
      </c>
      <c r="J1137" s="149" t="s">
        <v>3564</v>
      </c>
      <c r="K1137" s="149" t="s">
        <v>3570</v>
      </c>
      <c r="L1137" s="171">
        <f t="shared" si="24"/>
        <v>13500000</v>
      </c>
    </row>
    <row r="1138" spans="1:12" x14ac:dyDescent="0.25">
      <c r="A1138" s="7" t="s">
        <v>1922</v>
      </c>
      <c r="B1138" s="192"/>
      <c r="C1138" s="191" t="s">
        <v>4075</v>
      </c>
      <c r="D1138" s="192">
        <v>165</v>
      </c>
      <c r="E1138" s="192" t="s">
        <v>101</v>
      </c>
      <c r="F1138" s="193">
        <v>80000</v>
      </c>
      <c r="G1138" s="45">
        <f t="shared" si="25"/>
        <v>13200000</v>
      </c>
      <c r="H1138" s="165">
        <v>3269208000</v>
      </c>
      <c r="I1138" s="150" t="s">
        <v>3552</v>
      </c>
      <c r="J1138" s="149" t="s">
        <v>3564</v>
      </c>
      <c r="K1138" s="149" t="s">
        <v>3570</v>
      </c>
      <c r="L1138" s="171">
        <f t="shared" si="24"/>
        <v>-3256008000</v>
      </c>
    </row>
    <row r="1139" spans="1:12" x14ac:dyDescent="0.25">
      <c r="A1139" s="7" t="s">
        <v>1924</v>
      </c>
      <c r="B1139" s="192"/>
      <c r="C1139" s="191" t="s">
        <v>4076</v>
      </c>
      <c r="D1139" s="192">
        <v>1</v>
      </c>
      <c r="E1139" s="192" t="s">
        <v>153</v>
      </c>
      <c r="F1139" s="193">
        <v>25000000</v>
      </c>
      <c r="G1139" s="45">
        <f t="shared" si="25"/>
        <v>25000000</v>
      </c>
      <c r="H1139" s="165">
        <v>2824368000</v>
      </c>
      <c r="I1139" s="150" t="s">
        <v>3552</v>
      </c>
      <c r="J1139" s="149" t="s">
        <v>3564</v>
      </c>
      <c r="K1139" s="149" t="s">
        <v>3570</v>
      </c>
      <c r="L1139" s="171">
        <f t="shared" si="24"/>
        <v>-2799368000</v>
      </c>
    </row>
    <row r="1140" spans="1:12" x14ac:dyDescent="0.25">
      <c r="A1140" s="7" t="s">
        <v>1926</v>
      </c>
      <c r="B1140" s="61"/>
      <c r="C1140" s="44" t="s">
        <v>4077</v>
      </c>
      <c r="D1140" s="61">
        <v>1</v>
      </c>
      <c r="E1140" s="61" t="s">
        <v>153</v>
      </c>
      <c r="F1140" s="45">
        <v>100000000</v>
      </c>
      <c r="G1140" s="45">
        <f t="shared" si="25"/>
        <v>100000000</v>
      </c>
      <c r="H1140" s="165">
        <v>2368080000</v>
      </c>
      <c r="I1140" s="150" t="s">
        <v>3552</v>
      </c>
      <c r="J1140" s="149" t="s">
        <v>3564</v>
      </c>
      <c r="K1140" s="149" t="s">
        <v>3570</v>
      </c>
      <c r="L1140" s="171">
        <f t="shared" si="24"/>
        <v>-2268080000</v>
      </c>
    </row>
    <row r="1141" spans="1:12" x14ac:dyDescent="0.25">
      <c r="B1141" s="61"/>
      <c r="C1141" s="44" t="s">
        <v>4078</v>
      </c>
      <c r="D1141" s="61"/>
      <c r="E1141" s="61"/>
      <c r="F1141" s="45"/>
      <c r="G1141" s="45">
        <v>632530000</v>
      </c>
      <c r="H1141" s="165">
        <v>443040000</v>
      </c>
      <c r="I1141" s="150" t="s">
        <v>3552</v>
      </c>
      <c r="J1141" s="149" t="s">
        <v>3564</v>
      </c>
      <c r="K1141" s="149" t="s">
        <v>3570</v>
      </c>
      <c r="L1141" s="171">
        <f t="shared" si="24"/>
        <v>189490000</v>
      </c>
    </row>
    <row r="1142" spans="1:12" x14ac:dyDescent="0.25">
      <c r="A1142" s="7" t="s">
        <v>1928</v>
      </c>
      <c r="B1142" s="61"/>
      <c r="C1142" s="44" t="s">
        <v>4079</v>
      </c>
      <c r="D1142" s="61">
        <v>1</v>
      </c>
      <c r="E1142" s="61" t="s">
        <v>100</v>
      </c>
      <c r="F1142" s="45">
        <v>40000000</v>
      </c>
      <c r="G1142" s="45">
        <f>ROUNDDOWN(D1142*F1142,-3)</f>
        <v>40000000</v>
      </c>
      <c r="H1142" s="165">
        <v>11232000</v>
      </c>
      <c r="I1142" s="150" t="s">
        <v>3552</v>
      </c>
      <c r="J1142" s="149" t="s">
        <v>3564</v>
      </c>
      <c r="K1142" s="149" t="s">
        <v>3570</v>
      </c>
      <c r="L1142" s="171">
        <f t="shared" si="24"/>
        <v>28768000</v>
      </c>
    </row>
    <row r="1143" spans="1:12" x14ac:dyDescent="0.25">
      <c r="A1143" s="7" t="s">
        <v>1930</v>
      </c>
      <c r="B1143" s="61"/>
      <c r="C1143" s="44" t="s">
        <v>4080</v>
      </c>
      <c r="D1143" s="61">
        <v>1</v>
      </c>
      <c r="E1143" s="61" t="s">
        <v>100</v>
      </c>
      <c r="F1143" s="45">
        <v>38730000</v>
      </c>
      <c r="G1143" s="45">
        <f>ROUNDDOWN(D1143*F1143,-3)</f>
        <v>38730000</v>
      </c>
      <c r="H1143" s="165">
        <v>2016000</v>
      </c>
      <c r="I1143" s="150" t="s">
        <v>3552</v>
      </c>
      <c r="J1143" s="149" t="s">
        <v>3564</v>
      </c>
      <c r="K1143" s="149" t="s">
        <v>3570</v>
      </c>
      <c r="L1143" s="171">
        <f t="shared" si="24"/>
        <v>36714000</v>
      </c>
    </row>
    <row r="1144" spans="1:12" x14ac:dyDescent="0.25">
      <c r="A1144" s="7" t="s">
        <v>1932</v>
      </c>
      <c r="B1144" s="192"/>
      <c r="C1144" s="191" t="s">
        <v>4081</v>
      </c>
      <c r="D1144" s="192">
        <v>12</v>
      </c>
      <c r="E1144" s="192" t="s">
        <v>100</v>
      </c>
      <c r="F1144" s="193">
        <v>33650000</v>
      </c>
      <c r="G1144" s="45">
        <f>ROUNDDOWN(D1144*F1144,-3)</f>
        <v>403800000</v>
      </c>
      <c r="H1144" s="165">
        <v>321840000</v>
      </c>
      <c r="I1144" s="150" t="s">
        <v>3552</v>
      </c>
      <c r="J1144" s="149" t="s">
        <v>3564</v>
      </c>
      <c r="K1144" s="149" t="s">
        <v>3570</v>
      </c>
      <c r="L1144" s="171">
        <f t="shared" si="24"/>
        <v>81960000</v>
      </c>
    </row>
    <row r="1145" spans="1:12" x14ac:dyDescent="0.25">
      <c r="A1145" s="7" t="s">
        <v>1934</v>
      </c>
      <c r="B1145" s="61"/>
      <c r="C1145" s="44" t="s">
        <v>4082</v>
      </c>
      <c r="D1145" s="61">
        <v>6</v>
      </c>
      <c r="E1145" s="61" t="s">
        <v>100</v>
      </c>
      <c r="F1145" s="45">
        <v>25000000</v>
      </c>
      <c r="G1145" s="45">
        <f>ROUNDDOWN(D1145*F1145,-3)</f>
        <v>150000000</v>
      </c>
      <c r="H1145" s="165">
        <v>0</v>
      </c>
      <c r="I1145" s="150" t="s">
        <v>3552</v>
      </c>
      <c r="J1145" s="149" t="s">
        <v>3564</v>
      </c>
      <c r="K1145" s="149" t="s">
        <v>3570</v>
      </c>
      <c r="L1145" s="171">
        <f t="shared" si="24"/>
        <v>150000000</v>
      </c>
    </row>
    <row r="1146" spans="1:12" x14ac:dyDescent="0.25">
      <c r="B1146" s="61"/>
      <c r="C1146" s="44" t="s">
        <v>4083</v>
      </c>
      <c r="D1146" s="61"/>
      <c r="E1146" s="61"/>
      <c r="F1146" s="45"/>
      <c r="G1146" s="45">
        <v>91000000</v>
      </c>
      <c r="H1146" s="165">
        <v>29040000</v>
      </c>
      <c r="I1146" s="150" t="s">
        <v>3552</v>
      </c>
      <c r="J1146" s="149" t="s">
        <v>3564</v>
      </c>
      <c r="K1146" s="149" t="s">
        <v>3570</v>
      </c>
      <c r="L1146" s="171">
        <f t="shared" si="24"/>
        <v>61960000</v>
      </c>
    </row>
    <row r="1147" spans="1:12" x14ac:dyDescent="0.25">
      <c r="A1147" s="7" t="s">
        <v>1936</v>
      </c>
      <c r="B1147" s="61"/>
      <c r="C1147" s="44" t="s">
        <v>4084</v>
      </c>
      <c r="D1147" s="61">
        <v>25</v>
      </c>
      <c r="E1147" s="61" t="s">
        <v>100</v>
      </c>
      <c r="F1147" s="45">
        <v>3640000</v>
      </c>
      <c r="G1147" s="45">
        <f>ROUNDDOWN(D1147*F1147,-3)</f>
        <v>91000000</v>
      </c>
      <c r="H1147" s="165">
        <v>57240000</v>
      </c>
      <c r="I1147" s="150" t="s">
        <v>3552</v>
      </c>
      <c r="J1147" s="149" t="s">
        <v>3564</v>
      </c>
      <c r="K1147" s="149" t="s">
        <v>3570</v>
      </c>
      <c r="L1147" s="171">
        <f t="shared" si="24"/>
        <v>33760000</v>
      </c>
    </row>
    <row r="1148" spans="1:12" x14ac:dyDescent="0.25">
      <c r="A1148" s="7" t="s">
        <v>1938</v>
      </c>
      <c r="B1148" s="60">
        <v>523199</v>
      </c>
      <c r="C1148" s="41" t="s">
        <v>102</v>
      </c>
      <c r="D1148" s="60"/>
      <c r="E1148" s="60"/>
      <c r="F1148" s="42"/>
      <c r="G1148" s="42">
        <v>186000000</v>
      </c>
      <c r="H1148" s="165">
        <v>25440000</v>
      </c>
      <c r="I1148" s="150" t="s">
        <v>3552</v>
      </c>
      <c r="J1148" s="149" t="s">
        <v>3564</v>
      </c>
      <c r="K1148" s="149" t="s">
        <v>3570</v>
      </c>
      <c r="L1148" s="171">
        <f t="shared" si="24"/>
        <v>160560000</v>
      </c>
    </row>
    <row r="1149" spans="1:12" x14ac:dyDescent="0.25">
      <c r="A1149" s="7" t="s">
        <v>1939</v>
      </c>
      <c r="B1149" s="61"/>
      <c r="C1149" s="44" t="s">
        <v>4085</v>
      </c>
      <c r="D1149" s="61">
        <v>100</v>
      </c>
      <c r="E1149" s="61" t="s">
        <v>100</v>
      </c>
      <c r="F1149" s="45">
        <v>1000000</v>
      </c>
      <c r="G1149" s="45">
        <f>ROUNDDOWN(D1149*F1149,-3)</f>
        <v>100000000</v>
      </c>
      <c r="H1149" s="165">
        <v>44640000</v>
      </c>
      <c r="I1149" s="150" t="s">
        <v>3552</v>
      </c>
      <c r="J1149" s="149" t="s">
        <v>3564</v>
      </c>
      <c r="K1149" s="149" t="s">
        <v>3570</v>
      </c>
      <c r="L1149" s="171">
        <f t="shared" si="24"/>
        <v>55360000</v>
      </c>
    </row>
    <row r="1150" spans="1:12" x14ac:dyDescent="0.25">
      <c r="A1150" s="7" t="s">
        <v>1941</v>
      </c>
      <c r="B1150" s="61"/>
      <c r="C1150" s="44" t="s">
        <v>4086</v>
      </c>
      <c r="D1150" s="61">
        <v>1</v>
      </c>
      <c r="E1150" s="61" t="s">
        <v>153</v>
      </c>
      <c r="F1150" s="45">
        <v>50000000</v>
      </c>
      <c r="G1150" s="45">
        <f>ROUNDDOWN(D1150*F1150,-3)</f>
        <v>50000000</v>
      </c>
      <c r="H1150" s="165">
        <v>37920000</v>
      </c>
      <c r="I1150" s="150" t="s">
        <v>3552</v>
      </c>
      <c r="J1150" s="149" t="s">
        <v>3564</v>
      </c>
      <c r="K1150" s="149" t="s">
        <v>3570</v>
      </c>
      <c r="L1150" s="171">
        <f t="shared" si="24"/>
        <v>12080000</v>
      </c>
    </row>
    <row r="1151" spans="1:12" ht="26.4" x14ac:dyDescent="0.25">
      <c r="A1151" s="7" t="s">
        <v>1943</v>
      </c>
      <c r="B1151" s="61"/>
      <c r="C1151" s="44" t="s">
        <v>4087</v>
      </c>
      <c r="D1151" s="61">
        <v>24</v>
      </c>
      <c r="E1151" s="61" t="s">
        <v>97</v>
      </c>
      <c r="F1151" s="45">
        <v>1500000</v>
      </c>
      <c r="G1151" s="45">
        <f>ROUNDDOWN(D1151*F1151,-3)</f>
        <v>36000000</v>
      </c>
      <c r="H1151" s="165">
        <v>32760000</v>
      </c>
      <c r="I1151" s="150" t="s">
        <v>3552</v>
      </c>
      <c r="J1151" s="149" t="s">
        <v>3564</v>
      </c>
      <c r="K1151" s="149" t="s">
        <v>3570</v>
      </c>
      <c r="L1151" s="171">
        <f t="shared" si="24"/>
        <v>3240000</v>
      </c>
    </row>
    <row r="1152" spans="1:12" x14ac:dyDescent="0.25">
      <c r="A1152" s="7" t="s">
        <v>1945</v>
      </c>
      <c r="B1152" s="59" t="s">
        <v>569</v>
      </c>
      <c r="C1152" s="38" t="s">
        <v>103</v>
      </c>
      <c r="D1152" s="59"/>
      <c r="E1152" s="59"/>
      <c r="F1152" s="39"/>
      <c r="G1152" s="39">
        <v>3269208000</v>
      </c>
      <c r="H1152" s="165">
        <v>0</v>
      </c>
      <c r="I1152" s="150" t="s">
        <v>3552</v>
      </c>
      <c r="J1152" s="149" t="s">
        <v>3564</v>
      </c>
      <c r="K1152" s="149" t="s">
        <v>3570</v>
      </c>
      <c r="L1152" s="171">
        <f t="shared" si="24"/>
        <v>3269208000</v>
      </c>
    </row>
    <row r="1153" spans="1:12" x14ac:dyDescent="0.25">
      <c r="A1153" s="7" t="s">
        <v>1946</v>
      </c>
      <c r="B1153" s="60">
        <v>521111</v>
      </c>
      <c r="C1153" s="41" t="s">
        <v>90</v>
      </c>
      <c r="D1153" s="60"/>
      <c r="E1153" s="60"/>
      <c r="F1153" s="42"/>
      <c r="G1153" s="42">
        <v>2824368000</v>
      </c>
      <c r="H1153" s="165">
        <v>3600000</v>
      </c>
      <c r="I1153" s="150" t="s">
        <v>3552</v>
      </c>
      <c r="J1153" s="149" t="s">
        <v>3564</v>
      </c>
      <c r="K1153" s="149" t="s">
        <v>3570</v>
      </c>
      <c r="L1153" s="171">
        <f t="shared" si="24"/>
        <v>2820768000</v>
      </c>
    </row>
    <row r="1154" spans="1:12" x14ac:dyDescent="0.25">
      <c r="A1154" s="7" t="s">
        <v>1947</v>
      </c>
      <c r="B1154" s="61"/>
      <c r="C1154" s="44" t="s">
        <v>4088</v>
      </c>
      <c r="D1154" s="61">
        <v>468</v>
      </c>
      <c r="E1154" s="61" t="s">
        <v>1949</v>
      </c>
      <c r="F1154" s="45">
        <v>5060000</v>
      </c>
      <c r="G1154" s="45">
        <f>ROUNDDOWN(D1154*F1154,-3)</f>
        <v>2368080000</v>
      </c>
      <c r="H1154" s="165">
        <v>2400000</v>
      </c>
      <c r="I1154" s="150" t="s">
        <v>3552</v>
      </c>
      <c r="J1154" s="149" t="s">
        <v>3564</v>
      </c>
      <c r="K1154" s="149" t="s">
        <v>3570</v>
      </c>
      <c r="L1154" s="171">
        <f t="shared" si="24"/>
        <v>2365680000</v>
      </c>
    </row>
    <row r="1155" spans="1:12" x14ac:dyDescent="0.25">
      <c r="A1155" s="7" t="s">
        <v>1950</v>
      </c>
      <c r="B1155" s="61"/>
      <c r="C1155" s="44" t="s">
        <v>4089</v>
      </c>
      <c r="D1155" s="61">
        <v>78</v>
      </c>
      <c r="E1155" s="61" t="s">
        <v>32</v>
      </c>
      <c r="F1155" s="45">
        <v>5680000</v>
      </c>
      <c r="G1155" s="45">
        <f>ROUNDDOWN(D1155*F1155,-3)</f>
        <v>443040000</v>
      </c>
      <c r="H1155" s="165">
        <v>3000000</v>
      </c>
      <c r="I1155" s="150" t="s">
        <v>3552</v>
      </c>
      <c r="J1155" s="149" t="s">
        <v>3564</v>
      </c>
      <c r="K1155" s="149" t="s">
        <v>3570</v>
      </c>
      <c r="L1155" s="171">
        <f t="shared" si="24"/>
        <v>440040000</v>
      </c>
    </row>
    <row r="1156" spans="1:12" ht="26.4" x14ac:dyDescent="0.25">
      <c r="A1156" s="7" t="s">
        <v>1952</v>
      </c>
      <c r="B1156" s="61"/>
      <c r="C1156" s="44" t="s">
        <v>4090</v>
      </c>
      <c r="D1156" s="61">
        <v>432</v>
      </c>
      <c r="E1156" s="61" t="s">
        <v>32</v>
      </c>
      <c r="F1156" s="45">
        <v>26000</v>
      </c>
      <c r="G1156" s="45">
        <f>ROUNDDOWN(D1156*F1156,-3)</f>
        <v>11232000</v>
      </c>
      <c r="H1156" s="165">
        <v>11760000</v>
      </c>
      <c r="I1156" s="150" t="s">
        <v>3552</v>
      </c>
      <c r="J1156" s="149" t="s">
        <v>3564</v>
      </c>
      <c r="K1156" s="149" t="s">
        <v>3570</v>
      </c>
      <c r="L1156" s="171">
        <f t="shared" si="24"/>
        <v>-528000</v>
      </c>
    </row>
    <row r="1157" spans="1:12" ht="26.4" x14ac:dyDescent="0.25">
      <c r="A1157" s="7" t="s">
        <v>1954</v>
      </c>
      <c r="B1157" s="61"/>
      <c r="C1157" s="44" t="s">
        <v>4091</v>
      </c>
      <c r="D1157" s="61">
        <v>72</v>
      </c>
      <c r="E1157" s="61" t="s">
        <v>32</v>
      </c>
      <c r="F1157" s="45">
        <v>28000</v>
      </c>
      <c r="G1157" s="45">
        <f>ROUNDDOWN(D1157*F1157,-3)</f>
        <v>2016000</v>
      </c>
      <c r="H1157" s="165">
        <v>3600000</v>
      </c>
      <c r="I1157" s="150" t="s">
        <v>3552</v>
      </c>
      <c r="J1157" s="149" t="s">
        <v>3564</v>
      </c>
      <c r="K1157" s="149" t="s">
        <v>3570</v>
      </c>
      <c r="L1157" s="171">
        <f t="shared" si="24"/>
        <v>-1584000</v>
      </c>
    </row>
    <row r="1158" spans="1:12" x14ac:dyDescent="0.25">
      <c r="A1158" s="7" t="s">
        <v>1956</v>
      </c>
      <c r="B1158" s="60">
        <v>521115</v>
      </c>
      <c r="C1158" s="41" t="s">
        <v>104</v>
      </c>
      <c r="D1158" s="60"/>
      <c r="E1158" s="60"/>
      <c r="F1158" s="42"/>
      <c r="G1158" s="42">
        <v>321840000</v>
      </c>
      <c r="H1158" s="165">
        <v>0</v>
      </c>
      <c r="I1158" s="150" t="s">
        <v>3552</v>
      </c>
      <c r="J1158" s="149" t="s">
        <v>3564</v>
      </c>
      <c r="K1158" s="149" t="s">
        <v>3570</v>
      </c>
      <c r="L1158" s="171">
        <f t="shared" si="24"/>
        <v>321840000</v>
      </c>
    </row>
    <row r="1159" spans="1:12" x14ac:dyDescent="0.25">
      <c r="B1159" s="61"/>
      <c r="C1159" s="44" t="s">
        <v>4092</v>
      </c>
      <c r="D1159" s="61"/>
      <c r="E1159" s="61"/>
      <c r="F1159" s="45"/>
      <c r="G1159" s="45">
        <v>57000000</v>
      </c>
      <c r="H1159" s="165">
        <v>5400000</v>
      </c>
      <c r="I1159" s="150" t="s">
        <v>3552</v>
      </c>
      <c r="J1159" s="149" t="s">
        <v>3564</v>
      </c>
      <c r="K1159" s="149" t="s">
        <v>3570</v>
      </c>
      <c r="L1159" s="171">
        <f t="shared" si="24"/>
        <v>51600000</v>
      </c>
    </row>
    <row r="1160" spans="1:12" ht="26.4" x14ac:dyDescent="0.25">
      <c r="A1160" s="7" t="s">
        <v>1958</v>
      </c>
      <c r="B1160" s="61"/>
      <c r="C1160" s="44" t="s">
        <v>4093</v>
      </c>
      <c r="D1160" s="61">
        <v>12</v>
      </c>
      <c r="E1160" s="61" t="s">
        <v>32</v>
      </c>
      <c r="F1160" s="45">
        <v>980000</v>
      </c>
      <c r="G1160" s="45">
        <f t="shared" ref="G1160:G1166" si="26">ROUNDDOWN(D1160*F1160,-3)</f>
        <v>11760000</v>
      </c>
      <c r="H1160" s="165">
        <v>4800000</v>
      </c>
      <c r="I1160" s="150" t="s">
        <v>3552</v>
      </c>
      <c r="J1160" s="149" t="s">
        <v>3564</v>
      </c>
      <c r="K1160" s="149" t="s">
        <v>3570</v>
      </c>
      <c r="L1160" s="171">
        <f t="shared" si="24"/>
        <v>6960000</v>
      </c>
    </row>
    <row r="1161" spans="1:12" ht="26.4" x14ac:dyDescent="0.25">
      <c r="A1161" s="7" t="s">
        <v>1960</v>
      </c>
      <c r="B1161" s="61"/>
      <c r="C1161" s="44" t="s">
        <v>4094</v>
      </c>
      <c r="D1161" s="61">
        <v>12</v>
      </c>
      <c r="E1161" s="61" t="s">
        <v>32</v>
      </c>
      <c r="F1161" s="45">
        <v>980000</v>
      </c>
      <c r="G1161" s="45">
        <f t="shared" si="26"/>
        <v>11760000</v>
      </c>
      <c r="H1161" s="165">
        <v>4200000</v>
      </c>
      <c r="I1161" s="150" t="s">
        <v>3552</v>
      </c>
      <c r="J1161" s="149" t="s">
        <v>3564</v>
      </c>
      <c r="K1161" s="149" t="s">
        <v>3570</v>
      </c>
      <c r="L1161" s="171">
        <f t="shared" si="24"/>
        <v>7560000</v>
      </c>
    </row>
    <row r="1162" spans="1:12" ht="26.4" x14ac:dyDescent="0.25">
      <c r="A1162" s="7" t="s">
        <v>1962</v>
      </c>
      <c r="B1162" s="61"/>
      <c r="C1162" s="44" t="s">
        <v>4095</v>
      </c>
      <c r="D1162" s="61">
        <v>12</v>
      </c>
      <c r="E1162" s="61" t="s">
        <v>32</v>
      </c>
      <c r="F1162" s="45">
        <v>300000</v>
      </c>
      <c r="G1162" s="45">
        <f t="shared" si="26"/>
        <v>3600000</v>
      </c>
      <c r="H1162" s="165">
        <v>10800000</v>
      </c>
      <c r="I1162" s="150" t="s">
        <v>3552</v>
      </c>
      <c r="J1162" s="149" t="s">
        <v>3564</v>
      </c>
      <c r="K1162" s="149" t="s">
        <v>3570</v>
      </c>
      <c r="L1162" s="171">
        <f t="shared" si="24"/>
        <v>-7200000</v>
      </c>
    </row>
    <row r="1163" spans="1:12" ht="26.4" x14ac:dyDescent="0.25">
      <c r="A1163" s="7" t="s">
        <v>1964</v>
      </c>
      <c r="B1163" s="61"/>
      <c r="C1163" s="44" t="s">
        <v>4096</v>
      </c>
      <c r="D1163" s="61">
        <v>12</v>
      </c>
      <c r="E1163" s="61" t="s">
        <v>32</v>
      </c>
      <c r="F1163" s="45">
        <v>680000</v>
      </c>
      <c r="G1163" s="45">
        <f t="shared" si="26"/>
        <v>8160000</v>
      </c>
      <c r="H1163" s="165">
        <v>11760000</v>
      </c>
      <c r="I1163" s="150" t="s">
        <v>3552</v>
      </c>
      <c r="J1163" s="149" t="s">
        <v>3564</v>
      </c>
      <c r="K1163" s="149" t="s">
        <v>3570</v>
      </c>
      <c r="L1163" s="171">
        <f t="shared" si="24"/>
        <v>-3600000</v>
      </c>
    </row>
    <row r="1164" spans="1:12" ht="26.4" x14ac:dyDescent="0.25">
      <c r="A1164" s="7" t="s">
        <v>1966</v>
      </c>
      <c r="B1164" s="61"/>
      <c r="C1164" s="44" t="s">
        <v>4097</v>
      </c>
      <c r="D1164" s="61">
        <v>3</v>
      </c>
      <c r="E1164" s="61" t="s">
        <v>105</v>
      </c>
      <c r="F1164" s="45">
        <v>760000</v>
      </c>
      <c r="G1164" s="45">
        <f t="shared" si="26"/>
        <v>2280000</v>
      </c>
      <c r="H1164" s="165">
        <v>3600000</v>
      </c>
      <c r="I1164" s="150" t="s">
        <v>3552</v>
      </c>
      <c r="J1164" s="149" t="s">
        <v>3564</v>
      </c>
      <c r="K1164" s="149" t="s">
        <v>3570</v>
      </c>
      <c r="L1164" s="171">
        <f t="shared" si="24"/>
        <v>-1320000</v>
      </c>
    </row>
    <row r="1165" spans="1:12" ht="26.4" x14ac:dyDescent="0.25">
      <c r="A1165" s="7" t="s">
        <v>1968</v>
      </c>
      <c r="B1165" s="61"/>
      <c r="C1165" s="44" t="s">
        <v>4098</v>
      </c>
      <c r="D1165" s="61">
        <v>3</v>
      </c>
      <c r="E1165" s="61" t="s">
        <v>105</v>
      </c>
      <c r="F1165" s="45">
        <v>480000</v>
      </c>
      <c r="G1165" s="45">
        <f t="shared" si="26"/>
        <v>1440000</v>
      </c>
      <c r="H1165" s="165">
        <v>8160000</v>
      </c>
      <c r="I1165" s="150" t="s">
        <v>3552</v>
      </c>
      <c r="J1165" s="149" t="s">
        <v>3564</v>
      </c>
      <c r="K1165" s="149" t="s">
        <v>3570</v>
      </c>
      <c r="L1165" s="171">
        <f t="shared" si="24"/>
        <v>-6720000</v>
      </c>
    </row>
    <row r="1166" spans="1:12" ht="26.4" x14ac:dyDescent="0.25">
      <c r="A1166" s="7" t="s">
        <v>1971</v>
      </c>
      <c r="B1166" s="61"/>
      <c r="C1166" s="44" t="s">
        <v>4099</v>
      </c>
      <c r="D1166" s="61">
        <v>30</v>
      </c>
      <c r="E1166" s="61" t="s">
        <v>105</v>
      </c>
      <c r="F1166" s="45">
        <v>600000</v>
      </c>
      <c r="G1166" s="45">
        <f t="shared" si="26"/>
        <v>18000000</v>
      </c>
      <c r="H1166" s="165">
        <v>2280000</v>
      </c>
      <c r="I1166" s="150" t="s">
        <v>3552</v>
      </c>
      <c r="J1166" s="149" t="s">
        <v>3564</v>
      </c>
      <c r="K1166" s="149" t="s">
        <v>3570</v>
      </c>
      <c r="L1166" s="171">
        <f t="shared" ref="L1166:L1229" si="27">G1166-H1166</f>
        <v>15720000</v>
      </c>
    </row>
    <row r="1167" spans="1:12" ht="26.4" x14ac:dyDescent="0.25">
      <c r="B1167" s="61"/>
      <c r="C1167" s="44" t="s">
        <v>4100</v>
      </c>
      <c r="D1167" s="61"/>
      <c r="E1167" s="61"/>
      <c r="F1167" s="45"/>
      <c r="G1167" s="45">
        <v>227040000</v>
      </c>
      <c r="H1167" s="165">
        <v>2280000</v>
      </c>
      <c r="I1167" s="150" t="s">
        <v>3552</v>
      </c>
      <c r="J1167" s="149" t="s">
        <v>3564</v>
      </c>
      <c r="K1167" s="149" t="s">
        <v>3570</v>
      </c>
      <c r="L1167" s="171">
        <f t="shared" si="27"/>
        <v>224760000</v>
      </c>
    </row>
    <row r="1168" spans="1:12" ht="39.6" x14ac:dyDescent="0.25">
      <c r="A1168" s="7" t="s">
        <v>1973</v>
      </c>
      <c r="B1168" s="61"/>
      <c r="C1168" s="44" t="s">
        <v>4101</v>
      </c>
      <c r="D1168" s="61">
        <v>12</v>
      </c>
      <c r="E1168" s="61" t="s">
        <v>32</v>
      </c>
      <c r="F1168" s="45">
        <v>2420000</v>
      </c>
      <c r="G1168" s="45">
        <f t="shared" ref="G1168:G1173" si="28">ROUNDDOWN(D1168*F1168,-3)</f>
        <v>29040000</v>
      </c>
      <c r="H1168" s="165">
        <v>1440000</v>
      </c>
      <c r="I1168" s="150" t="s">
        <v>3552</v>
      </c>
      <c r="J1168" s="149" t="s">
        <v>3564</v>
      </c>
      <c r="K1168" s="149" t="s">
        <v>3570</v>
      </c>
      <c r="L1168" s="171">
        <f t="shared" si="27"/>
        <v>27600000</v>
      </c>
    </row>
    <row r="1169" spans="1:12" ht="26.4" x14ac:dyDescent="0.25">
      <c r="A1169" s="7" t="s">
        <v>1975</v>
      </c>
      <c r="B1169" s="61"/>
      <c r="C1169" s="44" t="s">
        <v>4102</v>
      </c>
      <c r="D1169" s="61">
        <v>12</v>
      </c>
      <c r="E1169" s="61" t="s">
        <v>32</v>
      </c>
      <c r="F1169" s="45">
        <v>4770000</v>
      </c>
      <c r="G1169" s="45">
        <f t="shared" si="28"/>
        <v>57240000</v>
      </c>
      <c r="H1169" s="165">
        <v>18000000</v>
      </c>
      <c r="I1169" s="150" t="s">
        <v>3552</v>
      </c>
      <c r="J1169" s="149" t="s">
        <v>3564</v>
      </c>
      <c r="K1169" s="149" t="s">
        <v>3570</v>
      </c>
      <c r="L1169" s="171">
        <f t="shared" si="27"/>
        <v>39240000</v>
      </c>
    </row>
    <row r="1170" spans="1:12" ht="26.4" x14ac:dyDescent="0.25">
      <c r="A1170" s="7" t="s">
        <v>1977</v>
      </c>
      <c r="B1170" s="61"/>
      <c r="C1170" s="44" t="s">
        <v>4103</v>
      </c>
      <c r="D1170" s="61">
        <v>12</v>
      </c>
      <c r="E1170" s="61" t="s">
        <v>32</v>
      </c>
      <c r="F1170" s="45">
        <v>2120000</v>
      </c>
      <c r="G1170" s="45">
        <f t="shared" si="28"/>
        <v>25440000</v>
      </c>
      <c r="H1170" s="165">
        <v>0</v>
      </c>
      <c r="I1170" s="150" t="s">
        <v>3552</v>
      </c>
      <c r="J1170" s="149" t="s">
        <v>3564</v>
      </c>
      <c r="K1170" s="149" t="s">
        <v>3570</v>
      </c>
      <c r="L1170" s="171">
        <f t="shared" si="27"/>
        <v>25440000</v>
      </c>
    </row>
    <row r="1171" spans="1:12" ht="26.4" x14ac:dyDescent="0.25">
      <c r="A1171" s="7" t="s">
        <v>1979</v>
      </c>
      <c r="B1171" s="192"/>
      <c r="C1171" s="191" t="s">
        <v>4104</v>
      </c>
      <c r="D1171" s="192">
        <v>12</v>
      </c>
      <c r="E1171" s="192" t="s">
        <v>32</v>
      </c>
      <c r="F1171" s="193">
        <v>3720000</v>
      </c>
      <c r="G1171" s="45">
        <f t="shared" si="28"/>
        <v>44640000</v>
      </c>
      <c r="H1171" s="165">
        <v>63000000</v>
      </c>
      <c r="I1171" s="150" t="s">
        <v>3552</v>
      </c>
      <c r="J1171" s="149" t="s">
        <v>3564</v>
      </c>
      <c r="K1171" s="149" t="s">
        <v>3570</v>
      </c>
      <c r="L1171" s="171">
        <f t="shared" si="27"/>
        <v>-18360000</v>
      </c>
    </row>
    <row r="1172" spans="1:12" ht="26.4" x14ac:dyDescent="0.25">
      <c r="A1172" s="7" t="s">
        <v>1982</v>
      </c>
      <c r="B1172" s="61"/>
      <c r="C1172" s="44" t="s">
        <v>4105</v>
      </c>
      <c r="D1172" s="61">
        <v>24</v>
      </c>
      <c r="E1172" s="61" t="s">
        <v>32</v>
      </c>
      <c r="F1172" s="45">
        <v>1580000</v>
      </c>
      <c r="G1172" s="45">
        <f t="shared" si="28"/>
        <v>37920000</v>
      </c>
      <c r="H1172" s="165">
        <v>60000000</v>
      </c>
      <c r="I1172" s="150" t="s">
        <v>3552</v>
      </c>
      <c r="J1172" s="149" t="s">
        <v>3564</v>
      </c>
      <c r="K1172" s="149" t="s">
        <v>3570</v>
      </c>
      <c r="L1172" s="171">
        <f t="shared" si="27"/>
        <v>-22080000</v>
      </c>
    </row>
    <row r="1173" spans="1:12" ht="26.4" x14ac:dyDescent="0.25">
      <c r="A1173" s="7" t="s">
        <v>1984</v>
      </c>
      <c r="B1173" s="61"/>
      <c r="C1173" s="44" t="s">
        <v>4106</v>
      </c>
      <c r="D1173" s="61">
        <v>24</v>
      </c>
      <c r="E1173" s="61" t="s">
        <v>32</v>
      </c>
      <c r="F1173" s="45">
        <v>1365000</v>
      </c>
      <c r="G1173" s="45">
        <f t="shared" si="28"/>
        <v>32760000</v>
      </c>
      <c r="H1173" s="165">
        <v>3000000</v>
      </c>
      <c r="I1173" s="150" t="s">
        <v>3552</v>
      </c>
      <c r="J1173" s="149" t="s">
        <v>3564</v>
      </c>
      <c r="K1173" s="149" t="s">
        <v>3570</v>
      </c>
      <c r="L1173" s="171">
        <f t="shared" si="27"/>
        <v>29760000</v>
      </c>
    </row>
    <row r="1174" spans="1:12" ht="26.4" x14ac:dyDescent="0.25">
      <c r="B1174" s="192"/>
      <c r="C1174" s="191" t="s">
        <v>4107</v>
      </c>
      <c r="D1174" s="192"/>
      <c r="E1174" s="192"/>
      <c r="F1174" s="193"/>
      <c r="G1174" s="193">
        <v>12600000</v>
      </c>
      <c r="H1174" s="165">
        <v>60000000</v>
      </c>
      <c r="I1174" s="150" t="s">
        <v>3552</v>
      </c>
      <c r="J1174" s="149" t="s">
        <v>3564</v>
      </c>
      <c r="K1174" s="149" t="s">
        <v>3570</v>
      </c>
      <c r="L1174" s="171">
        <f t="shared" si="27"/>
        <v>-47400000</v>
      </c>
    </row>
    <row r="1175" spans="1:12" x14ac:dyDescent="0.25">
      <c r="A1175" s="7" t="s">
        <v>1986</v>
      </c>
      <c r="B1175" s="61"/>
      <c r="C1175" s="44" t="s">
        <v>4108</v>
      </c>
      <c r="D1175" s="61">
        <v>12</v>
      </c>
      <c r="E1175" s="61" t="s">
        <v>32</v>
      </c>
      <c r="F1175" s="45">
        <v>300000</v>
      </c>
      <c r="G1175" s="45">
        <f>ROUNDDOWN(D1175*F1175,-3)</f>
        <v>3600000</v>
      </c>
      <c r="H1175" s="165">
        <v>30000000</v>
      </c>
      <c r="I1175" s="150" t="s">
        <v>3552</v>
      </c>
      <c r="J1175" s="149" t="s">
        <v>3564</v>
      </c>
      <c r="K1175" s="149" t="s">
        <v>3570</v>
      </c>
      <c r="L1175" s="171">
        <f t="shared" si="27"/>
        <v>-26400000</v>
      </c>
    </row>
    <row r="1176" spans="1:12" x14ac:dyDescent="0.25">
      <c r="A1176" s="7" t="s">
        <v>1988</v>
      </c>
      <c r="B1176" s="61"/>
      <c r="C1176" s="44" t="s">
        <v>4109</v>
      </c>
      <c r="D1176" s="61">
        <v>12</v>
      </c>
      <c r="E1176" s="61" t="s">
        <v>32</v>
      </c>
      <c r="F1176" s="45">
        <v>200000</v>
      </c>
      <c r="G1176" s="45">
        <f>ROUNDDOWN(D1176*F1176,-3)</f>
        <v>2400000</v>
      </c>
      <c r="H1176" s="165">
        <v>30000000</v>
      </c>
      <c r="I1176" s="150" t="s">
        <v>3552</v>
      </c>
      <c r="J1176" s="149" t="s">
        <v>3564</v>
      </c>
      <c r="K1176" s="149" t="s">
        <v>3570</v>
      </c>
      <c r="L1176" s="171">
        <f t="shared" si="27"/>
        <v>-27600000</v>
      </c>
    </row>
    <row r="1177" spans="1:12" x14ac:dyDescent="0.25">
      <c r="A1177" s="7" t="s">
        <v>1990</v>
      </c>
      <c r="B1177" s="192"/>
      <c r="C1177" s="191" t="s">
        <v>4110</v>
      </c>
      <c r="D1177" s="192">
        <v>12</v>
      </c>
      <c r="E1177" s="192" t="s">
        <v>32</v>
      </c>
      <c r="F1177" s="193">
        <v>250000</v>
      </c>
      <c r="G1177" s="45">
        <f>ROUNDDOWN(D1177*F1177,-3)</f>
        <v>3000000</v>
      </c>
      <c r="H1177" s="165">
        <v>5077908000</v>
      </c>
      <c r="I1177" s="150" t="s">
        <v>3552</v>
      </c>
      <c r="J1177" s="149" t="s">
        <v>3564</v>
      </c>
      <c r="K1177" s="149" t="s">
        <v>3570</v>
      </c>
      <c r="L1177" s="171">
        <f t="shared" si="27"/>
        <v>-5074908000</v>
      </c>
    </row>
    <row r="1178" spans="1:12" ht="26.4" x14ac:dyDescent="0.25">
      <c r="A1178" s="7" t="s">
        <v>1992</v>
      </c>
      <c r="B1178" s="192"/>
      <c r="C1178" s="191" t="s">
        <v>4111</v>
      </c>
      <c r="D1178" s="192">
        <v>24</v>
      </c>
      <c r="E1178" s="192" t="s">
        <v>32</v>
      </c>
      <c r="F1178" s="193">
        <v>150000</v>
      </c>
      <c r="G1178" s="45">
        <f>ROUNDDOWN(D1178*F1178,-3)</f>
        <v>3600000</v>
      </c>
      <c r="H1178" s="165">
        <v>5077908000</v>
      </c>
      <c r="I1178" s="150" t="s">
        <v>3552</v>
      </c>
      <c r="J1178" s="149" t="s">
        <v>3564</v>
      </c>
      <c r="K1178" s="149" t="s">
        <v>3570</v>
      </c>
      <c r="L1178" s="171">
        <f t="shared" si="27"/>
        <v>-5074308000</v>
      </c>
    </row>
    <row r="1179" spans="1:12" ht="26.4" x14ac:dyDescent="0.25">
      <c r="B1179" s="61"/>
      <c r="C1179" s="44" t="s">
        <v>4112</v>
      </c>
      <c r="D1179" s="61"/>
      <c r="E1179" s="61"/>
      <c r="F1179" s="45"/>
      <c r="G1179" s="45">
        <v>25200000</v>
      </c>
      <c r="H1179" s="165">
        <v>27720000</v>
      </c>
      <c r="I1179" s="150" t="s">
        <v>3552</v>
      </c>
      <c r="J1179" s="149" t="s">
        <v>3564</v>
      </c>
      <c r="K1179" s="149" t="s">
        <v>3570</v>
      </c>
      <c r="L1179" s="171">
        <f t="shared" si="27"/>
        <v>-2520000</v>
      </c>
    </row>
    <row r="1180" spans="1:12" ht="26.4" x14ac:dyDescent="0.25">
      <c r="A1180" s="7" t="s">
        <v>1994</v>
      </c>
      <c r="B1180" s="61"/>
      <c r="C1180" s="44" t="s">
        <v>4113</v>
      </c>
      <c r="D1180" s="61">
        <v>12</v>
      </c>
      <c r="E1180" s="61" t="s">
        <v>32</v>
      </c>
      <c r="F1180" s="45">
        <v>450000</v>
      </c>
      <c r="G1180" s="45">
        <f>ROUNDDOWN(D1180*F1180,-3)</f>
        <v>5400000</v>
      </c>
      <c r="H1180" s="165">
        <v>2274984000</v>
      </c>
      <c r="I1180" s="150" t="s">
        <v>3552</v>
      </c>
      <c r="J1180" s="149" t="s">
        <v>3564</v>
      </c>
      <c r="K1180" s="149" t="s">
        <v>3570</v>
      </c>
      <c r="L1180" s="171">
        <f t="shared" si="27"/>
        <v>-2269584000</v>
      </c>
    </row>
    <row r="1181" spans="1:12" x14ac:dyDescent="0.25">
      <c r="A1181" s="7" t="s">
        <v>1996</v>
      </c>
      <c r="B1181" s="61"/>
      <c r="C1181" s="44" t="s">
        <v>4114</v>
      </c>
      <c r="D1181" s="61">
        <v>12</v>
      </c>
      <c r="E1181" s="61" t="s">
        <v>32</v>
      </c>
      <c r="F1181" s="45">
        <v>400000</v>
      </c>
      <c r="G1181" s="45">
        <f>ROUNDDOWN(D1181*F1181,-3)</f>
        <v>4800000</v>
      </c>
      <c r="H1181" s="165">
        <v>2775204000</v>
      </c>
      <c r="I1181" s="150" t="s">
        <v>3552</v>
      </c>
      <c r="J1181" s="149" t="s">
        <v>3564</v>
      </c>
      <c r="K1181" s="149" t="s">
        <v>3570</v>
      </c>
      <c r="L1181" s="171">
        <f t="shared" si="27"/>
        <v>-2770404000</v>
      </c>
    </row>
    <row r="1182" spans="1:12" x14ac:dyDescent="0.25">
      <c r="A1182" s="7" t="s">
        <v>1998</v>
      </c>
      <c r="B1182" s="192"/>
      <c r="C1182" s="191" t="s">
        <v>4115</v>
      </c>
      <c r="D1182" s="192">
        <v>12</v>
      </c>
      <c r="E1182" s="192" t="s">
        <v>32</v>
      </c>
      <c r="F1182" s="193">
        <v>350000</v>
      </c>
      <c r="G1182" s="45">
        <f>ROUNDDOWN(D1182*F1182,-3)</f>
        <v>4200000</v>
      </c>
      <c r="H1182" s="165">
        <v>2523600000</v>
      </c>
      <c r="I1182" s="150" t="s">
        <v>3552</v>
      </c>
      <c r="J1182" s="149" t="s">
        <v>3564</v>
      </c>
      <c r="K1182" s="149" t="s">
        <v>3570</v>
      </c>
      <c r="L1182" s="171">
        <f t="shared" si="27"/>
        <v>-2519400000</v>
      </c>
    </row>
    <row r="1183" spans="1:12" ht="26.4" x14ac:dyDescent="0.25">
      <c r="A1183" s="7" t="s">
        <v>2000</v>
      </c>
      <c r="B1183" s="192"/>
      <c r="C1183" s="191" t="s">
        <v>4116</v>
      </c>
      <c r="D1183" s="192">
        <v>36</v>
      </c>
      <c r="E1183" s="192" t="s">
        <v>32</v>
      </c>
      <c r="F1183" s="193">
        <v>300000</v>
      </c>
      <c r="G1183" s="45">
        <f>ROUNDDOWN(D1183*F1183,-3)</f>
        <v>10800000</v>
      </c>
      <c r="H1183" s="165">
        <v>1560000000</v>
      </c>
      <c r="I1183" s="150" t="s">
        <v>3552</v>
      </c>
      <c r="J1183" s="149" t="s">
        <v>3564</v>
      </c>
      <c r="K1183" s="149" t="s">
        <v>3570</v>
      </c>
      <c r="L1183" s="171">
        <f t="shared" si="27"/>
        <v>-1549200000</v>
      </c>
    </row>
    <row r="1184" spans="1:12" x14ac:dyDescent="0.25">
      <c r="A1184" s="7" t="s">
        <v>2005</v>
      </c>
      <c r="B1184" s="60">
        <v>521211</v>
      </c>
      <c r="C1184" s="41" t="s">
        <v>7</v>
      </c>
      <c r="D1184" s="60"/>
      <c r="E1184" s="60"/>
      <c r="F1184" s="42"/>
      <c r="G1184" s="42">
        <v>63000000</v>
      </c>
      <c r="H1184" s="165">
        <v>1560000000</v>
      </c>
      <c r="I1184" s="150" t="s">
        <v>3552</v>
      </c>
      <c r="J1184" s="149" t="s">
        <v>3564</v>
      </c>
      <c r="K1184" s="149" t="s">
        <v>3570</v>
      </c>
      <c r="L1184" s="171">
        <f t="shared" si="27"/>
        <v>-1497000000</v>
      </c>
    </row>
    <row r="1185" spans="1:12" x14ac:dyDescent="0.25">
      <c r="A1185" s="7" t="s">
        <v>2006</v>
      </c>
      <c r="B1185" s="192"/>
      <c r="C1185" s="191" t="s">
        <v>4117</v>
      </c>
      <c r="D1185" s="192">
        <v>12</v>
      </c>
      <c r="E1185" s="192" t="s">
        <v>52</v>
      </c>
      <c r="F1185" s="193">
        <v>5000000</v>
      </c>
      <c r="G1185" s="45">
        <f>ROUNDDOWN(D1185*F1185,-3)</f>
        <v>60000000</v>
      </c>
      <c r="H1185" s="165">
        <v>113400000</v>
      </c>
      <c r="I1185" s="150" t="s">
        <v>3552</v>
      </c>
      <c r="J1185" s="149" t="s">
        <v>3564</v>
      </c>
      <c r="K1185" s="149" t="s">
        <v>3570</v>
      </c>
      <c r="L1185" s="171">
        <f t="shared" si="27"/>
        <v>-53400000</v>
      </c>
    </row>
    <row r="1186" spans="1:12" x14ac:dyDescent="0.25">
      <c r="A1186" s="7" t="s">
        <v>2008</v>
      </c>
      <c r="B1186" s="61"/>
      <c r="C1186" s="44" t="s">
        <v>4118</v>
      </c>
      <c r="D1186" s="61">
        <v>1</v>
      </c>
      <c r="E1186" s="61" t="s">
        <v>52</v>
      </c>
      <c r="F1186" s="45">
        <v>3000000</v>
      </c>
      <c r="G1186" s="45">
        <f>ROUNDDOWN(D1186*F1186,-3)</f>
        <v>3000000</v>
      </c>
      <c r="H1186" s="165">
        <v>113400000</v>
      </c>
      <c r="I1186" s="150" t="s">
        <v>3552</v>
      </c>
      <c r="J1186" s="149" t="s">
        <v>3564</v>
      </c>
      <c r="K1186" s="149" t="s">
        <v>3570</v>
      </c>
      <c r="L1186" s="171">
        <f t="shared" si="27"/>
        <v>-110400000</v>
      </c>
    </row>
    <row r="1187" spans="1:12" x14ac:dyDescent="0.25">
      <c r="A1187" s="7" t="s">
        <v>2010</v>
      </c>
      <c r="B1187" s="60">
        <v>521811</v>
      </c>
      <c r="C1187" s="41" t="s">
        <v>64</v>
      </c>
      <c r="D1187" s="60"/>
      <c r="E1187" s="60"/>
      <c r="F1187" s="42"/>
      <c r="G1187" s="42">
        <v>60000000</v>
      </c>
      <c r="H1187" s="165">
        <v>214200000</v>
      </c>
      <c r="I1187" s="150" t="s">
        <v>3552</v>
      </c>
      <c r="J1187" s="149" t="s">
        <v>3564</v>
      </c>
      <c r="K1187" s="149" t="s">
        <v>3570</v>
      </c>
      <c r="L1187" s="171">
        <f t="shared" si="27"/>
        <v>-154200000</v>
      </c>
    </row>
    <row r="1188" spans="1:12" x14ac:dyDescent="0.25">
      <c r="A1188" s="7" t="s">
        <v>2011</v>
      </c>
      <c r="B1188" s="61"/>
      <c r="C1188" s="44" t="s">
        <v>3625</v>
      </c>
      <c r="D1188" s="61">
        <v>12</v>
      </c>
      <c r="E1188" s="61" t="s">
        <v>52</v>
      </c>
      <c r="F1188" s="45">
        <v>2500000</v>
      </c>
      <c r="G1188" s="45">
        <f>ROUNDDOWN(D1188*F1188,-3)</f>
        <v>30000000</v>
      </c>
      <c r="H1188" s="165">
        <v>214200000</v>
      </c>
      <c r="I1188" s="150" t="s">
        <v>3552</v>
      </c>
      <c r="J1188" s="149" t="s">
        <v>3564</v>
      </c>
      <c r="K1188" s="149" t="s">
        <v>3570</v>
      </c>
      <c r="L1188" s="171">
        <f t="shared" si="27"/>
        <v>-184200000</v>
      </c>
    </row>
    <row r="1189" spans="1:12" x14ac:dyDescent="0.25">
      <c r="A1189" s="7" t="s">
        <v>2012</v>
      </c>
      <c r="B1189" s="192"/>
      <c r="C1189" s="191" t="s">
        <v>4119</v>
      </c>
      <c r="D1189" s="192">
        <v>12</v>
      </c>
      <c r="E1189" s="192" t="s">
        <v>106</v>
      </c>
      <c r="F1189" s="193">
        <v>2500000</v>
      </c>
      <c r="G1189" s="45">
        <f>ROUNDDOWN(D1189*F1189,-3)</f>
        <v>30000000</v>
      </c>
      <c r="H1189" s="165">
        <v>636000000</v>
      </c>
      <c r="I1189" s="150" t="s">
        <v>3552</v>
      </c>
      <c r="J1189" s="149" t="s">
        <v>3564</v>
      </c>
      <c r="K1189" s="149" t="s">
        <v>3570</v>
      </c>
      <c r="L1189" s="171">
        <f t="shared" si="27"/>
        <v>-606000000</v>
      </c>
    </row>
    <row r="1190" spans="1:12" x14ac:dyDescent="0.25">
      <c r="A1190" s="7" t="s">
        <v>2014</v>
      </c>
      <c r="B1190" s="59" t="s">
        <v>2015</v>
      </c>
      <c r="C1190" s="38" t="s">
        <v>2016</v>
      </c>
      <c r="D1190" s="59"/>
      <c r="E1190" s="59"/>
      <c r="F1190" s="39"/>
      <c r="G1190" s="39">
        <v>5077908000</v>
      </c>
      <c r="H1190" s="165">
        <v>636000000</v>
      </c>
      <c r="I1190" s="150" t="s">
        <v>3552</v>
      </c>
      <c r="J1190" s="149" t="s">
        <v>3564</v>
      </c>
      <c r="K1190" s="149" t="s">
        <v>3570</v>
      </c>
      <c r="L1190" s="171">
        <f t="shared" si="27"/>
        <v>4441908000</v>
      </c>
    </row>
    <row r="1191" spans="1:12" x14ac:dyDescent="0.25">
      <c r="A1191" s="7" t="s">
        <v>2017</v>
      </c>
      <c r="B1191" s="60">
        <v>521111</v>
      </c>
      <c r="C1191" s="41" t="s">
        <v>90</v>
      </c>
      <c r="D1191" s="60"/>
      <c r="E1191" s="60"/>
      <c r="F1191" s="42"/>
      <c r="G1191" s="42">
        <v>5077908000</v>
      </c>
      <c r="H1191" s="165">
        <v>3464446000</v>
      </c>
      <c r="I1191" s="150" t="s">
        <v>3552</v>
      </c>
      <c r="J1191" s="149" t="s">
        <v>3564</v>
      </c>
      <c r="K1191" s="149" t="s">
        <v>3570</v>
      </c>
      <c r="L1191" s="171">
        <f t="shared" si="27"/>
        <v>1613462000</v>
      </c>
    </row>
    <row r="1192" spans="1:12" x14ac:dyDescent="0.25">
      <c r="A1192" s="7" t="s">
        <v>2018</v>
      </c>
      <c r="B1192" s="192"/>
      <c r="C1192" s="191" t="s">
        <v>4120</v>
      </c>
      <c r="D1192" s="192">
        <v>12</v>
      </c>
      <c r="E1192" s="192" t="s">
        <v>1855</v>
      </c>
      <c r="F1192" s="193">
        <v>2310000</v>
      </c>
      <c r="G1192" s="45">
        <f>ROUNDDOWN(D1192*F1192,-3)</f>
        <v>27720000</v>
      </c>
      <c r="H1192" s="165">
        <v>1732830000</v>
      </c>
      <c r="I1192" s="150" t="s">
        <v>3552</v>
      </c>
      <c r="J1192" s="149" t="s">
        <v>3564</v>
      </c>
      <c r="K1192" s="149" t="s">
        <v>3570</v>
      </c>
      <c r="L1192" s="171">
        <f t="shared" si="27"/>
        <v>-1705110000</v>
      </c>
    </row>
    <row r="1193" spans="1:12" x14ac:dyDescent="0.25">
      <c r="A1193" s="7" t="s">
        <v>2020</v>
      </c>
      <c r="B1193" s="61"/>
      <c r="C1193" s="44" t="s">
        <v>4121</v>
      </c>
      <c r="D1193" s="61">
        <v>12</v>
      </c>
      <c r="E1193" s="61" t="s">
        <v>1855</v>
      </c>
      <c r="F1193" s="45">
        <v>189582000</v>
      </c>
      <c r="G1193" s="45">
        <f>ROUNDDOWN(D1193*F1193,-3)</f>
        <v>2274984000</v>
      </c>
      <c r="H1193" s="165">
        <v>1732830000</v>
      </c>
      <c r="I1193" s="150" t="s">
        <v>3552</v>
      </c>
      <c r="J1193" s="149" t="s">
        <v>3564</v>
      </c>
      <c r="K1193" s="149" t="s">
        <v>3570</v>
      </c>
      <c r="L1193" s="171">
        <f t="shared" si="27"/>
        <v>542154000</v>
      </c>
    </row>
    <row r="1194" spans="1:12" x14ac:dyDescent="0.25">
      <c r="A1194" s="7" t="s">
        <v>2022</v>
      </c>
      <c r="B1194" s="192"/>
      <c r="C1194" s="191" t="s">
        <v>4122</v>
      </c>
      <c r="D1194" s="192">
        <v>12</v>
      </c>
      <c r="E1194" s="192" t="s">
        <v>1855</v>
      </c>
      <c r="F1194" s="193">
        <v>231267000</v>
      </c>
      <c r="G1194" s="45">
        <f>ROUNDDOWN(D1194*F1194,-3)</f>
        <v>2775204000</v>
      </c>
      <c r="H1194" s="165">
        <v>1413616000</v>
      </c>
      <c r="I1194" s="150" t="s">
        <v>3552</v>
      </c>
      <c r="J1194" s="149" t="s">
        <v>3564</v>
      </c>
      <c r="K1194" s="149" t="s">
        <v>3570</v>
      </c>
      <c r="L1194" s="171">
        <f t="shared" si="27"/>
        <v>1361588000</v>
      </c>
    </row>
    <row r="1195" spans="1:12" x14ac:dyDescent="0.25">
      <c r="A1195" s="7" t="s">
        <v>2024</v>
      </c>
      <c r="B1195" s="59" t="s">
        <v>2025</v>
      </c>
      <c r="C1195" s="38" t="s">
        <v>107</v>
      </c>
      <c r="D1195" s="59"/>
      <c r="E1195" s="59"/>
      <c r="F1195" s="39"/>
      <c r="G1195" s="39">
        <v>2523600000</v>
      </c>
      <c r="H1195" s="165">
        <v>0</v>
      </c>
      <c r="I1195" s="150" t="s">
        <v>3552</v>
      </c>
      <c r="J1195" s="149" t="s">
        <v>3564</v>
      </c>
      <c r="K1195" s="149" t="s">
        <v>3570</v>
      </c>
      <c r="L1195" s="171">
        <f t="shared" si="27"/>
        <v>2523600000</v>
      </c>
    </row>
    <row r="1196" spans="1:12" x14ac:dyDescent="0.25">
      <c r="A1196" s="7" t="s">
        <v>2026</v>
      </c>
      <c r="B1196" s="60">
        <v>522111</v>
      </c>
      <c r="C1196" s="41" t="s">
        <v>108</v>
      </c>
      <c r="D1196" s="60"/>
      <c r="E1196" s="60"/>
      <c r="F1196" s="42"/>
      <c r="G1196" s="42">
        <v>1560000000</v>
      </c>
      <c r="H1196" s="165">
        <v>72406000</v>
      </c>
      <c r="I1196" s="150" t="s">
        <v>3552</v>
      </c>
      <c r="J1196" s="149" t="s">
        <v>3564</v>
      </c>
      <c r="K1196" s="149" t="s">
        <v>3570</v>
      </c>
      <c r="L1196" s="171">
        <f t="shared" si="27"/>
        <v>1487594000</v>
      </c>
    </row>
    <row r="1197" spans="1:12" x14ac:dyDescent="0.25">
      <c r="A1197" s="7" t="s">
        <v>2027</v>
      </c>
      <c r="B1197" s="61"/>
      <c r="C1197" s="44" t="s">
        <v>4123</v>
      </c>
      <c r="D1197" s="61">
        <v>12</v>
      </c>
      <c r="E1197" s="61" t="s">
        <v>97</v>
      </c>
      <c r="F1197" s="45">
        <v>130000000</v>
      </c>
      <c r="G1197" s="45">
        <f>ROUNDDOWN(D1197*F1197,-3)</f>
        <v>1560000000</v>
      </c>
      <c r="H1197" s="165">
        <v>50000000</v>
      </c>
      <c r="I1197" s="150" t="s">
        <v>3552</v>
      </c>
      <c r="J1197" s="149" t="s">
        <v>3564</v>
      </c>
      <c r="K1197" s="149" t="s">
        <v>3570</v>
      </c>
      <c r="L1197" s="171">
        <f t="shared" si="27"/>
        <v>1510000000</v>
      </c>
    </row>
    <row r="1198" spans="1:12" x14ac:dyDescent="0.25">
      <c r="A1198" s="7" t="s">
        <v>2029</v>
      </c>
      <c r="B1198" s="60">
        <v>522112</v>
      </c>
      <c r="C1198" s="41" t="s">
        <v>109</v>
      </c>
      <c r="D1198" s="60"/>
      <c r="E1198" s="60"/>
      <c r="F1198" s="42"/>
      <c r="G1198" s="42">
        <v>113400000</v>
      </c>
      <c r="H1198" s="165">
        <v>50000000</v>
      </c>
      <c r="I1198" s="150" t="s">
        <v>3552</v>
      </c>
      <c r="J1198" s="149" t="s">
        <v>3564</v>
      </c>
      <c r="K1198" s="149" t="s">
        <v>3570</v>
      </c>
      <c r="L1198" s="171">
        <f t="shared" si="27"/>
        <v>63400000</v>
      </c>
    </row>
    <row r="1199" spans="1:12" x14ac:dyDescent="0.25">
      <c r="A1199" s="7" t="s">
        <v>2030</v>
      </c>
      <c r="B1199" s="61"/>
      <c r="C1199" s="44" t="s">
        <v>4124</v>
      </c>
      <c r="D1199" s="61">
        <v>12</v>
      </c>
      <c r="E1199" s="61" t="s">
        <v>97</v>
      </c>
      <c r="F1199" s="45">
        <v>9450000</v>
      </c>
      <c r="G1199" s="45">
        <f>ROUNDDOWN(D1199*F1199,-3)</f>
        <v>113400000</v>
      </c>
      <c r="H1199" s="165">
        <v>10000000</v>
      </c>
      <c r="I1199" s="150" t="s">
        <v>3552</v>
      </c>
      <c r="J1199" s="149" t="s">
        <v>3564</v>
      </c>
      <c r="K1199" s="149" t="s">
        <v>3570</v>
      </c>
      <c r="L1199" s="171">
        <f t="shared" si="27"/>
        <v>103400000</v>
      </c>
    </row>
    <row r="1200" spans="1:12" x14ac:dyDescent="0.25">
      <c r="A1200" s="7" t="s">
        <v>2032</v>
      </c>
      <c r="B1200" s="60">
        <v>522113</v>
      </c>
      <c r="C1200" s="41" t="s">
        <v>110</v>
      </c>
      <c r="D1200" s="60"/>
      <c r="E1200" s="60"/>
      <c r="F1200" s="42"/>
      <c r="G1200" s="42">
        <v>214200000</v>
      </c>
      <c r="H1200" s="165">
        <v>204000000</v>
      </c>
      <c r="I1200" s="150" t="s">
        <v>3552</v>
      </c>
      <c r="J1200" s="149" t="s">
        <v>3564</v>
      </c>
      <c r="K1200" s="149" t="s">
        <v>3570</v>
      </c>
      <c r="L1200" s="171">
        <f t="shared" si="27"/>
        <v>10200000</v>
      </c>
    </row>
    <row r="1201" spans="1:12" x14ac:dyDescent="0.25">
      <c r="A1201" s="7" t="s">
        <v>2033</v>
      </c>
      <c r="B1201" s="61"/>
      <c r="C1201" s="44" t="s">
        <v>4125</v>
      </c>
      <c r="D1201" s="61">
        <v>12</v>
      </c>
      <c r="E1201" s="61" t="s">
        <v>97</v>
      </c>
      <c r="F1201" s="45">
        <v>17850000</v>
      </c>
      <c r="G1201" s="45">
        <f>ROUNDDOWN(D1201*F1201,-3)</f>
        <v>214200000</v>
      </c>
      <c r="H1201" s="165">
        <v>30000000</v>
      </c>
      <c r="I1201" s="150" t="s">
        <v>3552</v>
      </c>
      <c r="J1201" s="149" t="s">
        <v>3564</v>
      </c>
      <c r="K1201" s="149" t="s">
        <v>3570</v>
      </c>
      <c r="L1201" s="171">
        <f t="shared" si="27"/>
        <v>184200000</v>
      </c>
    </row>
    <row r="1202" spans="1:12" x14ac:dyDescent="0.25">
      <c r="A1202" s="7" t="s">
        <v>2035</v>
      </c>
      <c r="B1202" s="60">
        <v>522119</v>
      </c>
      <c r="C1202" s="41" t="s">
        <v>111</v>
      </c>
      <c r="D1202" s="60"/>
      <c r="E1202" s="60"/>
      <c r="F1202" s="42"/>
      <c r="G1202" s="42">
        <v>636000000</v>
      </c>
      <c r="H1202" s="165">
        <v>16500000</v>
      </c>
      <c r="I1202" s="150" t="s">
        <v>3552</v>
      </c>
      <c r="J1202" s="149" t="s">
        <v>3564</v>
      </c>
      <c r="K1202" s="149" t="s">
        <v>3570</v>
      </c>
      <c r="L1202" s="171">
        <f t="shared" si="27"/>
        <v>619500000</v>
      </c>
    </row>
    <row r="1203" spans="1:12" x14ac:dyDescent="0.25">
      <c r="A1203" s="7" t="s">
        <v>2036</v>
      </c>
      <c r="B1203" s="61"/>
      <c r="C1203" s="44" t="s">
        <v>4126</v>
      </c>
      <c r="D1203" s="61">
        <v>12</v>
      </c>
      <c r="E1203" s="61" t="s">
        <v>97</v>
      </c>
      <c r="F1203" s="45">
        <v>53000000</v>
      </c>
      <c r="G1203" s="45">
        <f>ROUNDDOWN(D1203*F1203,-3)</f>
        <v>636000000</v>
      </c>
      <c r="H1203" s="165">
        <v>10500000</v>
      </c>
      <c r="I1203" s="150" t="s">
        <v>3552</v>
      </c>
      <c r="J1203" s="149" t="s">
        <v>3564</v>
      </c>
      <c r="K1203" s="149" t="s">
        <v>3570</v>
      </c>
      <c r="L1203" s="171">
        <f t="shared" si="27"/>
        <v>625500000</v>
      </c>
    </row>
    <row r="1204" spans="1:12" x14ac:dyDescent="0.25">
      <c r="A1204" s="7" t="s">
        <v>2038</v>
      </c>
      <c r="B1204" s="59" t="s">
        <v>2039</v>
      </c>
      <c r="C1204" s="38" t="s">
        <v>112</v>
      </c>
      <c r="D1204" s="59"/>
      <c r="E1204" s="59"/>
      <c r="F1204" s="39"/>
      <c r="G1204" s="39">
        <v>3464446000</v>
      </c>
      <c r="H1204" s="165">
        <v>75000000</v>
      </c>
      <c r="I1204" s="150" t="s">
        <v>3552</v>
      </c>
      <c r="J1204" s="149" t="s">
        <v>3564</v>
      </c>
      <c r="K1204" s="149" t="s">
        <v>3570</v>
      </c>
      <c r="L1204" s="171">
        <f t="shared" si="27"/>
        <v>3389446000</v>
      </c>
    </row>
    <row r="1205" spans="1:12" x14ac:dyDescent="0.25">
      <c r="A1205" s="7" t="s">
        <v>2040</v>
      </c>
      <c r="B1205" s="60">
        <v>523111</v>
      </c>
      <c r="C1205" s="41" t="s">
        <v>113</v>
      </c>
      <c r="D1205" s="60"/>
      <c r="E1205" s="60"/>
      <c r="F1205" s="42"/>
      <c r="G1205" s="42">
        <v>1732830000</v>
      </c>
      <c r="H1205" s="165">
        <v>50000000</v>
      </c>
      <c r="I1205" s="150" t="s">
        <v>3552</v>
      </c>
      <c r="J1205" s="149" t="s">
        <v>3564</v>
      </c>
      <c r="K1205" s="149" t="s">
        <v>3570</v>
      </c>
      <c r="L1205" s="171">
        <f t="shared" si="27"/>
        <v>1682830000</v>
      </c>
    </row>
    <row r="1206" spans="1:12" x14ac:dyDescent="0.25">
      <c r="A1206" s="7" t="s">
        <v>2041</v>
      </c>
      <c r="B1206" s="61"/>
      <c r="C1206" s="44" t="s">
        <v>4127</v>
      </c>
      <c r="D1206" s="61">
        <v>10502</v>
      </c>
      <c r="E1206" s="61" t="s">
        <v>46</v>
      </c>
      <c r="F1206" s="45">
        <v>165000</v>
      </c>
      <c r="G1206" s="45">
        <f>ROUNDDOWN(D1206*F1206,-3)</f>
        <v>1732830000</v>
      </c>
      <c r="H1206" s="165">
        <v>3450000</v>
      </c>
      <c r="I1206" s="150" t="s">
        <v>3552</v>
      </c>
      <c r="J1206" s="149" t="s">
        <v>3564</v>
      </c>
      <c r="K1206" s="149" t="s">
        <v>3570</v>
      </c>
      <c r="L1206" s="171">
        <f t="shared" si="27"/>
        <v>1729380000</v>
      </c>
    </row>
    <row r="1207" spans="1:12" x14ac:dyDescent="0.25">
      <c r="A1207" s="7" t="s">
        <v>2043</v>
      </c>
      <c r="B1207" s="60">
        <v>523121</v>
      </c>
      <c r="C1207" s="41" t="s">
        <v>99</v>
      </c>
      <c r="D1207" s="60"/>
      <c r="E1207" s="60"/>
      <c r="F1207" s="42"/>
      <c r="G1207" s="42">
        <v>1413616000</v>
      </c>
      <c r="H1207" s="165">
        <v>50000000</v>
      </c>
      <c r="I1207" s="150" t="s">
        <v>3552</v>
      </c>
      <c r="J1207" s="149" t="s">
        <v>3564</v>
      </c>
      <c r="K1207" s="149" t="s">
        <v>3570</v>
      </c>
      <c r="L1207" s="171">
        <f t="shared" si="27"/>
        <v>1363616000</v>
      </c>
    </row>
    <row r="1208" spans="1:12" x14ac:dyDescent="0.25">
      <c r="B1208" s="61"/>
      <c r="C1208" s="44" t="s">
        <v>4128</v>
      </c>
      <c r="D1208" s="61"/>
      <c r="E1208" s="61"/>
      <c r="F1208" s="45"/>
      <c r="G1208" s="45">
        <v>1413616000</v>
      </c>
      <c r="H1208" s="165">
        <v>150000000</v>
      </c>
      <c r="I1208" s="150" t="s">
        <v>3552</v>
      </c>
      <c r="J1208" s="149" t="s">
        <v>3564</v>
      </c>
      <c r="K1208" s="149" t="s">
        <v>3570</v>
      </c>
      <c r="L1208" s="171">
        <f t="shared" si="27"/>
        <v>1263616000</v>
      </c>
    </row>
    <row r="1209" spans="1:12" x14ac:dyDescent="0.25">
      <c r="A1209" s="7" t="s">
        <v>2045</v>
      </c>
      <c r="B1209" s="61"/>
      <c r="C1209" s="44" t="s">
        <v>4129</v>
      </c>
      <c r="D1209" s="61">
        <v>5</v>
      </c>
      <c r="E1209" s="61" t="s">
        <v>42</v>
      </c>
      <c r="F1209" s="45">
        <v>690000</v>
      </c>
      <c r="G1209" s="45">
        <f>ROUNDDOWN(D1209*F1209,-3)</f>
        <v>3450000</v>
      </c>
      <c r="H1209" s="165">
        <v>75640000</v>
      </c>
      <c r="I1209" s="150" t="s">
        <v>3552</v>
      </c>
      <c r="J1209" s="149" t="s">
        <v>3564</v>
      </c>
      <c r="K1209" s="149" t="s">
        <v>3570</v>
      </c>
      <c r="L1209" s="171">
        <f t="shared" si="27"/>
        <v>-72190000</v>
      </c>
    </row>
    <row r="1210" spans="1:12" x14ac:dyDescent="0.25">
      <c r="A1210" s="7" t="s">
        <v>2047</v>
      </c>
      <c r="B1210" s="61"/>
      <c r="C1210" s="44" t="s">
        <v>4130</v>
      </c>
      <c r="D1210" s="61">
        <v>1</v>
      </c>
      <c r="E1210" s="61" t="s">
        <v>63</v>
      </c>
      <c r="F1210" s="45">
        <v>50000000</v>
      </c>
      <c r="G1210" s="45">
        <f>ROUNDDOWN(D1210*F1210,-3)</f>
        <v>50000000</v>
      </c>
      <c r="H1210" s="165">
        <v>100000000</v>
      </c>
      <c r="I1210" s="150" t="s">
        <v>3552</v>
      </c>
      <c r="J1210" s="149" t="s">
        <v>3564</v>
      </c>
      <c r="K1210" s="149" t="s">
        <v>3570</v>
      </c>
      <c r="L1210" s="171">
        <f t="shared" si="27"/>
        <v>-50000000</v>
      </c>
    </row>
    <row r="1211" spans="1:12" x14ac:dyDescent="0.25">
      <c r="A1211" s="7" t="s">
        <v>2049</v>
      </c>
      <c r="B1211" s="61"/>
      <c r="C1211" s="44" t="s">
        <v>4131</v>
      </c>
      <c r="D1211" s="61">
        <v>2</v>
      </c>
      <c r="E1211" s="61" t="s">
        <v>42</v>
      </c>
      <c r="F1211" s="45">
        <v>1000000</v>
      </c>
      <c r="G1211" s="45">
        <f>ROUNDDOWN(D1211*F1211,-3)</f>
        <v>2000000</v>
      </c>
      <c r="H1211" s="165">
        <v>50000000</v>
      </c>
      <c r="I1211" s="150" t="s">
        <v>3552</v>
      </c>
      <c r="J1211" s="149" t="s">
        <v>3564</v>
      </c>
      <c r="K1211" s="149" t="s">
        <v>3570</v>
      </c>
      <c r="L1211" s="171">
        <f t="shared" si="27"/>
        <v>-48000000</v>
      </c>
    </row>
    <row r="1212" spans="1:12" x14ac:dyDescent="0.25">
      <c r="B1212" s="61"/>
      <c r="C1212" s="44" t="s">
        <v>4132</v>
      </c>
      <c r="D1212" s="61"/>
      <c r="E1212" s="61"/>
      <c r="F1212" s="45"/>
      <c r="G1212" s="45">
        <v>1358166000</v>
      </c>
      <c r="H1212" s="165">
        <v>50000000</v>
      </c>
      <c r="I1212" s="150" t="s">
        <v>3552</v>
      </c>
      <c r="J1212" s="149" t="s">
        <v>3564</v>
      </c>
      <c r="K1212" s="149" t="s">
        <v>3570</v>
      </c>
      <c r="L1212" s="171">
        <f t="shared" si="27"/>
        <v>1308166000</v>
      </c>
    </row>
    <row r="1213" spans="1:12" ht="26.4" x14ac:dyDescent="0.25">
      <c r="A1213" s="7" t="s">
        <v>2051</v>
      </c>
      <c r="B1213" s="61"/>
      <c r="C1213" s="44" t="s">
        <v>4133</v>
      </c>
      <c r="D1213" s="61">
        <v>1</v>
      </c>
      <c r="E1213" s="61" t="s">
        <v>42</v>
      </c>
      <c r="F1213" s="45">
        <v>50000000</v>
      </c>
      <c r="G1213" s="45">
        <f t="shared" ref="G1213:G1231" si="29">ROUNDDOWN(D1213*F1213,-3)</f>
        <v>50000000</v>
      </c>
      <c r="H1213" s="165">
        <v>2000000</v>
      </c>
      <c r="I1213" s="150" t="s">
        <v>3552</v>
      </c>
      <c r="J1213" s="149" t="s">
        <v>3564</v>
      </c>
      <c r="K1213" s="149" t="s">
        <v>3570</v>
      </c>
      <c r="L1213" s="171">
        <f t="shared" si="27"/>
        <v>48000000</v>
      </c>
    </row>
    <row r="1214" spans="1:12" x14ac:dyDescent="0.25">
      <c r="A1214" s="7" t="s">
        <v>2053</v>
      </c>
      <c r="B1214" s="61"/>
      <c r="C1214" s="44" t="s">
        <v>4134</v>
      </c>
      <c r="D1214" s="61">
        <v>100</v>
      </c>
      <c r="E1214" s="61" t="s">
        <v>42</v>
      </c>
      <c r="F1214" s="45">
        <v>1000000</v>
      </c>
      <c r="G1214" s="45">
        <f t="shared" si="29"/>
        <v>100000000</v>
      </c>
      <c r="H1214" s="165">
        <v>0</v>
      </c>
      <c r="I1214" s="150" t="s">
        <v>3552</v>
      </c>
      <c r="J1214" s="149" t="s">
        <v>3564</v>
      </c>
      <c r="K1214" s="149" t="s">
        <v>3570</v>
      </c>
      <c r="L1214" s="171">
        <f t="shared" si="27"/>
        <v>100000000</v>
      </c>
    </row>
    <row r="1215" spans="1:12" x14ac:dyDescent="0.25">
      <c r="A1215" s="7" t="s">
        <v>2055</v>
      </c>
      <c r="B1215" s="61"/>
      <c r="C1215" s="44" t="s">
        <v>4135</v>
      </c>
      <c r="D1215" s="61">
        <v>2</v>
      </c>
      <c r="E1215" s="61" t="s">
        <v>42</v>
      </c>
      <c r="F1215" s="45">
        <v>33650000</v>
      </c>
      <c r="G1215" s="45">
        <f t="shared" si="29"/>
        <v>67300000</v>
      </c>
      <c r="H1215" s="165">
        <v>50000000</v>
      </c>
      <c r="I1215" s="150" t="s">
        <v>3552</v>
      </c>
      <c r="J1215" s="149" t="s">
        <v>3564</v>
      </c>
      <c r="K1215" s="149" t="s">
        <v>3570</v>
      </c>
      <c r="L1215" s="171">
        <f t="shared" si="27"/>
        <v>17300000</v>
      </c>
    </row>
    <row r="1216" spans="1:12" ht="26.4" x14ac:dyDescent="0.25">
      <c r="A1216" s="7" t="s">
        <v>2057</v>
      </c>
      <c r="B1216" s="61"/>
      <c r="C1216" s="44" t="s">
        <v>4136</v>
      </c>
      <c r="D1216" s="61">
        <v>12</v>
      </c>
      <c r="E1216" s="61" t="s">
        <v>106</v>
      </c>
      <c r="F1216" s="45">
        <v>12235000</v>
      </c>
      <c r="G1216" s="45">
        <f t="shared" si="29"/>
        <v>146820000</v>
      </c>
      <c r="H1216" s="165">
        <v>100000000</v>
      </c>
      <c r="I1216" s="150" t="s">
        <v>3552</v>
      </c>
      <c r="J1216" s="149" t="s">
        <v>3564</v>
      </c>
      <c r="K1216" s="149" t="s">
        <v>3570</v>
      </c>
      <c r="L1216" s="171">
        <f t="shared" si="27"/>
        <v>46820000</v>
      </c>
    </row>
    <row r="1217" spans="1:12" x14ac:dyDescent="0.25">
      <c r="A1217" s="7" t="s">
        <v>2060</v>
      </c>
      <c r="B1217" s="61"/>
      <c r="C1217" s="44" t="s">
        <v>4137</v>
      </c>
      <c r="D1217" s="61">
        <v>2</v>
      </c>
      <c r="E1217" s="61" t="s">
        <v>42</v>
      </c>
      <c r="F1217" s="45">
        <v>36203000</v>
      </c>
      <c r="G1217" s="45">
        <f t="shared" si="29"/>
        <v>72406000</v>
      </c>
      <c r="H1217" s="165">
        <v>67300000</v>
      </c>
      <c r="I1217" s="150" t="s">
        <v>3552</v>
      </c>
      <c r="J1217" s="149" t="s">
        <v>3564</v>
      </c>
      <c r="K1217" s="149" t="s">
        <v>3570</v>
      </c>
      <c r="L1217" s="171">
        <f t="shared" si="27"/>
        <v>5106000</v>
      </c>
    </row>
    <row r="1218" spans="1:12" x14ac:dyDescent="0.25">
      <c r="A1218" s="7" t="s">
        <v>2062</v>
      </c>
      <c r="B1218" s="61"/>
      <c r="C1218" s="44" t="s">
        <v>4138</v>
      </c>
      <c r="D1218" s="61">
        <v>1</v>
      </c>
      <c r="E1218" s="61" t="s">
        <v>63</v>
      </c>
      <c r="F1218" s="45">
        <v>50000000</v>
      </c>
      <c r="G1218" s="45">
        <f t="shared" si="29"/>
        <v>50000000</v>
      </c>
      <c r="H1218" s="165">
        <v>146820000</v>
      </c>
      <c r="I1218" s="150" t="s">
        <v>3552</v>
      </c>
      <c r="J1218" s="149" t="s">
        <v>3564</v>
      </c>
      <c r="K1218" s="149" t="s">
        <v>3570</v>
      </c>
      <c r="L1218" s="171">
        <f t="shared" si="27"/>
        <v>-96820000</v>
      </c>
    </row>
    <row r="1219" spans="1:12" x14ac:dyDescent="0.25">
      <c r="A1219" s="7" t="s">
        <v>2064</v>
      </c>
      <c r="B1219" s="192"/>
      <c r="C1219" s="191" t="s">
        <v>4139</v>
      </c>
      <c r="D1219" s="192">
        <v>1</v>
      </c>
      <c r="E1219" s="192" t="s">
        <v>63</v>
      </c>
      <c r="F1219" s="193">
        <v>50000000</v>
      </c>
      <c r="G1219" s="45">
        <f t="shared" si="29"/>
        <v>50000000</v>
      </c>
      <c r="H1219" s="165">
        <v>318000000</v>
      </c>
      <c r="I1219" s="150" t="s">
        <v>3552</v>
      </c>
      <c r="J1219" s="149" t="s">
        <v>3564</v>
      </c>
      <c r="K1219" s="149" t="s">
        <v>3570</v>
      </c>
      <c r="L1219" s="171">
        <f t="shared" si="27"/>
        <v>-268000000</v>
      </c>
    </row>
    <row r="1220" spans="1:12" x14ac:dyDescent="0.25">
      <c r="A1220" s="7" t="s">
        <v>2066</v>
      </c>
      <c r="B1220" s="61"/>
      <c r="C1220" s="44" t="s">
        <v>4140</v>
      </c>
      <c r="D1220" s="61">
        <v>1</v>
      </c>
      <c r="E1220" s="61" t="s">
        <v>106</v>
      </c>
      <c r="F1220" s="45">
        <v>10000000</v>
      </c>
      <c r="G1220" s="45">
        <f t="shared" si="29"/>
        <v>10000000</v>
      </c>
      <c r="H1220" s="165">
        <v>108000000</v>
      </c>
      <c r="I1220" s="150" t="s">
        <v>3552</v>
      </c>
      <c r="J1220" s="149" t="s">
        <v>3564</v>
      </c>
      <c r="K1220" s="149" t="s">
        <v>3570</v>
      </c>
      <c r="L1220" s="171">
        <f t="shared" si="27"/>
        <v>-98000000</v>
      </c>
    </row>
    <row r="1221" spans="1:12" ht="26.4" x14ac:dyDescent="0.25">
      <c r="A1221" s="7" t="s">
        <v>2067</v>
      </c>
      <c r="B1221" s="61"/>
      <c r="C1221" s="44" t="s">
        <v>4141</v>
      </c>
      <c r="D1221" s="61">
        <v>12</v>
      </c>
      <c r="E1221" s="61" t="s">
        <v>97</v>
      </c>
      <c r="F1221" s="45">
        <v>17000000</v>
      </c>
      <c r="G1221" s="45">
        <f t="shared" si="29"/>
        <v>204000000</v>
      </c>
      <c r="H1221" s="165">
        <v>210000000</v>
      </c>
      <c r="I1221" s="150" t="s">
        <v>3552</v>
      </c>
      <c r="J1221" s="149" t="s">
        <v>3564</v>
      </c>
      <c r="K1221" s="149" t="s">
        <v>3570</v>
      </c>
      <c r="L1221" s="171">
        <f t="shared" si="27"/>
        <v>-6000000</v>
      </c>
    </row>
    <row r="1222" spans="1:12" x14ac:dyDescent="0.25">
      <c r="A1222" s="7" t="s">
        <v>2069</v>
      </c>
      <c r="B1222" s="192"/>
      <c r="C1222" s="191" t="s">
        <v>4142</v>
      </c>
      <c r="D1222" s="192">
        <v>1</v>
      </c>
      <c r="E1222" s="192" t="s">
        <v>63</v>
      </c>
      <c r="F1222" s="193">
        <v>30000000</v>
      </c>
      <c r="G1222" s="45">
        <f t="shared" si="29"/>
        <v>30000000</v>
      </c>
      <c r="H1222" s="165">
        <v>1577491000</v>
      </c>
      <c r="I1222" s="150" t="s">
        <v>3553</v>
      </c>
      <c r="J1222" s="149" t="s">
        <v>3558</v>
      </c>
      <c r="K1222" s="149" t="s">
        <v>3570</v>
      </c>
      <c r="L1222" s="171">
        <f t="shared" si="27"/>
        <v>-1547491000</v>
      </c>
    </row>
    <row r="1223" spans="1:12" x14ac:dyDescent="0.25">
      <c r="A1223" s="7" t="s">
        <v>2071</v>
      </c>
      <c r="B1223" s="192"/>
      <c r="C1223" s="191" t="s">
        <v>4143</v>
      </c>
      <c r="D1223" s="192">
        <v>50</v>
      </c>
      <c r="E1223" s="192" t="s">
        <v>2059</v>
      </c>
      <c r="F1223" s="193">
        <v>330000</v>
      </c>
      <c r="G1223" s="45">
        <f t="shared" si="29"/>
        <v>16500000</v>
      </c>
      <c r="H1223" s="165">
        <v>1500322000</v>
      </c>
      <c r="I1223" s="150" t="s">
        <v>3553</v>
      </c>
      <c r="J1223" s="149" t="s">
        <v>3558</v>
      </c>
      <c r="K1223" s="149" t="s">
        <v>3570</v>
      </c>
      <c r="L1223" s="171">
        <f t="shared" si="27"/>
        <v>-1483822000</v>
      </c>
    </row>
    <row r="1224" spans="1:12" x14ac:dyDescent="0.25">
      <c r="A1224" s="7" t="s">
        <v>2073</v>
      </c>
      <c r="B1224" s="61"/>
      <c r="C1224" s="44" t="s">
        <v>4144</v>
      </c>
      <c r="D1224" s="61">
        <v>3</v>
      </c>
      <c r="E1224" s="61" t="s">
        <v>42</v>
      </c>
      <c r="F1224" s="45">
        <v>3500000</v>
      </c>
      <c r="G1224" s="45">
        <f t="shared" si="29"/>
        <v>10500000</v>
      </c>
      <c r="H1224" s="165">
        <v>79040000</v>
      </c>
      <c r="I1224" s="150" t="s">
        <v>3553</v>
      </c>
      <c r="J1224" s="149" t="s">
        <v>3558</v>
      </c>
      <c r="K1224" s="149" t="s">
        <v>3570</v>
      </c>
      <c r="L1224" s="171">
        <f t="shared" si="27"/>
        <v>-68540000</v>
      </c>
    </row>
    <row r="1225" spans="1:12" x14ac:dyDescent="0.25">
      <c r="A1225" s="7" t="s">
        <v>2075</v>
      </c>
      <c r="B1225" s="61"/>
      <c r="C1225" s="44" t="s">
        <v>4145</v>
      </c>
      <c r="D1225" s="61">
        <v>5</v>
      </c>
      <c r="E1225" s="61" t="s">
        <v>42</v>
      </c>
      <c r="F1225" s="45">
        <v>15000000</v>
      </c>
      <c r="G1225" s="45">
        <f t="shared" si="29"/>
        <v>75000000</v>
      </c>
      <c r="H1225" s="165">
        <v>947310000</v>
      </c>
      <c r="I1225" s="150" t="s">
        <v>3553</v>
      </c>
      <c r="J1225" s="149" t="s">
        <v>3558</v>
      </c>
      <c r="K1225" s="149" t="s">
        <v>3570</v>
      </c>
      <c r="L1225" s="171">
        <f t="shared" si="27"/>
        <v>-872310000</v>
      </c>
    </row>
    <row r="1226" spans="1:12" x14ac:dyDescent="0.25">
      <c r="A1226" s="7" t="s">
        <v>2077</v>
      </c>
      <c r="B1226" s="61"/>
      <c r="C1226" s="44" t="s">
        <v>4146</v>
      </c>
      <c r="D1226" s="61">
        <v>1</v>
      </c>
      <c r="E1226" s="61" t="s">
        <v>106</v>
      </c>
      <c r="F1226" s="45">
        <v>50000000</v>
      </c>
      <c r="G1226" s="45">
        <f t="shared" si="29"/>
        <v>50000000</v>
      </c>
      <c r="H1226" s="165">
        <v>69472000</v>
      </c>
      <c r="I1226" s="150" t="s">
        <v>3553</v>
      </c>
      <c r="J1226" s="149" t="s">
        <v>3558</v>
      </c>
      <c r="K1226" s="149" t="s">
        <v>3570</v>
      </c>
      <c r="L1226" s="171">
        <f t="shared" si="27"/>
        <v>-19472000</v>
      </c>
    </row>
    <row r="1227" spans="1:12" x14ac:dyDescent="0.25">
      <c r="A1227" s="7" t="s">
        <v>2078</v>
      </c>
      <c r="B1227" s="61"/>
      <c r="C1227" s="44" t="s">
        <v>4147</v>
      </c>
      <c r="D1227" s="61">
        <v>1</v>
      </c>
      <c r="E1227" s="61" t="s">
        <v>63</v>
      </c>
      <c r="F1227" s="45">
        <v>50000000</v>
      </c>
      <c r="G1227" s="45">
        <f t="shared" si="29"/>
        <v>50000000</v>
      </c>
      <c r="H1227" s="165">
        <v>4500000</v>
      </c>
      <c r="I1227" s="150" t="s">
        <v>3553</v>
      </c>
      <c r="J1227" s="149" t="s">
        <v>3558</v>
      </c>
      <c r="K1227" s="149" t="s">
        <v>3570</v>
      </c>
      <c r="L1227" s="171">
        <f t="shared" si="27"/>
        <v>45500000</v>
      </c>
    </row>
    <row r="1228" spans="1:12" x14ac:dyDescent="0.25">
      <c r="A1228" s="7" t="s">
        <v>2081</v>
      </c>
      <c r="B1228" s="61"/>
      <c r="C1228" s="44" t="s">
        <v>4148</v>
      </c>
      <c r="D1228" s="61">
        <v>1</v>
      </c>
      <c r="E1228" s="61" t="s">
        <v>63</v>
      </c>
      <c r="F1228" s="45">
        <v>150000000</v>
      </c>
      <c r="G1228" s="45">
        <f t="shared" si="29"/>
        <v>150000000</v>
      </c>
      <c r="H1228" s="165">
        <v>300000</v>
      </c>
      <c r="I1228" s="150" t="s">
        <v>3553</v>
      </c>
      <c r="J1228" s="149" t="s">
        <v>3558</v>
      </c>
      <c r="K1228" s="149" t="s">
        <v>3570</v>
      </c>
      <c r="L1228" s="171">
        <f t="shared" si="27"/>
        <v>149700000</v>
      </c>
    </row>
    <row r="1229" spans="1:12" x14ac:dyDescent="0.25">
      <c r="A1229" s="7" t="s">
        <v>2083</v>
      </c>
      <c r="B1229" s="61"/>
      <c r="C1229" s="44" t="s">
        <v>4149</v>
      </c>
      <c r="D1229" s="61">
        <v>124</v>
      </c>
      <c r="E1229" s="61" t="s">
        <v>42</v>
      </c>
      <c r="F1229" s="45">
        <v>610000</v>
      </c>
      <c r="G1229" s="45">
        <f t="shared" si="29"/>
        <v>75640000</v>
      </c>
      <c r="H1229" s="165">
        <v>399700000</v>
      </c>
      <c r="I1229" s="150" t="s">
        <v>3553</v>
      </c>
      <c r="J1229" s="149" t="s">
        <v>3558</v>
      </c>
      <c r="K1229" s="149" t="s">
        <v>3570</v>
      </c>
      <c r="L1229" s="171">
        <f t="shared" si="27"/>
        <v>-324060000</v>
      </c>
    </row>
    <row r="1230" spans="1:12" ht="26.4" x14ac:dyDescent="0.25">
      <c r="A1230" s="7" t="s">
        <v>2084</v>
      </c>
      <c r="B1230" s="192"/>
      <c r="C1230" s="191" t="s">
        <v>4150</v>
      </c>
      <c r="D1230" s="192">
        <v>1</v>
      </c>
      <c r="E1230" s="192" t="s">
        <v>63</v>
      </c>
      <c r="F1230" s="193">
        <v>100000000</v>
      </c>
      <c r="G1230" s="45">
        <f t="shared" si="29"/>
        <v>100000000</v>
      </c>
      <c r="H1230" s="165">
        <v>20800000</v>
      </c>
      <c r="I1230" s="150" t="s">
        <v>3553</v>
      </c>
      <c r="J1230" s="149" t="s">
        <v>3558</v>
      </c>
      <c r="K1230" s="149" t="s">
        <v>3570</v>
      </c>
      <c r="L1230" s="171">
        <f t="shared" ref="L1230:L1293" si="30">G1230-H1230</f>
        <v>79200000</v>
      </c>
    </row>
    <row r="1231" spans="1:12" x14ac:dyDescent="0.25">
      <c r="A1231" s="7" t="s">
        <v>2085</v>
      </c>
      <c r="B1231" s="61"/>
      <c r="C1231" s="44" t="s">
        <v>4151</v>
      </c>
      <c r="D1231" s="61">
        <v>1</v>
      </c>
      <c r="E1231" s="61" t="s">
        <v>63</v>
      </c>
      <c r="F1231" s="45">
        <v>50000000</v>
      </c>
      <c r="G1231" s="45">
        <f t="shared" si="29"/>
        <v>50000000</v>
      </c>
      <c r="H1231" s="165">
        <v>20800000</v>
      </c>
      <c r="I1231" s="150" t="s">
        <v>3553</v>
      </c>
      <c r="J1231" s="149" t="s">
        <v>3558</v>
      </c>
      <c r="K1231" s="149" t="s">
        <v>3570</v>
      </c>
      <c r="L1231" s="171">
        <f t="shared" si="30"/>
        <v>29200000</v>
      </c>
    </row>
    <row r="1232" spans="1:12" x14ac:dyDescent="0.25">
      <c r="A1232" s="7" t="s">
        <v>2087</v>
      </c>
      <c r="B1232" s="60">
        <v>523199</v>
      </c>
      <c r="C1232" s="41" t="s">
        <v>102</v>
      </c>
      <c r="D1232" s="60"/>
      <c r="E1232" s="60"/>
      <c r="F1232" s="42"/>
      <c r="G1232" s="42">
        <v>318000000</v>
      </c>
      <c r="H1232" s="165">
        <v>56369000</v>
      </c>
      <c r="I1232" s="150" t="s">
        <v>3553</v>
      </c>
      <c r="J1232" s="149" t="s">
        <v>3558</v>
      </c>
      <c r="K1232" s="149" t="s">
        <v>3570</v>
      </c>
      <c r="L1232" s="171">
        <f t="shared" si="30"/>
        <v>261631000</v>
      </c>
    </row>
    <row r="1233" spans="1:12" ht="26.4" x14ac:dyDescent="0.25">
      <c r="A1233" s="7" t="s">
        <v>2088</v>
      </c>
      <c r="B1233" s="61"/>
      <c r="C1233" s="44" t="s">
        <v>4152</v>
      </c>
      <c r="D1233" s="61">
        <v>72</v>
      </c>
      <c r="E1233" s="61" t="s">
        <v>42</v>
      </c>
      <c r="F1233" s="45">
        <v>1500000</v>
      </c>
      <c r="G1233" s="45">
        <f>ROUNDDOWN(D1233*F1233,-3)</f>
        <v>108000000</v>
      </c>
      <c r="H1233" s="165">
        <v>11369000</v>
      </c>
      <c r="I1233" s="150" t="s">
        <v>3553</v>
      </c>
      <c r="J1233" s="149" t="s">
        <v>3558</v>
      </c>
      <c r="K1233" s="149" t="s">
        <v>3570</v>
      </c>
      <c r="L1233" s="171">
        <f t="shared" si="30"/>
        <v>96631000</v>
      </c>
    </row>
    <row r="1234" spans="1:12" x14ac:dyDescent="0.25">
      <c r="A1234" s="7" t="s">
        <v>2090</v>
      </c>
      <c r="B1234" s="61"/>
      <c r="C1234" s="44" t="s">
        <v>4153</v>
      </c>
      <c r="D1234" s="61">
        <v>12</v>
      </c>
      <c r="E1234" s="61" t="s">
        <v>106</v>
      </c>
      <c r="F1234" s="45">
        <v>17500000</v>
      </c>
      <c r="G1234" s="45">
        <f>ROUNDDOWN(D1234*F1234,-3)</f>
        <v>210000000</v>
      </c>
      <c r="H1234" s="165">
        <v>45000000</v>
      </c>
      <c r="I1234" s="150" t="s">
        <v>3553</v>
      </c>
      <c r="J1234" s="149" t="s">
        <v>3558</v>
      </c>
      <c r="K1234" s="149" t="s">
        <v>3570</v>
      </c>
      <c r="L1234" s="171">
        <f t="shared" si="30"/>
        <v>165000000</v>
      </c>
    </row>
    <row r="1235" spans="1:12" ht="26.4" x14ac:dyDescent="0.25">
      <c r="A1235" s="7" t="s">
        <v>2092</v>
      </c>
      <c r="B1235" s="59" t="s">
        <v>1771</v>
      </c>
      <c r="C1235" s="38" t="s">
        <v>2093</v>
      </c>
      <c r="D1235" s="59"/>
      <c r="E1235" s="59"/>
      <c r="F1235" s="39"/>
      <c r="G1235" s="39">
        <v>1577491000</v>
      </c>
      <c r="H1235" s="165">
        <v>362307000</v>
      </c>
      <c r="I1235" s="150" t="s">
        <v>3553</v>
      </c>
      <c r="J1235" s="149" t="s">
        <v>3558</v>
      </c>
      <c r="K1235" s="149" t="s">
        <v>3570</v>
      </c>
      <c r="L1235" s="171">
        <f t="shared" si="30"/>
        <v>1215184000</v>
      </c>
    </row>
    <row r="1236" spans="1:12" x14ac:dyDescent="0.25">
      <c r="A1236" s="7" t="s">
        <v>2094</v>
      </c>
      <c r="B1236" s="60">
        <v>521111</v>
      </c>
      <c r="C1236" s="41" t="s">
        <v>90</v>
      </c>
      <c r="D1236" s="60"/>
      <c r="E1236" s="60"/>
      <c r="F1236" s="42"/>
      <c r="G1236" s="42">
        <v>1500322000</v>
      </c>
      <c r="H1236" s="165">
        <v>12000000</v>
      </c>
      <c r="I1236" s="150" t="s">
        <v>3553</v>
      </c>
      <c r="J1236" s="149" t="s">
        <v>3558</v>
      </c>
      <c r="K1236" s="149" t="s">
        <v>3570</v>
      </c>
      <c r="L1236" s="171">
        <f t="shared" si="30"/>
        <v>1488322000</v>
      </c>
    </row>
    <row r="1237" spans="1:12" x14ac:dyDescent="0.25">
      <c r="A1237" s="7" t="s">
        <v>2095</v>
      </c>
      <c r="B1237" s="61"/>
      <c r="C1237" s="44" t="s">
        <v>4154</v>
      </c>
      <c r="D1237" s="61">
        <v>52</v>
      </c>
      <c r="E1237" s="61" t="s">
        <v>116</v>
      </c>
      <c r="F1237" s="45">
        <v>1520000</v>
      </c>
      <c r="G1237" s="45">
        <f t="shared" ref="G1237:G1242" si="31">ROUNDDOWN(D1237*F1237,-3)</f>
        <v>79040000</v>
      </c>
      <c r="H1237" s="165">
        <v>12000000</v>
      </c>
      <c r="I1237" s="150" t="s">
        <v>3553</v>
      </c>
      <c r="J1237" s="149" t="s">
        <v>3558</v>
      </c>
      <c r="K1237" s="149" t="s">
        <v>3570</v>
      </c>
      <c r="L1237" s="171">
        <f t="shared" si="30"/>
        <v>67040000</v>
      </c>
    </row>
    <row r="1238" spans="1:12" x14ac:dyDescent="0.25">
      <c r="A1238" s="7" t="s">
        <v>2097</v>
      </c>
      <c r="B1238" s="192"/>
      <c r="C1238" s="191" t="s">
        <v>4155</v>
      </c>
      <c r="D1238" s="192">
        <v>195</v>
      </c>
      <c r="E1238" s="192" t="s">
        <v>21</v>
      </c>
      <c r="F1238" s="193">
        <v>4858000</v>
      </c>
      <c r="G1238" s="45">
        <f t="shared" si="31"/>
        <v>947310000</v>
      </c>
      <c r="H1238" s="165">
        <v>294200000</v>
      </c>
      <c r="I1238" s="150" t="s">
        <v>3553</v>
      </c>
      <c r="J1238" s="149" t="s">
        <v>3558</v>
      </c>
      <c r="K1238" s="149" t="s">
        <v>3570</v>
      </c>
      <c r="L1238" s="171">
        <f t="shared" si="30"/>
        <v>653110000</v>
      </c>
    </row>
    <row r="1239" spans="1:12" x14ac:dyDescent="0.25">
      <c r="A1239" s="7" t="s">
        <v>2099</v>
      </c>
      <c r="B1239" s="61"/>
      <c r="C1239" s="44" t="s">
        <v>4156</v>
      </c>
      <c r="D1239" s="61">
        <v>13</v>
      </c>
      <c r="E1239" s="61" t="s">
        <v>32</v>
      </c>
      <c r="F1239" s="45">
        <v>5344000</v>
      </c>
      <c r="G1239" s="45">
        <f t="shared" si="31"/>
        <v>69472000</v>
      </c>
      <c r="H1239" s="165">
        <v>49200000</v>
      </c>
      <c r="I1239" s="150" t="s">
        <v>3553</v>
      </c>
      <c r="J1239" s="149" t="s">
        <v>3558</v>
      </c>
      <c r="K1239" s="149" t="s">
        <v>3570</v>
      </c>
      <c r="L1239" s="171">
        <f t="shared" si="30"/>
        <v>20272000</v>
      </c>
    </row>
    <row r="1240" spans="1:12" ht="26.4" x14ac:dyDescent="0.25">
      <c r="A1240" s="7" t="s">
        <v>2101</v>
      </c>
      <c r="B1240" s="61"/>
      <c r="C1240" s="44" t="s">
        <v>4157</v>
      </c>
      <c r="D1240" s="61">
        <v>180</v>
      </c>
      <c r="E1240" s="61" t="s">
        <v>32</v>
      </c>
      <c r="F1240" s="45">
        <v>25000</v>
      </c>
      <c r="G1240" s="45">
        <f t="shared" si="31"/>
        <v>4500000</v>
      </c>
      <c r="H1240" s="165">
        <v>36000000</v>
      </c>
      <c r="I1240" s="150" t="s">
        <v>3553</v>
      </c>
      <c r="J1240" s="149" t="s">
        <v>3558</v>
      </c>
      <c r="K1240" s="149" t="s">
        <v>3570</v>
      </c>
      <c r="L1240" s="171">
        <f t="shared" si="30"/>
        <v>-31500000</v>
      </c>
    </row>
    <row r="1241" spans="1:12" x14ac:dyDescent="0.25">
      <c r="A1241" s="7" t="s">
        <v>2103</v>
      </c>
      <c r="B1241" s="61"/>
      <c r="C1241" s="44" t="s">
        <v>4158</v>
      </c>
      <c r="D1241" s="61">
        <v>12</v>
      </c>
      <c r="E1241" s="61" t="s">
        <v>21</v>
      </c>
      <c r="F1241" s="45">
        <v>25000</v>
      </c>
      <c r="G1241" s="45">
        <f t="shared" si="31"/>
        <v>300000</v>
      </c>
      <c r="H1241" s="165">
        <v>50000000</v>
      </c>
      <c r="I1241" s="150" t="s">
        <v>3553</v>
      </c>
      <c r="J1241" s="149" t="s">
        <v>3558</v>
      </c>
      <c r="K1241" s="149" t="s">
        <v>3570</v>
      </c>
      <c r="L1241" s="171">
        <f t="shared" si="30"/>
        <v>-49700000</v>
      </c>
    </row>
    <row r="1242" spans="1:12" x14ac:dyDescent="0.25">
      <c r="A1242" s="7" t="s">
        <v>2105</v>
      </c>
      <c r="B1242" s="61"/>
      <c r="C1242" s="44" t="s">
        <v>4159</v>
      </c>
      <c r="D1242" s="61">
        <v>2</v>
      </c>
      <c r="E1242" s="61" t="s">
        <v>9</v>
      </c>
      <c r="F1242" s="45">
        <v>199850000</v>
      </c>
      <c r="G1242" s="45">
        <f t="shared" si="31"/>
        <v>399700000</v>
      </c>
      <c r="H1242" s="165">
        <v>159000000</v>
      </c>
      <c r="I1242" s="150" t="s">
        <v>3553</v>
      </c>
      <c r="J1242" s="149" t="s">
        <v>3558</v>
      </c>
      <c r="K1242" s="149" t="s">
        <v>3570</v>
      </c>
      <c r="L1242" s="171">
        <f t="shared" si="30"/>
        <v>240700000</v>
      </c>
    </row>
    <row r="1243" spans="1:12" ht="26.4" x14ac:dyDescent="0.25">
      <c r="A1243" s="7" t="s">
        <v>2107</v>
      </c>
      <c r="B1243" s="60">
        <v>521131</v>
      </c>
      <c r="C1243" s="41" t="s">
        <v>1889</v>
      </c>
      <c r="D1243" s="60"/>
      <c r="E1243" s="60"/>
      <c r="F1243" s="42"/>
      <c r="G1243" s="42">
        <v>20800000</v>
      </c>
      <c r="H1243" s="165">
        <v>46507000</v>
      </c>
      <c r="I1243" s="150" t="s">
        <v>3553</v>
      </c>
      <c r="J1243" s="149" t="s">
        <v>3558</v>
      </c>
      <c r="K1243" s="149" t="s">
        <v>3570</v>
      </c>
      <c r="L1243" s="171">
        <f t="shared" si="30"/>
        <v>-25707000</v>
      </c>
    </row>
    <row r="1244" spans="1:12" x14ac:dyDescent="0.25">
      <c r="A1244" s="7" t="s">
        <v>2108</v>
      </c>
      <c r="B1244" s="61"/>
      <c r="C1244" s="44" t="s">
        <v>4160</v>
      </c>
      <c r="D1244" s="61">
        <v>52</v>
      </c>
      <c r="E1244" s="61" t="s">
        <v>9</v>
      </c>
      <c r="F1244" s="45">
        <v>400000</v>
      </c>
      <c r="G1244" s="45">
        <f>ROUNDDOWN(D1244*F1244,-3)</f>
        <v>20800000</v>
      </c>
      <c r="H1244" s="165">
        <v>18900000</v>
      </c>
      <c r="I1244" s="150" t="s">
        <v>3553</v>
      </c>
      <c r="J1244" s="149" t="s">
        <v>3558</v>
      </c>
      <c r="K1244" s="149" t="s">
        <v>3570</v>
      </c>
      <c r="L1244" s="171">
        <f t="shared" si="30"/>
        <v>1900000</v>
      </c>
    </row>
    <row r="1245" spans="1:12" x14ac:dyDescent="0.25">
      <c r="A1245" s="7" t="s">
        <v>2110</v>
      </c>
      <c r="B1245" s="60">
        <v>521811</v>
      </c>
      <c r="C1245" s="41" t="s">
        <v>64</v>
      </c>
      <c r="D1245" s="60"/>
      <c r="E1245" s="60"/>
      <c r="F1245" s="42"/>
      <c r="G1245" s="42">
        <v>56369000</v>
      </c>
      <c r="H1245" s="165">
        <v>15000000</v>
      </c>
      <c r="I1245" s="150" t="s">
        <v>3553</v>
      </c>
      <c r="J1245" s="149" t="s">
        <v>3558</v>
      </c>
      <c r="K1245" s="149" t="s">
        <v>3570</v>
      </c>
      <c r="L1245" s="171">
        <f t="shared" si="30"/>
        <v>41369000</v>
      </c>
    </row>
    <row r="1246" spans="1:12" x14ac:dyDescent="0.25">
      <c r="A1246" s="7" t="s">
        <v>2111</v>
      </c>
      <c r="B1246" s="61"/>
      <c r="C1246" s="44" t="s">
        <v>4161</v>
      </c>
      <c r="D1246" s="61">
        <v>12</v>
      </c>
      <c r="E1246" s="61" t="s">
        <v>21</v>
      </c>
      <c r="F1246" s="45">
        <v>947417</v>
      </c>
      <c r="G1246" s="45">
        <f>ROUNDDOWN(D1246*F1246,-3)</f>
        <v>11369000</v>
      </c>
      <c r="H1246" s="165">
        <v>12607000</v>
      </c>
      <c r="I1246" s="150" t="s">
        <v>3553</v>
      </c>
      <c r="J1246" s="149" t="s">
        <v>3558</v>
      </c>
      <c r="K1246" s="149" t="s">
        <v>3570</v>
      </c>
      <c r="L1246" s="171">
        <f t="shared" si="30"/>
        <v>-1238000</v>
      </c>
    </row>
    <row r="1247" spans="1:12" x14ac:dyDescent="0.25">
      <c r="A1247" s="7" t="s">
        <v>2113</v>
      </c>
      <c r="B1247" s="192"/>
      <c r="C1247" s="191" t="s">
        <v>4162</v>
      </c>
      <c r="D1247" s="192">
        <v>3</v>
      </c>
      <c r="E1247" s="192" t="s">
        <v>9</v>
      </c>
      <c r="F1247" s="193">
        <v>15000000</v>
      </c>
      <c r="G1247" s="45">
        <f>ROUNDDOWN(D1247*F1247,-3)</f>
        <v>45000000</v>
      </c>
      <c r="H1247" s="165">
        <v>9600000</v>
      </c>
      <c r="I1247" s="150" t="s">
        <v>3553</v>
      </c>
      <c r="J1247" s="149" t="s">
        <v>3558</v>
      </c>
      <c r="K1247" s="149" t="s">
        <v>3570</v>
      </c>
      <c r="L1247" s="171">
        <f t="shared" si="30"/>
        <v>35400000</v>
      </c>
    </row>
    <row r="1248" spans="1:12" x14ac:dyDescent="0.25">
      <c r="A1248" s="7" t="s">
        <v>2115</v>
      </c>
      <c r="B1248" s="59" t="s">
        <v>2116</v>
      </c>
      <c r="C1248" s="38" t="s">
        <v>93</v>
      </c>
      <c r="D1248" s="59"/>
      <c r="E1248" s="59"/>
      <c r="F1248" s="39"/>
      <c r="G1248" s="39">
        <v>362307000</v>
      </c>
      <c r="H1248" s="165">
        <v>9600000</v>
      </c>
      <c r="I1248" s="150" t="s">
        <v>3553</v>
      </c>
      <c r="J1248" s="149" t="s">
        <v>3558</v>
      </c>
      <c r="K1248" s="149" t="s">
        <v>3570</v>
      </c>
      <c r="L1248" s="171">
        <f t="shared" si="30"/>
        <v>352707000</v>
      </c>
    </row>
    <row r="1249" spans="1:12" x14ac:dyDescent="0.25">
      <c r="A1249" s="7" t="s">
        <v>2117</v>
      </c>
      <c r="B1249" s="60">
        <v>521114</v>
      </c>
      <c r="C1249" s="41" t="s">
        <v>94</v>
      </c>
      <c r="D1249" s="60"/>
      <c r="E1249" s="60"/>
      <c r="F1249" s="42"/>
      <c r="G1249" s="42">
        <v>12000000</v>
      </c>
      <c r="H1249" s="165">
        <v>274466000</v>
      </c>
      <c r="I1249" s="150" t="s">
        <v>3553</v>
      </c>
      <c r="J1249" s="149" t="s">
        <v>3558</v>
      </c>
      <c r="K1249" s="149" t="s">
        <v>3570</v>
      </c>
      <c r="L1249" s="171">
        <f t="shared" si="30"/>
        <v>-262466000</v>
      </c>
    </row>
    <row r="1250" spans="1:12" x14ac:dyDescent="0.25">
      <c r="A1250" s="7" t="s">
        <v>2118</v>
      </c>
      <c r="B1250" s="192"/>
      <c r="C1250" s="191" t="s">
        <v>4163</v>
      </c>
      <c r="D1250" s="192">
        <v>12</v>
      </c>
      <c r="E1250" s="192" t="s">
        <v>2120</v>
      </c>
      <c r="F1250" s="193">
        <v>1000000</v>
      </c>
      <c r="G1250" s="45">
        <f>ROUNDDOWN(D1250*F1250,-3)</f>
        <v>12000000</v>
      </c>
      <c r="H1250" s="165">
        <v>274466000</v>
      </c>
      <c r="I1250" s="150" t="s">
        <v>3553</v>
      </c>
      <c r="J1250" s="149" t="s">
        <v>3558</v>
      </c>
      <c r="K1250" s="149" t="s">
        <v>3570</v>
      </c>
      <c r="L1250" s="171">
        <f t="shared" si="30"/>
        <v>-262466000</v>
      </c>
    </row>
    <row r="1251" spans="1:12" x14ac:dyDescent="0.25">
      <c r="A1251" s="7" t="s">
        <v>2121</v>
      </c>
      <c r="B1251" s="60">
        <v>522141</v>
      </c>
      <c r="C1251" s="41" t="s">
        <v>95</v>
      </c>
      <c r="D1251" s="60"/>
      <c r="E1251" s="60"/>
      <c r="F1251" s="42"/>
      <c r="G1251" s="42">
        <v>294200000</v>
      </c>
      <c r="H1251" s="165">
        <v>13200000</v>
      </c>
      <c r="I1251" s="150" t="s">
        <v>3553</v>
      </c>
      <c r="J1251" s="149" t="s">
        <v>3558</v>
      </c>
      <c r="K1251" s="149" t="s">
        <v>3570</v>
      </c>
      <c r="L1251" s="171">
        <f t="shared" si="30"/>
        <v>281000000</v>
      </c>
    </row>
    <row r="1252" spans="1:12" x14ac:dyDescent="0.25">
      <c r="A1252" s="7" t="s">
        <v>2122</v>
      </c>
      <c r="B1252" s="61"/>
      <c r="C1252" s="44" t="s">
        <v>4164</v>
      </c>
      <c r="D1252" s="61">
        <v>12</v>
      </c>
      <c r="E1252" s="61" t="s">
        <v>118</v>
      </c>
      <c r="F1252" s="45">
        <v>4100000</v>
      </c>
      <c r="G1252" s="45">
        <f>ROUNDDOWN(D1252*F1252,-3)</f>
        <v>49200000</v>
      </c>
      <c r="H1252" s="165">
        <v>13200000</v>
      </c>
      <c r="I1252" s="150" t="s">
        <v>3553</v>
      </c>
      <c r="J1252" s="149" t="s">
        <v>3558</v>
      </c>
      <c r="K1252" s="149" t="s">
        <v>3570</v>
      </c>
      <c r="L1252" s="171">
        <f t="shared" si="30"/>
        <v>36000000</v>
      </c>
    </row>
    <row r="1253" spans="1:12" x14ac:dyDescent="0.25">
      <c r="A1253" s="7" t="s">
        <v>2124</v>
      </c>
      <c r="B1253" s="61"/>
      <c r="C1253" s="44" t="s">
        <v>4165</v>
      </c>
      <c r="D1253" s="61">
        <v>12</v>
      </c>
      <c r="E1253" s="61" t="s">
        <v>118</v>
      </c>
      <c r="F1253" s="45">
        <v>3000000</v>
      </c>
      <c r="G1253" s="45">
        <f>ROUNDDOWN(D1253*F1253,-3)</f>
        <v>36000000</v>
      </c>
      <c r="H1253" s="165">
        <v>11600000</v>
      </c>
      <c r="I1253" s="150" t="s">
        <v>3553</v>
      </c>
      <c r="J1253" s="149" t="s">
        <v>3558</v>
      </c>
      <c r="K1253" s="149" t="s">
        <v>3570</v>
      </c>
      <c r="L1253" s="171">
        <f t="shared" si="30"/>
        <v>24400000</v>
      </c>
    </row>
    <row r="1254" spans="1:12" x14ac:dyDescent="0.25">
      <c r="A1254" s="7" t="s">
        <v>2126</v>
      </c>
      <c r="B1254" s="61"/>
      <c r="C1254" s="44" t="s">
        <v>4166</v>
      </c>
      <c r="D1254" s="61">
        <v>1</v>
      </c>
      <c r="E1254" s="61" t="s">
        <v>9</v>
      </c>
      <c r="F1254" s="45">
        <v>50000000</v>
      </c>
      <c r="G1254" s="45">
        <f>ROUNDDOWN(D1254*F1254,-3)</f>
        <v>50000000</v>
      </c>
      <c r="H1254" s="165">
        <v>27000000</v>
      </c>
      <c r="I1254" s="150" t="s">
        <v>3553</v>
      </c>
      <c r="J1254" s="149" t="s">
        <v>3558</v>
      </c>
      <c r="K1254" s="149" t="s">
        <v>3570</v>
      </c>
      <c r="L1254" s="171">
        <f t="shared" si="30"/>
        <v>23000000</v>
      </c>
    </row>
    <row r="1255" spans="1:12" ht="26.4" x14ac:dyDescent="0.25">
      <c r="A1255" s="7" t="s">
        <v>2128</v>
      </c>
      <c r="B1255" s="61"/>
      <c r="C1255" s="44" t="s">
        <v>4167</v>
      </c>
      <c r="D1255" s="61">
        <v>12</v>
      </c>
      <c r="E1255" s="61" t="s">
        <v>118</v>
      </c>
      <c r="F1255" s="45">
        <v>13250000</v>
      </c>
      <c r="G1255" s="45">
        <f>ROUNDDOWN(D1255*F1255,-3)</f>
        <v>159000000</v>
      </c>
      <c r="H1255" s="165">
        <v>159000000</v>
      </c>
      <c r="I1255" s="150" t="s">
        <v>3553</v>
      </c>
      <c r="J1255" s="149" t="s">
        <v>3558</v>
      </c>
      <c r="K1255" s="149" t="s">
        <v>3570</v>
      </c>
      <c r="L1255" s="171">
        <f t="shared" si="30"/>
        <v>0</v>
      </c>
    </row>
    <row r="1256" spans="1:12" x14ac:dyDescent="0.25">
      <c r="A1256" s="7" t="s">
        <v>2130</v>
      </c>
      <c r="B1256" s="60">
        <v>522191</v>
      </c>
      <c r="C1256" s="41" t="s">
        <v>22</v>
      </c>
      <c r="D1256" s="60"/>
      <c r="E1256" s="60"/>
      <c r="F1256" s="42"/>
      <c r="G1256" s="42">
        <v>46507000</v>
      </c>
      <c r="H1256" s="165">
        <v>50466000</v>
      </c>
      <c r="I1256" s="150" t="s">
        <v>3553</v>
      </c>
      <c r="J1256" s="149" t="s">
        <v>3558</v>
      </c>
      <c r="K1256" s="149" t="s">
        <v>3570</v>
      </c>
      <c r="L1256" s="171">
        <f t="shared" si="30"/>
        <v>-3959000</v>
      </c>
    </row>
    <row r="1257" spans="1:12" ht="26.4" x14ac:dyDescent="0.25">
      <c r="A1257" s="7" t="s">
        <v>2131</v>
      </c>
      <c r="B1257" s="192"/>
      <c r="C1257" s="191" t="s">
        <v>4168</v>
      </c>
      <c r="D1257" s="192">
        <v>12</v>
      </c>
      <c r="E1257" s="192" t="s">
        <v>96</v>
      </c>
      <c r="F1257" s="193">
        <v>1575000</v>
      </c>
      <c r="G1257" s="45">
        <f>ROUNDDOWN(D1257*F1257,-3)</f>
        <v>18900000</v>
      </c>
      <c r="H1257" s="165">
        <v>114736000</v>
      </c>
      <c r="I1257" s="150" t="s">
        <v>3553</v>
      </c>
      <c r="J1257" s="149" t="s">
        <v>3558</v>
      </c>
      <c r="K1257" s="149" t="s">
        <v>3570</v>
      </c>
      <c r="L1257" s="171">
        <f t="shared" si="30"/>
        <v>-95836000</v>
      </c>
    </row>
    <row r="1258" spans="1:12" ht="26.4" x14ac:dyDescent="0.25">
      <c r="A1258" s="7" t="s">
        <v>2133</v>
      </c>
      <c r="B1258" s="192"/>
      <c r="C1258" s="191" t="s">
        <v>4169</v>
      </c>
      <c r="D1258" s="192">
        <v>60</v>
      </c>
      <c r="E1258" s="192" t="s">
        <v>118</v>
      </c>
      <c r="F1258" s="193">
        <v>250000</v>
      </c>
      <c r="G1258" s="45">
        <f>ROUNDDOWN(D1258*F1258,-3)</f>
        <v>15000000</v>
      </c>
      <c r="H1258" s="165">
        <v>19200000</v>
      </c>
      <c r="I1258" s="150" t="s">
        <v>3553</v>
      </c>
      <c r="J1258" s="149" t="s">
        <v>3558</v>
      </c>
      <c r="K1258" s="149" t="s">
        <v>3570</v>
      </c>
      <c r="L1258" s="171">
        <f t="shared" si="30"/>
        <v>-4200000</v>
      </c>
    </row>
    <row r="1259" spans="1:12" x14ac:dyDescent="0.25">
      <c r="A1259" s="7" t="s">
        <v>2135</v>
      </c>
      <c r="B1259" s="61"/>
      <c r="C1259" s="44" t="s">
        <v>4170</v>
      </c>
      <c r="D1259" s="61">
        <v>1</v>
      </c>
      <c r="E1259" s="61" t="s">
        <v>9</v>
      </c>
      <c r="F1259" s="45">
        <v>12607000</v>
      </c>
      <c r="G1259" s="45">
        <f>ROUNDDOWN(D1259*F1259,-3)</f>
        <v>12607000</v>
      </c>
      <c r="H1259" s="165">
        <v>19200000</v>
      </c>
      <c r="I1259" s="150" t="s">
        <v>3553</v>
      </c>
      <c r="J1259" s="149" t="s">
        <v>3558</v>
      </c>
      <c r="K1259" s="149" t="s">
        <v>3570</v>
      </c>
      <c r="L1259" s="171">
        <f t="shared" si="30"/>
        <v>-6593000</v>
      </c>
    </row>
    <row r="1260" spans="1:12" x14ac:dyDescent="0.25">
      <c r="A1260" s="7" t="s">
        <v>2137</v>
      </c>
      <c r="B1260" s="60">
        <v>523121</v>
      </c>
      <c r="C1260" s="41" t="s">
        <v>99</v>
      </c>
      <c r="D1260" s="60"/>
      <c r="E1260" s="60"/>
      <c r="F1260" s="42"/>
      <c r="G1260" s="42">
        <v>9600000</v>
      </c>
      <c r="H1260" s="165">
        <v>60696000</v>
      </c>
      <c r="I1260" s="150" t="s">
        <v>3553</v>
      </c>
      <c r="J1260" s="149" t="s">
        <v>3558</v>
      </c>
      <c r="K1260" s="149" t="s">
        <v>3570</v>
      </c>
      <c r="L1260" s="171">
        <f t="shared" si="30"/>
        <v>-51096000</v>
      </c>
    </row>
    <row r="1261" spans="1:12" x14ac:dyDescent="0.25">
      <c r="A1261" s="7" t="s">
        <v>2138</v>
      </c>
      <c r="B1261" s="61"/>
      <c r="C1261" s="44" t="s">
        <v>4171</v>
      </c>
      <c r="D1261" s="61">
        <v>12</v>
      </c>
      <c r="E1261" s="61" t="s">
        <v>118</v>
      </c>
      <c r="F1261" s="45">
        <v>800000</v>
      </c>
      <c r="G1261" s="45">
        <f>ROUNDDOWN(D1261*F1261,-3)</f>
        <v>9600000</v>
      </c>
      <c r="H1261" s="165">
        <v>35040000</v>
      </c>
      <c r="I1261" s="150" t="s">
        <v>3553</v>
      </c>
      <c r="J1261" s="149" t="s">
        <v>3558</v>
      </c>
      <c r="K1261" s="149" t="s">
        <v>3570</v>
      </c>
      <c r="L1261" s="171">
        <f t="shared" si="30"/>
        <v>-25440000</v>
      </c>
    </row>
    <row r="1262" spans="1:12" x14ac:dyDescent="0.25">
      <c r="A1262" s="7" t="s">
        <v>2140</v>
      </c>
      <c r="B1262" s="59" t="s">
        <v>2141</v>
      </c>
      <c r="C1262" s="38" t="s">
        <v>98</v>
      </c>
      <c r="D1262" s="59"/>
      <c r="E1262" s="59"/>
      <c r="F1262" s="39"/>
      <c r="G1262" s="39">
        <v>274466000</v>
      </c>
      <c r="H1262" s="165">
        <v>7776000</v>
      </c>
      <c r="I1262" s="150" t="s">
        <v>3553</v>
      </c>
      <c r="J1262" s="149" t="s">
        <v>3558</v>
      </c>
      <c r="K1262" s="149" t="s">
        <v>3570</v>
      </c>
      <c r="L1262" s="171">
        <f t="shared" si="30"/>
        <v>266690000</v>
      </c>
    </row>
    <row r="1263" spans="1:12" x14ac:dyDescent="0.25">
      <c r="A1263" s="7" t="s">
        <v>2142</v>
      </c>
      <c r="B1263" s="60">
        <v>523121</v>
      </c>
      <c r="C1263" s="41" t="s">
        <v>99</v>
      </c>
      <c r="D1263" s="60"/>
      <c r="E1263" s="60"/>
      <c r="F1263" s="42"/>
      <c r="G1263" s="42">
        <v>274466000</v>
      </c>
      <c r="H1263" s="165">
        <v>9720000</v>
      </c>
      <c r="I1263" s="150" t="s">
        <v>3553</v>
      </c>
      <c r="J1263" s="149" t="s">
        <v>3558</v>
      </c>
      <c r="K1263" s="149" t="s">
        <v>3570</v>
      </c>
      <c r="L1263" s="171">
        <f t="shared" si="30"/>
        <v>264746000</v>
      </c>
    </row>
    <row r="1264" spans="1:12" x14ac:dyDescent="0.25">
      <c r="A1264" s="7" t="s">
        <v>2143</v>
      </c>
      <c r="B1264" s="61"/>
      <c r="C1264" s="44" t="s">
        <v>4065</v>
      </c>
      <c r="D1264" s="61">
        <v>20</v>
      </c>
      <c r="E1264" s="61" t="s">
        <v>44</v>
      </c>
      <c r="F1264" s="45">
        <v>660000</v>
      </c>
      <c r="G1264" s="45">
        <f t="shared" ref="G1264:G1269" si="32">ROUNDDOWN(D1264*F1264,-3)</f>
        <v>13200000</v>
      </c>
      <c r="H1264" s="165">
        <v>8160000</v>
      </c>
      <c r="I1264" s="150" t="s">
        <v>3553</v>
      </c>
      <c r="J1264" s="149" t="s">
        <v>3558</v>
      </c>
      <c r="K1264" s="149" t="s">
        <v>3570</v>
      </c>
      <c r="L1264" s="171">
        <f t="shared" si="30"/>
        <v>5040000</v>
      </c>
    </row>
    <row r="1265" spans="1:12" x14ac:dyDescent="0.25">
      <c r="A1265" s="7" t="s">
        <v>2144</v>
      </c>
      <c r="B1265" s="192"/>
      <c r="C1265" s="191" t="s">
        <v>4172</v>
      </c>
      <c r="D1265" s="192">
        <v>20</v>
      </c>
      <c r="E1265" s="192" t="s">
        <v>44</v>
      </c>
      <c r="F1265" s="193">
        <v>660000</v>
      </c>
      <c r="G1265" s="45">
        <f t="shared" si="32"/>
        <v>13200000</v>
      </c>
      <c r="H1265" s="165">
        <v>34840000</v>
      </c>
      <c r="I1265" s="150" t="s">
        <v>3553</v>
      </c>
      <c r="J1265" s="149" t="s">
        <v>3558</v>
      </c>
      <c r="K1265" s="149" t="s">
        <v>3570</v>
      </c>
      <c r="L1265" s="171">
        <f t="shared" si="30"/>
        <v>-21640000</v>
      </c>
    </row>
    <row r="1266" spans="1:12" x14ac:dyDescent="0.25">
      <c r="A1266" s="7" t="s">
        <v>2146</v>
      </c>
      <c r="B1266" s="61"/>
      <c r="C1266" s="44" t="s">
        <v>4067</v>
      </c>
      <c r="D1266" s="61">
        <v>20</v>
      </c>
      <c r="E1266" s="61" t="s">
        <v>44</v>
      </c>
      <c r="F1266" s="45">
        <v>580000</v>
      </c>
      <c r="G1266" s="45">
        <f t="shared" si="32"/>
        <v>11600000</v>
      </c>
      <c r="H1266" s="165">
        <v>34840000</v>
      </c>
      <c r="I1266" s="150" t="s">
        <v>3553</v>
      </c>
      <c r="J1266" s="149" t="s">
        <v>3558</v>
      </c>
      <c r="K1266" s="149" t="s">
        <v>3570</v>
      </c>
      <c r="L1266" s="171">
        <f t="shared" si="30"/>
        <v>-23240000</v>
      </c>
    </row>
    <row r="1267" spans="1:12" ht="26.4" x14ac:dyDescent="0.25">
      <c r="A1267" s="7" t="s">
        <v>2147</v>
      </c>
      <c r="B1267" s="192"/>
      <c r="C1267" s="191" t="s">
        <v>4173</v>
      </c>
      <c r="D1267" s="192">
        <v>1</v>
      </c>
      <c r="E1267" s="192" t="s">
        <v>44</v>
      </c>
      <c r="F1267" s="193">
        <v>27000000</v>
      </c>
      <c r="G1267" s="45">
        <f t="shared" si="32"/>
        <v>27000000</v>
      </c>
      <c r="H1267" s="165">
        <v>1325380000</v>
      </c>
      <c r="I1267" s="150" t="s">
        <v>557</v>
      </c>
      <c r="J1267" s="149" t="s">
        <v>3558</v>
      </c>
      <c r="K1267" s="149" t="s">
        <v>3570</v>
      </c>
      <c r="L1267" s="171">
        <f t="shared" si="30"/>
        <v>-1298380000</v>
      </c>
    </row>
    <row r="1268" spans="1:12" x14ac:dyDescent="0.25">
      <c r="A1268" s="7" t="s">
        <v>2149</v>
      </c>
      <c r="B1268" s="192"/>
      <c r="C1268" s="191" t="s">
        <v>4174</v>
      </c>
      <c r="D1268" s="192">
        <v>6</v>
      </c>
      <c r="E1268" s="192" t="s">
        <v>44</v>
      </c>
      <c r="F1268" s="193">
        <v>26500000</v>
      </c>
      <c r="G1268" s="45">
        <f t="shared" si="32"/>
        <v>159000000</v>
      </c>
      <c r="H1268" s="165">
        <v>1121220000</v>
      </c>
      <c r="I1268" s="150" t="s">
        <v>557</v>
      </c>
      <c r="J1268" s="149" t="s">
        <v>3558</v>
      </c>
      <c r="K1268" s="149" t="s">
        <v>3570</v>
      </c>
      <c r="L1268" s="171">
        <f t="shared" si="30"/>
        <v>-962220000</v>
      </c>
    </row>
    <row r="1269" spans="1:12" x14ac:dyDescent="0.25">
      <c r="A1269" s="7" t="s">
        <v>2150</v>
      </c>
      <c r="B1269" s="61"/>
      <c r="C1269" s="44" t="s">
        <v>4175</v>
      </c>
      <c r="D1269" s="61">
        <v>15</v>
      </c>
      <c r="E1269" s="61" t="s">
        <v>44</v>
      </c>
      <c r="F1269" s="45">
        <v>3364400</v>
      </c>
      <c r="G1269" s="45">
        <f t="shared" si="32"/>
        <v>50466000</v>
      </c>
      <c r="H1269" s="168">
        <v>90000000</v>
      </c>
      <c r="I1269" s="150" t="s">
        <v>557</v>
      </c>
      <c r="J1269" s="149" t="s">
        <v>3558</v>
      </c>
      <c r="K1269" s="149" t="s">
        <v>3570</v>
      </c>
      <c r="L1269" s="171">
        <f t="shared" si="30"/>
        <v>-39534000</v>
      </c>
    </row>
    <row r="1270" spans="1:12" x14ac:dyDescent="0.25">
      <c r="A1270" s="7" t="s">
        <v>2152</v>
      </c>
      <c r="B1270" s="59" t="s">
        <v>2153</v>
      </c>
      <c r="C1270" s="38" t="s">
        <v>119</v>
      </c>
      <c r="D1270" s="59"/>
      <c r="E1270" s="59"/>
      <c r="F1270" s="39"/>
      <c r="G1270" s="39">
        <v>114736000</v>
      </c>
      <c r="H1270" s="168">
        <v>63000000</v>
      </c>
      <c r="I1270" s="150" t="s">
        <v>557</v>
      </c>
      <c r="J1270" s="149" t="s">
        <v>3558</v>
      </c>
      <c r="K1270" s="149" t="s">
        <v>3570</v>
      </c>
      <c r="L1270" s="171">
        <f t="shared" si="30"/>
        <v>51736000</v>
      </c>
    </row>
    <row r="1271" spans="1:12" x14ac:dyDescent="0.25">
      <c r="A1271" s="7" t="s">
        <v>2154</v>
      </c>
      <c r="B1271" s="60">
        <v>521111</v>
      </c>
      <c r="C1271" s="41" t="s">
        <v>90</v>
      </c>
      <c r="D1271" s="60"/>
      <c r="E1271" s="60"/>
      <c r="F1271" s="42"/>
      <c r="G1271" s="42">
        <v>19200000</v>
      </c>
      <c r="H1271" s="168">
        <v>757848000</v>
      </c>
      <c r="I1271" s="150" t="s">
        <v>557</v>
      </c>
      <c r="J1271" s="149" t="s">
        <v>3558</v>
      </c>
      <c r="K1271" s="149" t="s">
        <v>3570</v>
      </c>
      <c r="L1271" s="171">
        <f t="shared" si="30"/>
        <v>-738648000</v>
      </c>
    </row>
    <row r="1272" spans="1:12" x14ac:dyDescent="0.25">
      <c r="A1272" s="7" t="s">
        <v>2155</v>
      </c>
      <c r="B1272" s="61"/>
      <c r="C1272" s="44" t="s">
        <v>4176</v>
      </c>
      <c r="D1272" s="61">
        <v>800</v>
      </c>
      <c r="E1272" s="61" t="s">
        <v>10</v>
      </c>
      <c r="F1272" s="45">
        <v>24000</v>
      </c>
      <c r="G1272" s="45">
        <f>ROUNDDOWN(D1272*F1272,-3)</f>
        <v>19200000</v>
      </c>
      <c r="H1272" s="168">
        <v>69472000</v>
      </c>
      <c r="I1272" s="150" t="s">
        <v>557</v>
      </c>
      <c r="J1272" s="149" t="s">
        <v>3558</v>
      </c>
      <c r="K1272" s="149" t="s">
        <v>3570</v>
      </c>
      <c r="L1272" s="171">
        <f t="shared" si="30"/>
        <v>-50272000</v>
      </c>
    </row>
    <row r="1273" spans="1:12" x14ac:dyDescent="0.25">
      <c r="A1273" s="7" t="s">
        <v>2157</v>
      </c>
      <c r="B1273" s="60">
        <v>521115</v>
      </c>
      <c r="C1273" s="41" t="s">
        <v>104</v>
      </c>
      <c r="D1273" s="60"/>
      <c r="E1273" s="60"/>
      <c r="F1273" s="42"/>
      <c r="G1273" s="42">
        <v>60696000</v>
      </c>
      <c r="H1273" s="168">
        <v>6000000</v>
      </c>
      <c r="I1273" s="150" t="s">
        <v>557</v>
      </c>
      <c r="J1273" s="149" t="s">
        <v>3558</v>
      </c>
      <c r="K1273" s="149" t="s">
        <v>3570</v>
      </c>
      <c r="L1273" s="171">
        <f t="shared" si="30"/>
        <v>54696000</v>
      </c>
    </row>
    <row r="1274" spans="1:12" ht="26.4" x14ac:dyDescent="0.25">
      <c r="A1274" s="7" t="s">
        <v>2158</v>
      </c>
      <c r="B1274" s="61"/>
      <c r="C1274" s="44" t="s">
        <v>4177</v>
      </c>
      <c r="D1274" s="61">
        <v>12</v>
      </c>
      <c r="E1274" s="61" t="s">
        <v>21</v>
      </c>
      <c r="F1274" s="45">
        <v>2920000</v>
      </c>
      <c r="G1274" s="45">
        <f>ROUNDDOWN(D1274*F1274,-3)</f>
        <v>35040000</v>
      </c>
      <c r="H1274" s="168">
        <v>74000000</v>
      </c>
      <c r="I1274" s="150" t="s">
        <v>557</v>
      </c>
      <c r="J1274" s="149" t="s">
        <v>3558</v>
      </c>
      <c r="K1274" s="149" t="s">
        <v>3570</v>
      </c>
      <c r="L1274" s="171">
        <f t="shared" si="30"/>
        <v>-38960000</v>
      </c>
    </row>
    <row r="1275" spans="1:12" ht="26.4" x14ac:dyDescent="0.25">
      <c r="A1275" s="7" t="s">
        <v>2160</v>
      </c>
      <c r="B1275" s="61"/>
      <c r="C1275" s="44" t="s">
        <v>4178</v>
      </c>
      <c r="D1275" s="61">
        <v>24</v>
      </c>
      <c r="E1275" s="61" t="s">
        <v>21</v>
      </c>
      <c r="F1275" s="45">
        <v>324000</v>
      </c>
      <c r="G1275" s="45">
        <f>ROUNDDOWN(D1275*F1275,-3)</f>
        <v>7776000</v>
      </c>
      <c r="H1275" s="168">
        <v>9000000</v>
      </c>
      <c r="I1275" s="150" t="s">
        <v>557</v>
      </c>
      <c r="J1275" s="149" t="s">
        <v>3558</v>
      </c>
      <c r="K1275" s="149" t="s">
        <v>3570</v>
      </c>
      <c r="L1275" s="171">
        <f t="shared" si="30"/>
        <v>-1224000</v>
      </c>
    </row>
    <row r="1276" spans="1:12" x14ac:dyDescent="0.25">
      <c r="A1276" s="7" t="s">
        <v>2162</v>
      </c>
      <c r="B1276" s="61"/>
      <c r="C1276" s="44" t="s">
        <v>4179</v>
      </c>
      <c r="D1276" s="61">
        <v>12</v>
      </c>
      <c r="E1276" s="61" t="s">
        <v>21</v>
      </c>
      <c r="F1276" s="45">
        <v>810000</v>
      </c>
      <c r="G1276" s="45">
        <f>ROUNDDOWN(D1276*F1276,-3)</f>
        <v>9720000</v>
      </c>
      <c r="H1276" s="168">
        <v>15900000</v>
      </c>
      <c r="I1276" s="150" t="s">
        <v>557</v>
      </c>
      <c r="J1276" s="149" t="s">
        <v>3558</v>
      </c>
      <c r="K1276" s="149" t="s">
        <v>3570</v>
      </c>
      <c r="L1276" s="171">
        <f t="shared" si="30"/>
        <v>-6180000</v>
      </c>
    </row>
    <row r="1277" spans="1:12" x14ac:dyDescent="0.25">
      <c r="A1277" s="7" t="s">
        <v>2164</v>
      </c>
      <c r="B1277" s="61"/>
      <c r="C1277" s="44" t="s">
        <v>4180</v>
      </c>
      <c r="D1277" s="61">
        <v>12</v>
      </c>
      <c r="E1277" s="61" t="s">
        <v>21</v>
      </c>
      <c r="F1277" s="45">
        <v>680000</v>
      </c>
      <c r="G1277" s="45">
        <f>ROUNDDOWN(D1277*F1277,-3)</f>
        <v>8160000</v>
      </c>
      <c r="H1277" s="168">
        <v>36000000</v>
      </c>
      <c r="I1277" s="150" t="s">
        <v>557</v>
      </c>
      <c r="J1277" s="149" t="s">
        <v>3558</v>
      </c>
      <c r="K1277" s="149" t="s">
        <v>3570</v>
      </c>
      <c r="L1277" s="171">
        <f t="shared" si="30"/>
        <v>-27840000</v>
      </c>
    </row>
    <row r="1278" spans="1:12" x14ac:dyDescent="0.25">
      <c r="A1278" s="7" t="s">
        <v>2166</v>
      </c>
      <c r="B1278" s="60">
        <v>521119</v>
      </c>
      <c r="C1278" s="41" t="s">
        <v>92</v>
      </c>
      <c r="D1278" s="60"/>
      <c r="E1278" s="60"/>
      <c r="F1278" s="42"/>
      <c r="G1278" s="42">
        <v>34840000</v>
      </c>
      <c r="H1278" s="165">
        <v>204160000</v>
      </c>
      <c r="I1278" s="150" t="s">
        <v>557</v>
      </c>
      <c r="J1278" s="149" t="s">
        <v>3558</v>
      </c>
      <c r="K1278" s="149" t="s">
        <v>3570</v>
      </c>
      <c r="L1278" s="171">
        <f t="shared" si="30"/>
        <v>-169320000</v>
      </c>
    </row>
    <row r="1279" spans="1:12" x14ac:dyDescent="0.25">
      <c r="A1279" s="7" t="s">
        <v>2167</v>
      </c>
      <c r="B1279" s="61"/>
      <c r="C1279" s="44" t="s">
        <v>4181</v>
      </c>
      <c r="D1279" s="61">
        <v>52</v>
      </c>
      <c r="E1279" s="61" t="s">
        <v>2169</v>
      </c>
      <c r="F1279" s="45">
        <v>670000</v>
      </c>
      <c r="G1279" s="45">
        <f>ROUNDDOWN(D1279*F1279,-3)</f>
        <v>34840000</v>
      </c>
      <c r="H1279" s="168">
        <v>48000000</v>
      </c>
      <c r="I1279" s="150" t="s">
        <v>557</v>
      </c>
      <c r="J1279" s="149" t="s">
        <v>3558</v>
      </c>
      <c r="K1279" s="149" t="s">
        <v>3570</v>
      </c>
      <c r="L1279" s="171">
        <f t="shared" si="30"/>
        <v>-13160000</v>
      </c>
    </row>
    <row r="1280" spans="1:12" ht="26.4" x14ac:dyDescent="0.25">
      <c r="A1280" s="7" t="s">
        <v>2170</v>
      </c>
      <c r="B1280" s="59" t="s">
        <v>1807</v>
      </c>
      <c r="C1280" s="38" t="s">
        <v>2171</v>
      </c>
      <c r="D1280" s="59"/>
      <c r="E1280" s="59"/>
      <c r="F1280" s="39"/>
      <c r="G1280" s="39">
        <v>1254380000</v>
      </c>
      <c r="H1280" s="168">
        <v>72000000</v>
      </c>
      <c r="I1280" s="150" t="s">
        <v>557</v>
      </c>
      <c r="J1280" s="149" t="s">
        <v>3558</v>
      </c>
      <c r="K1280" s="149" t="s">
        <v>3570</v>
      </c>
      <c r="L1280" s="171">
        <f t="shared" si="30"/>
        <v>1182380000</v>
      </c>
    </row>
    <row r="1281" spans="1:12" x14ac:dyDescent="0.25">
      <c r="A1281" s="7" t="s">
        <v>2172</v>
      </c>
      <c r="B1281" s="60">
        <v>521111</v>
      </c>
      <c r="C1281" s="41" t="s">
        <v>90</v>
      </c>
      <c r="D1281" s="60"/>
      <c r="E1281" s="60"/>
      <c r="F1281" s="42"/>
      <c r="G1281" s="42">
        <v>1076220000</v>
      </c>
      <c r="H1281" s="168">
        <v>9600000</v>
      </c>
      <c r="I1281" s="150" t="s">
        <v>557</v>
      </c>
      <c r="J1281" s="149" t="s">
        <v>3558</v>
      </c>
      <c r="K1281" s="149" t="s">
        <v>3570</v>
      </c>
      <c r="L1281" s="171">
        <f t="shared" si="30"/>
        <v>1066620000</v>
      </c>
    </row>
    <row r="1282" spans="1:12" x14ac:dyDescent="0.25">
      <c r="A1282" s="7" t="s">
        <v>2173</v>
      </c>
      <c r="B1282" s="61"/>
      <c r="C1282" s="44" t="s">
        <v>4154</v>
      </c>
      <c r="D1282" s="61">
        <v>60</v>
      </c>
      <c r="E1282" s="61" t="s">
        <v>116</v>
      </c>
      <c r="F1282" s="45">
        <v>1300000</v>
      </c>
      <c r="G1282" s="45">
        <f t="shared" ref="G1282:G1290" si="33">ROUNDDOWN(D1282*F1282,-3)</f>
        <v>78000000</v>
      </c>
      <c r="H1282" s="168">
        <v>10560000</v>
      </c>
      <c r="I1282" s="150" t="s">
        <v>557</v>
      </c>
      <c r="J1282" s="149" t="s">
        <v>3558</v>
      </c>
      <c r="K1282" s="149" t="s">
        <v>3570</v>
      </c>
      <c r="L1282" s="171">
        <f t="shared" si="30"/>
        <v>67440000</v>
      </c>
    </row>
    <row r="1283" spans="1:12" x14ac:dyDescent="0.25">
      <c r="A1283" s="7" t="s">
        <v>2174</v>
      </c>
      <c r="B1283" s="61"/>
      <c r="C1283" s="44" t="s">
        <v>4182</v>
      </c>
      <c r="D1283" s="61">
        <v>1</v>
      </c>
      <c r="E1283" s="61" t="s">
        <v>60</v>
      </c>
      <c r="F1283" s="45">
        <v>60000000</v>
      </c>
      <c r="G1283" s="45">
        <f t="shared" si="33"/>
        <v>60000000</v>
      </c>
      <c r="H1283" s="168">
        <v>11000000</v>
      </c>
      <c r="I1283" s="150" t="s">
        <v>557</v>
      </c>
      <c r="J1283" s="149" t="s">
        <v>3558</v>
      </c>
      <c r="K1283" s="149" t="s">
        <v>3570</v>
      </c>
      <c r="L1283" s="171">
        <f t="shared" si="30"/>
        <v>49000000</v>
      </c>
    </row>
    <row r="1284" spans="1:12" x14ac:dyDescent="0.25">
      <c r="A1284" s="7" t="s">
        <v>2176</v>
      </c>
      <c r="B1284" s="61"/>
      <c r="C1284" s="44" t="s">
        <v>4183</v>
      </c>
      <c r="D1284" s="61">
        <v>156</v>
      </c>
      <c r="E1284" s="61" t="s">
        <v>21</v>
      </c>
      <c r="F1284" s="45">
        <v>4858000</v>
      </c>
      <c r="G1284" s="45">
        <f t="shared" si="33"/>
        <v>757848000</v>
      </c>
      <c r="H1284" s="168">
        <v>12000000</v>
      </c>
      <c r="I1284" s="150" t="s">
        <v>557</v>
      </c>
      <c r="J1284" s="149" t="s">
        <v>3558</v>
      </c>
      <c r="K1284" s="149" t="s">
        <v>3570</v>
      </c>
      <c r="L1284" s="171">
        <f t="shared" si="30"/>
        <v>745848000</v>
      </c>
    </row>
    <row r="1285" spans="1:12" x14ac:dyDescent="0.25">
      <c r="A1285" s="7" t="s">
        <v>2178</v>
      </c>
      <c r="B1285" s="61"/>
      <c r="C1285" s="44" t="s">
        <v>4184</v>
      </c>
      <c r="D1285" s="61">
        <v>13</v>
      </c>
      <c r="E1285" s="61" t="s">
        <v>32</v>
      </c>
      <c r="F1285" s="45">
        <v>5344000</v>
      </c>
      <c r="G1285" s="45">
        <f t="shared" si="33"/>
        <v>69472000</v>
      </c>
      <c r="H1285" s="168">
        <v>5000000</v>
      </c>
      <c r="I1285" s="150" t="s">
        <v>557</v>
      </c>
      <c r="J1285" s="149" t="s">
        <v>3558</v>
      </c>
      <c r="K1285" s="149" t="s">
        <v>3570</v>
      </c>
      <c r="L1285" s="171">
        <f t="shared" si="30"/>
        <v>64472000</v>
      </c>
    </row>
    <row r="1286" spans="1:12" x14ac:dyDescent="0.25">
      <c r="A1286" s="7" t="s">
        <v>2179</v>
      </c>
      <c r="B1286" s="61"/>
      <c r="C1286" s="44" t="s">
        <v>4185</v>
      </c>
      <c r="D1286" s="61">
        <v>12</v>
      </c>
      <c r="E1286" s="61" t="s">
        <v>78</v>
      </c>
      <c r="F1286" s="45">
        <v>500000</v>
      </c>
      <c r="G1286" s="45">
        <f t="shared" si="33"/>
        <v>6000000</v>
      </c>
      <c r="H1286" s="168">
        <v>11000000</v>
      </c>
      <c r="I1286" s="150" t="s">
        <v>557</v>
      </c>
      <c r="J1286" s="149" t="s">
        <v>3558</v>
      </c>
      <c r="K1286" s="149" t="s">
        <v>3570</v>
      </c>
      <c r="L1286" s="171">
        <f t="shared" si="30"/>
        <v>-5000000</v>
      </c>
    </row>
    <row r="1287" spans="1:12" x14ac:dyDescent="0.25">
      <c r="A1287" s="7" t="s">
        <v>2181</v>
      </c>
      <c r="B1287" s="61"/>
      <c r="C1287" s="44" t="s">
        <v>4186</v>
      </c>
      <c r="D1287" s="61">
        <v>100</v>
      </c>
      <c r="E1287" s="61" t="s">
        <v>58</v>
      </c>
      <c r="F1287" s="45">
        <v>500000</v>
      </c>
      <c r="G1287" s="45">
        <f t="shared" si="33"/>
        <v>50000000</v>
      </c>
      <c r="H1287" s="168">
        <v>25000000</v>
      </c>
      <c r="I1287" s="150" t="s">
        <v>557</v>
      </c>
      <c r="J1287" s="149" t="s">
        <v>3558</v>
      </c>
      <c r="K1287" s="149" t="s">
        <v>3570</v>
      </c>
      <c r="L1287" s="171">
        <f t="shared" si="30"/>
        <v>25000000</v>
      </c>
    </row>
    <row r="1288" spans="1:12" x14ac:dyDescent="0.25">
      <c r="A1288" s="7" t="s">
        <v>2183</v>
      </c>
      <c r="B1288" s="192"/>
      <c r="C1288" s="191" t="s">
        <v>4187</v>
      </c>
      <c r="D1288" s="192">
        <v>12</v>
      </c>
      <c r="E1288" s="192" t="s">
        <v>115</v>
      </c>
      <c r="F1288" s="193">
        <v>750000</v>
      </c>
      <c r="G1288" s="45">
        <f t="shared" si="33"/>
        <v>9000000</v>
      </c>
      <c r="H1288" s="165">
        <v>148852000</v>
      </c>
      <c r="I1288" s="150" t="s">
        <v>557</v>
      </c>
      <c r="J1288" s="149" t="s">
        <v>3558</v>
      </c>
      <c r="K1288" s="149" t="s">
        <v>3570</v>
      </c>
      <c r="L1288" s="171">
        <f t="shared" si="30"/>
        <v>-139852000</v>
      </c>
    </row>
    <row r="1289" spans="1:12" x14ac:dyDescent="0.25">
      <c r="A1289" s="7" t="s">
        <v>2185</v>
      </c>
      <c r="B1289" s="192"/>
      <c r="C1289" s="191" t="s">
        <v>4188</v>
      </c>
      <c r="D1289" s="192">
        <v>12</v>
      </c>
      <c r="E1289" s="192" t="s">
        <v>115</v>
      </c>
      <c r="F1289" s="193">
        <v>1325000</v>
      </c>
      <c r="G1289" s="45">
        <f t="shared" si="33"/>
        <v>15900000</v>
      </c>
      <c r="H1289" s="165">
        <v>30000000</v>
      </c>
      <c r="I1289" s="150" t="s">
        <v>557</v>
      </c>
      <c r="J1289" s="149" t="s">
        <v>3558</v>
      </c>
      <c r="K1289" s="149" t="s">
        <v>3570</v>
      </c>
      <c r="L1289" s="171">
        <f t="shared" si="30"/>
        <v>-14100000</v>
      </c>
    </row>
    <row r="1290" spans="1:12" x14ac:dyDescent="0.25">
      <c r="A1290" s="7" t="s">
        <v>2187</v>
      </c>
      <c r="B1290" s="61"/>
      <c r="C1290" s="44" t="s">
        <v>4189</v>
      </c>
      <c r="D1290" s="61">
        <v>12</v>
      </c>
      <c r="E1290" s="61" t="s">
        <v>78</v>
      </c>
      <c r="F1290" s="45">
        <v>2500000</v>
      </c>
      <c r="G1290" s="45">
        <f t="shared" si="33"/>
        <v>30000000</v>
      </c>
      <c r="H1290" s="168">
        <v>30000000</v>
      </c>
      <c r="I1290" s="150" t="s">
        <v>557</v>
      </c>
      <c r="J1290" s="149" t="s">
        <v>3558</v>
      </c>
      <c r="K1290" s="149" t="s">
        <v>3570</v>
      </c>
      <c r="L1290" s="171">
        <f t="shared" si="30"/>
        <v>0</v>
      </c>
    </row>
    <row r="1291" spans="1:12" x14ac:dyDescent="0.25">
      <c r="A1291" s="7" t="s">
        <v>2189</v>
      </c>
      <c r="B1291" s="60">
        <v>521811</v>
      </c>
      <c r="C1291" s="41" t="s">
        <v>64</v>
      </c>
      <c r="D1291" s="60"/>
      <c r="E1291" s="60"/>
      <c r="F1291" s="42"/>
      <c r="G1291" s="42">
        <v>178160000</v>
      </c>
      <c r="H1291" s="165">
        <v>118852000</v>
      </c>
      <c r="I1291" s="150" t="s">
        <v>557</v>
      </c>
      <c r="J1291" s="149" t="s">
        <v>3558</v>
      </c>
      <c r="K1291" s="149" t="s">
        <v>3570</v>
      </c>
      <c r="L1291" s="171">
        <f t="shared" si="30"/>
        <v>59308000</v>
      </c>
    </row>
    <row r="1292" spans="1:12" x14ac:dyDescent="0.25">
      <c r="A1292" s="7" t="s">
        <v>2190</v>
      </c>
      <c r="B1292" s="61"/>
      <c r="C1292" s="44" t="s">
        <v>3625</v>
      </c>
      <c r="D1292" s="61">
        <v>40</v>
      </c>
      <c r="E1292" s="61" t="s">
        <v>9</v>
      </c>
      <c r="F1292" s="45">
        <v>1000000</v>
      </c>
      <c r="G1292" s="45">
        <f t="shared" ref="G1292:G1300" si="34">ROUNDDOWN(D1292*F1292,-3)</f>
        <v>40000000</v>
      </c>
      <c r="H1292" s="168">
        <v>60000000</v>
      </c>
      <c r="I1292" s="150" t="s">
        <v>557</v>
      </c>
      <c r="J1292" s="149" t="s">
        <v>3558</v>
      </c>
      <c r="K1292" s="149" t="s">
        <v>3570</v>
      </c>
      <c r="L1292" s="171">
        <f t="shared" si="30"/>
        <v>-20000000</v>
      </c>
    </row>
    <row r="1293" spans="1:12" x14ac:dyDescent="0.25">
      <c r="A1293" s="7" t="s">
        <v>2191</v>
      </c>
      <c r="B1293" s="61"/>
      <c r="C1293" s="44" t="s">
        <v>3626</v>
      </c>
      <c r="D1293" s="61">
        <v>40</v>
      </c>
      <c r="E1293" s="61" t="s">
        <v>9</v>
      </c>
      <c r="F1293" s="45">
        <v>1500000</v>
      </c>
      <c r="G1293" s="45">
        <f t="shared" si="34"/>
        <v>60000000</v>
      </c>
      <c r="H1293" s="168">
        <v>58852000</v>
      </c>
      <c r="I1293" s="150" t="s">
        <v>557</v>
      </c>
      <c r="J1293" s="149" t="s">
        <v>3558</v>
      </c>
      <c r="K1293" s="149" t="s">
        <v>3570</v>
      </c>
      <c r="L1293" s="171">
        <f t="shared" si="30"/>
        <v>1148000</v>
      </c>
    </row>
    <row r="1294" spans="1:12" x14ac:dyDescent="0.25">
      <c r="A1294" s="7" t="s">
        <v>2192</v>
      </c>
      <c r="B1294" s="192"/>
      <c r="C1294" s="191" t="s">
        <v>4190</v>
      </c>
      <c r="D1294" s="192">
        <v>192</v>
      </c>
      <c r="E1294" s="192" t="s">
        <v>9</v>
      </c>
      <c r="F1294" s="193">
        <v>50000</v>
      </c>
      <c r="G1294" s="45">
        <f t="shared" si="34"/>
        <v>9600000</v>
      </c>
      <c r="H1294" s="165">
        <v>562050000</v>
      </c>
      <c r="I1294" s="150" t="s">
        <v>557</v>
      </c>
      <c r="J1294" s="149" t="s">
        <v>3558</v>
      </c>
      <c r="K1294" s="149" t="s">
        <v>3570</v>
      </c>
      <c r="L1294" s="171">
        <f t="shared" ref="L1294:L1357" si="35">G1294-H1294</f>
        <v>-552450000</v>
      </c>
    </row>
    <row r="1295" spans="1:12" x14ac:dyDescent="0.25">
      <c r="A1295" s="7" t="s">
        <v>2194</v>
      </c>
      <c r="B1295" s="192"/>
      <c r="C1295" s="191" t="s">
        <v>4191</v>
      </c>
      <c r="D1295" s="192">
        <v>192</v>
      </c>
      <c r="E1295" s="192" t="s">
        <v>9</v>
      </c>
      <c r="F1295" s="193">
        <v>55000</v>
      </c>
      <c r="G1295" s="45">
        <f t="shared" si="34"/>
        <v>10560000</v>
      </c>
      <c r="H1295" s="165">
        <v>526050000</v>
      </c>
      <c r="I1295" s="150" t="s">
        <v>557</v>
      </c>
      <c r="J1295" s="149" t="s">
        <v>3558</v>
      </c>
      <c r="K1295" s="149" t="s">
        <v>3570</v>
      </c>
      <c r="L1295" s="171">
        <f t="shared" si="35"/>
        <v>-515490000</v>
      </c>
    </row>
    <row r="1296" spans="1:12" x14ac:dyDescent="0.25">
      <c r="A1296" s="7" t="s">
        <v>2196</v>
      </c>
      <c r="B1296" s="61"/>
      <c r="C1296" s="44" t="s">
        <v>4192</v>
      </c>
      <c r="D1296" s="61">
        <v>50</v>
      </c>
      <c r="E1296" s="61" t="s">
        <v>2198</v>
      </c>
      <c r="F1296" s="45">
        <v>220000</v>
      </c>
      <c r="G1296" s="45">
        <f t="shared" si="34"/>
        <v>11000000</v>
      </c>
      <c r="H1296" s="168">
        <v>38730000</v>
      </c>
      <c r="I1296" s="150" t="s">
        <v>557</v>
      </c>
      <c r="J1296" s="149" t="s">
        <v>3558</v>
      </c>
      <c r="K1296" s="149" t="s">
        <v>3570</v>
      </c>
      <c r="L1296" s="171">
        <f t="shared" si="35"/>
        <v>-27730000</v>
      </c>
    </row>
    <row r="1297" spans="1:12" x14ac:dyDescent="0.25">
      <c r="A1297" s="7" t="s">
        <v>2199</v>
      </c>
      <c r="B1297" s="61"/>
      <c r="C1297" s="44" t="s">
        <v>4193</v>
      </c>
      <c r="D1297" s="61">
        <v>50</v>
      </c>
      <c r="E1297" s="61" t="s">
        <v>2198</v>
      </c>
      <c r="F1297" s="45">
        <v>240000</v>
      </c>
      <c r="G1297" s="45">
        <f t="shared" si="34"/>
        <v>12000000</v>
      </c>
      <c r="H1297" s="168">
        <v>302850000</v>
      </c>
      <c r="I1297" s="150" t="s">
        <v>557</v>
      </c>
      <c r="J1297" s="149" t="s">
        <v>3558</v>
      </c>
      <c r="K1297" s="149" t="s">
        <v>3570</v>
      </c>
      <c r="L1297" s="171">
        <f t="shared" si="35"/>
        <v>-290850000</v>
      </c>
    </row>
    <row r="1298" spans="1:12" x14ac:dyDescent="0.25">
      <c r="A1298" s="7" t="s">
        <v>2201</v>
      </c>
      <c r="B1298" s="61"/>
      <c r="C1298" s="44" t="s">
        <v>4194</v>
      </c>
      <c r="D1298" s="61">
        <v>800</v>
      </c>
      <c r="E1298" s="61" t="s">
        <v>120</v>
      </c>
      <c r="F1298" s="45">
        <v>5000</v>
      </c>
      <c r="G1298" s="45">
        <f t="shared" si="34"/>
        <v>4000000</v>
      </c>
      <c r="H1298" s="168">
        <v>18200000</v>
      </c>
      <c r="I1298" s="150" t="s">
        <v>557</v>
      </c>
      <c r="J1298" s="149" t="s">
        <v>3558</v>
      </c>
      <c r="K1298" s="149" t="s">
        <v>3570</v>
      </c>
      <c r="L1298" s="171">
        <f t="shared" si="35"/>
        <v>-14200000</v>
      </c>
    </row>
    <row r="1299" spans="1:12" x14ac:dyDescent="0.25">
      <c r="A1299" s="7" t="s">
        <v>2203</v>
      </c>
      <c r="B1299" s="61"/>
      <c r="C1299" s="44" t="s">
        <v>4195</v>
      </c>
      <c r="D1299" s="61">
        <v>50</v>
      </c>
      <c r="E1299" s="61" t="s">
        <v>1422</v>
      </c>
      <c r="F1299" s="45">
        <v>220000</v>
      </c>
      <c r="G1299" s="45">
        <f t="shared" si="34"/>
        <v>11000000</v>
      </c>
      <c r="H1299" s="168">
        <v>36500000</v>
      </c>
      <c r="I1299" s="150" t="s">
        <v>557</v>
      </c>
      <c r="J1299" s="149" t="s">
        <v>3558</v>
      </c>
      <c r="K1299" s="149" t="s">
        <v>3570</v>
      </c>
      <c r="L1299" s="171">
        <f t="shared" si="35"/>
        <v>-25500000</v>
      </c>
    </row>
    <row r="1300" spans="1:12" x14ac:dyDescent="0.25">
      <c r="A1300" s="7" t="s">
        <v>2205</v>
      </c>
      <c r="B1300" s="61"/>
      <c r="C1300" s="44" t="s">
        <v>4196</v>
      </c>
      <c r="D1300" s="61">
        <v>800</v>
      </c>
      <c r="E1300" s="61" t="s">
        <v>120</v>
      </c>
      <c r="F1300" s="45">
        <v>25000</v>
      </c>
      <c r="G1300" s="45">
        <f t="shared" si="34"/>
        <v>20000000</v>
      </c>
      <c r="H1300" s="168">
        <v>32850000</v>
      </c>
      <c r="I1300" s="150" t="s">
        <v>557</v>
      </c>
      <c r="J1300" s="149" t="s">
        <v>3558</v>
      </c>
      <c r="K1300" s="149" t="s">
        <v>3570</v>
      </c>
      <c r="L1300" s="171">
        <f t="shared" si="35"/>
        <v>-12850000</v>
      </c>
    </row>
    <row r="1301" spans="1:12" x14ac:dyDescent="0.25">
      <c r="A1301" s="7" t="s">
        <v>2207</v>
      </c>
      <c r="B1301" s="59" t="s">
        <v>2208</v>
      </c>
      <c r="C1301" s="38" t="s">
        <v>2209</v>
      </c>
      <c r="D1301" s="59"/>
      <c r="E1301" s="59"/>
      <c r="F1301" s="39"/>
      <c r="G1301" s="39">
        <v>148852000</v>
      </c>
      <c r="H1301" s="168">
        <v>31050000</v>
      </c>
      <c r="I1301" s="150" t="s">
        <v>557</v>
      </c>
      <c r="J1301" s="149" t="s">
        <v>3558</v>
      </c>
      <c r="K1301" s="149" t="s">
        <v>3570</v>
      </c>
      <c r="L1301" s="171">
        <f t="shared" si="35"/>
        <v>117802000</v>
      </c>
    </row>
    <row r="1302" spans="1:12" x14ac:dyDescent="0.25">
      <c r="A1302" s="7" t="s">
        <v>2210</v>
      </c>
      <c r="B1302" s="60">
        <v>521114</v>
      </c>
      <c r="C1302" s="41" t="s">
        <v>94</v>
      </c>
      <c r="D1302" s="60"/>
      <c r="E1302" s="60"/>
      <c r="F1302" s="42"/>
      <c r="G1302" s="42">
        <v>30000000</v>
      </c>
      <c r="H1302" s="168">
        <v>10500000</v>
      </c>
      <c r="I1302" s="150" t="s">
        <v>557</v>
      </c>
      <c r="J1302" s="149" t="s">
        <v>3558</v>
      </c>
      <c r="K1302" s="149" t="s">
        <v>3570</v>
      </c>
      <c r="L1302" s="171">
        <f t="shared" si="35"/>
        <v>19500000</v>
      </c>
    </row>
    <row r="1303" spans="1:12" x14ac:dyDescent="0.25">
      <c r="A1303" s="7" t="s">
        <v>2211</v>
      </c>
      <c r="B1303" s="61"/>
      <c r="C1303" s="44" t="s">
        <v>4197</v>
      </c>
      <c r="D1303" s="61">
        <v>12</v>
      </c>
      <c r="E1303" s="61" t="s">
        <v>78</v>
      </c>
      <c r="F1303" s="45">
        <v>2500000</v>
      </c>
      <c r="G1303" s="45">
        <f>ROUNDDOWN(D1303*F1303,-3)</f>
        <v>30000000</v>
      </c>
      <c r="H1303" s="168">
        <v>2820000</v>
      </c>
      <c r="I1303" s="150" t="s">
        <v>557</v>
      </c>
      <c r="J1303" s="149" t="s">
        <v>3558</v>
      </c>
      <c r="K1303" s="149" t="s">
        <v>3570</v>
      </c>
      <c r="L1303" s="171">
        <f t="shared" si="35"/>
        <v>27180000</v>
      </c>
    </row>
    <row r="1304" spans="1:12" x14ac:dyDescent="0.25">
      <c r="A1304" s="7" t="s">
        <v>2213</v>
      </c>
      <c r="B1304" s="60">
        <v>522141</v>
      </c>
      <c r="C1304" s="41" t="s">
        <v>95</v>
      </c>
      <c r="D1304" s="60"/>
      <c r="E1304" s="60"/>
      <c r="F1304" s="42"/>
      <c r="G1304" s="42">
        <v>118852000</v>
      </c>
      <c r="H1304" s="168">
        <v>52550000</v>
      </c>
      <c r="I1304" s="150" t="s">
        <v>557</v>
      </c>
      <c r="J1304" s="149" t="s">
        <v>3558</v>
      </c>
      <c r="K1304" s="149" t="s">
        <v>3570</v>
      </c>
      <c r="L1304" s="171">
        <f t="shared" si="35"/>
        <v>66302000</v>
      </c>
    </row>
    <row r="1305" spans="1:12" x14ac:dyDescent="0.25">
      <c r="A1305" s="7" t="s">
        <v>2214</v>
      </c>
      <c r="B1305" s="192"/>
      <c r="C1305" s="191" t="s">
        <v>4198</v>
      </c>
      <c r="D1305" s="192">
        <v>12</v>
      </c>
      <c r="E1305" s="192" t="s">
        <v>78</v>
      </c>
      <c r="F1305" s="193">
        <v>5000000</v>
      </c>
      <c r="G1305" s="45">
        <f>ROUNDDOWN(D1305*F1305,-3)</f>
        <v>60000000</v>
      </c>
      <c r="H1305" s="165">
        <v>36000000</v>
      </c>
      <c r="I1305" s="150" t="s">
        <v>557</v>
      </c>
      <c r="J1305" s="149" t="s">
        <v>3558</v>
      </c>
      <c r="K1305" s="149" t="s">
        <v>3570</v>
      </c>
      <c r="L1305" s="171">
        <f t="shared" si="35"/>
        <v>24000000</v>
      </c>
    </row>
    <row r="1306" spans="1:12" x14ac:dyDescent="0.25">
      <c r="A1306" s="7" t="s">
        <v>2216</v>
      </c>
      <c r="B1306" s="61"/>
      <c r="C1306" s="44" t="s">
        <v>4199</v>
      </c>
      <c r="D1306" s="61">
        <v>1</v>
      </c>
      <c r="E1306" s="61" t="s">
        <v>60</v>
      </c>
      <c r="F1306" s="45">
        <v>58852000</v>
      </c>
      <c r="G1306" s="45">
        <f>ROUNDDOWN(D1306*F1306,-3)</f>
        <v>58852000</v>
      </c>
      <c r="H1306" s="168">
        <v>36000000</v>
      </c>
      <c r="I1306" s="150" t="s">
        <v>557</v>
      </c>
      <c r="J1306" s="149" t="s">
        <v>3558</v>
      </c>
      <c r="K1306" s="149" t="s">
        <v>3570</v>
      </c>
      <c r="L1306" s="171">
        <f t="shared" si="35"/>
        <v>22852000</v>
      </c>
    </row>
    <row r="1307" spans="1:12" x14ac:dyDescent="0.25">
      <c r="A1307" s="7" t="s">
        <v>2218</v>
      </c>
      <c r="B1307" s="59" t="s">
        <v>2219</v>
      </c>
      <c r="C1307" s="38" t="s">
        <v>2220</v>
      </c>
      <c r="D1307" s="59"/>
      <c r="E1307" s="59"/>
      <c r="F1307" s="39"/>
      <c r="G1307" s="39">
        <v>533050000</v>
      </c>
      <c r="H1307" s="165">
        <v>159376000</v>
      </c>
      <c r="I1307" s="150" t="s">
        <v>557</v>
      </c>
      <c r="J1307" s="149" t="s">
        <v>3558</v>
      </c>
      <c r="K1307" s="149" t="s">
        <v>3570</v>
      </c>
      <c r="L1307" s="171">
        <f t="shared" si="35"/>
        <v>373674000</v>
      </c>
    </row>
    <row r="1308" spans="1:12" x14ac:dyDescent="0.25">
      <c r="A1308" s="7" t="s">
        <v>2221</v>
      </c>
      <c r="B1308" s="60">
        <v>523121</v>
      </c>
      <c r="C1308" s="41" t="s">
        <v>99</v>
      </c>
      <c r="D1308" s="60"/>
      <c r="E1308" s="60"/>
      <c r="F1308" s="42"/>
      <c r="G1308" s="42">
        <v>497050000</v>
      </c>
      <c r="H1308" s="165">
        <v>101040000</v>
      </c>
      <c r="I1308" s="150" t="s">
        <v>557</v>
      </c>
      <c r="J1308" s="149" t="s">
        <v>3558</v>
      </c>
      <c r="K1308" s="149" t="s">
        <v>3570</v>
      </c>
      <c r="L1308" s="171">
        <f t="shared" si="35"/>
        <v>396010000</v>
      </c>
    </row>
    <row r="1309" spans="1:12" ht="26.4" x14ac:dyDescent="0.25">
      <c r="A1309" s="7" t="s">
        <v>2222</v>
      </c>
      <c r="B1309" s="61"/>
      <c r="C1309" s="44" t="s">
        <v>4200</v>
      </c>
      <c r="D1309" s="61">
        <v>1</v>
      </c>
      <c r="E1309" s="61" t="s">
        <v>44</v>
      </c>
      <c r="F1309" s="45">
        <v>38730000</v>
      </c>
      <c r="G1309" s="45">
        <f t="shared" ref="G1309:G1317" si="36">ROUNDDOWN(D1309*F1309,-3)</f>
        <v>38730000</v>
      </c>
      <c r="H1309" s="168">
        <v>85700000</v>
      </c>
      <c r="I1309" s="150" t="s">
        <v>557</v>
      </c>
      <c r="J1309" s="149" t="s">
        <v>3558</v>
      </c>
      <c r="K1309" s="149" t="s">
        <v>3570</v>
      </c>
      <c r="L1309" s="171">
        <f t="shared" si="35"/>
        <v>-46970000</v>
      </c>
    </row>
    <row r="1310" spans="1:12" x14ac:dyDescent="0.25">
      <c r="A1310" s="7" t="s">
        <v>2224</v>
      </c>
      <c r="B1310" s="61"/>
      <c r="C1310" s="44" t="s">
        <v>4201</v>
      </c>
      <c r="D1310" s="61">
        <v>9</v>
      </c>
      <c r="E1310" s="61" t="s">
        <v>4202</v>
      </c>
      <c r="F1310" s="45">
        <v>32850000</v>
      </c>
      <c r="G1310" s="45">
        <f t="shared" si="36"/>
        <v>295650000</v>
      </c>
      <c r="H1310" s="168">
        <v>15340000</v>
      </c>
      <c r="I1310" s="150" t="s">
        <v>557</v>
      </c>
      <c r="J1310" s="149" t="s">
        <v>3558</v>
      </c>
      <c r="K1310" s="149" t="s">
        <v>3570</v>
      </c>
      <c r="L1310" s="171">
        <f t="shared" si="35"/>
        <v>280310000</v>
      </c>
    </row>
    <row r="1311" spans="1:12" ht="26.4" x14ac:dyDescent="0.25">
      <c r="A1311" s="7" t="s">
        <v>2226</v>
      </c>
      <c r="B1311" s="192"/>
      <c r="C1311" s="191" t="s">
        <v>4203</v>
      </c>
      <c r="D1311" s="192">
        <v>5</v>
      </c>
      <c r="E1311" s="192" t="s">
        <v>42</v>
      </c>
      <c r="F1311" s="193">
        <v>3640000</v>
      </c>
      <c r="G1311" s="45">
        <f t="shared" si="36"/>
        <v>18200000</v>
      </c>
      <c r="H1311" s="165">
        <v>58336000</v>
      </c>
      <c r="I1311" s="150" t="s">
        <v>557</v>
      </c>
      <c r="J1311" s="149" t="s">
        <v>3558</v>
      </c>
      <c r="K1311" s="149" t="s">
        <v>3570</v>
      </c>
      <c r="L1311" s="171">
        <f t="shared" si="35"/>
        <v>-40136000</v>
      </c>
    </row>
    <row r="1312" spans="1:12" x14ac:dyDescent="0.25">
      <c r="A1312" s="7" t="s">
        <v>2228</v>
      </c>
      <c r="B1312" s="61"/>
      <c r="C1312" s="44" t="s">
        <v>4204</v>
      </c>
      <c r="D1312" s="61">
        <v>40</v>
      </c>
      <c r="E1312" s="61" t="s">
        <v>42</v>
      </c>
      <c r="F1312" s="45">
        <v>730000</v>
      </c>
      <c r="G1312" s="45">
        <f t="shared" si="36"/>
        <v>29200000</v>
      </c>
      <c r="H1312" s="168">
        <v>35040000</v>
      </c>
      <c r="I1312" s="150" t="s">
        <v>557</v>
      </c>
      <c r="J1312" s="149" t="s">
        <v>3558</v>
      </c>
      <c r="K1312" s="149" t="s">
        <v>3570</v>
      </c>
      <c r="L1312" s="171">
        <f t="shared" si="35"/>
        <v>-5840000</v>
      </c>
    </row>
    <row r="1313" spans="1:12" x14ac:dyDescent="0.25">
      <c r="A1313" s="7" t="s">
        <v>2229</v>
      </c>
      <c r="B1313" s="61"/>
      <c r="C1313" s="44" t="s">
        <v>4205</v>
      </c>
      <c r="D1313" s="61">
        <v>35</v>
      </c>
      <c r="E1313" s="61" t="s">
        <v>44</v>
      </c>
      <c r="F1313" s="45">
        <v>730000</v>
      </c>
      <c r="G1313" s="45">
        <f t="shared" si="36"/>
        <v>25550000</v>
      </c>
      <c r="H1313" s="168">
        <v>900000</v>
      </c>
      <c r="I1313" s="150" t="s">
        <v>557</v>
      </c>
      <c r="J1313" s="149" t="s">
        <v>3558</v>
      </c>
      <c r="K1313" s="149" t="s">
        <v>3570</v>
      </c>
      <c r="L1313" s="171">
        <f t="shared" si="35"/>
        <v>24650000</v>
      </c>
    </row>
    <row r="1314" spans="1:12" x14ac:dyDescent="0.25">
      <c r="A1314" s="7" t="s">
        <v>2230</v>
      </c>
      <c r="B1314" s="61"/>
      <c r="C1314" s="44" t="s">
        <v>4206</v>
      </c>
      <c r="D1314" s="61">
        <v>35</v>
      </c>
      <c r="E1314" s="61" t="s">
        <v>44</v>
      </c>
      <c r="F1314" s="45">
        <v>690000</v>
      </c>
      <c r="G1314" s="45">
        <f t="shared" si="36"/>
        <v>24150000</v>
      </c>
      <c r="H1314" s="168">
        <v>3888000</v>
      </c>
      <c r="I1314" s="150" t="s">
        <v>557</v>
      </c>
      <c r="J1314" s="149" t="s">
        <v>3558</v>
      </c>
      <c r="K1314" s="149" t="s">
        <v>3570</v>
      </c>
      <c r="L1314" s="171">
        <f t="shared" si="35"/>
        <v>20262000</v>
      </c>
    </row>
    <row r="1315" spans="1:12" x14ac:dyDescent="0.25">
      <c r="A1315" s="7" t="s">
        <v>2231</v>
      </c>
      <c r="B1315" s="61"/>
      <c r="C1315" s="44" t="s">
        <v>4207</v>
      </c>
      <c r="D1315" s="61">
        <v>3</v>
      </c>
      <c r="E1315" s="61" t="s">
        <v>44</v>
      </c>
      <c r="F1315" s="45">
        <v>3500000</v>
      </c>
      <c r="G1315" s="45">
        <f t="shared" si="36"/>
        <v>10500000</v>
      </c>
      <c r="H1315" s="168">
        <v>3888000</v>
      </c>
      <c r="I1315" s="150" t="s">
        <v>557</v>
      </c>
      <c r="J1315" s="149" t="s">
        <v>3558</v>
      </c>
      <c r="K1315" s="149" t="s">
        <v>3570</v>
      </c>
      <c r="L1315" s="171">
        <f t="shared" si="35"/>
        <v>6612000</v>
      </c>
    </row>
    <row r="1316" spans="1:12" x14ac:dyDescent="0.25">
      <c r="A1316" s="7" t="s">
        <v>2232</v>
      </c>
      <c r="B1316" s="61"/>
      <c r="C1316" s="44" t="s">
        <v>4208</v>
      </c>
      <c r="D1316" s="61">
        <v>6</v>
      </c>
      <c r="E1316" s="61" t="s">
        <v>44</v>
      </c>
      <c r="F1316" s="45">
        <v>470000</v>
      </c>
      <c r="G1316" s="45">
        <f t="shared" si="36"/>
        <v>2820000</v>
      </c>
      <c r="H1316" s="168">
        <v>8160000</v>
      </c>
      <c r="I1316" s="150" t="s">
        <v>557</v>
      </c>
      <c r="J1316" s="149" t="s">
        <v>3558</v>
      </c>
      <c r="K1316" s="149" t="s">
        <v>3570</v>
      </c>
      <c r="L1316" s="171">
        <f t="shared" si="35"/>
        <v>-5340000</v>
      </c>
    </row>
    <row r="1317" spans="1:12" x14ac:dyDescent="0.25">
      <c r="A1317" s="7" t="s">
        <v>2234</v>
      </c>
      <c r="B1317" s="61"/>
      <c r="C1317" s="44" t="s">
        <v>4209</v>
      </c>
      <c r="D1317" s="61">
        <v>1</v>
      </c>
      <c r="E1317" s="61" t="s">
        <v>60</v>
      </c>
      <c r="F1317" s="45">
        <v>52250000</v>
      </c>
      <c r="G1317" s="45">
        <f t="shared" si="36"/>
        <v>52250000</v>
      </c>
      <c r="H1317" s="168">
        <v>2400000</v>
      </c>
      <c r="I1317" s="150" t="s">
        <v>557</v>
      </c>
      <c r="J1317" s="149" t="s">
        <v>3558</v>
      </c>
      <c r="K1317" s="149" t="s">
        <v>3570</v>
      </c>
      <c r="L1317" s="171">
        <f t="shared" si="35"/>
        <v>49850000</v>
      </c>
    </row>
    <row r="1318" spans="1:12" x14ac:dyDescent="0.25">
      <c r="A1318" s="7" t="s">
        <v>2235</v>
      </c>
      <c r="B1318" s="60">
        <v>523199</v>
      </c>
      <c r="C1318" s="41" t="s">
        <v>102</v>
      </c>
      <c r="D1318" s="60"/>
      <c r="E1318" s="60"/>
      <c r="F1318" s="42"/>
      <c r="G1318" s="42">
        <v>36000000</v>
      </c>
      <c r="H1318" s="168">
        <v>960000</v>
      </c>
      <c r="I1318" s="150" t="s">
        <v>557</v>
      </c>
      <c r="J1318" s="149" t="s">
        <v>3558</v>
      </c>
      <c r="K1318" s="149" t="s">
        <v>3570</v>
      </c>
      <c r="L1318" s="171">
        <f t="shared" si="35"/>
        <v>35040000</v>
      </c>
    </row>
    <row r="1319" spans="1:12" x14ac:dyDescent="0.25">
      <c r="A1319" s="7" t="s">
        <v>2236</v>
      </c>
      <c r="B1319" s="61"/>
      <c r="C1319" s="44" t="s">
        <v>4210</v>
      </c>
      <c r="D1319" s="61">
        <v>24</v>
      </c>
      <c r="E1319" s="61" t="s">
        <v>96</v>
      </c>
      <c r="F1319" s="45">
        <v>1500000</v>
      </c>
      <c r="G1319" s="45">
        <f>ROUNDDOWN(D1319*F1319,-3)</f>
        <v>36000000</v>
      </c>
      <c r="H1319" s="168">
        <v>2400000</v>
      </c>
      <c r="I1319" s="150" t="s">
        <v>557</v>
      </c>
      <c r="J1319" s="149" t="s">
        <v>3558</v>
      </c>
      <c r="K1319" s="149" t="s">
        <v>3570</v>
      </c>
      <c r="L1319" s="171">
        <f t="shared" si="35"/>
        <v>33600000</v>
      </c>
    </row>
    <row r="1320" spans="1:12" ht="26.4" x14ac:dyDescent="0.25">
      <c r="A1320" s="7" t="s">
        <v>2238</v>
      </c>
      <c r="B1320" s="59" t="s">
        <v>2239</v>
      </c>
      <c r="C1320" s="38" t="s">
        <v>2240</v>
      </c>
      <c r="D1320" s="59"/>
      <c r="E1320" s="59"/>
      <c r="F1320" s="39"/>
      <c r="G1320" s="39">
        <v>159376000</v>
      </c>
      <c r="H1320" s="168">
        <v>400000</v>
      </c>
      <c r="I1320" s="150" t="s">
        <v>557</v>
      </c>
      <c r="J1320" s="149" t="s">
        <v>3558</v>
      </c>
      <c r="K1320" s="149" t="s">
        <v>3570</v>
      </c>
      <c r="L1320" s="171">
        <f t="shared" si="35"/>
        <v>158976000</v>
      </c>
    </row>
    <row r="1321" spans="1:12" x14ac:dyDescent="0.25">
      <c r="A1321" s="7" t="s">
        <v>2241</v>
      </c>
      <c r="B1321" s="60">
        <v>521111</v>
      </c>
      <c r="C1321" s="41" t="s">
        <v>90</v>
      </c>
      <c r="D1321" s="60"/>
      <c r="E1321" s="60"/>
      <c r="F1321" s="42"/>
      <c r="G1321" s="42">
        <v>101040000</v>
      </c>
      <c r="H1321" s="168">
        <v>300000</v>
      </c>
      <c r="I1321" s="150" t="s">
        <v>557</v>
      </c>
      <c r="J1321" s="149" t="s">
        <v>3558</v>
      </c>
      <c r="K1321" s="149" t="s">
        <v>3570</v>
      </c>
      <c r="L1321" s="171">
        <f t="shared" si="35"/>
        <v>100740000</v>
      </c>
    </row>
    <row r="1322" spans="1:12" x14ac:dyDescent="0.25">
      <c r="A1322" s="7" t="s">
        <v>2242</v>
      </c>
      <c r="B1322" s="195"/>
      <c r="C1322" s="194" t="s">
        <v>4211</v>
      </c>
      <c r="D1322" s="195">
        <v>100</v>
      </c>
      <c r="E1322" s="195" t="s">
        <v>2244</v>
      </c>
      <c r="F1322" s="196">
        <v>857000</v>
      </c>
      <c r="G1322" s="45">
        <f>ROUNDDOWN(D1322*F1322,-3)</f>
        <v>85700000</v>
      </c>
      <c r="H1322" s="165">
        <v>1740934000</v>
      </c>
      <c r="I1322" s="150"/>
      <c r="J1322" s="149"/>
      <c r="K1322" s="149"/>
      <c r="L1322" s="171">
        <f t="shared" si="35"/>
        <v>-1655234000</v>
      </c>
    </row>
    <row r="1323" spans="1:12" x14ac:dyDescent="0.25">
      <c r="A1323" s="7" t="s">
        <v>2245</v>
      </c>
      <c r="B1323" s="192"/>
      <c r="C1323" s="191" t="s">
        <v>4212</v>
      </c>
      <c r="D1323" s="192">
        <v>26</v>
      </c>
      <c r="E1323" s="192" t="s">
        <v>121</v>
      </c>
      <c r="F1323" s="193">
        <v>590000</v>
      </c>
      <c r="G1323" s="45">
        <f>ROUNDDOWN(D1323*F1323,-3)</f>
        <v>15340000</v>
      </c>
      <c r="H1323" s="165">
        <v>740934000</v>
      </c>
      <c r="I1323" s="150"/>
      <c r="J1323" s="149"/>
      <c r="K1323" s="149"/>
      <c r="L1323" s="171">
        <f t="shared" si="35"/>
        <v>-725594000</v>
      </c>
    </row>
    <row r="1324" spans="1:12" x14ac:dyDescent="0.25">
      <c r="A1324" s="7" t="s">
        <v>2247</v>
      </c>
      <c r="B1324" s="60">
        <v>521115</v>
      </c>
      <c r="C1324" s="41" t="s">
        <v>104</v>
      </c>
      <c r="D1324" s="60"/>
      <c r="E1324" s="60"/>
      <c r="F1324" s="42"/>
      <c r="G1324" s="42">
        <v>58336000</v>
      </c>
      <c r="H1324" s="165">
        <v>0</v>
      </c>
      <c r="I1324" s="150" t="s">
        <v>3552</v>
      </c>
      <c r="J1324" s="149" t="s">
        <v>3564</v>
      </c>
      <c r="K1324" s="149" t="s">
        <v>3584</v>
      </c>
      <c r="L1324" s="171">
        <f t="shared" si="35"/>
        <v>58336000</v>
      </c>
    </row>
    <row r="1325" spans="1:12" x14ac:dyDescent="0.25">
      <c r="A1325" s="7" t="s">
        <v>2248</v>
      </c>
      <c r="B1325" s="192"/>
      <c r="C1325" s="191" t="s">
        <v>4213</v>
      </c>
      <c r="D1325" s="192">
        <v>12</v>
      </c>
      <c r="E1325" s="192" t="s">
        <v>32</v>
      </c>
      <c r="F1325" s="193">
        <v>2920000</v>
      </c>
      <c r="G1325" s="45">
        <f t="shared" ref="G1325:G1334" si="37">ROUNDDOWN(D1325*F1325,-3)</f>
        <v>35040000</v>
      </c>
      <c r="H1325" s="165">
        <v>0</v>
      </c>
      <c r="I1325" s="150" t="s">
        <v>3552</v>
      </c>
      <c r="J1325" s="149" t="s">
        <v>3564</v>
      </c>
      <c r="K1325" s="149" t="s">
        <v>3584</v>
      </c>
      <c r="L1325" s="171">
        <f t="shared" si="35"/>
        <v>35040000</v>
      </c>
    </row>
    <row r="1326" spans="1:12" ht="26.4" x14ac:dyDescent="0.25">
      <c r="A1326" s="7" t="s">
        <v>2250</v>
      </c>
      <c r="B1326" s="192"/>
      <c r="C1326" s="191" t="s">
        <v>4214</v>
      </c>
      <c r="D1326" s="192">
        <v>12</v>
      </c>
      <c r="E1326" s="192" t="s">
        <v>32</v>
      </c>
      <c r="F1326" s="193">
        <v>324000</v>
      </c>
      <c r="G1326" s="45">
        <f t="shared" si="37"/>
        <v>3888000</v>
      </c>
      <c r="H1326" s="165">
        <v>0</v>
      </c>
      <c r="I1326" s="150" t="s">
        <v>3552</v>
      </c>
      <c r="J1326" s="149" t="s">
        <v>3564</v>
      </c>
      <c r="K1326" s="149" t="s">
        <v>3584</v>
      </c>
      <c r="L1326" s="171">
        <f t="shared" si="35"/>
        <v>3888000</v>
      </c>
    </row>
    <row r="1327" spans="1:12" x14ac:dyDescent="0.25">
      <c r="A1327" s="7" t="s">
        <v>2252</v>
      </c>
      <c r="B1327" s="61"/>
      <c r="C1327" s="44" t="s">
        <v>4215</v>
      </c>
      <c r="D1327" s="61">
        <v>12</v>
      </c>
      <c r="E1327" s="61" t="s">
        <v>32</v>
      </c>
      <c r="F1327" s="45">
        <v>324000</v>
      </c>
      <c r="G1327" s="45">
        <f t="shared" si="37"/>
        <v>3888000</v>
      </c>
      <c r="H1327" s="165">
        <v>0</v>
      </c>
      <c r="I1327" s="150" t="s">
        <v>3552</v>
      </c>
      <c r="J1327" s="149" t="s">
        <v>3564</v>
      </c>
      <c r="K1327" s="149" t="s">
        <v>3584</v>
      </c>
      <c r="L1327" s="171">
        <f t="shared" si="35"/>
        <v>3888000</v>
      </c>
    </row>
    <row r="1328" spans="1:12" ht="26.4" x14ac:dyDescent="0.25">
      <c r="A1328" s="7" t="s">
        <v>2254</v>
      </c>
      <c r="B1328" s="195"/>
      <c r="C1328" s="194" t="s">
        <v>4216</v>
      </c>
      <c r="D1328" s="195">
        <v>12</v>
      </c>
      <c r="E1328" s="195" t="s">
        <v>32</v>
      </c>
      <c r="F1328" s="196">
        <v>680000</v>
      </c>
      <c r="G1328" s="45">
        <f t="shared" si="37"/>
        <v>8160000</v>
      </c>
      <c r="H1328" s="165">
        <v>200000000</v>
      </c>
      <c r="I1328" s="150" t="s">
        <v>3552</v>
      </c>
      <c r="J1328" s="149" t="s">
        <v>3564</v>
      </c>
      <c r="K1328" s="149" t="s">
        <v>3584</v>
      </c>
      <c r="L1328" s="171">
        <f t="shared" si="35"/>
        <v>-191840000</v>
      </c>
    </row>
    <row r="1329" spans="1:12" x14ac:dyDescent="0.25">
      <c r="A1329" s="7" t="s">
        <v>2256</v>
      </c>
      <c r="B1329" s="192"/>
      <c r="C1329" s="191" t="s">
        <v>4217</v>
      </c>
      <c r="D1329" s="192">
        <v>12</v>
      </c>
      <c r="E1329" s="192" t="s">
        <v>32</v>
      </c>
      <c r="F1329" s="193">
        <v>200000</v>
      </c>
      <c r="G1329" s="45">
        <f t="shared" si="37"/>
        <v>2400000</v>
      </c>
      <c r="H1329" s="165">
        <v>200000000</v>
      </c>
      <c r="I1329" s="150" t="s">
        <v>3552</v>
      </c>
      <c r="J1329" s="149" t="s">
        <v>3564</v>
      </c>
      <c r="K1329" s="149" t="s">
        <v>3584</v>
      </c>
      <c r="L1329" s="171">
        <f t="shared" si="35"/>
        <v>-197600000</v>
      </c>
    </row>
    <row r="1330" spans="1:12" x14ac:dyDescent="0.25">
      <c r="A1330" s="7" t="s">
        <v>2258</v>
      </c>
      <c r="B1330" s="192"/>
      <c r="C1330" s="191" t="s">
        <v>4218</v>
      </c>
      <c r="D1330" s="192">
        <v>12</v>
      </c>
      <c r="E1330" s="192" t="s">
        <v>32</v>
      </c>
      <c r="F1330" s="193">
        <v>80000</v>
      </c>
      <c r="G1330" s="45">
        <f t="shared" si="37"/>
        <v>960000</v>
      </c>
      <c r="H1330" s="165">
        <v>200000000</v>
      </c>
      <c r="I1330" s="150" t="s">
        <v>3552</v>
      </c>
      <c r="J1330" s="149" t="s">
        <v>3564</v>
      </c>
      <c r="K1330" s="149" t="s">
        <v>3584</v>
      </c>
      <c r="L1330" s="171">
        <f t="shared" si="35"/>
        <v>-199040000</v>
      </c>
    </row>
    <row r="1331" spans="1:12" x14ac:dyDescent="0.25">
      <c r="A1331" s="7" t="s">
        <v>2260</v>
      </c>
      <c r="B1331" s="61"/>
      <c r="C1331" s="44" t="s">
        <v>4219</v>
      </c>
      <c r="D1331" s="61">
        <v>12</v>
      </c>
      <c r="E1331" s="61" t="s">
        <v>32</v>
      </c>
      <c r="F1331" s="45">
        <v>200000</v>
      </c>
      <c r="G1331" s="45">
        <f t="shared" si="37"/>
        <v>2400000</v>
      </c>
      <c r="H1331" s="165">
        <v>100000000</v>
      </c>
      <c r="I1331" s="150" t="s">
        <v>3552</v>
      </c>
      <c r="J1331" s="149" t="s">
        <v>3564</v>
      </c>
      <c r="K1331" s="149" t="s">
        <v>3584</v>
      </c>
      <c r="L1331" s="171">
        <f t="shared" si="35"/>
        <v>-97600000</v>
      </c>
    </row>
    <row r="1332" spans="1:12" x14ac:dyDescent="0.25">
      <c r="A1332" s="7" t="s">
        <v>2262</v>
      </c>
      <c r="B1332" s="61"/>
      <c r="C1332" s="44" t="s">
        <v>4220</v>
      </c>
      <c r="D1332" s="61">
        <v>1</v>
      </c>
      <c r="E1332" s="61" t="s">
        <v>776</v>
      </c>
      <c r="F1332" s="45">
        <v>400000</v>
      </c>
      <c r="G1332" s="45">
        <f t="shared" si="37"/>
        <v>400000</v>
      </c>
      <c r="H1332" s="165">
        <v>100000000</v>
      </c>
      <c r="I1332" s="150" t="s">
        <v>3552</v>
      </c>
      <c r="J1332" s="149" t="s">
        <v>3564</v>
      </c>
      <c r="K1332" s="149" t="s">
        <v>3584</v>
      </c>
      <c r="L1332" s="171">
        <f t="shared" si="35"/>
        <v>-99600000</v>
      </c>
    </row>
    <row r="1333" spans="1:12" x14ac:dyDescent="0.25">
      <c r="A1333" s="7" t="s">
        <v>2264</v>
      </c>
      <c r="B1333" s="195"/>
      <c r="C1333" s="194" t="s">
        <v>4221</v>
      </c>
      <c r="D1333" s="195">
        <v>1</v>
      </c>
      <c r="E1333" s="195" t="s">
        <v>25</v>
      </c>
      <c r="F1333" s="196">
        <v>300000</v>
      </c>
      <c r="G1333" s="45">
        <f t="shared" si="37"/>
        <v>300000</v>
      </c>
      <c r="H1333" s="165">
        <v>540934000</v>
      </c>
      <c r="I1333" s="150" t="s">
        <v>557</v>
      </c>
      <c r="J1333" s="149" t="s">
        <v>3557</v>
      </c>
      <c r="K1333" s="149" t="s">
        <v>3573</v>
      </c>
      <c r="L1333" s="171">
        <f t="shared" si="35"/>
        <v>-540634000</v>
      </c>
    </row>
    <row r="1334" spans="1:12" ht="26.4" x14ac:dyDescent="0.25">
      <c r="A1334" s="7" t="s">
        <v>2266</v>
      </c>
      <c r="B1334" s="192"/>
      <c r="C1334" s="191" t="s">
        <v>4222</v>
      </c>
      <c r="D1334" s="192">
        <v>3</v>
      </c>
      <c r="E1334" s="192" t="s">
        <v>25</v>
      </c>
      <c r="F1334" s="193">
        <v>300000</v>
      </c>
      <c r="G1334" s="45">
        <f t="shared" si="37"/>
        <v>900000</v>
      </c>
      <c r="H1334" s="165">
        <v>540934000</v>
      </c>
      <c r="I1334" s="150" t="s">
        <v>557</v>
      </c>
      <c r="J1334" s="149" t="s">
        <v>3557</v>
      </c>
      <c r="K1334" s="149" t="s">
        <v>3573</v>
      </c>
      <c r="L1334" s="171">
        <f t="shared" si="35"/>
        <v>-540034000</v>
      </c>
    </row>
    <row r="1335" spans="1:12" x14ac:dyDescent="0.25">
      <c r="A1335" s="7" t="s">
        <v>4223</v>
      </c>
      <c r="B1335" s="59" t="s">
        <v>4224</v>
      </c>
      <c r="C1335" s="38" t="s">
        <v>4225</v>
      </c>
      <c r="D1335" s="59"/>
      <c r="E1335" s="59"/>
      <c r="F1335" s="39"/>
      <c r="G1335" s="39">
        <v>100000000</v>
      </c>
      <c r="H1335" s="165">
        <v>540934000</v>
      </c>
      <c r="I1335" s="150" t="s">
        <v>557</v>
      </c>
      <c r="J1335" s="149" t="s">
        <v>3557</v>
      </c>
      <c r="K1335" s="149" t="s">
        <v>3573</v>
      </c>
      <c r="L1335" s="171">
        <f t="shared" si="35"/>
        <v>-440934000</v>
      </c>
    </row>
    <row r="1336" spans="1:12" x14ac:dyDescent="0.25">
      <c r="A1336" s="7" t="s">
        <v>4226</v>
      </c>
      <c r="B1336" s="60">
        <v>521111</v>
      </c>
      <c r="C1336" s="41" t="s">
        <v>90</v>
      </c>
      <c r="D1336" s="60"/>
      <c r="E1336" s="60"/>
      <c r="F1336" s="42"/>
      <c r="G1336" s="42">
        <v>45000000</v>
      </c>
      <c r="H1336" s="168">
        <v>540934000</v>
      </c>
      <c r="I1336" s="150" t="s">
        <v>557</v>
      </c>
      <c r="J1336" s="149" t="s">
        <v>3557</v>
      </c>
      <c r="K1336" s="149" t="s">
        <v>3573</v>
      </c>
      <c r="L1336" s="171">
        <f t="shared" si="35"/>
        <v>-495934000</v>
      </c>
    </row>
    <row r="1337" spans="1:12" x14ac:dyDescent="0.25">
      <c r="A1337" s="7" t="s">
        <v>4227</v>
      </c>
      <c r="B1337" s="192"/>
      <c r="C1337" s="191" t="s">
        <v>4228</v>
      </c>
      <c r="D1337" s="192">
        <v>1</v>
      </c>
      <c r="E1337" s="192" t="s">
        <v>60</v>
      </c>
      <c r="F1337" s="193">
        <v>3000000</v>
      </c>
      <c r="G1337" s="45">
        <f>ROUNDDOWN(D1337*F1337,-3)</f>
        <v>3000000</v>
      </c>
      <c r="H1337" s="165">
        <v>1000000000</v>
      </c>
      <c r="I1337" s="150" t="s">
        <v>3552</v>
      </c>
      <c r="J1337" s="149" t="s">
        <v>3564</v>
      </c>
      <c r="K1337" s="149" t="s">
        <v>3584</v>
      </c>
      <c r="L1337" s="171">
        <f t="shared" si="35"/>
        <v>-997000000</v>
      </c>
    </row>
    <row r="1338" spans="1:12" x14ac:dyDescent="0.25">
      <c r="A1338" s="7" t="s">
        <v>4229</v>
      </c>
      <c r="B1338" s="195"/>
      <c r="C1338" s="194" t="s">
        <v>4230</v>
      </c>
      <c r="D1338" s="195">
        <v>48</v>
      </c>
      <c r="E1338" s="195" t="s">
        <v>58</v>
      </c>
      <c r="F1338" s="196">
        <v>500000</v>
      </c>
      <c r="G1338" s="45">
        <f>ROUNDDOWN(D1338*F1338,-3)</f>
        <v>24000000</v>
      </c>
      <c r="H1338" s="165">
        <v>1000000000</v>
      </c>
      <c r="I1338" s="150" t="s">
        <v>3552</v>
      </c>
      <c r="J1338" s="149" t="s">
        <v>3564</v>
      </c>
      <c r="K1338" s="149" t="s">
        <v>3584</v>
      </c>
      <c r="L1338" s="171">
        <f t="shared" si="35"/>
        <v>-976000000</v>
      </c>
    </row>
    <row r="1339" spans="1:12" x14ac:dyDescent="0.25">
      <c r="A1339" s="7" t="s">
        <v>4231</v>
      </c>
      <c r="B1339" s="192"/>
      <c r="C1339" s="191" t="s">
        <v>4232</v>
      </c>
      <c r="D1339" s="192">
        <v>12</v>
      </c>
      <c r="E1339" s="192" t="s">
        <v>78</v>
      </c>
      <c r="F1339" s="193">
        <v>500000</v>
      </c>
      <c r="G1339" s="45">
        <f>ROUNDDOWN(D1339*F1339,-3)</f>
        <v>6000000</v>
      </c>
      <c r="H1339" s="165">
        <v>1000000000</v>
      </c>
      <c r="I1339" s="150" t="s">
        <v>3552</v>
      </c>
      <c r="J1339" s="149" t="s">
        <v>3564</v>
      </c>
      <c r="K1339" s="149" t="s">
        <v>3584</v>
      </c>
      <c r="L1339" s="171">
        <f t="shared" si="35"/>
        <v>-994000000</v>
      </c>
    </row>
    <row r="1340" spans="1:12" x14ac:dyDescent="0.25">
      <c r="A1340" s="7" t="s">
        <v>4233</v>
      </c>
      <c r="B1340" s="192"/>
      <c r="C1340" s="191" t="s">
        <v>4234</v>
      </c>
      <c r="D1340" s="192">
        <v>60</v>
      </c>
      <c r="E1340" s="192" t="s">
        <v>116</v>
      </c>
      <c r="F1340" s="193">
        <v>200000</v>
      </c>
      <c r="G1340" s="45">
        <f>ROUNDDOWN(D1340*F1340,-3)</f>
        <v>12000000</v>
      </c>
      <c r="H1340" s="165">
        <v>1000000000</v>
      </c>
      <c r="I1340" s="150" t="s">
        <v>3552</v>
      </c>
      <c r="J1340" s="149" t="s">
        <v>3564</v>
      </c>
      <c r="K1340" s="149" t="s">
        <v>3584</v>
      </c>
      <c r="L1340" s="171">
        <f t="shared" si="35"/>
        <v>-988000000</v>
      </c>
    </row>
    <row r="1341" spans="1:12" x14ac:dyDescent="0.25">
      <c r="A1341" s="7" t="s">
        <v>4235</v>
      </c>
      <c r="B1341" s="60">
        <v>521811</v>
      </c>
      <c r="C1341" s="41" t="s">
        <v>64</v>
      </c>
      <c r="D1341" s="60"/>
      <c r="E1341" s="60"/>
      <c r="F1341" s="42"/>
      <c r="G1341" s="42">
        <v>26000000</v>
      </c>
      <c r="H1341" s="165">
        <v>0</v>
      </c>
      <c r="I1341" s="150" t="s">
        <v>3552</v>
      </c>
      <c r="J1341" s="149" t="s">
        <v>3564</v>
      </c>
      <c r="K1341" s="149" t="s">
        <v>3584</v>
      </c>
      <c r="L1341" s="171">
        <f t="shared" si="35"/>
        <v>26000000</v>
      </c>
    </row>
    <row r="1342" spans="1:12" x14ac:dyDescent="0.25">
      <c r="A1342" s="7" t="s">
        <v>4236</v>
      </c>
      <c r="B1342" s="61"/>
      <c r="C1342" s="44" t="s">
        <v>3625</v>
      </c>
      <c r="D1342" s="61">
        <v>8</v>
      </c>
      <c r="E1342" s="61" t="s">
        <v>9</v>
      </c>
      <c r="F1342" s="45">
        <v>1000000</v>
      </c>
      <c r="G1342" s="45">
        <f>ROUNDDOWN(D1342*F1342,-3)</f>
        <v>8000000</v>
      </c>
      <c r="H1342" s="165">
        <v>200000000</v>
      </c>
      <c r="I1342" s="150" t="s">
        <v>3552</v>
      </c>
      <c r="J1342" s="149" t="s">
        <v>3564</v>
      </c>
      <c r="K1342" s="149" t="s">
        <v>3584</v>
      </c>
      <c r="L1342" s="171">
        <f t="shared" si="35"/>
        <v>-192000000</v>
      </c>
    </row>
    <row r="1343" spans="1:12" x14ac:dyDescent="0.25">
      <c r="A1343" s="7" t="s">
        <v>4237</v>
      </c>
      <c r="B1343" s="61"/>
      <c r="C1343" s="44" t="s">
        <v>3626</v>
      </c>
      <c r="D1343" s="61">
        <v>8</v>
      </c>
      <c r="E1343" s="61" t="s">
        <v>9</v>
      </c>
      <c r="F1343" s="45">
        <v>1500000</v>
      </c>
      <c r="G1343" s="45">
        <f>ROUNDDOWN(D1343*F1343,-3)</f>
        <v>12000000</v>
      </c>
      <c r="H1343" s="165">
        <v>400000000</v>
      </c>
      <c r="I1343" s="150" t="s">
        <v>3552</v>
      </c>
      <c r="J1343" s="149" t="s">
        <v>3564</v>
      </c>
      <c r="K1343" s="149" t="s">
        <v>3584</v>
      </c>
      <c r="L1343" s="171">
        <f t="shared" si="35"/>
        <v>-388000000</v>
      </c>
    </row>
    <row r="1344" spans="1:12" x14ac:dyDescent="0.25">
      <c r="A1344" s="7" t="s">
        <v>4238</v>
      </c>
      <c r="B1344" s="61"/>
      <c r="C1344" s="44" t="s">
        <v>4239</v>
      </c>
      <c r="D1344" s="61">
        <v>200</v>
      </c>
      <c r="E1344" s="61" t="s">
        <v>120</v>
      </c>
      <c r="F1344" s="45">
        <v>5000</v>
      </c>
      <c r="G1344" s="45">
        <f>ROUNDDOWN(D1344*F1344,-3)</f>
        <v>1000000</v>
      </c>
      <c r="H1344" s="165">
        <v>400000000</v>
      </c>
      <c r="I1344" s="150" t="s">
        <v>3552</v>
      </c>
      <c r="J1344" s="149" t="s">
        <v>3564</v>
      </c>
      <c r="K1344" s="149" t="s">
        <v>3584</v>
      </c>
      <c r="L1344" s="171">
        <f t="shared" si="35"/>
        <v>-399000000</v>
      </c>
    </row>
    <row r="1345" spans="1:12" x14ac:dyDescent="0.25">
      <c r="A1345" s="7" t="s">
        <v>4240</v>
      </c>
      <c r="B1345" s="195"/>
      <c r="C1345" s="194" t="s">
        <v>4241</v>
      </c>
      <c r="D1345" s="195">
        <v>200</v>
      </c>
      <c r="E1345" s="195" t="s">
        <v>120</v>
      </c>
      <c r="F1345" s="196">
        <v>25000</v>
      </c>
      <c r="G1345" s="45">
        <f>ROUNDDOWN(D1345*F1345,-3)</f>
        <v>5000000</v>
      </c>
      <c r="H1345" s="165">
        <v>2400000000</v>
      </c>
      <c r="I1345" s="150" t="s">
        <v>3552</v>
      </c>
      <c r="J1345" s="149" t="s">
        <v>3562</v>
      </c>
      <c r="K1345" s="149"/>
      <c r="L1345" s="171">
        <f t="shared" si="35"/>
        <v>-2395000000</v>
      </c>
    </row>
    <row r="1346" spans="1:12" x14ac:dyDescent="0.25">
      <c r="A1346" s="7" t="s">
        <v>4242</v>
      </c>
      <c r="B1346" s="60">
        <v>523121</v>
      </c>
      <c r="C1346" s="41" t="s">
        <v>99</v>
      </c>
      <c r="D1346" s="60"/>
      <c r="E1346" s="60"/>
      <c r="F1346" s="42"/>
      <c r="G1346" s="42">
        <v>29000000</v>
      </c>
      <c r="H1346" s="165">
        <v>2400000000</v>
      </c>
      <c r="I1346" s="150" t="s">
        <v>3552</v>
      </c>
      <c r="J1346" s="149" t="s">
        <v>3562</v>
      </c>
      <c r="K1346" s="149"/>
      <c r="L1346" s="171">
        <f t="shared" si="35"/>
        <v>-2371000000</v>
      </c>
    </row>
    <row r="1347" spans="1:12" x14ac:dyDescent="0.25">
      <c r="A1347" s="7" t="s">
        <v>4243</v>
      </c>
      <c r="B1347" s="195"/>
      <c r="C1347" s="194" t="s">
        <v>4244</v>
      </c>
      <c r="D1347" s="195">
        <v>1</v>
      </c>
      <c r="E1347" s="195" t="s">
        <v>42</v>
      </c>
      <c r="F1347" s="196">
        <v>7200000</v>
      </c>
      <c r="G1347" s="45">
        <f>ROUNDDOWN(D1347*F1347,-3)</f>
        <v>7200000</v>
      </c>
      <c r="H1347" s="165">
        <v>600000000</v>
      </c>
      <c r="I1347" s="150" t="s">
        <v>3552</v>
      </c>
      <c r="J1347" s="149" t="s">
        <v>3562</v>
      </c>
      <c r="K1347" s="149" t="s">
        <v>3557</v>
      </c>
      <c r="L1347" s="171">
        <f t="shared" si="35"/>
        <v>-592800000</v>
      </c>
    </row>
    <row r="1348" spans="1:12" x14ac:dyDescent="0.25">
      <c r="A1348" s="7" t="s">
        <v>4245</v>
      </c>
      <c r="B1348" s="192"/>
      <c r="C1348" s="191" t="s">
        <v>4246</v>
      </c>
      <c r="D1348" s="192">
        <v>10</v>
      </c>
      <c r="E1348" s="192" t="s">
        <v>42</v>
      </c>
      <c r="F1348" s="193">
        <v>730000</v>
      </c>
      <c r="G1348" s="45">
        <f>ROUNDDOWN(D1348*F1348,-3)</f>
        <v>7300000</v>
      </c>
      <c r="H1348" s="165">
        <v>600000000</v>
      </c>
      <c r="I1348" s="150" t="s">
        <v>3552</v>
      </c>
      <c r="J1348" s="149" t="s">
        <v>3562</v>
      </c>
      <c r="K1348" s="149" t="s">
        <v>3557</v>
      </c>
      <c r="L1348" s="171">
        <f t="shared" si="35"/>
        <v>-592700000</v>
      </c>
    </row>
    <row r="1349" spans="1:12" x14ac:dyDescent="0.25">
      <c r="A1349" s="7" t="s">
        <v>4247</v>
      </c>
      <c r="B1349" s="192"/>
      <c r="C1349" s="191" t="s">
        <v>4248</v>
      </c>
      <c r="D1349" s="192">
        <v>10</v>
      </c>
      <c r="E1349" s="192" t="s">
        <v>44</v>
      </c>
      <c r="F1349" s="193">
        <v>730000</v>
      </c>
      <c r="G1349" s="45">
        <f>ROUNDDOWN(D1349*F1349,-3)</f>
        <v>7300000</v>
      </c>
      <c r="H1349" s="165">
        <v>34200000</v>
      </c>
      <c r="I1349" s="150" t="s">
        <v>3552</v>
      </c>
      <c r="J1349" s="149" t="s">
        <v>3562</v>
      </c>
      <c r="K1349" s="149" t="s">
        <v>3557</v>
      </c>
      <c r="L1349" s="171">
        <f t="shared" si="35"/>
        <v>-26900000</v>
      </c>
    </row>
    <row r="1350" spans="1:12" x14ac:dyDescent="0.25">
      <c r="A1350" s="7" t="s">
        <v>4249</v>
      </c>
      <c r="B1350" s="61"/>
      <c r="C1350" s="44" t="s">
        <v>4250</v>
      </c>
      <c r="D1350" s="61">
        <v>10</v>
      </c>
      <c r="E1350" s="61" t="s">
        <v>44</v>
      </c>
      <c r="F1350" s="45">
        <v>690000</v>
      </c>
      <c r="G1350" s="45">
        <f>ROUNDDOWN(D1350*F1350,-3)</f>
        <v>6900000</v>
      </c>
      <c r="H1350" s="165">
        <v>24200000</v>
      </c>
      <c r="I1350" s="150" t="s">
        <v>3552</v>
      </c>
      <c r="J1350" s="149" t="s">
        <v>3562</v>
      </c>
      <c r="K1350" s="149" t="s">
        <v>3557</v>
      </c>
      <c r="L1350" s="171">
        <f t="shared" si="35"/>
        <v>-17300000</v>
      </c>
    </row>
    <row r="1351" spans="1:12" x14ac:dyDescent="0.25">
      <c r="A1351" s="7" t="s">
        <v>4251</v>
      </c>
      <c r="B1351" s="61"/>
      <c r="C1351" s="44" t="s">
        <v>4252</v>
      </c>
      <c r="D1351" s="61">
        <v>1</v>
      </c>
      <c r="E1351" s="61" t="s">
        <v>60</v>
      </c>
      <c r="F1351" s="45">
        <v>300000</v>
      </c>
      <c r="G1351" s="45">
        <f>ROUNDDOWN(D1351*F1351,-3)</f>
        <v>300000</v>
      </c>
      <c r="H1351" s="165">
        <v>10000000</v>
      </c>
      <c r="I1351" s="150" t="s">
        <v>3552</v>
      </c>
      <c r="J1351" s="149" t="s">
        <v>3562</v>
      </c>
      <c r="K1351" s="149" t="s">
        <v>3557</v>
      </c>
      <c r="L1351" s="171">
        <f t="shared" si="35"/>
        <v>-9700000</v>
      </c>
    </row>
    <row r="1352" spans="1:12" x14ac:dyDescent="0.25">
      <c r="A1352" s="7" t="s">
        <v>2268</v>
      </c>
      <c r="B1352" s="135" t="s">
        <v>2269</v>
      </c>
      <c r="C1352" s="133" t="s">
        <v>2270</v>
      </c>
      <c r="D1352" s="135">
        <v>2</v>
      </c>
      <c r="E1352" s="135" t="s">
        <v>42</v>
      </c>
      <c r="F1352" s="136"/>
      <c r="G1352" s="136">
        <v>2440934000</v>
      </c>
      <c r="H1352" s="165">
        <v>3000000</v>
      </c>
      <c r="I1352" s="150" t="s">
        <v>3552</v>
      </c>
      <c r="J1352" s="149" t="s">
        <v>3562</v>
      </c>
      <c r="K1352" s="149" t="s">
        <v>3557</v>
      </c>
      <c r="L1352" s="171">
        <f t="shared" si="35"/>
        <v>2437934000</v>
      </c>
    </row>
    <row r="1353" spans="1:12" x14ac:dyDescent="0.25">
      <c r="A1353" s="7" t="s">
        <v>2271</v>
      </c>
      <c r="B1353" s="138" t="s">
        <v>4253</v>
      </c>
      <c r="C1353" s="137" t="s">
        <v>2273</v>
      </c>
      <c r="D1353" s="138">
        <v>1</v>
      </c>
      <c r="E1353" s="138" t="s">
        <v>42</v>
      </c>
      <c r="F1353" s="139"/>
      <c r="G1353" s="139">
        <v>1440934000</v>
      </c>
      <c r="H1353" s="165">
        <v>1500000</v>
      </c>
      <c r="I1353" s="150" t="s">
        <v>3552</v>
      </c>
      <c r="J1353" s="149" t="s">
        <v>3562</v>
      </c>
      <c r="K1353" s="149" t="s">
        <v>3557</v>
      </c>
      <c r="L1353" s="171">
        <f t="shared" si="35"/>
        <v>1439434000</v>
      </c>
    </row>
    <row r="1354" spans="1:12" ht="26.4" x14ac:dyDescent="0.25">
      <c r="A1354" s="7" t="s">
        <v>2274</v>
      </c>
      <c r="B1354" s="58">
        <v>101</v>
      </c>
      <c r="C1354" s="35" t="s">
        <v>2275</v>
      </c>
      <c r="D1354" s="58">
        <v>0</v>
      </c>
      <c r="E1354" s="58"/>
      <c r="F1354" s="36"/>
      <c r="G1354" s="36">
        <v>700000000</v>
      </c>
      <c r="H1354" s="165">
        <v>1500000</v>
      </c>
      <c r="I1354" s="150" t="s">
        <v>3552</v>
      </c>
      <c r="J1354" s="149" t="s">
        <v>3562</v>
      </c>
      <c r="K1354" s="149" t="s">
        <v>3557</v>
      </c>
      <c r="L1354" s="171">
        <f t="shared" si="35"/>
        <v>698500000</v>
      </c>
    </row>
    <row r="1355" spans="1:12" ht="26.4" x14ac:dyDescent="0.25">
      <c r="A1355" s="7" t="s">
        <v>2276</v>
      </c>
      <c r="B1355" s="59" t="s">
        <v>8</v>
      </c>
      <c r="C1355" s="38" t="s">
        <v>4254</v>
      </c>
      <c r="D1355" s="59"/>
      <c r="E1355" s="59"/>
      <c r="F1355" s="39"/>
      <c r="G1355" s="39">
        <v>700000000</v>
      </c>
      <c r="H1355" s="165">
        <v>20000000</v>
      </c>
      <c r="I1355" s="150" t="s">
        <v>3552</v>
      </c>
      <c r="J1355" s="149" t="s">
        <v>3562</v>
      </c>
      <c r="K1355" s="149" t="s">
        <v>3557</v>
      </c>
      <c r="L1355" s="171">
        <f t="shared" si="35"/>
        <v>680000000</v>
      </c>
    </row>
    <row r="1356" spans="1:12" x14ac:dyDescent="0.25">
      <c r="A1356" s="7" t="s">
        <v>2277</v>
      </c>
      <c r="B1356" s="60">
        <v>532111</v>
      </c>
      <c r="C1356" s="41" t="s">
        <v>43</v>
      </c>
      <c r="D1356" s="60"/>
      <c r="E1356" s="60"/>
      <c r="F1356" s="42"/>
      <c r="G1356" s="42">
        <v>700000000</v>
      </c>
      <c r="H1356" s="165">
        <v>10000000</v>
      </c>
      <c r="I1356" s="150" t="s">
        <v>3552</v>
      </c>
      <c r="J1356" s="149" t="s">
        <v>3562</v>
      </c>
      <c r="K1356" s="149" t="s">
        <v>3557</v>
      </c>
      <c r="L1356" s="171">
        <f t="shared" si="35"/>
        <v>690000000</v>
      </c>
    </row>
    <row r="1357" spans="1:12" x14ac:dyDescent="0.25">
      <c r="A1357" s="7" t="s">
        <v>2278</v>
      </c>
      <c r="B1357" s="61"/>
      <c r="C1357" s="44" t="s">
        <v>4255</v>
      </c>
      <c r="D1357" s="61">
        <v>1</v>
      </c>
      <c r="E1357" s="61" t="s">
        <v>42</v>
      </c>
      <c r="F1357" s="45">
        <v>700000000</v>
      </c>
      <c r="G1357" s="45">
        <f>ROUNDDOWN(D1357*F1357,-3)</f>
        <v>700000000</v>
      </c>
      <c r="H1357" s="165">
        <v>10000000</v>
      </c>
      <c r="I1357" s="150" t="s">
        <v>3552</v>
      </c>
      <c r="J1357" s="149" t="s">
        <v>3562</v>
      </c>
      <c r="K1357" s="149" t="s">
        <v>3557</v>
      </c>
      <c r="L1357" s="171">
        <f t="shared" si="35"/>
        <v>690000000</v>
      </c>
    </row>
    <row r="1358" spans="1:12" ht="26.4" x14ac:dyDescent="0.25">
      <c r="A1358" s="7" t="s">
        <v>2280</v>
      </c>
      <c r="B1358" s="58">
        <v>103</v>
      </c>
      <c r="C1358" s="35" t="s">
        <v>2281</v>
      </c>
      <c r="D1358" s="58">
        <v>0</v>
      </c>
      <c r="E1358" s="58"/>
      <c r="F1358" s="36"/>
      <c r="G1358" s="36">
        <v>200000000</v>
      </c>
      <c r="H1358" s="165">
        <v>42000000</v>
      </c>
      <c r="I1358" s="150" t="s">
        <v>3552</v>
      </c>
      <c r="J1358" s="149" t="s">
        <v>3562</v>
      </c>
      <c r="K1358" s="149" t="s">
        <v>3557</v>
      </c>
      <c r="L1358" s="171">
        <f t="shared" ref="L1358:L1421" si="38">G1358-H1358</f>
        <v>158000000</v>
      </c>
    </row>
    <row r="1359" spans="1:12" x14ac:dyDescent="0.25">
      <c r="A1359" s="7" t="s">
        <v>2282</v>
      </c>
      <c r="B1359" s="59" t="s">
        <v>8</v>
      </c>
      <c r="C1359" s="38" t="s">
        <v>2283</v>
      </c>
      <c r="D1359" s="59"/>
      <c r="E1359" s="59"/>
      <c r="F1359" s="39"/>
      <c r="G1359" s="39">
        <v>200000000</v>
      </c>
      <c r="H1359" s="165">
        <v>24000000</v>
      </c>
      <c r="I1359" s="150" t="s">
        <v>3552</v>
      </c>
      <c r="J1359" s="149" t="s">
        <v>3562</v>
      </c>
      <c r="K1359" s="149" t="s">
        <v>3557</v>
      </c>
      <c r="L1359" s="171">
        <f t="shared" si="38"/>
        <v>176000000</v>
      </c>
    </row>
    <row r="1360" spans="1:12" x14ac:dyDescent="0.25">
      <c r="A1360" s="7" t="s">
        <v>2284</v>
      </c>
      <c r="B1360" s="60">
        <v>532111</v>
      </c>
      <c r="C1360" s="41" t="s">
        <v>43</v>
      </c>
      <c r="D1360" s="60"/>
      <c r="E1360" s="60"/>
      <c r="F1360" s="42"/>
      <c r="G1360" s="42">
        <v>200000000</v>
      </c>
      <c r="H1360" s="165">
        <v>18000000</v>
      </c>
      <c r="I1360" s="150" t="s">
        <v>3552</v>
      </c>
      <c r="J1360" s="149" t="s">
        <v>3562</v>
      </c>
      <c r="K1360" s="149" t="s">
        <v>3557</v>
      </c>
      <c r="L1360" s="171">
        <f t="shared" si="38"/>
        <v>182000000</v>
      </c>
    </row>
    <row r="1361" spans="1:12" x14ac:dyDescent="0.25">
      <c r="A1361" s="7" t="s">
        <v>2285</v>
      </c>
      <c r="B1361" s="192"/>
      <c r="C1361" s="191" t="s">
        <v>4256</v>
      </c>
      <c r="D1361" s="192">
        <v>1</v>
      </c>
      <c r="E1361" s="192" t="s">
        <v>52</v>
      </c>
      <c r="F1361" s="193">
        <v>100000000</v>
      </c>
      <c r="G1361" s="45">
        <f>ROUNDDOWN(D1361*F1361,-3)</f>
        <v>100000000</v>
      </c>
      <c r="H1361" s="165">
        <v>80000000</v>
      </c>
      <c r="I1361" s="150" t="s">
        <v>3552</v>
      </c>
      <c r="J1361" s="149" t="s">
        <v>3562</v>
      </c>
      <c r="K1361" s="149" t="s">
        <v>3557</v>
      </c>
      <c r="L1361" s="171">
        <f t="shared" si="38"/>
        <v>20000000</v>
      </c>
    </row>
    <row r="1362" spans="1:12" x14ac:dyDescent="0.25">
      <c r="A1362" s="7" t="s">
        <v>2287</v>
      </c>
      <c r="B1362" s="61"/>
      <c r="C1362" s="44" t="s">
        <v>4257</v>
      </c>
      <c r="D1362" s="61">
        <v>1</v>
      </c>
      <c r="E1362" s="61" t="s">
        <v>106</v>
      </c>
      <c r="F1362" s="45">
        <v>100000000</v>
      </c>
      <c r="G1362" s="45">
        <f>ROUNDDOWN(D1362*F1362,-3)</f>
        <v>100000000</v>
      </c>
      <c r="H1362" s="165">
        <v>40000000</v>
      </c>
      <c r="I1362" s="150" t="s">
        <v>3552</v>
      </c>
      <c r="J1362" s="149" t="s">
        <v>3562</v>
      </c>
      <c r="K1362" s="149" t="s">
        <v>3557</v>
      </c>
      <c r="L1362" s="171">
        <f t="shared" si="38"/>
        <v>60000000</v>
      </c>
    </row>
    <row r="1363" spans="1:12" x14ac:dyDescent="0.25">
      <c r="A1363" s="7" t="s">
        <v>2289</v>
      </c>
      <c r="B1363" s="58">
        <v>301</v>
      </c>
      <c r="C1363" s="35" t="s">
        <v>2290</v>
      </c>
      <c r="D1363" s="58">
        <v>0</v>
      </c>
      <c r="E1363" s="58"/>
      <c r="F1363" s="36"/>
      <c r="G1363" s="36">
        <v>540934000</v>
      </c>
      <c r="H1363" s="165">
        <v>40000000</v>
      </c>
      <c r="I1363" s="150" t="s">
        <v>3552</v>
      </c>
      <c r="J1363" s="149" t="s">
        <v>3562</v>
      </c>
      <c r="K1363" s="149" t="s">
        <v>3557</v>
      </c>
      <c r="L1363" s="171">
        <f t="shared" si="38"/>
        <v>500934000</v>
      </c>
    </row>
    <row r="1364" spans="1:12" x14ac:dyDescent="0.25">
      <c r="A1364" s="7" t="s">
        <v>2291</v>
      </c>
      <c r="B1364" s="59" t="s">
        <v>8</v>
      </c>
      <c r="C1364" s="38" t="s">
        <v>2292</v>
      </c>
      <c r="D1364" s="59"/>
      <c r="E1364" s="59"/>
      <c r="F1364" s="39"/>
      <c r="G1364" s="39">
        <v>540934000</v>
      </c>
      <c r="H1364" s="165">
        <v>410000000</v>
      </c>
      <c r="I1364" s="150" t="s">
        <v>3552</v>
      </c>
      <c r="J1364" s="149" t="s">
        <v>3562</v>
      </c>
      <c r="K1364" s="149" t="s">
        <v>3557</v>
      </c>
      <c r="L1364" s="171">
        <f t="shared" si="38"/>
        <v>130934000</v>
      </c>
    </row>
    <row r="1365" spans="1:12" x14ac:dyDescent="0.25">
      <c r="A1365" s="7" t="s">
        <v>2293</v>
      </c>
      <c r="B1365" s="60">
        <v>532111</v>
      </c>
      <c r="C1365" s="41" t="s">
        <v>43</v>
      </c>
      <c r="D1365" s="60"/>
      <c r="E1365" s="60"/>
      <c r="F1365" s="42"/>
      <c r="G1365" s="42">
        <v>540934000</v>
      </c>
      <c r="H1365" s="165">
        <v>30000000</v>
      </c>
      <c r="I1365" s="150" t="s">
        <v>3552</v>
      </c>
      <c r="J1365" s="149" t="s">
        <v>3562</v>
      </c>
      <c r="K1365" s="149" t="s">
        <v>3557</v>
      </c>
      <c r="L1365" s="171">
        <f t="shared" si="38"/>
        <v>510934000</v>
      </c>
    </row>
    <row r="1366" spans="1:12" x14ac:dyDescent="0.25">
      <c r="A1366" s="7" t="s">
        <v>2294</v>
      </c>
      <c r="B1366" s="61"/>
      <c r="C1366" s="44" t="s">
        <v>4258</v>
      </c>
      <c r="D1366" s="61">
        <v>1</v>
      </c>
      <c r="E1366" s="61" t="s">
        <v>42</v>
      </c>
      <c r="F1366" s="45">
        <v>540934000</v>
      </c>
      <c r="G1366" s="45">
        <f>ROUNDDOWN(D1366*F1366,-3)</f>
        <v>540934000</v>
      </c>
      <c r="H1366" s="165">
        <v>50000000</v>
      </c>
      <c r="I1366" s="150" t="s">
        <v>3552</v>
      </c>
      <c r="J1366" s="149" t="s">
        <v>3562</v>
      </c>
      <c r="K1366" s="149" t="s">
        <v>3557</v>
      </c>
      <c r="L1366" s="171">
        <f t="shared" si="38"/>
        <v>490934000</v>
      </c>
    </row>
    <row r="1367" spans="1:12" x14ac:dyDescent="0.25">
      <c r="A1367" s="7" t="s">
        <v>2296</v>
      </c>
      <c r="B1367" s="138" t="s">
        <v>4259</v>
      </c>
      <c r="C1367" s="137" t="s">
        <v>2298</v>
      </c>
      <c r="D1367" s="138">
        <v>1</v>
      </c>
      <c r="E1367" s="138" t="s">
        <v>42</v>
      </c>
      <c r="F1367" s="139"/>
      <c r="G1367" s="139">
        <v>1000000000</v>
      </c>
      <c r="H1367" s="165">
        <v>30000000</v>
      </c>
      <c r="I1367" s="150" t="s">
        <v>3552</v>
      </c>
      <c r="J1367" s="149" t="s">
        <v>3562</v>
      </c>
      <c r="K1367" s="149" t="s">
        <v>3557</v>
      </c>
      <c r="L1367" s="171">
        <f t="shared" si="38"/>
        <v>970000000</v>
      </c>
    </row>
    <row r="1368" spans="1:12" ht="26.4" x14ac:dyDescent="0.25">
      <c r="A1368" s="7" t="s">
        <v>2299</v>
      </c>
      <c r="B1368" s="58">
        <v>102</v>
      </c>
      <c r="C1368" s="35" t="s">
        <v>2300</v>
      </c>
      <c r="D1368" s="58">
        <v>0</v>
      </c>
      <c r="E1368" s="58"/>
      <c r="F1368" s="36"/>
      <c r="G1368" s="36">
        <v>1000000000</v>
      </c>
      <c r="H1368" s="165">
        <v>50000000</v>
      </c>
      <c r="I1368" s="150" t="s">
        <v>3552</v>
      </c>
      <c r="J1368" s="149" t="s">
        <v>3562</v>
      </c>
      <c r="K1368" s="149" t="s">
        <v>3557</v>
      </c>
      <c r="L1368" s="171">
        <f t="shared" si="38"/>
        <v>950000000</v>
      </c>
    </row>
    <row r="1369" spans="1:12" ht="26.4" x14ac:dyDescent="0.25">
      <c r="A1369" s="7" t="s">
        <v>2301</v>
      </c>
      <c r="B1369" s="59" t="s">
        <v>8</v>
      </c>
      <c r="C1369" s="38" t="s">
        <v>2300</v>
      </c>
      <c r="D1369" s="59"/>
      <c r="E1369" s="59"/>
      <c r="F1369" s="39"/>
      <c r="G1369" s="39">
        <v>1000000000</v>
      </c>
      <c r="H1369" s="165">
        <v>25000000</v>
      </c>
      <c r="I1369" s="150" t="s">
        <v>3552</v>
      </c>
      <c r="J1369" s="149" t="s">
        <v>3562</v>
      </c>
      <c r="K1369" s="149" t="s">
        <v>3557</v>
      </c>
      <c r="L1369" s="171">
        <f t="shared" si="38"/>
        <v>975000000</v>
      </c>
    </row>
    <row r="1370" spans="1:12" x14ac:dyDescent="0.25">
      <c r="A1370" s="7" t="s">
        <v>2302</v>
      </c>
      <c r="B1370" s="60">
        <v>533111</v>
      </c>
      <c r="C1370" s="41" t="s">
        <v>45</v>
      </c>
      <c r="D1370" s="60"/>
      <c r="E1370" s="60"/>
      <c r="F1370" s="42"/>
      <c r="G1370" s="42">
        <v>1000000000</v>
      </c>
      <c r="H1370" s="165">
        <v>100000000</v>
      </c>
      <c r="I1370" s="150" t="s">
        <v>3552</v>
      </c>
      <c r="J1370" s="149" t="s">
        <v>3562</v>
      </c>
      <c r="K1370" s="149" t="s">
        <v>3557</v>
      </c>
      <c r="L1370" s="171">
        <f t="shared" si="38"/>
        <v>900000000</v>
      </c>
    </row>
    <row r="1371" spans="1:12" x14ac:dyDescent="0.25">
      <c r="B1371" s="61"/>
      <c r="C1371" s="44" t="s">
        <v>4260</v>
      </c>
      <c r="D1371" s="61"/>
      <c r="E1371" s="61"/>
      <c r="F1371" s="45"/>
      <c r="G1371" s="45">
        <v>1000000000</v>
      </c>
      <c r="H1371" s="165">
        <v>25000000</v>
      </c>
      <c r="I1371" s="150" t="s">
        <v>3552</v>
      </c>
      <c r="J1371" s="149" t="s">
        <v>3562</v>
      </c>
      <c r="K1371" s="149" t="s">
        <v>3557</v>
      </c>
      <c r="L1371" s="171">
        <f t="shared" si="38"/>
        <v>975000000</v>
      </c>
    </row>
    <row r="1372" spans="1:12" x14ac:dyDescent="0.25">
      <c r="A1372" s="7" t="s">
        <v>2304</v>
      </c>
      <c r="B1372" s="61"/>
      <c r="C1372" s="44" t="s">
        <v>4261</v>
      </c>
      <c r="D1372" s="61">
        <v>2</v>
      </c>
      <c r="E1372" s="61" t="s">
        <v>106</v>
      </c>
      <c r="F1372" s="45">
        <v>100000000</v>
      </c>
      <c r="G1372" s="45">
        <f>ROUNDDOWN(D1372*F1372,-3)</f>
        <v>200000000</v>
      </c>
      <c r="H1372" s="165">
        <v>25000000</v>
      </c>
      <c r="I1372" s="150" t="s">
        <v>3552</v>
      </c>
      <c r="J1372" s="149" t="s">
        <v>3562</v>
      </c>
      <c r="K1372" s="149" t="s">
        <v>3557</v>
      </c>
      <c r="L1372" s="171">
        <f t="shared" si="38"/>
        <v>175000000</v>
      </c>
    </row>
    <row r="1373" spans="1:12" ht="26.4" x14ac:dyDescent="0.25">
      <c r="A1373" s="7" t="s">
        <v>2306</v>
      </c>
      <c r="B1373" s="61"/>
      <c r="C1373" s="44" t="s">
        <v>4262</v>
      </c>
      <c r="D1373" s="61">
        <v>2</v>
      </c>
      <c r="E1373" s="61" t="s">
        <v>106</v>
      </c>
      <c r="F1373" s="45">
        <v>200000000</v>
      </c>
      <c r="G1373" s="45">
        <f>ROUNDDOWN(D1373*F1373,-3)</f>
        <v>400000000</v>
      </c>
      <c r="H1373" s="165">
        <v>25000000</v>
      </c>
      <c r="I1373" s="150" t="s">
        <v>3552</v>
      </c>
      <c r="J1373" s="149" t="s">
        <v>3562</v>
      </c>
      <c r="K1373" s="149" t="s">
        <v>3557</v>
      </c>
      <c r="L1373" s="171">
        <f t="shared" si="38"/>
        <v>375000000</v>
      </c>
    </row>
    <row r="1374" spans="1:12" x14ac:dyDescent="0.25">
      <c r="A1374" s="7" t="s">
        <v>2308</v>
      </c>
      <c r="B1374" s="61"/>
      <c r="C1374" s="44" t="s">
        <v>4263</v>
      </c>
      <c r="D1374" s="61">
        <v>2</v>
      </c>
      <c r="E1374" s="61" t="s">
        <v>106</v>
      </c>
      <c r="F1374" s="45">
        <v>200000000</v>
      </c>
      <c r="G1374" s="45">
        <f>ROUNDDOWN(D1374*F1374,-3)</f>
        <v>400000000</v>
      </c>
      <c r="H1374" s="165">
        <v>50000000</v>
      </c>
      <c r="I1374" s="150" t="s">
        <v>3552</v>
      </c>
      <c r="J1374" s="149" t="s">
        <v>3562</v>
      </c>
      <c r="K1374" s="149" t="s">
        <v>3557</v>
      </c>
      <c r="L1374" s="171">
        <f t="shared" si="38"/>
        <v>350000000</v>
      </c>
    </row>
    <row r="1375" spans="1:12" x14ac:dyDescent="0.25">
      <c r="A1375" s="7" t="s">
        <v>2310</v>
      </c>
      <c r="B1375" s="135" t="s">
        <v>2311</v>
      </c>
      <c r="C1375" s="133" t="s">
        <v>2312</v>
      </c>
      <c r="D1375" s="135">
        <v>78</v>
      </c>
      <c r="E1375" s="135" t="s">
        <v>155</v>
      </c>
      <c r="F1375" s="136"/>
      <c r="G1375" s="136">
        <v>2400000000</v>
      </c>
      <c r="H1375" s="165">
        <v>10800000</v>
      </c>
      <c r="I1375" s="150" t="s">
        <v>3552</v>
      </c>
      <c r="J1375" s="149" t="s">
        <v>3562</v>
      </c>
      <c r="K1375" s="149" t="s">
        <v>3557</v>
      </c>
      <c r="L1375" s="171">
        <f t="shared" si="38"/>
        <v>2389200000</v>
      </c>
    </row>
    <row r="1376" spans="1:12" x14ac:dyDescent="0.25">
      <c r="A1376" s="7" t="s">
        <v>2313</v>
      </c>
      <c r="B1376" s="138" t="s">
        <v>4264</v>
      </c>
      <c r="C1376" s="137" t="s">
        <v>2315</v>
      </c>
      <c r="D1376" s="138">
        <v>78</v>
      </c>
      <c r="E1376" s="138" t="s">
        <v>155</v>
      </c>
      <c r="F1376" s="139"/>
      <c r="G1376" s="139">
        <v>2400000000</v>
      </c>
      <c r="H1376" s="165">
        <v>6300000</v>
      </c>
      <c r="I1376" s="150" t="s">
        <v>3552</v>
      </c>
      <c r="J1376" s="149" t="s">
        <v>3562</v>
      </c>
      <c r="K1376" s="149" t="s">
        <v>3557</v>
      </c>
      <c r="L1376" s="171">
        <f t="shared" si="38"/>
        <v>2393700000</v>
      </c>
    </row>
    <row r="1377" spans="1:12" ht="39.6" x14ac:dyDescent="0.25">
      <c r="A1377" s="7" t="s">
        <v>2316</v>
      </c>
      <c r="B1377" s="58">
        <v>101</v>
      </c>
      <c r="C1377" s="35" t="s">
        <v>2317</v>
      </c>
      <c r="D1377" s="58">
        <v>0</v>
      </c>
      <c r="E1377" s="58"/>
      <c r="F1377" s="36"/>
      <c r="G1377" s="36">
        <v>600000000</v>
      </c>
      <c r="H1377" s="165">
        <v>4500000</v>
      </c>
      <c r="I1377" s="150" t="s">
        <v>3552</v>
      </c>
      <c r="J1377" s="149" t="s">
        <v>3562</v>
      </c>
      <c r="K1377" s="149" t="s">
        <v>3557</v>
      </c>
      <c r="L1377" s="171">
        <f t="shared" si="38"/>
        <v>595500000</v>
      </c>
    </row>
    <row r="1378" spans="1:12" ht="26.4" x14ac:dyDescent="0.25">
      <c r="A1378" s="7" t="s">
        <v>2318</v>
      </c>
      <c r="B1378" s="59" t="s">
        <v>8</v>
      </c>
      <c r="C1378" s="38" t="s">
        <v>2319</v>
      </c>
      <c r="D1378" s="59"/>
      <c r="E1378" s="59"/>
      <c r="F1378" s="39"/>
      <c r="G1378" s="39">
        <v>600000000</v>
      </c>
      <c r="H1378" s="165">
        <v>1200000000</v>
      </c>
      <c r="I1378" s="150" t="s">
        <v>3552</v>
      </c>
      <c r="J1378" s="149" t="s">
        <v>3562</v>
      </c>
      <c r="K1378" s="149" t="s">
        <v>3580</v>
      </c>
      <c r="L1378" s="171">
        <f t="shared" si="38"/>
        <v>-600000000</v>
      </c>
    </row>
    <row r="1379" spans="1:12" x14ac:dyDescent="0.25">
      <c r="A1379" s="7" t="s">
        <v>2320</v>
      </c>
      <c r="B1379" s="60">
        <v>521211</v>
      </c>
      <c r="C1379" s="41" t="s">
        <v>7</v>
      </c>
      <c r="D1379" s="60"/>
      <c r="E1379" s="60"/>
      <c r="F1379" s="42"/>
      <c r="G1379" s="42">
        <v>34200000</v>
      </c>
      <c r="H1379" s="165">
        <v>1116000000</v>
      </c>
      <c r="I1379" s="150" t="s">
        <v>3552</v>
      </c>
      <c r="J1379" s="149" t="s">
        <v>3562</v>
      </c>
      <c r="K1379" s="149" t="s">
        <v>3580</v>
      </c>
      <c r="L1379" s="171">
        <f t="shared" si="38"/>
        <v>-1081800000</v>
      </c>
    </row>
    <row r="1380" spans="1:12" ht="26.4" x14ac:dyDescent="0.25">
      <c r="A1380" s="7" t="s">
        <v>2321</v>
      </c>
      <c r="B1380" s="192"/>
      <c r="C1380" s="191" t="s">
        <v>4265</v>
      </c>
      <c r="D1380" s="192">
        <v>200</v>
      </c>
      <c r="E1380" s="192" t="s">
        <v>2323</v>
      </c>
      <c r="F1380" s="193">
        <v>121000</v>
      </c>
      <c r="G1380" s="45">
        <f>ROUNDDOWN(D1380*F1380,-3)</f>
        <v>24200000</v>
      </c>
      <c r="H1380" s="165">
        <v>48000000</v>
      </c>
      <c r="I1380" s="150" t="s">
        <v>3552</v>
      </c>
      <c r="J1380" s="149" t="s">
        <v>3562</v>
      </c>
      <c r="K1380" s="149" t="s">
        <v>3580</v>
      </c>
      <c r="L1380" s="171">
        <f t="shared" si="38"/>
        <v>-23800000</v>
      </c>
    </row>
    <row r="1381" spans="1:12" x14ac:dyDescent="0.25">
      <c r="A1381" s="7" t="s">
        <v>2324</v>
      </c>
      <c r="B1381" s="61"/>
      <c r="C1381" s="44" t="s">
        <v>4266</v>
      </c>
      <c r="D1381" s="61">
        <v>10</v>
      </c>
      <c r="E1381" s="61" t="s">
        <v>106</v>
      </c>
      <c r="F1381" s="45">
        <v>1000000</v>
      </c>
      <c r="G1381" s="45">
        <f>ROUNDDOWN(D1381*F1381,-3)</f>
        <v>10000000</v>
      </c>
      <c r="H1381" s="165">
        <v>20000000</v>
      </c>
      <c r="I1381" s="150" t="s">
        <v>3552</v>
      </c>
      <c r="J1381" s="149" t="s">
        <v>3562</v>
      </c>
      <c r="K1381" s="149" t="s">
        <v>3580</v>
      </c>
      <c r="L1381" s="171">
        <f t="shared" si="38"/>
        <v>-10000000</v>
      </c>
    </row>
    <row r="1382" spans="1:12" x14ac:dyDescent="0.25">
      <c r="A1382" s="7" t="s">
        <v>2325</v>
      </c>
      <c r="B1382" s="60">
        <v>521213</v>
      </c>
      <c r="C1382" s="41" t="s">
        <v>30</v>
      </c>
      <c r="D1382" s="60"/>
      <c r="E1382" s="60"/>
      <c r="F1382" s="42"/>
      <c r="G1382" s="42">
        <v>3000000</v>
      </c>
      <c r="H1382" s="165">
        <v>24000000</v>
      </c>
      <c r="I1382" s="150" t="s">
        <v>3552</v>
      </c>
      <c r="J1382" s="149" t="s">
        <v>3562</v>
      </c>
      <c r="K1382" s="149" t="s">
        <v>3580</v>
      </c>
      <c r="L1382" s="171">
        <f t="shared" si="38"/>
        <v>-21000000</v>
      </c>
    </row>
    <row r="1383" spans="1:12" x14ac:dyDescent="0.25">
      <c r="A1383" s="7" t="s">
        <v>2326</v>
      </c>
      <c r="B1383" s="61"/>
      <c r="C1383" s="44" t="s">
        <v>4267</v>
      </c>
      <c r="D1383" s="61">
        <v>5</v>
      </c>
      <c r="E1383" s="61" t="s">
        <v>25</v>
      </c>
      <c r="F1383" s="45">
        <v>300000</v>
      </c>
      <c r="G1383" s="45">
        <f>ROUNDDOWN(D1383*F1383,-3)</f>
        <v>1500000</v>
      </c>
      <c r="H1383" s="165">
        <v>4000000</v>
      </c>
      <c r="I1383" s="150" t="s">
        <v>3552</v>
      </c>
      <c r="J1383" s="149" t="s">
        <v>3562</v>
      </c>
      <c r="K1383" s="149" t="s">
        <v>3580</v>
      </c>
      <c r="L1383" s="171">
        <f t="shared" si="38"/>
        <v>-2500000</v>
      </c>
    </row>
    <row r="1384" spans="1:12" x14ac:dyDescent="0.25">
      <c r="A1384" s="7" t="s">
        <v>2328</v>
      </c>
      <c r="B1384" s="192"/>
      <c r="C1384" s="191" t="s">
        <v>4268</v>
      </c>
      <c r="D1384" s="192">
        <v>5</v>
      </c>
      <c r="E1384" s="192" t="s">
        <v>25</v>
      </c>
      <c r="F1384" s="193">
        <v>300000</v>
      </c>
      <c r="G1384" s="45">
        <f>ROUNDDOWN(D1384*F1384,-3)</f>
        <v>1500000</v>
      </c>
      <c r="H1384" s="165">
        <v>18000000</v>
      </c>
      <c r="I1384" s="150" t="s">
        <v>3552</v>
      </c>
      <c r="J1384" s="149" t="s">
        <v>3562</v>
      </c>
      <c r="K1384" s="149" t="s">
        <v>3580</v>
      </c>
      <c r="L1384" s="171">
        <f t="shared" si="38"/>
        <v>-16500000</v>
      </c>
    </row>
    <row r="1385" spans="1:12" x14ac:dyDescent="0.25">
      <c r="A1385" s="7" t="s">
        <v>2330</v>
      </c>
      <c r="B1385" s="60">
        <v>521811</v>
      </c>
      <c r="C1385" s="41" t="s">
        <v>64</v>
      </c>
      <c r="D1385" s="60"/>
      <c r="E1385" s="60"/>
      <c r="F1385" s="42"/>
      <c r="G1385" s="42">
        <v>20000000</v>
      </c>
      <c r="H1385" s="165">
        <v>3600000</v>
      </c>
      <c r="I1385" s="150" t="s">
        <v>3552</v>
      </c>
      <c r="J1385" s="149" t="s">
        <v>3562</v>
      </c>
      <c r="K1385" s="149" t="s">
        <v>3580</v>
      </c>
      <c r="L1385" s="171">
        <f t="shared" si="38"/>
        <v>16400000</v>
      </c>
    </row>
    <row r="1386" spans="1:12" x14ac:dyDescent="0.25">
      <c r="A1386" s="7" t="s">
        <v>2331</v>
      </c>
      <c r="B1386" s="61"/>
      <c r="C1386" s="44" t="s">
        <v>4269</v>
      </c>
      <c r="D1386" s="61">
        <v>10</v>
      </c>
      <c r="E1386" s="61" t="s">
        <v>106</v>
      </c>
      <c r="F1386" s="45">
        <v>1000000</v>
      </c>
      <c r="G1386" s="45">
        <f>ROUNDDOWN(D1386*F1386,-3)</f>
        <v>10000000</v>
      </c>
      <c r="H1386" s="165">
        <v>14400000</v>
      </c>
      <c r="I1386" s="150" t="s">
        <v>3552</v>
      </c>
      <c r="J1386" s="149" t="s">
        <v>3562</v>
      </c>
      <c r="K1386" s="149" t="s">
        <v>3580</v>
      </c>
      <c r="L1386" s="171">
        <f t="shared" si="38"/>
        <v>-4400000</v>
      </c>
    </row>
    <row r="1387" spans="1:12" x14ac:dyDescent="0.25">
      <c r="A1387" s="7" t="s">
        <v>2332</v>
      </c>
      <c r="B1387" s="192"/>
      <c r="C1387" s="191" t="s">
        <v>3632</v>
      </c>
      <c r="D1387" s="192">
        <v>10</v>
      </c>
      <c r="E1387" s="192" t="s">
        <v>106</v>
      </c>
      <c r="F1387" s="193">
        <v>1000000</v>
      </c>
      <c r="G1387" s="45">
        <f>ROUNDDOWN(D1387*F1387,-3)</f>
        <v>10000000</v>
      </c>
      <c r="H1387" s="165">
        <v>40000000</v>
      </c>
      <c r="I1387" s="150" t="s">
        <v>3552</v>
      </c>
      <c r="J1387" s="149" t="s">
        <v>3562</v>
      </c>
      <c r="K1387" s="149" t="s">
        <v>3580</v>
      </c>
      <c r="L1387" s="171">
        <f t="shared" si="38"/>
        <v>-30000000</v>
      </c>
    </row>
    <row r="1388" spans="1:12" x14ac:dyDescent="0.25">
      <c r="A1388" s="7" t="s">
        <v>2333</v>
      </c>
      <c r="B1388" s="60">
        <v>522151</v>
      </c>
      <c r="C1388" s="41" t="s">
        <v>11</v>
      </c>
      <c r="D1388" s="60"/>
      <c r="E1388" s="60"/>
      <c r="F1388" s="42"/>
      <c r="G1388" s="42">
        <v>42000000</v>
      </c>
      <c r="H1388" s="165">
        <v>20000000</v>
      </c>
      <c r="I1388" s="150" t="s">
        <v>3552</v>
      </c>
      <c r="J1388" s="149" t="s">
        <v>3562</v>
      </c>
      <c r="K1388" s="149" t="s">
        <v>3580</v>
      </c>
      <c r="L1388" s="171">
        <f t="shared" si="38"/>
        <v>22000000</v>
      </c>
    </row>
    <row r="1389" spans="1:12" x14ac:dyDescent="0.25">
      <c r="A1389" s="7" t="s">
        <v>2334</v>
      </c>
      <c r="B1389" s="61"/>
      <c r="C1389" s="44" t="s">
        <v>4270</v>
      </c>
      <c r="D1389" s="61">
        <v>24</v>
      </c>
      <c r="E1389" s="61" t="s">
        <v>54</v>
      </c>
      <c r="F1389" s="45">
        <v>1000000</v>
      </c>
      <c r="G1389" s="45">
        <f>ROUNDDOWN(D1389*F1389,-3)</f>
        <v>24000000</v>
      </c>
      <c r="H1389" s="165">
        <v>20000000</v>
      </c>
      <c r="I1389" s="150" t="s">
        <v>3552</v>
      </c>
      <c r="J1389" s="149" t="s">
        <v>3562</v>
      </c>
      <c r="K1389" s="149" t="s">
        <v>3580</v>
      </c>
      <c r="L1389" s="171">
        <f t="shared" si="38"/>
        <v>4000000</v>
      </c>
    </row>
    <row r="1390" spans="1:12" x14ac:dyDescent="0.25">
      <c r="A1390" s="7" t="s">
        <v>2336</v>
      </c>
      <c r="B1390" s="192"/>
      <c r="C1390" s="191" t="s">
        <v>4271</v>
      </c>
      <c r="D1390" s="192">
        <v>20</v>
      </c>
      <c r="E1390" s="192" t="s">
        <v>54</v>
      </c>
      <c r="F1390" s="193">
        <v>900000</v>
      </c>
      <c r="G1390" s="45">
        <f>ROUNDDOWN(D1390*F1390,-3)</f>
        <v>18000000</v>
      </c>
      <c r="H1390" s="165">
        <v>18000000</v>
      </c>
      <c r="I1390" s="150" t="s">
        <v>3552</v>
      </c>
      <c r="J1390" s="149" t="s">
        <v>3562</v>
      </c>
      <c r="K1390" s="149" t="s">
        <v>3580</v>
      </c>
      <c r="L1390" s="171">
        <f t="shared" si="38"/>
        <v>0</v>
      </c>
    </row>
    <row r="1391" spans="1:12" x14ac:dyDescent="0.25">
      <c r="A1391" s="7" t="s">
        <v>2338</v>
      </c>
      <c r="B1391" s="60">
        <v>522191</v>
      </c>
      <c r="C1391" s="41" t="s">
        <v>22</v>
      </c>
      <c r="D1391" s="60"/>
      <c r="E1391" s="60"/>
      <c r="F1391" s="42"/>
      <c r="G1391" s="42">
        <v>80000000</v>
      </c>
      <c r="H1391" s="165">
        <v>0</v>
      </c>
      <c r="I1391" s="150" t="s">
        <v>3552</v>
      </c>
      <c r="J1391" s="149" t="s">
        <v>3562</v>
      </c>
      <c r="K1391" s="149" t="s">
        <v>3580</v>
      </c>
      <c r="L1391" s="171">
        <f t="shared" si="38"/>
        <v>80000000</v>
      </c>
    </row>
    <row r="1392" spans="1:12" x14ac:dyDescent="0.25">
      <c r="A1392" s="7" t="s">
        <v>2339</v>
      </c>
      <c r="B1392" s="61"/>
      <c r="C1392" s="44" t="s">
        <v>4272</v>
      </c>
      <c r="D1392" s="61">
        <v>10</v>
      </c>
      <c r="E1392" s="61" t="s">
        <v>25</v>
      </c>
      <c r="F1392" s="45">
        <v>4000000</v>
      </c>
      <c r="G1392" s="45">
        <f>ROUNDDOWN(D1392*F1392,-3)</f>
        <v>40000000</v>
      </c>
      <c r="H1392" s="165">
        <v>18000000</v>
      </c>
      <c r="I1392" s="150" t="s">
        <v>3552</v>
      </c>
      <c r="J1392" s="149" t="s">
        <v>3562</v>
      </c>
      <c r="K1392" s="149" t="s">
        <v>3580</v>
      </c>
      <c r="L1392" s="171">
        <f t="shared" si="38"/>
        <v>22000000</v>
      </c>
    </row>
    <row r="1393" spans="1:12" x14ac:dyDescent="0.25">
      <c r="A1393" s="7" t="s">
        <v>2341</v>
      </c>
      <c r="B1393" s="192"/>
      <c r="C1393" s="191" t="s">
        <v>4273</v>
      </c>
      <c r="D1393" s="192">
        <v>10</v>
      </c>
      <c r="E1393" s="192" t="s">
        <v>25</v>
      </c>
      <c r="F1393" s="193">
        <v>4000000</v>
      </c>
      <c r="G1393" s="45">
        <f>ROUNDDOWN(D1393*F1393,-3)</f>
        <v>40000000</v>
      </c>
      <c r="H1393" s="165">
        <v>24000000</v>
      </c>
      <c r="I1393" s="150" t="s">
        <v>3552</v>
      </c>
      <c r="J1393" s="149" t="s">
        <v>3562</v>
      </c>
      <c r="K1393" s="149" t="s">
        <v>3580</v>
      </c>
      <c r="L1393" s="171">
        <f t="shared" si="38"/>
        <v>16000000</v>
      </c>
    </row>
    <row r="1394" spans="1:12" x14ac:dyDescent="0.25">
      <c r="A1394" s="7" t="s">
        <v>2343</v>
      </c>
      <c r="B1394" s="60">
        <v>524111</v>
      </c>
      <c r="C1394" s="41" t="s">
        <v>19</v>
      </c>
      <c r="D1394" s="60"/>
      <c r="E1394" s="60"/>
      <c r="F1394" s="42"/>
      <c r="G1394" s="42">
        <v>410000000</v>
      </c>
      <c r="H1394" s="165">
        <v>24000000</v>
      </c>
      <c r="I1394" s="150" t="s">
        <v>3552</v>
      </c>
      <c r="J1394" s="149" t="s">
        <v>3562</v>
      </c>
      <c r="K1394" s="149" t="s">
        <v>3580</v>
      </c>
      <c r="L1394" s="171">
        <f t="shared" si="38"/>
        <v>386000000</v>
      </c>
    </row>
    <row r="1395" spans="1:12" x14ac:dyDescent="0.25">
      <c r="A1395" s="7" t="s">
        <v>2344</v>
      </c>
      <c r="B1395" s="192"/>
      <c r="C1395" s="191" t="s">
        <v>4274</v>
      </c>
      <c r="D1395" s="192">
        <v>10</v>
      </c>
      <c r="E1395" s="192" t="s">
        <v>25</v>
      </c>
      <c r="F1395" s="193">
        <v>3000000</v>
      </c>
      <c r="G1395" s="45">
        <f t="shared" ref="G1395:G1404" si="39">ROUNDDOWN(D1395*F1395,-3)</f>
        <v>30000000</v>
      </c>
      <c r="H1395" s="165">
        <v>957200000</v>
      </c>
      <c r="I1395" s="150" t="s">
        <v>3552</v>
      </c>
      <c r="J1395" s="149" t="s">
        <v>3562</v>
      </c>
      <c r="K1395" s="149" t="s">
        <v>3580</v>
      </c>
      <c r="L1395" s="171">
        <f t="shared" si="38"/>
        <v>-927200000</v>
      </c>
    </row>
    <row r="1396" spans="1:12" x14ac:dyDescent="0.25">
      <c r="A1396" s="7" t="s">
        <v>2346</v>
      </c>
      <c r="B1396" s="61"/>
      <c r="C1396" s="44" t="s">
        <v>4275</v>
      </c>
      <c r="D1396" s="61">
        <v>10</v>
      </c>
      <c r="E1396" s="61" t="s">
        <v>25</v>
      </c>
      <c r="F1396" s="45">
        <v>3000000</v>
      </c>
      <c r="G1396" s="45">
        <f t="shared" si="39"/>
        <v>30000000</v>
      </c>
      <c r="H1396" s="165">
        <v>0</v>
      </c>
      <c r="I1396" s="150" t="s">
        <v>3552</v>
      </c>
      <c r="J1396" s="149" t="s">
        <v>3562</v>
      </c>
      <c r="K1396" s="149" t="s">
        <v>3580</v>
      </c>
      <c r="L1396" s="171">
        <f t="shared" si="38"/>
        <v>30000000</v>
      </c>
    </row>
    <row r="1397" spans="1:12" ht="26.4" x14ac:dyDescent="0.25">
      <c r="A1397" s="7" t="s">
        <v>2348</v>
      </c>
      <c r="B1397" s="61"/>
      <c r="C1397" s="44" t="s">
        <v>4276</v>
      </c>
      <c r="D1397" s="61">
        <v>10</v>
      </c>
      <c r="E1397" s="61" t="s">
        <v>25</v>
      </c>
      <c r="F1397" s="45">
        <v>5000000</v>
      </c>
      <c r="G1397" s="45">
        <f t="shared" si="39"/>
        <v>50000000</v>
      </c>
      <c r="H1397" s="165">
        <v>50000000</v>
      </c>
      <c r="I1397" s="150" t="s">
        <v>3552</v>
      </c>
      <c r="J1397" s="149" t="s">
        <v>3562</v>
      </c>
      <c r="K1397" s="149" t="s">
        <v>3580</v>
      </c>
      <c r="L1397" s="171">
        <f t="shared" si="38"/>
        <v>0</v>
      </c>
    </row>
    <row r="1398" spans="1:12" x14ac:dyDescent="0.25">
      <c r="A1398" s="7" t="s">
        <v>2350</v>
      </c>
      <c r="B1398" s="61"/>
      <c r="C1398" s="44" t="s">
        <v>4277</v>
      </c>
      <c r="D1398" s="61">
        <v>5</v>
      </c>
      <c r="E1398" s="61" t="s">
        <v>25</v>
      </c>
      <c r="F1398" s="45">
        <v>5000000</v>
      </c>
      <c r="G1398" s="45">
        <f t="shared" si="39"/>
        <v>25000000</v>
      </c>
      <c r="H1398" s="165">
        <v>0</v>
      </c>
      <c r="I1398" s="150" t="s">
        <v>3552</v>
      </c>
      <c r="J1398" s="149" t="s">
        <v>3562</v>
      </c>
      <c r="K1398" s="149" t="s">
        <v>3580</v>
      </c>
      <c r="L1398" s="171">
        <f t="shared" si="38"/>
        <v>25000000</v>
      </c>
    </row>
    <row r="1399" spans="1:12" x14ac:dyDescent="0.25">
      <c r="A1399" s="7" t="s">
        <v>2352</v>
      </c>
      <c r="B1399" s="61"/>
      <c r="C1399" s="44" t="s">
        <v>4278</v>
      </c>
      <c r="D1399" s="61">
        <v>20</v>
      </c>
      <c r="E1399" s="61" t="s">
        <v>25</v>
      </c>
      <c r="F1399" s="45">
        <v>5000000</v>
      </c>
      <c r="G1399" s="45">
        <f t="shared" si="39"/>
        <v>100000000</v>
      </c>
      <c r="H1399" s="165">
        <v>907200000</v>
      </c>
      <c r="I1399" s="150" t="s">
        <v>3552</v>
      </c>
      <c r="J1399" s="149" t="s">
        <v>3562</v>
      </c>
      <c r="K1399" s="149" t="s">
        <v>3580</v>
      </c>
      <c r="L1399" s="171">
        <f t="shared" si="38"/>
        <v>-807200000</v>
      </c>
    </row>
    <row r="1400" spans="1:12" x14ac:dyDescent="0.25">
      <c r="A1400" s="7" t="s">
        <v>2354</v>
      </c>
      <c r="B1400" s="192"/>
      <c r="C1400" s="191" t="s">
        <v>4279</v>
      </c>
      <c r="D1400" s="192">
        <v>5</v>
      </c>
      <c r="E1400" s="192" t="s">
        <v>25</v>
      </c>
      <c r="F1400" s="193">
        <v>5000000</v>
      </c>
      <c r="G1400" s="45">
        <f t="shared" si="39"/>
        <v>25000000</v>
      </c>
      <c r="H1400" s="165">
        <v>10800000</v>
      </c>
      <c r="I1400" s="150" t="s">
        <v>3552</v>
      </c>
      <c r="J1400" s="149" t="s">
        <v>3562</v>
      </c>
      <c r="K1400" s="149" t="s">
        <v>3580</v>
      </c>
      <c r="L1400" s="171">
        <f t="shared" si="38"/>
        <v>14200000</v>
      </c>
    </row>
    <row r="1401" spans="1:12" ht="26.4" x14ac:dyDescent="0.25">
      <c r="A1401" s="7" t="s">
        <v>2356</v>
      </c>
      <c r="B1401" s="61"/>
      <c r="C1401" s="44" t="s">
        <v>4280</v>
      </c>
      <c r="D1401" s="61">
        <v>5</v>
      </c>
      <c r="E1401" s="61" t="s">
        <v>25</v>
      </c>
      <c r="F1401" s="45">
        <v>5000000</v>
      </c>
      <c r="G1401" s="45">
        <f t="shared" si="39"/>
        <v>25000000</v>
      </c>
      <c r="H1401" s="165">
        <v>0</v>
      </c>
      <c r="I1401" s="150" t="s">
        <v>3552</v>
      </c>
      <c r="J1401" s="149" t="s">
        <v>3562</v>
      </c>
      <c r="K1401" s="149" t="s">
        <v>3580</v>
      </c>
      <c r="L1401" s="171">
        <f t="shared" si="38"/>
        <v>25000000</v>
      </c>
    </row>
    <row r="1402" spans="1:12" x14ac:dyDescent="0.25">
      <c r="A1402" s="7" t="s">
        <v>2358</v>
      </c>
      <c r="B1402" s="61"/>
      <c r="C1402" s="44" t="s">
        <v>4281</v>
      </c>
      <c r="D1402" s="61">
        <v>5</v>
      </c>
      <c r="E1402" s="61" t="s">
        <v>25</v>
      </c>
      <c r="F1402" s="45">
        <v>5000000</v>
      </c>
      <c r="G1402" s="45">
        <f t="shared" si="39"/>
        <v>25000000</v>
      </c>
      <c r="H1402" s="165">
        <v>6300000</v>
      </c>
      <c r="I1402" s="150" t="s">
        <v>3552</v>
      </c>
      <c r="J1402" s="149" t="s">
        <v>3562</v>
      </c>
      <c r="K1402" s="149" t="s">
        <v>3580</v>
      </c>
      <c r="L1402" s="171">
        <f t="shared" si="38"/>
        <v>18700000</v>
      </c>
    </row>
    <row r="1403" spans="1:12" x14ac:dyDescent="0.25">
      <c r="A1403" s="7" t="s">
        <v>2360</v>
      </c>
      <c r="B1403" s="61"/>
      <c r="C1403" s="44" t="s">
        <v>4282</v>
      </c>
      <c r="D1403" s="61">
        <v>10</v>
      </c>
      <c r="E1403" s="61" t="s">
        <v>25</v>
      </c>
      <c r="F1403" s="45">
        <v>5000000</v>
      </c>
      <c r="G1403" s="45">
        <f t="shared" si="39"/>
        <v>50000000</v>
      </c>
      <c r="H1403" s="165">
        <v>4500000</v>
      </c>
      <c r="I1403" s="150" t="s">
        <v>3552</v>
      </c>
      <c r="J1403" s="149" t="s">
        <v>3562</v>
      </c>
      <c r="K1403" s="149" t="s">
        <v>3580</v>
      </c>
      <c r="L1403" s="171">
        <f t="shared" si="38"/>
        <v>45500000</v>
      </c>
    </row>
    <row r="1404" spans="1:12" x14ac:dyDescent="0.25">
      <c r="A1404" s="7" t="s">
        <v>2362</v>
      </c>
      <c r="B1404" s="192"/>
      <c r="C1404" s="191" t="s">
        <v>4283</v>
      </c>
      <c r="D1404" s="192">
        <v>10</v>
      </c>
      <c r="E1404" s="192" t="s">
        <v>25</v>
      </c>
      <c r="F1404" s="193">
        <v>5000000</v>
      </c>
      <c r="G1404" s="45">
        <f t="shared" si="39"/>
        <v>50000000</v>
      </c>
      <c r="H1404" s="165">
        <v>84000000</v>
      </c>
      <c r="I1404" s="150" t="s">
        <v>3552</v>
      </c>
      <c r="J1404" s="149" t="s">
        <v>3562</v>
      </c>
      <c r="K1404" s="149" t="s">
        <v>3580</v>
      </c>
      <c r="L1404" s="171">
        <f t="shared" si="38"/>
        <v>-34000000</v>
      </c>
    </row>
    <row r="1405" spans="1:12" x14ac:dyDescent="0.25">
      <c r="A1405" s="7" t="s">
        <v>2364</v>
      </c>
      <c r="B1405" s="60">
        <v>524114</v>
      </c>
      <c r="C1405" s="41" t="s">
        <v>14</v>
      </c>
      <c r="D1405" s="60"/>
      <c r="E1405" s="60"/>
      <c r="F1405" s="42"/>
      <c r="G1405" s="42">
        <v>10800000</v>
      </c>
      <c r="H1405" s="165">
        <v>8000000</v>
      </c>
      <c r="I1405" s="150" t="s">
        <v>3552</v>
      </c>
      <c r="J1405" s="149" t="s">
        <v>3562</v>
      </c>
      <c r="K1405" s="149" t="s">
        <v>3580</v>
      </c>
      <c r="L1405" s="171">
        <f t="shared" si="38"/>
        <v>2800000</v>
      </c>
    </row>
    <row r="1406" spans="1:12" ht="26.4" x14ac:dyDescent="0.25">
      <c r="A1406" s="7" t="s">
        <v>2365</v>
      </c>
      <c r="B1406" s="61"/>
      <c r="C1406" s="44" t="s">
        <v>4284</v>
      </c>
      <c r="D1406" s="61">
        <v>30</v>
      </c>
      <c r="E1406" s="61" t="s">
        <v>25</v>
      </c>
      <c r="F1406" s="45">
        <v>210000</v>
      </c>
      <c r="G1406" s="45">
        <f>ROUNDDOWN(D1406*F1406,-3)</f>
        <v>6300000</v>
      </c>
      <c r="H1406" s="165">
        <v>4000000</v>
      </c>
      <c r="I1406" s="150" t="s">
        <v>3552</v>
      </c>
      <c r="J1406" s="149" t="s">
        <v>3562</v>
      </c>
      <c r="K1406" s="149" t="s">
        <v>3580</v>
      </c>
      <c r="L1406" s="171">
        <f t="shared" si="38"/>
        <v>2300000</v>
      </c>
    </row>
    <row r="1407" spans="1:12" x14ac:dyDescent="0.25">
      <c r="A1407" s="7" t="s">
        <v>2367</v>
      </c>
      <c r="B1407" s="61"/>
      <c r="C1407" s="44" t="s">
        <v>3787</v>
      </c>
      <c r="D1407" s="61">
        <v>30</v>
      </c>
      <c r="E1407" s="61" t="s">
        <v>25</v>
      </c>
      <c r="F1407" s="45">
        <v>150000</v>
      </c>
      <c r="G1407" s="45">
        <f>ROUNDDOWN(D1407*F1407,-3)</f>
        <v>4500000</v>
      </c>
      <c r="H1407" s="165">
        <v>4000000</v>
      </c>
      <c r="I1407" s="150" t="s">
        <v>3552</v>
      </c>
      <c r="J1407" s="149" t="s">
        <v>3562</v>
      </c>
      <c r="K1407" s="149" t="s">
        <v>3580</v>
      </c>
      <c r="L1407" s="171">
        <f t="shared" si="38"/>
        <v>500000</v>
      </c>
    </row>
    <row r="1408" spans="1:12" ht="26.4" x14ac:dyDescent="0.25">
      <c r="A1408" s="7" t="s">
        <v>2368</v>
      </c>
      <c r="B1408" s="58">
        <v>102</v>
      </c>
      <c r="C1408" s="35" t="s">
        <v>2369</v>
      </c>
      <c r="D1408" s="58">
        <v>0</v>
      </c>
      <c r="E1408" s="58"/>
      <c r="F1408" s="36"/>
      <c r="G1408" s="36">
        <v>1200000000</v>
      </c>
      <c r="H1408" s="165">
        <v>16000000</v>
      </c>
      <c r="I1408" s="150" t="s">
        <v>3552</v>
      </c>
      <c r="J1408" s="149" t="s">
        <v>3562</v>
      </c>
      <c r="K1408" s="149" t="s">
        <v>3580</v>
      </c>
      <c r="L1408" s="171">
        <f t="shared" si="38"/>
        <v>1184000000</v>
      </c>
    </row>
    <row r="1409" spans="1:12" ht="26.4" x14ac:dyDescent="0.25">
      <c r="A1409" s="7" t="s">
        <v>2370</v>
      </c>
      <c r="B1409" s="59" t="s">
        <v>8</v>
      </c>
      <c r="C1409" s="38" t="s">
        <v>156</v>
      </c>
      <c r="D1409" s="59"/>
      <c r="E1409" s="59"/>
      <c r="F1409" s="39"/>
      <c r="G1409" s="39">
        <v>1116000000</v>
      </c>
      <c r="H1409" s="165">
        <v>8000000</v>
      </c>
      <c r="I1409" s="150" t="s">
        <v>3552</v>
      </c>
      <c r="J1409" s="149" t="s">
        <v>3562</v>
      </c>
      <c r="K1409" s="149" t="s">
        <v>3580</v>
      </c>
      <c r="L1409" s="171">
        <f t="shared" si="38"/>
        <v>1108000000</v>
      </c>
    </row>
    <row r="1410" spans="1:12" x14ac:dyDescent="0.25">
      <c r="A1410" s="7" t="s">
        <v>2371</v>
      </c>
      <c r="B1410" s="60">
        <v>521211</v>
      </c>
      <c r="C1410" s="41" t="s">
        <v>7</v>
      </c>
      <c r="D1410" s="60"/>
      <c r="E1410" s="60"/>
      <c r="F1410" s="42"/>
      <c r="G1410" s="42">
        <v>48000000</v>
      </c>
      <c r="H1410" s="165">
        <v>8000000</v>
      </c>
      <c r="I1410" s="150" t="s">
        <v>3552</v>
      </c>
      <c r="J1410" s="149" t="s">
        <v>3562</v>
      </c>
      <c r="K1410" s="149" t="s">
        <v>3580</v>
      </c>
      <c r="L1410" s="171">
        <f t="shared" si="38"/>
        <v>40000000</v>
      </c>
    </row>
    <row r="1411" spans="1:12" x14ac:dyDescent="0.25">
      <c r="A1411" s="7" t="s">
        <v>2372</v>
      </c>
      <c r="B1411" s="192"/>
      <c r="C1411" s="191" t="s">
        <v>4285</v>
      </c>
      <c r="D1411" s="192">
        <v>20</v>
      </c>
      <c r="E1411" s="192" t="s">
        <v>106</v>
      </c>
      <c r="F1411" s="193">
        <v>1000000</v>
      </c>
      <c r="G1411" s="45">
        <f>ROUNDDOWN(D1411*F1411,-3)</f>
        <v>20000000</v>
      </c>
      <c r="H1411" s="165">
        <v>60000000</v>
      </c>
      <c r="I1411" s="150" t="s">
        <v>3552</v>
      </c>
      <c r="J1411" s="149" t="s">
        <v>3562</v>
      </c>
      <c r="K1411" s="149" t="s">
        <v>3580</v>
      </c>
      <c r="L1411" s="171">
        <f t="shared" si="38"/>
        <v>-40000000</v>
      </c>
    </row>
    <row r="1412" spans="1:12" x14ac:dyDescent="0.25">
      <c r="A1412" s="7" t="s">
        <v>2374</v>
      </c>
      <c r="B1412" s="61"/>
      <c r="C1412" s="44" t="s">
        <v>4286</v>
      </c>
      <c r="D1412" s="61">
        <v>100</v>
      </c>
      <c r="E1412" s="61" t="s">
        <v>2323</v>
      </c>
      <c r="F1412" s="45">
        <v>240000</v>
      </c>
      <c r="G1412" s="45">
        <f>ROUNDDOWN(D1412*F1412,-3)</f>
        <v>24000000</v>
      </c>
      <c r="H1412" s="165">
        <v>60000000</v>
      </c>
      <c r="I1412" s="150" t="s">
        <v>3552</v>
      </c>
      <c r="J1412" s="149" t="s">
        <v>3562</v>
      </c>
      <c r="K1412" s="149" t="s">
        <v>3580</v>
      </c>
      <c r="L1412" s="171">
        <f t="shared" si="38"/>
        <v>-36000000</v>
      </c>
    </row>
    <row r="1413" spans="1:12" x14ac:dyDescent="0.25">
      <c r="A1413" s="7" t="s">
        <v>2376</v>
      </c>
      <c r="B1413" s="195"/>
      <c r="C1413" s="194" t="s">
        <v>4287</v>
      </c>
      <c r="D1413" s="195">
        <v>4</v>
      </c>
      <c r="E1413" s="195" t="s">
        <v>106</v>
      </c>
      <c r="F1413" s="196">
        <v>1000000</v>
      </c>
      <c r="G1413" s="45">
        <f>ROUNDDOWN(D1413*F1413,-3)</f>
        <v>4000000</v>
      </c>
      <c r="H1413" s="165">
        <v>600000000</v>
      </c>
      <c r="I1413" s="150" t="s">
        <v>3552</v>
      </c>
      <c r="J1413" s="149" t="s">
        <v>3562</v>
      </c>
      <c r="K1413" s="149" t="s">
        <v>3581</v>
      </c>
      <c r="L1413" s="171">
        <f t="shared" si="38"/>
        <v>-596000000</v>
      </c>
    </row>
    <row r="1414" spans="1:12" ht="26.4" x14ac:dyDescent="0.25">
      <c r="A1414" s="7" t="s">
        <v>2378</v>
      </c>
      <c r="B1414" s="60">
        <v>521241</v>
      </c>
      <c r="C1414" s="41" t="s">
        <v>642</v>
      </c>
      <c r="D1414" s="60"/>
      <c r="E1414" s="60"/>
      <c r="F1414" s="42"/>
      <c r="G1414" s="42">
        <v>18000000</v>
      </c>
      <c r="H1414" s="165">
        <v>284000000</v>
      </c>
      <c r="I1414" s="150" t="s">
        <v>3552</v>
      </c>
      <c r="J1414" s="149" t="s">
        <v>3562</v>
      </c>
      <c r="K1414" s="149" t="s">
        <v>3581</v>
      </c>
      <c r="L1414" s="171">
        <f t="shared" si="38"/>
        <v>-266000000</v>
      </c>
    </row>
    <row r="1415" spans="1:12" ht="26.4" x14ac:dyDescent="0.25">
      <c r="A1415" s="7" t="s">
        <v>2379</v>
      </c>
      <c r="B1415" s="192"/>
      <c r="C1415" s="191" t="s">
        <v>4288</v>
      </c>
      <c r="D1415" s="192">
        <v>12</v>
      </c>
      <c r="E1415" s="192" t="s">
        <v>106</v>
      </c>
      <c r="F1415" s="193">
        <v>300000</v>
      </c>
      <c r="G1415" s="45">
        <f>ROUNDDOWN(D1415*F1415,-3)</f>
        <v>3600000</v>
      </c>
      <c r="H1415" s="165">
        <v>10000000</v>
      </c>
      <c r="I1415" s="150" t="s">
        <v>3552</v>
      </c>
      <c r="J1415" s="149" t="s">
        <v>3562</v>
      </c>
      <c r="K1415" s="149" t="s">
        <v>3581</v>
      </c>
      <c r="L1415" s="171">
        <f t="shared" si="38"/>
        <v>-6400000</v>
      </c>
    </row>
    <row r="1416" spans="1:12" ht="26.4" x14ac:dyDescent="0.25">
      <c r="A1416" s="7" t="s">
        <v>2381</v>
      </c>
      <c r="B1416" s="61"/>
      <c r="C1416" s="44" t="s">
        <v>4289</v>
      </c>
      <c r="D1416" s="61">
        <v>72</v>
      </c>
      <c r="E1416" s="61" t="s">
        <v>25</v>
      </c>
      <c r="F1416" s="45">
        <v>200000</v>
      </c>
      <c r="G1416" s="45">
        <f>ROUNDDOWN(D1416*F1416,-3)</f>
        <v>14400000</v>
      </c>
      <c r="H1416" s="165">
        <v>10000000</v>
      </c>
      <c r="I1416" s="150" t="s">
        <v>3552</v>
      </c>
      <c r="J1416" s="149" t="s">
        <v>3562</v>
      </c>
      <c r="K1416" s="149" t="s">
        <v>3581</v>
      </c>
      <c r="L1416" s="171">
        <f t="shared" si="38"/>
        <v>4400000</v>
      </c>
    </row>
    <row r="1417" spans="1:12" x14ac:dyDescent="0.25">
      <c r="A1417" s="7" t="s">
        <v>2383</v>
      </c>
      <c r="B1417" s="60">
        <v>521811</v>
      </c>
      <c r="C1417" s="41" t="s">
        <v>64</v>
      </c>
      <c r="D1417" s="60"/>
      <c r="E1417" s="60"/>
      <c r="F1417" s="42"/>
      <c r="G1417" s="42">
        <v>40000000</v>
      </c>
      <c r="H1417" s="165">
        <v>20000000</v>
      </c>
      <c r="I1417" s="150" t="s">
        <v>3552</v>
      </c>
      <c r="J1417" s="149" t="s">
        <v>3562</v>
      </c>
      <c r="K1417" s="149" t="s">
        <v>3581</v>
      </c>
      <c r="L1417" s="171">
        <f t="shared" si="38"/>
        <v>20000000</v>
      </c>
    </row>
    <row r="1418" spans="1:12" x14ac:dyDescent="0.25">
      <c r="A1418" s="7" t="s">
        <v>2384</v>
      </c>
      <c r="B1418" s="61"/>
      <c r="C1418" s="44" t="s">
        <v>3625</v>
      </c>
      <c r="D1418" s="61">
        <v>20</v>
      </c>
      <c r="E1418" s="61" t="s">
        <v>106</v>
      </c>
      <c r="F1418" s="45">
        <v>1000000</v>
      </c>
      <c r="G1418" s="45">
        <f>ROUNDDOWN(D1418*F1418,-3)</f>
        <v>20000000</v>
      </c>
      <c r="H1418" s="165">
        <v>10000000</v>
      </c>
      <c r="I1418" s="150" t="s">
        <v>3552</v>
      </c>
      <c r="J1418" s="149" t="s">
        <v>3562</v>
      </c>
      <c r="K1418" s="149" t="s">
        <v>3581</v>
      </c>
      <c r="L1418" s="171">
        <f t="shared" si="38"/>
        <v>10000000</v>
      </c>
    </row>
    <row r="1419" spans="1:12" x14ac:dyDescent="0.25">
      <c r="A1419" s="7" t="s">
        <v>2385</v>
      </c>
      <c r="B1419" s="61"/>
      <c r="C1419" s="44" t="s">
        <v>4290</v>
      </c>
      <c r="D1419" s="61">
        <v>20</v>
      </c>
      <c r="E1419" s="61" t="s">
        <v>106</v>
      </c>
      <c r="F1419" s="45">
        <v>1000000</v>
      </c>
      <c r="G1419" s="45">
        <f>ROUNDDOWN(D1419*F1419,-3)</f>
        <v>20000000</v>
      </c>
      <c r="H1419" s="165">
        <v>10000000</v>
      </c>
      <c r="I1419" s="150" t="s">
        <v>3552</v>
      </c>
      <c r="J1419" s="149" t="s">
        <v>3562</v>
      </c>
      <c r="K1419" s="149" t="s">
        <v>3581</v>
      </c>
      <c r="L1419" s="171">
        <f t="shared" si="38"/>
        <v>10000000</v>
      </c>
    </row>
    <row r="1420" spans="1:12" x14ac:dyDescent="0.25">
      <c r="A1420" s="7" t="s">
        <v>2387</v>
      </c>
      <c r="B1420" s="60">
        <v>522151</v>
      </c>
      <c r="C1420" s="41" t="s">
        <v>11</v>
      </c>
      <c r="D1420" s="60"/>
      <c r="E1420" s="60"/>
      <c r="F1420" s="42"/>
      <c r="G1420" s="42">
        <v>18000000</v>
      </c>
      <c r="H1420" s="165">
        <v>30000000</v>
      </c>
      <c r="I1420" s="150" t="s">
        <v>3552</v>
      </c>
      <c r="J1420" s="149" t="s">
        <v>3562</v>
      </c>
      <c r="K1420" s="149" t="s">
        <v>3581</v>
      </c>
      <c r="L1420" s="171">
        <f t="shared" si="38"/>
        <v>-12000000</v>
      </c>
    </row>
    <row r="1421" spans="1:12" x14ac:dyDescent="0.25">
      <c r="B1421" s="61"/>
      <c r="C1421" s="44" t="s">
        <v>4291</v>
      </c>
      <c r="D1421" s="61"/>
      <c r="E1421" s="61"/>
      <c r="F1421" s="45"/>
      <c r="G1421" s="45">
        <v>18000000</v>
      </c>
      <c r="H1421" s="165">
        <v>30000000</v>
      </c>
      <c r="I1421" s="150" t="s">
        <v>3552</v>
      </c>
      <c r="J1421" s="149" t="s">
        <v>3562</v>
      </c>
      <c r="K1421" s="149" t="s">
        <v>3581</v>
      </c>
      <c r="L1421" s="171">
        <f t="shared" si="38"/>
        <v>-12000000</v>
      </c>
    </row>
    <row r="1422" spans="1:12" x14ac:dyDescent="0.25">
      <c r="A1422" s="7" t="s">
        <v>2389</v>
      </c>
      <c r="B1422" s="192"/>
      <c r="C1422" s="191" t="s">
        <v>4292</v>
      </c>
      <c r="D1422" s="192">
        <v>20</v>
      </c>
      <c r="E1422" s="192" t="s">
        <v>54</v>
      </c>
      <c r="F1422" s="193">
        <v>900000</v>
      </c>
      <c r="G1422" s="45">
        <f>ROUNDDOWN(D1422*F1422,-3)</f>
        <v>18000000</v>
      </c>
      <c r="H1422" s="165">
        <v>40000000</v>
      </c>
      <c r="I1422" s="150" t="s">
        <v>3552</v>
      </c>
      <c r="J1422" s="149" t="s">
        <v>3562</v>
      </c>
      <c r="K1422" s="149" t="s">
        <v>3581</v>
      </c>
      <c r="L1422" s="171">
        <f t="shared" ref="L1422:L1485" si="40">G1422-H1422</f>
        <v>-22000000</v>
      </c>
    </row>
    <row r="1423" spans="1:12" x14ac:dyDescent="0.25">
      <c r="A1423" s="7" t="s">
        <v>2391</v>
      </c>
      <c r="B1423" s="60">
        <v>522192</v>
      </c>
      <c r="C1423" s="41" t="s">
        <v>24</v>
      </c>
      <c r="D1423" s="60"/>
      <c r="E1423" s="60"/>
      <c r="F1423" s="42"/>
      <c r="G1423" s="42">
        <v>24000000</v>
      </c>
      <c r="H1423" s="165">
        <v>40000000</v>
      </c>
      <c r="I1423" s="150" t="s">
        <v>3552</v>
      </c>
      <c r="J1423" s="149" t="s">
        <v>3562</v>
      </c>
      <c r="K1423" s="149" t="s">
        <v>3581</v>
      </c>
      <c r="L1423" s="171">
        <f t="shared" si="40"/>
        <v>-16000000</v>
      </c>
    </row>
    <row r="1424" spans="1:12" ht="26.4" x14ac:dyDescent="0.25">
      <c r="A1424" s="7" t="s">
        <v>2392</v>
      </c>
      <c r="B1424" s="192"/>
      <c r="C1424" s="191" t="s">
        <v>4293</v>
      </c>
      <c r="D1424" s="192">
        <v>96</v>
      </c>
      <c r="E1424" s="192" t="s">
        <v>25</v>
      </c>
      <c r="F1424" s="193">
        <v>250000</v>
      </c>
      <c r="G1424" s="45">
        <f>ROUNDDOWN(D1424*F1424,-3)</f>
        <v>24000000</v>
      </c>
      <c r="H1424" s="165">
        <v>175000000</v>
      </c>
      <c r="I1424" s="150" t="s">
        <v>3552</v>
      </c>
      <c r="J1424" s="149" t="s">
        <v>3562</v>
      </c>
      <c r="K1424" s="149" t="s">
        <v>3581</v>
      </c>
      <c r="L1424" s="171">
        <f t="shared" si="40"/>
        <v>-151000000</v>
      </c>
    </row>
    <row r="1425" spans="1:12" x14ac:dyDescent="0.25">
      <c r="A1425" s="7" t="s">
        <v>2394</v>
      </c>
      <c r="B1425" s="60">
        <v>524111</v>
      </c>
      <c r="C1425" s="41" t="s">
        <v>19</v>
      </c>
      <c r="D1425" s="60"/>
      <c r="E1425" s="60"/>
      <c r="F1425" s="42"/>
      <c r="G1425" s="42">
        <v>957200000</v>
      </c>
      <c r="H1425" s="165">
        <v>50000000</v>
      </c>
      <c r="I1425" s="150" t="s">
        <v>3552</v>
      </c>
      <c r="J1425" s="149" t="s">
        <v>3562</v>
      </c>
      <c r="K1425" s="149" t="s">
        <v>3581</v>
      </c>
      <c r="L1425" s="171">
        <f t="shared" si="40"/>
        <v>907200000</v>
      </c>
    </row>
    <row r="1426" spans="1:12" x14ac:dyDescent="0.25">
      <c r="B1426" s="61"/>
      <c r="C1426" s="44" t="s">
        <v>4294</v>
      </c>
      <c r="D1426" s="61"/>
      <c r="E1426" s="61"/>
      <c r="F1426" s="45"/>
      <c r="G1426" s="45">
        <v>957200000</v>
      </c>
      <c r="H1426" s="165">
        <v>50000000</v>
      </c>
      <c r="I1426" s="150" t="s">
        <v>3552</v>
      </c>
      <c r="J1426" s="149" t="s">
        <v>3562</v>
      </c>
      <c r="K1426" s="149" t="s">
        <v>3581</v>
      </c>
      <c r="L1426" s="171">
        <f t="shared" si="40"/>
        <v>907200000</v>
      </c>
    </row>
    <row r="1427" spans="1:12" x14ac:dyDescent="0.25">
      <c r="A1427" s="7" t="s">
        <v>2396</v>
      </c>
      <c r="B1427" s="61"/>
      <c r="C1427" s="44" t="s">
        <v>4295</v>
      </c>
      <c r="D1427" s="61">
        <v>10</v>
      </c>
      <c r="E1427" s="61" t="s">
        <v>25</v>
      </c>
      <c r="F1427" s="45">
        <v>5000000</v>
      </c>
      <c r="G1427" s="45">
        <f>ROUNDDOWN(D1427*F1427,-3)</f>
        <v>50000000</v>
      </c>
      <c r="H1427" s="165">
        <v>75000000</v>
      </c>
      <c r="I1427" s="150" t="s">
        <v>3552</v>
      </c>
      <c r="J1427" s="149" t="s">
        <v>3562</v>
      </c>
      <c r="K1427" s="149" t="s">
        <v>3581</v>
      </c>
      <c r="L1427" s="171">
        <f t="shared" si="40"/>
        <v>-25000000</v>
      </c>
    </row>
    <row r="1428" spans="1:12" x14ac:dyDescent="0.25">
      <c r="B1428" s="192"/>
      <c r="C1428" s="191" t="s">
        <v>4296</v>
      </c>
      <c r="D1428" s="192"/>
      <c r="E1428" s="192"/>
      <c r="F1428" s="193"/>
      <c r="G1428" s="193">
        <v>907200000</v>
      </c>
      <c r="H1428" s="165">
        <v>9000000</v>
      </c>
      <c r="I1428" s="150" t="s">
        <v>3552</v>
      </c>
      <c r="J1428" s="149" t="s">
        <v>3562</v>
      </c>
      <c r="K1428" s="149" t="s">
        <v>3581</v>
      </c>
      <c r="L1428" s="171">
        <f t="shared" si="40"/>
        <v>898200000</v>
      </c>
    </row>
    <row r="1429" spans="1:12" ht="26.4" x14ac:dyDescent="0.25">
      <c r="A1429" s="7" t="s">
        <v>2398</v>
      </c>
      <c r="B1429" s="61"/>
      <c r="C1429" s="44" t="s">
        <v>4297</v>
      </c>
      <c r="D1429" s="61">
        <v>224</v>
      </c>
      <c r="E1429" s="61" t="s">
        <v>25</v>
      </c>
      <c r="F1429" s="45">
        <v>4050000</v>
      </c>
      <c r="G1429" s="45">
        <f>ROUNDDOWN(D1429*F1429,-3)</f>
        <v>907200000</v>
      </c>
      <c r="H1429" s="165">
        <v>5250000</v>
      </c>
      <c r="I1429" s="150" t="s">
        <v>3552</v>
      </c>
      <c r="J1429" s="149" t="s">
        <v>3562</v>
      </c>
      <c r="K1429" s="149" t="s">
        <v>3581</v>
      </c>
      <c r="L1429" s="171">
        <f t="shared" si="40"/>
        <v>901950000</v>
      </c>
    </row>
    <row r="1430" spans="1:12" x14ac:dyDescent="0.25">
      <c r="A1430" s="7" t="s">
        <v>2400</v>
      </c>
      <c r="B1430" s="60">
        <v>524114</v>
      </c>
      <c r="C1430" s="41" t="s">
        <v>14</v>
      </c>
      <c r="D1430" s="60"/>
      <c r="E1430" s="60"/>
      <c r="F1430" s="42"/>
      <c r="G1430" s="42">
        <v>10800000</v>
      </c>
      <c r="H1430" s="165">
        <v>3750000</v>
      </c>
      <c r="I1430" s="150" t="s">
        <v>3552</v>
      </c>
      <c r="J1430" s="149" t="s">
        <v>3562</v>
      </c>
      <c r="K1430" s="149" t="s">
        <v>3581</v>
      </c>
      <c r="L1430" s="171">
        <f t="shared" si="40"/>
        <v>7050000</v>
      </c>
    </row>
    <row r="1431" spans="1:12" x14ac:dyDescent="0.25">
      <c r="B1431" s="192"/>
      <c r="C1431" s="191" t="s">
        <v>4291</v>
      </c>
      <c r="D1431" s="192"/>
      <c r="E1431" s="192"/>
      <c r="F1431" s="193"/>
      <c r="G1431" s="193">
        <v>10800000</v>
      </c>
      <c r="H1431" s="165">
        <v>316000000</v>
      </c>
      <c r="I1431" s="150" t="s">
        <v>3552</v>
      </c>
      <c r="J1431" s="149" t="s">
        <v>3562</v>
      </c>
      <c r="K1431" s="149" t="s">
        <v>3581</v>
      </c>
      <c r="L1431" s="171">
        <f t="shared" si="40"/>
        <v>-305200000</v>
      </c>
    </row>
    <row r="1432" spans="1:12" x14ac:dyDescent="0.25">
      <c r="A1432" s="7" t="s">
        <v>2401</v>
      </c>
      <c r="B1432" s="192"/>
      <c r="C1432" s="191" t="s">
        <v>4298</v>
      </c>
      <c r="D1432" s="192">
        <v>30</v>
      </c>
      <c r="E1432" s="192" t="s">
        <v>73</v>
      </c>
      <c r="F1432" s="193">
        <v>210000</v>
      </c>
      <c r="G1432" s="45">
        <f>ROUNDDOWN(D1432*F1432,-3)</f>
        <v>6300000</v>
      </c>
      <c r="H1432" s="165">
        <v>10000000</v>
      </c>
      <c r="I1432" s="150" t="s">
        <v>3552</v>
      </c>
      <c r="J1432" s="149" t="s">
        <v>3562</v>
      </c>
      <c r="K1432" s="149" t="s">
        <v>3581</v>
      </c>
      <c r="L1432" s="171">
        <f t="shared" si="40"/>
        <v>-3700000</v>
      </c>
    </row>
    <row r="1433" spans="1:12" x14ac:dyDescent="0.25">
      <c r="A1433" s="7" t="s">
        <v>2403</v>
      </c>
      <c r="B1433" s="61"/>
      <c r="C1433" s="44" t="s">
        <v>4299</v>
      </c>
      <c r="D1433" s="61">
        <v>30</v>
      </c>
      <c r="E1433" s="61" t="s">
        <v>73</v>
      </c>
      <c r="F1433" s="45">
        <v>150000</v>
      </c>
      <c r="G1433" s="45">
        <f>ROUNDDOWN(D1433*F1433,-3)</f>
        <v>4500000</v>
      </c>
      <c r="H1433" s="165">
        <v>10000000</v>
      </c>
      <c r="I1433" s="150" t="s">
        <v>3552</v>
      </c>
      <c r="J1433" s="149" t="s">
        <v>3562</v>
      </c>
      <c r="K1433" s="149" t="s">
        <v>3581</v>
      </c>
      <c r="L1433" s="171">
        <f t="shared" si="40"/>
        <v>-5500000</v>
      </c>
    </row>
    <row r="1434" spans="1:12" x14ac:dyDescent="0.25">
      <c r="A1434" s="7" t="s">
        <v>2404</v>
      </c>
      <c r="B1434" s="59" t="s">
        <v>511</v>
      </c>
      <c r="C1434" s="38" t="s">
        <v>157</v>
      </c>
      <c r="D1434" s="59"/>
      <c r="E1434" s="59"/>
      <c r="F1434" s="39"/>
      <c r="G1434" s="39">
        <v>84000000</v>
      </c>
      <c r="H1434" s="165">
        <v>20400000</v>
      </c>
      <c r="I1434" s="150" t="s">
        <v>3552</v>
      </c>
      <c r="J1434" s="149" t="s">
        <v>3562</v>
      </c>
      <c r="K1434" s="149" t="s">
        <v>3581</v>
      </c>
      <c r="L1434" s="171">
        <f t="shared" si="40"/>
        <v>63600000</v>
      </c>
    </row>
    <row r="1435" spans="1:12" x14ac:dyDescent="0.25">
      <c r="A1435" s="7" t="s">
        <v>2405</v>
      </c>
      <c r="B1435" s="60">
        <v>521211</v>
      </c>
      <c r="C1435" s="41" t="s">
        <v>7</v>
      </c>
      <c r="D1435" s="60"/>
      <c r="E1435" s="60"/>
      <c r="F1435" s="42"/>
      <c r="G1435" s="42">
        <v>8000000</v>
      </c>
      <c r="H1435" s="165">
        <v>16800000</v>
      </c>
      <c r="I1435" s="150" t="s">
        <v>3552</v>
      </c>
      <c r="J1435" s="149" t="s">
        <v>3562</v>
      </c>
      <c r="K1435" s="149" t="s">
        <v>3581</v>
      </c>
      <c r="L1435" s="171">
        <f t="shared" si="40"/>
        <v>-8800000</v>
      </c>
    </row>
    <row r="1436" spans="1:12" x14ac:dyDescent="0.25">
      <c r="A1436" s="7" t="s">
        <v>2406</v>
      </c>
      <c r="B1436" s="61"/>
      <c r="C1436" s="44" t="s">
        <v>4300</v>
      </c>
      <c r="D1436" s="61">
        <v>4</v>
      </c>
      <c r="E1436" s="61" t="s">
        <v>106</v>
      </c>
      <c r="F1436" s="45">
        <v>1000000</v>
      </c>
      <c r="G1436" s="45">
        <f>ROUNDDOWN(D1436*F1436,-3)</f>
        <v>4000000</v>
      </c>
      <c r="H1436" s="165">
        <v>3600000</v>
      </c>
      <c r="I1436" s="150" t="s">
        <v>3552</v>
      </c>
      <c r="J1436" s="149" t="s">
        <v>3562</v>
      </c>
      <c r="K1436" s="149" t="s">
        <v>3581</v>
      </c>
      <c r="L1436" s="171">
        <f t="shared" si="40"/>
        <v>400000</v>
      </c>
    </row>
    <row r="1437" spans="1:12" x14ac:dyDescent="0.25">
      <c r="A1437" s="7" t="s">
        <v>2407</v>
      </c>
      <c r="B1437" s="192"/>
      <c r="C1437" s="191" t="s">
        <v>4301</v>
      </c>
      <c r="D1437" s="192">
        <v>4</v>
      </c>
      <c r="E1437" s="192" t="s">
        <v>106</v>
      </c>
      <c r="F1437" s="193">
        <v>1000000</v>
      </c>
      <c r="G1437" s="45">
        <f>ROUNDDOWN(D1437*F1437,-3)</f>
        <v>4000000</v>
      </c>
      <c r="H1437" s="165">
        <v>20000000</v>
      </c>
      <c r="I1437" s="150" t="s">
        <v>3552</v>
      </c>
      <c r="J1437" s="149" t="s">
        <v>3562</v>
      </c>
      <c r="K1437" s="149" t="s">
        <v>3581</v>
      </c>
      <c r="L1437" s="171">
        <f t="shared" si="40"/>
        <v>-16000000</v>
      </c>
    </row>
    <row r="1438" spans="1:12" x14ac:dyDescent="0.25">
      <c r="A1438" s="7" t="s">
        <v>2409</v>
      </c>
      <c r="B1438" s="60">
        <v>521811</v>
      </c>
      <c r="C1438" s="41" t="s">
        <v>64</v>
      </c>
      <c r="D1438" s="60"/>
      <c r="E1438" s="60"/>
      <c r="F1438" s="42"/>
      <c r="G1438" s="42">
        <v>16000000</v>
      </c>
      <c r="H1438" s="165">
        <v>10000000</v>
      </c>
      <c r="I1438" s="150" t="s">
        <v>3552</v>
      </c>
      <c r="J1438" s="149" t="s">
        <v>3562</v>
      </c>
      <c r="K1438" s="149" t="s">
        <v>3581</v>
      </c>
      <c r="L1438" s="171">
        <f t="shared" si="40"/>
        <v>6000000</v>
      </c>
    </row>
    <row r="1439" spans="1:12" x14ac:dyDescent="0.25">
      <c r="A1439" s="7" t="s">
        <v>2410</v>
      </c>
      <c r="B1439" s="61"/>
      <c r="C1439" s="44" t="s">
        <v>3625</v>
      </c>
      <c r="D1439" s="61">
        <v>8</v>
      </c>
      <c r="E1439" s="61" t="s">
        <v>106</v>
      </c>
      <c r="F1439" s="45">
        <v>1000000</v>
      </c>
      <c r="G1439" s="45">
        <f>ROUNDDOWN(D1439*F1439,-3)</f>
        <v>8000000</v>
      </c>
      <c r="H1439" s="165">
        <v>10000000</v>
      </c>
      <c r="I1439" s="150" t="s">
        <v>3552</v>
      </c>
      <c r="J1439" s="149" t="s">
        <v>3562</v>
      </c>
      <c r="K1439" s="149" t="s">
        <v>3581</v>
      </c>
      <c r="L1439" s="171">
        <f t="shared" si="40"/>
        <v>-2000000</v>
      </c>
    </row>
    <row r="1440" spans="1:12" x14ac:dyDescent="0.25">
      <c r="A1440" s="7" t="s">
        <v>2411</v>
      </c>
      <c r="B1440" s="192"/>
      <c r="C1440" s="191" t="s">
        <v>3841</v>
      </c>
      <c r="D1440" s="192">
        <v>8</v>
      </c>
      <c r="E1440" s="192" t="s">
        <v>106</v>
      </c>
      <c r="F1440" s="193">
        <v>1000000</v>
      </c>
      <c r="G1440" s="45">
        <f>ROUNDDOWN(D1440*F1440,-3)</f>
        <v>8000000</v>
      </c>
      <c r="H1440" s="165">
        <v>20000000</v>
      </c>
      <c r="I1440" s="150" t="s">
        <v>3552</v>
      </c>
      <c r="J1440" s="149" t="s">
        <v>3562</v>
      </c>
      <c r="K1440" s="149" t="s">
        <v>3581</v>
      </c>
      <c r="L1440" s="171">
        <f t="shared" si="40"/>
        <v>-12000000</v>
      </c>
    </row>
    <row r="1441" spans="1:12" x14ac:dyDescent="0.25">
      <c r="A1441" s="7" t="s">
        <v>2412</v>
      </c>
      <c r="B1441" s="60">
        <v>524111</v>
      </c>
      <c r="C1441" s="41" t="s">
        <v>19</v>
      </c>
      <c r="D1441" s="60"/>
      <c r="E1441" s="60"/>
      <c r="F1441" s="42"/>
      <c r="G1441" s="42">
        <v>60000000</v>
      </c>
      <c r="H1441" s="165">
        <v>20000000</v>
      </c>
      <c r="I1441" s="150" t="s">
        <v>3552</v>
      </c>
      <c r="J1441" s="149" t="s">
        <v>3562</v>
      </c>
      <c r="K1441" s="149" t="s">
        <v>3581</v>
      </c>
      <c r="L1441" s="171">
        <f t="shared" si="40"/>
        <v>40000000</v>
      </c>
    </row>
    <row r="1442" spans="1:12" ht="26.4" x14ac:dyDescent="0.25">
      <c r="A1442" s="7" t="s">
        <v>2413</v>
      </c>
      <c r="B1442" s="192"/>
      <c r="C1442" s="191" t="s">
        <v>4302</v>
      </c>
      <c r="D1442" s="192">
        <v>12</v>
      </c>
      <c r="E1442" s="192" t="s">
        <v>25</v>
      </c>
      <c r="F1442" s="193">
        <v>5000000</v>
      </c>
      <c r="G1442" s="45">
        <f>ROUNDDOWN(D1442*F1442,-3)</f>
        <v>60000000</v>
      </c>
      <c r="H1442" s="165">
        <v>50000000</v>
      </c>
      <c r="I1442" s="150" t="s">
        <v>3552</v>
      </c>
      <c r="J1442" s="149" t="s">
        <v>3562</v>
      </c>
      <c r="K1442" s="149" t="s">
        <v>3581</v>
      </c>
      <c r="L1442" s="171">
        <f t="shared" si="40"/>
        <v>10000000</v>
      </c>
    </row>
    <row r="1443" spans="1:12" ht="26.4" x14ac:dyDescent="0.25">
      <c r="A1443" s="7" t="s">
        <v>2415</v>
      </c>
      <c r="B1443" s="58">
        <v>103</v>
      </c>
      <c r="C1443" s="35" t="s">
        <v>2416</v>
      </c>
      <c r="D1443" s="58">
        <v>0</v>
      </c>
      <c r="E1443" s="58"/>
      <c r="F1443" s="36"/>
      <c r="G1443" s="36">
        <v>600000000</v>
      </c>
      <c r="H1443" s="165">
        <v>50000000</v>
      </c>
      <c r="I1443" s="150" t="s">
        <v>3552</v>
      </c>
      <c r="J1443" s="149" t="s">
        <v>3562</v>
      </c>
      <c r="K1443" s="149" t="s">
        <v>3581</v>
      </c>
      <c r="L1443" s="171">
        <f t="shared" si="40"/>
        <v>550000000</v>
      </c>
    </row>
    <row r="1444" spans="1:12" x14ac:dyDescent="0.25">
      <c r="A1444" s="7" t="s">
        <v>2417</v>
      </c>
      <c r="B1444" s="59" t="s">
        <v>8</v>
      </c>
      <c r="C1444" s="38" t="s">
        <v>2418</v>
      </c>
      <c r="D1444" s="59"/>
      <c r="E1444" s="59"/>
      <c r="F1444" s="39"/>
      <c r="G1444" s="39">
        <v>284000000</v>
      </c>
      <c r="H1444" s="165">
        <v>195600000</v>
      </c>
      <c r="I1444" s="150" t="s">
        <v>3552</v>
      </c>
      <c r="J1444" s="149" t="s">
        <v>3562</v>
      </c>
      <c r="K1444" s="149" t="s">
        <v>3581</v>
      </c>
      <c r="L1444" s="171">
        <f t="shared" si="40"/>
        <v>88400000</v>
      </c>
    </row>
    <row r="1445" spans="1:12" x14ac:dyDescent="0.25">
      <c r="A1445" s="7" t="s">
        <v>2419</v>
      </c>
      <c r="B1445" s="60">
        <v>521211</v>
      </c>
      <c r="C1445" s="41" t="s">
        <v>7</v>
      </c>
      <c r="D1445" s="60"/>
      <c r="E1445" s="60"/>
      <c r="F1445" s="42"/>
      <c r="G1445" s="42">
        <v>10000000</v>
      </c>
      <c r="H1445" s="165">
        <v>4200000</v>
      </c>
      <c r="I1445" s="150" t="s">
        <v>3552</v>
      </c>
      <c r="J1445" s="149" t="s">
        <v>3562</v>
      </c>
      <c r="K1445" s="149" t="s">
        <v>3581</v>
      </c>
      <c r="L1445" s="171">
        <f t="shared" si="40"/>
        <v>5800000</v>
      </c>
    </row>
    <row r="1446" spans="1:12" x14ac:dyDescent="0.25">
      <c r="A1446" s="7" t="s">
        <v>2420</v>
      </c>
      <c r="B1446" s="61"/>
      <c r="C1446" s="44" t="s">
        <v>4303</v>
      </c>
      <c r="D1446" s="61">
        <v>10</v>
      </c>
      <c r="E1446" s="61" t="s">
        <v>106</v>
      </c>
      <c r="F1446" s="45">
        <v>1000000</v>
      </c>
      <c r="G1446" s="45">
        <f>ROUNDDOWN(D1446*F1446,-3)</f>
        <v>10000000</v>
      </c>
      <c r="H1446" s="165">
        <v>3000000</v>
      </c>
      <c r="I1446" s="150" t="s">
        <v>3552</v>
      </c>
      <c r="J1446" s="149" t="s">
        <v>3562</v>
      </c>
      <c r="K1446" s="149" t="s">
        <v>3581</v>
      </c>
      <c r="L1446" s="171">
        <f t="shared" si="40"/>
        <v>7000000</v>
      </c>
    </row>
    <row r="1447" spans="1:12" x14ac:dyDescent="0.25">
      <c r="A1447" s="7" t="s">
        <v>2422</v>
      </c>
      <c r="B1447" s="60">
        <v>521811</v>
      </c>
      <c r="C1447" s="41" t="s">
        <v>64</v>
      </c>
      <c r="D1447" s="60"/>
      <c r="E1447" s="60"/>
      <c r="F1447" s="42"/>
      <c r="G1447" s="42">
        <v>20000000</v>
      </c>
      <c r="H1447" s="165">
        <v>188400000</v>
      </c>
      <c r="I1447" s="150" t="s">
        <v>3552</v>
      </c>
      <c r="J1447" s="149" t="s">
        <v>3562</v>
      </c>
      <c r="K1447" s="149" t="s">
        <v>3581</v>
      </c>
      <c r="L1447" s="171">
        <f t="shared" si="40"/>
        <v>-168400000</v>
      </c>
    </row>
    <row r="1448" spans="1:12" x14ac:dyDescent="0.25">
      <c r="A1448" s="7" t="s">
        <v>2423</v>
      </c>
      <c r="B1448" s="195"/>
      <c r="C1448" s="194" t="s">
        <v>3625</v>
      </c>
      <c r="D1448" s="195">
        <v>10</v>
      </c>
      <c r="E1448" s="195" t="s">
        <v>106</v>
      </c>
      <c r="F1448" s="196">
        <v>1000000</v>
      </c>
      <c r="G1448" s="45">
        <f>ROUNDDOWN(D1448*F1448,-3)</f>
        <v>10000000</v>
      </c>
      <c r="H1448" s="165">
        <v>13542209000</v>
      </c>
      <c r="I1448" s="150"/>
      <c r="J1448" s="149"/>
      <c r="K1448" s="149"/>
      <c r="L1448" s="171">
        <f t="shared" si="40"/>
        <v>-13532209000</v>
      </c>
    </row>
    <row r="1449" spans="1:12" x14ac:dyDescent="0.25">
      <c r="A1449" s="7" t="s">
        <v>2424</v>
      </c>
      <c r="B1449" s="192"/>
      <c r="C1449" s="191" t="s">
        <v>3626</v>
      </c>
      <c r="D1449" s="192">
        <v>10</v>
      </c>
      <c r="E1449" s="192" t="s">
        <v>106</v>
      </c>
      <c r="F1449" s="193">
        <v>1000000</v>
      </c>
      <c r="G1449" s="45">
        <f>ROUNDDOWN(D1449*F1449,-3)</f>
        <v>10000000</v>
      </c>
      <c r="H1449" s="165">
        <v>4063138000</v>
      </c>
      <c r="I1449" s="150"/>
      <c r="J1449" s="149"/>
      <c r="K1449" s="149"/>
      <c r="L1449" s="171">
        <f t="shared" si="40"/>
        <v>-4053138000</v>
      </c>
    </row>
    <row r="1450" spans="1:12" x14ac:dyDescent="0.25">
      <c r="A1450" s="7" t="s">
        <v>2425</v>
      </c>
      <c r="B1450" s="60">
        <v>522151</v>
      </c>
      <c r="C1450" s="41" t="s">
        <v>11</v>
      </c>
      <c r="D1450" s="60"/>
      <c r="E1450" s="60"/>
      <c r="F1450" s="42"/>
      <c r="G1450" s="42">
        <v>30000000</v>
      </c>
      <c r="H1450" s="165">
        <v>2000000000</v>
      </c>
      <c r="I1450" s="150" t="s">
        <v>3552</v>
      </c>
      <c r="J1450" s="149" t="s">
        <v>3561</v>
      </c>
      <c r="K1450" s="149" t="s">
        <v>3579</v>
      </c>
      <c r="L1450" s="171">
        <f t="shared" si="40"/>
        <v>-1970000000</v>
      </c>
    </row>
    <row r="1451" spans="1:12" x14ac:dyDescent="0.25">
      <c r="A1451" s="7" t="s">
        <v>2426</v>
      </c>
      <c r="B1451" s="192"/>
      <c r="C1451" s="191" t="s">
        <v>4304</v>
      </c>
      <c r="D1451" s="192">
        <v>75</v>
      </c>
      <c r="E1451" s="192" t="s">
        <v>25</v>
      </c>
      <c r="F1451" s="193">
        <v>400000</v>
      </c>
      <c r="G1451" s="45">
        <f>ROUNDDOWN(D1451*F1451,-3)</f>
        <v>30000000</v>
      </c>
      <c r="H1451" s="165">
        <v>145000000</v>
      </c>
      <c r="I1451" s="150" t="s">
        <v>3552</v>
      </c>
      <c r="J1451" s="149" t="s">
        <v>3561</v>
      </c>
      <c r="K1451" s="149" t="s">
        <v>3579</v>
      </c>
      <c r="L1451" s="171">
        <f t="shared" si="40"/>
        <v>-115000000</v>
      </c>
    </row>
    <row r="1452" spans="1:12" x14ac:dyDescent="0.25">
      <c r="A1452" s="7" t="s">
        <v>2428</v>
      </c>
      <c r="B1452" s="60">
        <v>522191</v>
      </c>
      <c r="C1452" s="41" t="s">
        <v>22</v>
      </c>
      <c r="D1452" s="60"/>
      <c r="E1452" s="60"/>
      <c r="F1452" s="42"/>
      <c r="G1452" s="42">
        <v>40000000</v>
      </c>
      <c r="H1452" s="165">
        <v>6300000</v>
      </c>
      <c r="I1452" s="150" t="s">
        <v>3552</v>
      </c>
      <c r="J1452" s="149" t="s">
        <v>3561</v>
      </c>
      <c r="K1452" s="149" t="s">
        <v>3579</v>
      </c>
      <c r="L1452" s="171">
        <f t="shared" si="40"/>
        <v>33700000</v>
      </c>
    </row>
    <row r="1453" spans="1:12" ht="26.4" x14ac:dyDescent="0.25">
      <c r="A1453" s="7" t="s">
        <v>2429</v>
      </c>
      <c r="B1453" s="61"/>
      <c r="C1453" s="44" t="s">
        <v>4305</v>
      </c>
      <c r="D1453" s="61">
        <v>10</v>
      </c>
      <c r="E1453" s="61" t="s">
        <v>106</v>
      </c>
      <c r="F1453" s="45">
        <v>4000000</v>
      </c>
      <c r="G1453" s="45">
        <f>ROUNDDOWN(D1453*F1453,-3)</f>
        <v>40000000</v>
      </c>
      <c r="H1453" s="165">
        <v>0</v>
      </c>
      <c r="I1453" s="150" t="s">
        <v>3552</v>
      </c>
      <c r="J1453" s="149" t="s">
        <v>3561</v>
      </c>
      <c r="K1453" s="149" t="s">
        <v>3579</v>
      </c>
      <c r="L1453" s="171">
        <f t="shared" si="40"/>
        <v>40000000</v>
      </c>
    </row>
    <row r="1454" spans="1:12" x14ac:dyDescent="0.25">
      <c r="A1454" s="7" t="s">
        <v>2431</v>
      </c>
      <c r="B1454" s="60">
        <v>524111</v>
      </c>
      <c r="C1454" s="41" t="s">
        <v>19</v>
      </c>
      <c r="D1454" s="60"/>
      <c r="E1454" s="60"/>
      <c r="F1454" s="42"/>
      <c r="G1454" s="42">
        <v>175000000</v>
      </c>
      <c r="H1454" s="165">
        <v>1400000</v>
      </c>
      <c r="I1454" s="150" t="s">
        <v>3552</v>
      </c>
      <c r="J1454" s="149" t="s">
        <v>3561</v>
      </c>
      <c r="K1454" s="149" t="s">
        <v>3579</v>
      </c>
      <c r="L1454" s="171">
        <f t="shared" si="40"/>
        <v>173600000</v>
      </c>
    </row>
    <row r="1455" spans="1:12" x14ac:dyDescent="0.25">
      <c r="A1455" s="7" t="s">
        <v>2432</v>
      </c>
      <c r="B1455" s="61"/>
      <c r="C1455" s="44" t="s">
        <v>4306</v>
      </c>
      <c r="D1455" s="61">
        <v>10</v>
      </c>
      <c r="E1455" s="61" t="s">
        <v>25</v>
      </c>
      <c r="F1455" s="45">
        <v>5000000</v>
      </c>
      <c r="G1455" s="45">
        <f>ROUNDDOWN(D1455*F1455,-3)</f>
        <v>50000000</v>
      </c>
      <c r="H1455" s="165">
        <v>1400000</v>
      </c>
      <c r="I1455" s="150" t="s">
        <v>3552</v>
      </c>
      <c r="J1455" s="149" t="s">
        <v>3561</v>
      </c>
      <c r="K1455" s="149" t="s">
        <v>3579</v>
      </c>
      <c r="L1455" s="171">
        <f t="shared" si="40"/>
        <v>48600000</v>
      </c>
    </row>
    <row r="1456" spans="1:12" ht="26.4" x14ac:dyDescent="0.25">
      <c r="A1456" s="7" t="s">
        <v>2434</v>
      </c>
      <c r="B1456" s="61"/>
      <c r="C1456" s="44" t="s">
        <v>4307</v>
      </c>
      <c r="D1456" s="61">
        <v>10</v>
      </c>
      <c r="E1456" s="61" t="s">
        <v>25</v>
      </c>
      <c r="F1456" s="45">
        <v>5000000</v>
      </c>
      <c r="G1456" s="45">
        <f>ROUNDDOWN(D1456*F1456,-3)</f>
        <v>50000000</v>
      </c>
      <c r="H1456" s="165">
        <v>3500000</v>
      </c>
      <c r="I1456" s="150" t="s">
        <v>3552</v>
      </c>
      <c r="J1456" s="149" t="s">
        <v>3561</v>
      </c>
      <c r="K1456" s="149" t="s">
        <v>3579</v>
      </c>
      <c r="L1456" s="171">
        <f t="shared" si="40"/>
        <v>46500000</v>
      </c>
    </row>
    <row r="1457" spans="1:12" x14ac:dyDescent="0.25">
      <c r="A1457" s="7" t="s">
        <v>2436</v>
      </c>
      <c r="B1457" s="192"/>
      <c r="C1457" s="191" t="s">
        <v>4308</v>
      </c>
      <c r="D1457" s="192">
        <v>15</v>
      </c>
      <c r="E1457" s="192" t="s">
        <v>25</v>
      </c>
      <c r="F1457" s="193">
        <v>5000000</v>
      </c>
      <c r="G1457" s="45">
        <f>ROUNDDOWN(D1457*F1457,-3)</f>
        <v>75000000</v>
      </c>
      <c r="H1457" s="165">
        <v>7990000</v>
      </c>
      <c r="I1457" s="150" t="s">
        <v>3552</v>
      </c>
      <c r="J1457" s="149" t="s">
        <v>3561</v>
      </c>
      <c r="K1457" s="149" t="s">
        <v>3579</v>
      </c>
      <c r="L1457" s="171">
        <f t="shared" si="40"/>
        <v>67010000</v>
      </c>
    </row>
    <row r="1458" spans="1:12" x14ac:dyDescent="0.25">
      <c r="A1458" s="7" t="s">
        <v>2438</v>
      </c>
      <c r="B1458" s="60">
        <v>524114</v>
      </c>
      <c r="C1458" s="41" t="s">
        <v>14</v>
      </c>
      <c r="D1458" s="60"/>
      <c r="E1458" s="60"/>
      <c r="F1458" s="42"/>
      <c r="G1458" s="42">
        <v>9000000</v>
      </c>
      <c r="H1458" s="165">
        <v>4000000</v>
      </c>
      <c r="I1458" s="150" t="s">
        <v>3552</v>
      </c>
      <c r="J1458" s="149" t="s">
        <v>3561</v>
      </c>
      <c r="K1458" s="149" t="s">
        <v>3579</v>
      </c>
      <c r="L1458" s="171">
        <f t="shared" si="40"/>
        <v>5000000</v>
      </c>
    </row>
    <row r="1459" spans="1:12" ht="26.4" x14ac:dyDescent="0.25">
      <c r="A1459" s="7" t="s">
        <v>2439</v>
      </c>
      <c r="B1459" s="61"/>
      <c r="C1459" s="44" t="s">
        <v>4309</v>
      </c>
      <c r="D1459" s="61">
        <v>25</v>
      </c>
      <c r="E1459" s="61" t="s">
        <v>25</v>
      </c>
      <c r="F1459" s="45">
        <v>210000</v>
      </c>
      <c r="G1459" s="45">
        <f>ROUNDDOWN(D1459*F1459,-3)</f>
        <v>5250000</v>
      </c>
      <c r="H1459" s="165">
        <v>3990000</v>
      </c>
      <c r="I1459" s="150" t="s">
        <v>3552</v>
      </c>
      <c r="J1459" s="149" t="s">
        <v>3561</v>
      </c>
      <c r="K1459" s="149" t="s">
        <v>3579</v>
      </c>
      <c r="L1459" s="171">
        <f t="shared" si="40"/>
        <v>1260000</v>
      </c>
    </row>
    <row r="1460" spans="1:12" x14ac:dyDescent="0.25">
      <c r="A1460" s="7" t="s">
        <v>2441</v>
      </c>
      <c r="B1460" s="192"/>
      <c r="C1460" s="191" t="s">
        <v>3787</v>
      </c>
      <c r="D1460" s="192">
        <v>25</v>
      </c>
      <c r="E1460" s="192" t="s">
        <v>25</v>
      </c>
      <c r="F1460" s="193">
        <v>150000</v>
      </c>
      <c r="G1460" s="45">
        <f>ROUNDDOWN(D1460*F1460,-3)</f>
        <v>3750000</v>
      </c>
      <c r="H1460" s="165">
        <v>12200000</v>
      </c>
      <c r="I1460" s="150" t="s">
        <v>3552</v>
      </c>
      <c r="J1460" s="149" t="s">
        <v>3561</v>
      </c>
      <c r="K1460" s="149" t="s">
        <v>3579</v>
      </c>
      <c r="L1460" s="171">
        <f t="shared" si="40"/>
        <v>-8450000</v>
      </c>
    </row>
    <row r="1461" spans="1:12" x14ac:dyDescent="0.25">
      <c r="A1461" s="7" t="s">
        <v>2442</v>
      </c>
      <c r="B1461" s="59" t="s">
        <v>511</v>
      </c>
      <c r="C1461" s="38" t="s">
        <v>2443</v>
      </c>
      <c r="D1461" s="59"/>
      <c r="E1461" s="59"/>
      <c r="F1461" s="39"/>
      <c r="G1461" s="39">
        <v>316000000</v>
      </c>
      <c r="H1461" s="165">
        <v>2800000</v>
      </c>
      <c r="I1461" s="150" t="s">
        <v>3552</v>
      </c>
      <c r="J1461" s="149" t="s">
        <v>3561</v>
      </c>
      <c r="K1461" s="149" t="s">
        <v>3579</v>
      </c>
      <c r="L1461" s="171">
        <f t="shared" si="40"/>
        <v>313200000</v>
      </c>
    </row>
    <row r="1462" spans="1:12" x14ac:dyDescent="0.25">
      <c r="A1462" s="7" t="s">
        <v>2444</v>
      </c>
      <c r="B1462" s="60">
        <v>521211</v>
      </c>
      <c r="C1462" s="41" t="s">
        <v>7</v>
      </c>
      <c r="D1462" s="60"/>
      <c r="E1462" s="60"/>
      <c r="F1462" s="42"/>
      <c r="G1462" s="42">
        <v>10000000</v>
      </c>
      <c r="H1462" s="165">
        <v>4000000</v>
      </c>
      <c r="I1462" s="150" t="s">
        <v>3552</v>
      </c>
      <c r="J1462" s="149" t="s">
        <v>3561</v>
      </c>
      <c r="K1462" s="149" t="s">
        <v>3579</v>
      </c>
      <c r="L1462" s="171">
        <f t="shared" si="40"/>
        <v>6000000</v>
      </c>
    </row>
    <row r="1463" spans="1:12" x14ac:dyDescent="0.25">
      <c r="A1463" s="7" t="s">
        <v>2445</v>
      </c>
      <c r="B1463" s="61"/>
      <c r="C1463" s="44" t="s">
        <v>4300</v>
      </c>
      <c r="D1463" s="61">
        <v>10</v>
      </c>
      <c r="E1463" s="61" t="s">
        <v>106</v>
      </c>
      <c r="F1463" s="45">
        <v>1000000</v>
      </c>
      <c r="G1463" s="45">
        <f>ROUNDDOWN(D1463*F1463,-3)</f>
        <v>10000000</v>
      </c>
      <c r="H1463" s="165">
        <v>5400000</v>
      </c>
      <c r="I1463" s="150" t="s">
        <v>3552</v>
      </c>
      <c r="J1463" s="149" t="s">
        <v>3561</v>
      </c>
      <c r="K1463" s="149" t="s">
        <v>3579</v>
      </c>
      <c r="L1463" s="171">
        <f t="shared" si="40"/>
        <v>4600000</v>
      </c>
    </row>
    <row r="1464" spans="1:12" ht="26.4" x14ac:dyDescent="0.25">
      <c r="A1464" s="7" t="s">
        <v>2446</v>
      </c>
      <c r="B1464" s="60">
        <v>521241</v>
      </c>
      <c r="C1464" s="41" t="s">
        <v>642</v>
      </c>
      <c r="D1464" s="60"/>
      <c r="E1464" s="60"/>
      <c r="F1464" s="42"/>
      <c r="G1464" s="42">
        <v>20400000</v>
      </c>
      <c r="H1464" s="165">
        <v>100000000</v>
      </c>
      <c r="I1464" s="150" t="s">
        <v>3552</v>
      </c>
      <c r="J1464" s="149" t="s">
        <v>3561</v>
      </c>
      <c r="K1464" s="149" t="s">
        <v>3579</v>
      </c>
      <c r="L1464" s="171">
        <f t="shared" si="40"/>
        <v>-79600000</v>
      </c>
    </row>
    <row r="1465" spans="1:12" ht="26.4" x14ac:dyDescent="0.25">
      <c r="A1465" s="7" t="s">
        <v>2447</v>
      </c>
      <c r="B1465" s="61"/>
      <c r="C1465" s="44" t="s">
        <v>4310</v>
      </c>
      <c r="D1465" s="61">
        <v>84</v>
      </c>
      <c r="E1465" s="61" t="s">
        <v>32</v>
      </c>
      <c r="F1465" s="45">
        <v>200000</v>
      </c>
      <c r="G1465" s="45">
        <f>ROUNDDOWN(D1465*F1465,-3)</f>
        <v>16800000</v>
      </c>
      <c r="H1465" s="165">
        <v>100000000</v>
      </c>
      <c r="I1465" s="150" t="s">
        <v>3552</v>
      </c>
      <c r="J1465" s="149" t="s">
        <v>3561</v>
      </c>
      <c r="K1465" s="149" t="s">
        <v>3579</v>
      </c>
      <c r="L1465" s="171">
        <f t="shared" si="40"/>
        <v>-83200000</v>
      </c>
    </row>
    <row r="1466" spans="1:12" ht="26.4" x14ac:dyDescent="0.25">
      <c r="A1466" s="7" t="s">
        <v>2449</v>
      </c>
      <c r="B1466" s="192"/>
      <c r="C1466" s="191" t="s">
        <v>3752</v>
      </c>
      <c r="D1466" s="192">
        <v>12</v>
      </c>
      <c r="E1466" s="192" t="s">
        <v>78</v>
      </c>
      <c r="F1466" s="193">
        <v>300000</v>
      </c>
      <c r="G1466" s="45">
        <f>ROUNDDOWN(D1466*F1466,-3)</f>
        <v>3600000</v>
      </c>
      <c r="H1466" s="165">
        <v>2250000</v>
      </c>
      <c r="I1466" s="150" t="s">
        <v>3552</v>
      </c>
      <c r="J1466" s="149" t="s">
        <v>3561</v>
      </c>
      <c r="K1466" s="149" t="s">
        <v>3579</v>
      </c>
      <c r="L1466" s="171">
        <f t="shared" si="40"/>
        <v>1350000</v>
      </c>
    </row>
    <row r="1467" spans="1:12" x14ac:dyDescent="0.25">
      <c r="A1467" s="7" t="s">
        <v>2450</v>
      </c>
      <c r="B1467" s="60">
        <v>521811</v>
      </c>
      <c r="C1467" s="41" t="s">
        <v>64</v>
      </c>
      <c r="D1467" s="60"/>
      <c r="E1467" s="60"/>
      <c r="F1467" s="42"/>
      <c r="G1467" s="42">
        <v>20000000</v>
      </c>
      <c r="H1467" s="165">
        <v>2250000</v>
      </c>
      <c r="I1467" s="150" t="s">
        <v>3552</v>
      </c>
      <c r="J1467" s="149" t="s">
        <v>3561</v>
      </c>
      <c r="K1467" s="149" t="s">
        <v>3579</v>
      </c>
      <c r="L1467" s="171">
        <f t="shared" si="40"/>
        <v>17750000</v>
      </c>
    </row>
    <row r="1468" spans="1:12" x14ac:dyDescent="0.25">
      <c r="A1468" s="7" t="s">
        <v>2451</v>
      </c>
      <c r="B1468" s="192"/>
      <c r="C1468" s="191" t="s">
        <v>3625</v>
      </c>
      <c r="D1468" s="192">
        <v>10</v>
      </c>
      <c r="E1468" s="192" t="s">
        <v>106</v>
      </c>
      <c r="F1468" s="193">
        <v>1000000</v>
      </c>
      <c r="G1468" s="45">
        <f>ROUNDDOWN(D1468*F1468,-3)</f>
        <v>10000000</v>
      </c>
      <c r="H1468" s="165">
        <v>5760000</v>
      </c>
      <c r="I1468" s="150" t="s">
        <v>3552</v>
      </c>
      <c r="J1468" s="149" t="s">
        <v>3561</v>
      </c>
      <c r="K1468" s="149" t="s">
        <v>3579</v>
      </c>
      <c r="L1468" s="171">
        <f t="shared" si="40"/>
        <v>4240000</v>
      </c>
    </row>
    <row r="1469" spans="1:12" x14ac:dyDescent="0.25">
      <c r="A1469" s="7" t="s">
        <v>2452</v>
      </c>
      <c r="B1469" s="61"/>
      <c r="C1469" s="44" t="s">
        <v>3626</v>
      </c>
      <c r="D1469" s="61">
        <v>10</v>
      </c>
      <c r="E1469" s="61" t="s">
        <v>106</v>
      </c>
      <c r="F1469" s="45">
        <v>1000000</v>
      </c>
      <c r="G1469" s="45">
        <f>ROUNDDOWN(D1469*F1469,-3)</f>
        <v>10000000</v>
      </c>
      <c r="H1469" s="165">
        <v>3360000</v>
      </c>
      <c r="I1469" s="150" t="s">
        <v>3552</v>
      </c>
      <c r="J1469" s="149" t="s">
        <v>3561</v>
      </c>
      <c r="K1469" s="149" t="s">
        <v>3579</v>
      </c>
      <c r="L1469" s="171">
        <f t="shared" si="40"/>
        <v>6640000</v>
      </c>
    </row>
    <row r="1470" spans="1:12" x14ac:dyDescent="0.25">
      <c r="A1470" s="7" t="s">
        <v>2453</v>
      </c>
      <c r="B1470" s="60">
        <v>522192</v>
      </c>
      <c r="C1470" s="41" t="s">
        <v>24</v>
      </c>
      <c r="D1470" s="60"/>
      <c r="E1470" s="60"/>
      <c r="F1470" s="42"/>
      <c r="G1470" s="42">
        <v>20000000</v>
      </c>
      <c r="H1470" s="165">
        <v>2400000</v>
      </c>
      <c r="I1470" s="150" t="s">
        <v>3552</v>
      </c>
      <c r="J1470" s="149" t="s">
        <v>3561</v>
      </c>
      <c r="K1470" s="149" t="s">
        <v>3579</v>
      </c>
      <c r="L1470" s="171">
        <f t="shared" si="40"/>
        <v>17600000</v>
      </c>
    </row>
    <row r="1471" spans="1:12" ht="26.4" x14ac:dyDescent="0.25">
      <c r="A1471" s="7" t="s">
        <v>2454</v>
      </c>
      <c r="B1471" s="192"/>
      <c r="C1471" s="191" t="s">
        <v>4311</v>
      </c>
      <c r="D1471" s="192">
        <v>100</v>
      </c>
      <c r="E1471" s="192" t="s">
        <v>25</v>
      </c>
      <c r="F1471" s="193">
        <v>200000</v>
      </c>
      <c r="G1471" s="45">
        <f>ROUNDDOWN(D1471*F1471,-3)</f>
        <v>20000000</v>
      </c>
      <c r="H1471" s="165">
        <v>10500000</v>
      </c>
      <c r="I1471" s="150" t="s">
        <v>3552</v>
      </c>
      <c r="J1471" s="149" t="s">
        <v>3561</v>
      </c>
      <c r="K1471" s="149" t="s">
        <v>3579</v>
      </c>
      <c r="L1471" s="171">
        <f t="shared" si="40"/>
        <v>9500000</v>
      </c>
    </row>
    <row r="1472" spans="1:12" x14ac:dyDescent="0.25">
      <c r="A1472" s="7" t="s">
        <v>2456</v>
      </c>
      <c r="B1472" s="60">
        <v>524111</v>
      </c>
      <c r="C1472" s="41" t="s">
        <v>19</v>
      </c>
      <c r="D1472" s="60"/>
      <c r="E1472" s="60"/>
      <c r="F1472" s="42"/>
      <c r="G1472" s="42">
        <v>50000000</v>
      </c>
      <c r="H1472" s="165">
        <v>2100000</v>
      </c>
      <c r="I1472" s="150" t="s">
        <v>3552</v>
      </c>
      <c r="J1472" s="149" t="s">
        <v>3561</v>
      </c>
      <c r="K1472" s="149" t="s">
        <v>3579</v>
      </c>
      <c r="L1472" s="171">
        <f t="shared" si="40"/>
        <v>47900000</v>
      </c>
    </row>
    <row r="1473" spans="1:12" ht="26.4" x14ac:dyDescent="0.25">
      <c r="A1473" s="7" t="s">
        <v>2457</v>
      </c>
      <c r="B1473" s="61"/>
      <c r="C1473" s="44" t="s">
        <v>4312</v>
      </c>
      <c r="D1473" s="61">
        <v>10</v>
      </c>
      <c r="E1473" s="61" t="s">
        <v>25</v>
      </c>
      <c r="F1473" s="45">
        <v>5000000</v>
      </c>
      <c r="G1473" s="45">
        <f>ROUNDDOWN(D1473*F1473,-3)</f>
        <v>50000000</v>
      </c>
      <c r="H1473" s="165">
        <v>8400000</v>
      </c>
      <c r="I1473" s="150" t="s">
        <v>3552</v>
      </c>
      <c r="J1473" s="149" t="s">
        <v>3561</v>
      </c>
      <c r="K1473" s="149" t="s">
        <v>3579</v>
      </c>
      <c r="L1473" s="171">
        <f t="shared" si="40"/>
        <v>41600000</v>
      </c>
    </row>
    <row r="1474" spans="1:12" x14ac:dyDescent="0.25">
      <c r="A1474" s="7" t="s">
        <v>2459</v>
      </c>
      <c r="B1474" s="60">
        <v>524114</v>
      </c>
      <c r="C1474" s="41" t="s">
        <v>14</v>
      </c>
      <c r="D1474" s="60"/>
      <c r="E1474" s="60"/>
      <c r="F1474" s="42"/>
      <c r="G1474" s="42">
        <v>195600000</v>
      </c>
      <c r="H1474" s="165">
        <v>895000000</v>
      </c>
      <c r="I1474" s="150" t="s">
        <v>3552</v>
      </c>
      <c r="J1474" s="149" t="s">
        <v>3561</v>
      </c>
      <c r="K1474" s="149" t="s">
        <v>3579</v>
      </c>
      <c r="L1474" s="171">
        <f t="shared" si="40"/>
        <v>-699400000</v>
      </c>
    </row>
    <row r="1475" spans="1:12" x14ac:dyDescent="0.25">
      <c r="A1475" s="7" t="s">
        <v>2460</v>
      </c>
      <c r="B1475" s="192"/>
      <c r="C1475" s="191" t="s">
        <v>3868</v>
      </c>
      <c r="D1475" s="192">
        <v>20</v>
      </c>
      <c r="E1475" s="192" t="s">
        <v>25</v>
      </c>
      <c r="F1475" s="193">
        <v>210000</v>
      </c>
      <c r="G1475" s="45">
        <f>ROUNDDOWN(D1475*F1475,-3)</f>
        <v>4200000</v>
      </c>
      <c r="H1475" s="165">
        <v>135000000</v>
      </c>
      <c r="I1475" s="150" t="s">
        <v>3552</v>
      </c>
      <c r="J1475" s="149" t="s">
        <v>3561</v>
      </c>
      <c r="K1475" s="149" t="s">
        <v>3579</v>
      </c>
      <c r="L1475" s="171">
        <f t="shared" si="40"/>
        <v>-130800000</v>
      </c>
    </row>
    <row r="1476" spans="1:12" x14ac:dyDescent="0.25">
      <c r="A1476" s="7" t="s">
        <v>2461</v>
      </c>
      <c r="B1476" s="61"/>
      <c r="C1476" s="44" t="s">
        <v>4313</v>
      </c>
      <c r="D1476" s="61">
        <v>20</v>
      </c>
      <c r="E1476" s="61" t="s">
        <v>25</v>
      </c>
      <c r="F1476" s="45">
        <v>150000</v>
      </c>
      <c r="G1476" s="45">
        <f>ROUNDDOWN(D1476*F1476,-3)</f>
        <v>3000000</v>
      </c>
      <c r="H1476" s="165">
        <v>10000000</v>
      </c>
      <c r="I1476" s="150" t="s">
        <v>3552</v>
      </c>
      <c r="J1476" s="149" t="s">
        <v>3561</v>
      </c>
      <c r="K1476" s="149" t="s">
        <v>3579</v>
      </c>
      <c r="L1476" s="171">
        <f t="shared" si="40"/>
        <v>-7000000</v>
      </c>
    </row>
    <row r="1477" spans="1:12" ht="26.4" x14ac:dyDescent="0.25">
      <c r="A1477" s="7" t="s">
        <v>2463</v>
      </c>
      <c r="B1477" s="61"/>
      <c r="C1477" s="44" t="s">
        <v>4314</v>
      </c>
      <c r="D1477" s="61">
        <v>1256</v>
      </c>
      <c r="E1477" s="61" t="s">
        <v>25</v>
      </c>
      <c r="F1477" s="45">
        <v>150000</v>
      </c>
      <c r="G1477" s="45">
        <f>ROUNDDOWN(D1477*F1477,-3)</f>
        <v>188400000</v>
      </c>
      <c r="H1477" s="165">
        <v>32000000</v>
      </c>
      <c r="I1477" s="150" t="s">
        <v>3552</v>
      </c>
      <c r="J1477" s="149" t="s">
        <v>3561</v>
      </c>
      <c r="K1477" s="149" t="s">
        <v>3579</v>
      </c>
      <c r="L1477" s="171">
        <f t="shared" si="40"/>
        <v>156400000</v>
      </c>
    </row>
    <row r="1478" spans="1:12" x14ac:dyDescent="0.25">
      <c r="A1478" s="7" t="s">
        <v>2465</v>
      </c>
      <c r="B1478" s="135" t="s">
        <v>2466</v>
      </c>
      <c r="C1478" s="133" t="s">
        <v>2467</v>
      </c>
      <c r="D1478" s="135">
        <v>5</v>
      </c>
      <c r="E1478" s="135" t="s">
        <v>4315</v>
      </c>
      <c r="F1478" s="136"/>
      <c r="G1478" s="136">
        <v>13542209000</v>
      </c>
      <c r="H1478" s="165">
        <v>93000000</v>
      </c>
      <c r="I1478" s="150" t="s">
        <v>3552</v>
      </c>
      <c r="J1478" s="149" t="s">
        <v>3561</v>
      </c>
      <c r="K1478" s="149" t="s">
        <v>3579</v>
      </c>
      <c r="L1478" s="171">
        <f t="shared" si="40"/>
        <v>13449209000</v>
      </c>
    </row>
    <row r="1479" spans="1:12" x14ac:dyDescent="0.25">
      <c r="A1479" s="7" t="s">
        <v>2468</v>
      </c>
      <c r="B1479" s="138" t="s">
        <v>4316</v>
      </c>
      <c r="C1479" s="137" t="s">
        <v>2470</v>
      </c>
      <c r="D1479" s="138">
        <v>1</v>
      </c>
      <c r="E1479" s="138" t="s">
        <v>4315</v>
      </c>
      <c r="F1479" s="139"/>
      <c r="G1479" s="139">
        <v>4063138000</v>
      </c>
      <c r="H1479" s="165">
        <v>24000000</v>
      </c>
      <c r="I1479" s="150" t="s">
        <v>3552</v>
      </c>
      <c r="J1479" s="149" t="s">
        <v>3561</v>
      </c>
      <c r="K1479" s="149" t="s">
        <v>3579</v>
      </c>
      <c r="L1479" s="171">
        <f t="shared" si="40"/>
        <v>4039138000</v>
      </c>
    </row>
    <row r="1480" spans="1:12" ht="26.4" x14ac:dyDescent="0.25">
      <c r="A1480" s="7" t="s">
        <v>2471</v>
      </c>
      <c r="B1480" s="58">
        <v>101</v>
      </c>
      <c r="C1480" s="35" t="s">
        <v>2472</v>
      </c>
      <c r="D1480" s="58">
        <v>0</v>
      </c>
      <c r="E1480" s="58"/>
      <c r="F1480" s="36"/>
      <c r="G1480" s="36">
        <v>2000000000</v>
      </c>
      <c r="H1480" s="165">
        <v>12000000</v>
      </c>
      <c r="I1480" s="150" t="s">
        <v>3552</v>
      </c>
      <c r="J1480" s="149" t="s">
        <v>3561</v>
      </c>
      <c r="K1480" s="149" t="s">
        <v>3579</v>
      </c>
      <c r="L1480" s="171">
        <f t="shared" si="40"/>
        <v>1988000000</v>
      </c>
    </row>
    <row r="1481" spans="1:12" x14ac:dyDescent="0.25">
      <c r="A1481" s="7" t="s">
        <v>2473</v>
      </c>
      <c r="B1481" s="59" t="s">
        <v>8</v>
      </c>
      <c r="C1481" s="38" t="s">
        <v>122</v>
      </c>
      <c r="D1481" s="59"/>
      <c r="E1481" s="59"/>
      <c r="F1481" s="39"/>
      <c r="G1481" s="39">
        <v>145000000</v>
      </c>
      <c r="H1481" s="165">
        <v>12000000</v>
      </c>
      <c r="I1481" s="150" t="s">
        <v>3552</v>
      </c>
      <c r="J1481" s="149" t="s">
        <v>3561</v>
      </c>
      <c r="K1481" s="149" t="s">
        <v>3579</v>
      </c>
      <c r="L1481" s="171">
        <f t="shared" si="40"/>
        <v>133000000</v>
      </c>
    </row>
    <row r="1482" spans="1:12" x14ac:dyDescent="0.25">
      <c r="A1482" s="7" t="s">
        <v>2474</v>
      </c>
      <c r="B1482" s="60">
        <v>521211</v>
      </c>
      <c r="C1482" s="41" t="s">
        <v>7</v>
      </c>
      <c r="D1482" s="60"/>
      <c r="E1482" s="60"/>
      <c r="F1482" s="42"/>
      <c r="G1482" s="42">
        <v>6300000</v>
      </c>
      <c r="H1482" s="165">
        <v>28200000</v>
      </c>
      <c r="I1482" s="150" t="s">
        <v>3552</v>
      </c>
      <c r="J1482" s="149" t="s">
        <v>3561</v>
      </c>
      <c r="K1482" s="149" t="s">
        <v>3579</v>
      </c>
      <c r="L1482" s="171">
        <f t="shared" si="40"/>
        <v>-21900000</v>
      </c>
    </row>
    <row r="1483" spans="1:12" x14ac:dyDescent="0.25">
      <c r="B1483" s="61"/>
      <c r="C1483" s="44" t="s">
        <v>4317</v>
      </c>
      <c r="D1483" s="61"/>
      <c r="E1483" s="61"/>
      <c r="F1483" s="45"/>
      <c r="G1483" s="45">
        <v>6300000</v>
      </c>
      <c r="H1483" s="165">
        <v>12000000</v>
      </c>
      <c r="I1483" s="150" t="s">
        <v>3552</v>
      </c>
      <c r="J1483" s="149" t="s">
        <v>3561</v>
      </c>
      <c r="K1483" s="149" t="s">
        <v>3579</v>
      </c>
      <c r="L1483" s="171">
        <f t="shared" si="40"/>
        <v>-5700000</v>
      </c>
    </row>
    <row r="1484" spans="1:12" x14ac:dyDescent="0.25">
      <c r="A1484" s="7" t="s">
        <v>2476</v>
      </c>
      <c r="B1484" s="61"/>
      <c r="C1484" s="44" t="s">
        <v>4318</v>
      </c>
      <c r="D1484" s="61">
        <v>7</v>
      </c>
      <c r="E1484" s="61" t="s">
        <v>180</v>
      </c>
      <c r="F1484" s="45">
        <v>200000</v>
      </c>
      <c r="G1484" s="45">
        <f>ROUNDDOWN(D1484*F1484,-3)</f>
        <v>1400000</v>
      </c>
      <c r="H1484" s="165">
        <v>16200000</v>
      </c>
      <c r="I1484" s="150" t="s">
        <v>3552</v>
      </c>
      <c r="J1484" s="149" t="s">
        <v>3561</v>
      </c>
      <c r="K1484" s="149" t="s">
        <v>3579</v>
      </c>
      <c r="L1484" s="171">
        <f t="shared" si="40"/>
        <v>-14800000</v>
      </c>
    </row>
    <row r="1485" spans="1:12" x14ac:dyDescent="0.25">
      <c r="A1485" s="7" t="s">
        <v>2478</v>
      </c>
      <c r="B1485" s="192"/>
      <c r="C1485" s="191" t="s">
        <v>4319</v>
      </c>
      <c r="D1485" s="192">
        <v>7</v>
      </c>
      <c r="E1485" s="192" t="s">
        <v>180</v>
      </c>
      <c r="F1485" s="193">
        <v>200000</v>
      </c>
      <c r="G1485" s="45">
        <f>ROUNDDOWN(D1485*F1485,-3)</f>
        <v>1400000</v>
      </c>
      <c r="H1485" s="165">
        <v>640000000</v>
      </c>
      <c r="I1485" s="150" t="s">
        <v>3552</v>
      </c>
      <c r="J1485" s="149" t="s">
        <v>3561</v>
      </c>
      <c r="K1485" s="149" t="s">
        <v>3579</v>
      </c>
      <c r="L1485" s="171">
        <f t="shared" si="40"/>
        <v>-638600000</v>
      </c>
    </row>
    <row r="1486" spans="1:12" x14ac:dyDescent="0.25">
      <c r="A1486" s="7" t="s">
        <v>2480</v>
      </c>
      <c r="B1486" s="61"/>
      <c r="C1486" s="44" t="s">
        <v>4320</v>
      </c>
      <c r="D1486" s="61">
        <v>7</v>
      </c>
      <c r="E1486" s="61" t="s">
        <v>106</v>
      </c>
      <c r="F1486" s="45">
        <v>500000</v>
      </c>
      <c r="G1486" s="45">
        <f>ROUNDDOWN(D1486*F1486,-3)</f>
        <v>3500000</v>
      </c>
      <c r="H1486" s="165">
        <v>250000000</v>
      </c>
      <c r="I1486" s="150" t="s">
        <v>3552</v>
      </c>
      <c r="J1486" s="149" t="s">
        <v>3561</v>
      </c>
      <c r="K1486" s="149" t="s">
        <v>3579</v>
      </c>
      <c r="L1486" s="171">
        <f t="shared" ref="L1486:L1549" si="41">G1486-H1486</f>
        <v>-246500000</v>
      </c>
    </row>
    <row r="1487" spans="1:12" x14ac:dyDescent="0.25">
      <c r="A1487" s="7" t="s">
        <v>2482</v>
      </c>
      <c r="B1487" s="60">
        <v>521811</v>
      </c>
      <c r="C1487" s="41" t="s">
        <v>64</v>
      </c>
      <c r="D1487" s="60"/>
      <c r="E1487" s="60"/>
      <c r="F1487" s="42"/>
      <c r="G1487" s="42">
        <v>7990000</v>
      </c>
      <c r="H1487" s="165">
        <v>240000000</v>
      </c>
      <c r="I1487" s="150" t="s">
        <v>3552</v>
      </c>
      <c r="J1487" s="149" t="s">
        <v>3561</v>
      </c>
      <c r="K1487" s="149" t="s">
        <v>3579</v>
      </c>
      <c r="L1487" s="171">
        <f t="shared" si="41"/>
        <v>-232010000</v>
      </c>
    </row>
    <row r="1488" spans="1:12" x14ac:dyDescent="0.25">
      <c r="A1488" s="7" t="s">
        <v>2483</v>
      </c>
      <c r="B1488" s="61"/>
      <c r="C1488" s="44" t="s">
        <v>3625</v>
      </c>
      <c r="D1488" s="61">
        <v>4</v>
      </c>
      <c r="E1488" s="61" t="s">
        <v>106</v>
      </c>
      <c r="F1488" s="45">
        <v>1000000</v>
      </c>
      <c r="G1488" s="45">
        <f>ROUNDDOWN(D1488*F1488,-3)</f>
        <v>4000000</v>
      </c>
      <c r="H1488" s="165">
        <v>150000000</v>
      </c>
      <c r="I1488" s="150" t="s">
        <v>3552</v>
      </c>
      <c r="J1488" s="149" t="s">
        <v>3561</v>
      </c>
      <c r="K1488" s="149" t="s">
        <v>3579</v>
      </c>
      <c r="L1488" s="171">
        <f t="shared" si="41"/>
        <v>-146000000</v>
      </c>
    </row>
    <row r="1489" spans="1:12" x14ac:dyDescent="0.25">
      <c r="A1489" s="7" t="s">
        <v>2484</v>
      </c>
      <c r="B1489" s="192"/>
      <c r="C1489" s="191" t="s">
        <v>3626</v>
      </c>
      <c r="D1489" s="192">
        <v>4</v>
      </c>
      <c r="E1489" s="192" t="s">
        <v>106</v>
      </c>
      <c r="F1489" s="193">
        <v>997500</v>
      </c>
      <c r="G1489" s="45">
        <f>ROUNDDOWN(D1489*F1489,-3)</f>
        <v>3990000</v>
      </c>
      <c r="H1489" s="165">
        <v>27000000</v>
      </c>
      <c r="I1489" s="150" t="s">
        <v>3552</v>
      </c>
      <c r="J1489" s="149" t="s">
        <v>3561</v>
      </c>
      <c r="K1489" s="149" t="s">
        <v>3579</v>
      </c>
      <c r="L1489" s="171">
        <f t="shared" si="41"/>
        <v>-23010000</v>
      </c>
    </row>
    <row r="1490" spans="1:12" x14ac:dyDescent="0.25">
      <c r="A1490" s="7" t="s">
        <v>2485</v>
      </c>
      <c r="B1490" s="60">
        <v>522151</v>
      </c>
      <c r="C1490" s="41" t="s">
        <v>11</v>
      </c>
      <c r="D1490" s="60"/>
      <c r="E1490" s="60"/>
      <c r="F1490" s="42"/>
      <c r="G1490" s="42">
        <v>12200000</v>
      </c>
      <c r="H1490" s="165">
        <v>11250000</v>
      </c>
      <c r="I1490" s="150" t="s">
        <v>3552</v>
      </c>
      <c r="J1490" s="149" t="s">
        <v>3561</v>
      </c>
      <c r="K1490" s="149" t="s">
        <v>3579</v>
      </c>
      <c r="L1490" s="171">
        <f t="shared" si="41"/>
        <v>950000</v>
      </c>
    </row>
    <row r="1491" spans="1:12" ht="26.4" x14ac:dyDescent="0.25">
      <c r="A1491" s="7" t="s">
        <v>2486</v>
      </c>
      <c r="B1491" s="61"/>
      <c r="C1491" s="44" t="s">
        <v>4321</v>
      </c>
      <c r="D1491" s="61">
        <v>2</v>
      </c>
      <c r="E1491" s="61" t="s">
        <v>54</v>
      </c>
      <c r="F1491" s="45">
        <v>1400000</v>
      </c>
      <c r="G1491" s="45">
        <f>ROUNDDOWN(D1491*F1491,-3)</f>
        <v>2800000</v>
      </c>
      <c r="H1491" s="165">
        <v>15750000</v>
      </c>
      <c r="I1491" s="150" t="s">
        <v>3552</v>
      </c>
      <c r="J1491" s="149" t="s">
        <v>3561</v>
      </c>
      <c r="K1491" s="149" t="s">
        <v>3579</v>
      </c>
      <c r="L1491" s="171">
        <f t="shared" si="41"/>
        <v>-12950000</v>
      </c>
    </row>
    <row r="1492" spans="1:12" ht="26.4" x14ac:dyDescent="0.25">
      <c r="A1492" s="7" t="s">
        <v>2488</v>
      </c>
      <c r="B1492" s="192"/>
      <c r="C1492" s="191" t="s">
        <v>4322</v>
      </c>
      <c r="D1492" s="192">
        <v>4</v>
      </c>
      <c r="E1492" s="192" t="s">
        <v>54</v>
      </c>
      <c r="F1492" s="193">
        <v>1000000</v>
      </c>
      <c r="G1492" s="45">
        <f>ROUNDDOWN(D1492*F1492,-3)</f>
        <v>4000000</v>
      </c>
      <c r="H1492" s="165">
        <v>10800000</v>
      </c>
      <c r="I1492" s="150" t="s">
        <v>3552</v>
      </c>
      <c r="J1492" s="149" t="s">
        <v>3561</v>
      </c>
      <c r="K1492" s="149" t="s">
        <v>3579</v>
      </c>
      <c r="L1492" s="171">
        <f t="shared" si="41"/>
        <v>-6800000</v>
      </c>
    </row>
    <row r="1493" spans="1:12" ht="26.4" x14ac:dyDescent="0.25">
      <c r="A1493" s="7" t="s">
        <v>2490</v>
      </c>
      <c r="B1493" s="61"/>
      <c r="C1493" s="44" t="s">
        <v>4323</v>
      </c>
      <c r="D1493" s="61">
        <v>6</v>
      </c>
      <c r="E1493" s="61" t="s">
        <v>54</v>
      </c>
      <c r="F1493" s="45">
        <v>900000</v>
      </c>
      <c r="G1493" s="45">
        <f>ROUNDDOWN(D1493*F1493,-3)</f>
        <v>5400000</v>
      </c>
      <c r="H1493" s="165">
        <v>6300000</v>
      </c>
      <c r="I1493" s="150" t="s">
        <v>3552</v>
      </c>
      <c r="J1493" s="149" t="s">
        <v>3561</v>
      </c>
      <c r="K1493" s="149" t="s">
        <v>3579</v>
      </c>
      <c r="L1493" s="171">
        <f t="shared" si="41"/>
        <v>-900000</v>
      </c>
    </row>
    <row r="1494" spans="1:12" x14ac:dyDescent="0.25">
      <c r="A1494" s="7" t="s">
        <v>2492</v>
      </c>
      <c r="B1494" s="60">
        <v>524111</v>
      </c>
      <c r="C1494" s="41" t="s">
        <v>19</v>
      </c>
      <c r="D1494" s="60"/>
      <c r="E1494" s="60"/>
      <c r="F1494" s="42"/>
      <c r="G1494" s="42">
        <v>100000000</v>
      </c>
      <c r="H1494" s="165">
        <v>4500000</v>
      </c>
      <c r="I1494" s="150" t="s">
        <v>3552</v>
      </c>
      <c r="J1494" s="149" t="s">
        <v>3561</v>
      </c>
      <c r="K1494" s="149" t="s">
        <v>3579</v>
      </c>
      <c r="L1494" s="171">
        <f t="shared" si="41"/>
        <v>95500000</v>
      </c>
    </row>
    <row r="1495" spans="1:12" ht="39.6" x14ac:dyDescent="0.25">
      <c r="A1495" s="7" t="s">
        <v>2493</v>
      </c>
      <c r="B1495" s="192"/>
      <c r="C1495" s="191" t="s">
        <v>4324</v>
      </c>
      <c r="D1495" s="192">
        <v>20</v>
      </c>
      <c r="E1495" s="192" t="s">
        <v>25</v>
      </c>
      <c r="F1495" s="193">
        <v>5000000</v>
      </c>
      <c r="G1495" s="45">
        <f>ROUNDDOWN(D1495*F1495,-3)</f>
        <v>100000000</v>
      </c>
      <c r="H1495" s="165">
        <v>30000000</v>
      </c>
      <c r="I1495" s="150" t="s">
        <v>3552</v>
      </c>
      <c r="J1495" s="149" t="s">
        <v>3561</v>
      </c>
      <c r="K1495" s="149" t="s">
        <v>3579</v>
      </c>
      <c r="L1495" s="171">
        <f t="shared" si="41"/>
        <v>70000000</v>
      </c>
    </row>
    <row r="1496" spans="1:12" x14ac:dyDescent="0.25">
      <c r="A1496" s="7" t="s">
        <v>2495</v>
      </c>
      <c r="B1496" s="60">
        <v>524113</v>
      </c>
      <c r="C1496" s="41" t="s">
        <v>13</v>
      </c>
      <c r="D1496" s="60"/>
      <c r="E1496" s="60"/>
      <c r="F1496" s="42"/>
      <c r="G1496" s="42">
        <v>2250000</v>
      </c>
      <c r="H1496" s="165">
        <v>6000000</v>
      </c>
      <c r="I1496" s="150" t="s">
        <v>3552</v>
      </c>
      <c r="J1496" s="149" t="s">
        <v>3561</v>
      </c>
      <c r="K1496" s="149" t="s">
        <v>3579</v>
      </c>
      <c r="L1496" s="171">
        <f t="shared" si="41"/>
        <v>-3750000</v>
      </c>
    </row>
    <row r="1497" spans="1:12" x14ac:dyDescent="0.25">
      <c r="A1497" s="7" t="s">
        <v>2496</v>
      </c>
      <c r="B1497" s="61"/>
      <c r="C1497" s="44" t="s">
        <v>4325</v>
      </c>
      <c r="D1497" s="61">
        <v>15</v>
      </c>
      <c r="E1497" s="61" t="s">
        <v>25</v>
      </c>
      <c r="F1497" s="45">
        <v>150000</v>
      </c>
      <c r="G1497" s="45">
        <f>ROUNDDOWN(D1497*F1497,-3)</f>
        <v>2250000</v>
      </c>
      <c r="H1497" s="165">
        <v>24000000</v>
      </c>
      <c r="I1497" s="150" t="s">
        <v>3552</v>
      </c>
      <c r="J1497" s="149" t="s">
        <v>3561</v>
      </c>
      <c r="K1497" s="149" t="s">
        <v>3579</v>
      </c>
      <c r="L1497" s="171">
        <f t="shared" si="41"/>
        <v>-21750000</v>
      </c>
    </row>
    <row r="1498" spans="1:12" x14ac:dyDescent="0.25">
      <c r="A1498" s="7" t="s">
        <v>2498</v>
      </c>
      <c r="B1498" s="60">
        <v>524114</v>
      </c>
      <c r="C1498" s="41" t="s">
        <v>14</v>
      </c>
      <c r="D1498" s="60"/>
      <c r="E1498" s="60"/>
      <c r="F1498" s="42"/>
      <c r="G1498" s="42">
        <v>5760000</v>
      </c>
      <c r="H1498" s="165">
        <v>150000000</v>
      </c>
      <c r="I1498" s="150" t="s">
        <v>3552</v>
      </c>
      <c r="J1498" s="149" t="s">
        <v>3561</v>
      </c>
      <c r="K1498" s="149" t="s">
        <v>3579</v>
      </c>
      <c r="L1498" s="171">
        <f t="shared" si="41"/>
        <v>-144240000</v>
      </c>
    </row>
    <row r="1499" spans="1:12" ht="26.4" x14ac:dyDescent="0.25">
      <c r="A1499" s="7" t="s">
        <v>2499</v>
      </c>
      <c r="B1499" s="192"/>
      <c r="C1499" s="191" t="s">
        <v>4326</v>
      </c>
      <c r="D1499" s="192">
        <v>16</v>
      </c>
      <c r="E1499" s="192" t="s">
        <v>25</v>
      </c>
      <c r="F1499" s="193">
        <v>210000</v>
      </c>
      <c r="G1499" s="45">
        <f>ROUNDDOWN(D1499*F1499,-3)</f>
        <v>3360000</v>
      </c>
      <c r="H1499" s="165">
        <v>11500000</v>
      </c>
      <c r="I1499" s="150" t="s">
        <v>3552</v>
      </c>
      <c r="J1499" s="149" t="s">
        <v>3561</v>
      </c>
      <c r="K1499" s="149" t="s">
        <v>3579</v>
      </c>
      <c r="L1499" s="171">
        <f t="shared" si="41"/>
        <v>-8140000</v>
      </c>
    </row>
    <row r="1500" spans="1:12" ht="26.4" x14ac:dyDescent="0.25">
      <c r="A1500" s="7" t="s">
        <v>2501</v>
      </c>
      <c r="B1500" s="61"/>
      <c r="C1500" s="44" t="s">
        <v>4327</v>
      </c>
      <c r="D1500" s="61">
        <v>16</v>
      </c>
      <c r="E1500" s="61" t="s">
        <v>25</v>
      </c>
      <c r="F1500" s="45">
        <v>150000</v>
      </c>
      <c r="G1500" s="45">
        <f>ROUNDDOWN(D1500*F1500,-3)</f>
        <v>2400000</v>
      </c>
      <c r="H1500" s="165">
        <v>2500000</v>
      </c>
      <c r="I1500" s="150" t="s">
        <v>3552</v>
      </c>
      <c r="J1500" s="149" t="s">
        <v>3561</v>
      </c>
      <c r="K1500" s="149" t="s">
        <v>3579</v>
      </c>
      <c r="L1500" s="171">
        <f t="shared" si="41"/>
        <v>-100000</v>
      </c>
    </row>
    <row r="1501" spans="1:12" x14ac:dyDescent="0.25">
      <c r="A1501" s="7" t="s">
        <v>2503</v>
      </c>
      <c r="B1501" s="60">
        <v>524119</v>
      </c>
      <c r="C1501" s="41" t="s">
        <v>15</v>
      </c>
      <c r="D1501" s="60"/>
      <c r="E1501" s="60"/>
      <c r="F1501" s="42"/>
      <c r="G1501" s="42">
        <v>10500000</v>
      </c>
      <c r="H1501" s="165">
        <v>9000000</v>
      </c>
      <c r="I1501" s="150" t="s">
        <v>3552</v>
      </c>
      <c r="J1501" s="149" t="s">
        <v>3561</v>
      </c>
      <c r="K1501" s="149" t="s">
        <v>3579</v>
      </c>
      <c r="L1501" s="171">
        <f t="shared" si="41"/>
        <v>1500000</v>
      </c>
    </row>
    <row r="1502" spans="1:12" ht="26.4" x14ac:dyDescent="0.25">
      <c r="A1502" s="7" t="s">
        <v>2504</v>
      </c>
      <c r="B1502" s="192"/>
      <c r="C1502" s="191" t="s">
        <v>4328</v>
      </c>
      <c r="D1502" s="192">
        <v>14</v>
      </c>
      <c r="E1502" s="192" t="s">
        <v>25</v>
      </c>
      <c r="F1502" s="193">
        <v>150000</v>
      </c>
      <c r="G1502" s="45">
        <f>ROUNDDOWN(D1502*F1502,-3)</f>
        <v>2100000</v>
      </c>
      <c r="H1502" s="165">
        <v>16000000</v>
      </c>
      <c r="I1502" s="150" t="s">
        <v>3552</v>
      </c>
      <c r="J1502" s="149" t="s">
        <v>3561</v>
      </c>
      <c r="K1502" s="149" t="s">
        <v>3579</v>
      </c>
      <c r="L1502" s="171">
        <f t="shared" si="41"/>
        <v>-13900000</v>
      </c>
    </row>
    <row r="1503" spans="1:12" ht="26.4" x14ac:dyDescent="0.25">
      <c r="A1503" s="7" t="s">
        <v>2506</v>
      </c>
      <c r="B1503" s="61"/>
      <c r="C1503" s="44" t="s">
        <v>4329</v>
      </c>
      <c r="D1503" s="61">
        <v>14</v>
      </c>
      <c r="E1503" s="61" t="s">
        <v>25</v>
      </c>
      <c r="F1503" s="45">
        <v>600000</v>
      </c>
      <c r="G1503" s="45">
        <f>ROUNDDOWN(D1503*F1503,-3)</f>
        <v>8400000</v>
      </c>
      <c r="H1503" s="165">
        <v>8000000</v>
      </c>
      <c r="I1503" s="150" t="s">
        <v>3552</v>
      </c>
      <c r="J1503" s="149" t="s">
        <v>3561</v>
      </c>
      <c r="K1503" s="149" t="s">
        <v>3579</v>
      </c>
      <c r="L1503" s="171">
        <f t="shared" si="41"/>
        <v>400000</v>
      </c>
    </row>
    <row r="1504" spans="1:12" x14ac:dyDescent="0.25">
      <c r="A1504" s="7" t="s">
        <v>2508</v>
      </c>
      <c r="B1504" s="59" t="s">
        <v>511</v>
      </c>
      <c r="C1504" s="38" t="s">
        <v>123</v>
      </c>
      <c r="D1504" s="59"/>
      <c r="E1504" s="59"/>
      <c r="F1504" s="39"/>
      <c r="G1504" s="39">
        <v>895000000</v>
      </c>
      <c r="H1504" s="165">
        <v>8000000</v>
      </c>
      <c r="I1504" s="150" t="s">
        <v>3552</v>
      </c>
      <c r="J1504" s="149" t="s">
        <v>3561</v>
      </c>
      <c r="K1504" s="149" t="s">
        <v>3579</v>
      </c>
      <c r="L1504" s="171">
        <f t="shared" si="41"/>
        <v>887000000</v>
      </c>
    </row>
    <row r="1505" spans="1:12" x14ac:dyDescent="0.25">
      <c r="A1505" s="7" t="s">
        <v>2509</v>
      </c>
      <c r="B1505" s="60">
        <v>521211</v>
      </c>
      <c r="C1505" s="41" t="s">
        <v>7</v>
      </c>
      <c r="D1505" s="60"/>
      <c r="E1505" s="60"/>
      <c r="F1505" s="42"/>
      <c r="G1505" s="42">
        <v>135000000</v>
      </c>
      <c r="H1505" s="165">
        <v>3600000</v>
      </c>
      <c r="I1505" s="150" t="s">
        <v>3552</v>
      </c>
      <c r="J1505" s="149" t="s">
        <v>3561</v>
      </c>
      <c r="K1505" s="149" t="s">
        <v>3579</v>
      </c>
      <c r="L1505" s="171">
        <f t="shared" si="41"/>
        <v>131400000</v>
      </c>
    </row>
    <row r="1506" spans="1:12" x14ac:dyDescent="0.25">
      <c r="A1506" s="7" t="s">
        <v>2510</v>
      </c>
      <c r="B1506" s="61"/>
      <c r="C1506" s="44" t="s">
        <v>4330</v>
      </c>
      <c r="D1506" s="61">
        <v>100</v>
      </c>
      <c r="E1506" s="61" t="s">
        <v>180</v>
      </c>
      <c r="F1506" s="45">
        <v>100000</v>
      </c>
      <c r="G1506" s="45">
        <f>ROUNDDOWN(D1506*F1506,-3)</f>
        <v>10000000</v>
      </c>
      <c r="H1506" s="165">
        <v>3600000</v>
      </c>
      <c r="I1506" s="150" t="s">
        <v>3552</v>
      </c>
      <c r="J1506" s="149" t="s">
        <v>3561</v>
      </c>
      <c r="K1506" s="149" t="s">
        <v>3579</v>
      </c>
      <c r="L1506" s="171">
        <f t="shared" si="41"/>
        <v>6400000</v>
      </c>
    </row>
    <row r="1507" spans="1:12" x14ac:dyDescent="0.25">
      <c r="A1507" s="7" t="s">
        <v>2512</v>
      </c>
      <c r="B1507" s="192"/>
      <c r="C1507" s="191" t="s">
        <v>4331</v>
      </c>
      <c r="D1507" s="192">
        <v>10</v>
      </c>
      <c r="E1507" s="192" t="s">
        <v>180</v>
      </c>
      <c r="F1507" s="193">
        <v>3200000</v>
      </c>
      <c r="G1507" s="45">
        <f>ROUNDDOWN(D1507*F1507,-3)</f>
        <v>32000000</v>
      </c>
      <c r="H1507" s="165">
        <v>100000000</v>
      </c>
      <c r="I1507" s="150" t="s">
        <v>3552</v>
      </c>
      <c r="J1507" s="149" t="s">
        <v>3561</v>
      </c>
      <c r="K1507" s="149" t="s">
        <v>3579</v>
      </c>
      <c r="L1507" s="171">
        <f t="shared" si="41"/>
        <v>-68000000</v>
      </c>
    </row>
    <row r="1508" spans="1:12" x14ac:dyDescent="0.25">
      <c r="A1508" s="7" t="s">
        <v>2514</v>
      </c>
      <c r="B1508" s="61"/>
      <c r="C1508" s="44" t="s">
        <v>4332</v>
      </c>
      <c r="D1508" s="61">
        <v>310</v>
      </c>
      <c r="E1508" s="61" t="s">
        <v>106</v>
      </c>
      <c r="F1508" s="45">
        <v>300000</v>
      </c>
      <c r="G1508" s="45">
        <f>ROUNDDOWN(D1508*F1508,-3)</f>
        <v>93000000</v>
      </c>
      <c r="H1508" s="165">
        <v>50000000</v>
      </c>
      <c r="I1508" s="150" t="s">
        <v>3552</v>
      </c>
      <c r="J1508" s="149" t="s">
        <v>3561</v>
      </c>
      <c r="K1508" s="149" t="s">
        <v>3579</v>
      </c>
      <c r="L1508" s="171">
        <f t="shared" si="41"/>
        <v>43000000</v>
      </c>
    </row>
    <row r="1509" spans="1:12" x14ac:dyDescent="0.25">
      <c r="A1509" s="7" t="s">
        <v>2516</v>
      </c>
      <c r="B1509" s="60">
        <v>521811</v>
      </c>
      <c r="C1509" s="41" t="s">
        <v>64</v>
      </c>
      <c r="D1509" s="60"/>
      <c r="E1509" s="60"/>
      <c r="F1509" s="42"/>
      <c r="G1509" s="42">
        <v>24000000</v>
      </c>
      <c r="H1509" s="165">
        <v>50000000</v>
      </c>
      <c r="I1509" s="150" t="s">
        <v>3552</v>
      </c>
      <c r="J1509" s="149" t="s">
        <v>3561</v>
      </c>
      <c r="K1509" s="149" t="s">
        <v>3579</v>
      </c>
      <c r="L1509" s="171">
        <f t="shared" si="41"/>
        <v>-26000000</v>
      </c>
    </row>
    <row r="1510" spans="1:12" x14ac:dyDescent="0.25">
      <c r="A1510" s="7" t="s">
        <v>2517</v>
      </c>
      <c r="B1510" s="192"/>
      <c r="C1510" s="191" t="s">
        <v>3625</v>
      </c>
      <c r="D1510" s="192">
        <v>12</v>
      </c>
      <c r="E1510" s="192" t="s">
        <v>106</v>
      </c>
      <c r="F1510" s="193">
        <v>1000000</v>
      </c>
      <c r="G1510" s="45">
        <f>ROUNDDOWN(D1510*F1510,-3)</f>
        <v>12000000</v>
      </c>
      <c r="H1510" s="165">
        <v>4200000</v>
      </c>
      <c r="I1510" s="150" t="s">
        <v>3552</v>
      </c>
      <c r="J1510" s="149" t="s">
        <v>3561</v>
      </c>
      <c r="K1510" s="149" t="s">
        <v>3579</v>
      </c>
      <c r="L1510" s="171">
        <f t="shared" si="41"/>
        <v>7800000</v>
      </c>
    </row>
    <row r="1511" spans="1:12" x14ac:dyDescent="0.25">
      <c r="A1511" s="7" t="s">
        <v>2518</v>
      </c>
      <c r="B1511" s="61"/>
      <c r="C1511" s="44" t="s">
        <v>3626</v>
      </c>
      <c r="D1511" s="61">
        <v>12</v>
      </c>
      <c r="E1511" s="61" t="s">
        <v>106</v>
      </c>
      <c r="F1511" s="45">
        <v>1000000</v>
      </c>
      <c r="G1511" s="45">
        <f>ROUNDDOWN(D1511*F1511,-3)</f>
        <v>12000000</v>
      </c>
      <c r="H1511" s="165">
        <v>4200000</v>
      </c>
      <c r="I1511" s="150" t="s">
        <v>3552</v>
      </c>
      <c r="J1511" s="149" t="s">
        <v>3561</v>
      </c>
      <c r="K1511" s="149" t="s">
        <v>3579</v>
      </c>
      <c r="L1511" s="171">
        <f t="shared" si="41"/>
        <v>7800000</v>
      </c>
    </row>
    <row r="1512" spans="1:12" x14ac:dyDescent="0.25">
      <c r="A1512" s="7" t="s">
        <v>2519</v>
      </c>
      <c r="B1512" s="60">
        <v>522151</v>
      </c>
      <c r="C1512" s="41" t="s">
        <v>11</v>
      </c>
      <c r="D1512" s="60"/>
      <c r="E1512" s="60"/>
      <c r="F1512" s="42"/>
      <c r="G1512" s="42">
        <v>28200000</v>
      </c>
      <c r="H1512" s="165">
        <v>7200000</v>
      </c>
      <c r="I1512" s="150" t="s">
        <v>3552</v>
      </c>
      <c r="J1512" s="149" t="s">
        <v>3561</v>
      </c>
      <c r="K1512" s="149" t="s">
        <v>3579</v>
      </c>
      <c r="L1512" s="171">
        <f t="shared" si="41"/>
        <v>21000000</v>
      </c>
    </row>
    <row r="1513" spans="1:12" ht="26.4" x14ac:dyDescent="0.25">
      <c r="A1513" s="7" t="s">
        <v>2520</v>
      </c>
      <c r="B1513" s="61"/>
      <c r="C1513" s="44" t="s">
        <v>4333</v>
      </c>
      <c r="D1513" s="61">
        <v>12</v>
      </c>
      <c r="E1513" s="61" t="s">
        <v>54</v>
      </c>
      <c r="F1513" s="45">
        <v>1000000</v>
      </c>
      <c r="G1513" s="45">
        <f>ROUNDDOWN(D1513*F1513,-3)</f>
        <v>12000000</v>
      </c>
      <c r="H1513" s="165">
        <v>4200000</v>
      </c>
      <c r="I1513" s="150" t="s">
        <v>3552</v>
      </c>
      <c r="J1513" s="149" t="s">
        <v>3561</v>
      </c>
      <c r="K1513" s="149" t="s">
        <v>3579</v>
      </c>
      <c r="L1513" s="171">
        <f t="shared" si="41"/>
        <v>7800000</v>
      </c>
    </row>
    <row r="1514" spans="1:12" ht="26.4" x14ac:dyDescent="0.25">
      <c r="A1514" s="7" t="s">
        <v>2522</v>
      </c>
      <c r="B1514" s="61"/>
      <c r="C1514" s="44" t="s">
        <v>4334</v>
      </c>
      <c r="D1514" s="61">
        <v>18</v>
      </c>
      <c r="E1514" s="61" t="s">
        <v>54</v>
      </c>
      <c r="F1514" s="45">
        <v>900000</v>
      </c>
      <c r="G1514" s="45">
        <f>ROUNDDOWN(D1514*F1514,-3)</f>
        <v>16200000</v>
      </c>
      <c r="H1514" s="165">
        <v>3000000</v>
      </c>
      <c r="I1514" s="150" t="s">
        <v>3552</v>
      </c>
      <c r="J1514" s="149" t="s">
        <v>3561</v>
      </c>
      <c r="K1514" s="149" t="s">
        <v>3579</v>
      </c>
      <c r="L1514" s="171">
        <f t="shared" si="41"/>
        <v>13200000</v>
      </c>
    </row>
    <row r="1515" spans="1:12" x14ac:dyDescent="0.25">
      <c r="A1515" s="7" t="s">
        <v>2524</v>
      </c>
      <c r="B1515" s="60">
        <v>524111</v>
      </c>
      <c r="C1515" s="41" t="s">
        <v>19</v>
      </c>
      <c r="D1515" s="60"/>
      <c r="E1515" s="60"/>
      <c r="F1515" s="42"/>
      <c r="G1515" s="42">
        <v>640000000</v>
      </c>
      <c r="H1515" s="165">
        <v>7500000</v>
      </c>
      <c r="I1515" s="150" t="s">
        <v>3552</v>
      </c>
      <c r="J1515" s="149" t="s">
        <v>3561</v>
      </c>
      <c r="K1515" s="149" t="s">
        <v>3579</v>
      </c>
      <c r="L1515" s="171">
        <f t="shared" si="41"/>
        <v>632500000</v>
      </c>
    </row>
    <row r="1516" spans="1:12" ht="26.4" x14ac:dyDescent="0.25">
      <c r="A1516" s="7" t="s">
        <v>2525</v>
      </c>
      <c r="B1516" s="61"/>
      <c r="C1516" s="44" t="s">
        <v>4335</v>
      </c>
      <c r="D1516" s="61">
        <v>50</v>
      </c>
      <c r="E1516" s="61" t="s">
        <v>25</v>
      </c>
      <c r="F1516" s="45">
        <v>5000000</v>
      </c>
      <c r="G1516" s="45">
        <f>ROUNDDOWN(D1516*F1516,-3)</f>
        <v>250000000</v>
      </c>
      <c r="H1516" s="165">
        <v>1500000</v>
      </c>
      <c r="I1516" s="150" t="s">
        <v>3552</v>
      </c>
      <c r="J1516" s="149" t="s">
        <v>3561</v>
      </c>
      <c r="K1516" s="149" t="s">
        <v>3579</v>
      </c>
      <c r="L1516" s="171">
        <f t="shared" si="41"/>
        <v>248500000</v>
      </c>
    </row>
    <row r="1517" spans="1:12" ht="26.4" x14ac:dyDescent="0.25">
      <c r="A1517" s="7" t="s">
        <v>2527</v>
      </c>
      <c r="B1517" s="61"/>
      <c r="C1517" s="44" t="s">
        <v>4336</v>
      </c>
      <c r="D1517" s="61">
        <v>48</v>
      </c>
      <c r="E1517" s="61" t="s">
        <v>25</v>
      </c>
      <c r="F1517" s="45">
        <v>5000000</v>
      </c>
      <c r="G1517" s="45">
        <f>ROUNDDOWN(D1517*F1517,-3)</f>
        <v>240000000</v>
      </c>
      <c r="H1517" s="165">
        <v>1500000</v>
      </c>
      <c r="I1517" s="150" t="s">
        <v>3552</v>
      </c>
      <c r="J1517" s="149" t="s">
        <v>3561</v>
      </c>
      <c r="K1517" s="149" t="s">
        <v>3579</v>
      </c>
      <c r="L1517" s="171">
        <f t="shared" si="41"/>
        <v>238500000</v>
      </c>
    </row>
    <row r="1518" spans="1:12" ht="26.4" x14ac:dyDescent="0.25">
      <c r="A1518" s="7" t="s">
        <v>2529</v>
      </c>
      <c r="B1518" s="61"/>
      <c r="C1518" s="44" t="s">
        <v>4337</v>
      </c>
      <c r="D1518" s="61">
        <v>300</v>
      </c>
      <c r="E1518" s="61" t="s">
        <v>25</v>
      </c>
      <c r="F1518" s="45">
        <v>500000</v>
      </c>
      <c r="G1518" s="45">
        <f>ROUNDDOWN(D1518*F1518,-3)</f>
        <v>150000000</v>
      </c>
      <c r="H1518" s="165">
        <v>6000000</v>
      </c>
      <c r="I1518" s="150" t="s">
        <v>3552</v>
      </c>
      <c r="J1518" s="149" t="s">
        <v>3561</v>
      </c>
      <c r="K1518" s="149" t="s">
        <v>3579</v>
      </c>
      <c r="L1518" s="171">
        <f t="shared" si="41"/>
        <v>144000000</v>
      </c>
    </row>
    <row r="1519" spans="1:12" x14ac:dyDescent="0.25">
      <c r="A1519" s="7" t="s">
        <v>2531</v>
      </c>
      <c r="B1519" s="60">
        <v>524113</v>
      </c>
      <c r="C1519" s="41" t="s">
        <v>13</v>
      </c>
      <c r="D1519" s="60"/>
      <c r="E1519" s="60"/>
      <c r="F1519" s="42"/>
      <c r="G1519" s="42">
        <v>27000000</v>
      </c>
      <c r="H1519" s="165">
        <v>810000000</v>
      </c>
      <c r="I1519" s="150" t="s">
        <v>3552</v>
      </c>
      <c r="J1519" s="149" t="s">
        <v>3561</v>
      </c>
      <c r="K1519" s="149" t="s">
        <v>3579</v>
      </c>
      <c r="L1519" s="171">
        <f t="shared" si="41"/>
        <v>-783000000</v>
      </c>
    </row>
    <row r="1520" spans="1:12" ht="26.4" x14ac:dyDescent="0.25">
      <c r="A1520" s="7" t="s">
        <v>2532</v>
      </c>
      <c r="B1520" s="192"/>
      <c r="C1520" s="191" t="s">
        <v>4338</v>
      </c>
      <c r="D1520" s="192">
        <v>75</v>
      </c>
      <c r="E1520" s="192" t="s">
        <v>25</v>
      </c>
      <c r="F1520" s="193">
        <v>150000</v>
      </c>
      <c r="G1520" s="45">
        <f>ROUNDDOWN(D1520*F1520,-3)</f>
        <v>11250000</v>
      </c>
      <c r="H1520" s="165">
        <v>86780000</v>
      </c>
      <c r="I1520" s="150" t="s">
        <v>3552</v>
      </c>
      <c r="J1520" s="149" t="s">
        <v>3561</v>
      </c>
      <c r="K1520" s="149" t="s">
        <v>3579</v>
      </c>
      <c r="L1520" s="171">
        <f t="shared" si="41"/>
        <v>-75530000</v>
      </c>
    </row>
    <row r="1521" spans="1:12" x14ac:dyDescent="0.25">
      <c r="A1521" s="7" t="s">
        <v>2534</v>
      </c>
      <c r="B1521" s="61"/>
      <c r="C1521" s="44" t="s">
        <v>4339</v>
      </c>
      <c r="D1521" s="61">
        <v>75</v>
      </c>
      <c r="E1521" s="61" t="s">
        <v>73</v>
      </c>
      <c r="F1521" s="45">
        <v>210000</v>
      </c>
      <c r="G1521" s="45">
        <f>ROUNDDOWN(D1521*F1521,-3)</f>
        <v>15750000</v>
      </c>
      <c r="H1521" s="165">
        <v>0</v>
      </c>
      <c r="I1521" s="150" t="s">
        <v>3552</v>
      </c>
      <c r="J1521" s="149" t="s">
        <v>3561</v>
      </c>
      <c r="K1521" s="149" t="s">
        <v>3579</v>
      </c>
      <c r="L1521" s="171">
        <f t="shared" si="41"/>
        <v>15750000</v>
      </c>
    </row>
    <row r="1522" spans="1:12" x14ac:dyDescent="0.25">
      <c r="A1522" s="7" t="s">
        <v>2536</v>
      </c>
      <c r="B1522" s="60">
        <v>524114</v>
      </c>
      <c r="C1522" s="41" t="s">
        <v>14</v>
      </c>
      <c r="D1522" s="60"/>
      <c r="E1522" s="60"/>
      <c r="F1522" s="42"/>
      <c r="G1522" s="42">
        <v>10800000</v>
      </c>
      <c r="H1522" s="165">
        <v>1000000</v>
      </c>
      <c r="I1522" s="150" t="s">
        <v>3552</v>
      </c>
      <c r="J1522" s="149" t="s">
        <v>3561</v>
      </c>
      <c r="K1522" s="149" t="s">
        <v>3579</v>
      </c>
      <c r="L1522" s="171">
        <f t="shared" si="41"/>
        <v>9800000</v>
      </c>
    </row>
    <row r="1523" spans="1:12" ht="26.4" x14ac:dyDescent="0.25">
      <c r="A1523" s="7" t="s">
        <v>2537</v>
      </c>
      <c r="B1523" s="61"/>
      <c r="C1523" s="44" t="s">
        <v>4340</v>
      </c>
      <c r="D1523" s="61">
        <v>30</v>
      </c>
      <c r="E1523" s="61" t="s">
        <v>25</v>
      </c>
      <c r="F1523" s="45">
        <v>210000</v>
      </c>
      <c r="G1523" s="45">
        <f>ROUNDDOWN(D1523*F1523,-3)</f>
        <v>6300000</v>
      </c>
      <c r="H1523" s="165">
        <v>1000000</v>
      </c>
      <c r="I1523" s="150" t="s">
        <v>3552</v>
      </c>
      <c r="J1523" s="149" t="s">
        <v>3561</v>
      </c>
      <c r="K1523" s="149" t="s">
        <v>3579</v>
      </c>
      <c r="L1523" s="171">
        <f t="shared" si="41"/>
        <v>5300000</v>
      </c>
    </row>
    <row r="1524" spans="1:12" ht="26.4" x14ac:dyDescent="0.25">
      <c r="A1524" s="7" t="s">
        <v>2539</v>
      </c>
      <c r="B1524" s="61"/>
      <c r="C1524" s="44" t="s">
        <v>4341</v>
      </c>
      <c r="D1524" s="61">
        <v>30</v>
      </c>
      <c r="E1524" s="61" t="s">
        <v>25</v>
      </c>
      <c r="F1524" s="45">
        <v>150000</v>
      </c>
      <c r="G1524" s="45">
        <f>ROUNDDOWN(D1524*F1524,-3)</f>
        <v>4500000</v>
      </c>
      <c r="H1524" s="165">
        <v>2000000</v>
      </c>
      <c r="I1524" s="150" t="s">
        <v>3552</v>
      </c>
      <c r="J1524" s="149" t="s">
        <v>3561</v>
      </c>
      <c r="K1524" s="149" t="s">
        <v>3579</v>
      </c>
      <c r="L1524" s="171">
        <f t="shared" si="41"/>
        <v>2500000</v>
      </c>
    </row>
    <row r="1525" spans="1:12" x14ac:dyDescent="0.25">
      <c r="A1525" s="7" t="s">
        <v>2541</v>
      </c>
      <c r="B1525" s="60">
        <v>524119</v>
      </c>
      <c r="C1525" s="41" t="s">
        <v>15</v>
      </c>
      <c r="D1525" s="60"/>
      <c r="E1525" s="60"/>
      <c r="F1525" s="42"/>
      <c r="G1525" s="42">
        <v>30000000</v>
      </c>
      <c r="H1525" s="165">
        <v>1000000</v>
      </c>
      <c r="I1525" s="150" t="s">
        <v>3552</v>
      </c>
      <c r="J1525" s="149" t="s">
        <v>3561</v>
      </c>
      <c r="K1525" s="149" t="s">
        <v>3579</v>
      </c>
      <c r="L1525" s="171">
        <f t="shared" si="41"/>
        <v>29000000</v>
      </c>
    </row>
    <row r="1526" spans="1:12" ht="26.4" x14ac:dyDescent="0.25">
      <c r="A1526" s="7" t="s">
        <v>2542</v>
      </c>
      <c r="B1526" s="61"/>
      <c r="C1526" s="44" t="s">
        <v>4342</v>
      </c>
      <c r="D1526" s="61">
        <v>40</v>
      </c>
      <c r="E1526" s="61" t="s">
        <v>25</v>
      </c>
      <c r="F1526" s="45">
        <v>150000</v>
      </c>
      <c r="G1526" s="45">
        <f>ROUNDDOWN(D1526*F1526,-3)</f>
        <v>6000000</v>
      </c>
      <c r="H1526" s="165">
        <v>0</v>
      </c>
      <c r="I1526" s="150" t="s">
        <v>3552</v>
      </c>
      <c r="J1526" s="149" t="s">
        <v>3561</v>
      </c>
      <c r="K1526" s="149" t="s">
        <v>3579</v>
      </c>
      <c r="L1526" s="171">
        <f t="shared" si="41"/>
        <v>6000000</v>
      </c>
    </row>
    <row r="1527" spans="1:12" ht="26.4" x14ac:dyDescent="0.25">
      <c r="A1527" s="7" t="s">
        <v>2544</v>
      </c>
      <c r="B1527" s="61"/>
      <c r="C1527" s="44" t="s">
        <v>4343</v>
      </c>
      <c r="D1527" s="61">
        <v>40</v>
      </c>
      <c r="E1527" s="61" t="s">
        <v>25</v>
      </c>
      <c r="F1527" s="45">
        <v>600000</v>
      </c>
      <c r="G1527" s="45">
        <f>ROUNDDOWN(D1527*F1527,-3)</f>
        <v>24000000</v>
      </c>
      <c r="H1527" s="165">
        <v>1000000</v>
      </c>
      <c r="I1527" s="150" t="s">
        <v>3552</v>
      </c>
      <c r="J1527" s="149" t="s">
        <v>3561</v>
      </c>
      <c r="K1527" s="149" t="s">
        <v>3579</v>
      </c>
      <c r="L1527" s="171">
        <f t="shared" si="41"/>
        <v>23000000</v>
      </c>
    </row>
    <row r="1528" spans="1:12" x14ac:dyDescent="0.25">
      <c r="A1528" s="7" t="s">
        <v>2546</v>
      </c>
      <c r="B1528" s="59" t="s">
        <v>512</v>
      </c>
      <c r="C1528" s="38" t="s">
        <v>124</v>
      </c>
      <c r="D1528" s="59"/>
      <c r="E1528" s="59"/>
      <c r="F1528" s="39"/>
      <c r="G1528" s="39">
        <v>150000000</v>
      </c>
      <c r="H1528" s="165">
        <v>1000000</v>
      </c>
      <c r="I1528" s="150" t="s">
        <v>3552</v>
      </c>
      <c r="J1528" s="149" t="s">
        <v>3561</v>
      </c>
      <c r="K1528" s="149" t="s">
        <v>3579</v>
      </c>
      <c r="L1528" s="171">
        <f t="shared" si="41"/>
        <v>149000000</v>
      </c>
    </row>
    <row r="1529" spans="1:12" x14ac:dyDescent="0.25">
      <c r="A1529" s="7" t="s">
        <v>2547</v>
      </c>
      <c r="B1529" s="60">
        <v>521211</v>
      </c>
      <c r="C1529" s="41" t="s">
        <v>7</v>
      </c>
      <c r="D1529" s="60"/>
      <c r="E1529" s="60"/>
      <c r="F1529" s="42"/>
      <c r="G1529" s="42">
        <v>11500000</v>
      </c>
      <c r="H1529" s="165">
        <v>1500000</v>
      </c>
      <c r="I1529" s="150" t="s">
        <v>3552</v>
      </c>
      <c r="J1529" s="149" t="s">
        <v>3561</v>
      </c>
      <c r="K1529" s="149" t="s">
        <v>3579</v>
      </c>
      <c r="L1529" s="171">
        <f t="shared" si="41"/>
        <v>10000000</v>
      </c>
    </row>
    <row r="1530" spans="1:12" x14ac:dyDescent="0.25">
      <c r="A1530" s="7" t="s">
        <v>2548</v>
      </c>
      <c r="B1530" s="61"/>
      <c r="C1530" s="44" t="s">
        <v>4344</v>
      </c>
      <c r="D1530" s="61">
        <v>25</v>
      </c>
      <c r="E1530" s="61" t="s">
        <v>180</v>
      </c>
      <c r="F1530" s="45">
        <v>100000</v>
      </c>
      <c r="G1530" s="45">
        <f>ROUNDDOWN(D1530*F1530,-3)</f>
        <v>2500000</v>
      </c>
      <c r="H1530" s="165">
        <v>2000000</v>
      </c>
      <c r="I1530" s="150" t="s">
        <v>3552</v>
      </c>
      <c r="J1530" s="149" t="s">
        <v>3561</v>
      </c>
      <c r="K1530" s="149" t="s">
        <v>3579</v>
      </c>
      <c r="L1530" s="171">
        <f t="shared" si="41"/>
        <v>500000</v>
      </c>
    </row>
    <row r="1531" spans="1:12" x14ac:dyDescent="0.25">
      <c r="A1531" s="7" t="s">
        <v>2550</v>
      </c>
      <c r="B1531" s="61"/>
      <c r="C1531" s="44" t="s">
        <v>4345</v>
      </c>
      <c r="D1531" s="61">
        <v>90</v>
      </c>
      <c r="E1531" s="61" t="s">
        <v>180</v>
      </c>
      <c r="F1531" s="45">
        <v>100000</v>
      </c>
      <c r="G1531" s="45">
        <f>ROUNDDOWN(D1531*F1531,-3)</f>
        <v>9000000</v>
      </c>
      <c r="H1531" s="165">
        <v>500000</v>
      </c>
      <c r="I1531" s="150" t="s">
        <v>3552</v>
      </c>
      <c r="J1531" s="149" t="s">
        <v>3561</v>
      </c>
      <c r="K1531" s="149" t="s">
        <v>3579</v>
      </c>
      <c r="L1531" s="171">
        <f t="shared" si="41"/>
        <v>8500000</v>
      </c>
    </row>
    <row r="1532" spans="1:12" x14ac:dyDescent="0.25">
      <c r="A1532" s="7" t="s">
        <v>2552</v>
      </c>
      <c r="B1532" s="60">
        <v>521811</v>
      </c>
      <c r="C1532" s="41" t="s">
        <v>64</v>
      </c>
      <c r="D1532" s="60"/>
      <c r="E1532" s="60"/>
      <c r="F1532" s="42"/>
      <c r="G1532" s="42">
        <v>16000000</v>
      </c>
      <c r="H1532" s="165">
        <v>1030000</v>
      </c>
      <c r="I1532" s="150" t="s">
        <v>3552</v>
      </c>
      <c r="J1532" s="149" t="s">
        <v>3561</v>
      </c>
      <c r="K1532" s="149" t="s">
        <v>3579</v>
      </c>
      <c r="L1532" s="171">
        <f t="shared" si="41"/>
        <v>14970000</v>
      </c>
    </row>
    <row r="1533" spans="1:12" x14ac:dyDescent="0.25">
      <c r="A1533" s="7" t="s">
        <v>2553</v>
      </c>
      <c r="B1533" s="61"/>
      <c r="C1533" s="44" t="s">
        <v>3625</v>
      </c>
      <c r="D1533" s="61">
        <v>8</v>
      </c>
      <c r="E1533" s="61" t="s">
        <v>106</v>
      </c>
      <c r="F1533" s="45">
        <v>1000000</v>
      </c>
      <c r="G1533" s="45">
        <f>ROUNDDOWN(D1533*F1533,-3)</f>
        <v>8000000</v>
      </c>
      <c r="H1533" s="165">
        <v>56000000</v>
      </c>
      <c r="I1533" s="150" t="s">
        <v>3552</v>
      </c>
      <c r="J1533" s="149" t="s">
        <v>3561</v>
      </c>
      <c r="K1533" s="149" t="s">
        <v>3579</v>
      </c>
      <c r="L1533" s="171">
        <f t="shared" si="41"/>
        <v>-48000000</v>
      </c>
    </row>
    <row r="1534" spans="1:12" x14ac:dyDescent="0.25">
      <c r="A1534" s="7" t="s">
        <v>2554</v>
      </c>
      <c r="B1534" s="61"/>
      <c r="C1534" s="44" t="s">
        <v>3626</v>
      </c>
      <c r="D1534" s="61">
        <v>8</v>
      </c>
      <c r="E1534" s="61" t="s">
        <v>106</v>
      </c>
      <c r="F1534" s="45">
        <v>1000000</v>
      </c>
      <c r="G1534" s="45">
        <f>ROUNDDOWN(D1534*F1534,-3)</f>
        <v>8000000</v>
      </c>
      <c r="H1534" s="165">
        <v>2000000</v>
      </c>
      <c r="I1534" s="150" t="s">
        <v>3552</v>
      </c>
      <c r="J1534" s="149" t="s">
        <v>3561</v>
      </c>
      <c r="K1534" s="149" t="s">
        <v>3579</v>
      </c>
      <c r="L1534" s="171">
        <f t="shared" si="41"/>
        <v>6000000</v>
      </c>
    </row>
    <row r="1535" spans="1:12" x14ac:dyDescent="0.25">
      <c r="A1535" s="7" t="s">
        <v>2555</v>
      </c>
      <c r="B1535" s="60">
        <v>522151</v>
      </c>
      <c r="C1535" s="41" t="s">
        <v>11</v>
      </c>
      <c r="D1535" s="60"/>
      <c r="E1535" s="60"/>
      <c r="F1535" s="42"/>
      <c r="G1535" s="42">
        <v>3600000</v>
      </c>
      <c r="H1535" s="165">
        <v>250000</v>
      </c>
      <c r="I1535" s="150" t="s">
        <v>3552</v>
      </c>
      <c r="J1535" s="149" t="s">
        <v>3561</v>
      </c>
      <c r="K1535" s="149" t="s">
        <v>3579</v>
      </c>
      <c r="L1535" s="171">
        <f t="shared" si="41"/>
        <v>3350000</v>
      </c>
    </row>
    <row r="1536" spans="1:12" ht="26.4" x14ac:dyDescent="0.25">
      <c r="A1536" s="7" t="s">
        <v>2556</v>
      </c>
      <c r="B1536" s="61"/>
      <c r="C1536" s="44" t="s">
        <v>4346</v>
      </c>
      <c r="D1536" s="61">
        <v>4</v>
      </c>
      <c r="E1536" s="61" t="s">
        <v>54</v>
      </c>
      <c r="F1536" s="45">
        <v>900000</v>
      </c>
      <c r="G1536" s="45">
        <f>ROUNDDOWN(D1536*F1536,-3)</f>
        <v>3600000</v>
      </c>
      <c r="H1536" s="165">
        <v>8000000</v>
      </c>
      <c r="I1536" s="150" t="s">
        <v>3552</v>
      </c>
      <c r="J1536" s="149" t="s">
        <v>3561</v>
      </c>
      <c r="K1536" s="149" t="s">
        <v>3579</v>
      </c>
      <c r="L1536" s="171">
        <f t="shared" si="41"/>
        <v>-4400000</v>
      </c>
    </row>
    <row r="1537" spans="1:12" x14ac:dyDescent="0.25">
      <c r="A1537" s="7" t="s">
        <v>2558</v>
      </c>
      <c r="B1537" s="60">
        <v>524111</v>
      </c>
      <c r="C1537" s="41" t="s">
        <v>19</v>
      </c>
      <c r="D1537" s="60"/>
      <c r="E1537" s="60"/>
      <c r="F1537" s="42"/>
      <c r="G1537" s="42">
        <v>100000000</v>
      </c>
      <c r="H1537" s="165">
        <v>1000000</v>
      </c>
      <c r="I1537" s="150" t="s">
        <v>3552</v>
      </c>
      <c r="J1537" s="149" t="s">
        <v>3561</v>
      </c>
      <c r="K1537" s="149" t="s">
        <v>3579</v>
      </c>
      <c r="L1537" s="171">
        <f t="shared" si="41"/>
        <v>99000000</v>
      </c>
    </row>
    <row r="1538" spans="1:12" ht="26.4" x14ac:dyDescent="0.25">
      <c r="A1538" s="7" t="s">
        <v>2559</v>
      </c>
      <c r="B1538" s="61"/>
      <c r="C1538" s="44" t="s">
        <v>4347</v>
      </c>
      <c r="D1538" s="61">
        <v>10</v>
      </c>
      <c r="E1538" s="61" t="s">
        <v>25</v>
      </c>
      <c r="F1538" s="45">
        <v>5000000</v>
      </c>
      <c r="G1538" s="45">
        <f>ROUNDDOWN(D1538*F1538,-3)</f>
        <v>50000000</v>
      </c>
      <c r="H1538" s="165">
        <v>1000000</v>
      </c>
      <c r="I1538" s="150" t="s">
        <v>3552</v>
      </c>
      <c r="J1538" s="149" t="s">
        <v>3561</v>
      </c>
      <c r="K1538" s="149" t="s">
        <v>3579</v>
      </c>
      <c r="L1538" s="171">
        <f t="shared" si="41"/>
        <v>49000000</v>
      </c>
    </row>
    <row r="1539" spans="1:12" ht="26.4" x14ac:dyDescent="0.25">
      <c r="A1539" s="7" t="s">
        <v>2561</v>
      </c>
      <c r="B1539" s="61"/>
      <c r="C1539" s="44" t="s">
        <v>4348</v>
      </c>
      <c r="D1539" s="61">
        <v>10</v>
      </c>
      <c r="E1539" s="61" t="s">
        <v>25</v>
      </c>
      <c r="F1539" s="45">
        <v>5000000</v>
      </c>
      <c r="G1539" s="45">
        <f>ROUNDDOWN(D1539*F1539,-3)</f>
        <v>50000000</v>
      </c>
      <c r="H1539" s="165">
        <v>1500000</v>
      </c>
      <c r="I1539" s="150" t="s">
        <v>3552</v>
      </c>
      <c r="J1539" s="149" t="s">
        <v>3561</v>
      </c>
      <c r="K1539" s="149" t="s">
        <v>3579</v>
      </c>
      <c r="L1539" s="171">
        <f t="shared" si="41"/>
        <v>48500000</v>
      </c>
    </row>
    <row r="1540" spans="1:12" x14ac:dyDescent="0.25">
      <c r="A1540" s="7" t="s">
        <v>2563</v>
      </c>
      <c r="B1540" s="60">
        <v>524113</v>
      </c>
      <c r="C1540" s="41" t="s">
        <v>13</v>
      </c>
      <c r="D1540" s="60"/>
      <c r="E1540" s="60"/>
      <c r="F1540" s="42"/>
      <c r="G1540" s="42">
        <v>4200000</v>
      </c>
      <c r="H1540" s="165">
        <v>5000000</v>
      </c>
      <c r="I1540" s="150" t="s">
        <v>3552</v>
      </c>
      <c r="J1540" s="149" t="s">
        <v>3561</v>
      </c>
      <c r="K1540" s="149" t="s">
        <v>3579</v>
      </c>
      <c r="L1540" s="171">
        <f t="shared" si="41"/>
        <v>-800000</v>
      </c>
    </row>
    <row r="1541" spans="1:12" ht="26.4" x14ac:dyDescent="0.25">
      <c r="A1541" s="7" t="s">
        <v>2564</v>
      </c>
      <c r="B1541" s="61"/>
      <c r="C1541" s="44" t="s">
        <v>4349</v>
      </c>
      <c r="D1541" s="61">
        <v>28</v>
      </c>
      <c r="E1541" s="61" t="s">
        <v>25</v>
      </c>
      <c r="F1541" s="45">
        <v>150000</v>
      </c>
      <c r="G1541" s="45">
        <f>ROUNDDOWN(D1541*F1541,-3)</f>
        <v>4200000</v>
      </c>
      <c r="H1541" s="165">
        <v>0</v>
      </c>
      <c r="I1541" s="150" t="s">
        <v>3552</v>
      </c>
      <c r="J1541" s="149" t="s">
        <v>3561</v>
      </c>
      <c r="K1541" s="149" t="s">
        <v>3579</v>
      </c>
      <c r="L1541" s="171">
        <f t="shared" si="41"/>
        <v>4200000</v>
      </c>
    </row>
    <row r="1542" spans="1:12" x14ac:dyDescent="0.25">
      <c r="A1542" s="7" t="s">
        <v>2566</v>
      </c>
      <c r="B1542" s="60">
        <v>524114</v>
      </c>
      <c r="C1542" s="41" t="s">
        <v>14</v>
      </c>
      <c r="D1542" s="60"/>
      <c r="E1542" s="60"/>
      <c r="F1542" s="42"/>
      <c r="G1542" s="42">
        <v>7200000</v>
      </c>
      <c r="H1542" s="165">
        <v>24720000</v>
      </c>
      <c r="I1542" s="150" t="s">
        <v>3552</v>
      </c>
      <c r="J1542" s="149" t="s">
        <v>3561</v>
      </c>
      <c r="K1542" s="149" t="s">
        <v>3579</v>
      </c>
      <c r="L1542" s="171">
        <f t="shared" si="41"/>
        <v>-17520000</v>
      </c>
    </row>
    <row r="1543" spans="1:12" ht="26.4" x14ac:dyDescent="0.25">
      <c r="A1543" s="7" t="s">
        <v>2567</v>
      </c>
      <c r="B1543" s="61"/>
      <c r="C1543" s="44" t="s">
        <v>4350</v>
      </c>
      <c r="D1543" s="61">
        <v>20</v>
      </c>
      <c r="E1543" s="61" t="s">
        <v>25</v>
      </c>
      <c r="F1543" s="45">
        <v>210000</v>
      </c>
      <c r="G1543" s="45">
        <f>ROUNDDOWN(D1543*F1543,-3)</f>
        <v>4200000</v>
      </c>
      <c r="H1543" s="165">
        <v>19200000</v>
      </c>
      <c r="I1543" s="150" t="s">
        <v>3552</v>
      </c>
      <c r="J1543" s="149" t="s">
        <v>3561</v>
      </c>
      <c r="K1543" s="149" t="s">
        <v>3579</v>
      </c>
      <c r="L1543" s="171">
        <f t="shared" si="41"/>
        <v>-15000000</v>
      </c>
    </row>
    <row r="1544" spans="1:12" ht="26.4" x14ac:dyDescent="0.25">
      <c r="A1544" s="7" t="s">
        <v>2569</v>
      </c>
      <c r="B1544" s="61"/>
      <c r="C1544" s="44" t="s">
        <v>4351</v>
      </c>
      <c r="D1544" s="61">
        <v>20</v>
      </c>
      <c r="E1544" s="61" t="s">
        <v>25</v>
      </c>
      <c r="F1544" s="45">
        <v>150000</v>
      </c>
      <c r="G1544" s="45">
        <f>ROUNDDOWN(D1544*F1544,-3)</f>
        <v>3000000</v>
      </c>
      <c r="H1544" s="165">
        <v>3600000</v>
      </c>
      <c r="I1544" s="150" t="s">
        <v>3552</v>
      </c>
      <c r="J1544" s="149" t="s">
        <v>3561</v>
      </c>
      <c r="K1544" s="149" t="s">
        <v>3579</v>
      </c>
      <c r="L1544" s="171">
        <f t="shared" si="41"/>
        <v>-600000</v>
      </c>
    </row>
    <row r="1545" spans="1:12" x14ac:dyDescent="0.25">
      <c r="A1545" s="7" t="s">
        <v>2571</v>
      </c>
      <c r="B1545" s="60">
        <v>524119</v>
      </c>
      <c r="C1545" s="41" t="s">
        <v>15</v>
      </c>
      <c r="D1545" s="60"/>
      <c r="E1545" s="60"/>
      <c r="F1545" s="42"/>
      <c r="G1545" s="42">
        <v>7500000</v>
      </c>
      <c r="H1545" s="165">
        <v>1920000</v>
      </c>
      <c r="I1545" s="150" t="s">
        <v>3552</v>
      </c>
      <c r="J1545" s="149" t="s">
        <v>3561</v>
      </c>
      <c r="K1545" s="149" t="s">
        <v>3579</v>
      </c>
      <c r="L1545" s="171">
        <f t="shared" si="41"/>
        <v>5580000</v>
      </c>
    </row>
    <row r="1546" spans="1:12" ht="26.4" x14ac:dyDescent="0.25">
      <c r="A1546" s="7" t="s">
        <v>2572</v>
      </c>
      <c r="B1546" s="192"/>
      <c r="C1546" s="191" t="s">
        <v>4352</v>
      </c>
      <c r="D1546" s="192">
        <v>10</v>
      </c>
      <c r="E1546" s="192" t="s">
        <v>25</v>
      </c>
      <c r="F1546" s="193">
        <v>150000</v>
      </c>
      <c r="G1546" s="45">
        <f>ROUNDDOWN(D1546*F1546,-3)</f>
        <v>1500000</v>
      </c>
      <c r="H1546" s="165">
        <v>20000000</v>
      </c>
      <c r="I1546" s="150" t="s">
        <v>3552</v>
      </c>
      <c r="J1546" s="149" t="s">
        <v>3561</v>
      </c>
      <c r="K1546" s="149" t="s">
        <v>3579</v>
      </c>
      <c r="L1546" s="171">
        <f t="shared" si="41"/>
        <v>-18500000</v>
      </c>
    </row>
    <row r="1547" spans="1:12" ht="26.4" x14ac:dyDescent="0.25">
      <c r="A1547" s="7" t="s">
        <v>2574</v>
      </c>
      <c r="B1547" s="61"/>
      <c r="C1547" s="44" t="s">
        <v>4353</v>
      </c>
      <c r="D1547" s="61">
        <v>10</v>
      </c>
      <c r="E1547" s="61" t="s">
        <v>25</v>
      </c>
      <c r="F1547" s="45">
        <v>600000</v>
      </c>
      <c r="G1547" s="45">
        <f>ROUNDDOWN(D1547*F1547,-3)</f>
        <v>6000000</v>
      </c>
      <c r="H1547" s="165">
        <v>10000000</v>
      </c>
      <c r="I1547" s="150" t="s">
        <v>3552</v>
      </c>
      <c r="J1547" s="149" t="s">
        <v>3561</v>
      </c>
      <c r="K1547" s="149" t="s">
        <v>3579</v>
      </c>
      <c r="L1547" s="171">
        <f t="shared" si="41"/>
        <v>-4000000</v>
      </c>
    </row>
    <row r="1548" spans="1:12" x14ac:dyDescent="0.25">
      <c r="A1548" s="7" t="s">
        <v>2578</v>
      </c>
      <c r="B1548" s="59" t="s">
        <v>514</v>
      </c>
      <c r="C1548" s="38" t="s">
        <v>125</v>
      </c>
      <c r="D1548" s="59"/>
      <c r="E1548" s="59"/>
      <c r="F1548" s="39"/>
      <c r="G1548" s="39">
        <v>810000000</v>
      </c>
      <c r="H1548" s="165">
        <v>10000000</v>
      </c>
      <c r="I1548" s="150" t="s">
        <v>3552</v>
      </c>
      <c r="J1548" s="149" t="s">
        <v>3561</v>
      </c>
      <c r="K1548" s="149" t="s">
        <v>3579</v>
      </c>
      <c r="L1548" s="171">
        <f t="shared" si="41"/>
        <v>800000000</v>
      </c>
    </row>
    <row r="1549" spans="1:12" x14ac:dyDescent="0.25">
      <c r="A1549" s="7" t="s">
        <v>2579</v>
      </c>
      <c r="B1549" s="60">
        <v>521211</v>
      </c>
      <c r="C1549" s="41" t="s">
        <v>7</v>
      </c>
      <c r="D1549" s="60"/>
      <c r="E1549" s="60"/>
      <c r="F1549" s="42"/>
      <c r="G1549" s="42">
        <v>86780000</v>
      </c>
      <c r="H1549" s="165">
        <v>24400000</v>
      </c>
      <c r="I1549" s="150" t="s">
        <v>3552</v>
      </c>
      <c r="J1549" s="149" t="s">
        <v>3561</v>
      </c>
      <c r="K1549" s="149" t="s">
        <v>3579</v>
      </c>
      <c r="L1549" s="171">
        <f t="shared" si="41"/>
        <v>62380000</v>
      </c>
    </row>
    <row r="1550" spans="1:12" x14ac:dyDescent="0.25">
      <c r="B1550" s="61"/>
      <c r="C1550" s="44" t="s">
        <v>4354</v>
      </c>
      <c r="D1550" s="61"/>
      <c r="E1550" s="61"/>
      <c r="F1550" s="45"/>
      <c r="G1550" s="45">
        <v>17780000</v>
      </c>
      <c r="H1550" s="165">
        <v>5600000</v>
      </c>
      <c r="I1550" s="150" t="s">
        <v>3552</v>
      </c>
      <c r="J1550" s="149" t="s">
        <v>3561</v>
      </c>
      <c r="K1550" s="149" t="s">
        <v>3579</v>
      </c>
      <c r="L1550" s="171">
        <f t="shared" ref="L1550:L1613" si="42">G1550-H1550</f>
        <v>12180000</v>
      </c>
    </row>
    <row r="1551" spans="1:12" x14ac:dyDescent="0.25">
      <c r="A1551" s="7" t="s">
        <v>2581</v>
      </c>
      <c r="B1551" s="61"/>
      <c r="C1551" s="44" t="s">
        <v>4355</v>
      </c>
      <c r="D1551" s="61">
        <v>1</v>
      </c>
      <c r="E1551" s="61" t="s">
        <v>106</v>
      </c>
      <c r="F1551" s="45">
        <v>1030000</v>
      </c>
      <c r="G1551" s="45">
        <f t="shared" ref="G1551:G1557" si="43">ROUNDDOWN(D1551*F1551,-3)</f>
        <v>1030000</v>
      </c>
      <c r="H1551" s="165">
        <v>8000000</v>
      </c>
      <c r="I1551" s="150" t="s">
        <v>3552</v>
      </c>
      <c r="J1551" s="149" t="s">
        <v>3561</v>
      </c>
      <c r="K1551" s="149" t="s">
        <v>3579</v>
      </c>
      <c r="L1551" s="171">
        <f t="shared" si="42"/>
        <v>-6970000</v>
      </c>
    </row>
    <row r="1552" spans="1:12" x14ac:dyDescent="0.25">
      <c r="A1552" s="7" t="s">
        <v>2582</v>
      </c>
      <c r="B1552" s="61"/>
      <c r="C1552" s="44" t="s">
        <v>4356</v>
      </c>
      <c r="D1552" s="61">
        <v>1</v>
      </c>
      <c r="E1552" s="61" t="s">
        <v>106</v>
      </c>
      <c r="F1552" s="45">
        <v>250000</v>
      </c>
      <c r="G1552" s="45">
        <f t="shared" si="43"/>
        <v>250000</v>
      </c>
      <c r="H1552" s="165">
        <v>10800000</v>
      </c>
      <c r="I1552" s="150" t="s">
        <v>3552</v>
      </c>
      <c r="J1552" s="149" t="s">
        <v>3561</v>
      </c>
      <c r="K1552" s="149" t="s">
        <v>3579</v>
      </c>
      <c r="L1552" s="171">
        <f t="shared" si="42"/>
        <v>-10550000</v>
      </c>
    </row>
    <row r="1553" spans="1:12" x14ac:dyDescent="0.25">
      <c r="A1553" s="7" t="s">
        <v>2584</v>
      </c>
      <c r="B1553" s="192"/>
      <c r="C1553" s="191" t="s">
        <v>4357</v>
      </c>
      <c r="D1553" s="192">
        <v>32</v>
      </c>
      <c r="E1553" s="192" t="s">
        <v>106</v>
      </c>
      <c r="F1553" s="193">
        <v>250000</v>
      </c>
      <c r="G1553" s="45">
        <f t="shared" si="43"/>
        <v>8000000</v>
      </c>
      <c r="H1553" s="165">
        <v>24000000</v>
      </c>
      <c r="I1553" s="150" t="s">
        <v>3552</v>
      </c>
      <c r="J1553" s="149" t="s">
        <v>3561</v>
      </c>
      <c r="K1553" s="149" t="s">
        <v>3579</v>
      </c>
      <c r="L1553" s="171">
        <f t="shared" si="42"/>
        <v>-16000000</v>
      </c>
    </row>
    <row r="1554" spans="1:12" x14ac:dyDescent="0.25">
      <c r="A1554" s="7" t="s">
        <v>2586</v>
      </c>
      <c r="B1554" s="61"/>
      <c r="C1554" s="44" t="s">
        <v>4358</v>
      </c>
      <c r="D1554" s="61">
        <v>1</v>
      </c>
      <c r="E1554" s="61" t="s">
        <v>106</v>
      </c>
      <c r="F1554" s="45">
        <v>1000000</v>
      </c>
      <c r="G1554" s="45">
        <f t="shared" si="43"/>
        <v>1000000</v>
      </c>
      <c r="H1554" s="165">
        <v>24000000</v>
      </c>
      <c r="I1554" s="150" t="s">
        <v>3552</v>
      </c>
      <c r="J1554" s="149" t="s">
        <v>3561</v>
      </c>
      <c r="K1554" s="149" t="s">
        <v>3579</v>
      </c>
      <c r="L1554" s="171">
        <f t="shared" si="42"/>
        <v>-23000000</v>
      </c>
    </row>
    <row r="1555" spans="1:12" x14ac:dyDescent="0.25">
      <c r="A1555" s="7" t="s">
        <v>2588</v>
      </c>
      <c r="B1555" s="192"/>
      <c r="C1555" s="191" t="s">
        <v>4359</v>
      </c>
      <c r="D1555" s="192">
        <v>1</v>
      </c>
      <c r="E1555" s="192" t="s">
        <v>106</v>
      </c>
      <c r="F1555" s="193">
        <v>1000000</v>
      </c>
      <c r="G1555" s="45">
        <f t="shared" si="43"/>
        <v>1000000</v>
      </c>
      <c r="H1555" s="165">
        <v>180000000</v>
      </c>
      <c r="I1555" s="150" t="s">
        <v>3552</v>
      </c>
      <c r="J1555" s="149" t="s">
        <v>3561</v>
      </c>
      <c r="K1555" s="149" t="s">
        <v>3579</v>
      </c>
      <c r="L1555" s="171">
        <f t="shared" si="42"/>
        <v>-179000000</v>
      </c>
    </row>
    <row r="1556" spans="1:12" x14ac:dyDescent="0.25">
      <c r="A1556" s="7" t="s">
        <v>2589</v>
      </c>
      <c r="B1556" s="61"/>
      <c r="C1556" s="44" t="s">
        <v>4360</v>
      </c>
      <c r="D1556" s="61">
        <v>50</v>
      </c>
      <c r="E1556" s="61" t="s">
        <v>180</v>
      </c>
      <c r="F1556" s="45">
        <v>30000</v>
      </c>
      <c r="G1556" s="45">
        <f t="shared" si="43"/>
        <v>1500000</v>
      </c>
      <c r="H1556" s="165">
        <v>180000000</v>
      </c>
      <c r="I1556" s="150" t="s">
        <v>3552</v>
      </c>
      <c r="J1556" s="149" t="s">
        <v>3561</v>
      </c>
      <c r="K1556" s="149" t="s">
        <v>3579</v>
      </c>
      <c r="L1556" s="171">
        <f t="shared" si="42"/>
        <v>-178500000</v>
      </c>
    </row>
    <row r="1557" spans="1:12" x14ac:dyDescent="0.25">
      <c r="A1557" s="7" t="s">
        <v>2590</v>
      </c>
      <c r="B1557" s="192"/>
      <c r="C1557" s="191" t="s">
        <v>4361</v>
      </c>
      <c r="D1557" s="192">
        <v>50</v>
      </c>
      <c r="E1557" s="192" t="s">
        <v>180</v>
      </c>
      <c r="F1557" s="193">
        <v>100000</v>
      </c>
      <c r="G1557" s="45">
        <f t="shared" si="43"/>
        <v>5000000</v>
      </c>
      <c r="H1557" s="165">
        <v>10800000</v>
      </c>
      <c r="I1557" s="150" t="s">
        <v>3552</v>
      </c>
      <c r="J1557" s="149" t="s">
        <v>3561</v>
      </c>
      <c r="K1557" s="149" t="s">
        <v>3579</v>
      </c>
      <c r="L1557" s="171">
        <f t="shared" si="42"/>
        <v>-5800000</v>
      </c>
    </row>
    <row r="1558" spans="1:12" x14ac:dyDescent="0.25">
      <c r="B1558" s="61"/>
      <c r="C1558" s="44" t="s">
        <v>4362</v>
      </c>
      <c r="D1558" s="61"/>
      <c r="E1558" s="61"/>
      <c r="F1558" s="45"/>
      <c r="G1558" s="45">
        <v>5000000</v>
      </c>
      <c r="H1558" s="165">
        <v>6300000</v>
      </c>
      <c r="I1558" s="150" t="s">
        <v>3552</v>
      </c>
      <c r="J1558" s="149" t="s">
        <v>3561</v>
      </c>
      <c r="K1558" s="149" t="s">
        <v>3579</v>
      </c>
      <c r="L1558" s="171">
        <f t="shared" si="42"/>
        <v>-1300000</v>
      </c>
    </row>
    <row r="1559" spans="1:12" x14ac:dyDescent="0.25">
      <c r="A1559" s="7" t="s">
        <v>2592</v>
      </c>
      <c r="B1559" s="61"/>
      <c r="C1559" s="44" t="s">
        <v>4363</v>
      </c>
      <c r="D1559" s="61">
        <v>1</v>
      </c>
      <c r="E1559" s="61" t="s">
        <v>106</v>
      </c>
      <c r="F1559" s="45">
        <v>1000000</v>
      </c>
      <c r="G1559" s="45">
        <f>ROUNDDOWN(D1559*F1559,-3)</f>
        <v>1000000</v>
      </c>
      <c r="H1559" s="165">
        <v>4500000</v>
      </c>
      <c r="I1559" s="150" t="s">
        <v>3552</v>
      </c>
      <c r="J1559" s="149" t="s">
        <v>3561</v>
      </c>
      <c r="K1559" s="149" t="s">
        <v>3579</v>
      </c>
      <c r="L1559" s="171">
        <f t="shared" si="42"/>
        <v>-3500000</v>
      </c>
    </row>
    <row r="1560" spans="1:12" x14ac:dyDescent="0.25">
      <c r="A1560" s="7" t="s">
        <v>2593</v>
      </c>
      <c r="B1560" s="192"/>
      <c r="C1560" s="191" t="s">
        <v>4364</v>
      </c>
      <c r="D1560" s="192">
        <v>20</v>
      </c>
      <c r="E1560" s="192" t="s">
        <v>180</v>
      </c>
      <c r="F1560" s="193">
        <v>50000</v>
      </c>
      <c r="G1560" s="45">
        <f>ROUNDDOWN(D1560*F1560,-3)</f>
        <v>1000000</v>
      </c>
      <c r="H1560" s="165">
        <v>439300000</v>
      </c>
      <c r="I1560" s="150" t="s">
        <v>3552</v>
      </c>
      <c r="J1560" s="149" t="s">
        <v>3561</v>
      </c>
      <c r="K1560" s="149" t="s">
        <v>3579</v>
      </c>
      <c r="L1560" s="171">
        <f t="shared" si="42"/>
        <v>-438300000</v>
      </c>
    </row>
    <row r="1561" spans="1:12" x14ac:dyDescent="0.25">
      <c r="A1561" s="7" t="s">
        <v>2595</v>
      </c>
      <c r="B1561" s="61"/>
      <c r="C1561" s="44" t="s">
        <v>4365</v>
      </c>
      <c r="D1561" s="61">
        <v>20</v>
      </c>
      <c r="E1561" s="61" t="s">
        <v>180</v>
      </c>
      <c r="F1561" s="45">
        <v>100000</v>
      </c>
      <c r="G1561" s="45">
        <f>ROUNDDOWN(D1561*F1561,-3)</f>
        <v>2000000</v>
      </c>
      <c r="H1561" s="165">
        <v>0</v>
      </c>
      <c r="I1561" s="150" t="s">
        <v>3552</v>
      </c>
      <c r="J1561" s="149" t="s">
        <v>3561</v>
      </c>
      <c r="K1561" s="149" t="s">
        <v>3579</v>
      </c>
      <c r="L1561" s="171">
        <f t="shared" si="42"/>
        <v>2000000</v>
      </c>
    </row>
    <row r="1562" spans="1:12" x14ac:dyDescent="0.25">
      <c r="A1562" s="7" t="s">
        <v>2596</v>
      </c>
      <c r="B1562" s="61"/>
      <c r="C1562" s="44" t="s">
        <v>4366</v>
      </c>
      <c r="D1562" s="61">
        <v>1</v>
      </c>
      <c r="E1562" s="61" t="s">
        <v>106</v>
      </c>
      <c r="F1562" s="45">
        <v>1000000</v>
      </c>
      <c r="G1562" s="45">
        <f>ROUNDDOWN(D1562*F1562,-3)</f>
        <v>1000000</v>
      </c>
      <c r="H1562" s="165">
        <v>387600000</v>
      </c>
      <c r="I1562" s="150" t="s">
        <v>3552</v>
      </c>
      <c r="J1562" s="149" t="s">
        <v>3561</v>
      </c>
      <c r="K1562" s="149" t="s">
        <v>3579</v>
      </c>
      <c r="L1562" s="171">
        <f t="shared" si="42"/>
        <v>-386600000</v>
      </c>
    </row>
    <row r="1563" spans="1:12" x14ac:dyDescent="0.25">
      <c r="B1563" s="61"/>
      <c r="C1563" s="44" t="s">
        <v>4367</v>
      </c>
      <c r="D1563" s="61"/>
      <c r="E1563" s="61"/>
      <c r="F1563" s="45"/>
      <c r="G1563" s="45">
        <v>64000000</v>
      </c>
      <c r="H1563" s="165">
        <v>14400000</v>
      </c>
      <c r="I1563" s="150" t="s">
        <v>3552</v>
      </c>
      <c r="J1563" s="149" t="s">
        <v>3561</v>
      </c>
      <c r="K1563" s="149" t="s">
        <v>3579</v>
      </c>
      <c r="L1563" s="171">
        <f t="shared" si="42"/>
        <v>49600000</v>
      </c>
    </row>
    <row r="1564" spans="1:12" x14ac:dyDescent="0.25">
      <c r="A1564" s="7" t="s">
        <v>2598</v>
      </c>
      <c r="B1564" s="61"/>
      <c r="C1564" s="44" t="s">
        <v>4368</v>
      </c>
      <c r="D1564" s="61">
        <v>1</v>
      </c>
      <c r="E1564" s="61" t="s">
        <v>106</v>
      </c>
      <c r="F1564" s="45">
        <v>1000000</v>
      </c>
      <c r="G1564" s="45">
        <f t="shared" ref="G1564:G1570" si="44">ROUNDDOWN(D1564*F1564,-3)</f>
        <v>1000000</v>
      </c>
      <c r="H1564" s="165">
        <v>4500000</v>
      </c>
      <c r="I1564" s="150" t="s">
        <v>3552</v>
      </c>
      <c r="J1564" s="149" t="s">
        <v>3561</v>
      </c>
      <c r="K1564" s="149" t="s">
        <v>3579</v>
      </c>
      <c r="L1564" s="171">
        <f t="shared" si="42"/>
        <v>-3500000</v>
      </c>
    </row>
    <row r="1565" spans="1:12" x14ac:dyDescent="0.25">
      <c r="A1565" s="7" t="s">
        <v>2599</v>
      </c>
      <c r="B1565" s="61"/>
      <c r="C1565" s="44" t="s">
        <v>4369</v>
      </c>
      <c r="D1565" s="61">
        <v>1</v>
      </c>
      <c r="E1565" s="61" t="s">
        <v>106</v>
      </c>
      <c r="F1565" s="45">
        <v>1000000</v>
      </c>
      <c r="G1565" s="45">
        <f t="shared" si="44"/>
        <v>1000000</v>
      </c>
      <c r="H1565" s="165">
        <v>10300000</v>
      </c>
      <c r="I1565" s="150" t="s">
        <v>3552</v>
      </c>
      <c r="J1565" s="149" t="s">
        <v>3561</v>
      </c>
      <c r="K1565" s="149" t="s">
        <v>3579</v>
      </c>
      <c r="L1565" s="171">
        <f t="shared" si="42"/>
        <v>-9300000</v>
      </c>
    </row>
    <row r="1566" spans="1:12" x14ac:dyDescent="0.25">
      <c r="A1566" s="7" t="s">
        <v>2600</v>
      </c>
      <c r="B1566" s="61"/>
      <c r="C1566" s="44" t="s">
        <v>4370</v>
      </c>
      <c r="D1566" s="61">
        <v>100</v>
      </c>
      <c r="E1566" s="61" t="s">
        <v>180</v>
      </c>
      <c r="F1566" s="45">
        <v>15000</v>
      </c>
      <c r="G1566" s="45">
        <f t="shared" si="44"/>
        <v>1500000</v>
      </c>
      <c r="H1566" s="165">
        <v>0</v>
      </c>
      <c r="I1566" s="150" t="s">
        <v>3552</v>
      </c>
      <c r="J1566" s="149" t="s">
        <v>3561</v>
      </c>
      <c r="K1566" s="149" t="s">
        <v>3579</v>
      </c>
      <c r="L1566" s="171">
        <f t="shared" si="42"/>
        <v>1500000</v>
      </c>
    </row>
    <row r="1567" spans="1:12" x14ac:dyDescent="0.25">
      <c r="A1567" s="7" t="s">
        <v>2601</v>
      </c>
      <c r="B1567" s="61"/>
      <c r="C1567" s="44" t="s">
        <v>4371</v>
      </c>
      <c r="D1567" s="61">
        <v>1</v>
      </c>
      <c r="E1567" s="61" t="s">
        <v>106</v>
      </c>
      <c r="F1567" s="45">
        <v>2000000</v>
      </c>
      <c r="G1567" s="45">
        <f t="shared" si="44"/>
        <v>2000000</v>
      </c>
      <c r="H1567" s="165">
        <v>4500000</v>
      </c>
      <c r="I1567" s="150" t="s">
        <v>3552</v>
      </c>
      <c r="J1567" s="149" t="s">
        <v>3561</v>
      </c>
      <c r="K1567" s="149" t="s">
        <v>3579</v>
      </c>
      <c r="L1567" s="171">
        <f t="shared" si="42"/>
        <v>-2500000</v>
      </c>
    </row>
    <row r="1568" spans="1:12" x14ac:dyDescent="0.25">
      <c r="A1568" s="7" t="s">
        <v>2602</v>
      </c>
      <c r="B1568" s="61"/>
      <c r="C1568" s="44" t="s">
        <v>4372</v>
      </c>
      <c r="D1568" s="61">
        <v>1</v>
      </c>
      <c r="E1568" s="61" t="s">
        <v>106</v>
      </c>
      <c r="F1568" s="45">
        <v>500000</v>
      </c>
      <c r="G1568" s="45">
        <f t="shared" si="44"/>
        <v>500000</v>
      </c>
      <c r="H1568" s="165">
        <v>18000000</v>
      </c>
      <c r="I1568" s="150" t="s">
        <v>3552</v>
      </c>
      <c r="J1568" s="149" t="s">
        <v>3561</v>
      </c>
      <c r="K1568" s="149" t="s">
        <v>3579</v>
      </c>
      <c r="L1568" s="171">
        <f t="shared" si="42"/>
        <v>-17500000</v>
      </c>
    </row>
    <row r="1569" spans="1:12" x14ac:dyDescent="0.25">
      <c r="A1569" s="7" t="s">
        <v>2603</v>
      </c>
      <c r="B1569" s="195"/>
      <c r="C1569" s="194" t="s">
        <v>4373</v>
      </c>
      <c r="D1569" s="195">
        <v>160</v>
      </c>
      <c r="E1569" s="195" t="s">
        <v>106</v>
      </c>
      <c r="F1569" s="196">
        <v>350000</v>
      </c>
      <c r="G1569" s="45">
        <f t="shared" si="44"/>
        <v>56000000</v>
      </c>
      <c r="H1569" s="165">
        <v>1448000000</v>
      </c>
      <c r="I1569" s="150" t="s">
        <v>3553</v>
      </c>
      <c r="J1569" s="149" t="s">
        <v>3559</v>
      </c>
      <c r="K1569" s="149" t="s">
        <v>3571</v>
      </c>
      <c r="L1569" s="171">
        <f t="shared" si="42"/>
        <v>-1392000000</v>
      </c>
    </row>
    <row r="1570" spans="1:12" x14ac:dyDescent="0.25">
      <c r="A1570" s="7" t="s">
        <v>2604</v>
      </c>
      <c r="B1570" s="192"/>
      <c r="C1570" s="191" t="s">
        <v>4374</v>
      </c>
      <c r="D1570" s="192">
        <v>10</v>
      </c>
      <c r="E1570" s="192" t="s">
        <v>180</v>
      </c>
      <c r="F1570" s="193">
        <v>200000</v>
      </c>
      <c r="G1570" s="45">
        <f t="shared" si="44"/>
        <v>2000000</v>
      </c>
      <c r="H1570" s="165">
        <v>68200000</v>
      </c>
      <c r="I1570" s="150" t="s">
        <v>3553</v>
      </c>
      <c r="J1570" s="149" t="s">
        <v>3559</v>
      </c>
      <c r="K1570" s="149" t="s">
        <v>3571</v>
      </c>
      <c r="L1570" s="171">
        <f t="shared" si="42"/>
        <v>-66200000</v>
      </c>
    </row>
    <row r="1571" spans="1:12" ht="26.4" x14ac:dyDescent="0.25">
      <c r="A1571" s="7" t="s">
        <v>2606</v>
      </c>
      <c r="B1571" s="60">
        <v>521241</v>
      </c>
      <c r="C1571" s="41" t="s">
        <v>642</v>
      </c>
      <c r="D1571" s="60"/>
      <c r="E1571" s="60"/>
      <c r="F1571" s="42"/>
      <c r="G1571" s="42">
        <v>24720000</v>
      </c>
      <c r="H1571" s="165">
        <v>26200000</v>
      </c>
      <c r="I1571" s="150" t="s">
        <v>3553</v>
      </c>
      <c r="J1571" s="149" t="s">
        <v>3559</v>
      </c>
      <c r="K1571" s="149" t="s">
        <v>3571</v>
      </c>
      <c r="L1571" s="171">
        <f t="shared" si="42"/>
        <v>-1480000</v>
      </c>
    </row>
    <row r="1572" spans="1:12" ht="26.4" x14ac:dyDescent="0.25">
      <c r="A1572" s="7" t="s">
        <v>2607</v>
      </c>
      <c r="B1572" s="61"/>
      <c r="C1572" s="44" t="s">
        <v>4375</v>
      </c>
      <c r="D1572" s="61">
        <v>96</v>
      </c>
      <c r="E1572" s="61" t="s">
        <v>25</v>
      </c>
      <c r="F1572" s="45">
        <v>200000</v>
      </c>
      <c r="G1572" s="45">
        <f>ROUNDDOWN(D1572*F1572,-3)</f>
        <v>19200000</v>
      </c>
      <c r="H1572" s="165">
        <v>3000000</v>
      </c>
      <c r="I1572" s="150" t="s">
        <v>3553</v>
      </c>
      <c r="J1572" s="149" t="s">
        <v>3559</v>
      </c>
      <c r="K1572" s="149" t="s">
        <v>3571</v>
      </c>
      <c r="L1572" s="171">
        <f t="shared" si="42"/>
        <v>16200000</v>
      </c>
    </row>
    <row r="1573" spans="1:12" ht="26.4" x14ac:dyDescent="0.25">
      <c r="A1573" s="7" t="s">
        <v>2609</v>
      </c>
      <c r="B1573" s="61"/>
      <c r="C1573" s="44" t="s">
        <v>3752</v>
      </c>
      <c r="D1573" s="61">
        <v>12</v>
      </c>
      <c r="E1573" s="61" t="s">
        <v>106</v>
      </c>
      <c r="F1573" s="45">
        <v>300000</v>
      </c>
      <c r="G1573" s="45">
        <f>ROUNDDOWN(D1573*F1573,-3)</f>
        <v>3600000</v>
      </c>
      <c r="H1573" s="165">
        <v>3000000</v>
      </c>
      <c r="I1573" s="150" t="s">
        <v>3553</v>
      </c>
      <c r="J1573" s="149" t="s">
        <v>3559</v>
      </c>
      <c r="K1573" s="149" t="s">
        <v>3571</v>
      </c>
      <c r="L1573" s="171">
        <f t="shared" si="42"/>
        <v>600000</v>
      </c>
    </row>
    <row r="1574" spans="1:12" x14ac:dyDescent="0.25">
      <c r="A1574" s="7" t="s">
        <v>2610</v>
      </c>
      <c r="B1574" s="61"/>
      <c r="C1574" s="44" t="s">
        <v>4376</v>
      </c>
      <c r="D1574" s="61">
        <v>12</v>
      </c>
      <c r="E1574" s="61" t="s">
        <v>106</v>
      </c>
      <c r="F1574" s="45">
        <v>160000</v>
      </c>
      <c r="G1574" s="45">
        <f>ROUNDDOWN(D1574*F1574,-3)</f>
        <v>1920000</v>
      </c>
      <c r="H1574" s="165">
        <v>3000000</v>
      </c>
      <c r="I1574" s="150" t="s">
        <v>3553</v>
      </c>
      <c r="J1574" s="149" t="s">
        <v>3559</v>
      </c>
      <c r="K1574" s="149" t="s">
        <v>3571</v>
      </c>
      <c r="L1574" s="171">
        <f t="shared" si="42"/>
        <v>-1080000</v>
      </c>
    </row>
    <row r="1575" spans="1:12" x14ac:dyDescent="0.25">
      <c r="A1575" s="7" t="s">
        <v>2612</v>
      </c>
      <c r="B1575" s="60">
        <v>521811</v>
      </c>
      <c r="C1575" s="41" t="s">
        <v>64</v>
      </c>
      <c r="D1575" s="60"/>
      <c r="E1575" s="60"/>
      <c r="F1575" s="42"/>
      <c r="G1575" s="42">
        <v>20000000</v>
      </c>
      <c r="H1575" s="165">
        <v>2200000</v>
      </c>
      <c r="I1575" s="150" t="s">
        <v>3553</v>
      </c>
      <c r="J1575" s="149" t="s">
        <v>3559</v>
      </c>
      <c r="K1575" s="149" t="s">
        <v>3571</v>
      </c>
      <c r="L1575" s="171">
        <f t="shared" si="42"/>
        <v>17800000</v>
      </c>
    </row>
    <row r="1576" spans="1:12" x14ac:dyDescent="0.25">
      <c r="A1576" s="7" t="s">
        <v>2613</v>
      </c>
      <c r="B1576" s="61"/>
      <c r="C1576" s="44" t="s">
        <v>3625</v>
      </c>
      <c r="D1576" s="61">
        <v>10</v>
      </c>
      <c r="E1576" s="61" t="s">
        <v>106</v>
      </c>
      <c r="F1576" s="45">
        <v>1000000</v>
      </c>
      <c r="G1576" s="45">
        <f>ROUNDDOWN(D1576*F1576,-3)</f>
        <v>10000000</v>
      </c>
      <c r="H1576" s="165">
        <v>15000000</v>
      </c>
      <c r="I1576" s="150" t="s">
        <v>3553</v>
      </c>
      <c r="J1576" s="149" t="s">
        <v>3559</v>
      </c>
      <c r="K1576" s="149" t="s">
        <v>3571</v>
      </c>
      <c r="L1576" s="171">
        <f t="shared" si="42"/>
        <v>-5000000</v>
      </c>
    </row>
    <row r="1577" spans="1:12" x14ac:dyDescent="0.25">
      <c r="A1577" s="7" t="s">
        <v>2614</v>
      </c>
      <c r="B1577" s="192"/>
      <c r="C1577" s="191" t="s">
        <v>3626</v>
      </c>
      <c r="D1577" s="192">
        <v>10</v>
      </c>
      <c r="E1577" s="192" t="s">
        <v>106</v>
      </c>
      <c r="F1577" s="193">
        <v>1000000</v>
      </c>
      <c r="G1577" s="45">
        <f>ROUNDDOWN(D1577*F1577,-3)</f>
        <v>10000000</v>
      </c>
      <c r="H1577" s="165">
        <v>42000000</v>
      </c>
      <c r="I1577" s="150" t="s">
        <v>3553</v>
      </c>
      <c r="J1577" s="149" t="s">
        <v>3559</v>
      </c>
      <c r="K1577" s="149" t="s">
        <v>3571</v>
      </c>
      <c r="L1577" s="171">
        <f t="shared" si="42"/>
        <v>-32000000</v>
      </c>
    </row>
    <row r="1578" spans="1:12" x14ac:dyDescent="0.25">
      <c r="A1578" s="7" t="s">
        <v>2615</v>
      </c>
      <c r="B1578" s="60">
        <v>522151</v>
      </c>
      <c r="C1578" s="41" t="s">
        <v>11</v>
      </c>
      <c r="D1578" s="60"/>
      <c r="E1578" s="60"/>
      <c r="F1578" s="42"/>
      <c r="G1578" s="42">
        <v>24400000</v>
      </c>
      <c r="H1578" s="165">
        <v>42000000</v>
      </c>
      <c r="I1578" s="150" t="s">
        <v>3553</v>
      </c>
      <c r="J1578" s="149" t="s">
        <v>3559</v>
      </c>
      <c r="K1578" s="149" t="s">
        <v>3571</v>
      </c>
      <c r="L1578" s="171">
        <f t="shared" si="42"/>
        <v>-17600000</v>
      </c>
    </row>
    <row r="1579" spans="1:12" x14ac:dyDescent="0.25">
      <c r="A1579" s="7" t="s">
        <v>2616</v>
      </c>
      <c r="B1579" s="192"/>
      <c r="C1579" s="191" t="s">
        <v>4377</v>
      </c>
      <c r="D1579" s="192">
        <v>4</v>
      </c>
      <c r="E1579" s="192" t="s">
        <v>54</v>
      </c>
      <c r="F1579" s="193">
        <v>1400000</v>
      </c>
      <c r="G1579" s="45">
        <f>ROUNDDOWN(D1579*F1579,-3)</f>
        <v>5600000</v>
      </c>
      <c r="H1579" s="165">
        <v>72700000</v>
      </c>
      <c r="I1579" s="150" t="s">
        <v>3553</v>
      </c>
      <c r="J1579" s="149" t="s">
        <v>3559</v>
      </c>
      <c r="K1579" s="149" t="s">
        <v>3571</v>
      </c>
      <c r="L1579" s="171">
        <f t="shared" si="42"/>
        <v>-67100000</v>
      </c>
    </row>
    <row r="1580" spans="1:12" ht="26.4" x14ac:dyDescent="0.25">
      <c r="A1580" s="7" t="s">
        <v>2618</v>
      </c>
      <c r="B1580" s="192"/>
      <c r="C1580" s="191" t="s">
        <v>4378</v>
      </c>
      <c r="D1580" s="192">
        <v>8</v>
      </c>
      <c r="E1580" s="192" t="s">
        <v>54</v>
      </c>
      <c r="F1580" s="193">
        <v>1000000</v>
      </c>
      <c r="G1580" s="45">
        <f>ROUNDDOWN(D1580*F1580,-3)</f>
        <v>8000000</v>
      </c>
      <c r="H1580" s="165">
        <v>26200000</v>
      </c>
      <c r="I1580" s="150" t="s">
        <v>3553</v>
      </c>
      <c r="J1580" s="149" t="s">
        <v>3559</v>
      </c>
      <c r="K1580" s="149" t="s">
        <v>3571</v>
      </c>
      <c r="L1580" s="171">
        <f t="shared" si="42"/>
        <v>-18200000</v>
      </c>
    </row>
    <row r="1581" spans="1:12" ht="26.4" x14ac:dyDescent="0.25">
      <c r="A1581" s="7" t="s">
        <v>2620</v>
      </c>
      <c r="B1581" s="61"/>
      <c r="C1581" s="44" t="s">
        <v>4379</v>
      </c>
      <c r="D1581" s="61">
        <v>12</v>
      </c>
      <c r="E1581" s="61" t="s">
        <v>54</v>
      </c>
      <c r="F1581" s="45">
        <v>900000</v>
      </c>
      <c r="G1581" s="45">
        <f>ROUNDDOWN(D1581*F1581,-3)</f>
        <v>10800000</v>
      </c>
      <c r="H1581" s="165">
        <v>3000000</v>
      </c>
      <c r="I1581" s="150" t="s">
        <v>3553</v>
      </c>
      <c r="J1581" s="149" t="s">
        <v>3559</v>
      </c>
      <c r="K1581" s="149" t="s">
        <v>3571</v>
      </c>
      <c r="L1581" s="171">
        <f t="shared" si="42"/>
        <v>7800000</v>
      </c>
    </row>
    <row r="1582" spans="1:12" x14ac:dyDescent="0.25">
      <c r="A1582" s="7" t="s">
        <v>2622</v>
      </c>
      <c r="B1582" s="60">
        <v>522192</v>
      </c>
      <c r="C1582" s="41" t="s">
        <v>24</v>
      </c>
      <c r="D1582" s="60"/>
      <c r="E1582" s="60"/>
      <c r="F1582" s="42"/>
      <c r="G1582" s="42">
        <v>24000000</v>
      </c>
      <c r="H1582" s="165">
        <v>3000000</v>
      </c>
      <c r="I1582" s="150" t="s">
        <v>3553</v>
      </c>
      <c r="J1582" s="149" t="s">
        <v>3559</v>
      </c>
      <c r="K1582" s="149" t="s">
        <v>3571</v>
      </c>
      <c r="L1582" s="171">
        <f t="shared" si="42"/>
        <v>21000000</v>
      </c>
    </row>
    <row r="1583" spans="1:12" x14ac:dyDescent="0.25">
      <c r="A1583" s="7" t="s">
        <v>2623</v>
      </c>
      <c r="B1583" s="61"/>
      <c r="C1583" s="44" t="s">
        <v>4380</v>
      </c>
      <c r="D1583" s="61">
        <v>160</v>
      </c>
      <c r="E1583" s="61" t="s">
        <v>25</v>
      </c>
      <c r="F1583" s="45">
        <v>150000</v>
      </c>
      <c r="G1583" s="45">
        <f>ROUNDDOWN(D1583*F1583,-3)</f>
        <v>24000000</v>
      </c>
      <c r="H1583" s="165">
        <v>3000000</v>
      </c>
      <c r="I1583" s="150" t="s">
        <v>3553</v>
      </c>
      <c r="J1583" s="149" t="s">
        <v>3559</v>
      </c>
      <c r="K1583" s="149" t="s">
        <v>3571</v>
      </c>
      <c r="L1583" s="171">
        <f t="shared" si="42"/>
        <v>21000000</v>
      </c>
    </row>
    <row r="1584" spans="1:12" x14ac:dyDescent="0.25">
      <c r="A1584" s="7" t="s">
        <v>2625</v>
      </c>
      <c r="B1584" s="60">
        <v>524111</v>
      </c>
      <c r="C1584" s="41" t="s">
        <v>19</v>
      </c>
      <c r="D1584" s="60"/>
      <c r="E1584" s="60"/>
      <c r="F1584" s="42"/>
      <c r="G1584" s="42">
        <v>180000000</v>
      </c>
      <c r="H1584" s="165">
        <v>2200000</v>
      </c>
      <c r="I1584" s="150" t="s">
        <v>3553</v>
      </c>
      <c r="J1584" s="149" t="s">
        <v>3559</v>
      </c>
      <c r="K1584" s="149" t="s">
        <v>3571</v>
      </c>
      <c r="L1584" s="171">
        <f t="shared" si="42"/>
        <v>177800000</v>
      </c>
    </row>
    <row r="1585" spans="1:12" x14ac:dyDescent="0.25">
      <c r="A1585" s="7" t="s">
        <v>2626</v>
      </c>
      <c r="B1585" s="61"/>
      <c r="C1585" s="44" t="s">
        <v>4381</v>
      </c>
      <c r="D1585" s="61">
        <v>36</v>
      </c>
      <c r="E1585" s="61" t="s">
        <v>25</v>
      </c>
      <c r="F1585" s="45">
        <v>5000000</v>
      </c>
      <c r="G1585" s="45">
        <f>ROUNDDOWN(D1585*F1585,-3)</f>
        <v>180000000</v>
      </c>
      <c r="H1585" s="165">
        <v>15000000</v>
      </c>
      <c r="I1585" s="150" t="s">
        <v>3553</v>
      </c>
      <c r="J1585" s="149" t="s">
        <v>3559</v>
      </c>
      <c r="K1585" s="149" t="s">
        <v>3571</v>
      </c>
      <c r="L1585" s="171">
        <f t="shared" si="42"/>
        <v>165000000</v>
      </c>
    </row>
    <row r="1586" spans="1:12" x14ac:dyDescent="0.25">
      <c r="A1586" s="7" t="s">
        <v>2628</v>
      </c>
      <c r="B1586" s="60">
        <v>524114</v>
      </c>
      <c r="C1586" s="41" t="s">
        <v>14</v>
      </c>
      <c r="D1586" s="60"/>
      <c r="E1586" s="60"/>
      <c r="F1586" s="42"/>
      <c r="G1586" s="42">
        <v>10800000</v>
      </c>
      <c r="H1586" s="165">
        <v>42000000</v>
      </c>
      <c r="I1586" s="150" t="s">
        <v>3553</v>
      </c>
      <c r="J1586" s="149" t="s">
        <v>3559</v>
      </c>
      <c r="K1586" s="149" t="s">
        <v>3571</v>
      </c>
      <c r="L1586" s="171">
        <f t="shared" si="42"/>
        <v>-31200000</v>
      </c>
    </row>
    <row r="1587" spans="1:12" ht="26.4" x14ac:dyDescent="0.25">
      <c r="A1587" s="7" t="s">
        <v>2629</v>
      </c>
      <c r="B1587" s="61"/>
      <c r="C1587" s="44" t="s">
        <v>4382</v>
      </c>
      <c r="D1587" s="61">
        <v>30</v>
      </c>
      <c r="E1587" s="61" t="s">
        <v>25</v>
      </c>
      <c r="F1587" s="45">
        <v>210000</v>
      </c>
      <c r="G1587" s="45">
        <f>ROUNDDOWN(D1587*F1587,-3)</f>
        <v>6300000</v>
      </c>
      <c r="H1587" s="165">
        <v>42000000</v>
      </c>
      <c r="I1587" s="150" t="s">
        <v>3553</v>
      </c>
      <c r="J1587" s="149" t="s">
        <v>3559</v>
      </c>
      <c r="K1587" s="149" t="s">
        <v>3571</v>
      </c>
      <c r="L1587" s="171">
        <f t="shared" si="42"/>
        <v>-35700000</v>
      </c>
    </row>
    <row r="1588" spans="1:12" ht="26.4" x14ac:dyDescent="0.25">
      <c r="A1588" s="7" t="s">
        <v>2631</v>
      </c>
      <c r="B1588" s="192"/>
      <c r="C1588" s="191" t="s">
        <v>4383</v>
      </c>
      <c r="D1588" s="192">
        <v>30</v>
      </c>
      <c r="E1588" s="192" t="s">
        <v>25</v>
      </c>
      <c r="F1588" s="193">
        <v>150000</v>
      </c>
      <c r="G1588" s="45">
        <f>ROUNDDOWN(D1588*F1588,-3)</f>
        <v>4500000</v>
      </c>
      <c r="H1588" s="165">
        <v>4500000</v>
      </c>
      <c r="I1588" s="150" t="s">
        <v>3553</v>
      </c>
      <c r="J1588" s="149" t="s">
        <v>3559</v>
      </c>
      <c r="K1588" s="149" t="s">
        <v>3571</v>
      </c>
      <c r="L1588" s="171">
        <f t="shared" si="42"/>
        <v>0</v>
      </c>
    </row>
    <row r="1589" spans="1:12" x14ac:dyDescent="0.25">
      <c r="A1589" s="7" t="s">
        <v>2633</v>
      </c>
      <c r="B1589" s="60">
        <v>524119</v>
      </c>
      <c r="C1589" s="41" t="s">
        <v>15</v>
      </c>
      <c r="D1589" s="60"/>
      <c r="E1589" s="60"/>
      <c r="F1589" s="42"/>
      <c r="G1589" s="42">
        <v>439300000</v>
      </c>
      <c r="H1589" s="165">
        <v>4500000</v>
      </c>
      <c r="I1589" s="150" t="s">
        <v>3553</v>
      </c>
      <c r="J1589" s="149" t="s">
        <v>3559</v>
      </c>
      <c r="K1589" s="149" t="s">
        <v>3571</v>
      </c>
      <c r="L1589" s="171">
        <f t="shared" si="42"/>
        <v>434800000</v>
      </c>
    </row>
    <row r="1590" spans="1:12" x14ac:dyDescent="0.25">
      <c r="B1590" s="192"/>
      <c r="C1590" s="191" t="s">
        <v>4384</v>
      </c>
      <c r="D1590" s="192"/>
      <c r="E1590" s="192"/>
      <c r="F1590" s="193"/>
      <c r="G1590" s="193">
        <v>439300000</v>
      </c>
      <c r="H1590" s="165">
        <v>851600000</v>
      </c>
      <c r="I1590" s="150" t="s">
        <v>3553</v>
      </c>
      <c r="J1590" s="149" t="s">
        <v>3559</v>
      </c>
      <c r="K1590" s="149" t="s">
        <v>3571</v>
      </c>
      <c r="L1590" s="171">
        <f t="shared" si="42"/>
        <v>-412300000</v>
      </c>
    </row>
    <row r="1591" spans="1:12" x14ac:dyDescent="0.25">
      <c r="A1591" s="7" t="s">
        <v>2635</v>
      </c>
      <c r="B1591" s="192"/>
      <c r="C1591" s="191" t="s">
        <v>4385</v>
      </c>
      <c r="D1591" s="192">
        <v>480</v>
      </c>
      <c r="E1591" s="192" t="s">
        <v>25</v>
      </c>
      <c r="F1591" s="193">
        <v>807500</v>
      </c>
      <c r="G1591" s="45">
        <f>ROUNDDOWN(D1591*F1591,-3)</f>
        <v>387600000</v>
      </c>
      <c r="H1591" s="165">
        <v>68650000</v>
      </c>
      <c r="I1591" s="150" t="s">
        <v>3553</v>
      </c>
      <c r="J1591" s="149" t="s">
        <v>3559</v>
      </c>
      <c r="K1591" s="149" t="s">
        <v>3571</v>
      </c>
      <c r="L1591" s="171">
        <f t="shared" si="42"/>
        <v>318950000</v>
      </c>
    </row>
    <row r="1592" spans="1:12" x14ac:dyDescent="0.25">
      <c r="A1592" s="7" t="s">
        <v>2637</v>
      </c>
      <c r="B1592" s="61"/>
      <c r="C1592" s="44" t="s">
        <v>4386</v>
      </c>
      <c r="D1592" s="61">
        <v>24</v>
      </c>
      <c r="E1592" s="61" t="s">
        <v>25</v>
      </c>
      <c r="F1592" s="45">
        <v>600000</v>
      </c>
      <c r="G1592" s="45">
        <f>ROUNDDOWN(D1592*F1592,-3)</f>
        <v>14400000</v>
      </c>
      <c r="H1592" s="165">
        <v>2000000</v>
      </c>
      <c r="I1592" s="150" t="s">
        <v>3553</v>
      </c>
      <c r="J1592" s="149" t="s">
        <v>3559</v>
      </c>
      <c r="K1592" s="149" t="s">
        <v>3571</v>
      </c>
      <c r="L1592" s="171">
        <f t="shared" si="42"/>
        <v>12400000</v>
      </c>
    </row>
    <row r="1593" spans="1:12" ht="26.4" x14ac:dyDescent="0.25">
      <c r="A1593" s="7" t="s">
        <v>2639</v>
      </c>
      <c r="B1593" s="61"/>
      <c r="C1593" s="44" t="s">
        <v>4387</v>
      </c>
      <c r="D1593" s="61">
        <v>30</v>
      </c>
      <c r="E1593" s="61" t="s">
        <v>73</v>
      </c>
      <c r="F1593" s="45">
        <v>150000</v>
      </c>
      <c r="G1593" s="45">
        <f>ROUNDDOWN(D1593*F1593,-3)</f>
        <v>4500000</v>
      </c>
      <c r="H1593" s="165">
        <v>2000000</v>
      </c>
      <c r="I1593" s="150" t="s">
        <v>3553</v>
      </c>
      <c r="J1593" s="149" t="s">
        <v>3559</v>
      </c>
      <c r="K1593" s="149" t="s">
        <v>3571</v>
      </c>
      <c r="L1593" s="171">
        <f t="shared" si="42"/>
        <v>2500000</v>
      </c>
    </row>
    <row r="1594" spans="1:12" ht="26.4" x14ac:dyDescent="0.25">
      <c r="A1594" s="7" t="s">
        <v>2641</v>
      </c>
      <c r="B1594" s="61"/>
      <c r="C1594" s="44" t="s">
        <v>4388</v>
      </c>
      <c r="D1594" s="61">
        <v>10</v>
      </c>
      <c r="E1594" s="61" t="s">
        <v>25</v>
      </c>
      <c r="F1594" s="45">
        <v>1030000</v>
      </c>
      <c r="G1594" s="45">
        <f>ROUNDDOWN(D1594*F1594,-3)</f>
        <v>10300000</v>
      </c>
      <c r="H1594" s="165">
        <v>3000000</v>
      </c>
      <c r="I1594" s="150" t="s">
        <v>3553</v>
      </c>
      <c r="J1594" s="149" t="s">
        <v>3559</v>
      </c>
      <c r="K1594" s="149" t="s">
        <v>3571</v>
      </c>
      <c r="L1594" s="171">
        <f t="shared" si="42"/>
        <v>7300000</v>
      </c>
    </row>
    <row r="1595" spans="1:12" x14ac:dyDescent="0.25">
      <c r="B1595" s="61"/>
      <c r="C1595" s="44" t="s">
        <v>4389</v>
      </c>
      <c r="D1595" s="61"/>
      <c r="E1595" s="61"/>
      <c r="F1595" s="45"/>
      <c r="G1595" s="45">
        <v>22500000</v>
      </c>
      <c r="H1595" s="165">
        <v>3000000</v>
      </c>
      <c r="I1595" s="150" t="s">
        <v>3553</v>
      </c>
      <c r="J1595" s="149" t="s">
        <v>3559</v>
      </c>
      <c r="K1595" s="149" t="s">
        <v>3571</v>
      </c>
      <c r="L1595" s="171">
        <f t="shared" si="42"/>
        <v>19500000</v>
      </c>
    </row>
    <row r="1596" spans="1:12" ht="26.4" x14ac:dyDescent="0.25">
      <c r="A1596" s="7" t="s">
        <v>2644</v>
      </c>
      <c r="B1596" s="61"/>
      <c r="C1596" s="44" t="s">
        <v>4390</v>
      </c>
      <c r="D1596" s="61">
        <v>30</v>
      </c>
      <c r="E1596" s="61" t="s">
        <v>25</v>
      </c>
      <c r="F1596" s="45">
        <v>150000</v>
      </c>
      <c r="G1596" s="45">
        <f>ROUNDDOWN(D1596*F1596,-3)</f>
        <v>4500000</v>
      </c>
      <c r="H1596" s="165">
        <v>49000000</v>
      </c>
      <c r="I1596" s="150" t="s">
        <v>3553</v>
      </c>
      <c r="J1596" s="149" t="s">
        <v>3559</v>
      </c>
      <c r="K1596" s="149" t="s">
        <v>3571</v>
      </c>
      <c r="L1596" s="171">
        <f t="shared" si="42"/>
        <v>-44500000</v>
      </c>
    </row>
    <row r="1597" spans="1:12" ht="26.4" x14ac:dyDescent="0.25">
      <c r="A1597" s="7" t="s">
        <v>2645</v>
      </c>
      <c r="B1597" s="61"/>
      <c r="C1597" s="44" t="s">
        <v>4391</v>
      </c>
      <c r="D1597" s="61">
        <v>30</v>
      </c>
      <c r="E1597" s="61" t="s">
        <v>25</v>
      </c>
      <c r="F1597" s="45">
        <v>600000</v>
      </c>
      <c r="G1597" s="45">
        <f>ROUNDDOWN(D1597*F1597,-3)</f>
        <v>18000000</v>
      </c>
      <c r="H1597" s="165">
        <v>8000000</v>
      </c>
      <c r="I1597" s="150" t="s">
        <v>3553</v>
      </c>
      <c r="J1597" s="149" t="s">
        <v>3559</v>
      </c>
      <c r="K1597" s="149" t="s">
        <v>3571</v>
      </c>
      <c r="L1597" s="171">
        <f t="shared" si="42"/>
        <v>10000000</v>
      </c>
    </row>
    <row r="1598" spans="1:12" ht="26.4" x14ac:dyDescent="0.25">
      <c r="A1598" s="7" t="s">
        <v>2647</v>
      </c>
      <c r="B1598" s="58">
        <v>201</v>
      </c>
      <c r="C1598" s="35" t="s">
        <v>2648</v>
      </c>
      <c r="D1598" s="58">
        <v>0</v>
      </c>
      <c r="E1598" s="58"/>
      <c r="F1598" s="36"/>
      <c r="G1598" s="36">
        <v>1448000000</v>
      </c>
      <c r="H1598" s="165">
        <v>1650000</v>
      </c>
      <c r="I1598" s="150" t="s">
        <v>3553</v>
      </c>
      <c r="J1598" s="149" t="s">
        <v>3559</v>
      </c>
      <c r="K1598" s="149" t="s">
        <v>3571</v>
      </c>
      <c r="L1598" s="171">
        <f t="shared" si="42"/>
        <v>1446350000</v>
      </c>
    </row>
    <row r="1599" spans="1:12" ht="26.4" x14ac:dyDescent="0.25">
      <c r="A1599" s="7" t="s">
        <v>2649</v>
      </c>
      <c r="B1599" s="59" t="s">
        <v>8</v>
      </c>
      <c r="C1599" s="38" t="s">
        <v>126</v>
      </c>
      <c r="D1599" s="59"/>
      <c r="E1599" s="59"/>
      <c r="F1599" s="39"/>
      <c r="G1599" s="39">
        <v>68200000</v>
      </c>
      <c r="H1599" s="165">
        <v>26400000</v>
      </c>
      <c r="I1599" s="150" t="s">
        <v>3553</v>
      </c>
      <c r="J1599" s="149" t="s">
        <v>3559</v>
      </c>
      <c r="K1599" s="149" t="s">
        <v>3571</v>
      </c>
      <c r="L1599" s="171">
        <f t="shared" si="42"/>
        <v>41800000</v>
      </c>
    </row>
    <row r="1600" spans="1:12" x14ac:dyDescent="0.25">
      <c r="A1600" s="7" t="s">
        <v>2650</v>
      </c>
      <c r="B1600" s="60">
        <v>521211</v>
      </c>
      <c r="C1600" s="41" t="s">
        <v>7</v>
      </c>
      <c r="D1600" s="60"/>
      <c r="E1600" s="60"/>
      <c r="F1600" s="42"/>
      <c r="G1600" s="42">
        <v>26200000</v>
      </c>
      <c r="H1600" s="165">
        <v>11200000</v>
      </c>
      <c r="I1600" s="150" t="s">
        <v>3553</v>
      </c>
      <c r="J1600" s="149" t="s">
        <v>3559</v>
      </c>
      <c r="K1600" s="149" t="s">
        <v>3571</v>
      </c>
      <c r="L1600" s="171">
        <f t="shared" si="42"/>
        <v>15000000</v>
      </c>
    </row>
    <row r="1601" spans="1:12" x14ac:dyDescent="0.25">
      <c r="A1601" s="7" t="s">
        <v>2651</v>
      </c>
      <c r="B1601" s="61"/>
      <c r="C1601" s="44" t="s">
        <v>3625</v>
      </c>
      <c r="D1601" s="61">
        <v>3</v>
      </c>
      <c r="E1601" s="61" t="s">
        <v>9</v>
      </c>
      <c r="F1601" s="45">
        <v>1000000</v>
      </c>
      <c r="G1601" s="45">
        <f>ROUNDDOWN(D1601*F1601,-3)</f>
        <v>3000000</v>
      </c>
      <c r="H1601" s="165">
        <v>8000000</v>
      </c>
      <c r="I1601" s="150" t="s">
        <v>3553</v>
      </c>
      <c r="J1601" s="149" t="s">
        <v>3559</v>
      </c>
      <c r="K1601" s="149" t="s">
        <v>3571</v>
      </c>
      <c r="L1601" s="171">
        <f t="shared" si="42"/>
        <v>-5000000</v>
      </c>
    </row>
    <row r="1602" spans="1:12" x14ac:dyDescent="0.25">
      <c r="A1602" s="7" t="s">
        <v>2652</v>
      </c>
      <c r="B1602" s="61"/>
      <c r="C1602" s="44" t="s">
        <v>3626</v>
      </c>
      <c r="D1602" s="61">
        <v>3</v>
      </c>
      <c r="E1602" s="61" t="s">
        <v>9</v>
      </c>
      <c r="F1602" s="45">
        <v>1000000</v>
      </c>
      <c r="G1602" s="45">
        <f>ROUNDDOWN(D1602*F1602,-3)</f>
        <v>3000000</v>
      </c>
      <c r="H1602" s="165">
        <v>7200000</v>
      </c>
      <c r="I1602" s="150" t="s">
        <v>3553</v>
      </c>
      <c r="J1602" s="149" t="s">
        <v>3559</v>
      </c>
      <c r="K1602" s="149" t="s">
        <v>3571</v>
      </c>
      <c r="L1602" s="171">
        <f t="shared" si="42"/>
        <v>-4200000</v>
      </c>
    </row>
    <row r="1603" spans="1:12" x14ac:dyDescent="0.25">
      <c r="A1603" s="7" t="s">
        <v>2653</v>
      </c>
      <c r="B1603" s="192"/>
      <c r="C1603" s="191" t="s">
        <v>3627</v>
      </c>
      <c r="D1603" s="192">
        <v>3</v>
      </c>
      <c r="E1603" s="192" t="s">
        <v>9</v>
      </c>
      <c r="F1603" s="193">
        <v>1000000</v>
      </c>
      <c r="G1603" s="45">
        <f>ROUNDDOWN(D1603*F1603,-3)</f>
        <v>3000000</v>
      </c>
      <c r="H1603" s="165">
        <v>32000000</v>
      </c>
      <c r="I1603" s="150" t="s">
        <v>3553</v>
      </c>
      <c r="J1603" s="149" t="s">
        <v>3559</v>
      </c>
      <c r="K1603" s="149" t="s">
        <v>3571</v>
      </c>
      <c r="L1603" s="171">
        <f t="shared" si="42"/>
        <v>-29000000</v>
      </c>
    </row>
    <row r="1604" spans="1:12" x14ac:dyDescent="0.25">
      <c r="A1604" s="7" t="s">
        <v>2654</v>
      </c>
      <c r="B1604" s="61"/>
      <c r="C1604" s="44" t="s">
        <v>4392</v>
      </c>
      <c r="D1604" s="61">
        <v>100</v>
      </c>
      <c r="E1604" s="61" t="s">
        <v>10</v>
      </c>
      <c r="F1604" s="45">
        <v>22000</v>
      </c>
      <c r="G1604" s="45">
        <f>ROUNDDOWN(D1604*F1604,-3)</f>
        <v>2200000</v>
      </c>
      <c r="H1604" s="165">
        <v>32000000</v>
      </c>
      <c r="I1604" s="150" t="s">
        <v>3553</v>
      </c>
      <c r="J1604" s="149" t="s">
        <v>3559</v>
      </c>
      <c r="K1604" s="149" t="s">
        <v>3571</v>
      </c>
      <c r="L1604" s="171">
        <f t="shared" si="42"/>
        <v>-29800000</v>
      </c>
    </row>
    <row r="1605" spans="1:12" x14ac:dyDescent="0.25">
      <c r="A1605" s="7" t="s">
        <v>2656</v>
      </c>
      <c r="B1605" s="192"/>
      <c r="C1605" s="191" t="s">
        <v>4393</v>
      </c>
      <c r="D1605" s="192">
        <v>3</v>
      </c>
      <c r="E1605" s="192" t="s">
        <v>9</v>
      </c>
      <c r="F1605" s="193">
        <v>5000000</v>
      </c>
      <c r="G1605" s="45">
        <f>ROUNDDOWN(D1605*F1605,-3)</f>
        <v>15000000</v>
      </c>
      <c r="H1605" s="165">
        <v>60000000</v>
      </c>
      <c r="I1605" s="150" t="s">
        <v>3553</v>
      </c>
      <c r="J1605" s="149" t="s">
        <v>3559</v>
      </c>
      <c r="K1605" s="149" t="s">
        <v>3571</v>
      </c>
      <c r="L1605" s="171">
        <f t="shared" si="42"/>
        <v>-45000000</v>
      </c>
    </row>
    <row r="1606" spans="1:12" x14ac:dyDescent="0.25">
      <c r="A1606" s="7" t="s">
        <v>2658</v>
      </c>
      <c r="B1606" s="60">
        <v>524111</v>
      </c>
      <c r="C1606" s="41" t="s">
        <v>19</v>
      </c>
      <c r="D1606" s="60"/>
      <c r="E1606" s="60"/>
      <c r="F1606" s="42"/>
      <c r="G1606" s="42">
        <v>42000000</v>
      </c>
      <c r="H1606" s="165">
        <v>60000000</v>
      </c>
      <c r="I1606" s="150" t="s">
        <v>3553</v>
      </c>
      <c r="J1606" s="149" t="s">
        <v>3559</v>
      </c>
      <c r="K1606" s="149" t="s">
        <v>3571</v>
      </c>
      <c r="L1606" s="171">
        <f t="shared" si="42"/>
        <v>-18000000</v>
      </c>
    </row>
    <row r="1607" spans="1:12" ht="26.4" x14ac:dyDescent="0.25">
      <c r="A1607" s="7" t="s">
        <v>2659</v>
      </c>
      <c r="B1607" s="192"/>
      <c r="C1607" s="191" t="s">
        <v>4394</v>
      </c>
      <c r="D1607" s="192">
        <v>10</v>
      </c>
      <c r="E1607" s="192" t="s">
        <v>10</v>
      </c>
      <c r="F1607" s="193">
        <v>4200000</v>
      </c>
      <c r="G1607" s="45">
        <f>ROUNDDOWN(D1607*F1607,-3)</f>
        <v>42000000</v>
      </c>
      <c r="H1607" s="165">
        <v>664550000</v>
      </c>
      <c r="I1607" s="150" t="s">
        <v>3553</v>
      </c>
      <c r="J1607" s="149" t="s">
        <v>3559</v>
      </c>
      <c r="K1607" s="149" t="s">
        <v>3571</v>
      </c>
      <c r="L1607" s="171">
        <f t="shared" si="42"/>
        <v>-622550000</v>
      </c>
    </row>
    <row r="1608" spans="1:12" ht="26.4" x14ac:dyDescent="0.25">
      <c r="A1608" s="7" t="s">
        <v>2661</v>
      </c>
      <c r="B1608" s="59" t="s">
        <v>511</v>
      </c>
      <c r="C1608" s="38" t="s">
        <v>2662</v>
      </c>
      <c r="D1608" s="59"/>
      <c r="E1608" s="59"/>
      <c r="F1608" s="39"/>
      <c r="G1608" s="39">
        <v>72700000</v>
      </c>
      <c r="H1608" s="165">
        <v>229600000</v>
      </c>
      <c r="I1608" s="150" t="s">
        <v>3553</v>
      </c>
      <c r="J1608" s="149" t="s">
        <v>3559</v>
      </c>
      <c r="K1608" s="149" t="s">
        <v>3571</v>
      </c>
      <c r="L1608" s="171">
        <f t="shared" si="42"/>
        <v>-156900000</v>
      </c>
    </row>
    <row r="1609" spans="1:12" x14ac:dyDescent="0.25">
      <c r="A1609" s="7" t="s">
        <v>2663</v>
      </c>
      <c r="B1609" s="60">
        <v>521211</v>
      </c>
      <c r="C1609" s="41" t="s">
        <v>7</v>
      </c>
      <c r="D1609" s="60"/>
      <c r="E1609" s="60"/>
      <c r="F1609" s="42"/>
      <c r="G1609" s="42">
        <v>26200000</v>
      </c>
      <c r="H1609" s="165">
        <v>63000000</v>
      </c>
      <c r="I1609" s="150" t="s">
        <v>3553</v>
      </c>
      <c r="J1609" s="149" t="s">
        <v>3559</v>
      </c>
      <c r="K1609" s="149" t="s">
        <v>3571</v>
      </c>
      <c r="L1609" s="171">
        <f t="shared" si="42"/>
        <v>-36800000</v>
      </c>
    </row>
    <row r="1610" spans="1:12" x14ac:dyDescent="0.25">
      <c r="A1610" s="7" t="s">
        <v>2664</v>
      </c>
      <c r="B1610" s="61"/>
      <c r="C1610" s="44" t="s">
        <v>3625</v>
      </c>
      <c r="D1610" s="61">
        <v>3</v>
      </c>
      <c r="E1610" s="61" t="s">
        <v>9</v>
      </c>
      <c r="F1610" s="45">
        <v>1000000</v>
      </c>
      <c r="G1610" s="45">
        <f>ROUNDDOWN(D1610*F1610,-3)</f>
        <v>3000000</v>
      </c>
      <c r="H1610" s="165">
        <v>327750000</v>
      </c>
      <c r="I1610" s="150" t="s">
        <v>3553</v>
      </c>
      <c r="J1610" s="149" t="s">
        <v>3559</v>
      </c>
      <c r="K1610" s="149" t="s">
        <v>3571</v>
      </c>
      <c r="L1610" s="171">
        <f t="shared" si="42"/>
        <v>-324750000</v>
      </c>
    </row>
    <row r="1611" spans="1:12" x14ac:dyDescent="0.25">
      <c r="A1611" s="7" t="s">
        <v>2665</v>
      </c>
      <c r="B1611" s="61"/>
      <c r="C1611" s="44" t="s">
        <v>3626</v>
      </c>
      <c r="D1611" s="61">
        <v>3</v>
      </c>
      <c r="E1611" s="61" t="s">
        <v>9</v>
      </c>
      <c r="F1611" s="45">
        <v>1000000</v>
      </c>
      <c r="G1611" s="45">
        <f>ROUNDDOWN(D1611*F1611,-3)</f>
        <v>3000000</v>
      </c>
      <c r="H1611" s="165">
        <v>44200000</v>
      </c>
      <c r="I1611" s="150" t="s">
        <v>3553</v>
      </c>
      <c r="J1611" s="149" t="s">
        <v>3559</v>
      </c>
      <c r="K1611" s="149" t="s">
        <v>3571</v>
      </c>
      <c r="L1611" s="171">
        <f t="shared" si="42"/>
        <v>-41200000</v>
      </c>
    </row>
    <row r="1612" spans="1:12" x14ac:dyDescent="0.25">
      <c r="A1612" s="7" t="s">
        <v>2666</v>
      </c>
      <c r="B1612" s="192"/>
      <c r="C1612" s="191" t="s">
        <v>3627</v>
      </c>
      <c r="D1612" s="192">
        <v>3</v>
      </c>
      <c r="E1612" s="192" t="s">
        <v>9</v>
      </c>
      <c r="F1612" s="193">
        <v>1000000</v>
      </c>
      <c r="G1612" s="45">
        <f>ROUNDDOWN(D1612*F1612,-3)</f>
        <v>3000000</v>
      </c>
      <c r="H1612" s="165">
        <v>455500000</v>
      </c>
      <c r="I1612" s="150" t="s">
        <v>3553</v>
      </c>
      <c r="J1612" s="149" t="s">
        <v>3559</v>
      </c>
      <c r="K1612" s="149" t="s">
        <v>3571</v>
      </c>
      <c r="L1612" s="171">
        <f t="shared" si="42"/>
        <v>-452500000</v>
      </c>
    </row>
    <row r="1613" spans="1:12" x14ac:dyDescent="0.25">
      <c r="A1613" s="7" t="s">
        <v>2667</v>
      </c>
      <c r="B1613" s="192"/>
      <c r="C1613" s="191" t="s">
        <v>4392</v>
      </c>
      <c r="D1613" s="192">
        <v>100</v>
      </c>
      <c r="E1613" s="192" t="s">
        <v>10</v>
      </c>
      <c r="F1613" s="193">
        <v>22000</v>
      </c>
      <c r="G1613" s="45">
        <f>ROUNDDOWN(D1613*F1613,-3)</f>
        <v>2200000</v>
      </c>
      <c r="H1613" s="165">
        <v>49800000</v>
      </c>
      <c r="I1613" s="150" t="s">
        <v>3553</v>
      </c>
      <c r="J1613" s="149" t="s">
        <v>3559</v>
      </c>
      <c r="K1613" s="149" t="s">
        <v>3571</v>
      </c>
      <c r="L1613" s="171">
        <f t="shared" si="42"/>
        <v>-47600000</v>
      </c>
    </row>
    <row r="1614" spans="1:12" x14ac:dyDescent="0.25">
      <c r="A1614" s="7" t="s">
        <v>2668</v>
      </c>
      <c r="B1614" s="61"/>
      <c r="C1614" s="44" t="s">
        <v>4393</v>
      </c>
      <c r="D1614" s="61">
        <v>3</v>
      </c>
      <c r="E1614" s="61" t="s">
        <v>9</v>
      </c>
      <c r="F1614" s="45">
        <v>5000000</v>
      </c>
      <c r="G1614" s="45">
        <f>ROUNDDOWN(D1614*F1614,-3)</f>
        <v>15000000</v>
      </c>
      <c r="H1614" s="165">
        <v>4000000</v>
      </c>
      <c r="I1614" s="150" t="s">
        <v>3553</v>
      </c>
      <c r="J1614" s="149" t="s">
        <v>3559</v>
      </c>
      <c r="K1614" s="149" t="s">
        <v>3571</v>
      </c>
      <c r="L1614" s="171">
        <f t="shared" ref="L1614:L1677" si="45">G1614-H1614</f>
        <v>11000000</v>
      </c>
    </row>
    <row r="1615" spans="1:12" x14ac:dyDescent="0.25">
      <c r="A1615" s="7" t="s">
        <v>2669</v>
      </c>
      <c r="B1615" s="60">
        <v>524111</v>
      </c>
      <c r="C1615" s="41" t="s">
        <v>19</v>
      </c>
      <c r="D1615" s="60"/>
      <c r="E1615" s="60"/>
      <c r="F1615" s="42"/>
      <c r="G1615" s="42">
        <v>42000000</v>
      </c>
      <c r="H1615" s="165">
        <v>4000000</v>
      </c>
      <c r="I1615" s="150" t="s">
        <v>3553</v>
      </c>
      <c r="J1615" s="149" t="s">
        <v>3559</v>
      </c>
      <c r="K1615" s="149" t="s">
        <v>3571</v>
      </c>
      <c r="L1615" s="171">
        <f t="shared" si="45"/>
        <v>38000000</v>
      </c>
    </row>
    <row r="1616" spans="1:12" ht="26.4" x14ac:dyDescent="0.25">
      <c r="A1616" s="7" t="s">
        <v>2670</v>
      </c>
      <c r="B1616" s="61"/>
      <c r="C1616" s="44" t="s">
        <v>4394</v>
      </c>
      <c r="D1616" s="61">
        <v>10</v>
      </c>
      <c r="E1616" s="61" t="s">
        <v>10</v>
      </c>
      <c r="F1616" s="45">
        <v>4200000</v>
      </c>
      <c r="G1616" s="45">
        <f>ROUNDDOWN(D1616*F1616,-3)</f>
        <v>42000000</v>
      </c>
      <c r="H1616" s="165">
        <v>4000000</v>
      </c>
      <c r="I1616" s="150" t="s">
        <v>3553</v>
      </c>
      <c r="J1616" s="149" t="s">
        <v>3559</v>
      </c>
      <c r="K1616" s="149" t="s">
        <v>3571</v>
      </c>
      <c r="L1616" s="171">
        <f t="shared" si="45"/>
        <v>38000000</v>
      </c>
    </row>
    <row r="1617" spans="1:12" x14ac:dyDescent="0.25">
      <c r="A1617" s="7" t="s">
        <v>2671</v>
      </c>
      <c r="B1617" s="60">
        <v>524113</v>
      </c>
      <c r="C1617" s="41" t="s">
        <v>13</v>
      </c>
      <c r="D1617" s="60"/>
      <c r="E1617" s="60"/>
      <c r="F1617" s="42"/>
      <c r="G1617" s="42">
        <v>4500000</v>
      </c>
      <c r="H1617" s="165">
        <v>24000000</v>
      </c>
      <c r="I1617" s="150" t="s">
        <v>3553</v>
      </c>
      <c r="J1617" s="149" t="s">
        <v>3559</v>
      </c>
      <c r="K1617" s="149" t="s">
        <v>3571</v>
      </c>
      <c r="L1617" s="171">
        <f t="shared" si="45"/>
        <v>-19500000</v>
      </c>
    </row>
    <row r="1618" spans="1:12" x14ac:dyDescent="0.25">
      <c r="A1618" s="7" t="s">
        <v>2672</v>
      </c>
      <c r="B1618" s="61"/>
      <c r="C1618" s="44" t="s">
        <v>4395</v>
      </c>
      <c r="D1618" s="61">
        <v>30</v>
      </c>
      <c r="E1618" s="61" t="s">
        <v>10</v>
      </c>
      <c r="F1618" s="45">
        <v>150000</v>
      </c>
      <c r="G1618" s="45">
        <f>ROUNDDOWN(D1618*F1618,-3)</f>
        <v>4500000</v>
      </c>
      <c r="H1618" s="165">
        <v>13800000</v>
      </c>
      <c r="I1618" s="150" t="s">
        <v>3553</v>
      </c>
      <c r="J1618" s="149" t="s">
        <v>3559</v>
      </c>
      <c r="K1618" s="149" t="s">
        <v>3571</v>
      </c>
      <c r="L1618" s="171">
        <f t="shared" si="45"/>
        <v>-9300000</v>
      </c>
    </row>
    <row r="1619" spans="1:12" x14ac:dyDescent="0.25">
      <c r="A1619" s="7" t="s">
        <v>2674</v>
      </c>
      <c r="B1619" s="59" t="s">
        <v>512</v>
      </c>
      <c r="C1619" s="38" t="s">
        <v>127</v>
      </c>
      <c r="D1619" s="59"/>
      <c r="E1619" s="59"/>
      <c r="F1619" s="39"/>
      <c r="G1619" s="39">
        <v>851600000</v>
      </c>
      <c r="H1619" s="165">
        <v>12000000</v>
      </c>
      <c r="I1619" s="150" t="s">
        <v>3553</v>
      </c>
      <c r="J1619" s="149" t="s">
        <v>3559</v>
      </c>
      <c r="K1619" s="149" t="s">
        <v>3571</v>
      </c>
      <c r="L1619" s="171">
        <f t="shared" si="45"/>
        <v>839600000</v>
      </c>
    </row>
    <row r="1620" spans="1:12" x14ac:dyDescent="0.25">
      <c r="A1620" s="7" t="s">
        <v>2675</v>
      </c>
      <c r="B1620" s="60">
        <v>521211</v>
      </c>
      <c r="C1620" s="41" t="s">
        <v>7</v>
      </c>
      <c r="D1620" s="60"/>
      <c r="E1620" s="60"/>
      <c r="F1620" s="42"/>
      <c r="G1620" s="42">
        <v>68650000</v>
      </c>
      <c r="H1620" s="165">
        <v>12000000</v>
      </c>
      <c r="I1620" s="150" t="s">
        <v>3553</v>
      </c>
      <c r="J1620" s="149" t="s">
        <v>3559</v>
      </c>
      <c r="K1620" s="149" t="s">
        <v>3571</v>
      </c>
      <c r="L1620" s="171">
        <f t="shared" si="45"/>
        <v>56650000</v>
      </c>
    </row>
    <row r="1621" spans="1:12" x14ac:dyDescent="0.25">
      <c r="A1621" s="7" t="s">
        <v>2676</v>
      </c>
      <c r="B1621" s="192"/>
      <c r="C1621" s="191" t="s">
        <v>3625</v>
      </c>
      <c r="D1621" s="192">
        <v>2</v>
      </c>
      <c r="E1621" s="192" t="s">
        <v>9</v>
      </c>
      <c r="F1621" s="193">
        <v>1000000</v>
      </c>
      <c r="G1621" s="45">
        <f t="shared" ref="G1621:G1627" si="46">ROUNDDOWN(D1621*F1621,-3)</f>
        <v>2000000</v>
      </c>
      <c r="H1621" s="165">
        <v>30700000</v>
      </c>
      <c r="I1621" s="150" t="s">
        <v>3553</v>
      </c>
      <c r="J1621" s="149" t="s">
        <v>3559</v>
      </c>
      <c r="K1621" s="149" t="s">
        <v>3571</v>
      </c>
      <c r="L1621" s="171">
        <f t="shared" si="45"/>
        <v>-28700000</v>
      </c>
    </row>
    <row r="1622" spans="1:12" x14ac:dyDescent="0.25">
      <c r="A1622" s="7" t="s">
        <v>2677</v>
      </c>
      <c r="B1622" s="61"/>
      <c r="C1622" s="44" t="s">
        <v>3626</v>
      </c>
      <c r="D1622" s="61">
        <v>2</v>
      </c>
      <c r="E1622" s="61" t="s">
        <v>9</v>
      </c>
      <c r="F1622" s="45">
        <v>1000000</v>
      </c>
      <c r="G1622" s="45">
        <f t="shared" si="46"/>
        <v>2000000</v>
      </c>
      <c r="H1622" s="165">
        <v>5100000</v>
      </c>
      <c r="I1622" s="150" t="s">
        <v>3553</v>
      </c>
      <c r="J1622" s="149" t="s">
        <v>3559</v>
      </c>
      <c r="K1622" s="149" t="s">
        <v>3571</v>
      </c>
      <c r="L1622" s="171">
        <f t="shared" si="45"/>
        <v>-3100000</v>
      </c>
    </row>
    <row r="1623" spans="1:12" x14ac:dyDescent="0.25">
      <c r="A1623" s="7" t="s">
        <v>2678</v>
      </c>
      <c r="B1623" s="61"/>
      <c r="C1623" s="44" t="s">
        <v>3627</v>
      </c>
      <c r="D1623" s="61">
        <v>2</v>
      </c>
      <c r="E1623" s="61" t="s">
        <v>9</v>
      </c>
      <c r="F1623" s="45">
        <v>1500000</v>
      </c>
      <c r="G1623" s="45">
        <f t="shared" si="46"/>
        <v>3000000</v>
      </c>
      <c r="H1623" s="165">
        <v>11200000</v>
      </c>
      <c r="I1623" s="150" t="s">
        <v>3553</v>
      </c>
      <c r="J1623" s="149" t="s">
        <v>3559</v>
      </c>
      <c r="K1623" s="149" t="s">
        <v>3571</v>
      </c>
      <c r="L1623" s="171">
        <f t="shared" si="45"/>
        <v>-8200000</v>
      </c>
    </row>
    <row r="1624" spans="1:12" x14ac:dyDescent="0.25">
      <c r="A1624" s="7" t="s">
        <v>2679</v>
      </c>
      <c r="B1624" s="61"/>
      <c r="C1624" s="44" t="s">
        <v>3760</v>
      </c>
      <c r="D1624" s="61">
        <v>2</v>
      </c>
      <c r="E1624" s="61" t="s">
        <v>9</v>
      </c>
      <c r="F1624" s="45">
        <v>1500000</v>
      </c>
      <c r="G1624" s="45">
        <f t="shared" si="46"/>
        <v>3000000</v>
      </c>
      <c r="H1624" s="165">
        <v>8000000</v>
      </c>
      <c r="I1624" s="150" t="s">
        <v>3553</v>
      </c>
      <c r="J1624" s="149" t="s">
        <v>3559</v>
      </c>
      <c r="K1624" s="149" t="s">
        <v>3571</v>
      </c>
      <c r="L1624" s="171">
        <f t="shared" si="45"/>
        <v>-5000000</v>
      </c>
    </row>
    <row r="1625" spans="1:12" x14ac:dyDescent="0.25">
      <c r="A1625" s="7" t="s">
        <v>2680</v>
      </c>
      <c r="B1625" s="61"/>
      <c r="C1625" s="44" t="s">
        <v>4396</v>
      </c>
      <c r="D1625" s="61">
        <v>140</v>
      </c>
      <c r="E1625" s="61" t="s">
        <v>10</v>
      </c>
      <c r="F1625" s="45">
        <v>350000</v>
      </c>
      <c r="G1625" s="45">
        <f t="shared" si="46"/>
        <v>49000000</v>
      </c>
      <c r="H1625" s="165">
        <v>6400000</v>
      </c>
      <c r="I1625" s="150" t="s">
        <v>3553</v>
      </c>
      <c r="J1625" s="149" t="s">
        <v>3559</v>
      </c>
      <c r="K1625" s="149" t="s">
        <v>3571</v>
      </c>
      <c r="L1625" s="171">
        <f t="shared" si="45"/>
        <v>42600000</v>
      </c>
    </row>
    <row r="1626" spans="1:12" x14ac:dyDescent="0.25">
      <c r="A1626" s="7" t="s">
        <v>2682</v>
      </c>
      <c r="B1626" s="192"/>
      <c r="C1626" s="191" t="s">
        <v>4397</v>
      </c>
      <c r="D1626" s="192">
        <v>2</v>
      </c>
      <c r="E1626" s="192" t="s">
        <v>9</v>
      </c>
      <c r="F1626" s="193">
        <v>4000000</v>
      </c>
      <c r="G1626" s="45">
        <f t="shared" si="46"/>
        <v>8000000</v>
      </c>
      <c r="H1626" s="165">
        <v>320000000</v>
      </c>
      <c r="I1626" s="150" t="s">
        <v>3553</v>
      </c>
      <c r="J1626" s="149" t="s">
        <v>3559</v>
      </c>
      <c r="K1626" s="149" t="s">
        <v>3571</v>
      </c>
      <c r="L1626" s="171">
        <f t="shared" si="45"/>
        <v>-312000000</v>
      </c>
    </row>
    <row r="1627" spans="1:12" x14ac:dyDescent="0.25">
      <c r="A1627" s="7" t="s">
        <v>2683</v>
      </c>
      <c r="B1627" s="61"/>
      <c r="C1627" s="44" t="s">
        <v>4398</v>
      </c>
      <c r="D1627" s="61">
        <v>75</v>
      </c>
      <c r="E1627" s="61" t="s">
        <v>10</v>
      </c>
      <c r="F1627" s="45">
        <v>22000</v>
      </c>
      <c r="G1627" s="45">
        <f t="shared" si="46"/>
        <v>1650000</v>
      </c>
      <c r="H1627" s="165">
        <v>50000000</v>
      </c>
      <c r="I1627" s="150" t="s">
        <v>3553</v>
      </c>
      <c r="J1627" s="149" t="s">
        <v>3559</v>
      </c>
      <c r="K1627" s="149" t="s">
        <v>3571</v>
      </c>
      <c r="L1627" s="171">
        <f t="shared" si="45"/>
        <v>-48350000</v>
      </c>
    </row>
    <row r="1628" spans="1:12" x14ac:dyDescent="0.25">
      <c r="A1628" s="7" t="s">
        <v>2684</v>
      </c>
      <c r="B1628" s="60">
        <v>522151</v>
      </c>
      <c r="C1628" s="41" t="s">
        <v>11</v>
      </c>
      <c r="D1628" s="60"/>
      <c r="E1628" s="60"/>
      <c r="F1628" s="42"/>
      <c r="G1628" s="42">
        <v>26400000</v>
      </c>
      <c r="H1628" s="165">
        <v>135000000</v>
      </c>
      <c r="I1628" s="150" t="s">
        <v>3553</v>
      </c>
      <c r="J1628" s="149" t="s">
        <v>3559</v>
      </c>
      <c r="K1628" s="149" t="s">
        <v>3571</v>
      </c>
      <c r="L1628" s="171">
        <f t="shared" si="45"/>
        <v>-108600000</v>
      </c>
    </row>
    <row r="1629" spans="1:12" x14ac:dyDescent="0.25">
      <c r="A1629" s="7" t="s">
        <v>2685</v>
      </c>
      <c r="B1629" s="61"/>
      <c r="C1629" s="44" t="s">
        <v>4399</v>
      </c>
      <c r="D1629" s="61">
        <v>8</v>
      </c>
      <c r="E1629" s="61" t="s">
        <v>12</v>
      </c>
      <c r="F1629" s="45">
        <v>1400000</v>
      </c>
      <c r="G1629" s="45">
        <f>ROUNDDOWN(D1629*F1629,-3)</f>
        <v>11200000</v>
      </c>
      <c r="H1629" s="165">
        <v>135000000</v>
      </c>
      <c r="I1629" s="150" t="s">
        <v>3553</v>
      </c>
      <c r="J1629" s="149" t="s">
        <v>3559</v>
      </c>
      <c r="K1629" s="149" t="s">
        <v>3571</v>
      </c>
      <c r="L1629" s="171">
        <f t="shared" si="45"/>
        <v>-123800000</v>
      </c>
    </row>
    <row r="1630" spans="1:12" x14ac:dyDescent="0.25">
      <c r="A1630" s="7" t="s">
        <v>2687</v>
      </c>
      <c r="B1630" s="192"/>
      <c r="C1630" s="191" t="s">
        <v>4400</v>
      </c>
      <c r="D1630" s="192">
        <v>8</v>
      </c>
      <c r="E1630" s="192" t="s">
        <v>12</v>
      </c>
      <c r="F1630" s="193">
        <v>1000000</v>
      </c>
      <c r="G1630" s="45">
        <f>ROUNDDOWN(D1630*F1630,-3)</f>
        <v>8000000</v>
      </c>
      <c r="H1630" s="165">
        <v>40000000</v>
      </c>
      <c r="I1630" s="150" t="s">
        <v>3553</v>
      </c>
      <c r="J1630" s="149" t="s">
        <v>3559</v>
      </c>
      <c r="K1630" s="149" t="s">
        <v>3571</v>
      </c>
      <c r="L1630" s="171">
        <f t="shared" si="45"/>
        <v>-32000000</v>
      </c>
    </row>
    <row r="1631" spans="1:12" x14ac:dyDescent="0.25">
      <c r="A1631" s="7" t="s">
        <v>2689</v>
      </c>
      <c r="B1631" s="61"/>
      <c r="C1631" s="44" t="s">
        <v>4401</v>
      </c>
      <c r="D1631" s="61">
        <v>8</v>
      </c>
      <c r="E1631" s="61" t="s">
        <v>12</v>
      </c>
      <c r="F1631" s="45">
        <v>900000</v>
      </c>
      <c r="G1631" s="45">
        <f>ROUNDDOWN(D1631*F1631,-3)</f>
        <v>7200000</v>
      </c>
      <c r="H1631" s="165">
        <v>40000000</v>
      </c>
      <c r="I1631" s="150" t="s">
        <v>3553</v>
      </c>
      <c r="J1631" s="149" t="s">
        <v>3559</v>
      </c>
      <c r="K1631" s="149" t="s">
        <v>3571</v>
      </c>
      <c r="L1631" s="171">
        <f t="shared" si="45"/>
        <v>-32800000</v>
      </c>
    </row>
    <row r="1632" spans="1:12" x14ac:dyDescent="0.25">
      <c r="A1632" s="7" t="s">
        <v>2691</v>
      </c>
      <c r="B1632" s="60">
        <v>522192</v>
      </c>
      <c r="C1632" s="41" t="s">
        <v>24</v>
      </c>
      <c r="D1632" s="60"/>
      <c r="E1632" s="60"/>
      <c r="F1632" s="42"/>
      <c r="G1632" s="42">
        <v>32000000</v>
      </c>
      <c r="H1632" s="165">
        <v>3000000</v>
      </c>
      <c r="I1632" s="150" t="s">
        <v>3553</v>
      </c>
      <c r="J1632" s="149" t="s">
        <v>3559</v>
      </c>
      <c r="K1632" s="149" t="s">
        <v>3571</v>
      </c>
      <c r="L1632" s="171">
        <f t="shared" si="45"/>
        <v>29000000</v>
      </c>
    </row>
    <row r="1633" spans="1:12" x14ac:dyDescent="0.25">
      <c r="A1633" s="7" t="s">
        <v>2692</v>
      </c>
      <c r="B1633" s="61"/>
      <c r="C1633" s="44" t="s">
        <v>4402</v>
      </c>
      <c r="D1633" s="61">
        <v>160</v>
      </c>
      <c r="E1633" s="61" t="s">
        <v>10</v>
      </c>
      <c r="F1633" s="45">
        <v>200000</v>
      </c>
      <c r="G1633" s="45">
        <f>ROUNDDOWN(D1633*F1633,-3)</f>
        <v>32000000</v>
      </c>
      <c r="H1633" s="165">
        <v>3000000</v>
      </c>
      <c r="I1633" s="150" t="s">
        <v>3553</v>
      </c>
      <c r="J1633" s="149" t="s">
        <v>3559</v>
      </c>
      <c r="K1633" s="149" t="s">
        <v>3571</v>
      </c>
      <c r="L1633" s="171">
        <f t="shared" si="45"/>
        <v>29000000</v>
      </c>
    </row>
    <row r="1634" spans="1:12" x14ac:dyDescent="0.25">
      <c r="A1634" s="7" t="s">
        <v>2694</v>
      </c>
      <c r="B1634" s="60">
        <v>524111</v>
      </c>
      <c r="C1634" s="41" t="s">
        <v>19</v>
      </c>
      <c r="D1634" s="60"/>
      <c r="E1634" s="60"/>
      <c r="F1634" s="42"/>
      <c r="G1634" s="42">
        <v>60000000</v>
      </c>
      <c r="H1634" s="165">
        <v>615138000</v>
      </c>
      <c r="I1634" s="150" t="s">
        <v>557</v>
      </c>
      <c r="J1634" s="149" t="s">
        <v>3559</v>
      </c>
      <c r="K1634" s="149" t="s">
        <v>3571</v>
      </c>
      <c r="L1634" s="171">
        <f t="shared" si="45"/>
        <v>-555138000</v>
      </c>
    </row>
    <row r="1635" spans="1:12" ht="26.4" x14ac:dyDescent="0.25">
      <c r="A1635" s="7" t="s">
        <v>2695</v>
      </c>
      <c r="B1635" s="192"/>
      <c r="C1635" s="191" t="s">
        <v>4403</v>
      </c>
      <c r="D1635" s="192">
        <v>15</v>
      </c>
      <c r="E1635" s="192" t="s">
        <v>10</v>
      </c>
      <c r="F1635" s="193">
        <v>4000000</v>
      </c>
      <c r="G1635" s="45">
        <f>ROUNDDOWN(D1635*F1635,-3)</f>
        <v>60000000</v>
      </c>
      <c r="H1635" s="165">
        <v>101050000</v>
      </c>
      <c r="I1635" s="150" t="s">
        <v>557</v>
      </c>
      <c r="J1635" s="149" t="s">
        <v>3559</v>
      </c>
      <c r="K1635" s="149" t="s">
        <v>3571</v>
      </c>
      <c r="L1635" s="171">
        <f t="shared" si="45"/>
        <v>-41050000</v>
      </c>
    </row>
    <row r="1636" spans="1:12" x14ac:dyDescent="0.25">
      <c r="A1636" s="7" t="s">
        <v>2697</v>
      </c>
      <c r="B1636" s="60">
        <v>524119</v>
      </c>
      <c r="C1636" s="41" t="s">
        <v>15</v>
      </c>
      <c r="D1636" s="60"/>
      <c r="E1636" s="60"/>
      <c r="F1636" s="42"/>
      <c r="G1636" s="42">
        <v>664550000</v>
      </c>
      <c r="H1636" s="165">
        <v>22650000</v>
      </c>
      <c r="I1636" s="150" t="s">
        <v>557</v>
      </c>
      <c r="J1636" s="149" t="s">
        <v>3559</v>
      </c>
      <c r="K1636" s="149" t="s">
        <v>3571</v>
      </c>
      <c r="L1636" s="171">
        <f t="shared" si="45"/>
        <v>641900000</v>
      </c>
    </row>
    <row r="1637" spans="1:12" x14ac:dyDescent="0.25">
      <c r="A1637" s="7" t="s">
        <v>2698</v>
      </c>
      <c r="B1637" s="61"/>
      <c r="C1637" s="44" t="s">
        <v>4404</v>
      </c>
      <c r="D1637" s="61">
        <v>280</v>
      </c>
      <c r="E1637" s="61" t="s">
        <v>16</v>
      </c>
      <c r="F1637" s="45">
        <v>820000</v>
      </c>
      <c r="G1637" s="45">
        <f>ROUNDDOWN(D1637*F1637,-3)</f>
        <v>229600000</v>
      </c>
      <c r="H1637" s="168">
        <v>9000000</v>
      </c>
      <c r="I1637" s="150" t="s">
        <v>557</v>
      </c>
      <c r="J1637" s="149" t="s">
        <v>3559</v>
      </c>
      <c r="K1637" s="149" t="s">
        <v>3571</v>
      </c>
      <c r="L1637" s="171">
        <f t="shared" si="45"/>
        <v>220600000</v>
      </c>
    </row>
    <row r="1638" spans="1:12" ht="26.4" x14ac:dyDescent="0.25">
      <c r="A1638" s="7" t="s">
        <v>2700</v>
      </c>
      <c r="B1638" s="61"/>
      <c r="C1638" s="44" t="s">
        <v>4405</v>
      </c>
      <c r="D1638" s="61">
        <v>420</v>
      </c>
      <c r="E1638" s="61" t="s">
        <v>16</v>
      </c>
      <c r="F1638" s="45">
        <v>150000</v>
      </c>
      <c r="G1638" s="45">
        <f>ROUNDDOWN(D1638*F1638,-3)</f>
        <v>63000000</v>
      </c>
      <c r="H1638" s="168">
        <v>4900000</v>
      </c>
      <c r="I1638" s="150" t="s">
        <v>557</v>
      </c>
      <c r="J1638" s="149" t="s">
        <v>3559</v>
      </c>
      <c r="K1638" s="149" t="s">
        <v>3571</v>
      </c>
      <c r="L1638" s="171">
        <f t="shared" si="45"/>
        <v>58100000</v>
      </c>
    </row>
    <row r="1639" spans="1:12" x14ac:dyDescent="0.25">
      <c r="A1639" s="7" t="s">
        <v>2702</v>
      </c>
      <c r="B1639" s="61"/>
      <c r="C1639" s="44" t="s">
        <v>4406</v>
      </c>
      <c r="D1639" s="61">
        <v>140</v>
      </c>
      <c r="E1639" s="61" t="s">
        <v>10</v>
      </c>
      <c r="F1639" s="45">
        <v>2341072</v>
      </c>
      <c r="G1639" s="45">
        <f>ROUNDDOWN(D1639*F1639,-3)</f>
        <v>327750000</v>
      </c>
      <c r="H1639" s="168">
        <v>8750000</v>
      </c>
      <c r="I1639" s="150" t="s">
        <v>557</v>
      </c>
      <c r="J1639" s="149" t="s">
        <v>3559</v>
      </c>
      <c r="K1639" s="149" t="s">
        <v>3571</v>
      </c>
      <c r="L1639" s="171">
        <f t="shared" si="45"/>
        <v>319000000</v>
      </c>
    </row>
    <row r="1640" spans="1:12" x14ac:dyDescent="0.25">
      <c r="A1640" s="7" t="s">
        <v>2704</v>
      </c>
      <c r="B1640" s="192"/>
      <c r="C1640" s="191" t="s">
        <v>4407</v>
      </c>
      <c r="D1640" s="192">
        <v>34</v>
      </c>
      <c r="E1640" s="192" t="s">
        <v>10</v>
      </c>
      <c r="F1640" s="193">
        <v>1300000</v>
      </c>
      <c r="G1640" s="45">
        <f>ROUNDDOWN(D1640*F1640,-3)</f>
        <v>44200000</v>
      </c>
      <c r="H1640" s="165">
        <v>1000000</v>
      </c>
      <c r="I1640" s="150" t="s">
        <v>557</v>
      </c>
      <c r="J1640" s="149" t="s">
        <v>3559</v>
      </c>
      <c r="K1640" s="149" t="s">
        <v>3571</v>
      </c>
      <c r="L1640" s="171">
        <f t="shared" si="45"/>
        <v>43200000</v>
      </c>
    </row>
    <row r="1641" spans="1:12" ht="39.6" x14ac:dyDescent="0.25">
      <c r="A1641" s="7" t="s">
        <v>2706</v>
      </c>
      <c r="B1641" s="59" t="s">
        <v>514</v>
      </c>
      <c r="C1641" s="38" t="s">
        <v>128</v>
      </c>
      <c r="D1641" s="59"/>
      <c r="E1641" s="59"/>
      <c r="F1641" s="39"/>
      <c r="G1641" s="39">
        <v>455500000</v>
      </c>
      <c r="H1641" s="168">
        <v>1000000</v>
      </c>
      <c r="I1641" s="150" t="s">
        <v>557</v>
      </c>
      <c r="J1641" s="149" t="s">
        <v>3559</v>
      </c>
      <c r="K1641" s="149" t="s">
        <v>3571</v>
      </c>
      <c r="L1641" s="171">
        <f t="shared" si="45"/>
        <v>454500000</v>
      </c>
    </row>
    <row r="1642" spans="1:12" x14ac:dyDescent="0.25">
      <c r="A1642" s="7" t="s">
        <v>2707</v>
      </c>
      <c r="B1642" s="60">
        <v>521211</v>
      </c>
      <c r="C1642" s="41" t="s">
        <v>7</v>
      </c>
      <c r="D1642" s="60"/>
      <c r="E1642" s="60"/>
      <c r="F1642" s="42"/>
      <c r="G1642" s="42">
        <v>49800000</v>
      </c>
      <c r="H1642" s="165">
        <v>15000000</v>
      </c>
      <c r="I1642" s="150" t="s">
        <v>557</v>
      </c>
      <c r="J1642" s="149" t="s">
        <v>3559</v>
      </c>
      <c r="K1642" s="149" t="s">
        <v>3571</v>
      </c>
      <c r="L1642" s="171">
        <f t="shared" si="45"/>
        <v>34800000</v>
      </c>
    </row>
    <row r="1643" spans="1:12" x14ac:dyDescent="0.25">
      <c r="A1643" s="7" t="s">
        <v>2708</v>
      </c>
      <c r="B1643" s="61"/>
      <c r="C1643" s="44" t="s">
        <v>3625</v>
      </c>
      <c r="D1643" s="61">
        <v>4</v>
      </c>
      <c r="E1643" s="61" t="s">
        <v>9</v>
      </c>
      <c r="F1643" s="45">
        <v>1000000</v>
      </c>
      <c r="G1643" s="45">
        <f>ROUNDDOWN(D1643*F1643,-3)</f>
        <v>4000000</v>
      </c>
      <c r="H1643" s="168">
        <v>6000000</v>
      </c>
      <c r="I1643" s="150" t="s">
        <v>557</v>
      </c>
      <c r="J1643" s="149" t="s">
        <v>3559</v>
      </c>
      <c r="K1643" s="149" t="s">
        <v>3571</v>
      </c>
      <c r="L1643" s="171">
        <f t="shared" si="45"/>
        <v>-2000000</v>
      </c>
    </row>
    <row r="1644" spans="1:12" x14ac:dyDescent="0.25">
      <c r="A1644" s="7" t="s">
        <v>2709</v>
      </c>
      <c r="B1644" s="61"/>
      <c r="C1644" s="44" t="s">
        <v>3626</v>
      </c>
      <c r="D1644" s="61">
        <v>4</v>
      </c>
      <c r="E1644" s="61" t="s">
        <v>9</v>
      </c>
      <c r="F1644" s="45">
        <v>1000000</v>
      </c>
      <c r="G1644" s="45">
        <f>ROUNDDOWN(D1644*F1644,-3)</f>
        <v>4000000</v>
      </c>
      <c r="H1644" s="168">
        <v>9000000</v>
      </c>
      <c r="I1644" s="150" t="s">
        <v>557</v>
      </c>
      <c r="J1644" s="149" t="s">
        <v>3559</v>
      </c>
      <c r="K1644" s="149" t="s">
        <v>3571</v>
      </c>
      <c r="L1644" s="171">
        <f t="shared" si="45"/>
        <v>-5000000</v>
      </c>
    </row>
    <row r="1645" spans="1:12" x14ac:dyDescent="0.25">
      <c r="A1645" s="7" t="s">
        <v>2710</v>
      </c>
      <c r="B1645" s="192"/>
      <c r="C1645" s="191" t="s">
        <v>3627</v>
      </c>
      <c r="D1645" s="192">
        <v>4</v>
      </c>
      <c r="E1645" s="192" t="s">
        <v>9</v>
      </c>
      <c r="F1645" s="193">
        <v>1000000</v>
      </c>
      <c r="G1645" s="45">
        <f>ROUNDDOWN(D1645*F1645,-3)</f>
        <v>4000000</v>
      </c>
      <c r="H1645" s="165">
        <v>62400000</v>
      </c>
      <c r="I1645" s="150" t="s">
        <v>557</v>
      </c>
      <c r="J1645" s="149" t="s">
        <v>3559</v>
      </c>
      <c r="K1645" s="149" t="s">
        <v>3571</v>
      </c>
      <c r="L1645" s="171">
        <f t="shared" si="45"/>
        <v>-58400000</v>
      </c>
    </row>
    <row r="1646" spans="1:12" x14ac:dyDescent="0.25">
      <c r="A1646" s="7" t="s">
        <v>2711</v>
      </c>
      <c r="B1646" s="61"/>
      <c r="C1646" s="44" t="s">
        <v>4408</v>
      </c>
      <c r="D1646" s="61">
        <v>4</v>
      </c>
      <c r="E1646" s="61" t="s">
        <v>9</v>
      </c>
      <c r="F1646" s="45">
        <v>6000000</v>
      </c>
      <c r="G1646" s="45">
        <f>ROUNDDOWN(D1646*F1646,-3)</f>
        <v>24000000</v>
      </c>
      <c r="H1646" s="168">
        <v>62400000</v>
      </c>
      <c r="I1646" s="150" t="s">
        <v>557</v>
      </c>
      <c r="J1646" s="149" t="s">
        <v>3559</v>
      </c>
      <c r="K1646" s="149" t="s">
        <v>3571</v>
      </c>
      <c r="L1646" s="171">
        <f t="shared" si="45"/>
        <v>-38400000</v>
      </c>
    </row>
    <row r="1647" spans="1:12" x14ac:dyDescent="0.25">
      <c r="A1647" s="7" t="s">
        <v>2712</v>
      </c>
      <c r="B1647" s="192"/>
      <c r="C1647" s="191" t="s">
        <v>4409</v>
      </c>
      <c r="D1647" s="192">
        <v>200</v>
      </c>
      <c r="E1647" s="192" t="s">
        <v>10</v>
      </c>
      <c r="F1647" s="193">
        <v>69000</v>
      </c>
      <c r="G1647" s="45">
        <f>ROUNDDOWN(D1647*F1647,-3)</f>
        <v>13800000</v>
      </c>
      <c r="H1647" s="165">
        <v>345988000</v>
      </c>
      <c r="I1647" s="150" t="s">
        <v>557</v>
      </c>
      <c r="J1647" s="149" t="s">
        <v>3559</v>
      </c>
      <c r="K1647" s="149" t="s">
        <v>3571</v>
      </c>
      <c r="L1647" s="171">
        <f t="shared" si="45"/>
        <v>-332188000</v>
      </c>
    </row>
    <row r="1648" spans="1:12" ht="26.4" x14ac:dyDescent="0.25">
      <c r="A1648" s="7" t="s">
        <v>2714</v>
      </c>
      <c r="B1648" s="60">
        <v>521241</v>
      </c>
      <c r="C1648" s="41" t="s">
        <v>642</v>
      </c>
      <c r="D1648" s="60"/>
      <c r="E1648" s="60"/>
      <c r="F1648" s="42"/>
      <c r="G1648" s="42">
        <v>12000000</v>
      </c>
      <c r="H1648" s="165">
        <v>49300000</v>
      </c>
      <c r="I1648" s="150" t="s">
        <v>557</v>
      </c>
      <c r="J1648" s="149" t="s">
        <v>3559</v>
      </c>
      <c r="K1648" s="149" t="s">
        <v>3571</v>
      </c>
      <c r="L1648" s="171">
        <f t="shared" si="45"/>
        <v>-37300000</v>
      </c>
    </row>
    <row r="1649" spans="1:12" x14ac:dyDescent="0.25">
      <c r="A1649" s="7" t="s">
        <v>2715</v>
      </c>
      <c r="B1649" s="61"/>
      <c r="C1649" s="44" t="s">
        <v>4410</v>
      </c>
      <c r="D1649" s="61">
        <v>60</v>
      </c>
      <c r="E1649" s="61" t="s">
        <v>21</v>
      </c>
      <c r="F1649" s="45">
        <v>200000</v>
      </c>
      <c r="G1649" s="45">
        <f>ROUNDDOWN(D1649*F1649,-3)</f>
        <v>12000000</v>
      </c>
      <c r="H1649" s="168">
        <v>15000000</v>
      </c>
      <c r="I1649" s="150" t="s">
        <v>557</v>
      </c>
      <c r="J1649" s="149" t="s">
        <v>3559</v>
      </c>
      <c r="K1649" s="149" t="s">
        <v>3571</v>
      </c>
      <c r="L1649" s="171">
        <f t="shared" si="45"/>
        <v>-3000000</v>
      </c>
    </row>
    <row r="1650" spans="1:12" x14ac:dyDescent="0.25">
      <c r="A1650" s="7" t="s">
        <v>2717</v>
      </c>
      <c r="B1650" s="60">
        <v>522151</v>
      </c>
      <c r="C1650" s="41" t="s">
        <v>11</v>
      </c>
      <c r="D1650" s="60"/>
      <c r="E1650" s="60"/>
      <c r="F1650" s="42"/>
      <c r="G1650" s="42">
        <v>30700000</v>
      </c>
      <c r="H1650" s="168">
        <v>20300000</v>
      </c>
      <c r="I1650" s="150" t="s">
        <v>557</v>
      </c>
      <c r="J1650" s="149" t="s">
        <v>3559</v>
      </c>
      <c r="K1650" s="149" t="s">
        <v>3571</v>
      </c>
      <c r="L1650" s="171">
        <f t="shared" si="45"/>
        <v>10400000</v>
      </c>
    </row>
    <row r="1651" spans="1:12" x14ac:dyDescent="0.25">
      <c r="A1651" s="7" t="s">
        <v>2718</v>
      </c>
      <c r="B1651" s="61"/>
      <c r="C1651" s="44" t="s">
        <v>4411</v>
      </c>
      <c r="D1651" s="61">
        <v>3</v>
      </c>
      <c r="E1651" s="61" t="s">
        <v>12</v>
      </c>
      <c r="F1651" s="45">
        <v>1700000</v>
      </c>
      <c r="G1651" s="45">
        <f>ROUNDDOWN(D1651*F1651,-3)</f>
        <v>5100000</v>
      </c>
      <c r="H1651" s="168">
        <v>14000000</v>
      </c>
      <c r="I1651" s="150" t="s">
        <v>557</v>
      </c>
      <c r="J1651" s="149" t="s">
        <v>3559</v>
      </c>
      <c r="K1651" s="149" t="s">
        <v>3571</v>
      </c>
      <c r="L1651" s="171">
        <f t="shared" si="45"/>
        <v>-8900000</v>
      </c>
    </row>
    <row r="1652" spans="1:12" x14ac:dyDescent="0.25">
      <c r="A1652" s="7" t="s">
        <v>2720</v>
      </c>
      <c r="B1652" s="192"/>
      <c r="C1652" s="191" t="s">
        <v>4412</v>
      </c>
      <c r="D1652" s="192">
        <v>8</v>
      </c>
      <c r="E1652" s="192" t="s">
        <v>12</v>
      </c>
      <c r="F1652" s="193">
        <v>1400000</v>
      </c>
      <c r="G1652" s="45">
        <f>ROUNDDOWN(D1652*F1652,-3)</f>
        <v>11200000</v>
      </c>
      <c r="H1652" s="165">
        <v>1000000</v>
      </c>
      <c r="I1652" s="150" t="s">
        <v>557</v>
      </c>
      <c r="J1652" s="149" t="s">
        <v>3559</v>
      </c>
      <c r="K1652" s="149" t="s">
        <v>3571</v>
      </c>
      <c r="L1652" s="171">
        <f t="shared" si="45"/>
        <v>10200000</v>
      </c>
    </row>
    <row r="1653" spans="1:12" x14ac:dyDescent="0.25">
      <c r="A1653" s="7" t="s">
        <v>2722</v>
      </c>
      <c r="B1653" s="61"/>
      <c r="C1653" s="44" t="s">
        <v>4413</v>
      </c>
      <c r="D1653" s="61">
        <v>8</v>
      </c>
      <c r="E1653" s="61" t="s">
        <v>12</v>
      </c>
      <c r="F1653" s="45">
        <v>1000000</v>
      </c>
      <c r="G1653" s="45">
        <f>ROUNDDOWN(D1653*F1653,-3)</f>
        <v>8000000</v>
      </c>
      <c r="H1653" s="168">
        <v>1000000</v>
      </c>
      <c r="I1653" s="150" t="s">
        <v>557</v>
      </c>
      <c r="J1653" s="149" t="s">
        <v>3559</v>
      </c>
      <c r="K1653" s="149" t="s">
        <v>3571</v>
      </c>
      <c r="L1653" s="171">
        <f t="shared" si="45"/>
        <v>7000000</v>
      </c>
    </row>
    <row r="1654" spans="1:12" x14ac:dyDescent="0.25">
      <c r="A1654" s="7" t="s">
        <v>2724</v>
      </c>
      <c r="B1654" s="192"/>
      <c r="C1654" s="191" t="s">
        <v>4414</v>
      </c>
      <c r="D1654" s="192">
        <v>8</v>
      </c>
      <c r="E1654" s="192" t="s">
        <v>12</v>
      </c>
      <c r="F1654" s="193">
        <v>800000</v>
      </c>
      <c r="G1654" s="45">
        <f>ROUNDDOWN(D1654*F1654,-3)</f>
        <v>6400000</v>
      </c>
      <c r="H1654" s="165">
        <v>25000000</v>
      </c>
      <c r="I1654" s="150" t="s">
        <v>557</v>
      </c>
      <c r="J1654" s="149" t="s">
        <v>3559</v>
      </c>
      <c r="K1654" s="149" t="s">
        <v>3571</v>
      </c>
      <c r="L1654" s="171">
        <f t="shared" si="45"/>
        <v>-18600000</v>
      </c>
    </row>
    <row r="1655" spans="1:12" x14ac:dyDescent="0.25">
      <c r="A1655" s="7" t="s">
        <v>2726</v>
      </c>
      <c r="B1655" s="60">
        <v>522191</v>
      </c>
      <c r="C1655" s="41" t="s">
        <v>22</v>
      </c>
      <c r="D1655" s="60"/>
      <c r="E1655" s="60"/>
      <c r="F1655" s="42"/>
      <c r="G1655" s="42">
        <v>320000000</v>
      </c>
      <c r="H1655" s="168">
        <v>10000000</v>
      </c>
      <c r="I1655" s="150" t="s">
        <v>557</v>
      </c>
      <c r="J1655" s="149" t="s">
        <v>3559</v>
      </c>
      <c r="K1655" s="149" t="s">
        <v>3571</v>
      </c>
      <c r="L1655" s="171">
        <f t="shared" si="45"/>
        <v>310000000</v>
      </c>
    </row>
    <row r="1656" spans="1:12" ht="26.4" x14ac:dyDescent="0.25">
      <c r="A1656" s="7" t="s">
        <v>2727</v>
      </c>
      <c r="B1656" s="61"/>
      <c r="C1656" s="44" t="s">
        <v>4415</v>
      </c>
      <c r="D1656" s="61">
        <v>1</v>
      </c>
      <c r="E1656" s="61" t="s">
        <v>9</v>
      </c>
      <c r="F1656" s="45">
        <v>50000000</v>
      </c>
      <c r="G1656" s="45">
        <f>ROUNDDOWN(D1656*F1656,-3)</f>
        <v>50000000</v>
      </c>
      <c r="H1656" s="168">
        <v>15000000</v>
      </c>
      <c r="I1656" s="150" t="s">
        <v>557</v>
      </c>
      <c r="J1656" s="149" t="s">
        <v>3559</v>
      </c>
      <c r="K1656" s="149" t="s">
        <v>3571</v>
      </c>
      <c r="L1656" s="171">
        <f t="shared" si="45"/>
        <v>35000000</v>
      </c>
    </row>
    <row r="1657" spans="1:12" x14ac:dyDescent="0.25">
      <c r="A1657" s="7" t="s">
        <v>2729</v>
      </c>
      <c r="B1657" s="192"/>
      <c r="C1657" s="191" t="s">
        <v>4416</v>
      </c>
      <c r="D1657" s="192">
        <v>5</v>
      </c>
      <c r="E1657" s="192" t="s">
        <v>9</v>
      </c>
      <c r="F1657" s="193">
        <v>27000000</v>
      </c>
      <c r="G1657" s="45">
        <f>ROUNDDOWN(D1657*F1657,-3)</f>
        <v>135000000</v>
      </c>
      <c r="H1657" s="165">
        <v>12000000</v>
      </c>
      <c r="I1657" s="150" t="s">
        <v>557</v>
      </c>
      <c r="J1657" s="149" t="s">
        <v>3559</v>
      </c>
      <c r="K1657" s="149" t="s">
        <v>3571</v>
      </c>
      <c r="L1657" s="171">
        <f t="shared" si="45"/>
        <v>123000000</v>
      </c>
    </row>
    <row r="1658" spans="1:12" x14ac:dyDescent="0.25">
      <c r="A1658" s="7" t="s">
        <v>2731</v>
      </c>
      <c r="B1658" s="61"/>
      <c r="C1658" s="44" t="s">
        <v>4417</v>
      </c>
      <c r="D1658" s="61">
        <v>5</v>
      </c>
      <c r="E1658" s="61" t="s">
        <v>9</v>
      </c>
      <c r="F1658" s="45">
        <v>27000000</v>
      </c>
      <c r="G1658" s="45">
        <f>ROUNDDOWN(D1658*F1658,-3)</f>
        <v>135000000</v>
      </c>
      <c r="H1658" s="168">
        <v>12000000</v>
      </c>
      <c r="I1658" s="150" t="s">
        <v>557</v>
      </c>
      <c r="J1658" s="149" t="s">
        <v>3559</v>
      </c>
      <c r="K1658" s="149" t="s">
        <v>3571</v>
      </c>
      <c r="L1658" s="171">
        <f t="shared" si="45"/>
        <v>123000000</v>
      </c>
    </row>
    <row r="1659" spans="1:12" x14ac:dyDescent="0.25">
      <c r="A1659" s="7" t="s">
        <v>2733</v>
      </c>
      <c r="B1659" s="60">
        <v>524111</v>
      </c>
      <c r="C1659" s="41" t="s">
        <v>19</v>
      </c>
      <c r="D1659" s="60"/>
      <c r="E1659" s="60"/>
      <c r="F1659" s="42"/>
      <c r="G1659" s="42">
        <v>40000000</v>
      </c>
      <c r="H1659" s="165">
        <v>258688000</v>
      </c>
      <c r="I1659" s="150" t="s">
        <v>557</v>
      </c>
      <c r="J1659" s="149" t="s">
        <v>3559</v>
      </c>
      <c r="K1659" s="149" t="s">
        <v>3571</v>
      </c>
      <c r="L1659" s="171">
        <f t="shared" si="45"/>
        <v>-218688000</v>
      </c>
    </row>
    <row r="1660" spans="1:12" ht="26.4" x14ac:dyDescent="0.25">
      <c r="A1660" s="7" t="s">
        <v>2734</v>
      </c>
      <c r="B1660" s="61"/>
      <c r="C1660" s="44" t="s">
        <v>4418</v>
      </c>
      <c r="D1660" s="61">
        <v>10</v>
      </c>
      <c r="E1660" s="61" t="s">
        <v>10</v>
      </c>
      <c r="F1660" s="45">
        <v>4000000</v>
      </c>
      <c r="G1660" s="45">
        <f>ROUNDDOWN(D1660*F1660,-3)</f>
        <v>40000000</v>
      </c>
      <c r="H1660" s="168">
        <v>258688000</v>
      </c>
      <c r="I1660" s="150" t="s">
        <v>557</v>
      </c>
      <c r="J1660" s="149" t="s">
        <v>3559</v>
      </c>
      <c r="K1660" s="149" t="s">
        <v>3571</v>
      </c>
      <c r="L1660" s="171">
        <f t="shared" si="45"/>
        <v>-218688000</v>
      </c>
    </row>
    <row r="1661" spans="1:12" x14ac:dyDescent="0.25">
      <c r="A1661" s="7" t="s">
        <v>2736</v>
      </c>
      <c r="B1661" s="60">
        <v>524113</v>
      </c>
      <c r="C1661" s="41" t="s">
        <v>13</v>
      </c>
      <c r="D1661" s="60"/>
      <c r="E1661" s="60"/>
      <c r="F1661" s="42"/>
      <c r="G1661" s="42">
        <v>3000000</v>
      </c>
      <c r="H1661" s="165">
        <v>168100000</v>
      </c>
      <c r="I1661" s="150" t="s">
        <v>557</v>
      </c>
      <c r="J1661" s="149" t="s">
        <v>3559</v>
      </c>
      <c r="K1661" s="149" t="s">
        <v>3571</v>
      </c>
      <c r="L1661" s="171">
        <f t="shared" si="45"/>
        <v>-165100000</v>
      </c>
    </row>
    <row r="1662" spans="1:12" x14ac:dyDescent="0.25">
      <c r="A1662" s="7" t="s">
        <v>2737</v>
      </c>
      <c r="B1662" s="192"/>
      <c r="C1662" s="191" t="s">
        <v>4419</v>
      </c>
      <c r="D1662" s="192">
        <v>20</v>
      </c>
      <c r="E1662" s="192" t="s">
        <v>10</v>
      </c>
      <c r="F1662" s="193">
        <v>150000</v>
      </c>
      <c r="G1662" s="45">
        <f>ROUNDDOWN(D1662*F1662,-3)</f>
        <v>3000000</v>
      </c>
      <c r="H1662" s="165">
        <v>39500000</v>
      </c>
      <c r="I1662" s="150" t="s">
        <v>557</v>
      </c>
      <c r="J1662" s="149" t="s">
        <v>3559</v>
      </c>
      <c r="K1662" s="149" t="s">
        <v>3571</v>
      </c>
      <c r="L1662" s="171">
        <f t="shared" si="45"/>
        <v>-36500000</v>
      </c>
    </row>
    <row r="1663" spans="1:12" ht="26.4" x14ac:dyDescent="0.25">
      <c r="A1663" s="7" t="s">
        <v>2739</v>
      </c>
      <c r="B1663" s="58">
        <v>301</v>
      </c>
      <c r="C1663" s="35" t="s">
        <v>2740</v>
      </c>
      <c r="D1663" s="58">
        <v>0</v>
      </c>
      <c r="E1663" s="58"/>
      <c r="F1663" s="36"/>
      <c r="G1663" s="36">
        <v>615138000</v>
      </c>
      <c r="H1663" s="168">
        <v>15000000</v>
      </c>
      <c r="I1663" s="150" t="s">
        <v>557</v>
      </c>
      <c r="J1663" s="149" t="s">
        <v>3559</v>
      </c>
      <c r="K1663" s="149" t="s">
        <v>3571</v>
      </c>
      <c r="L1663" s="171">
        <f t="shared" si="45"/>
        <v>600138000</v>
      </c>
    </row>
    <row r="1664" spans="1:12" x14ac:dyDescent="0.25">
      <c r="A1664" s="7" t="s">
        <v>2741</v>
      </c>
      <c r="B1664" s="59" t="s">
        <v>8</v>
      </c>
      <c r="C1664" s="38" t="s">
        <v>129</v>
      </c>
      <c r="D1664" s="59"/>
      <c r="E1664" s="59"/>
      <c r="F1664" s="39"/>
      <c r="G1664" s="39">
        <v>101050000</v>
      </c>
      <c r="H1664" s="168">
        <v>10500000</v>
      </c>
      <c r="I1664" s="150" t="s">
        <v>557</v>
      </c>
      <c r="J1664" s="149" t="s">
        <v>3559</v>
      </c>
      <c r="K1664" s="149" t="s">
        <v>3571</v>
      </c>
      <c r="L1664" s="171">
        <f t="shared" si="45"/>
        <v>90550000</v>
      </c>
    </row>
    <row r="1665" spans="1:12" x14ac:dyDescent="0.25">
      <c r="A1665" s="7" t="s">
        <v>2742</v>
      </c>
      <c r="B1665" s="60">
        <v>521211</v>
      </c>
      <c r="C1665" s="41" t="s">
        <v>7</v>
      </c>
      <c r="D1665" s="60"/>
      <c r="E1665" s="60"/>
      <c r="F1665" s="42"/>
      <c r="G1665" s="42">
        <v>22650000</v>
      </c>
      <c r="H1665" s="168">
        <v>14000000</v>
      </c>
      <c r="I1665" s="150" t="s">
        <v>557</v>
      </c>
      <c r="J1665" s="149" t="s">
        <v>3559</v>
      </c>
      <c r="K1665" s="149" t="s">
        <v>3571</v>
      </c>
      <c r="L1665" s="171">
        <f t="shared" si="45"/>
        <v>8650000</v>
      </c>
    </row>
    <row r="1666" spans="1:12" x14ac:dyDescent="0.25">
      <c r="A1666" s="7" t="s">
        <v>2743</v>
      </c>
      <c r="B1666" s="192"/>
      <c r="C1666" s="191" t="s">
        <v>3598</v>
      </c>
      <c r="D1666" s="192">
        <v>6</v>
      </c>
      <c r="E1666" s="192" t="s">
        <v>9</v>
      </c>
      <c r="F1666" s="193">
        <v>1500000</v>
      </c>
      <c r="G1666" s="45">
        <f>ROUNDDOWN(D1666*F1666,-3)</f>
        <v>9000000</v>
      </c>
      <c r="H1666" s="165">
        <v>25000000</v>
      </c>
      <c r="I1666" s="150" t="s">
        <v>557</v>
      </c>
      <c r="J1666" s="149" t="s">
        <v>3559</v>
      </c>
      <c r="K1666" s="149" t="s">
        <v>3571</v>
      </c>
      <c r="L1666" s="171">
        <f t="shared" si="45"/>
        <v>-16000000</v>
      </c>
    </row>
    <row r="1667" spans="1:12" x14ac:dyDescent="0.25">
      <c r="A1667" s="7" t="s">
        <v>2744</v>
      </c>
      <c r="B1667" s="61"/>
      <c r="C1667" s="44" t="s">
        <v>4420</v>
      </c>
      <c r="D1667" s="61">
        <v>70</v>
      </c>
      <c r="E1667" s="61" t="s">
        <v>10</v>
      </c>
      <c r="F1667" s="45">
        <v>70000</v>
      </c>
      <c r="G1667" s="45">
        <f>ROUNDDOWN(D1667*F1667,-3)</f>
        <v>4900000</v>
      </c>
      <c r="H1667" s="168">
        <v>10000000</v>
      </c>
      <c r="I1667" s="150" t="s">
        <v>557</v>
      </c>
      <c r="J1667" s="149" t="s">
        <v>3559</v>
      </c>
      <c r="K1667" s="149" t="s">
        <v>3571</v>
      </c>
      <c r="L1667" s="171">
        <f t="shared" si="45"/>
        <v>-5100000</v>
      </c>
    </row>
    <row r="1668" spans="1:12" x14ac:dyDescent="0.25">
      <c r="A1668" s="7" t="s">
        <v>2746</v>
      </c>
      <c r="B1668" s="61"/>
      <c r="C1668" s="44" t="s">
        <v>4421</v>
      </c>
      <c r="D1668" s="61">
        <v>25</v>
      </c>
      <c r="E1668" s="61" t="s">
        <v>176</v>
      </c>
      <c r="F1668" s="45">
        <v>350000</v>
      </c>
      <c r="G1668" s="45">
        <f>ROUNDDOWN(D1668*F1668,-3)</f>
        <v>8750000</v>
      </c>
      <c r="H1668" s="168">
        <v>15000000</v>
      </c>
      <c r="I1668" s="150" t="s">
        <v>557</v>
      </c>
      <c r="J1668" s="149" t="s">
        <v>3559</v>
      </c>
      <c r="K1668" s="149" t="s">
        <v>3571</v>
      </c>
      <c r="L1668" s="171">
        <f t="shared" si="45"/>
        <v>-6250000</v>
      </c>
    </row>
    <row r="1669" spans="1:12" x14ac:dyDescent="0.25">
      <c r="A1669" s="7" t="s">
        <v>2747</v>
      </c>
      <c r="B1669" s="60">
        <v>521219</v>
      </c>
      <c r="C1669" s="41" t="s">
        <v>53</v>
      </c>
      <c r="D1669" s="60"/>
      <c r="E1669" s="60"/>
      <c r="F1669" s="42"/>
      <c r="G1669" s="42">
        <v>1000000</v>
      </c>
      <c r="H1669" s="165">
        <v>10000000</v>
      </c>
      <c r="I1669" s="150" t="s">
        <v>557</v>
      </c>
      <c r="J1669" s="149" t="s">
        <v>3559</v>
      </c>
      <c r="K1669" s="149" t="s">
        <v>3571</v>
      </c>
      <c r="L1669" s="171">
        <f t="shared" si="45"/>
        <v>-9000000</v>
      </c>
    </row>
    <row r="1670" spans="1:12" x14ac:dyDescent="0.25">
      <c r="A1670" s="7" t="s">
        <v>2748</v>
      </c>
      <c r="B1670" s="61"/>
      <c r="C1670" s="44" t="s">
        <v>3722</v>
      </c>
      <c r="D1670" s="61">
        <v>4</v>
      </c>
      <c r="E1670" s="61" t="s">
        <v>2749</v>
      </c>
      <c r="F1670" s="45">
        <v>250000</v>
      </c>
      <c r="G1670" s="45">
        <f>ROUNDDOWN(D1670*F1670,-3)</f>
        <v>1000000</v>
      </c>
      <c r="H1670" s="168">
        <v>10000000</v>
      </c>
      <c r="I1670" s="150" t="s">
        <v>557</v>
      </c>
      <c r="J1670" s="149" t="s">
        <v>3559</v>
      </c>
      <c r="K1670" s="149" t="s">
        <v>3571</v>
      </c>
      <c r="L1670" s="171">
        <f t="shared" si="45"/>
        <v>-9000000</v>
      </c>
    </row>
    <row r="1671" spans="1:12" x14ac:dyDescent="0.25">
      <c r="A1671" s="7" t="s">
        <v>2750</v>
      </c>
      <c r="B1671" s="60">
        <v>521811</v>
      </c>
      <c r="C1671" s="41" t="s">
        <v>64</v>
      </c>
      <c r="D1671" s="60"/>
      <c r="E1671" s="60"/>
      <c r="F1671" s="42"/>
      <c r="G1671" s="42">
        <v>15000000</v>
      </c>
      <c r="H1671" s="165">
        <v>93600000</v>
      </c>
      <c r="I1671" s="150" t="s">
        <v>557</v>
      </c>
      <c r="J1671" s="149" t="s">
        <v>3559</v>
      </c>
      <c r="K1671" s="149" t="s">
        <v>3571</v>
      </c>
      <c r="L1671" s="171">
        <f t="shared" si="45"/>
        <v>-78600000</v>
      </c>
    </row>
    <row r="1672" spans="1:12" x14ac:dyDescent="0.25">
      <c r="A1672" s="7" t="s">
        <v>2751</v>
      </c>
      <c r="B1672" s="61"/>
      <c r="C1672" s="44" t="s">
        <v>3625</v>
      </c>
      <c r="D1672" s="61">
        <v>6</v>
      </c>
      <c r="E1672" s="61" t="s">
        <v>106</v>
      </c>
      <c r="F1672" s="45">
        <v>1000000</v>
      </c>
      <c r="G1672" s="45">
        <f>ROUNDDOWN(D1672*F1672,-3)</f>
        <v>6000000</v>
      </c>
      <c r="H1672" s="168">
        <v>93600000</v>
      </c>
      <c r="I1672" s="150" t="s">
        <v>557</v>
      </c>
      <c r="J1672" s="149" t="s">
        <v>3559</v>
      </c>
      <c r="K1672" s="149" t="s">
        <v>3571</v>
      </c>
      <c r="L1672" s="171">
        <f t="shared" si="45"/>
        <v>-87600000</v>
      </c>
    </row>
    <row r="1673" spans="1:12" x14ac:dyDescent="0.25">
      <c r="A1673" s="7" t="s">
        <v>2752</v>
      </c>
      <c r="B1673" s="192"/>
      <c r="C1673" s="191" t="s">
        <v>3626</v>
      </c>
      <c r="D1673" s="192">
        <v>6</v>
      </c>
      <c r="E1673" s="192" t="s">
        <v>106</v>
      </c>
      <c r="F1673" s="193">
        <v>1500000</v>
      </c>
      <c r="G1673" s="45">
        <f>ROUNDDOWN(D1673*F1673,-3)</f>
        <v>9000000</v>
      </c>
      <c r="H1673" s="165">
        <v>5188332000</v>
      </c>
      <c r="I1673" s="150"/>
      <c r="J1673" s="149"/>
      <c r="K1673" s="149"/>
      <c r="L1673" s="171">
        <f t="shared" si="45"/>
        <v>-5179332000</v>
      </c>
    </row>
    <row r="1674" spans="1:12" x14ac:dyDescent="0.25">
      <c r="A1674" s="7" t="s">
        <v>2753</v>
      </c>
      <c r="B1674" s="60">
        <v>524111</v>
      </c>
      <c r="C1674" s="41" t="s">
        <v>19</v>
      </c>
      <c r="D1674" s="60"/>
      <c r="E1674" s="60"/>
      <c r="F1674" s="42"/>
      <c r="G1674" s="42">
        <v>62400000</v>
      </c>
      <c r="H1674" s="165">
        <v>2600000000</v>
      </c>
      <c r="I1674" s="150" t="s">
        <v>3552</v>
      </c>
      <c r="J1674" s="149" t="s">
        <v>3561</v>
      </c>
      <c r="K1674" s="149" t="s">
        <v>3572</v>
      </c>
      <c r="L1674" s="171">
        <f t="shared" si="45"/>
        <v>-2537600000</v>
      </c>
    </row>
    <row r="1675" spans="1:12" ht="26.4" x14ac:dyDescent="0.25">
      <c r="A1675" s="7" t="s">
        <v>2754</v>
      </c>
      <c r="B1675" s="192"/>
      <c r="C1675" s="191" t="s">
        <v>4422</v>
      </c>
      <c r="D1675" s="192">
        <v>12</v>
      </c>
      <c r="E1675" s="192" t="s">
        <v>10</v>
      </c>
      <c r="F1675" s="193">
        <v>5200000</v>
      </c>
      <c r="G1675" s="45">
        <f>ROUNDDOWN(D1675*F1675,-3)</f>
        <v>62400000</v>
      </c>
      <c r="H1675" s="165">
        <v>1423330000</v>
      </c>
      <c r="I1675" s="150" t="s">
        <v>3552</v>
      </c>
      <c r="J1675" s="149" t="s">
        <v>3561</v>
      </c>
      <c r="K1675" s="149" t="s">
        <v>3572</v>
      </c>
      <c r="L1675" s="171">
        <f t="shared" si="45"/>
        <v>-1360930000</v>
      </c>
    </row>
    <row r="1676" spans="1:12" x14ac:dyDescent="0.25">
      <c r="A1676" s="7" t="s">
        <v>2756</v>
      </c>
      <c r="B1676" s="59" t="s">
        <v>511</v>
      </c>
      <c r="C1676" s="38" t="s">
        <v>130</v>
      </c>
      <c r="D1676" s="59"/>
      <c r="E1676" s="59"/>
      <c r="F1676" s="39"/>
      <c r="G1676" s="39">
        <v>345988000</v>
      </c>
      <c r="H1676" s="165">
        <v>130000000</v>
      </c>
      <c r="I1676" s="150" t="s">
        <v>3552</v>
      </c>
      <c r="J1676" s="149" t="s">
        <v>3561</v>
      </c>
      <c r="K1676" s="149" t="s">
        <v>3572</v>
      </c>
      <c r="L1676" s="171">
        <f t="shared" si="45"/>
        <v>215988000</v>
      </c>
    </row>
    <row r="1677" spans="1:12" x14ac:dyDescent="0.25">
      <c r="A1677" s="7" t="s">
        <v>2757</v>
      </c>
      <c r="B1677" s="60">
        <v>521211</v>
      </c>
      <c r="C1677" s="41" t="s">
        <v>7</v>
      </c>
      <c r="D1677" s="60"/>
      <c r="E1677" s="60"/>
      <c r="F1677" s="42"/>
      <c r="G1677" s="42">
        <v>49300000</v>
      </c>
      <c r="H1677" s="165">
        <v>8000000</v>
      </c>
      <c r="I1677" s="150" t="s">
        <v>3552</v>
      </c>
      <c r="J1677" s="149" t="s">
        <v>3561</v>
      </c>
      <c r="K1677" s="149" t="s">
        <v>3572</v>
      </c>
      <c r="L1677" s="171">
        <f t="shared" si="45"/>
        <v>41300000</v>
      </c>
    </row>
    <row r="1678" spans="1:12" x14ac:dyDescent="0.25">
      <c r="A1678" s="7" t="s">
        <v>2758</v>
      </c>
      <c r="B1678" s="61"/>
      <c r="C1678" s="44" t="s">
        <v>3598</v>
      </c>
      <c r="D1678" s="61">
        <v>10</v>
      </c>
      <c r="E1678" s="61" t="s">
        <v>9</v>
      </c>
      <c r="F1678" s="45">
        <v>1500000</v>
      </c>
      <c r="G1678" s="45">
        <f>ROUNDDOWN(D1678*F1678,-3)</f>
        <v>15000000</v>
      </c>
      <c r="H1678" s="165">
        <v>8000000</v>
      </c>
      <c r="I1678" s="150" t="s">
        <v>3552</v>
      </c>
      <c r="J1678" s="149" t="s">
        <v>3561</v>
      </c>
      <c r="K1678" s="149" t="s">
        <v>3572</v>
      </c>
      <c r="L1678" s="171">
        <f t="shared" ref="L1678:L1741" si="47">G1678-H1678</f>
        <v>7000000</v>
      </c>
    </row>
    <row r="1679" spans="1:12" x14ac:dyDescent="0.25">
      <c r="A1679" s="7" t="s">
        <v>2759</v>
      </c>
      <c r="B1679" s="61"/>
      <c r="C1679" s="44" t="s">
        <v>4420</v>
      </c>
      <c r="D1679" s="61">
        <v>290</v>
      </c>
      <c r="E1679" s="61" t="s">
        <v>10</v>
      </c>
      <c r="F1679" s="45">
        <v>70000</v>
      </c>
      <c r="G1679" s="45">
        <f>ROUNDDOWN(D1679*F1679,-3)</f>
        <v>20300000</v>
      </c>
      <c r="H1679" s="165">
        <v>3000000</v>
      </c>
      <c r="I1679" s="150" t="s">
        <v>3552</v>
      </c>
      <c r="J1679" s="149" t="s">
        <v>3561</v>
      </c>
      <c r="K1679" s="149" t="s">
        <v>3572</v>
      </c>
      <c r="L1679" s="171">
        <f t="shared" si="47"/>
        <v>17300000</v>
      </c>
    </row>
    <row r="1680" spans="1:12" x14ac:dyDescent="0.25">
      <c r="A1680" s="7" t="s">
        <v>2760</v>
      </c>
      <c r="B1680" s="61"/>
      <c r="C1680" s="44" t="s">
        <v>4421</v>
      </c>
      <c r="D1680" s="61">
        <v>40</v>
      </c>
      <c r="E1680" s="61" t="s">
        <v>176</v>
      </c>
      <c r="F1680" s="45">
        <v>350000</v>
      </c>
      <c r="G1680" s="45">
        <f>ROUNDDOWN(D1680*F1680,-3)</f>
        <v>14000000</v>
      </c>
      <c r="H1680" s="165">
        <v>3000000</v>
      </c>
      <c r="I1680" s="150" t="s">
        <v>3552</v>
      </c>
      <c r="J1680" s="149" t="s">
        <v>3561</v>
      </c>
      <c r="K1680" s="149" t="s">
        <v>3572</v>
      </c>
      <c r="L1680" s="171">
        <f t="shared" si="47"/>
        <v>11000000</v>
      </c>
    </row>
    <row r="1681" spans="1:12" x14ac:dyDescent="0.25">
      <c r="A1681" s="7" t="s">
        <v>2761</v>
      </c>
      <c r="B1681" s="60">
        <v>521219</v>
      </c>
      <c r="C1681" s="41" t="s">
        <v>53</v>
      </c>
      <c r="D1681" s="60"/>
      <c r="E1681" s="60"/>
      <c r="F1681" s="42"/>
      <c r="G1681" s="42">
        <v>1000000</v>
      </c>
      <c r="H1681" s="165">
        <v>98000000</v>
      </c>
      <c r="I1681" s="150" t="s">
        <v>3552</v>
      </c>
      <c r="J1681" s="149" t="s">
        <v>3561</v>
      </c>
      <c r="K1681" s="149" t="s">
        <v>3572</v>
      </c>
      <c r="L1681" s="171">
        <f t="shared" si="47"/>
        <v>-97000000</v>
      </c>
    </row>
    <row r="1682" spans="1:12" x14ac:dyDescent="0.25">
      <c r="A1682" s="7" t="s">
        <v>2762</v>
      </c>
      <c r="B1682" s="61"/>
      <c r="C1682" s="44" t="s">
        <v>3722</v>
      </c>
      <c r="D1682" s="61">
        <v>4</v>
      </c>
      <c r="E1682" s="61" t="s">
        <v>9</v>
      </c>
      <c r="F1682" s="45">
        <v>250000</v>
      </c>
      <c r="G1682" s="45">
        <f>ROUNDDOWN(D1682*F1682,-3)</f>
        <v>1000000</v>
      </c>
      <c r="H1682" s="165">
        <v>10000000</v>
      </c>
      <c r="I1682" s="150" t="s">
        <v>3552</v>
      </c>
      <c r="J1682" s="149" t="s">
        <v>3561</v>
      </c>
      <c r="K1682" s="149" t="s">
        <v>3572</v>
      </c>
      <c r="L1682" s="171">
        <f t="shared" si="47"/>
        <v>-9000000</v>
      </c>
    </row>
    <row r="1683" spans="1:12" x14ac:dyDescent="0.25">
      <c r="A1683" s="7" t="s">
        <v>2763</v>
      </c>
      <c r="B1683" s="60">
        <v>521811</v>
      </c>
      <c r="C1683" s="41" t="s">
        <v>64</v>
      </c>
      <c r="D1683" s="60"/>
      <c r="E1683" s="60"/>
      <c r="F1683" s="42"/>
      <c r="G1683" s="42">
        <v>25000000</v>
      </c>
      <c r="H1683" s="165">
        <v>16800000</v>
      </c>
      <c r="I1683" s="150" t="s">
        <v>3552</v>
      </c>
      <c r="J1683" s="149" t="s">
        <v>3561</v>
      </c>
      <c r="K1683" s="149" t="s">
        <v>3572</v>
      </c>
      <c r="L1683" s="171">
        <f t="shared" si="47"/>
        <v>8200000</v>
      </c>
    </row>
    <row r="1684" spans="1:12" x14ac:dyDescent="0.25">
      <c r="A1684" s="7" t="s">
        <v>2764</v>
      </c>
      <c r="B1684" s="61"/>
      <c r="C1684" s="44" t="s">
        <v>3625</v>
      </c>
      <c r="D1684" s="61">
        <v>10</v>
      </c>
      <c r="E1684" s="61" t="s">
        <v>106</v>
      </c>
      <c r="F1684" s="45">
        <v>1000000</v>
      </c>
      <c r="G1684" s="45">
        <f>ROUNDDOWN(D1684*F1684,-3)</f>
        <v>10000000</v>
      </c>
      <c r="H1684" s="165">
        <v>16800000</v>
      </c>
      <c r="I1684" s="150" t="s">
        <v>3552</v>
      </c>
      <c r="J1684" s="149" t="s">
        <v>3561</v>
      </c>
      <c r="K1684" s="149" t="s">
        <v>3572</v>
      </c>
      <c r="L1684" s="171">
        <f t="shared" si="47"/>
        <v>-6800000</v>
      </c>
    </row>
    <row r="1685" spans="1:12" x14ac:dyDescent="0.25">
      <c r="A1685" s="7" t="s">
        <v>2765</v>
      </c>
      <c r="B1685" s="192"/>
      <c r="C1685" s="191" t="s">
        <v>3626</v>
      </c>
      <c r="D1685" s="192">
        <v>10</v>
      </c>
      <c r="E1685" s="192" t="s">
        <v>106</v>
      </c>
      <c r="F1685" s="193">
        <v>1500000</v>
      </c>
      <c r="G1685" s="45">
        <f>ROUNDDOWN(D1685*F1685,-3)</f>
        <v>15000000</v>
      </c>
      <c r="H1685" s="165">
        <v>20000000</v>
      </c>
      <c r="I1685" s="150" t="s">
        <v>3552</v>
      </c>
      <c r="J1685" s="149" t="s">
        <v>3561</v>
      </c>
      <c r="K1685" s="149" t="s">
        <v>3572</v>
      </c>
      <c r="L1685" s="171">
        <f t="shared" si="47"/>
        <v>-5000000</v>
      </c>
    </row>
    <row r="1686" spans="1:12" x14ac:dyDescent="0.25">
      <c r="A1686" s="7" t="s">
        <v>2766</v>
      </c>
      <c r="B1686" s="60">
        <v>522151</v>
      </c>
      <c r="C1686" s="41" t="s">
        <v>11</v>
      </c>
      <c r="D1686" s="60"/>
      <c r="E1686" s="60"/>
      <c r="F1686" s="42"/>
      <c r="G1686" s="42">
        <v>12000000</v>
      </c>
      <c r="H1686" s="165">
        <v>10000000</v>
      </c>
      <c r="I1686" s="150" t="s">
        <v>3552</v>
      </c>
      <c r="J1686" s="149" t="s">
        <v>3561</v>
      </c>
      <c r="K1686" s="149" t="s">
        <v>3572</v>
      </c>
      <c r="L1686" s="171">
        <f t="shared" si="47"/>
        <v>2000000</v>
      </c>
    </row>
    <row r="1687" spans="1:12" x14ac:dyDescent="0.25">
      <c r="A1687" s="7" t="s">
        <v>2767</v>
      </c>
      <c r="B1687" s="61"/>
      <c r="C1687" s="44" t="s">
        <v>3715</v>
      </c>
      <c r="D1687" s="61">
        <v>12</v>
      </c>
      <c r="E1687" s="61" t="s">
        <v>54</v>
      </c>
      <c r="F1687" s="45">
        <v>1000000</v>
      </c>
      <c r="G1687" s="45">
        <f>ROUNDDOWN(D1687*F1687,-3)</f>
        <v>12000000</v>
      </c>
      <c r="H1687" s="165">
        <v>10000000</v>
      </c>
      <c r="I1687" s="150" t="s">
        <v>3552</v>
      </c>
      <c r="J1687" s="149" t="s">
        <v>3561</v>
      </c>
      <c r="K1687" s="149" t="s">
        <v>3572</v>
      </c>
      <c r="L1687" s="171">
        <f t="shared" si="47"/>
        <v>2000000</v>
      </c>
    </row>
    <row r="1688" spans="1:12" x14ac:dyDescent="0.25">
      <c r="A1688" s="7" t="s">
        <v>2768</v>
      </c>
      <c r="B1688" s="60">
        <v>524111</v>
      </c>
      <c r="C1688" s="41" t="s">
        <v>19</v>
      </c>
      <c r="D1688" s="60"/>
      <c r="E1688" s="60"/>
      <c r="F1688" s="42"/>
      <c r="G1688" s="42">
        <v>258688000</v>
      </c>
      <c r="H1688" s="165">
        <v>77000000</v>
      </c>
      <c r="I1688" s="150" t="s">
        <v>3552</v>
      </c>
      <c r="J1688" s="149" t="s">
        <v>3561</v>
      </c>
      <c r="K1688" s="149" t="s">
        <v>3572</v>
      </c>
      <c r="L1688" s="171">
        <f t="shared" si="47"/>
        <v>181688000</v>
      </c>
    </row>
    <row r="1689" spans="1:12" x14ac:dyDescent="0.25">
      <c r="A1689" s="7" t="s">
        <v>2769</v>
      </c>
      <c r="B1689" s="61"/>
      <c r="C1689" s="44" t="s">
        <v>4423</v>
      </c>
      <c r="D1689" s="61">
        <v>40</v>
      </c>
      <c r="E1689" s="61" t="s">
        <v>10</v>
      </c>
      <c r="F1689" s="45">
        <v>6467200</v>
      </c>
      <c r="G1689" s="45">
        <f>ROUNDDOWN(D1689*F1689,-3)</f>
        <v>258688000</v>
      </c>
      <c r="H1689" s="165">
        <v>20000000</v>
      </c>
      <c r="I1689" s="150" t="s">
        <v>3552</v>
      </c>
      <c r="J1689" s="149" t="s">
        <v>3561</v>
      </c>
      <c r="K1689" s="149" t="s">
        <v>3572</v>
      </c>
      <c r="L1689" s="171">
        <f t="shared" si="47"/>
        <v>238688000</v>
      </c>
    </row>
    <row r="1690" spans="1:12" x14ac:dyDescent="0.25">
      <c r="A1690" s="7" t="s">
        <v>2771</v>
      </c>
      <c r="B1690" s="59" t="s">
        <v>512</v>
      </c>
      <c r="C1690" s="38" t="s">
        <v>131</v>
      </c>
      <c r="D1690" s="59"/>
      <c r="E1690" s="59"/>
      <c r="F1690" s="39"/>
      <c r="G1690" s="39">
        <v>168100000</v>
      </c>
      <c r="H1690" s="165">
        <v>54000000</v>
      </c>
      <c r="I1690" s="150" t="s">
        <v>3552</v>
      </c>
      <c r="J1690" s="149" t="s">
        <v>3561</v>
      </c>
      <c r="K1690" s="149" t="s">
        <v>3572</v>
      </c>
      <c r="L1690" s="171">
        <f t="shared" si="47"/>
        <v>114100000</v>
      </c>
    </row>
    <row r="1691" spans="1:12" x14ac:dyDescent="0.25">
      <c r="A1691" s="7" t="s">
        <v>2772</v>
      </c>
      <c r="B1691" s="60">
        <v>521211</v>
      </c>
      <c r="C1691" s="41" t="s">
        <v>7</v>
      </c>
      <c r="D1691" s="60"/>
      <c r="E1691" s="60"/>
      <c r="F1691" s="42"/>
      <c r="G1691" s="42">
        <v>39500000</v>
      </c>
      <c r="H1691" s="165">
        <v>3000000</v>
      </c>
      <c r="I1691" s="150" t="s">
        <v>3552</v>
      </c>
      <c r="J1691" s="149" t="s">
        <v>3561</v>
      </c>
      <c r="K1691" s="149" t="s">
        <v>3572</v>
      </c>
      <c r="L1691" s="171">
        <f t="shared" si="47"/>
        <v>36500000</v>
      </c>
    </row>
    <row r="1692" spans="1:12" x14ac:dyDescent="0.25">
      <c r="A1692" s="7" t="s">
        <v>2773</v>
      </c>
      <c r="B1692" s="192"/>
      <c r="C1692" s="191" t="s">
        <v>3598</v>
      </c>
      <c r="D1692" s="192">
        <v>10</v>
      </c>
      <c r="E1692" s="192" t="s">
        <v>9</v>
      </c>
      <c r="F1692" s="193">
        <v>1500000</v>
      </c>
      <c r="G1692" s="45">
        <f>ROUNDDOWN(D1692*F1692,-3)</f>
        <v>15000000</v>
      </c>
      <c r="H1692" s="165">
        <v>25200000</v>
      </c>
      <c r="I1692" s="150" t="s">
        <v>3552</v>
      </c>
      <c r="J1692" s="149" t="s">
        <v>3561</v>
      </c>
      <c r="K1692" s="149" t="s">
        <v>3572</v>
      </c>
      <c r="L1692" s="171">
        <f t="shared" si="47"/>
        <v>-10200000</v>
      </c>
    </row>
    <row r="1693" spans="1:12" x14ac:dyDescent="0.25">
      <c r="A1693" s="7" t="s">
        <v>2774</v>
      </c>
      <c r="B1693" s="61"/>
      <c r="C1693" s="44" t="s">
        <v>4420</v>
      </c>
      <c r="D1693" s="61">
        <v>150</v>
      </c>
      <c r="E1693" s="61" t="s">
        <v>10</v>
      </c>
      <c r="F1693" s="45">
        <v>70000</v>
      </c>
      <c r="G1693" s="45">
        <f>ROUNDDOWN(D1693*F1693,-3)</f>
        <v>10500000</v>
      </c>
      <c r="H1693" s="165">
        <v>25200000</v>
      </c>
      <c r="I1693" s="150" t="s">
        <v>3552</v>
      </c>
      <c r="J1693" s="149" t="s">
        <v>3561</v>
      </c>
      <c r="K1693" s="149" t="s">
        <v>3572</v>
      </c>
      <c r="L1693" s="171">
        <f t="shared" si="47"/>
        <v>-14700000</v>
      </c>
    </row>
    <row r="1694" spans="1:12" x14ac:dyDescent="0.25">
      <c r="A1694" s="7" t="s">
        <v>2775</v>
      </c>
      <c r="B1694" s="192"/>
      <c r="C1694" s="191" t="s">
        <v>4421</v>
      </c>
      <c r="D1694" s="192">
        <v>40</v>
      </c>
      <c r="E1694" s="192" t="s">
        <v>176</v>
      </c>
      <c r="F1694" s="193">
        <v>350000</v>
      </c>
      <c r="G1694" s="45">
        <f>ROUNDDOWN(D1694*F1694,-3)</f>
        <v>14000000</v>
      </c>
      <c r="H1694" s="165">
        <v>1102850000</v>
      </c>
      <c r="I1694" s="150" t="s">
        <v>3552</v>
      </c>
      <c r="J1694" s="149" t="s">
        <v>3561</v>
      </c>
      <c r="K1694" s="149" t="s">
        <v>3572</v>
      </c>
      <c r="L1694" s="171">
        <f t="shared" si="47"/>
        <v>-1088850000</v>
      </c>
    </row>
    <row r="1695" spans="1:12" x14ac:dyDescent="0.25">
      <c r="A1695" s="7" t="s">
        <v>2776</v>
      </c>
      <c r="B1695" s="60">
        <v>521811</v>
      </c>
      <c r="C1695" s="41" t="s">
        <v>64</v>
      </c>
      <c r="D1695" s="60"/>
      <c r="E1695" s="60"/>
      <c r="F1695" s="42"/>
      <c r="G1695" s="42">
        <v>25000000</v>
      </c>
      <c r="H1695" s="165">
        <v>400000000</v>
      </c>
      <c r="I1695" s="150" t="s">
        <v>3552</v>
      </c>
      <c r="J1695" s="149" t="s">
        <v>3561</v>
      </c>
      <c r="K1695" s="149" t="s">
        <v>3572</v>
      </c>
      <c r="L1695" s="171">
        <f t="shared" si="47"/>
        <v>-375000000</v>
      </c>
    </row>
    <row r="1696" spans="1:12" x14ac:dyDescent="0.25">
      <c r="A1696" s="7" t="s">
        <v>2777</v>
      </c>
      <c r="B1696" s="61"/>
      <c r="C1696" s="44" t="s">
        <v>3625</v>
      </c>
      <c r="D1696" s="61">
        <v>10</v>
      </c>
      <c r="E1696" s="61" t="s">
        <v>106</v>
      </c>
      <c r="F1696" s="45">
        <v>1000000</v>
      </c>
      <c r="G1696" s="45">
        <f>ROUNDDOWN(D1696*F1696,-3)</f>
        <v>10000000</v>
      </c>
      <c r="H1696" s="165">
        <v>200000000</v>
      </c>
      <c r="I1696" s="150" t="s">
        <v>3552</v>
      </c>
      <c r="J1696" s="149" t="s">
        <v>3561</v>
      </c>
      <c r="K1696" s="149" t="s">
        <v>3572</v>
      </c>
      <c r="L1696" s="171">
        <f t="shared" si="47"/>
        <v>-190000000</v>
      </c>
    </row>
    <row r="1697" spans="1:12" x14ac:dyDescent="0.25">
      <c r="A1697" s="7" t="s">
        <v>2778</v>
      </c>
      <c r="B1697" s="61"/>
      <c r="C1697" s="44" t="s">
        <v>3626</v>
      </c>
      <c r="D1697" s="61">
        <v>10</v>
      </c>
      <c r="E1697" s="61" t="s">
        <v>106</v>
      </c>
      <c r="F1697" s="45">
        <v>1500000</v>
      </c>
      <c r="G1697" s="45">
        <f>ROUNDDOWN(D1697*F1697,-3)</f>
        <v>15000000</v>
      </c>
      <c r="H1697" s="165">
        <v>200000000</v>
      </c>
      <c r="I1697" s="150" t="s">
        <v>3552</v>
      </c>
      <c r="J1697" s="149" t="s">
        <v>3561</v>
      </c>
      <c r="K1697" s="149" t="s">
        <v>3572</v>
      </c>
      <c r="L1697" s="171">
        <f t="shared" si="47"/>
        <v>-185000000</v>
      </c>
    </row>
    <row r="1698" spans="1:12" x14ac:dyDescent="0.25">
      <c r="A1698" s="7" t="s">
        <v>2779</v>
      </c>
      <c r="B1698" s="60">
        <v>522151</v>
      </c>
      <c r="C1698" s="41" t="s">
        <v>11</v>
      </c>
      <c r="D1698" s="60"/>
      <c r="E1698" s="60"/>
      <c r="F1698" s="42"/>
      <c r="G1698" s="42">
        <v>10000000</v>
      </c>
      <c r="H1698" s="165">
        <v>150000000</v>
      </c>
      <c r="I1698" s="150" t="s">
        <v>3552</v>
      </c>
      <c r="J1698" s="149" t="s">
        <v>3561</v>
      </c>
      <c r="K1698" s="149" t="s">
        <v>3572</v>
      </c>
      <c r="L1698" s="171">
        <f t="shared" si="47"/>
        <v>-140000000</v>
      </c>
    </row>
    <row r="1699" spans="1:12" x14ac:dyDescent="0.25">
      <c r="A1699" s="7" t="s">
        <v>2780</v>
      </c>
      <c r="B1699" s="61"/>
      <c r="C1699" s="44" t="s">
        <v>3715</v>
      </c>
      <c r="D1699" s="61">
        <v>10</v>
      </c>
      <c r="E1699" s="61" t="s">
        <v>54</v>
      </c>
      <c r="F1699" s="45">
        <v>1000000</v>
      </c>
      <c r="G1699" s="45">
        <f>ROUNDDOWN(D1699*F1699,-3)</f>
        <v>10000000</v>
      </c>
      <c r="H1699" s="165">
        <v>152850000</v>
      </c>
      <c r="I1699" s="150" t="s">
        <v>3552</v>
      </c>
      <c r="J1699" s="149" t="s">
        <v>3561</v>
      </c>
      <c r="K1699" s="149" t="s">
        <v>3572</v>
      </c>
      <c r="L1699" s="171">
        <f t="shared" si="47"/>
        <v>-142850000</v>
      </c>
    </row>
    <row r="1700" spans="1:12" x14ac:dyDescent="0.25">
      <c r="A1700" s="7" t="s">
        <v>2781</v>
      </c>
      <c r="B1700" s="60">
        <v>524111</v>
      </c>
      <c r="C1700" s="41" t="s">
        <v>19</v>
      </c>
      <c r="D1700" s="60"/>
      <c r="E1700" s="60"/>
      <c r="F1700" s="42"/>
      <c r="G1700" s="42">
        <v>93600000</v>
      </c>
      <c r="H1700" s="165">
        <v>51480000</v>
      </c>
      <c r="I1700" s="150" t="s">
        <v>3552</v>
      </c>
      <c r="J1700" s="149" t="s">
        <v>3561</v>
      </c>
      <c r="K1700" s="149" t="s">
        <v>3572</v>
      </c>
      <c r="L1700" s="171">
        <f t="shared" si="47"/>
        <v>42120000</v>
      </c>
    </row>
    <row r="1701" spans="1:12" ht="26.4" x14ac:dyDescent="0.25">
      <c r="A1701" s="7" t="s">
        <v>2782</v>
      </c>
      <c r="B1701" s="61"/>
      <c r="C1701" s="44" t="s">
        <v>4424</v>
      </c>
      <c r="D1701" s="61">
        <v>18</v>
      </c>
      <c r="E1701" s="61" t="s">
        <v>10</v>
      </c>
      <c r="F1701" s="45">
        <v>5200000</v>
      </c>
      <c r="G1701" s="45">
        <f>ROUNDDOWN(D1701*F1701,-3)</f>
        <v>93600000</v>
      </c>
      <c r="H1701" s="165">
        <v>30030000</v>
      </c>
      <c r="I1701" s="150" t="s">
        <v>3552</v>
      </c>
      <c r="J1701" s="149" t="s">
        <v>3561</v>
      </c>
      <c r="K1701" s="149" t="s">
        <v>3572</v>
      </c>
      <c r="L1701" s="171">
        <f t="shared" si="47"/>
        <v>63570000</v>
      </c>
    </row>
    <row r="1702" spans="1:12" x14ac:dyDescent="0.25">
      <c r="A1702" s="7" t="s">
        <v>2784</v>
      </c>
      <c r="B1702" s="138" t="s">
        <v>4425</v>
      </c>
      <c r="C1702" s="137" t="s">
        <v>2786</v>
      </c>
      <c r="D1702" s="138">
        <v>2</v>
      </c>
      <c r="E1702" s="138" t="s">
        <v>4315</v>
      </c>
      <c r="F1702" s="139"/>
      <c r="G1702" s="139">
        <v>5188332000</v>
      </c>
      <c r="H1702" s="165">
        <v>21450000</v>
      </c>
      <c r="I1702" s="150" t="s">
        <v>3552</v>
      </c>
      <c r="J1702" s="149" t="s">
        <v>3561</v>
      </c>
      <c r="K1702" s="149" t="s">
        <v>3572</v>
      </c>
      <c r="L1702" s="171">
        <f t="shared" si="47"/>
        <v>5166882000</v>
      </c>
    </row>
    <row r="1703" spans="1:12" ht="26.4" x14ac:dyDescent="0.25">
      <c r="A1703" s="7" t="s">
        <v>2787</v>
      </c>
      <c r="B1703" s="58">
        <v>101</v>
      </c>
      <c r="C1703" s="35" t="s">
        <v>2788</v>
      </c>
      <c r="D1703" s="58">
        <v>0</v>
      </c>
      <c r="E1703" s="58"/>
      <c r="F1703" s="36"/>
      <c r="G1703" s="36">
        <v>2600000000</v>
      </c>
      <c r="H1703" s="165">
        <v>802220000</v>
      </c>
      <c r="I1703" s="150" t="s">
        <v>3552</v>
      </c>
      <c r="J1703" s="149" t="s">
        <v>3561</v>
      </c>
      <c r="K1703" s="149" t="s">
        <v>3572</v>
      </c>
      <c r="L1703" s="171">
        <f t="shared" si="47"/>
        <v>1797780000</v>
      </c>
    </row>
    <row r="1704" spans="1:12" x14ac:dyDescent="0.25">
      <c r="A1704" s="7" t="s">
        <v>2789</v>
      </c>
      <c r="B1704" s="59" t="s">
        <v>8</v>
      </c>
      <c r="C1704" s="38" t="s">
        <v>162</v>
      </c>
      <c r="D1704" s="59"/>
      <c r="E1704" s="59"/>
      <c r="F1704" s="39"/>
      <c r="G1704" s="39">
        <v>1423330000</v>
      </c>
      <c r="H1704" s="165">
        <v>75900000</v>
      </c>
      <c r="I1704" s="150" t="s">
        <v>3552</v>
      </c>
      <c r="J1704" s="149" t="s">
        <v>3561</v>
      </c>
      <c r="K1704" s="149" t="s">
        <v>3572</v>
      </c>
      <c r="L1704" s="171">
        <f t="shared" si="47"/>
        <v>1347430000</v>
      </c>
    </row>
    <row r="1705" spans="1:12" x14ac:dyDescent="0.25">
      <c r="A1705" s="7" t="s">
        <v>2790</v>
      </c>
      <c r="B1705" s="60">
        <v>521211</v>
      </c>
      <c r="C1705" s="41" t="s">
        <v>7</v>
      </c>
      <c r="D1705" s="60"/>
      <c r="E1705" s="60"/>
      <c r="F1705" s="42"/>
      <c r="G1705" s="42">
        <v>130000000</v>
      </c>
      <c r="H1705" s="165">
        <v>6000000</v>
      </c>
      <c r="I1705" s="150" t="s">
        <v>3552</v>
      </c>
      <c r="J1705" s="149" t="s">
        <v>3561</v>
      </c>
      <c r="K1705" s="149" t="s">
        <v>3572</v>
      </c>
      <c r="L1705" s="171">
        <f t="shared" si="47"/>
        <v>124000000</v>
      </c>
    </row>
    <row r="1706" spans="1:12" x14ac:dyDescent="0.25">
      <c r="A1706" s="7" t="s">
        <v>2791</v>
      </c>
      <c r="B1706" s="61"/>
      <c r="C1706" s="44" t="s">
        <v>3598</v>
      </c>
      <c r="D1706" s="61">
        <v>80</v>
      </c>
      <c r="E1706" s="61" t="s">
        <v>180</v>
      </c>
      <c r="F1706" s="45">
        <v>100000</v>
      </c>
      <c r="G1706" s="45">
        <f t="shared" ref="G1706:G1711" si="48">ROUNDDOWN(D1706*F1706,-3)</f>
        <v>8000000</v>
      </c>
      <c r="H1706" s="165">
        <v>3000000</v>
      </c>
      <c r="I1706" s="150" t="s">
        <v>3552</v>
      </c>
      <c r="J1706" s="149" t="s">
        <v>3561</v>
      </c>
      <c r="K1706" s="149" t="s">
        <v>3572</v>
      </c>
      <c r="L1706" s="171">
        <f t="shared" si="47"/>
        <v>5000000</v>
      </c>
    </row>
    <row r="1707" spans="1:12" x14ac:dyDescent="0.25">
      <c r="A1707" s="7" t="s">
        <v>2792</v>
      </c>
      <c r="B1707" s="61"/>
      <c r="C1707" s="44" t="s">
        <v>4426</v>
      </c>
      <c r="D1707" s="61">
        <v>80</v>
      </c>
      <c r="E1707" s="61" t="s">
        <v>180</v>
      </c>
      <c r="F1707" s="45">
        <v>100000</v>
      </c>
      <c r="G1707" s="45">
        <f t="shared" si="48"/>
        <v>8000000</v>
      </c>
      <c r="H1707" s="165">
        <v>1500000</v>
      </c>
      <c r="I1707" s="150" t="s">
        <v>3552</v>
      </c>
      <c r="J1707" s="149" t="s">
        <v>3561</v>
      </c>
      <c r="K1707" s="149" t="s">
        <v>3572</v>
      </c>
      <c r="L1707" s="171">
        <f t="shared" si="47"/>
        <v>6500000</v>
      </c>
    </row>
    <row r="1708" spans="1:12" x14ac:dyDescent="0.25">
      <c r="A1708" s="7" t="s">
        <v>2794</v>
      </c>
      <c r="B1708" s="61"/>
      <c r="C1708" s="44" t="s">
        <v>4427</v>
      </c>
      <c r="D1708" s="61">
        <v>3</v>
      </c>
      <c r="E1708" s="61" t="s">
        <v>106</v>
      </c>
      <c r="F1708" s="45">
        <v>1000000</v>
      </c>
      <c r="G1708" s="45">
        <f t="shared" si="48"/>
        <v>3000000</v>
      </c>
      <c r="H1708" s="165">
        <v>63000000</v>
      </c>
      <c r="I1708" s="150" t="s">
        <v>3552</v>
      </c>
      <c r="J1708" s="149" t="s">
        <v>3561</v>
      </c>
      <c r="K1708" s="149" t="s">
        <v>3572</v>
      </c>
      <c r="L1708" s="171">
        <f t="shared" si="47"/>
        <v>-60000000</v>
      </c>
    </row>
    <row r="1709" spans="1:12" x14ac:dyDescent="0.25">
      <c r="A1709" s="7" t="s">
        <v>2796</v>
      </c>
      <c r="B1709" s="61"/>
      <c r="C1709" s="44" t="s">
        <v>4428</v>
      </c>
      <c r="D1709" s="61">
        <v>3</v>
      </c>
      <c r="E1709" s="61" t="s">
        <v>106</v>
      </c>
      <c r="F1709" s="45">
        <v>1000000</v>
      </c>
      <c r="G1709" s="45">
        <f t="shared" si="48"/>
        <v>3000000</v>
      </c>
      <c r="H1709" s="165">
        <v>2400000</v>
      </c>
      <c r="I1709" s="150" t="s">
        <v>3552</v>
      </c>
      <c r="J1709" s="149" t="s">
        <v>3561</v>
      </c>
      <c r="K1709" s="149" t="s">
        <v>3572</v>
      </c>
      <c r="L1709" s="171">
        <f t="shared" si="47"/>
        <v>600000</v>
      </c>
    </row>
    <row r="1710" spans="1:12" x14ac:dyDescent="0.25">
      <c r="A1710" s="7" t="s">
        <v>2798</v>
      </c>
      <c r="B1710" s="192"/>
      <c r="C1710" s="191" t="s">
        <v>3761</v>
      </c>
      <c r="D1710" s="192">
        <v>280</v>
      </c>
      <c r="E1710" s="192" t="s">
        <v>106</v>
      </c>
      <c r="F1710" s="193">
        <v>350000</v>
      </c>
      <c r="G1710" s="45">
        <f t="shared" si="48"/>
        <v>98000000</v>
      </c>
      <c r="H1710" s="165">
        <v>20000000</v>
      </c>
      <c r="I1710" s="150" t="s">
        <v>3552</v>
      </c>
      <c r="J1710" s="149" t="s">
        <v>3561</v>
      </c>
      <c r="K1710" s="149" t="s">
        <v>3572</v>
      </c>
      <c r="L1710" s="171">
        <f t="shared" si="47"/>
        <v>78000000</v>
      </c>
    </row>
    <row r="1711" spans="1:12" x14ac:dyDescent="0.25">
      <c r="A1711" s="7" t="s">
        <v>2799</v>
      </c>
      <c r="B1711" s="61"/>
      <c r="C1711" s="44" t="s">
        <v>4397</v>
      </c>
      <c r="D1711" s="61">
        <v>40</v>
      </c>
      <c r="E1711" s="61" t="s">
        <v>180</v>
      </c>
      <c r="F1711" s="45">
        <v>250000</v>
      </c>
      <c r="G1711" s="45">
        <f t="shared" si="48"/>
        <v>10000000</v>
      </c>
      <c r="H1711" s="165">
        <v>10000000</v>
      </c>
      <c r="I1711" s="150" t="s">
        <v>3552</v>
      </c>
      <c r="J1711" s="149" t="s">
        <v>3561</v>
      </c>
      <c r="K1711" s="149" t="s">
        <v>3572</v>
      </c>
      <c r="L1711" s="171">
        <f t="shared" si="47"/>
        <v>0</v>
      </c>
    </row>
    <row r="1712" spans="1:12" ht="26.4" x14ac:dyDescent="0.25">
      <c r="A1712" s="7" t="s">
        <v>2800</v>
      </c>
      <c r="B1712" s="60">
        <v>521241</v>
      </c>
      <c r="C1712" s="41" t="s">
        <v>642</v>
      </c>
      <c r="D1712" s="60"/>
      <c r="E1712" s="60"/>
      <c r="F1712" s="42"/>
      <c r="G1712" s="42">
        <v>16800000</v>
      </c>
      <c r="H1712" s="165">
        <v>10000000</v>
      </c>
      <c r="I1712" s="150" t="s">
        <v>3552</v>
      </c>
      <c r="J1712" s="149" t="s">
        <v>3561</v>
      </c>
      <c r="K1712" s="149" t="s">
        <v>3572</v>
      </c>
      <c r="L1712" s="171">
        <f t="shared" si="47"/>
        <v>6800000</v>
      </c>
    </row>
    <row r="1713" spans="1:12" ht="26.4" x14ac:dyDescent="0.25">
      <c r="A1713" s="7" t="s">
        <v>2801</v>
      </c>
      <c r="B1713" s="192"/>
      <c r="C1713" s="191" t="s">
        <v>4429</v>
      </c>
      <c r="D1713" s="192">
        <v>84</v>
      </c>
      <c r="E1713" s="192" t="s">
        <v>32</v>
      </c>
      <c r="F1713" s="193">
        <v>200000</v>
      </c>
      <c r="G1713" s="45">
        <f>ROUNDDOWN(D1713*F1713,-3)</f>
        <v>16800000</v>
      </c>
      <c r="H1713" s="165">
        <v>44400000</v>
      </c>
      <c r="I1713" s="150" t="s">
        <v>3552</v>
      </c>
      <c r="J1713" s="149" t="s">
        <v>3561</v>
      </c>
      <c r="K1713" s="149" t="s">
        <v>3572</v>
      </c>
      <c r="L1713" s="171">
        <f t="shared" si="47"/>
        <v>-27600000</v>
      </c>
    </row>
    <row r="1714" spans="1:12" x14ac:dyDescent="0.25">
      <c r="A1714" s="7" t="s">
        <v>2803</v>
      </c>
      <c r="B1714" s="60">
        <v>521811</v>
      </c>
      <c r="C1714" s="41" t="s">
        <v>64</v>
      </c>
      <c r="D1714" s="60"/>
      <c r="E1714" s="60"/>
      <c r="F1714" s="42"/>
      <c r="G1714" s="42">
        <v>20000000</v>
      </c>
      <c r="H1714" s="165">
        <v>12000000</v>
      </c>
      <c r="I1714" s="150" t="s">
        <v>3552</v>
      </c>
      <c r="J1714" s="149" t="s">
        <v>3561</v>
      </c>
      <c r="K1714" s="149" t="s">
        <v>3572</v>
      </c>
      <c r="L1714" s="171">
        <f t="shared" si="47"/>
        <v>8000000</v>
      </c>
    </row>
    <row r="1715" spans="1:12" x14ac:dyDescent="0.25">
      <c r="A1715" s="7" t="s">
        <v>2804</v>
      </c>
      <c r="B1715" s="61"/>
      <c r="C1715" s="44" t="s">
        <v>3625</v>
      </c>
      <c r="D1715" s="61">
        <v>10</v>
      </c>
      <c r="E1715" s="61" t="s">
        <v>106</v>
      </c>
      <c r="F1715" s="45">
        <v>1000000</v>
      </c>
      <c r="G1715" s="45">
        <f>ROUNDDOWN(D1715*F1715,-3)</f>
        <v>10000000</v>
      </c>
      <c r="H1715" s="165">
        <v>32400000</v>
      </c>
      <c r="I1715" s="150" t="s">
        <v>3552</v>
      </c>
      <c r="J1715" s="149" t="s">
        <v>3561</v>
      </c>
      <c r="K1715" s="149" t="s">
        <v>3572</v>
      </c>
      <c r="L1715" s="171">
        <f t="shared" si="47"/>
        <v>-22400000</v>
      </c>
    </row>
    <row r="1716" spans="1:12" x14ac:dyDescent="0.25">
      <c r="A1716" s="7" t="s">
        <v>2805</v>
      </c>
      <c r="B1716" s="192"/>
      <c r="C1716" s="191" t="s">
        <v>3626</v>
      </c>
      <c r="D1716" s="192">
        <v>10</v>
      </c>
      <c r="E1716" s="192" t="s">
        <v>106</v>
      </c>
      <c r="F1716" s="193">
        <v>1000000</v>
      </c>
      <c r="G1716" s="45">
        <f>ROUNDDOWN(D1716*F1716,-3)</f>
        <v>10000000</v>
      </c>
      <c r="H1716" s="165">
        <v>610080000</v>
      </c>
      <c r="I1716" s="150" t="s">
        <v>3552</v>
      </c>
      <c r="J1716" s="149" t="s">
        <v>3561</v>
      </c>
      <c r="K1716" s="149" t="s">
        <v>3572</v>
      </c>
      <c r="L1716" s="171">
        <f t="shared" si="47"/>
        <v>-600080000</v>
      </c>
    </row>
    <row r="1717" spans="1:12" x14ac:dyDescent="0.25">
      <c r="A1717" s="7" t="s">
        <v>2806</v>
      </c>
      <c r="B1717" s="60">
        <v>522151</v>
      </c>
      <c r="C1717" s="41" t="s">
        <v>11</v>
      </c>
      <c r="D1717" s="60"/>
      <c r="E1717" s="60"/>
      <c r="F1717" s="42"/>
      <c r="G1717" s="42">
        <v>77000000</v>
      </c>
      <c r="H1717" s="165">
        <v>210080000</v>
      </c>
      <c r="I1717" s="150" t="s">
        <v>3552</v>
      </c>
      <c r="J1717" s="149" t="s">
        <v>3561</v>
      </c>
      <c r="K1717" s="149" t="s">
        <v>3572</v>
      </c>
      <c r="L1717" s="171">
        <f t="shared" si="47"/>
        <v>-133080000</v>
      </c>
    </row>
    <row r="1718" spans="1:12" x14ac:dyDescent="0.25">
      <c r="A1718" s="7" t="s">
        <v>2807</v>
      </c>
      <c r="B1718" s="61"/>
      <c r="C1718" s="44" t="s">
        <v>4430</v>
      </c>
      <c r="D1718" s="61">
        <v>20</v>
      </c>
      <c r="E1718" s="61" t="s">
        <v>54</v>
      </c>
      <c r="F1718" s="45">
        <v>1000000</v>
      </c>
      <c r="G1718" s="45">
        <f>ROUNDDOWN(D1718*F1718,-3)</f>
        <v>20000000</v>
      </c>
      <c r="H1718" s="165">
        <v>200000000</v>
      </c>
      <c r="I1718" s="150" t="s">
        <v>3552</v>
      </c>
      <c r="J1718" s="149" t="s">
        <v>3561</v>
      </c>
      <c r="K1718" s="149" t="s">
        <v>3572</v>
      </c>
      <c r="L1718" s="171">
        <f t="shared" si="47"/>
        <v>-180000000</v>
      </c>
    </row>
    <row r="1719" spans="1:12" x14ac:dyDescent="0.25">
      <c r="A1719" s="7" t="s">
        <v>2809</v>
      </c>
      <c r="B1719" s="61"/>
      <c r="C1719" s="44" t="s">
        <v>4431</v>
      </c>
      <c r="D1719" s="61">
        <v>60</v>
      </c>
      <c r="E1719" s="61" t="s">
        <v>54</v>
      </c>
      <c r="F1719" s="45">
        <v>900000</v>
      </c>
      <c r="G1719" s="45">
        <f>ROUNDDOWN(D1719*F1719,-3)</f>
        <v>54000000</v>
      </c>
      <c r="H1719" s="165">
        <v>200000000</v>
      </c>
      <c r="I1719" s="150" t="s">
        <v>3552</v>
      </c>
      <c r="J1719" s="149" t="s">
        <v>3561</v>
      </c>
      <c r="K1719" s="149" t="s">
        <v>3572</v>
      </c>
      <c r="L1719" s="171">
        <f t="shared" si="47"/>
        <v>-146000000</v>
      </c>
    </row>
    <row r="1720" spans="1:12" x14ac:dyDescent="0.25">
      <c r="A1720" s="7" t="s">
        <v>2811</v>
      </c>
      <c r="B1720" s="192"/>
      <c r="C1720" s="191" t="s">
        <v>4432</v>
      </c>
      <c r="D1720" s="192">
        <v>2</v>
      </c>
      <c r="E1720" s="192" t="s">
        <v>54</v>
      </c>
      <c r="F1720" s="193">
        <v>1500000</v>
      </c>
      <c r="G1720" s="45">
        <f>ROUNDDOWN(D1720*F1720,-3)</f>
        <v>3000000</v>
      </c>
      <c r="H1720" s="165">
        <v>51840000</v>
      </c>
      <c r="I1720" s="150" t="s">
        <v>3552</v>
      </c>
      <c r="J1720" s="149" t="s">
        <v>3561</v>
      </c>
      <c r="K1720" s="149" t="s">
        <v>3572</v>
      </c>
      <c r="L1720" s="171">
        <f t="shared" si="47"/>
        <v>-48840000</v>
      </c>
    </row>
    <row r="1721" spans="1:12" x14ac:dyDescent="0.25">
      <c r="A1721" s="7" t="s">
        <v>2813</v>
      </c>
      <c r="B1721" s="60">
        <v>522192</v>
      </c>
      <c r="C1721" s="41" t="s">
        <v>24</v>
      </c>
      <c r="D1721" s="60"/>
      <c r="E1721" s="60"/>
      <c r="F1721" s="42"/>
      <c r="G1721" s="42">
        <v>25200000</v>
      </c>
      <c r="H1721" s="165">
        <v>30240000</v>
      </c>
      <c r="I1721" s="150" t="s">
        <v>3552</v>
      </c>
      <c r="J1721" s="149" t="s">
        <v>3561</v>
      </c>
      <c r="K1721" s="149" t="s">
        <v>3572</v>
      </c>
      <c r="L1721" s="171">
        <f t="shared" si="47"/>
        <v>-5040000</v>
      </c>
    </row>
    <row r="1722" spans="1:12" x14ac:dyDescent="0.25">
      <c r="A1722" s="7" t="s">
        <v>2814</v>
      </c>
      <c r="B1722" s="61"/>
      <c r="C1722" s="44" t="s">
        <v>4433</v>
      </c>
      <c r="D1722" s="61">
        <v>168</v>
      </c>
      <c r="E1722" s="61" t="s">
        <v>25</v>
      </c>
      <c r="F1722" s="45">
        <v>150000</v>
      </c>
      <c r="G1722" s="45">
        <f>ROUNDDOWN(D1722*F1722,-3)</f>
        <v>25200000</v>
      </c>
      <c r="H1722" s="165">
        <v>21600000</v>
      </c>
      <c r="I1722" s="150" t="s">
        <v>3552</v>
      </c>
      <c r="J1722" s="149" t="s">
        <v>3561</v>
      </c>
      <c r="K1722" s="149" t="s">
        <v>3572</v>
      </c>
      <c r="L1722" s="171">
        <f t="shared" si="47"/>
        <v>3600000</v>
      </c>
    </row>
    <row r="1723" spans="1:12" x14ac:dyDescent="0.25">
      <c r="A1723" s="7" t="s">
        <v>2816</v>
      </c>
      <c r="B1723" s="60">
        <v>524111</v>
      </c>
      <c r="C1723" s="41" t="s">
        <v>19</v>
      </c>
      <c r="D1723" s="60"/>
      <c r="E1723" s="60"/>
      <c r="F1723" s="42"/>
      <c r="G1723" s="42">
        <v>1102850000</v>
      </c>
      <c r="H1723" s="165">
        <v>374450000</v>
      </c>
      <c r="I1723" s="150" t="s">
        <v>3552</v>
      </c>
      <c r="J1723" s="149" t="s">
        <v>3561</v>
      </c>
      <c r="K1723" s="149" t="s">
        <v>3572</v>
      </c>
      <c r="L1723" s="171">
        <f t="shared" si="47"/>
        <v>728400000</v>
      </c>
    </row>
    <row r="1724" spans="1:12" ht="26.4" x14ac:dyDescent="0.25">
      <c r="A1724" s="7" t="s">
        <v>2817</v>
      </c>
      <c r="B1724" s="192"/>
      <c r="C1724" s="191" t="s">
        <v>4434</v>
      </c>
      <c r="D1724" s="192">
        <v>80</v>
      </c>
      <c r="E1724" s="192" t="s">
        <v>25</v>
      </c>
      <c r="F1724" s="193">
        <v>5000000</v>
      </c>
      <c r="G1724" s="45">
        <f>ROUNDDOWN(D1724*F1724,-3)</f>
        <v>400000000</v>
      </c>
      <c r="H1724" s="165">
        <v>64750000</v>
      </c>
      <c r="I1724" s="150" t="s">
        <v>3552</v>
      </c>
      <c r="J1724" s="149" t="s">
        <v>3561</v>
      </c>
      <c r="K1724" s="149" t="s">
        <v>3572</v>
      </c>
      <c r="L1724" s="171">
        <f t="shared" si="47"/>
        <v>335250000</v>
      </c>
    </row>
    <row r="1725" spans="1:12" ht="26.4" x14ac:dyDescent="0.25">
      <c r="A1725" s="7" t="s">
        <v>2819</v>
      </c>
      <c r="B1725" s="61"/>
      <c r="C1725" s="44" t="s">
        <v>4435</v>
      </c>
      <c r="D1725" s="61">
        <v>40</v>
      </c>
      <c r="E1725" s="61" t="s">
        <v>25</v>
      </c>
      <c r="F1725" s="45">
        <v>5000000</v>
      </c>
      <c r="G1725" s="45">
        <f>ROUNDDOWN(D1725*F1725,-3)</f>
        <v>200000000</v>
      </c>
      <c r="H1725" s="165">
        <v>2500000</v>
      </c>
      <c r="I1725" s="150" t="s">
        <v>3552</v>
      </c>
      <c r="J1725" s="149" t="s">
        <v>3561</v>
      </c>
      <c r="K1725" s="149" t="s">
        <v>3572</v>
      </c>
      <c r="L1725" s="171">
        <f t="shared" si="47"/>
        <v>197500000</v>
      </c>
    </row>
    <row r="1726" spans="1:12" ht="26.4" x14ac:dyDescent="0.25">
      <c r="A1726" s="7" t="s">
        <v>2821</v>
      </c>
      <c r="B1726" s="61"/>
      <c r="C1726" s="44" t="s">
        <v>4436</v>
      </c>
      <c r="D1726" s="61">
        <v>40</v>
      </c>
      <c r="E1726" s="61" t="s">
        <v>25</v>
      </c>
      <c r="F1726" s="45">
        <v>5000000</v>
      </c>
      <c r="G1726" s="45">
        <f>ROUNDDOWN(D1726*F1726,-3)</f>
        <v>200000000</v>
      </c>
      <c r="H1726" s="165">
        <v>1500000</v>
      </c>
      <c r="I1726" s="150" t="s">
        <v>3552</v>
      </c>
      <c r="J1726" s="149" t="s">
        <v>3561</v>
      </c>
      <c r="K1726" s="149" t="s">
        <v>3572</v>
      </c>
      <c r="L1726" s="171">
        <f t="shared" si="47"/>
        <v>198500000</v>
      </c>
    </row>
    <row r="1727" spans="1:12" ht="26.4" x14ac:dyDescent="0.25">
      <c r="A1727" s="7" t="s">
        <v>2823</v>
      </c>
      <c r="B1727" s="61"/>
      <c r="C1727" s="44" t="s">
        <v>4437</v>
      </c>
      <c r="D1727" s="61">
        <v>30</v>
      </c>
      <c r="E1727" s="61" t="s">
        <v>25</v>
      </c>
      <c r="F1727" s="45">
        <v>5000000</v>
      </c>
      <c r="G1727" s="45">
        <f>ROUNDDOWN(D1727*F1727,-3)</f>
        <v>150000000</v>
      </c>
      <c r="H1727" s="165">
        <v>4500000</v>
      </c>
      <c r="I1727" s="150" t="s">
        <v>3552</v>
      </c>
      <c r="J1727" s="149" t="s">
        <v>3561</v>
      </c>
      <c r="K1727" s="149" t="s">
        <v>3572</v>
      </c>
      <c r="L1727" s="171">
        <f t="shared" si="47"/>
        <v>145500000</v>
      </c>
    </row>
    <row r="1728" spans="1:12" ht="26.4" x14ac:dyDescent="0.25">
      <c r="A1728" s="7" t="s">
        <v>2825</v>
      </c>
      <c r="B1728" s="61"/>
      <c r="C1728" s="44" t="s">
        <v>4438</v>
      </c>
      <c r="D1728" s="61">
        <v>30</v>
      </c>
      <c r="E1728" s="61" t="s">
        <v>25</v>
      </c>
      <c r="F1728" s="45">
        <v>5095000</v>
      </c>
      <c r="G1728" s="45">
        <f>ROUNDDOWN(D1728*F1728,-3)</f>
        <v>152850000</v>
      </c>
      <c r="H1728" s="165">
        <v>52500000</v>
      </c>
      <c r="I1728" s="150" t="s">
        <v>3552</v>
      </c>
      <c r="J1728" s="149" t="s">
        <v>3561</v>
      </c>
      <c r="K1728" s="149" t="s">
        <v>3572</v>
      </c>
      <c r="L1728" s="171">
        <f t="shared" si="47"/>
        <v>100350000</v>
      </c>
    </row>
    <row r="1729" spans="1:12" x14ac:dyDescent="0.25">
      <c r="A1729" s="7" t="s">
        <v>2827</v>
      </c>
      <c r="B1729" s="60">
        <v>524113</v>
      </c>
      <c r="C1729" s="41" t="s">
        <v>13</v>
      </c>
      <c r="D1729" s="60"/>
      <c r="E1729" s="60"/>
      <c r="F1729" s="42"/>
      <c r="G1729" s="42">
        <v>51480000</v>
      </c>
      <c r="H1729" s="165">
        <v>3750000</v>
      </c>
      <c r="I1729" s="150" t="s">
        <v>3552</v>
      </c>
      <c r="J1729" s="149" t="s">
        <v>3561</v>
      </c>
      <c r="K1729" s="149" t="s">
        <v>3572</v>
      </c>
      <c r="L1729" s="171">
        <f t="shared" si="47"/>
        <v>47730000</v>
      </c>
    </row>
    <row r="1730" spans="1:12" ht="26.4" x14ac:dyDescent="0.25">
      <c r="A1730" s="7" t="s">
        <v>2828</v>
      </c>
      <c r="B1730" s="192"/>
      <c r="C1730" s="191" t="s">
        <v>4439</v>
      </c>
      <c r="D1730" s="192">
        <v>143</v>
      </c>
      <c r="E1730" s="192" t="s">
        <v>25</v>
      </c>
      <c r="F1730" s="193">
        <v>210000</v>
      </c>
      <c r="G1730" s="45">
        <f>ROUNDDOWN(D1730*F1730,-3)</f>
        <v>30030000</v>
      </c>
      <c r="H1730" s="165">
        <v>6000000</v>
      </c>
      <c r="I1730" s="150" t="s">
        <v>3552</v>
      </c>
      <c r="J1730" s="149" t="s">
        <v>3561</v>
      </c>
      <c r="K1730" s="149" t="s">
        <v>3572</v>
      </c>
      <c r="L1730" s="171">
        <f t="shared" si="47"/>
        <v>24030000</v>
      </c>
    </row>
    <row r="1731" spans="1:12" x14ac:dyDescent="0.25">
      <c r="A1731" s="7" t="s">
        <v>2830</v>
      </c>
      <c r="B1731" s="61"/>
      <c r="C1731" s="44" t="s">
        <v>4440</v>
      </c>
      <c r="D1731" s="61">
        <v>143</v>
      </c>
      <c r="E1731" s="61" t="s">
        <v>25</v>
      </c>
      <c r="F1731" s="45">
        <v>150000</v>
      </c>
      <c r="G1731" s="45">
        <f>ROUNDDOWN(D1731*F1731,-3)</f>
        <v>21450000</v>
      </c>
      <c r="H1731" s="165">
        <v>3000000</v>
      </c>
      <c r="I1731" s="150" t="s">
        <v>3552</v>
      </c>
      <c r="J1731" s="149" t="s">
        <v>3561</v>
      </c>
      <c r="K1731" s="149" t="s">
        <v>3572</v>
      </c>
      <c r="L1731" s="171">
        <f t="shared" si="47"/>
        <v>18450000</v>
      </c>
    </row>
    <row r="1732" spans="1:12" ht="26.4" x14ac:dyDescent="0.25">
      <c r="A1732" s="7" t="s">
        <v>2832</v>
      </c>
      <c r="B1732" s="59" t="s">
        <v>511</v>
      </c>
      <c r="C1732" s="38" t="s">
        <v>163</v>
      </c>
      <c r="D1732" s="59"/>
      <c r="E1732" s="59"/>
      <c r="F1732" s="39"/>
      <c r="G1732" s="39">
        <v>802220000</v>
      </c>
      <c r="H1732" s="165">
        <v>3000000</v>
      </c>
      <c r="I1732" s="150" t="s">
        <v>3552</v>
      </c>
      <c r="J1732" s="149" t="s">
        <v>3561</v>
      </c>
      <c r="K1732" s="149" t="s">
        <v>3572</v>
      </c>
      <c r="L1732" s="171">
        <f t="shared" si="47"/>
        <v>799220000</v>
      </c>
    </row>
    <row r="1733" spans="1:12" x14ac:dyDescent="0.25">
      <c r="A1733" s="7" t="s">
        <v>2833</v>
      </c>
      <c r="B1733" s="60">
        <v>521211</v>
      </c>
      <c r="C1733" s="41" t="s">
        <v>7</v>
      </c>
      <c r="D1733" s="60"/>
      <c r="E1733" s="60"/>
      <c r="F1733" s="42"/>
      <c r="G1733" s="42">
        <v>75900000</v>
      </c>
      <c r="H1733" s="165">
        <v>28200000</v>
      </c>
      <c r="I1733" s="150" t="s">
        <v>3552</v>
      </c>
      <c r="J1733" s="149" t="s">
        <v>3561</v>
      </c>
      <c r="K1733" s="149" t="s">
        <v>3572</v>
      </c>
      <c r="L1733" s="171">
        <f t="shared" si="47"/>
        <v>47700000</v>
      </c>
    </row>
    <row r="1734" spans="1:12" x14ac:dyDescent="0.25">
      <c r="A1734" s="7" t="s">
        <v>2834</v>
      </c>
      <c r="B1734" s="61"/>
      <c r="C1734" s="44" t="s">
        <v>3598</v>
      </c>
      <c r="D1734" s="61">
        <v>60</v>
      </c>
      <c r="E1734" s="61" t="s">
        <v>180</v>
      </c>
      <c r="F1734" s="45">
        <v>100000</v>
      </c>
      <c r="G1734" s="45">
        <f>ROUNDDOWN(D1734*F1734,-3)</f>
        <v>6000000</v>
      </c>
      <c r="H1734" s="165">
        <v>12000000</v>
      </c>
      <c r="I1734" s="150" t="s">
        <v>3552</v>
      </c>
      <c r="J1734" s="149" t="s">
        <v>3561</v>
      </c>
      <c r="K1734" s="149" t="s">
        <v>3572</v>
      </c>
      <c r="L1734" s="171">
        <f t="shared" si="47"/>
        <v>-6000000</v>
      </c>
    </row>
    <row r="1735" spans="1:12" x14ac:dyDescent="0.25">
      <c r="A1735" s="7" t="s">
        <v>2835</v>
      </c>
      <c r="B1735" s="61"/>
      <c r="C1735" s="44" t="s">
        <v>4441</v>
      </c>
      <c r="D1735" s="61">
        <v>3</v>
      </c>
      <c r="E1735" s="61" t="s">
        <v>106</v>
      </c>
      <c r="F1735" s="45">
        <v>1000000</v>
      </c>
      <c r="G1735" s="45">
        <f>ROUNDDOWN(D1735*F1735,-3)</f>
        <v>3000000</v>
      </c>
      <c r="H1735" s="165">
        <v>16200000</v>
      </c>
      <c r="I1735" s="150" t="s">
        <v>3552</v>
      </c>
      <c r="J1735" s="149" t="s">
        <v>3561</v>
      </c>
      <c r="K1735" s="149" t="s">
        <v>3572</v>
      </c>
      <c r="L1735" s="171">
        <f t="shared" si="47"/>
        <v>-13200000</v>
      </c>
    </row>
    <row r="1736" spans="1:12" x14ac:dyDescent="0.25">
      <c r="A1736" s="7" t="s">
        <v>2836</v>
      </c>
      <c r="B1736" s="192"/>
      <c r="C1736" s="191" t="s">
        <v>4442</v>
      </c>
      <c r="D1736" s="192">
        <v>15</v>
      </c>
      <c r="E1736" s="192" t="s">
        <v>106</v>
      </c>
      <c r="F1736" s="193">
        <v>100000</v>
      </c>
      <c r="G1736" s="45">
        <f>ROUNDDOWN(D1736*F1736,-3)</f>
        <v>1500000</v>
      </c>
      <c r="H1736" s="165">
        <v>275500000</v>
      </c>
      <c r="I1736" s="150" t="s">
        <v>3552</v>
      </c>
      <c r="J1736" s="149" t="s">
        <v>3561</v>
      </c>
      <c r="K1736" s="149" t="s">
        <v>3572</v>
      </c>
      <c r="L1736" s="171">
        <f t="shared" si="47"/>
        <v>-274000000</v>
      </c>
    </row>
    <row r="1737" spans="1:12" x14ac:dyDescent="0.25">
      <c r="A1737" s="7" t="s">
        <v>2837</v>
      </c>
      <c r="B1737" s="61"/>
      <c r="C1737" s="44" t="s">
        <v>4443</v>
      </c>
      <c r="D1737" s="61">
        <v>180</v>
      </c>
      <c r="E1737" s="61" t="s">
        <v>106</v>
      </c>
      <c r="F1737" s="45">
        <v>350000</v>
      </c>
      <c r="G1737" s="45">
        <f>ROUNDDOWN(D1737*F1737,-3)</f>
        <v>63000000</v>
      </c>
      <c r="H1737" s="165">
        <v>275500000</v>
      </c>
      <c r="I1737" s="150" t="s">
        <v>3552</v>
      </c>
      <c r="J1737" s="149" t="s">
        <v>3561</v>
      </c>
      <c r="K1737" s="149" t="s">
        <v>3572</v>
      </c>
      <c r="L1737" s="171">
        <f t="shared" si="47"/>
        <v>-212500000</v>
      </c>
    </row>
    <row r="1738" spans="1:12" x14ac:dyDescent="0.25">
      <c r="A1738" s="7" t="s">
        <v>2838</v>
      </c>
      <c r="B1738" s="195"/>
      <c r="C1738" s="194" t="s">
        <v>4444</v>
      </c>
      <c r="D1738" s="195">
        <v>12</v>
      </c>
      <c r="E1738" s="195" t="s">
        <v>180</v>
      </c>
      <c r="F1738" s="196">
        <v>200000</v>
      </c>
      <c r="G1738" s="45">
        <f>ROUNDDOWN(D1738*F1738,-3)</f>
        <v>2400000</v>
      </c>
      <c r="H1738" s="165">
        <v>1200000000</v>
      </c>
      <c r="I1738" s="150" t="s">
        <v>3552</v>
      </c>
      <c r="J1738" s="149" t="s">
        <v>3561</v>
      </c>
      <c r="K1738" s="149" t="s">
        <v>3565</v>
      </c>
      <c r="L1738" s="171">
        <f t="shared" si="47"/>
        <v>-1197600000</v>
      </c>
    </row>
    <row r="1739" spans="1:12" x14ac:dyDescent="0.25">
      <c r="A1739" s="7" t="s">
        <v>2839</v>
      </c>
      <c r="B1739" s="60">
        <v>521811</v>
      </c>
      <c r="C1739" s="41" t="s">
        <v>64</v>
      </c>
      <c r="D1739" s="60"/>
      <c r="E1739" s="60"/>
      <c r="F1739" s="42"/>
      <c r="G1739" s="42">
        <v>20000000</v>
      </c>
      <c r="H1739" s="165">
        <v>417300000</v>
      </c>
      <c r="I1739" s="150" t="s">
        <v>3552</v>
      </c>
      <c r="J1739" s="149" t="s">
        <v>3561</v>
      </c>
      <c r="K1739" s="149" t="s">
        <v>3565</v>
      </c>
      <c r="L1739" s="171">
        <f t="shared" si="47"/>
        <v>-397300000</v>
      </c>
    </row>
    <row r="1740" spans="1:12" x14ac:dyDescent="0.25">
      <c r="A1740" s="7" t="s">
        <v>2840</v>
      </c>
      <c r="B1740" s="192"/>
      <c r="C1740" s="191" t="s">
        <v>3625</v>
      </c>
      <c r="D1740" s="192">
        <v>10</v>
      </c>
      <c r="E1740" s="192" t="s">
        <v>106</v>
      </c>
      <c r="F1740" s="193">
        <v>1000000</v>
      </c>
      <c r="G1740" s="45">
        <f>ROUNDDOWN(D1740*F1740,-3)</f>
        <v>10000000</v>
      </c>
      <c r="H1740" s="165">
        <v>16400000</v>
      </c>
      <c r="I1740" s="150" t="s">
        <v>3552</v>
      </c>
      <c r="J1740" s="149"/>
      <c r="K1740" s="149"/>
      <c r="L1740" s="171">
        <f t="shared" si="47"/>
        <v>-6400000</v>
      </c>
    </row>
    <row r="1741" spans="1:12" x14ac:dyDescent="0.25">
      <c r="A1741" s="7" t="s">
        <v>2841</v>
      </c>
      <c r="B1741" s="61"/>
      <c r="C1741" s="44" t="s">
        <v>3626</v>
      </c>
      <c r="D1741" s="61">
        <v>10</v>
      </c>
      <c r="E1741" s="61" t="s">
        <v>106</v>
      </c>
      <c r="F1741" s="45">
        <v>1000000</v>
      </c>
      <c r="G1741" s="45">
        <f>ROUNDDOWN(D1741*F1741,-3)</f>
        <v>10000000</v>
      </c>
      <c r="H1741" s="165">
        <v>10000000</v>
      </c>
      <c r="I1741" s="150" t="s">
        <v>3552</v>
      </c>
      <c r="J1741" s="149"/>
      <c r="K1741" s="149"/>
      <c r="L1741" s="171">
        <f t="shared" si="47"/>
        <v>0</v>
      </c>
    </row>
    <row r="1742" spans="1:12" x14ac:dyDescent="0.25">
      <c r="A1742" s="7" t="s">
        <v>2842</v>
      </c>
      <c r="B1742" s="60">
        <v>522151</v>
      </c>
      <c r="C1742" s="41" t="s">
        <v>11</v>
      </c>
      <c r="D1742" s="60"/>
      <c r="E1742" s="60"/>
      <c r="F1742" s="42"/>
      <c r="G1742" s="42">
        <v>44400000</v>
      </c>
      <c r="H1742" s="165">
        <v>6400000</v>
      </c>
      <c r="I1742" s="150" t="s">
        <v>3552</v>
      </c>
      <c r="J1742" s="149"/>
      <c r="K1742" s="149"/>
      <c r="L1742" s="171">
        <f t="shared" ref="L1742:L1805" si="49">G1742-H1742</f>
        <v>38000000</v>
      </c>
    </row>
    <row r="1743" spans="1:12" x14ac:dyDescent="0.25">
      <c r="A1743" s="7" t="s">
        <v>2843</v>
      </c>
      <c r="B1743" s="192"/>
      <c r="C1743" s="191" t="s">
        <v>4445</v>
      </c>
      <c r="D1743" s="192">
        <v>12</v>
      </c>
      <c r="E1743" s="192" t="s">
        <v>54</v>
      </c>
      <c r="F1743" s="193">
        <v>1000000</v>
      </c>
      <c r="G1743" s="45">
        <f>ROUNDDOWN(D1743*F1743,-3)</f>
        <v>12000000</v>
      </c>
      <c r="H1743" s="165">
        <v>22000000</v>
      </c>
      <c r="I1743" s="150" t="s">
        <v>3552</v>
      </c>
      <c r="J1743" s="149"/>
      <c r="K1743" s="149"/>
      <c r="L1743" s="171">
        <f t="shared" si="49"/>
        <v>-10000000</v>
      </c>
    </row>
    <row r="1744" spans="1:12" x14ac:dyDescent="0.25">
      <c r="A1744" s="7" t="s">
        <v>2845</v>
      </c>
      <c r="B1744" s="61"/>
      <c r="C1744" s="44" t="s">
        <v>4446</v>
      </c>
      <c r="D1744" s="61">
        <v>36</v>
      </c>
      <c r="E1744" s="61" t="s">
        <v>54</v>
      </c>
      <c r="F1744" s="45">
        <v>900000</v>
      </c>
      <c r="G1744" s="45">
        <f>ROUNDDOWN(D1744*F1744,-3)</f>
        <v>32400000</v>
      </c>
      <c r="H1744" s="165">
        <v>11000000</v>
      </c>
      <c r="I1744" s="150" t="s">
        <v>3552</v>
      </c>
      <c r="J1744" s="149"/>
      <c r="K1744" s="149"/>
      <c r="L1744" s="171">
        <f t="shared" si="49"/>
        <v>21400000</v>
      </c>
    </row>
    <row r="1745" spans="1:12" x14ac:dyDescent="0.25">
      <c r="A1745" s="7" t="s">
        <v>2847</v>
      </c>
      <c r="B1745" s="60">
        <v>524111</v>
      </c>
      <c r="C1745" s="41" t="s">
        <v>19</v>
      </c>
      <c r="D1745" s="60"/>
      <c r="E1745" s="60"/>
      <c r="F1745" s="42"/>
      <c r="G1745" s="42">
        <v>610080000</v>
      </c>
      <c r="H1745" s="165">
        <v>11000000</v>
      </c>
      <c r="I1745" s="150" t="s">
        <v>3552</v>
      </c>
      <c r="J1745" s="149"/>
      <c r="K1745" s="149"/>
      <c r="L1745" s="171">
        <f t="shared" si="49"/>
        <v>599080000</v>
      </c>
    </row>
    <row r="1746" spans="1:12" ht="26.4" x14ac:dyDescent="0.25">
      <c r="A1746" s="7" t="s">
        <v>2848</v>
      </c>
      <c r="B1746" s="192"/>
      <c r="C1746" s="191" t="s">
        <v>4447</v>
      </c>
      <c r="D1746" s="192">
        <v>40</v>
      </c>
      <c r="E1746" s="192" t="s">
        <v>25</v>
      </c>
      <c r="F1746" s="193">
        <v>5252000</v>
      </c>
      <c r="G1746" s="45">
        <f>ROUNDDOWN(D1746*F1746,-3)</f>
        <v>210080000</v>
      </c>
      <c r="H1746" s="165">
        <v>50400000</v>
      </c>
      <c r="I1746" s="150" t="s">
        <v>3552</v>
      </c>
      <c r="J1746" s="149"/>
      <c r="K1746" s="149"/>
      <c r="L1746" s="171">
        <f t="shared" si="49"/>
        <v>159680000</v>
      </c>
    </row>
    <row r="1747" spans="1:12" ht="26.4" x14ac:dyDescent="0.25">
      <c r="A1747" s="7" t="s">
        <v>2850</v>
      </c>
      <c r="B1747" s="61"/>
      <c r="C1747" s="44" t="s">
        <v>4448</v>
      </c>
      <c r="D1747" s="61">
        <v>40</v>
      </c>
      <c r="E1747" s="61" t="s">
        <v>25</v>
      </c>
      <c r="F1747" s="45">
        <v>5000000</v>
      </c>
      <c r="G1747" s="45">
        <f>ROUNDDOWN(D1747*F1747,-3)</f>
        <v>200000000</v>
      </c>
      <c r="H1747" s="165">
        <v>50400000</v>
      </c>
      <c r="I1747" s="150" t="s">
        <v>3552</v>
      </c>
      <c r="J1747" s="149"/>
      <c r="K1747" s="149"/>
      <c r="L1747" s="171">
        <f t="shared" si="49"/>
        <v>149600000</v>
      </c>
    </row>
    <row r="1748" spans="1:12" ht="26.4" x14ac:dyDescent="0.25">
      <c r="A1748" s="7" t="s">
        <v>2852</v>
      </c>
      <c r="B1748" s="192"/>
      <c r="C1748" s="191" t="s">
        <v>4449</v>
      </c>
      <c r="D1748" s="192">
        <v>40</v>
      </c>
      <c r="E1748" s="192" t="s">
        <v>25</v>
      </c>
      <c r="F1748" s="193">
        <v>5000000</v>
      </c>
      <c r="G1748" s="45">
        <f>ROUNDDOWN(D1748*F1748,-3)</f>
        <v>200000000</v>
      </c>
      <c r="H1748" s="165">
        <v>32400000</v>
      </c>
      <c r="I1748" s="150" t="s">
        <v>3552</v>
      </c>
      <c r="J1748" s="149"/>
      <c r="K1748" s="149"/>
      <c r="L1748" s="171">
        <f t="shared" si="49"/>
        <v>167600000</v>
      </c>
    </row>
    <row r="1749" spans="1:12" x14ac:dyDescent="0.25">
      <c r="A1749" s="7" t="s">
        <v>2854</v>
      </c>
      <c r="B1749" s="60">
        <v>524113</v>
      </c>
      <c r="C1749" s="41" t="s">
        <v>13</v>
      </c>
      <c r="D1749" s="60"/>
      <c r="E1749" s="60"/>
      <c r="F1749" s="42"/>
      <c r="G1749" s="42">
        <v>51840000</v>
      </c>
      <c r="H1749" s="165">
        <v>32400000</v>
      </c>
      <c r="I1749" s="150" t="s">
        <v>3552</v>
      </c>
      <c r="J1749" s="149"/>
      <c r="K1749" s="149"/>
      <c r="L1749" s="171">
        <f t="shared" si="49"/>
        <v>19440000</v>
      </c>
    </row>
    <row r="1750" spans="1:12" ht="26.4" x14ac:dyDescent="0.25">
      <c r="A1750" s="7" t="s">
        <v>2855</v>
      </c>
      <c r="B1750" s="192"/>
      <c r="C1750" s="191" t="s">
        <v>4439</v>
      </c>
      <c r="D1750" s="192">
        <v>144</v>
      </c>
      <c r="E1750" s="192" t="s">
        <v>73</v>
      </c>
      <c r="F1750" s="193">
        <v>210000</v>
      </c>
      <c r="G1750" s="45">
        <f>ROUNDDOWN(D1750*F1750,-3)</f>
        <v>30240000</v>
      </c>
      <c r="H1750" s="165">
        <v>296100000</v>
      </c>
      <c r="I1750" s="150" t="s">
        <v>3552</v>
      </c>
      <c r="J1750" s="149"/>
      <c r="K1750" s="149"/>
      <c r="L1750" s="171">
        <f t="shared" si="49"/>
        <v>-265860000</v>
      </c>
    </row>
    <row r="1751" spans="1:12" x14ac:dyDescent="0.25">
      <c r="A1751" s="7" t="s">
        <v>2856</v>
      </c>
      <c r="B1751" s="61"/>
      <c r="C1751" s="44" t="s">
        <v>4440</v>
      </c>
      <c r="D1751" s="61">
        <v>144</v>
      </c>
      <c r="E1751" s="61" t="s">
        <v>73</v>
      </c>
      <c r="F1751" s="45">
        <v>150000</v>
      </c>
      <c r="G1751" s="45">
        <f>ROUNDDOWN(D1751*F1751,-3)</f>
        <v>21600000</v>
      </c>
      <c r="H1751" s="165">
        <v>296100000</v>
      </c>
      <c r="I1751" s="150" t="s">
        <v>3552</v>
      </c>
      <c r="J1751" s="149"/>
      <c r="K1751" s="149"/>
      <c r="L1751" s="171">
        <f t="shared" si="49"/>
        <v>-274500000</v>
      </c>
    </row>
    <row r="1752" spans="1:12" ht="26.4" x14ac:dyDescent="0.25">
      <c r="A1752" s="7" t="s">
        <v>2857</v>
      </c>
      <c r="B1752" s="59" t="s">
        <v>512</v>
      </c>
      <c r="C1752" s="38" t="s">
        <v>164</v>
      </c>
      <c r="D1752" s="59"/>
      <c r="E1752" s="59"/>
      <c r="F1752" s="39"/>
      <c r="G1752" s="39">
        <v>374450000</v>
      </c>
      <c r="H1752" s="165">
        <v>207880000</v>
      </c>
      <c r="I1752" s="150" t="s">
        <v>3552</v>
      </c>
      <c r="J1752" s="149" t="s">
        <v>3561</v>
      </c>
      <c r="K1752" s="149" t="s">
        <v>3565</v>
      </c>
      <c r="L1752" s="171">
        <f t="shared" si="49"/>
        <v>166570000</v>
      </c>
    </row>
    <row r="1753" spans="1:12" x14ac:dyDescent="0.25">
      <c r="A1753" s="7" t="s">
        <v>2858</v>
      </c>
      <c r="B1753" s="60">
        <v>521211</v>
      </c>
      <c r="C1753" s="41" t="s">
        <v>7</v>
      </c>
      <c r="D1753" s="60"/>
      <c r="E1753" s="60"/>
      <c r="F1753" s="42"/>
      <c r="G1753" s="42">
        <v>64750000</v>
      </c>
      <c r="H1753" s="165">
        <v>20000000</v>
      </c>
      <c r="I1753" s="150" t="s">
        <v>3552</v>
      </c>
      <c r="J1753" s="149"/>
      <c r="K1753" s="149"/>
      <c r="L1753" s="171">
        <f t="shared" si="49"/>
        <v>44750000</v>
      </c>
    </row>
    <row r="1754" spans="1:12" x14ac:dyDescent="0.25">
      <c r="A1754" s="7" t="s">
        <v>2859</v>
      </c>
      <c r="B1754" s="61"/>
      <c r="C1754" s="44" t="s">
        <v>3598</v>
      </c>
      <c r="D1754" s="61">
        <v>25</v>
      </c>
      <c r="E1754" s="61" t="s">
        <v>180</v>
      </c>
      <c r="F1754" s="45">
        <v>100000</v>
      </c>
      <c r="G1754" s="45">
        <f>ROUNDDOWN(D1754*F1754,-3)</f>
        <v>2500000</v>
      </c>
      <c r="H1754" s="165">
        <v>11000000</v>
      </c>
      <c r="I1754" s="150" t="s">
        <v>3552</v>
      </c>
      <c r="J1754" s="149"/>
      <c r="K1754" s="149"/>
      <c r="L1754" s="171">
        <f t="shared" si="49"/>
        <v>-8500000</v>
      </c>
    </row>
    <row r="1755" spans="1:12" x14ac:dyDescent="0.25">
      <c r="A1755" s="7" t="s">
        <v>2860</v>
      </c>
      <c r="B1755" s="61"/>
      <c r="C1755" s="44" t="s">
        <v>4450</v>
      </c>
      <c r="D1755" s="61">
        <v>15</v>
      </c>
      <c r="E1755" s="61" t="s">
        <v>180</v>
      </c>
      <c r="F1755" s="45">
        <v>100000</v>
      </c>
      <c r="G1755" s="45">
        <f>ROUNDDOWN(D1755*F1755,-3)</f>
        <v>1500000</v>
      </c>
      <c r="H1755" s="165">
        <v>9000000</v>
      </c>
      <c r="I1755" s="150" t="s">
        <v>3552</v>
      </c>
      <c r="J1755" s="149"/>
      <c r="K1755" s="149"/>
      <c r="L1755" s="171">
        <f t="shared" si="49"/>
        <v>-7500000</v>
      </c>
    </row>
    <row r="1756" spans="1:12" x14ac:dyDescent="0.25">
      <c r="A1756" s="7" t="s">
        <v>2861</v>
      </c>
      <c r="B1756" s="192"/>
      <c r="C1756" s="191" t="s">
        <v>4451</v>
      </c>
      <c r="D1756" s="192">
        <v>3</v>
      </c>
      <c r="E1756" s="192" t="s">
        <v>106</v>
      </c>
      <c r="F1756" s="193">
        <v>1500000</v>
      </c>
      <c r="G1756" s="45">
        <f>ROUNDDOWN(D1756*F1756,-3)</f>
        <v>4500000</v>
      </c>
      <c r="H1756" s="165">
        <v>22000000</v>
      </c>
      <c r="I1756" s="150" t="s">
        <v>3552</v>
      </c>
      <c r="J1756" s="149"/>
      <c r="K1756" s="149"/>
      <c r="L1756" s="171">
        <f t="shared" si="49"/>
        <v>-17500000</v>
      </c>
    </row>
    <row r="1757" spans="1:12" x14ac:dyDescent="0.25">
      <c r="A1757" s="7" t="s">
        <v>2863</v>
      </c>
      <c r="B1757" s="61"/>
      <c r="C1757" s="44" t="s">
        <v>4452</v>
      </c>
      <c r="D1757" s="61">
        <v>150</v>
      </c>
      <c r="E1757" s="61" t="s">
        <v>180</v>
      </c>
      <c r="F1757" s="45">
        <v>350000</v>
      </c>
      <c r="G1757" s="45">
        <f>ROUNDDOWN(D1757*F1757,-3)</f>
        <v>52500000</v>
      </c>
      <c r="H1757" s="165">
        <v>11000000</v>
      </c>
      <c r="I1757" s="150" t="s">
        <v>3552</v>
      </c>
      <c r="J1757" s="149"/>
      <c r="K1757" s="149"/>
      <c r="L1757" s="171">
        <f t="shared" si="49"/>
        <v>41500000</v>
      </c>
    </row>
    <row r="1758" spans="1:12" x14ac:dyDescent="0.25">
      <c r="A1758" s="7" t="s">
        <v>2865</v>
      </c>
      <c r="B1758" s="61"/>
      <c r="C1758" s="44" t="s">
        <v>4453</v>
      </c>
      <c r="D1758" s="61">
        <v>15</v>
      </c>
      <c r="E1758" s="61" t="s">
        <v>180</v>
      </c>
      <c r="F1758" s="45">
        <v>250000</v>
      </c>
      <c r="G1758" s="45">
        <f>ROUNDDOWN(D1758*F1758,-3)</f>
        <v>3750000</v>
      </c>
      <c r="H1758" s="165">
        <v>11000000</v>
      </c>
      <c r="I1758" s="150" t="s">
        <v>3552</v>
      </c>
      <c r="J1758" s="149"/>
      <c r="K1758" s="149"/>
      <c r="L1758" s="171">
        <f t="shared" si="49"/>
        <v>-7250000</v>
      </c>
    </row>
    <row r="1759" spans="1:12" x14ac:dyDescent="0.25">
      <c r="A1759" s="7" t="s">
        <v>2867</v>
      </c>
      <c r="B1759" s="60">
        <v>521811</v>
      </c>
      <c r="C1759" s="41" t="s">
        <v>64</v>
      </c>
      <c r="D1759" s="60"/>
      <c r="E1759" s="60"/>
      <c r="F1759" s="42"/>
      <c r="G1759" s="42">
        <v>6000000</v>
      </c>
      <c r="H1759" s="165">
        <v>67200000</v>
      </c>
      <c r="I1759" s="150" t="s">
        <v>3552</v>
      </c>
      <c r="J1759" s="149"/>
      <c r="K1759" s="149"/>
      <c r="L1759" s="171">
        <f t="shared" si="49"/>
        <v>-61200000</v>
      </c>
    </row>
    <row r="1760" spans="1:12" x14ac:dyDescent="0.25">
      <c r="A1760" s="7" t="s">
        <v>2868</v>
      </c>
      <c r="B1760" s="61"/>
      <c r="C1760" s="44" t="s">
        <v>3625</v>
      </c>
      <c r="D1760" s="61">
        <v>3</v>
      </c>
      <c r="E1760" s="61" t="s">
        <v>106</v>
      </c>
      <c r="F1760" s="45">
        <v>1000000</v>
      </c>
      <c r="G1760" s="45">
        <f>ROUNDDOWN(D1760*F1760,-3)</f>
        <v>3000000</v>
      </c>
      <c r="H1760" s="165">
        <v>67200000</v>
      </c>
      <c r="I1760" s="150" t="s">
        <v>3552</v>
      </c>
      <c r="J1760" s="149"/>
      <c r="K1760" s="149"/>
      <c r="L1760" s="171">
        <f t="shared" si="49"/>
        <v>-64200000</v>
      </c>
    </row>
    <row r="1761" spans="1:12" x14ac:dyDescent="0.25">
      <c r="A1761" s="7" t="s">
        <v>2869</v>
      </c>
      <c r="B1761" s="192"/>
      <c r="C1761" s="191" t="s">
        <v>4454</v>
      </c>
      <c r="D1761" s="192">
        <v>3</v>
      </c>
      <c r="E1761" s="192" t="s">
        <v>106</v>
      </c>
      <c r="F1761" s="193">
        <v>1000000</v>
      </c>
      <c r="G1761" s="45">
        <f>ROUNDDOWN(D1761*F1761,-3)</f>
        <v>3000000</v>
      </c>
      <c r="H1761" s="165">
        <v>84280000</v>
      </c>
      <c r="I1761" s="150" t="s">
        <v>3552</v>
      </c>
      <c r="J1761" s="149"/>
      <c r="K1761" s="149"/>
      <c r="L1761" s="171">
        <f t="shared" si="49"/>
        <v>-81280000</v>
      </c>
    </row>
    <row r="1762" spans="1:12" x14ac:dyDescent="0.25">
      <c r="A1762" s="7" t="s">
        <v>2871</v>
      </c>
      <c r="B1762" s="60">
        <v>522151</v>
      </c>
      <c r="C1762" s="41" t="s">
        <v>11</v>
      </c>
      <c r="D1762" s="60"/>
      <c r="E1762" s="60"/>
      <c r="F1762" s="42"/>
      <c r="G1762" s="42">
        <v>28200000</v>
      </c>
      <c r="H1762" s="165">
        <v>84280000</v>
      </c>
      <c r="I1762" s="150" t="s">
        <v>3552</v>
      </c>
      <c r="J1762" s="149"/>
      <c r="K1762" s="149"/>
      <c r="L1762" s="171">
        <f t="shared" si="49"/>
        <v>-56080000</v>
      </c>
    </row>
    <row r="1763" spans="1:12" x14ac:dyDescent="0.25">
      <c r="A1763" s="7" t="s">
        <v>2872</v>
      </c>
      <c r="B1763" s="192"/>
      <c r="C1763" s="191" t="s">
        <v>4455</v>
      </c>
      <c r="D1763" s="192">
        <v>12</v>
      </c>
      <c r="E1763" s="192" t="s">
        <v>54</v>
      </c>
      <c r="F1763" s="193">
        <v>1000000</v>
      </c>
      <c r="G1763" s="45">
        <f>ROUNDDOWN(D1763*F1763,-3)</f>
        <v>12000000</v>
      </c>
      <c r="H1763" s="165">
        <v>14400000</v>
      </c>
      <c r="I1763" s="150" t="s">
        <v>3552</v>
      </c>
      <c r="J1763" s="149"/>
      <c r="K1763" s="149"/>
      <c r="L1763" s="171">
        <f t="shared" si="49"/>
        <v>-2400000</v>
      </c>
    </row>
    <row r="1764" spans="1:12" x14ac:dyDescent="0.25">
      <c r="A1764" s="7" t="s">
        <v>2874</v>
      </c>
      <c r="B1764" s="61"/>
      <c r="C1764" s="44" t="s">
        <v>4456</v>
      </c>
      <c r="D1764" s="61">
        <v>18</v>
      </c>
      <c r="E1764" s="61" t="s">
        <v>54</v>
      </c>
      <c r="F1764" s="45">
        <v>900000</v>
      </c>
      <c r="G1764" s="45">
        <f>ROUNDDOWN(D1764*F1764,-3)</f>
        <v>16200000</v>
      </c>
      <c r="H1764" s="165">
        <v>8400000</v>
      </c>
      <c r="I1764" s="150" t="s">
        <v>3552</v>
      </c>
      <c r="J1764" s="149"/>
      <c r="K1764" s="149"/>
      <c r="L1764" s="171">
        <f t="shared" si="49"/>
        <v>7800000</v>
      </c>
    </row>
    <row r="1765" spans="1:12" x14ac:dyDescent="0.25">
      <c r="A1765" s="7" t="s">
        <v>2876</v>
      </c>
      <c r="B1765" s="60">
        <v>524111</v>
      </c>
      <c r="C1765" s="41" t="s">
        <v>19</v>
      </c>
      <c r="D1765" s="60"/>
      <c r="E1765" s="60"/>
      <c r="F1765" s="42"/>
      <c r="G1765" s="42">
        <v>275500000</v>
      </c>
      <c r="H1765" s="165">
        <v>6000000</v>
      </c>
      <c r="I1765" s="150" t="s">
        <v>3552</v>
      </c>
      <c r="J1765" s="149"/>
      <c r="K1765" s="149"/>
      <c r="L1765" s="171">
        <f t="shared" si="49"/>
        <v>269500000</v>
      </c>
    </row>
    <row r="1766" spans="1:12" ht="26.4" x14ac:dyDescent="0.25">
      <c r="A1766" s="7" t="s">
        <v>2877</v>
      </c>
      <c r="B1766" s="192"/>
      <c r="C1766" s="191" t="s">
        <v>4457</v>
      </c>
      <c r="D1766" s="192">
        <v>50</v>
      </c>
      <c r="E1766" s="192" t="s">
        <v>25</v>
      </c>
      <c r="F1766" s="193">
        <v>5510000</v>
      </c>
      <c r="G1766" s="45">
        <f>ROUNDDOWN(D1766*F1766,-3)</f>
        <v>275500000</v>
      </c>
      <c r="H1766" s="165">
        <v>213980000</v>
      </c>
      <c r="I1766" s="150" t="s">
        <v>3552</v>
      </c>
      <c r="J1766" s="149" t="s">
        <v>3561</v>
      </c>
      <c r="K1766" s="149" t="s">
        <v>3565</v>
      </c>
      <c r="L1766" s="171">
        <f t="shared" si="49"/>
        <v>61520000</v>
      </c>
    </row>
    <row r="1767" spans="1:12" ht="26.4" x14ac:dyDescent="0.25">
      <c r="A1767" s="7" t="s">
        <v>2879</v>
      </c>
      <c r="B1767" s="58">
        <v>102</v>
      </c>
      <c r="C1767" s="35" t="s">
        <v>2880</v>
      </c>
      <c r="D1767" s="58">
        <v>0</v>
      </c>
      <c r="E1767" s="58"/>
      <c r="F1767" s="36"/>
      <c r="G1767" s="36">
        <v>1200000000</v>
      </c>
      <c r="H1767" s="165">
        <v>76400000</v>
      </c>
      <c r="I1767" s="150" t="s">
        <v>3552</v>
      </c>
      <c r="J1767" s="149"/>
      <c r="K1767" s="149"/>
      <c r="L1767" s="171">
        <f t="shared" si="49"/>
        <v>1123600000</v>
      </c>
    </row>
    <row r="1768" spans="1:12" x14ac:dyDescent="0.25">
      <c r="A1768" s="7" t="s">
        <v>2881</v>
      </c>
      <c r="B1768" s="59" t="s">
        <v>8</v>
      </c>
      <c r="C1768" s="38" t="s">
        <v>2882</v>
      </c>
      <c r="D1768" s="59"/>
      <c r="E1768" s="59"/>
      <c r="F1768" s="39"/>
      <c r="G1768" s="39">
        <v>417300000</v>
      </c>
      <c r="H1768" s="165">
        <v>18000000</v>
      </c>
      <c r="I1768" s="150" t="s">
        <v>3552</v>
      </c>
      <c r="J1768" s="149"/>
      <c r="K1768" s="149"/>
      <c r="L1768" s="171">
        <f t="shared" si="49"/>
        <v>399300000</v>
      </c>
    </row>
    <row r="1769" spans="1:12" x14ac:dyDescent="0.25">
      <c r="A1769" s="7" t="s">
        <v>2883</v>
      </c>
      <c r="B1769" s="60">
        <v>521211</v>
      </c>
      <c r="C1769" s="41" t="s">
        <v>7</v>
      </c>
      <c r="D1769" s="60"/>
      <c r="E1769" s="60"/>
      <c r="F1769" s="42"/>
      <c r="G1769" s="42">
        <v>16400000</v>
      </c>
      <c r="H1769" s="165">
        <v>18000000</v>
      </c>
      <c r="I1769" s="150" t="s">
        <v>3552</v>
      </c>
      <c r="J1769" s="149"/>
      <c r="K1769" s="149"/>
      <c r="L1769" s="171">
        <f t="shared" si="49"/>
        <v>-1600000</v>
      </c>
    </row>
    <row r="1770" spans="1:12" x14ac:dyDescent="0.25">
      <c r="A1770" s="7" t="s">
        <v>2884</v>
      </c>
      <c r="B1770" s="61"/>
      <c r="C1770" s="44" t="s">
        <v>3598</v>
      </c>
      <c r="D1770" s="61">
        <v>100</v>
      </c>
      <c r="E1770" s="61" t="s">
        <v>180</v>
      </c>
      <c r="F1770" s="45">
        <v>100000</v>
      </c>
      <c r="G1770" s="45">
        <f>ROUNDDOWN(D1770*F1770,-3)</f>
        <v>10000000</v>
      </c>
      <c r="H1770" s="165">
        <v>7600000</v>
      </c>
      <c r="I1770" s="150" t="s">
        <v>3552</v>
      </c>
      <c r="J1770" s="149"/>
      <c r="K1770" s="149"/>
      <c r="L1770" s="171">
        <f t="shared" si="49"/>
        <v>2400000</v>
      </c>
    </row>
    <row r="1771" spans="1:12" x14ac:dyDescent="0.25">
      <c r="A1771" s="7" t="s">
        <v>2885</v>
      </c>
      <c r="B1771" s="61"/>
      <c r="C1771" s="44" t="s">
        <v>4458</v>
      </c>
      <c r="D1771" s="61">
        <v>16</v>
      </c>
      <c r="E1771" s="61" t="s">
        <v>180</v>
      </c>
      <c r="F1771" s="45">
        <v>400000</v>
      </c>
      <c r="G1771" s="45">
        <f>ROUNDDOWN(D1771*F1771,-3)</f>
        <v>6400000</v>
      </c>
      <c r="H1771" s="165">
        <v>22800000</v>
      </c>
      <c r="I1771" s="150" t="s">
        <v>3552</v>
      </c>
      <c r="J1771" s="149"/>
      <c r="K1771" s="149"/>
      <c r="L1771" s="171">
        <f t="shared" si="49"/>
        <v>-16400000</v>
      </c>
    </row>
    <row r="1772" spans="1:12" x14ac:dyDescent="0.25">
      <c r="A1772" s="7" t="s">
        <v>2886</v>
      </c>
      <c r="B1772" s="60">
        <v>521811</v>
      </c>
      <c r="C1772" s="41" t="s">
        <v>64</v>
      </c>
      <c r="D1772" s="60"/>
      <c r="E1772" s="60"/>
      <c r="F1772" s="42"/>
      <c r="G1772" s="42">
        <v>22000000</v>
      </c>
      <c r="H1772" s="165">
        <v>10000000</v>
      </c>
      <c r="I1772" s="150" t="s">
        <v>3552</v>
      </c>
      <c r="J1772" s="149"/>
      <c r="K1772" s="149"/>
      <c r="L1772" s="171">
        <f t="shared" si="49"/>
        <v>12000000</v>
      </c>
    </row>
    <row r="1773" spans="1:12" x14ac:dyDescent="0.25">
      <c r="A1773" s="7" t="s">
        <v>2887</v>
      </c>
      <c r="B1773" s="192"/>
      <c r="C1773" s="191" t="s">
        <v>3625</v>
      </c>
      <c r="D1773" s="192">
        <v>11</v>
      </c>
      <c r="E1773" s="192" t="s">
        <v>106</v>
      </c>
      <c r="F1773" s="193">
        <v>1000000</v>
      </c>
      <c r="G1773" s="45">
        <f>ROUNDDOWN(D1773*F1773,-3)</f>
        <v>11000000</v>
      </c>
      <c r="H1773" s="165">
        <v>22000000</v>
      </c>
      <c r="I1773" s="150" t="s">
        <v>3552</v>
      </c>
      <c r="J1773" s="149"/>
      <c r="K1773" s="149"/>
      <c r="L1773" s="171">
        <f t="shared" si="49"/>
        <v>-11000000</v>
      </c>
    </row>
    <row r="1774" spans="1:12" x14ac:dyDescent="0.25">
      <c r="A1774" s="7" t="s">
        <v>2888</v>
      </c>
      <c r="B1774" s="61"/>
      <c r="C1774" s="44" t="s">
        <v>3783</v>
      </c>
      <c r="D1774" s="61">
        <v>11</v>
      </c>
      <c r="E1774" s="61" t="s">
        <v>106</v>
      </c>
      <c r="F1774" s="45">
        <v>1000000</v>
      </c>
      <c r="G1774" s="45">
        <f>ROUNDDOWN(D1774*F1774,-3)</f>
        <v>11000000</v>
      </c>
      <c r="H1774" s="165">
        <v>11000000</v>
      </c>
      <c r="I1774" s="150" t="s">
        <v>3552</v>
      </c>
      <c r="J1774" s="149"/>
      <c r="K1774" s="149"/>
      <c r="L1774" s="171">
        <f t="shared" si="49"/>
        <v>0</v>
      </c>
    </row>
    <row r="1775" spans="1:12" x14ac:dyDescent="0.25">
      <c r="A1775" s="7" t="s">
        <v>2889</v>
      </c>
      <c r="B1775" s="60">
        <v>522151</v>
      </c>
      <c r="C1775" s="41" t="s">
        <v>11</v>
      </c>
      <c r="D1775" s="60"/>
      <c r="E1775" s="60"/>
      <c r="F1775" s="42"/>
      <c r="G1775" s="42">
        <v>50400000</v>
      </c>
      <c r="H1775" s="165">
        <v>11000000</v>
      </c>
      <c r="I1775" s="150" t="s">
        <v>3552</v>
      </c>
      <c r="J1775" s="149"/>
      <c r="K1775" s="149"/>
      <c r="L1775" s="171">
        <f t="shared" si="49"/>
        <v>39400000</v>
      </c>
    </row>
    <row r="1776" spans="1:12" ht="26.4" x14ac:dyDescent="0.25">
      <c r="A1776" s="7" t="s">
        <v>2890</v>
      </c>
      <c r="B1776" s="192"/>
      <c r="C1776" s="191" t="s">
        <v>4459</v>
      </c>
      <c r="D1776" s="192">
        <v>36</v>
      </c>
      <c r="E1776" s="192" t="s">
        <v>25</v>
      </c>
      <c r="F1776" s="193">
        <v>1400000</v>
      </c>
      <c r="G1776" s="45">
        <f>ROUNDDOWN(D1776*F1776,-3)</f>
        <v>50400000</v>
      </c>
      <c r="H1776" s="165">
        <v>31000000</v>
      </c>
      <c r="I1776" s="150" t="s">
        <v>3552</v>
      </c>
      <c r="J1776" s="149"/>
      <c r="K1776" s="149"/>
      <c r="L1776" s="171">
        <f t="shared" si="49"/>
        <v>19400000</v>
      </c>
    </row>
    <row r="1777" spans="1:12" x14ac:dyDescent="0.25">
      <c r="A1777" s="7" t="s">
        <v>2892</v>
      </c>
      <c r="B1777" s="60">
        <v>522192</v>
      </c>
      <c r="C1777" s="41" t="s">
        <v>24</v>
      </c>
      <c r="D1777" s="60"/>
      <c r="E1777" s="60"/>
      <c r="F1777" s="42"/>
      <c r="G1777" s="42">
        <v>32400000</v>
      </c>
      <c r="H1777" s="165">
        <v>10500000</v>
      </c>
      <c r="I1777" s="150" t="s">
        <v>3552</v>
      </c>
      <c r="J1777" s="149"/>
      <c r="K1777" s="149"/>
      <c r="L1777" s="171">
        <f t="shared" si="49"/>
        <v>21900000</v>
      </c>
    </row>
    <row r="1778" spans="1:12" x14ac:dyDescent="0.25">
      <c r="A1778" s="7" t="s">
        <v>2893</v>
      </c>
      <c r="B1778" s="61"/>
      <c r="C1778" s="44" t="s">
        <v>4460</v>
      </c>
      <c r="D1778" s="61">
        <v>72</v>
      </c>
      <c r="E1778" s="61" t="s">
        <v>25</v>
      </c>
      <c r="F1778" s="45">
        <v>450000</v>
      </c>
      <c r="G1778" s="45">
        <f>ROUNDDOWN(D1778*F1778,-3)</f>
        <v>32400000</v>
      </c>
      <c r="H1778" s="165">
        <v>10500000</v>
      </c>
      <c r="I1778" s="150" t="s">
        <v>3552</v>
      </c>
      <c r="J1778" s="149"/>
      <c r="K1778" s="149"/>
      <c r="L1778" s="171">
        <f t="shared" si="49"/>
        <v>21900000</v>
      </c>
    </row>
    <row r="1779" spans="1:12" x14ac:dyDescent="0.25">
      <c r="A1779" s="7" t="s">
        <v>2895</v>
      </c>
      <c r="B1779" s="60">
        <v>524111</v>
      </c>
      <c r="C1779" s="41" t="s">
        <v>19</v>
      </c>
      <c r="D1779" s="60"/>
      <c r="E1779" s="60"/>
      <c r="F1779" s="42"/>
      <c r="G1779" s="42">
        <v>296100000</v>
      </c>
      <c r="H1779" s="165">
        <v>5000000</v>
      </c>
      <c r="I1779" s="150" t="s">
        <v>3552</v>
      </c>
      <c r="J1779" s="149"/>
      <c r="K1779" s="149"/>
      <c r="L1779" s="171">
        <f t="shared" si="49"/>
        <v>291100000</v>
      </c>
    </row>
    <row r="1780" spans="1:12" x14ac:dyDescent="0.25">
      <c r="A1780" s="7" t="s">
        <v>2896</v>
      </c>
      <c r="B1780" s="61"/>
      <c r="C1780" s="44" t="s">
        <v>4461</v>
      </c>
      <c r="D1780" s="61">
        <v>60</v>
      </c>
      <c r="E1780" s="61" t="s">
        <v>25</v>
      </c>
      <c r="F1780" s="45">
        <v>4935000</v>
      </c>
      <c r="G1780" s="45">
        <f>ROUNDDOWN(D1780*F1780,-3)</f>
        <v>296100000</v>
      </c>
      <c r="H1780" s="165">
        <v>5000000</v>
      </c>
      <c r="I1780" s="150" t="s">
        <v>3552</v>
      </c>
      <c r="J1780" s="149"/>
      <c r="K1780" s="149"/>
      <c r="L1780" s="171">
        <f t="shared" si="49"/>
        <v>291100000</v>
      </c>
    </row>
    <row r="1781" spans="1:12" x14ac:dyDescent="0.25">
      <c r="A1781" s="7" t="s">
        <v>2898</v>
      </c>
      <c r="B1781" s="59" t="s">
        <v>511</v>
      </c>
      <c r="C1781" s="38" t="s">
        <v>165</v>
      </c>
      <c r="D1781" s="59"/>
      <c r="E1781" s="59"/>
      <c r="F1781" s="39"/>
      <c r="G1781" s="39">
        <v>207880000</v>
      </c>
      <c r="H1781" s="165">
        <v>77980000</v>
      </c>
      <c r="I1781" s="150" t="s">
        <v>3552</v>
      </c>
      <c r="J1781" s="149"/>
      <c r="K1781" s="149"/>
      <c r="L1781" s="171">
        <f t="shared" si="49"/>
        <v>129900000</v>
      </c>
    </row>
    <row r="1782" spans="1:12" x14ac:dyDescent="0.25">
      <c r="A1782" s="7" t="s">
        <v>2899</v>
      </c>
      <c r="B1782" s="60">
        <v>521211</v>
      </c>
      <c r="C1782" s="41" t="s">
        <v>7</v>
      </c>
      <c r="D1782" s="60"/>
      <c r="E1782" s="60"/>
      <c r="F1782" s="42"/>
      <c r="G1782" s="42">
        <v>20000000</v>
      </c>
      <c r="H1782" s="165">
        <v>77980000</v>
      </c>
      <c r="I1782" s="150" t="s">
        <v>3552</v>
      </c>
      <c r="J1782" s="149"/>
      <c r="K1782" s="149"/>
      <c r="L1782" s="171">
        <f t="shared" si="49"/>
        <v>-57980000</v>
      </c>
    </row>
    <row r="1783" spans="1:12" x14ac:dyDescent="0.25">
      <c r="A1783" s="7" t="s">
        <v>2900</v>
      </c>
      <c r="B1783" s="192"/>
      <c r="C1783" s="191" t="s">
        <v>3598</v>
      </c>
      <c r="D1783" s="192">
        <v>110</v>
      </c>
      <c r="E1783" s="192" t="s">
        <v>180</v>
      </c>
      <c r="F1783" s="193">
        <v>100000</v>
      </c>
      <c r="G1783" s="45">
        <f>ROUNDDOWN(D1783*F1783,-3)</f>
        <v>11000000</v>
      </c>
      <c r="H1783" s="165">
        <v>6600000</v>
      </c>
      <c r="I1783" s="150" t="s">
        <v>3552</v>
      </c>
      <c r="J1783" s="149"/>
      <c r="K1783" s="149"/>
      <c r="L1783" s="171">
        <f t="shared" si="49"/>
        <v>4400000</v>
      </c>
    </row>
    <row r="1784" spans="1:12" x14ac:dyDescent="0.25">
      <c r="A1784" s="7" t="s">
        <v>2901</v>
      </c>
      <c r="B1784" s="61"/>
      <c r="C1784" s="44" t="s">
        <v>4462</v>
      </c>
      <c r="D1784" s="61">
        <v>36</v>
      </c>
      <c r="E1784" s="61" t="s">
        <v>180</v>
      </c>
      <c r="F1784" s="45">
        <v>250000</v>
      </c>
      <c r="G1784" s="45">
        <f>ROUNDDOWN(D1784*F1784,-3)</f>
        <v>9000000</v>
      </c>
      <c r="H1784" s="165">
        <v>3600000</v>
      </c>
      <c r="I1784" s="150" t="s">
        <v>3552</v>
      </c>
      <c r="J1784" s="149"/>
      <c r="K1784" s="149"/>
      <c r="L1784" s="171">
        <f t="shared" si="49"/>
        <v>5400000</v>
      </c>
    </row>
    <row r="1785" spans="1:12" x14ac:dyDescent="0.25">
      <c r="A1785" s="7" t="s">
        <v>2903</v>
      </c>
      <c r="B1785" s="60">
        <v>521811</v>
      </c>
      <c r="C1785" s="41" t="s">
        <v>64</v>
      </c>
      <c r="D1785" s="60"/>
      <c r="E1785" s="60"/>
      <c r="F1785" s="42"/>
      <c r="G1785" s="42">
        <v>22000000</v>
      </c>
      <c r="H1785" s="165">
        <v>3000000</v>
      </c>
      <c r="I1785" s="150" t="s">
        <v>3552</v>
      </c>
      <c r="J1785" s="149"/>
      <c r="K1785" s="149"/>
      <c r="L1785" s="171">
        <f t="shared" si="49"/>
        <v>19000000</v>
      </c>
    </row>
    <row r="1786" spans="1:12" x14ac:dyDescent="0.25">
      <c r="A1786" s="7" t="s">
        <v>2904</v>
      </c>
      <c r="B1786" s="192"/>
      <c r="C1786" s="191" t="s">
        <v>3625</v>
      </c>
      <c r="D1786" s="192">
        <v>11</v>
      </c>
      <c r="E1786" s="192" t="s">
        <v>106</v>
      </c>
      <c r="F1786" s="193">
        <v>1000000</v>
      </c>
      <c r="G1786" s="45">
        <f>ROUNDDOWN(D1786*F1786,-3)</f>
        <v>11000000</v>
      </c>
      <c r="H1786" s="165">
        <v>360840000</v>
      </c>
      <c r="I1786" s="150" t="s">
        <v>3552</v>
      </c>
      <c r="J1786" s="149" t="s">
        <v>3561</v>
      </c>
      <c r="K1786" s="149" t="s">
        <v>3565</v>
      </c>
      <c r="L1786" s="171">
        <f t="shared" si="49"/>
        <v>-349840000</v>
      </c>
    </row>
    <row r="1787" spans="1:12" x14ac:dyDescent="0.25">
      <c r="A1787" s="7" t="s">
        <v>2905</v>
      </c>
      <c r="B1787" s="192"/>
      <c r="C1787" s="191" t="s">
        <v>3841</v>
      </c>
      <c r="D1787" s="192">
        <v>11</v>
      </c>
      <c r="E1787" s="192" t="s">
        <v>106</v>
      </c>
      <c r="F1787" s="193">
        <v>1000000</v>
      </c>
      <c r="G1787" s="45">
        <f>ROUNDDOWN(D1787*F1787,-3)</f>
        <v>11000000</v>
      </c>
      <c r="H1787" s="165">
        <v>118300000</v>
      </c>
      <c r="I1787" s="150" t="s">
        <v>3552</v>
      </c>
      <c r="J1787" s="149"/>
      <c r="K1787" s="149"/>
      <c r="L1787" s="171">
        <f t="shared" si="49"/>
        <v>-107300000</v>
      </c>
    </row>
    <row r="1788" spans="1:12" x14ac:dyDescent="0.25">
      <c r="A1788" s="7" t="s">
        <v>2906</v>
      </c>
      <c r="B1788" s="60">
        <v>522151</v>
      </c>
      <c r="C1788" s="41" t="s">
        <v>11</v>
      </c>
      <c r="D1788" s="60"/>
      <c r="E1788" s="60"/>
      <c r="F1788" s="42"/>
      <c r="G1788" s="42">
        <v>67200000</v>
      </c>
      <c r="H1788" s="165">
        <v>72000000</v>
      </c>
      <c r="I1788" s="150" t="s">
        <v>3552</v>
      </c>
      <c r="J1788" s="149"/>
      <c r="K1788" s="149"/>
      <c r="L1788" s="171">
        <f t="shared" si="49"/>
        <v>-4800000</v>
      </c>
    </row>
    <row r="1789" spans="1:12" x14ac:dyDescent="0.25">
      <c r="A1789" s="7" t="s">
        <v>2907</v>
      </c>
      <c r="B1789" s="61"/>
      <c r="C1789" s="44" t="s">
        <v>4459</v>
      </c>
      <c r="D1789" s="61">
        <v>48</v>
      </c>
      <c r="E1789" s="61" t="s">
        <v>25</v>
      </c>
      <c r="F1789" s="45">
        <v>1400000</v>
      </c>
      <c r="G1789" s="45">
        <f>ROUNDDOWN(D1789*F1789,-3)</f>
        <v>67200000</v>
      </c>
      <c r="H1789" s="165">
        <v>31500000</v>
      </c>
      <c r="I1789" s="150" t="s">
        <v>3552</v>
      </c>
      <c r="J1789" s="149"/>
      <c r="K1789" s="149"/>
      <c r="L1789" s="171">
        <f t="shared" si="49"/>
        <v>35700000</v>
      </c>
    </row>
    <row r="1790" spans="1:12" x14ac:dyDescent="0.25">
      <c r="A1790" s="7" t="s">
        <v>2908</v>
      </c>
      <c r="B1790" s="60">
        <v>524111</v>
      </c>
      <c r="C1790" s="41" t="s">
        <v>19</v>
      </c>
      <c r="D1790" s="60"/>
      <c r="E1790" s="60"/>
      <c r="F1790" s="42"/>
      <c r="G1790" s="42">
        <v>84280000</v>
      </c>
      <c r="H1790" s="165">
        <v>10000000</v>
      </c>
      <c r="I1790" s="150" t="s">
        <v>3552</v>
      </c>
      <c r="J1790" s="149"/>
      <c r="K1790" s="149"/>
      <c r="L1790" s="171">
        <f t="shared" si="49"/>
        <v>74280000</v>
      </c>
    </row>
    <row r="1791" spans="1:12" ht="26.4" x14ac:dyDescent="0.25">
      <c r="A1791" s="7" t="s">
        <v>2909</v>
      </c>
      <c r="B1791" s="61"/>
      <c r="C1791" s="44" t="s">
        <v>4463</v>
      </c>
      <c r="D1791" s="61">
        <v>20</v>
      </c>
      <c r="E1791" s="61" t="s">
        <v>25</v>
      </c>
      <c r="F1791" s="45">
        <v>4214000</v>
      </c>
      <c r="G1791" s="45">
        <f>ROUNDDOWN(D1791*F1791,-3)</f>
        <v>84280000</v>
      </c>
      <c r="H1791" s="165">
        <v>4800000</v>
      </c>
      <c r="I1791" s="150" t="s">
        <v>3552</v>
      </c>
      <c r="J1791" s="149"/>
      <c r="K1791" s="149"/>
      <c r="L1791" s="171">
        <f t="shared" si="49"/>
        <v>79480000</v>
      </c>
    </row>
    <row r="1792" spans="1:12" x14ac:dyDescent="0.25">
      <c r="A1792" s="7" t="s">
        <v>2911</v>
      </c>
      <c r="B1792" s="60">
        <v>524113</v>
      </c>
      <c r="C1792" s="41" t="s">
        <v>13</v>
      </c>
      <c r="D1792" s="60"/>
      <c r="E1792" s="60"/>
      <c r="F1792" s="42"/>
      <c r="G1792" s="42">
        <v>14400000</v>
      </c>
      <c r="H1792" s="165">
        <v>15600000</v>
      </c>
      <c r="I1792" s="150" t="s">
        <v>3552</v>
      </c>
      <c r="J1792" s="149"/>
      <c r="K1792" s="149"/>
      <c r="L1792" s="171">
        <f t="shared" si="49"/>
        <v>-1200000</v>
      </c>
    </row>
    <row r="1793" spans="1:12" x14ac:dyDescent="0.25">
      <c r="A1793" s="7" t="s">
        <v>2912</v>
      </c>
      <c r="B1793" s="61"/>
      <c r="C1793" s="44" t="s">
        <v>4464</v>
      </c>
      <c r="D1793" s="61">
        <v>40</v>
      </c>
      <c r="E1793" s="61" t="s">
        <v>25</v>
      </c>
      <c r="F1793" s="45">
        <v>210000</v>
      </c>
      <c r="G1793" s="45">
        <f>ROUNDDOWN(D1793*F1793,-3)</f>
        <v>8400000</v>
      </c>
      <c r="H1793" s="165">
        <v>12000000</v>
      </c>
      <c r="I1793" s="150" t="s">
        <v>3552</v>
      </c>
      <c r="J1793" s="149"/>
      <c r="K1793" s="149"/>
      <c r="L1793" s="171">
        <f t="shared" si="49"/>
        <v>-3600000</v>
      </c>
    </row>
    <row r="1794" spans="1:12" x14ac:dyDescent="0.25">
      <c r="A1794" s="7" t="s">
        <v>2914</v>
      </c>
      <c r="B1794" s="61"/>
      <c r="C1794" s="44" t="s">
        <v>3787</v>
      </c>
      <c r="D1794" s="61">
        <v>40</v>
      </c>
      <c r="E1794" s="61" t="s">
        <v>25</v>
      </c>
      <c r="F1794" s="45">
        <v>150000</v>
      </c>
      <c r="G1794" s="45">
        <f>ROUNDDOWN(D1794*F1794,-3)</f>
        <v>6000000</v>
      </c>
      <c r="H1794" s="165">
        <v>3600000</v>
      </c>
      <c r="I1794" s="150" t="s">
        <v>3552</v>
      </c>
      <c r="J1794" s="149"/>
      <c r="K1794" s="149"/>
      <c r="L1794" s="171">
        <f t="shared" si="49"/>
        <v>2400000</v>
      </c>
    </row>
    <row r="1795" spans="1:12" x14ac:dyDescent="0.25">
      <c r="A1795" s="7" t="s">
        <v>2915</v>
      </c>
      <c r="B1795" s="59" t="s">
        <v>512</v>
      </c>
      <c r="C1795" s="38" t="s">
        <v>166</v>
      </c>
      <c r="D1795" s="59"/>
      <c r="E1795" s="59"/>
      <c r="F1795" s="39"/>
      <c r="G1795" s="39">
        <v>213980000</v>
      </c>
      <c r="H1795" s="165">
        <v>22000000</v>
      </c>
      <c r="I1795" s="150" t="s">
        <v>3552</v>
      </c>
      <c r="J1795" s="149"/>
      <c r="K1795" s="149"/>
      <c r="L1795" s="171">
        <f t="shared" si="49"/>
        <v>191980000</v>
      </c>
    </row>
    <row r="1796" spans="1:12" x14ac:dyDescent="0.25">
      <c r="A1796" s="7" t="s">
        <v>2916</v>
      </c>
      <c r="B1796" s="60">
        <v>521211</v>
      </c>
      <c r="C1796" s="41" t="s">
        <v>7</v>
      </c>
      <c r="D1796" s="60"/>
      <c r="E1796" s="60"/>
      <c r="F1796" s="42"/>
      <c r="G1796" s="42">
        <v>76400000</v>
      </c>
      <c r="H1796" s="165">
        <v>11000000</v>
      </c>
      <c r="I1796" s="150" t="s">
        <v>3552</v>
      </c>
      <c r="J1796" s="149"/>
      <c r="K1796" s="149"/>
      <c r="L1796" s="171">
        <f t="shared" si="49"/>
        <v>65400000</v>
      </c>
    </row>
    <row r="1797" spans="1:12" x14ac:dyDescent="0.25">
      <c r="A1797" s="7" t="s">
        <v>2917</v>
      </c>
      <c r="B1797" s="61"/>
      <c r="C1797" s="44" t="s">
        <v>4465</v>
      </c>
      <c r="D1797" s="61">
        <v>60</v>
      </c>
      <c r="E1797" s="61" t="s">
        <v>180</v>
      </c>
      <c r="F1797" s="45">
        <v>300000</v>
      </c>
      <c r="G1797" s="45">
        <f>ROUNDDOWN(D1797*F1797,-3)</f>
        <v>18000000</v>
      </c>
      <c r="H1797" s="165">
        <v>11000000</v>
      </c>
      <c r="I1797" s="150" t="s">
        <v>3552</v>
      </c>
      <c r="J1797" s="149"/>
      <c r="K1797" s="149"/>
      <c r="L1797" s="171">
        <f t="shared" si="49"/>
        <v>7000000</v>
      </c>
    </row>
    <row r="1798" spans="1:12" ht="26.4" x14ac:dyDescent="0.25">
      <c r="A1798" s="7" t="s">
        <v>2919</v>
      </c>
      <c r="B1798" s="192"/>
      <c r="C1798" s="191" t="s">
        <v>4466</v>
      </c>
      <c r="D1798" s="192">
        <v>60</v>
      </c>
      <c r="E1798" s="192" t="s">
        <v>180</v>
      </c>
      <c r="F1798" s="193">
        <v>300000</v>
      </c>
      <c r="G1798" s="45">
        <f>ROUNDDOWN(D1798*F1798,-3)</f>
        <v>18000000</v>
      </c>
      <c r="H1798" s="165">
        <v>30600000</v>
      </c>
      <c r="I1798" s="150" t="s">
        <v>3552</v>
      </c>
      <c r="J1798" s="149"/>
      <c r="K1798" s="149"/>
      <c r="L1798" s="171">
        <f t="shared" si="49"/>
        <v>-12600000</v>
      </c>
    </row>
    <row r="1799" spans="1:12" x14ac:dyDescent="0.25">
      <c r="A1799" s="7" t="s">
        <v>2921</v>
      </c>
      <c r="B1799" s="61"/>
      <c r="C1799" s="44" t="s">
        <v>4467</v>
      </c>
      <c r="D1799" s="61">
        <v>20</v>
      </c>
      <c r="E1799" s="61" t="s">
        <v>180</v>
      </c>
      <c r="F1799" s="45">
        <v>380000</v>
      </c>
      <c r="G1799" s="45">
        <f>ROUNDDOWN(D1799*F1799,-3)</f>
        <v>7600000</v>
      </c>
      <c r="H1799" s="165">
        <v>30600000</v>
      </c>
      <c r="I1799" s="150" t="s">
        <v>3552</v>
      </c>
      <c r="J1799" s="149"/>
      <c r="K1799" s="149"/>
      <c r="L1799" s="171">
        <f t="shared" si="49"/>
        <v>-23000000</v>
      </c>
    </row>
    <row r="1800" spans="1:12" x14ac:dyDescent="0.25">
      <c r="A1800" s="7" t="s">
        <v>2923</v>
      </c>
      <c r="B1800" s="192"/>
      <c r="C1800" s="191" t="s">
        <v>4468</v>
      </c>
      <c r="D1800" s="192">
        <v>60</v>
      </c>
      <c r="E1800" s="192" t="s">
        <v>180</v>
      </c>
      <c r="F1800" s="193">
        <v>380000</v>
      </c>
      <c r="G1800" s="45">
        <f>ROUNDDOWN(D1800*F1800,-3)</f>
        <v>22800000</v>
      </c>
      <c r="H1800" s="165">
        <v>46000000</v>
      </c>
      <c r="I1800" s="150" t="s">
        <v>3552</v>
      </c>
      <c r="J1800" s="149"/>
      <c r="K1800" s="149"/>
      <c r="L1800" s="171">
        <f t="shared" si="49"/>
        <v>-23200000</v>
      </c>
    </row>
    <row r="1801" spans="1:12" x14ac:dyDescent="0.25">
      <c r="A1801" s="7" t="s">
        <v>2925</v>
      </c>
      <c r="B1801" s="61"/>
      <c r="C1801" s="44" t="s">
        <v>4469</v>
      </c>
      <c r="D1801" s="61">
        <v>100</v>
      </c>
      <c r="E1801" s="61" t="s">
        <v>180</v>
      </c>
      <c r="F1801" s="45">
        <v>100000</v>
      </c>
      <c r="G1801" s="45">
        <f>ROUNDDOWN(D1801*F1801,-3)</f>
        <v>10000000</v>
      </c>
      <c r="H1801" s="165">
        <v>5000000</v>
      </c>
      <c r="I1801" s="150" t="s">
        <v>3552</v>
      </c>
      <c r="J1801" s="149"/>
      <c r="K1801" s="149"/>
      <c r="L1801" s="171">
        <f t="shared" si="49"/>
        <v>5000000</v>
      </c>
    </row>
    <row r="1802" spans="1:12" x14ac:dyDescent="0.25">
      <c r="A1802" s="7" t="s">
        <v>2926</v>
      </c>
      <c r="B1802" s="60">
        <v>521811</v>
      </c>
      <c r="C1802" s="41" t="s">
        <v>64</v>
      </c>
      <c r="D1802" s="60"/>
      <c r="E1802" s="60"/>
      <c r="F1802" s="42"/>
      <c r="G1802" s="42">
        <v>22000000</v>
      </c>
      <c r="H1802" s="165">
        <v>5000000</v>
      </c>
      <c r="I1802" s="150" t="s">
        <v>3552</v>
      </c>
      <c r="J1802" s="149"/>
      <c r="K1802" s="149"/>
      <c r="L1802" s="171">
        <f t="shared" si="49"/>
        <v>17000000</v>
      </c>
    </row>
    <row r="1803" spans="1:12" x14ac:dyDescent="0.25">
      <c r="A1803" s="7" t="s">
        <v>2927</v>
      </c>
      <c r="B1803" s="61"/>
      <c r="C1803" s="44" t="s">
        <v>3625</v>
      </c>
      <c r="D1803" s="61">
        <v>11</v>
      </c>
      <c r="E1803" s="61" t="s">
        <v>106</v>
      </c>
      <c r="F1803" s="45">
        <v>1000000</v>
      </c>
      <c r="G1803" s="45">
        <f>ROUNDDOWN(D1803*F1803,-3)</f>
        <v>11000000</v>
      </c>
      <c r="H1803" s="165">
        <v>36000000</v>
      </c>
      <c r="I1803" s="150" t="s">
        <v>3552</v>
      </c>
      <c r="J1803" s="149"/>
      <c r="K1803" s="149"/>
      <c r="L1803" s="171">
        <f t="shared" si="49"/>
        <v>-25000000</v>
      </c>
    </row>
    <row r="1804" spans="1:12" x14ac:dyDescent="0.25">
      <c r="A1804" s="7" t="s">
        <v>2928</v>
      </c>
      <c r="B1804" s="192"/>
      <c r="C1804" s="191" t="s">
        <v>3783</v>
      </c>
      <c r="D1804" s="192">
        <v>11</v>
      </c>
      <c r="E1804" s="192" t="s">
        <v>106</v>
      </c>
      <c r="F1804" s="193">
        <v>1000000</v>
      </c>
      <c r="G1804" s="45">
        <f>ROUNDDOWN(D1804*F1804,-3)</f>
        <v>11000000</v>
      </c>
      <c r="H1804" s="165">
        <v>111060000</v>
      </c>
      <c r="I1804" s="150" t="s">
        <v>3552</v>
      </c>
      <c r="J1804" s="149"/>
      <c r="K1804" s="149"/>
      <c r="L1804" s="171">
        <f t="shared" si="49"/>
        <v>-100060000</v>
      </c>
    </row>
    <row r="1805" spans="1:12" x14ac:dyDescent="0.25">
      <c r="A1805" s="7" t="s">
        <v>2929</v>
      </c>
      <c r="B1805" s="60">
        <v>522191</v>
      </c>
      <c r="C1805" s="41" t="s">
        <v>22</v>
      </c>
      <c r="D1805" s="60"/>
      <c r="E1805" s="60"/>
      <c r="F1805" s="42"/>
      <c r="G1805" s="42">
        <v>31000000</v>
      </c>
      <c r="H1805" s="165">
        <v>111060000</v>
      </c>
      <c r="I1805" s="150" t="s">
        <v>3552</v>
      </c>
      <c r="J1805" s="149"/>
      <c r="K1805" s="149"/>
      <c r="L1805" s="171">
        <f t="shared" si="49"/>
        <v>-80060000</v>
      </c>
    </row>
    <row r="1806" spans="1:12" ht="26.4" x14ac:dyDescent="0.25">
      <c r="A1806" s="7" t="s">
        <v>2930</v>
      </c>
      <c r="B1806" s="192"/>
      <c r="C1806" s="191" t="s">
        <v>4470</v>
      </c>
      <c r="D1806" s="192">
        <v>3</v>
      </c>
      <c r="E1806" s="192" t="s">
        <v>106</v>
      </c>
      <c r="F1806" s="193">
        <v>3500000</v>
      </c>
      <c r="G1806" s="45">
        <f>ROUNDDOWN(D1806*F1806,-3)</f>
        <v>10500000</v>
      </c>
      <c r="H1806" s="165">
        <v>17280000</v>
      </c>
      <c r="I1806" s="150" t="s">
        <v>3552</v>
      </c>
      <c r="J1806" s="149"/>
      <c r="K1806" s="149"/>
      <c r="L1806" s="171">
        <f t="shared" ref="L1806:L1869" si="50">G1806-H1806</f>
        <v>-6780000</v>
      </c>
    </row>
    <row r="1807" spans="1:12" ht="26.4" x14ac:dyDescent="0.25">
      <c r="A1807" s="7" t="s">
        <v>2932</v>
      </c>
      <c r="B1807" s="61"/>
      <c r="C1807" s="44" t="s">
        <v>4471</v>
      </c>
      <c r="D1807" s="61">
        <v>3</v>
      </c>
      <c r="E1807" s="61" t="s">
        <v>106</v>
      </c>
      <c r="F1807" s="45">
        <v>3500000</v>
      </c>
      <c r="G1807" s="45">
        <f>ROUNDDOWN(D1807*F1807,-3)</f>
        <v>10500000</v>
      </c>
      <c r="H1807" s="165">
        <v>10080000</v>
      </c>
      <c r="I1807" s="150" t="s">
        <v>3552</v>
      </c>
      <c r="J1807" s="149"/>
      <c r="K1807" s="149"/>
      <c r="L1807" s="171">
        <f t="shared" si="50"/>
        <v>420000</v>
      </c>
    </row>
    <row r="1808" spans="1:12" ht="26.4" x14ac:dyDescent="0.25">
      <c r="A1808" s="7" t="s">
        <v>2934</v>
      </c>
      <c r="B1808" s="61"/>
      <c r="C1808" s="44" t="s">
        <v>4472</v>
      </c>
      <c r="D1808" s="61">
        <v>1</v>
      </c>
      <c r="E1808" s="61" t="s">
        <v>106</v>
      </c>
      <c r="F1808" s="45">
        <v>5000000</v>
      </c>
      <c r="G1808" s="45">
        <f>ROUNDDOWN(D1808*F1808,-3)</f>
        <v>5000000</v>
      </c>
      <c r="H1808" s="165">
        <v>7200000</v>
      </c>
      <c r="I1808" s="150" t="s">
        <v>3552</v>
      </c>
      <c r="J1808" s="149"/>
      <c r="K1808" s="149"/>
      <c r="L1808" s="171">
        <f t="shared" si="50"/>
        <v>-2200000</v>
      </c>
    </row>
    <row r="1809" spans="1:12" ht="26.4" x14ac:dyDescent="0.25">
      <c r="A1809" s="7" t="s">
        <v>2936</v>
      </c>
      <c r="B1809" s="195"/>
      <c r="C1809" s="194" t="s">
        <v>4473</v>
      </c>
      <c r="D1809" s="195">
        <v>1</v>
      </c>
      <c r="E1809" s="195" t="s">
        <v>106</v>
      </c>
      <c r="F1809" s="196">
        <v>5000000</v>
      </c>
      <c r="G1809" s="45">
        <f>ROUNDDOWN(D1809*F1809,-3)</f>
        <v>5000000</v>
      </c>
      <c r="H1809" s="165">
        <v>528220000</v>
      </c>
      <c r="I1809" s="150" t="s">
        <v>3553</v>
      </c>
      <c r="J1809" s="149" t="s">
        <v>3559</v>
      </c>
      <c r="K1809" s="149" t="s">
        <v>3572</v>
      </c>
      <c r="L1809" s="171">
        <f t="shared" si="50"/>
        <v>-523220000</v>
      </c>
    </row>
    <row r="1810" spans="1:12" x14ac:dyDescent="0.25">
      <c r="A1810" s="7" t="s">
        <v>2938</v>
      </c>
      <c r="B1810" s="60">
        <v>524111</v>
      </c>
      <c r="C1810" s="41" t="s">
        <v>19</v>
      </c>
      <c r="D1810" s="60"/>
      <c r="E1810" s="60"/>
      <c r="F1810" s="42"/>
      <c r="G1810" s="42">
        <v>77980000</v>
      </c>
      <c r="H1810" s="165">
        <v>373240000</v>
      </c>
      <c r="I1810" s="150" t="s">
        <v>3553</v>
      </c>
      <c r="J1810" s="149" t="s">
        <v>3559</v>
      </c>
      <c r="K1810" s="149" t="s">
        <v>3572</v>
      </c>
      <c r="L1810" s="171">
        <f t="shared" si="50"/>
        <v>-295260000</v>
      </c>
    </row>
    <row r="1811" spans="1:12" x14ac:dyDescent="0.25">
      <c r="A1811" s="7" t="s">
        <v>2939</v>
      </c>
      <c r="B1811" s="192"/>
      <c r="C1811" s="191" t="s">
        <v>4474</v>
      </c>
      <c r="D1811" s="192">
        <v>28</v>
      </c>
      <c r="E1811" s="192" t="s">
        <v>25</v>
      </c>
      <c r="F1811" s="193">
        <v>2785000</v>
      </c>
      <c r="G1811" s="45">
        <f>ROUNDDOWN(D1811*F1811,-3)</f>
        <v>77980000</v>
      </c>
      <c r="H1811" s="165">
        <v>28240000</v>
      </c>
      <c r="I1811" s="150" t="s">
        <v>3553</v>
      </c>
      <c r="J1811" s="149"/>
      <c r="K1811" s="149"/>
      <c r="L1811" s="171">
        <f t="shared" si="50"/>
        <v>49740000</v>
      </c>
    </row>
    <row r="1812" spans="1:12" x14ac:dyDescent="0.25">
      <c r="A1812" s="7" t="s">
        <v>2941</v>
      </c>
      <c r="B1812" s="60">
        <v>524114</v>
      </c>
      <c r="C1812" s="41" t="s">
        <v>14</v>
      </c>
      <c r="D1812" s="60"/>
      <c r="E1812" s="60"/>
      <c r="F1812" s="42"/>
      <c r="G1812" s="42">
        <v>6600000</v>
      </c>
      <c r="H1812" s="165">
        <v>10240000</v>
      </c>
      <c r="I1812" s="150" t="s">
        <v>3553</v>
      </c>
      <c r="J1812" s="149"/>
      <c r="K1812" s="149"/>
      <c r="L1812" s="171">
        <f t="shared" si="50"/>
        <v>-3640000</v>
      </c>
    </row>
    <row r="1813" spans="1:12" ht="26.4" x14ac:dyDescent="0.25">
      <c r="A1813" s="7" t="s">
        <v>2942</v>
      </c>
      <c r="B1813" s="61"/>
      <c r="C1813" s="44" t="s">
        <v>4475</v>
      </c>
      <c r="D1813" s="61">
        <v>20</v>
      </c>
      <c r="E1813" s="61" t="s">
        <v>25</v>
      </c>
      <c r="F1813" s="45">
        <v>180000</v>
      </c>
      <c r="G1813" s="45">
        <f>ROUNDDOWN(D1813*F1813,-3)</f>
        <v>3600000</v>
      </c>
      <c r="H1813" s="165">
        <v>6000000</v>
      </c>
      <c r="I1813" s="150" t="s">
        <v>3553</v>
      </c>
      <c r="J1813" s="149"/>
      <c r="K1813" s="149"/>
      <c r="L1813" s="171">
        <f t="shared" si="50"/>
        <v>-2400000</v>
      </c>
    </row>
    <row r="1814" spans="1:12" x14ac:dyDescent="0.25">
      <c r="A1814" s="7" t="s">
        <v>2944</v>
      </c>
      <c r="B1814" s="61"/>
      <c r="C1814" s="44" t="s">
        <v>3759</v>
      </c>
      <c r="D1814" s="61">
        <v>20</v>
      </c>
      <c r="E1814" s="61" t="s">
        <v>25</v>
      </c>
      <c r="F1814" s="45">
        <v>150000</v>
      </c>
      <c r="G1814" s="45">
        <f>ROUNDDOWN(D1814*F1814,-3)</f>
        <v>3000000</v>
      </c>
      <c r="H1814" s="165">
        <v>6000000</v>
      </c>
      <c r="I1814" s="150" t="s">
        <v>3553</v>
      </c>
      <c r="J1814" s="149"/>
      <c r="K1814" s="149"/>
      <c r="L1814" s="171">
        <f t="shared" si="50"/>
        <v>-3000000</v>
      </c>
    </row>
    <row r="1815" spans="1:12" ht="26.4" x14ac:dyDescent="0.25">
      <c r="A1815" s="7" t="s">
        <v>2945</v>
      </c>
      <c r="B1815" s="59" t="s">
        <v>514</v>
      </c>
      <c r="C1815" s="38" t="s">
        <v>167</v>
      </c>
      <c r="D1815" s="59"/>
      <c r="E1815" s="59"/>
      <c r="F1815" s="39"/>
      <c r="G1815" s="39">
        <v>360840000</v>
      </c>
      <c r="H1815" s="165">
        <v>6000000</v>
      </c>
      <c r="I1815" s="150" t="s">
        <v>3553</v>
      </c>
      <c r="J1815" s="149"/>
      <c r="K1815" s="149"/>
      <c r="L1815" s="171">
        <f t="shared" si="50"/>
        <v>354840000</v>
      </c>
    </row>
    <row r="1816" spans="1:12" x14ac:dyDescent="0.25">
      <c r="A1816" s="7" t="s">
        <v>2946</v>
      </c>
      <c r="B1816" s="60">
        <v>521211</v>
      </c>
      <c r="C1816" s="41" t="s">
        <v>7</v>
      </c>
      <c r="D1816" s="60"/>
      <c r="E1816" s="60"/>
      <c r="F1816" s="42"/>
      <c r="G1816" s="42">
        <v>118300000</v>
      </c>
      <c r="H1816" s="165">
        <v>15000000</v>
      </c>
      <c r="I1816" s="150" t="s">
        <v>3553</v>
      </c>
      <c r="J1816" s="149"/>
      <c r="K1816" s="149"/>
      <c r="L1816" s="171">
        <f t="shared" si="50"/>
        <v>103300000</v>
      </c>
    </row>
    <row r="1817" spans="1:12" x14ac:dyDescent="0.25">
      <c r="A1817" s="7" t="s">
        <v>2947</v>
      </c>
      <c r="B1817" s="61"/>
      <c r="C1817" s="44" t="s">
        <v>4476</v>
      </c>
      <c r="D1817" s="61">
        <v>240</v>
      </c>
      <c r="E1817" s="61" t="s">
        <v>180</v>
      </c>
      <c r="F1817" s="45">
        <v>300000</v>
      </c>
      <c r="G1817" s="45">
        <f>ROUNDDOWN(D1817*F1817,-3)</f>
        <v>72000000</v>
      </c>
      <c r="H1817" s="165">
        <v>15000000</v>
      </c>
      <c r="I1817" s="150" t="s">
        <v>3553</v>
      </c>
      <c r="J1817" s="149"/>
      <c r="K1817" s="149"/>
      <c r="L1817" s="171">
        <f t="shared" si="50"/>
        <v>57000000</v>
      </c>
    </row>
    <row r="1818" spans="1:12" x14ac:dyDescent="0.25">
      <c r="A1818" s="7" t="s">
        <v>2949</v>
      </c>
      <c r="B1818" s="192"/>
      <c r="C1818" s="191" t="s">
        <v>4477</v>
      </c>
      <c r="D1818" s="192">
        <v>70</v>
      </c>
      <c r="E1818" s="192" t="s">
        <v>180</v>
      </c>
      <c r="F1818" s="193">
        <v>450000</v>
      </c>
      <c r="G1818" s="45">
        <f>ROUNDDOWN(D1818*F1818,-3)</f>
        <v>31500000</v>
      </c>
      <c r="H1818" s="165">
        <v>330000000</v>
      </c>
      <c r="I1818" s="150" t="s">
        <v>3553</v>
      </c>
      <c r="J1818" s="149"/>
      <c r="K1818" s="149"/>
      <c r="L1818" s="171">
        <f t="shared" si="50"/>
        <v>-298500000</v>
      </c>
    </row>
    <row r="1819" spans="1:12" x14ac:dyDescent="0.25">
      <c r="A1819" s="7" t="s">
        <v>2951</v>
      </c>
      <c r="B1819" s="61"/>
      <c r="C1819" s="44" t="s">
        <v>3627</v>
      </c>
      <c r="D1819" s="61">
        <v>100</v>
      </c>
      <c r="E1819" s="61" t="s">
        <v>180</v>
      </c>
      <c r="F1819" s="45">
        <v>100000</v>
      </c>
      <c r="G1819" s="45">
        <f>ROUNDDOWN(D1819*F1819,-3)</f>
        <v>10000000</v>
      </c>
      <c r="H1819" s="165">
        <v>330000000</v>
      </c>
      <c r="I1819" s="150" t="s">
        <v>3553</v>
      </c>
      <c r="J1819" s="149"/>
      <c r="K1819" s="149"/>
      <c r="L1819" s="171">
        <f t="shared" si="50"/>
        <v>-320000000</v>
      </c>
    </row>
    <row r="1820" spans="1:12" x14ac:dyDescent="0.25">
      <c r="A1820" s="7" t="s">
        <v>2952</v>
      </c>
      <c r="B1820" s="192"/>
      <c r="C1820" s="191" t="s">
        <v>4478</v>
      </c>
      <c r="D1820" s="192">
        <v>12</v>
      </c>
      <c r="E1820" s="192" t="s">
        <v>180</v>
      </c>
      <c r="F1820" s="193">
        <v>400000</v>
      </c>
      <c r="G1820" s="45">
        <f>ROUNDDOWN(D1820*F1820,-3)</f>
        <v>4800000</v>
      </c>
      <c r="H1820" s="165">
        <v>154980000</v>
      </c>
      <c r="I1820" s="150" t="s">
        <v>3553</v>
      </c>
      <c r="J1820" s="149" t="s">
        <v>3559</v>
      </c>
      <c r="K1820" s="149" t="s">
        <v>3572</v>
      </c>
      <c r="L1820" s="171">
        <f t="shared" si="50"/>
        <v>-150180000</v>
      </c>
    </row>
    <row r="1821" spans="1:12" ht="26.4" x14ac:dyDescent="0.25">
      <c r="A1821" s="7" t="s">
        <v>2954</v>
      </c>
      <c r="B1821" s="60">
        <v>521241</v>
      </c>
      <c r="C1821" s="41" t="s">
        <v>642</v>
      </c>
      <c r="D1821" s="60"/>
      <c r="E1821" s="60"/>
      <c r="F1821" s="42"/>
      <c r="G1821" s="42">
        <v>15600000</v>
      </c>
      <c r="H1821" s="165">
        <v>17240000</v>
      </c>
      <c r="I1821" s="150" t="s">
        <v>3553</v>
      </c>
      <c r="J1821" s="149"/>
      <c r="K1821" s="149"/>
      <c r="L1821" s="171">
        <f t="shared" si="50"/>
        <v>-1640000</v>
      </c>
    </row>
    <row r="1822" spans="1:12" x14ac:dyDescent="0.25">
      <c r="A1822" s="7" t="s">
        <v>2955</v>
      </c>
      <c r="B1822" s="61"/>
      <c r="C1822" s="44" t="s">
        <v>4479</v>
      </c>
      <c r="D1822" s="61">
        <v>60</v>
      </c>
      <c r="E1822" s="61" t="s">
        <v>32</v>
      </c>
      <c r="F1822" s="45">
        <v>200000</v>
      </c>
      <c r="G1822" s="45">
        <f>ROUNDDOWN(D1822*F1822,-3)</f>
        <v>12000000</v>
      </c>
      <c r="H1822" s="165">
        <v>2000000</v>
      </c>
      <c r="I1822" s="150" t="s">
        <v>3553</v>
      </c>
      <c r="J1822" s="149"/>
      <c r="K1822" s="149"/>
      <c r="L1822" s="171">
        <f t="shared" si="50"/>
        <v>10000000</v>
      </c>
    </row>
    <row r="1823" spans="1:12" ht="39.6" x14ac:dyDescent="0.25">
      <c r="A1823" s="7" t="s">
        <v>2957</v>
      </c>
      <c r="B1823" s="61"/>
      <c r="C1823" s="44" t="s">
        <v>4480</v>
      </c>
      <c r="D1823" s="61">
        <v>12</v>
      </c>
      <c r="E1823" s="61" t="s">
        <v>106</v>
      </c>
      <c r="F1823" s="45">
        <v>300000</v>
      </c>
      <c r="G1823" s="45">
        <f>ROUNDDOWN(D1823*F1823,-3)</f>
        <v>3600000</v>
      </c>
      <c r="H1823" s="165">
        <v>10240000</v>
      </c>
      <c r="I1823" s="150" t="s">
        <v>3553</v>
      </c>
      <c r="J1823" s="149"/>
      <c r="K1823" s="149"/>
      <c r="L1823" s="171">
        <f t="shared" si="50"/>
        <v>-6640000</v>
      </c>
    </row>
    <row r="1824" spans="1:12" x14ac:dyDescent="0.25">
      <c r="A1824" s="7" t="s">
        <v>2959</v>
      </c>
      <c r="B1824" s="60">
        <v>521811</v>
      </c>
      <c r="C1824" s="41" t="s">
        <v>64</v>
      </c>
      <c r="D1824" s="60"/>
      <c r="E1824" s="60"/>
      <c r="F1824" s="42"/>
      <c r="G1824" s="42">
        <v>22000000</v>
      </c>
      <c r="H1824" s="165">
        <v>2000000</v>
      </c>
      <c r="I1824" s="150" t="s">
        <v>3553</v>
      </c>
      <c r="J1824" s="149"/>
      <c r="K1824" s="149"/>
      <c r="L1824" s="171">
        <f t="shared" si="50"/>
        <v>20000000</v>
      </c>
    </row>
    <row r="1825" spans="1:12" x14ac:dyDescent="0.25">
      <c r="A1825" s="7" t="s">
        <v>2960</v>
      </c>
      <c r="B1825" s="61"/>
      <c r="C1825" s="44" t="s">
        <v>3625</v>
      </c>
      <c r="D1825" s="61">
        <v>11</v>
      </c>
      <c r="E1825" s="61" t="s">
        <v>106</v>
      </c>
      <c r="F1825" s="45">
        <v>1000000</v>
      </c>
      <c r="G1825" s="45">
        <f>ROUNDDOWN(D1825*F1825,-3)</f>
        <v>11000000</v>
      </c>
      <c r="H1825" s="165">
        <v>3000000</v>
      </c>
      <c r="I1825" s="150" t="s">
        <v>3553</v>
      </c>
      <c r="J1825" s="149"/>
      <c r="K1825" s="149"/>
      <c r="L1825" s="171">
        <f t="shared" si="50"/>
        <v>8000000</v>
      </c>
    </row>
    <row r="1826" spans="1:12" x14ac:dyDescent="0.25">
      <c r="A1826" s="7" t="s">
        <v>2961</v>
      </c>
      <c r="B1826" s="192"/>
      <c r="C1826" s="191" t="s">
        <v>3783</v>
      </c>
      <c r="D1826" s="192">
        <v>11</v>
      </c>
      <c r="E1826" s="192" t="s">
        <v>106</v>
      </c>
      <c r="F1826" s="193">
        <v>1000000</v>
      </c>
      <c r="G1826" s="45">
        <f>ROUNDDOWN(D1826*F1826,-3)</f>
        <v>11000000</v>
      </c>
      <c r="H1826" s="165">
        <v>137740000</v>
      </c>
      <c r="I1826" s="150" t="s">
        <v>3553</v>
      </c>
      <c r="J1826" s="149"/>
      <c r="K1826" s="149"/>
      <c r="L1826" s="171">
        <f t="shared" si="50"/>
        <v>-126740000</v>
      </c>
    </row>
    <row r="1827" spans="1:12" x14ac:dyDescent="0.25">
      <c r="A1827" s="7" t="s">
        <v>2962</v>
      </c>
      <c r="B1827" s="60">
        <v>522151</v>
      </c>
      <c r="C1827" s="41" t="s">
        <v>11</v>
      </c>
      <c r="D1827" s="60"/>
      <c r="E1827" s="60"/>
      <c r="F1827" s="42"/>
      <c r="G1827" s="42">
        <v>30600000</v>
      </c>
      <c r="H1827" s="165">
        <v>137740000</v>
      </c>
      <c r="I1827" s="150" t="s">
        <v>3553</v>
      </c>
      <c r="J1827" s="149"/>
      <c r="K1827" s="149"/>
      <c r="L1827" s="171">
        <f t="shared" si="50"/>
        <v>-107140000</v>
      </c>
    </row>
    <row r="1828" spans="1:12" ht="26.4" x14ac:dyDescent="0.25">
      <c r="A1828" s="7" t="s">
        <v>2963</v>
      </c>
      <c r="B1828" s="195"/>
      <c r="C1828" s="194" t="s">
        <v>4459</v>
      </c>
      <c r="D1828" s="195">
        <v>18</v>
      </c>
      <c r="E1828" s="195" t="s">
        <v>25</v>
      </c>
      <c r="F1828" s="196">
        <v>1700000</v>
      </c>
      <c r="G1828" s="45">
        <f>ROUNDDOWN(D1828*F1828,-3)</f>
        <v>30600000</v>
      </c>
      <c r="H1828" s="165">
        <v>226380000</v>
      </c>
      <c r="I1828" s="150" t="s">
        <v>3553</v>
      </c>
      <c r="J1828" s="149" t="s">
        <v>3559</v>
      </c>
      <c r="K1828" s="149" t="s">
        <v>3572</v>
      </c>
      <c r="L1828" s="171">
        <f t="shared" si="50"/>
        <v>-195780000</v>
      </c>
    </row>
    <row r="1829" spans="1:12" x14ac:dyDescent="0.25">
      <c r="A1829" s="7" t="s">
        <v>2964</v>
      </c>
      <c r="B1829" s="60">
        <v>522191</v>
      </c>
      <c r="C1829" s="41" t="s">
        <v>22</v>
      </c>
      <c r="D1829" s="60"/>
      <c r="E1829" s="60"/>
      <c r="F1829" s="42"/>
      <c r="G1829" s="42">
        <v>46000000</v>
      </c>
      <c r="H1829" s="165">
        <v>66720000</v>
      </c>
      <c r="I1829" s="150" t="s">
        <v>3553</v>
      </c>
      <c r="J1829" s="149" t="s">
        <v>3559</v>
      </c>
      <c r="K1829" s="149" t="s">
        <v>3572</v>
      </c>
      <c r="L1829" s="171">
        <f t="shared" si="50"/>
        <v>-20720000</v>
      </c>
    </row>
    <row r="1830" spans="1:12" ht="26.4" x14ac:dyDescent="0.25">
      <c r="A1830" s="7" t="s">
        <v>2965</v>
      </c>
      <c r="B1830" s="192"/>
      <c r="C1830" s="191" t="s">
        <v>4481</v>
      </c>
      <c r="D1830" s="192">
        <v>1</v>
      </c>
      <c r="E1830" s="192" t="s">
        <v>106</v>
      </c>
      <c r="F1830" s="193">
        <v>5000000</v>
      </c>
      <c r="G1830" s="45">
        <f>ROUNDDOWN(D1830*F1830,-3)</f>
        <v>5000000</v>
      </c>
      <c r="H1830" s="165">
        <v>9760000</v>
      </c>
      <c r="I1830" s="150" t="s">
        <v>3553</v>
      </c>
      <c r="J1830" s="149"/>
      <c r="K1830" s="149"/>
      <c r="L1830" s="171">
        <f t="shared" si="50"/>
        <v>-4760000</v>
      </c>
    </row>
    <row r="1831" spans="1:12" x14ac:dyDescent="0.25">
      <c r="A1831" s="7" t="s">
        <v>2967</v>
      </c>
      <c r="B1831" s="61"/>
      <c r="C1831" s="44" t="s">
        <v>4482</v>
      </c>
      <c r="D1831" s="61">
        <v>1</v>
      </c>
      <c r="E1831" s="61" t="s">
        <v>106</v>
      </c>
      <c r="F1831" s="45">
        <v>5000000</v>
      </c>
      <c r="G1831" s="45">
        <f>ROUNDDOWN(D1831*F1831,-3)</f>
        <v>5000000</v>
      </c>
      <c r="H1831" s="165">
        <v>4000000</v>
      </c>
      <c r="I1831" s="150" t="s">
        <v>3553</v>
      </c>
      <c r="J1831" s="149"/>
      <c r="K1831" s="149"/>
      <c r="L1831" s="171">
        <f t="shared" si="50"/>
        <v>1000000</v>
      </c>
    </row>
    <row r="1832" spans="1:12" x14ac:dyDescent="0.25">
      <c r="A1832" s="7" t="s">
        <v>2969</v>
      </c>
      <c r="B1832" s="61"/>
      <c r="C1832" s="44" t="s">
        <v>4483</v>
      </c>
      <c r="D1832" s="61">
        <v>12</v>
      </c>
      <c r="E1832" s="61" t="s">
        <v>106</v>
      </c>
      <c r="F1832" s="45">
        <v>3000000</v>
      </c>
      <c r="G1832" s="45">
        <f>ROUNDDOWN(D1832*F1832,-3)</f>
        <v>36000000</v>
      </c>
      <c r="H1832" s="165">
        <v>1760000</v>
      </c>
      <c r="I1832" s="150" t="s">
        <v>3553</v>
      </c>
      <c r="J1832" s="149"/>
      <c r="K1832" s="149"/>
      <c r="L1832" s="171">
        <f t="shared" si="50"/>
        <v>34240000</v>
      </c>
    </row>
    <row r="1833" spans="1:12" x14ac:dyDescent="0.25">
      <c r="A1833" s="7" t="s">
        <v>2971</v>
      </c>
      <c r="B1833" s="60">
        <v>524111</v>
      </c>
      <c r="C1833" s="41" t="s">
        <v>19</v>
      </c>
      <c r="D1833" s="60"/>
      <c r="E1833" s="60"/>
      <c r="F1833" s="42"/>
      <c r="G1833" s="42">
        <v>111060000</v>
      </c>
      <c r="H1833" s="165">
        <v>4000000</v>
      </c>
      <c r="I1833" s="150" t="s">
        <v>3553</v>
      </c>
      <c r="J1833" s="149"/>
      <c r="K1833" s="149"/>
      <c r="L1833" s="171">
        <f t="shared" si="50"/>
        <v>107060000</v>
      </c>
    </row>
    <row r="1834" spans="1:12" x14ac:dyDescent="0.25">
      <c r="A1834" s="7" t="s">
        <v>2972</v>
      </c>
      <c r="B1834" s="192"/>
      <c r="C1834" s="191" t="s">
        <v>4484</v>
      </c>
      <c r="D1834" s="192">
        <v>60</v>
      </c>
      <c r="E1834" s="192" t="s">
        <v>25</v>
      </c>
      <c r="F1834" s="193">
        <v>1851000</v>
      </c>
      <c r="G1834" s="45">
        <f>ROUNDDOWN(D1834*F1834,-3)</f>
        <v>111060000</v>
      </c>
      <c r="H1834" s="165">
        <v>56960000</v>
      </c>
      <c r="I1834" s="150" t="s">
        <v>3553</v>
      </c>
      <c r="J1834" s="149"/>
      <c r="K1834" s="149"/>
      <c r="L1834" s="171">
        <f t="shared" si="50"/>
        <v>54100000</v>
      </c>
    </row>
    <row r="1835" spans="1:12" x14ac:dyDescent="0.25">
      <c r="A1835" s="7" t="s">
        <v>2974</v>
      </c>
      <c r="B1835" s="60">
        <v>524114</v>
      </c>
      <c r="C1835" s="41" t="s">
        <v>14</v>
      </c>
      <c r="D1835" s="60"/>
      <c r="E1835" s="60"/>
      <c r="F1835" s="42"/>
      <c r="G1835" s="42">
        <v>17280000</v>
      </c>
      <c r="H1835" s="165">
        <v>56960000</v>
      </c>
      <c r="I1835" s="150" t="s">
        <v>3553</v>
      </c>
      <c r="J1835" s="149"/>
      <c r="K1835" s="149"/>
      <c r="L1835" s="171">
        <f t="shared" si="50"/>
        <v>-39680000</v>
      </c>
    </row>
    <row r="1836" spans="1:12" x14ac:dyDescent="0.25">
      <c r="A1836" s="7" t="s">
        <v>2975</v>
      </c>
      <c r="B1836" s="192"/>
      <c r="C1836" s="191" t="s">
        <v>3868</v>
      </c>
      <c r="D1836" s="192">
        <v>48</v>
      </c>
      <c r="E1836" s="192" t="s">
        <v>25</v>
      </c>
      <c r="F1836" s="193">
        <v>210000</v>
      </c>
      <c r="G1836" s="45">
        <f>ROUNDDOWN(D1836*F1836,-3)</f>
        <v>10080000</v>
      </c>
      <c r="H1836" s="165">
        <v>49760000</v>
      </c>
      <c r="I1836" s="150" t="s">
        <v>3553</v>
      </c>
      <c r="J1836" s="149" t="s">
        <v>3559</v>
      </c>
      <c r="K1836" s="149" t="s">
        <v>3572</v>
      </c>
      <c r="L1836" s="171">
        <f t="shared" si="50"/>
        <v>-39680000</v>
      </c>
    </row>
    <row r="1837" spans="1:12" x14ac:dyDescent="0.25">
      <c r="A1837" s="7" t="s">
        <v>2976</v>
      </c>
      <c r="B1837" s="192"/>
      <c r="C1837" s="191" t="s">
        <v>3787</v>
      </c>
      <c r="D1837" s="192">
        <v>48</v>
      </c>
      <c r="E1837" s="192" t="s">
        <v>25</v>
      </c>
      <c r="F1837" s="193">
        <v>150000</v>
      </c>
      <c r="G1837" s="45">
        <f>ROUNDDOWN(D1837*F1837,-3)</f>
        <v>7200000</v>
      </c>
      <c r="H1837" s="165">
        <v>19760000</v>
      </c>
      <c r="I1837" s="150" t="s">
        <v>3553</v>
      </c>
      <c r="J1837" s="149"/>
      <c r="K1837" s="149"/>
      <c r="L1837" s="171">
        <f t="shared" si="50"/>
        <v>-12560000</v>
      </c>
    </row>
    <row r="1838" spans="1:12" ht="26.4" x14ac:dyDescent="0.25">
      <c r="A1838" s="7" t="s">
        <v>2977</v>
      </c>
      <c r="B1838" s="58">
        <v>201</v>
      </c>
      <c r="C1838" s="35" t="s">
        <v>2978</v>
      </c>
      <c r="D1838" s="58">
        <v>0</v>
      </c>
      <c r="E1838" s="58"/>
      <c r="F1838" s="36"/>
      <c r="G1838" s="36">
        <v>528220000</v>
      </c>
      <c r="H1838" s="165">
        <v>6000000</v>
      </c>
      <c r="I1838" s="150" t="s">
        <v>3553</v>
      </c>
      <c r="J1838" s="149"/>
      <c r="K1838" s="149"/>
      <c r="L1838" s="171">
        <f t="shared" si="50"/>
        <v>522220000</v>
      </c>
    </row>
    <row r="1839" spans="1:12" ht="26.4" x14ac:dyDescent="0.25">
      <c r="A1839" s="7" t="s">
        <v>2979</v>
      </c>
      <c r="B1839" s="59" t="s">
        <v>8</v>
      </c>
      <c r="C1839" s="38" t="s">
        <v>168</v>
      </c>
      <c r="D1839" s="59"/>
      <c r="E1839" s="59"/>
      <c r="F1839" s="39"/>
      <c r="G1839" s="39">
        <v>373240000</v>
      </c>
      <c r="H1839" s="165">
        <v>1760000</v>
      </c>
      <c r="I1839" s="150" t="s">
        <v>3553</v>
      </c>
      <c r="J1839" s="149"/>
      <c r="K1839" s="149"/>
      <c r="L1839" s="171">
        <f t="shared" si="50"/>
        <v>371480000</v>
      </c>
    </row>
    <row r="1840" spans="1:12" x14ac:dyDescent="0.25">
      <c r="A1840" s="7" t="s">
        <v>2980</v>
      </c>
      <c r="B1840" s="60">
        <v>521211</v>
      </c>
      <c r="C1840" s="41" t="s">
        <v>7</v>
      </c>
      <c r="D1840" s="60"/>
      <c r="E1840" s="60"/>
      <c r="F1840" s="42"/>
      <c r="G1840" s="42">
        <v>28240000</v>
      </c>
      <c r="H1840" s="165">
        <v>12000000</v>
      </c>
      <c r="I1840" s="150" t="s">
        <v>3553</v>
      </c>
      <c r="J1840" s="149"/>
      <c r="K1840" s="149"/>
      <c r="L1840" s="171">
        <f t="shared" si="50"/>
        <v>16240000</v>
      </c>
    </row>
    <row r="1841" spans="1:12" x14ac:dyDescent="0.25">
      <c r="A1841" s="7" t="s">
        <v>2981</v>
      </c>
      <c r="B1841" s="192"/>
      <c r="C1841" s="191" t="s">
        <v>4485</v>
      </c>
      <c r="D1841" s="192">
        <v>160</v>
      </c>
      <c r="E1841" s="192" t="s">
        <v>10</v>
      </c>
      <c r="F1841" s="193">
        <v>64000</v>
      </c>
      <c r="G1841" s="45">
        <f>ROUNDDOWN(D1841*F1841,-3)</f>
        <v>10240000</v>
      </c>
      <c r="H1841" s="165">
        <v>30000000</v>
      </c>
      <c r="I1841" s="150" t="s">
        <v>3553</v>
      </c>
      <c r="J1841" s="149"/>
      <c r="K1841" s="149"/>
      <c r="L1841" s="171">
        <f t="shared" si="50"/>
        <v>-19760000</v>
      </c>
    </row>
    <row r="1842" spans="1:12" x14ac:dyDescent="0.25">
      <c r="A1842" s="7" t="s">
        <v>2983</v>
      </c>
      <c r="B1842" s="61"/>
      <c r="C1842" s="44" t="s">
        <v>3632</v>
      </c>
      <c r="D1842" s="61">
        <v>4</v>
      </c>
      <c r="E1842" s="61" t="s">
        <v>9</v>
      </c>
      <c r="F1842" s="45">
        <v>1500000</v>
      </c>
      <c r="G1842" s="45">
        <f>ROUNDDOWN(D1842*F1842,-3)</f>
        <v>6000000</v>
      </c>
      <c r="H1842" s="165">
        <v>30000000</v>
      </c>
      <c r="I1842" s="150" t="s">
        <v>3553</v>
      </c>
      <c r="J1842" s="149"/>
      <c r="K1842" s="149"/>
      <c r="L1842" s="171">
        <f t="shared" si="50"/>
        <v>-24000000</v>
      </c>
    </row>
    <row r="1843" spans="1:12" x14ac:dyDescent="0.25">
      <c r="A1843" s="7" t="s">
        <v>2984</v>
      </c>
      <c r="B1843" s="192"/>
      <c r="C1843" s="191" t="s">
        <v>3633</v>
      </c>
      <c r="D1843" s="192">
        <v>4</v>
      </c>
      <c r="E1843" s="192" t="s">
        <v>9</v>
      </c>
      <c r="F1843" s="193">
        <v>1500000</v>
      </c>
      <c r="G1843" s="45">
        <f>ROUNDDOWN(D1843*F1843,-3)</f>
        <v>6000000</v>
      </c>
      <c r="H1843" s="165">
        <v>59760000</v>
      </c>
      <c r="I1843" s="150" t="s">
        <v>3553</v>
      </c>
      <c r="J1843" s="149" t="s">
        <v>3559</v>
      </c>
      <c r="K1843" s="149" t="s">
        <v>3572</v>
      </c>
      <c r="L1843" s="171">
        <f t="shared" si="50"/>
        <v>-53760000</v>
      </c>
    </row>
    <row r="1844" spans="1:12" ht="26.4" x14ac:dyDescent="0.25">
      <c r="A1844" s="7" t="s">
        <v>2985</v>
      </c>
      <c r="B1844" s="192"/>
      <c r="C1844" s="191" t="s">
        <v>4486</v>
      </c>
      <c r="D1844" s="192">
        <v>4</v>
      </c>
      <c r="E1844" s="192" t="s">
        <v>9</v>
      </c>
      <c r="F1844" s="193">
        <v>1500000</v>
      </c>
      <c r="G1844" s="45">
        <f>ROUNDDOWN(D1844*F1844,-3)</f>
        <v>6000000</v>
      </c>
      <c r="H1844" s="165">
        <v>9760000</v>
      </c>
      <c r="I1844" s="150" t="s">
        <v>3553</v>
      </c>
      <c r="J1844" s="149"/>
      <c r="K1844" s="149"/>
      <c r="L1844" s="171">
        <f t="shared" si="50"/>
        <v>-3760000</v>
      </c>
    </row>
    <row r="1845" spans="1:12" x14ac:dyDescent="0.25">
      <c r="A1845" s="7" t="s">
        <v>2987</v>
      </c>
      <c r="B1845" s="60">
        <v>522192</v>
      </c>
      <c r="C1845" s="41" t="s">
        <v>24</v>
      </c>
      <c r="D1845" s="60"/>
      <c r="E1845" s="60"/>
      <c r="F1845" s="42"/>
      <c r="G1845" s="42">
        <v>15000000</v>
      </c>
      <c r="H1845" s="165">
        <v>4000000</v>
      </c>
      <c r="I1845" s="150" t="s">
        <v>3553</v>
      </c>
      <c r="J1845" s="149"/>
      <c r="K1845" s="149"/>
      <c r="L1845" s="171">
        <f t="shared" si="50"/>
        <v>11000000</v>
      </c>
    </row>
    <row r="1846" spans="1:12" x14ac:dyDescent="0.25">
      <c r="A1846" s="7" t="s">
        <v>2988</v>
      </c>
      <c r="B1846" s="61"/>
      <c r="C1846" s="44" t="s">
        <v>4487</v>
      </c>
      <c r="D1846" s="61">
        <v>60</v>
      </c>
      <c r="E1846" s="61" t="s">
        <v>10</v>
      </c>
      <c r="F1846" s="45">
        <v>250000</v>
      </c>
      <c r="G1846" s="45">
        <f>ROUNDDOWN(D1846*F1846,-3)</f>
        <v>15000000</v>
      </c>
      <c r="H1846" s="165">
        <v>1760000</v>
      </c>
      <c r="I1846" s="150" t="s">
        <v>3553</v>
      </c>
      <c r="J1846" s="149"/>
      <c r="K1846" s="149"/>
      <c r="L1846" s="171">
        <f t="shared" si="50"/>
        <v>13240000</v>
      </c>
    </row>
    <row r="1847" spans="1:12" x14ac:dyDescent="0.25">
      <c r="A1847" s="7" t="s">
        <v>2990</v>
      </c>
      <c r="B1847" s="60">
        <v>524111</v>
      </c>
      <c r="C1847" s="41" t="s">
        <v>19</v>
      </c>
      <c r="D1847" s="60"/>
      <c r="E1847" s="60"/>
      <c r="F1847" s="42"/>
      <c r="G1847" s="42">
        <v>330000000</v>
      </c>
      <c r="H1847" s="165">
        <v>4000000</v>
      </c>
      <c r="I1847" s="150" t="s">
        <v>3553</v>
      </c>
      <c r="J1847" s="149"/>
      <c r="K1847" s="149"/>
      <c r="L1847" s="171">
        <f t="shared" si="50"/>
        <v>326000000</v>
      </c>
    </row>
    <row r="1848" spans="1:12" ht="26.4" x14ac:dyDescent="0.25">
      <c r="A1848" s="7" t="s">
        <v>2991</v>
      </c>
      <c r="B1848" s="192"/>
      <c r="C1848" s="191" t="s">
        <v>4488</v>
      </c>
      <c r="D1848" s="192">
        <v>60</v>
      </c>
      <c r="E1848" s="192" t="s">
        <v>10</v>
      </c>
      <c r="F1848" s="193">
        <v>5500000</v>
      </c>
      <c r="G1848" s="45">
        <f>ROUNDDOWN(D1848*F1848,-3)</f>
        <v>330000000</v>
      </c>
      <c r="H1848" s="165">
        <v>50000000</v>
      </c>
      <c r="I1848" s="150" t="s">
        <v>3553</v>
      </c>
      <c r="J1848" s="149"/>
      <c r="K1848" s="149"/>
      <c r="L1848" s="171">
        <f t="shared" si="50"/>
        <v>280000000</v>
      </c>
    </row>
    <row r="1849" spans="1:12" ht="26.4" x14ac:dyDescent="0.25">
      <c r="A1849" s="7" t="s">
        <v>2993</v>
      </c>
      <c r="B1849" s="59" t="s">
        <v>511</v>
      </c>
      <c r="C1849" s="38" t="s">
        <v>169</v>
      </c>
      <c r="D1849" s="59"/>
      <c r="E1849" s="59"/>
      <c r="F1849" s="39"/>
      <c r="G1849" s="39">
        <v>154980000</v>
      </c>
      <c r="H1849" s="165">
        <v>50000000</v>
      </c>
      <c r="I1849" s="150" t="s">
        <v>3553</v>
      </c>
      <c r="J1849" s="149"/>
      <c r="K1849" s="149"/>
      <c r="L1849" s="171">
        <f t="shared" si="50"/>
        <v>104980000</v>
      </c>
    </row>
    <row r="1850" spans="1:12" x14ac:dyDescent="0.25">
      <c r="A1850" s="7" t="s">
        <v>2994</v>
      </c>
      <c r="B1850" s="60">
        <v>521211</v>
      </c>
      <c r="C1850" s="41" t="s">
        <v>7</v>
      </c>
      <c r="D1850" s="60"/>
      <c r="E1850" s="60"/>
      <c r="F1850" s="42"/>
      <c r="G1850" s="42">
        <v>17240000</v>
      </c>
      <c r="H1850" s="165">
        <v>50140000</v>
      </c>
      <c r="I1850" s="150" t="s">
        <v>3553</v>
      </c>
      <c r="J1850" s="149" t="s">
        <v>3559</v>
      </c>
      <c r="K1850" s="149" t="s">
        <v>3572</v>
      </c>
      <c r="L1850" s="171">
        <f t="shared" si="50"/>
        <v>-32900000</v>
      </c>
    </row>
    <row r="1851" spans="1:12" x14ac:dyDescent="0.25">
      <c r="A1851" s="7" t="s">
        <v>2995</v>
      </c>
      <c r="B1851" s="192"/>
      <c r="C1851" s="191" t="s">
        <v>4489</v>
      </c>
      <c r="D1851" s="192">
        <v>2</v>
      </c>
      <c r="E1851" s="192" t="s">
        <v>9</v>
      </c>
      <c r="F1851" s="193">
        <v>1000000</v>
      </c>
      <c r="G1851" s="45">
        <f>ROUNDDOWN(D1851*F1851,-3)</f>
        <v>2000000</v>
      </c>
      <c r="H1851" s="165">
        <v>6140000</v>
      </c>
      <c r="I1851" s="150" t="s">
        <v>3553</v>
      </c>
      <c r="J1851" s="149"/>
      <c r="K1851" s="149"/>
      <c r="L1851" s="171">
        <f t="shared" si="50"/>
        <v>-4140000</v>
      </c>
    </row>
    <row r="1852" spans="1:12" x14ac:dyDescent="0.25">
      <c r="A1852" s="7" t="s">
        <v>2997</v>
      </c>
      <c r="B1852" s="61"/>
      <c r="C1852" s="44" t="s">
        <v>4490</v>
      </c>
      <c r="D1852" s="61">
        <v>160</v>
      </c>
      <c r="E1852" s="61" t="s">
        <v>10</v>
      </c>
      <c r="F1852" s="45">
        <v>64000</v>
      </c>
      <c r="G1852" s="45">
        <f>ROUNDDOWN(D1852*F1852,-3)</f>
        <v>10240000</v>
      </c>
      <c r="H1852" s="165">
        <v>1500000</v>
      </c>
      <c r="I1852" s="150" t="s">
        <v>3553</v>
      </c>
      <c r="J1852" s="149"/>
      <c r="K1852" s="149"/>
      <c r="L1852" s="171">
        <f t="shared" si="50"/>
        <v>8740000</v>
      </c>
    </row>
    <row r="1853" spans="1:12" x14ac:dyDescent="0.25">
      <c r="A1853" s="7" t="s">
        <v>2999</v>
      </c>
      <c r="B1853" s="61"/>
      <c r="C1853" s="44" t="s">
        <v>4491</v>
      </c>
      <c r="D1853" s="61">
        <v>2</v>
      </c>
      <c r="E1853" s="61" t="s">
        <v>9</v>
      </c>
      <c r="F1853" s="45">
        <v>1000000</v>
      </c>
      <c r="G1853" s="45">
        <f>ROUNDDOWN(D1853*F1853,-3)</f>
        <v>2000000</v>
      </c>
      <c r="H1853" s="165">
        <v>2640000</v>
      </c>
      <c r="I1853" s="150" t="s">
        <v>3553</v>
      </c>
      <c r="J1853" s="149"/>
      <c r="K1853" s="149"/>
      <c r="L1853" s="171">
        <f t="shared" si="50"/>
        <v>-640000</v>
      </c>
    </row>
    <row r="1854" spans="1:12" x14ac:dyDescent="0.25">
      <c r="A1854" s="7" t="s">
        <v>3001</v>
      </c>
      <c r="B1854" s="61"/>
      <c r="C1854" s="44" t="s">
        <v>4492</v>
      </c>
      <c r="D1854" s="61">
        <v>2</v>
      </c>
      <c r="E1854" s="61" t="s">
        <v>9</v>
      </c>
      <c r="F1854" s="45">
        <v>1500000</v>
      </c>
      <c r="G1854" s="45">
        <f>ROUNDDOWN(D1854*F1854,-3)</f>
        <v>3000000</v>
      </c>
      <c r="H1854" s="165">
        <v>1000000</v>
      </c>
      <c r="I1854" s="150" t="s">
        <v>3553</v>
      </c>
      <c r="J1854" s="149"/>
      <c r="K1854" s="149"/>
      <c r="L1854" s="171">
        <f t="shared" si="50"/>
        <v>2000000</v>
      </c>
    </row>
    <row r="1855" spans="1:12" x14ac:dyDescent="0.25">
      <c r="A1855" s="7" t="s">
        <v>3002</v>
      </c>
      <c r="B1855" s="60">
        <v>524111</v>
      </c>
      <c r="C1855" s="41" t="s">
        <v>19</v>
      </c>
      <c r="D1855" s="60"/>
      <c r="E1855" s="60"/>
      <c r="F1855" s="42"/>
      <c r="G1855" s="42">
        <v>137740000</v>
      </c>
      <c r="H1855" s="165">
        <v>1000000</v>
      </c>
      <c r="I1855" s="150" t="s">
        <v>3553</v>
      </c>
      <c r="J1855" s="149"/>
      <c r="K1855" s="149"/>
      <c r="L1855" s="171">
        <f t="shared" si="50"/>
        <v>136740000</v>
      </c>
    </row>
    <row r="1856" spans="1:12" ht="26.4" x14ac:dyDescent="0.25">
      <c r="A1856" s="7" t="s">
        <v>3003</v>
      </c>
      <c r="B1856" s="192"/>
      <c r="C1856" s="191" t="s">
        <v>4493</v>
      </c>
      <c r="D1856" s="192">
        <v>30</v>
      </c>
      <c r="E1856" s="192" t="s">
        <v>10</v>
      </c>
      <c r="F1856" s="193">
        <v>4591334</v>
      </c>
      <c r="G1856" s="45">
        <f>ROUNDDOWN(D1856*F1856,-3)</f>
        <v>137740000</v>
      </c>
      <c r="H1856" s="165">
        <v>12000000</v>
      </c>
      <c r="I1856" s="150" t="s">
        <v>3553</v>
      </c>
      <c r="J1856" s="149"/>
      <c r="K1856" s="149"/>
      <c r="L1856" s="171">
        <f t="shared" si="50"/>
        <v>125740000</v>
      </c>
    </row>
    <row r="1857" spans="1:12" ht="26.4" x14ac:dyDescent="0.25">
      <c r="A1857" s="7" t="s">
        <v>3005</v>
      </c>
      <c r="B1857" s="58">
        <v>202</v>
      </c>
      <c r="C1857" s="35" t="s">
        <v>3007</v>
      </c>
      <c r="D1857" s="58">
        <v>0</v>
      </c>
      <c r="E1857" s="58"/>
      <c r="F1857" s="36"/>
      <c r="G1857" s="36">
        <v>226380000</v>
      </c>
      <c r="H1857" s="165">
        <v>12000000</v>
      </c>
      <c r="I1857" s="150" t="s">
        <v>3553</v>
      </c>
      <c r="J1857" s="149"/>
      <c r="K1857" s="149"/>
      <c r="L1857" s="171">
        <f t="shared" si="50"/>
        <v>214380000</v>
      </c>
    </row>
    <row r="1858" spans="1:12" ht="26.4" x14ac:dyDescent="0.25">
      <c r="A1858" s="7" t="s">
        <v>3008</v>
      </c>
      <c r="B1858" s="59" t="s">
        <v>8</v>
      </c>
      <c r="C1858" s="38" t="s">
        <v>170</v>
      </c>
      <c r="D1858" s="59"/>
      <c r="E1858" s="59"/>
      <c r="F1858" s="39"/>
      <c r="G1858" s="39">
        <v>66720000</v>
      </c>
      <c r="H1858" s="165">
        <v>32000000</v>
      </c>
      <c r="I1858" s="150" t="s">
        <v>3553</v>
      </c>
      <c r="J1858" s="149"/>
      <c r="K1858" s="149"/>
      <c r="L1858" s="171">
        <f t="shared" si="50"/>
        <v>34720000</v>
      </c>
    </row>
    <row r="1859" spans="1:12" x14ac:dyDescent="0.25">
      <c r="A1859" s="7" t="s">
        <v>3009</v>
      </c>
      <c r="B1859" s="60">
        <v>521211</v>
      </c>
      <c r="C1859" s="41" t="s">
        <v>7</v>
      </c>
      <c r="D1859" s="60"/>
      <c r="E1859" s="60"/>
      <c r="F1859" s="42"/>
      <c r="G1859" s="42">
        <v>9760000</v>
      </c>
      <c r="H1859" s="165">
        <v>32000000</v>
      </c>
      <c r="I1859" s="150" t="s">
        <v>3553</v>
      </c>
      <c r="J1859" s="149"/>
      <c r="K1859" s="149"/>
      <c r="L1859" s="171">
        <f t="shared" si="50"/>
        <v>-22240000</v>
      </c>
    </row>
    <row r="1860" spans="1:12" x14ac:dyDescent="0.25">
      <c r="A1860" s="7" t="s">
        <v>3010</v>
      </c>
      <c r="B1860" s="195"/>
      <c r="C1860" s="194" t="s">
        <v>4494</v>
      </c>
      <c r="D1860" s="195">
        <v>4</v>
      </c>
      <c r="E1860" s="195" t="s">
        <v>9</v>
      </c>
      <c r="F1860" s="196">
        <v>1000000</v>
      </c>
      <c r="G1860" s="45">
        <f>ROUNDDOWN(D1860*F1860,-3)</f>
        <v>4000000</v>
      </c>
      <c r="H1860" s="165">
        <v>507200000</v>
      </c>
      <c r="I1860" s="150" t="s">
        <v>557</v>
      </c>
      <c r="J1860" s="149" t="s">
        <v>3559</v>
      </c>
      <c r="K1860" s="149" t="s">
        <v>3572</v>
      </c>
      <c r="L1860" s="171">
        <f t="shared" si="50"/>
        <v>-503200000</v>
      </c>
    </row>
    <row r="1861" spans="1:12" x14ac:dyDescent="0.25">
      <c r="A1861" s="7" t="s">
        <v>3012</v>
      </c>
      <c r="B1861" s="192"/>
      <c r="C1861" s="191" t="s">
        <v>4495</v>
      </c>
      <c r="D1861" s="192">
        <v>80</v>
      </c>
      <c r="E1861" s="192" t="s">
        <v>10</v>
      </c>
      <c r="F1861" s="193">
        <v>22000</v>
      </c>
      <c r="G1861" s="45">
        <f>ROUNDDOWN(D1861*F1861,-3)</f>
        <v>1760000</v>
      </c>
      <c r="H1861" s="165">
        <v>295200000</v>
      </c>
      <c r="I1861" s="150" t="s">
        <v>557</v>
      </c>
      <c r="J1861" s="149" t="s">
        <v>3559</v>
      </c>
      <c r="K1861" s="149" t="s">
        <v>3572</v>
      </c>
      <c r="L1861" s="171">
        <f t="shared" si="50"/>
        <v>-293440000</v>
      </c>
    </row>
    <row r="1862" spans="1:12" x14ac:dyDescent="0.25">
      <c r="A1862" s="7" t="s">
        <v>3014</v>
      </c>
      <c r="B1862" s="192"/>
      <c r="C1862" s="191" t="s">
        <v>4491</v>
      </c>
      <c r="D1862" s="192">
        <v>4</v>
      </c>
      <c r="E1862" s="192" t="s">
        <v>9</v>
      </c>
      <c r="F1862" s="193">
        <v>1000000</v>
      </c>
      <c r="G1862" s="45">
        <f>ROUNDDOWN(D1862*F1862,-3)</f>
        <v>4000000</v>
      </c>
      <c r="H1862" s="165">
        <v>46000000</v>
      </c>
      <c r="I1862" s="150" t="s">
        <v>557</v>
      </c>
      <c r="J1862" s="149" t="s">
        <v>3559</v>
      </c>
      <c r="K1862" s="149" t="s">
        <v>3572</v>
      </c>
      <c r="L1862" s="171">
        <f t="shared" si="50"/>
        <v>-42000000</v>
      </c>
    </row>
    <row r="1863" spans="1:12" x14ac:dyDescent="0.25">
      <c r="A1863" s="7" t="s">
        <v>3015</v>
      </c>
      <c r="B1863" s="60">
        <v>524111</v>
      </c>
      <c r="C1863" s="41" t="s">
        <v>19</v>
      </c>
      <c r="D1863" s="60"/>
      <c r="E1863" s="60"/>
      <c r="F1863" s="42"/>
      <c r="G1863" s="42">
        <v>56960000</v>
      </c>
      <c r="H1863" s="168">
        <v>7500000</v>
      </c>
      <c r="I1863" s="150" t="s">
        <v>557</v>
      </c>
      <c r="J1863" s="149" t="s">
        <v>3559</v>
      </c>
      <c r="K1863" s="149" t="s">
        <v>3572</v>
      </c>
      <c r="L1863" s="171">
        <f t="shared" si="50"/>
        <v>49460000</v>
      </c>
    </row>
    <row r="1864" spans="1:12" ht="26.4" x14ac:dyDescent="0.25">
      <c r="A1864" s="7" t="s">
        <v>3016</v>
      </c>
      <c r="B1864" s="61"/>
      <c r="C1864" s="44" t="s">
        <v>4496</v>
      </c>
      <c r="D1864" s="61">
        <v>15</v>
      </c>
      <c r="E1864" s="61" t="s">
        <v>10</v>
      </c>
      <c r="F1864" s="45">
        <v>3797334</v>
      </c>
      <c r="G1864" s="45">
        <f>ROUNDDOWN(D1864*F1864,-3)</f>
        <v>56960000</v>
      </c>
      <c r="H1864" s="168">
        <v>21000000</v>
      </c>
      <c r="I1864" s="150" t="s">
        <v>557</v>
      </c>
      <c r="J1864" s="149" t="s">
        <v>3559</v>
      </c>
      <c r="K1864" s="149" t="s">
        <v>3572</v>
      </c>
      <c r="L1864" s="171">
        <f t="shared" si="50"/>
        <v>35960000</v>
      </c>
    </row>
    <row r="1865" spans="1:12" ht="26.4" x14ac:dyDescent="0.25">
      <c r="A1865" s="7" t="s">
        <v>3018</v>
      </c>
      <c r="B1865" s="59" t="s">
        <v>511</v>
      </c>
      <c r="C1865" s="38" t="s">
        <v>171</v>
      </c>
      <c r="D1865" s="59"/>
      <c r="E1865" s="59"/>
      <c r="F1865" s="39"/>
      <c r="G1865" s="39">
        <v>49760000</v>
      </c>
      <c r="H1865" s="168">
        <v>7500000</v>
      </c>
      <c r="I1865" s="150" t="s">
        <v>557</v>
      </c>
      <c r="J1865" s="149" t="s">
        <v>3559</v>
      </c>
      <c r="K1865" s="149" t="s">
        <v>3572</v>
      </c>
      <c r="L1865" s="171">
        <f t="shared" si="50"/>
        <v>42260000</v>
      </c>
    </row>
    <row r="1866" spans="1:12" x14ac:dyDescent="0.25">
      <c r="A1866" s="7" t="s">
        <v>3019</v>
      </c>
      <c r="B1866" s="60">
        <v>521211</v>
      </c>
      <c r="C1866" s="41" t="s">
        <v>7</v>
      </c>
      <c r="D1866" s="60"/>
      <c r="E1866" s="60"/>
      <c r="F1866" s="42"/>
      <c r="G1866" s="42">
        <v>19760000</v>
      </c>
      <c r="H1866" s="168">
        <v>4000000</v>
      </c>
      <c r="I1866" s="150" t="s">
        <v>557</v>
      </c>
      <c r="J1866" s="149" t="s">
        <v>3559</v>
      </c>
      <c r="K1866" s="149" t="s">
        <v>3572</v>
      </c>
      <c r="L1866" s="171">
        <f t="shared" si="50"/>
        <v>15760000</v>
      </c>
    </row>
    <row r="1867" spans="1:12" x14ac:dyDescent="0.25">
      <c r="A1867" s="7" t="s">
        <v>3020</v>
      </c>
      <c r="B1867" s="61"/>
      <c r="C1867" s="44" t="s">
        <v>4497</v>
      </c>
      <c r="D1867" s="61">
        <v>12</v>
      </c>
      <c r="E1867" s="61" t="s">
        <v>9</v>
      </c>
      <c r="F1867" s="45">
        <v>500000</v>
      </c>
      <c r="G1867" s="45">
        <f>ROUNDDOWN(D1867*F1867,-3)</f>
        <v>6000000</v>
      </c>
      <c r="H1867" s="168">
        <v>6000000</v>
      </c>
      <c r="I1867" s="150" t="s">
        <v>557</v>
      </c>
      <c r="J1867" s="149" t="s">
        <v>3559</v>
      </c>
      <c r="K1867" s="149" t="s">
        <v>3572</v>
      </c>
      <c r="L1867" s="171">
        <f t="shared" si="50"/>
        <v>0</v>
      </c>
    </row>
    <row r="1868" spans="1:12" x14ac:dyDescent="0.25">
      <c r="A1868" s="7" t="s">
        <v>3022</v>
      </c>
      <c r="B1868" s="192"/>
      <c r="C1868" s="191" t="s">
        <v>4498</v>
      </c>
      <c r="D1868" s="192">
        <v>80</v>
      </c>
      <c r="E1868" s="192" t="s">
        <v>10</v>
      </c>
      <c r="F1868" s="193">
        <v>22000</v>
      </c>
      <c r="G1868" s="45">
        <f>ROUNDDOWN(D1868*F1868,-3)</f>
        <v>1760000</v>
      </c>
      <c r="H1868" s="165">
        <v>2000000</v>
      </c>
      <c r="I1868" s="150" t="s">
        <v>557</v>
      </c>
      <c r="J1868" s="149" t="s">
        <v>3559</v>
      </c>
      <c r="K1868" s="149" t="s">
        <v>3572</v>
      </c>
      <c r="L1868" s="171">
        <f t="shared" si="50"/>
        <v>-240000</v>
      </c>
    </row>
    <row r="1869" spans="1:12" x14ac:dyDescent="0.25">
      <c r="A1869" s="7" t="s">
        <v>3024</v>
      </c>
      <c r="B1869" s="61"/>
      <c r="C1869" s="44" t="s">
        <v>4491</v>
      </c>
      <c r="D1869" s="61">
        <v>12</v>
      </c>
      <c r="E1869" s="61" t="s">
        <v>9</v>
      </c>
      <c r="F1869" s="45">
        <v>1000000</v>
      </c>
      <c r="G1869" s="45">
        <f>ROUNDDOWN(D1869*F1869,-3)</f>
        <v>12000000</v>
      </c>
      <c r="H1869" s="168">
        <v>2000000</v>
      </c>
      <c r="I1869" s="150" t="s">
        <v>557</v>
      </c>
      <c r="J1869" s="149" t="s">
        <v>3559</v>
      </c>
      <c r="K1869" s="149" t="s">
        <v>3572</v>
      </c>
      <c r="L1869" s="171">
        <f t="shared" si="50"/>
        <v>10000000</v>
      </c>
    </row>
    <row r="1870" spans="1:12" x14ac:dyDescent="0.25">
      <c r="A1870" s="7" t="s">
        <v>3025</v>
      </c>
      <c r="B1870" s="60">
        <v>524111</v>
      </c>
      <c r="C1870" s="41" t="s">
        <v>19</v>
      </c>
      <c r="D1870" s="60"/>
      <c r="E1870" s="60"/>
      <c r="F1870" s="42"/>
      <c r="G1870" s="42">
        <v>30000000</v>
      </c>
      <c r="H1870" s="165">
        <v>247200000</v>
      </c>
      <c r="I1870" s="150" t="s">
        <v>557</v>
      </c>
      <c r="J1870" s="149" t="s">
        <v>3559</v>
      </c>
      <c r="K1870" s="149" t="s">
        <v>3572</v>
      </c>
      <c r="L1870" s="171">
        <f t="shared" ref="L1870:L1933" si="51">G1870-H1870</f>
        <v>-217200000</v>
      </c>
    </row>
    <row r="1871" spans="1:12" ht="26.4" x14ac:dyDescent="0.25">
      <c r="A1871" s="7" t="s">
        <v>3026</v>
      </c>
      <c r="B1871" s="61"/>
      <c r="C1871" s="44" t="s">
        <v>4499</v>
      </c>
      <c r="D1871" s="61">
        <v>15</v>
      </c>
      <c r="E1871" s="61" t="s">
        <v>10</v>
      </c>
      <c r="F1871" s="45">
        <v>2000000</v>
      </c>
      <c r="G1871" s="45">
        <f>ROUNDDOWN(D1871*F1871,-3)</f>
        <v>30000000</v>
      </c>
      <c r="H1871" s="168">
        <v>247200000</v>
      </c>
      <c r="I1871" s="150" t="s">
        <v>557</v>
      </c>
      <c r="J1871" s="149" t="s">
        <v>3559</v>
      </c>
      <c r="K1871" s="149" t="s">
        <v>3572</v>
      </c>
      <c r="L1871" s="171">
        <f t="shared" si="51"/>
        <v>-217200000</v>
      </c>
    </row>
    <row r="1872" spans="1:12" ht="26.4" x14ac:dyDescent="0.25">
      <c r="A1872" s="7" t="s">
        <v>3028</v>
      </c>
      <c r="B1872" s="59" t="s">
        <v>512</v>
      </c>
      <c r="C1872" s="38" t="s">
        <v>172</v>
      </c>
      <c r="D1872" s="59"/>
      <c r="E1872" s="59"/>
      <c r="F1872" s="39"/>
      <c r="G1872" s="39">
        <v>59760000</v>
      </c>
      <c r="H1872" s="165">
        <v>212000000</v>
      </c>
      <c r="I1872" s="150" t="s">
        <v>557</v>
      </c>
      <c r="J1872" s="149" t="s">
        <v>3559</v>
      </c>
      <c r="K1872" s="149" t="s">
        <v>3572</v>
      </c>
      <c r="L1872" s="171">
        <f t="shared" si="51"/>
        <v>-152240000</v>
      </c>
    </row>
    <row r="1873" spans="1:12" x14ac:dyDescent="0.25">
      <c r="A1873" s="7" t="s">
        <v>3029</v>
      </c>
      <c r="B1873" s="60">
        <v>521211</v>
      </c>
      <c r="C1873" s="41" t="s">
        <v>7</v>
      </c>
      <c r="D1873" s="60"/>
      <c r="E1873" s="60"/>
      <c r="F1873" s="42"/>
      <c r="G1873" s="42">
        <v>9760000</v>
      </c>
      <c r="H1873" s="165">
        <v>41000000</v>
      </c>
      <c r="I1873" s="150" t="s">
        <v>557</v>
      </c>
      <c r="J1873" s="149" t="s">
        <v>3559</v>
      </c>
      <c r="K1873" s="149" t="s">
        <v>3572</v>
      </c>
      <c r="L1873" s="171">
        <f t="shared" si="51"/>
        <v>-31240000</v>
      </c>
    </row>
    <row r="1874" spans="1:12" x14ac:dyDescent="0.25">
      <c r="A1874" s="7" t="s">
        <v>3030</v>
      </c>
      <c r="B1874" s="61"/>
      <c r="C1874" s="44" t="s">
        <v>4500</v>
      </c>
      <c r="D1874" s="61">
        <v>4</v>
      </c>
      <c r="E1874" s="61" t="s">
        <v>9</v>
      </c>
      <c r="F1874" s="45">
        <v>1000000</v>
      </c>
      <c r="G1874" s="45">
        <f>ROUNDDOWN(D1874*F1874,-3)</f>
        <v>4000000</v>
      </c>
      <c r="H1874" s="168">
        <v>6000000</v>
      </c>
      <c r="I1874" s="150" t="s">
        <v>557</v>
      </c>
      <c r="J1874" s="149" t="s">
        <v>3559</v>
      </c>
      <c r="K1874" s="149" t="s">
        <v>3572</v>
      </c>
      <c r="L1874" s="171">
        <f t="shared" si="51"/>
        <v>-2000000</v>
      </c>
    </row>
    <row r="1875" spans="1:12" x14ac:dyDescent="0.25">
      <c r="A1875" s="7" t="s">
        <v>3031</v>
      </c>
      <c r="B1875" s="61"/>
      <c r="C1875" s="44" t="s">
        <v>4501</v>
      </c>
      <c r="D1875" s="61">
        <v>80</v>
      </c>
      <c r="E1875" s="61" t="s">
        <v>10</v>
      </c>
      <c r="F1875" s="45">
        <v>22000</v>
      </c>
      <c r="G1875" s="45">
        <f>ROUNDDOWN(D1875*F1875,-3)</f>
        <v>1760000</v>
      </c>
      <c r="H1875" s="168">
        <v>13500000</v>
      </c>
      <c r="I1875" s="150" t="s">
        <v>557</v>
      </c>
      <c r="J1875" s="149" t="s">
        <v>3559</v>
      </c>
      <c r="K1875" s="149" t="s">
        <v>3572</v>
      </c>
      <c r="L1875" s="171">
        <f t="shared" si="51"/>
        <v>-11740000</v>
      </c>
    </row>
    <row r="1876" spans="1:12" ht="26.4" x14ac:dyDescent="0.25">
      <c r="A1876" s="7" t="s">
        <v>3033</v>
      </c>
      <c r="B1876" s="61"/>
      <c r="C1876" s="44" t="s">
        <v>4502</v>
      </c>
      <c r="D1876" s="61">
        <v>4</v>
      </c>
      <c r="E1876" s="61" t="s">
        <v>9</v>
      </c>
      <c r="F1876" s="45">
        <v>1000000</v>
      </c>
      <c r="G1876" s="45">
        <f>ROUNDDOWN(D1876*F1876,-3)</f>
        <v>4000000</v>
      </c>
      <c r="H1876" s="168">
        <v>7500000</v>
      </c>
      <c r="I1876" s="150" t="s">
        <v>557</v>
      </c>
      <c r="J1876" s="149" t="s">
        <v>3559</v>
      </c>
      <c r="K1876" s="149" t="s">
        <v>3572</v>
      </c>
      <c r="L1876" s="171">
        <f t="shared" si="51"/>
        <v>-3500000</v>
      </c>
    </row>
    <row r="1877" spans="1:12" x14ac:dyDescent="0.25">
      <c r="A1877" s="7" t="s">
        <v>3035</v>
      </c>
      <c r="B1877" s="60">
        <v>524111</v>
      </c>
      <c r="C1877" s="41" t="s">
        <v>19</v>
      </c>
      <c r="D1877" s="60"/>
      <c r="E1877" s="60"/>
      <c r="F1877" s="42"/>
      <c r="G1877" s="42">
        <v>50000000</v>
      </c>
      <c r="H1877" s="168">
        <v>4000000</v>
      </c>
      <c r="I1877" s="150" t="s">
        <v>557</v>
      </c>
      <c r="J1877" s="149" t="s">
        <v>3559</v>
      </c>
      <c r="K1877" s="149" t="s">
        <v>3572</v>
      </c>
      <c r="L1877" s="171">
        <f t="shared" si="51"/>
        <v>46000000</v>
      </c>
    </row>
    <row r="1878" spans="1:12" ht="26.4" x14ac:dyDescent="0.25">
      <c r="A1878" s="7" t="s">
        <v>3036</v>
      </c>
      <c r="B1878" s="61"/>
      <c r="C1878" s="44" t="s">
        <v>4503</v>
      </c>
      <c r="D1878" s="61">
        <v>20</v>
      </c>
      <c r="E1878" s="61" t="s">
        <v>10</v>
      </c>
      <c r="F1878" s="45">
        <v>2500000</v>
      </c>
      <c r="G1878" s="45">
        <f>ROUNDDOWN(D1878*F1878,-3)</f>
        <v>50000000</v>
      </c>
      <c r="H1878" s="168">
        <v>6000000</v>
      </c>
      <c r="I1878" s="150" t="s">
        <v>557</v>
      </c>
      <c r="J1878" s="149" t="s">
        <v>3559</v>
      </c>
      <c r="K1878" s="149" t="s">
        <v>3572</v>
      </c>
      <c r="L1878" s="171">
        <f t="shared" si="51"/>
        <v>44000000</v>
      </c>
    </row>
    <row r="1879" spans="1:12" x14ac:dyDescent="0.25">
      <c r="A1879" s="7" t="s">
        <v>3038</v>
      </c>
      <c r="B1879" s="59" t="s">
        <v>514</v>
      </c>
      <c r="C1879" s="38" t="s">
        <v>173</v>
      </c>
      <c r="D1879" s="59"/>
      <c r="E1879" s="59"/>
      <c r="F1879" s="39"/>
      <c r="G1879" s="39">
        <v>50140000</v>
      </c>
      <c r="H1879" s="168">
        <v>4000000</v>
      </c>
      <c r="I1879" s="150" t="s">
        <v>557</v>
      </c>
      <c r="J1879" s="149" t="s">
        <v>3559</v>
      </c>
      <c r="K1879" s="149" t="s">
        <v>3572</v>
      </c>
      <c r="L1879" s="171">
        <f t="shared" si="51"/>
        <v>46140000</v>
      </c>
    </row>
    <row r="1880" spans="1:12" x14ac:dyDescent="0.25">
      <c r="A1880" s="7" t="s">
        <v>3039</v>
      </c>
      <c r="B1880" s="60">
        <v>521211</v>
      </c>
      <c r="C1880" s="41" t="s">
        <v>7</v>
      </c>
      <c r="D1880" s="60"/>
      <c r="E1880" s="60"/>
      <c r="F1880" s="42"/>
      <c r="G1880" s="42">
        <v>6140000</v>
      </c>
      <c r="H1880" s="165">
        <v>32000000</v>
      </c>
      <c r="I1880" s="150" t="s">
        <v>557</v>
      </c>
      <c r="J1880" s="149" t="s">
        <v>3559</v>
      </c>
      <c r="K1880" s="149" t="s">
        <v>3572</v>
      </c>
      <c r="L1880" s="171">
        <f t="shared" si="51"/>
        <v>-25860000</v>
      </c>
    </row>
    <row r="1881" spans="1:12" x14ac:dyDescent="0.25">
      <c r="A1881" s="7" t="s">
        <v>3040</v>
      </c>
      <c r="B1881" s="61"/>
      <c r="C1881" s="44" t="s">
        <v>4504</v>
      </c>
      <c r="D1881" s="61">
        <v>1</v>
      </c>
      <c r="E1881" s="61" t="s">
        <v>9</v>
      </c>
      <c r="F1881" s="45">
        <v>1500000</v>
      </c>
      <c r="G1881" s="45">
        <f>ROUNDDOWN(D1881*F1881,-3)</f>
        <v>1500000</v>
      </c>
      <c r="H1881" s="168">
        <v>30000000</v>
      </c>
      <c r="I1881" s="150" t="s">
        <v>557</v>
      </c>
      <c r="J1881" s="149" t="s">
        <v>3559</v>
      </c>
      <c r="K1881" s="149" t="s">
        <v>3572</v>
      </c>
      <c r="L1881" s="171">
        <f t="shared" si="51"/>
        <v>-28500000</v>
      </c>
    </row>
    <row r="1882" spans="1:12" x14ac:dyDescent="0.25">
      <c r="A1882" s="7" t="s">
        <v>3042</v>
      </c>
      <c r="B1882" s="61"/>
      <c r="C1882" s="44" t="s">
        <v>4505</v>
      </c>
      <c r="D1882" s="61">
        <v>120</v>
      </c>
      <c r="E1882" s="61" t="s">
        <v>10</v>
      </c>
      <c r="F1882" s="45">
        <v>22000</v>
      </c>
      <c r="G1882" s="45">
        <f>ROUNDDOWN(D1882*F1882,-3)</f>
        <v>2640000</v>
      </c>
      <c r="H1882" s="168">
        <v>2000000</v>
      </c>
      <c r="I1882" s="150" t="s">
        <v>557</v>
      </c>
      <c r="J1882" s="149" t="s">
        <v>3559</v>
      </c>
      <c r="K1882" s="149" t="s">
        <v>3572</v>
      </c>
      <c r="L1882" s="171">
        <f t="shared" si="51"/>
        <v>640000</v>
      </c>
    </row>
    <row r="1883" spans="1:12" x14ac:dyDescent="0.25">
      <c r="A1883" s="7" t="s">
        <v>3044</v>
      </c>
      <c r="B1883" s="192"/>
      <c r="C1883" s="191" t="s">
        <v>4491</v>
      </c>
      <c r="D1883" s="192">
        <v>1</v>
      </c>
      <c r="E1883" s="192" t="s">
        <v>9</v>
      </c>
      <c r="F1883" s="193">
        <v>1000000</v>
      </c>
      <c r="G1883" s="45">
        <f>ROUNDDOWN(D1883*F1883,-3)</f>
        <v>1000000</v>
      </c>
      <c r="H1883" s="165">
        <v>10000000</v>
      </c>
      <c r="I1883" s="150" t="s">
        <v>557</v>
      </c>
      <c r="J1883" s="149" t="s">
        <v>3559</v>
      </c>
      <c r="K1883" s="149" t="s">
        <v>3572</v>
      </c>
      <c r="L1883" s="171">
        <f t="shared" si="51"/>
        <v>-9000000</v>
      </c>
    </row>
    <row r="1884" spans="1:12" x14ac:dyDescent="0.25">
      <c r="A1884" s="7" t="s">
        <v>3045</v>
      </c>
      <c r="B1884" s="61"/>
      <c r="C1884" s="44" t="s">
        <v>3601</v>
      </c>
      <c r="D1884" s="61">
        <v>1</v>
      </c>
      <c r="E1884" s="61" t="s">
        <v>9</v>
      </c>
      <c r="F1884" s="45">
        <v>1000000</v>
      </c>
      <c r="G1884" s="45">
        <f>ROUNDDOWN(D1884*F1884,-3)</f>
        <v>1000000</v>
      </c>
      <c r="H1884" s="168">
        <v>10000000</v>
      </c>
      <c r="I1884" s="150" t="s">
        <v>557</v>
      </c>
      <c r="J1884" s="149" t="s">
        <v>3559</v>
      </c>
      <c r="K1884" s="149" t="s">
        <v>3572</v>
      </c>
      <c r="L1884" s="171">
        <f t="shared" si="51"/>
        <v>-9000000</v>
      </c>
    </row>
    <row r="1885" spans="1:12" ht="26.4" x14ac:dyDescent="0.25">
      <c r="A1885" s="7" t="s">
        <v>3046</v>
      </c>
      <c r="B1885" s="60">
        <v>521241</v>
      </c>
      <c r="C1885" s="41" t="s">
        <v>642</v>
      </c>
      <c r="D1885" s="60"/>
      <c r="E1885" s="60"/>
      <c r="F1885" s="42"/>
      <c r="G1885" s="42">
        <v>12000000</v>
      </c>
      <c r="H1885" s="165">
        <v>120000000</v>
      </c>
      <c r="I1885" s="150" t="s">
        <v>557</v>
      </c>
      <c r="J1885" s="149" t="s">
        <v>3559</v>
      </c>
      <c r="K1885" s="149" t="s">
        <v>3572</v>
      </c>
      <c r="L1885" s="171">
        <f t="shared" si="51"/>
        <v>-108000000</v>
      </c>
    </row>
    <row r="1886" spans="1:12" ht="26.4" x14ac:dyDescent="0.25">
      <c r="A1886" s="7" t="s">
        <v>3047</v>
      </c>
      <c r="B1886" s="61"/>
      <c r="C1886" s="44" t="s">
        <v>4506</v>
      </c>
      <c r="D1886" s="61">
        <v>60</v>
      </c>
      <c r="E1886" s="61" t="s">
        <v>21</v>
      </c>
      <c r="F1886" s="45">
        <v>200000</v>
      </c>
      <c r="G1886" s="45">
        <f>ROUNDDOWN(D1886*F1886,-3)</f>
        <v>12000000</v>
      </c>
      <c r="H1886" s="168">
        <v>120000000</v>
      </c>
      <c r="I1886" s="150" t="s">
        <v>557</v>
      </c>
      <c r="J1886" s="149" t="s">
        <v>3559</v>
      </c>
      <c r="K1886" s="149" t="s">
        <v>3572</v>
      </c>
      <c r="L1886" s="171">
        <f t="shared" si="51"/>
        <v>-108000000</v>
      </c>
    </row>
    <row r="1887" spans="1:12" x14ac:dyDescent="0.25">
      <c r="A1887" s="7" t="s">
        <v>3049</v>
      </c>
      <c r="B1887" s="60">
        <v>524111</v>
      </c>
      <c r="C1887" s="41" t="s">
        <v>19</v>
      </c>
      <c r="D1887" s="60"/>
      <c r="E1887" s="60"/>
      <c r="F1887" s="42"/>
      <c r="G1887" s="42">
        <v>32000000</v>
      </c>
      <c r="H1887" s="165">
        <v>9000000</v>
      </c>
      <c r="I1887" s="150" t="s">
        <v>557</v>
      </c>
      <c r="J1887" s="149" t="s">
        <v>3559</v>
      </c>
      <c r="K1887" s="149" t="s">
        <v>3572</v>
      </c>
      <c r="L1887" s="171">
        <f t="shared" si="51"/>
        <v>23000000</v>
      </c>
    </row>
    <row r="1888" spans="1:12" x14ac:dyDescent="0.25">
      <c r="A1888" s="7" t="s">
        <v>3050</v>
      </c>
      <c r="B1888" s="61"/>
      <c r="C1888" s="44" t="s">
        <v>4507</v>
      </c>
      <c r="D1888" s="61">
        <v>16</v>
      </c>
      <c r="E1888" s="61" t="s">
        <v>10</v>
      </c>
      <c r="F1888" s="45">
        <v>2000000</v>
      </c>
      <c r="G1888" s="45">
        <f>ROUNDDOWN(D1888*F1888,-3)</f>
        <v>32000000</v>
      </c>
      <c r="H1888" s="168">
        <v>9000000</v>
      </c>
      <c r="I1888" s="150" t="s">
        <v>557</v>
      </c>
      <c r="J1888" s="149" t="s">
        <v>3559</v>
      </c>
      <c r="K1888" s="149" t="s">
        <v>3572</v>
      </c>
      <c r="L1888" s="171">
        <f t="shared" si="51"/>
        <v>23000000</v>
      </c>
    </row>
    <row r="1889" spans="1:12" ht="26.4" x14ac:dyDescent="0.25">
      <c r="A1889" s="7" t="s">
        <v>3052</v>
      </c>
      <c r="B1889" s="58">
        <v>301</v>
      </c>
      <c r="C1889" s="35" t="s">
        <v>3053</v>
      </c>
      <c r="D1889" s="58">
        <v>0</v>
      </c>
      <c r="E1889" s="58"/>
      <c r="F1889" s="36"/>
      <c r="G1889" s="36">
        <v>507200000</v>
      </c>
      <c r="H1889" s="165">
        <v>126532000</v>
      </c>
      <c r="I1889" s="150" t="s">
        <v>557</v>
      </c>
      <c r="J1889" s="149" t="s">
        <v>3559</v>
      </c>
      <c r="K1889" s="149" t="s">
        <v>3572</v>
      </c>
      <c r="L1889" s="171">
        <f t="shared" si="51"/>
        <v>380668000</v>
      </c>
    </row>
    <row r="1890" spans="1:12" x14ac:dyDescent="0.25">
      <c r="A1890" s="7" t="s">
        <v>3054</v>
      </c>
      <c r="B1890" s="59" t="s">
        <v>8</v>
      </c>
      <c r="C1890" s="38" t="s">
        <v>174</v>
      </c>
      <c r="D1890" s="59"/>
      <c r="E1890" s="59"/>
      <c r="F1890" s="39"/>
      <c r="G1890" s="39">
        <v>295200000</v>
      </c>
      <c r="H1890" s="165">
        <v>126532000</v>
      </c>
      <c r="I1890" s="150" t="s">
        <v>557</v>
      </c>
      <c r="J1890" s="149" t="s">
        <v>3559</v>
      </c>
      <c r="K1890" s="149" t="s">
        <v>3572</v>
      </c>
      <c r="L1890" s="171">
        <f t="shared" si="51"/>
        <v>168668000</v>
      </c>
    </row>
    <row r="1891" spans="1:12" x14ac:dyDescent="0.25">
      <c r="A1891" s="7" t="s">
        <v>3055</v>
      </c>
      <c r="B1891" s="60">
        <v>521211</v>
      </c>
      <c r="C1891" s="41" t="s">
        <v>7</v>
      </c>
      <c r="D1891" s="60"/>
      <c r="E1891" s="60"/>
      <c r="F1891" s="42"/>
      <c r="G1891" s="42">
        <v>46000000</v>
      </c>
      <c r="H1891" s="165">
        <v>35500000</v>
      </c>
      <c r="I1891" s="150" t="s">
        <v>557</v>
      </c>
      <c r="J1891" s="149" t="s">
        <v>3559</v>
      </c>
      <c r="K1891" s="149" t="s">
        <v>3572</v>
      </c>
      <c r="L1891" s="171">
        <f t="shared" si="51"/>
        <v>10500000</v>
      </c>
    </row>
    <row r="1892" spans="1:12" x14ac:dyDescent="0.25">
      <c r="A1892" s="7" t="s">
        <v>3056</v>
      </c>
      <c r="B1892" s="61"/>
      <c r="C1892" s="44" t="s">
        <v>3598</v>
      </c>
      <c r="D1892" s="61">
        <v>5</v>
      </c>
      <c r="E1892" s="61" t="s">
        <v>9</v>
      </c>
      <c r="F1892" s="45">
        <v>1500000</v>
      </c>
      <c r="G1892" s="45">
        <f>ROUNDDOWN(D1892*F1892,-3)</f>
        <v>7500000</v>
      </c>
      <c r="H1892" s="168">
        <v>6000000</v>
      </c>
      <c r="I1892" s="150" t="s">
        <v>557</v>
      </c>
      <c r="J1892" s="149" t="s">
        <v>3559</v>
      </c>
      <c r="K1892" s="149" t="s">
        <v>3572</v>
      </c>
      <c r="L1892" s="171">
        <f t="shared" si="51"/>
        <v>1500000</v>
      </c>
    </row>
    <row r="1893" spans="1:12" x14ac:dyDescent="0.25">
      <c r="A1893" s="7" t="s">
        <v>3057</v>
      </c>
      <c r="B1893" s="61"/>
      <c r="C1893" s="44" t="s">
        <v>4420</v>
      </c>
      <c r="D1893" s="61">
        <v>280</v>
      </c>
      <c r="E1893" s="61" t="s">
        <v>10</v>
      </c>
      <c r="F1893" s="45">
        <v>75000</v>
      </c>
      <c r="G1893" s="45">
        <f>ROUNDDOWN(D1893*F1893,-3)</f>
        <v>21000000</v>
      </c>
      <c r="H1893" s="168">
        <v>13500000</v>
      </c>
      <c r="I1893" s="150" t="s">
        <v>557</v>
      </c>
      <c r="J1893" s="149" t="s">
        <v>3559</v>
      </c>
      <c r="K1893" s="149" t="s">
        <v>3572</v>
      </c>
      <c r="L1893" s="171">
        <f t="shared" si="51"/>
        <v>7500000</v>
      </c>
    </row>
    <row r="1894" spans="1:12" x14ac:dyDescent="0.25">
      <c r="A1894" s="7" t="s">
        <v>3058</v>
      </c>
      <c r="B1894" s="61"/>
      <c r="C1894" s="44" t="s">
        <v>4421</v>
      </c>
      <c r="D1894" s="61">
        <v>30</v>
      </c>
      <c r="E1894" s="61" t="s">
        <v>176</v>
      </c>
      <c r="F1894" s="45">
        <v>250000</v>
      </c>
      <c r="G1894" s="45">
        <f>ROUNDDOWN(D1894*F1894,-3)</f>
        <v>7500000</v>
      </c>
      <c r="H1894" s="168">
        <v>4000000</v>
      </c>
      <c r="I1894" s="150" t="s">
        <v>557</v>
      </c>
      <c r="J1894" s="149" t="s">
        <v>3559</v>
      </c>
      <c r="K1894" s="149" t="s">
        <v>3572</v>
      </c>
      <c r="L1894" s="171">
        <f t="shared" si="51"/>
        <v>3500000</v>
      </c>
    </row>
    <row r="1895" spans="1:12" x14ac:dyDescent="0.25">
      <c r="A1895" s="7" t="s">
        <v>3059</v>
      </c>
      <c r="B1895" s="61"/>
      <c r="C1895" s="44" t="s">
        <v>3610</v>
      </c>
      <c r="D1895" s="61">
        <v>4</v>
      </c>
      <c r="E1895" s="61" t="s">
        <v>106</v>
      </c>
      <c r="F1895" s="45">
        <v>1000000</v>
      </c>
      <c r="G1895" s="45">
        <f>ROUNDDOWN(D1895*F1895,-3)</f>
        <v>4000000</v>
      </c>
      <c r="H1895" s="168">
        <v>6000000</v>
      </c>
      <c r="I1895" s="150" t="s">
        <v>557</v>
      </c>
      <c r="J1895" s="149" t="s">
        <v>3559</v>
      </c>
      <c r="K1895" s="149" t="s">
        <v>3572</v>
      </c>
      <c r="L1895" s="171">
        <f t="shared" si="51"/>
        <v>-2000000</v>
      </c>
    </row>
    <row r="1896" spans="1:12" x14ac:dyDescent="0.25">
      <c r="A1896" s="7" t="s">
        <v>3060</v>
      </c>
      <c r="B1896" s="61"/>
      <c r="C1896" s="44" t="s">
        <v>3611</v>
      </c>
      <c r="D1896" s="61">
        <v>4</v>
      </c>
      <c r="E1896" s="61" t="s">
        <v>106</v>
      </c>
      <c r="F1896" s="45">
        <v>1500000</v>
      </c>
      <c r="G1896" s="45">
        <f>ROUNDDOWN(D1896*F1896,-3)</f>
        <v>6000000</v>
      </c>
      <c r="H1896" s="168">
        <v>6000000</v>
      </c>
      <c r="I1896" s="150" t="s">
        <v>557</v>
      </c>
      <c r="J1896" s="149" t="s">
        <v>3559</v>
      </c>
      <c r="K1896" s="149" t="s">
        <v>3572</v>
      </c>
      <c r="L1896" s="171">
        <f t="shared" si="51"/>
        <v>0</v>
      </c>
    </row>
    <row r="1897" spans="1:12" x14ac:dyDescent="0.25">
      <c r="A1897" s="7" t="s">
        <v>3061</v>
      </c>
      <c r="B1897" s="60">
        <v>521219</v>
      </c>
      <c r="C1897" s="41" t="s">
        <v>53</v>
      </c>
      <c r="D1897" s="60"/>
      <c r="E1897" s="60"/>
      <c r="F1897" s="42"/>
      <c r="G1897" s="42">
        <v>2000000</v>
      </c>
      <c r="H1897" s="165">
        <v>2000000</v>
      </c>
      <c r="I1897" s="150" t="s">
        <v>557</v>
      </c>
      <c r="J1897" s="149" t="s">
        <v>3559</v>
      </c>
      <c r="K1897" s="149" t="s">
        <v>3572</v>
      </c>
      <c r="L1897" s="171">
        <f t="shared" si="51"/>
        <v>0</v>
      </c>
    </row>
    <row r="1898" spans="1:12" ht="26.4" x14ac:dyDescent="0.25">
      <c r="A1898" s="7" t="s">
        <v>3062</v>
      </c>
      <c r="B1898" s="61"/>
      <c r="C1898" s="44" t="s">
        <v>4508</v>
      </c>
      <c r="D1898" s="61">
        <v>1</v>
      </c>
      <c r="E1898" s="61" t="s">
        <v>153</v>
      </c>
      <c r="F1898" s="45">
        <v>2000000</v>
      </c>
      <c r="G1898" s="45">
        <f>ROUNDDOWN(D1898*F1898,-3)</f>
        <v>2000000</v>
      </c>
      <c r="H1898" s="168">
        <v>2000000</v>
      </c>
      <c r="I1898" s="150" t="s">
        <v>557</v>
      </c>
      <c r="J1898" s="149" t="s">
        <v>3559</v>
      </c>
      <c r="K1898" s="149" t="s">
        <v>3572</v>
      </c>
      <c r="L1898" s="171">
        <f t="shared" si="51"/>
        <v>0</v>
      </c>
    </row>
    <row r="1899" spans="1:12" x14ac:dyDescent="0.25">
      <c r="A1899" s="7" t="s">
        <v>3064</v>
      </c>
      <c r="B1899" s="60">
        <v>524111</v>
      </c>
      <c r="C1899" s="41" t="s">
        <v>19</v>
      </c>
      <c r="D1899" s="60"/>
      <c r="E1899" s="60"/>
      <c r="F1899" s="42"/>
      <c r="G1899" s="42">
        <v>247200000</v>
      </c>
      <c r="H1899" s="165">
        <v>89032000</v>
      </c>
      <c r="I1899" s="150" t="s">
        <v>557</v>
      </c>
      <c r="J1899" s="149" t="s">
        <v>3559</v>
      </c>
      <c r="K1899" s="149" t="s">
        <v>3572</v>
      </c>
      <c r="L1899" s="171">
        <f t="shared" si="51"/>
        <v>158168000</v>
      </c>
    </row>
    <row r="1900" spans="1:12" x14ac:dyDescent="0.25">
      <c r="A1900" s="7" t="s">
        <v>3065</v>
      </c>
      <c r="B1900" s="61"/>
      <c r="C1900" s="44" t="s">
        <v>4509</v>
      </c>
      <c r="D1900" s="61">
        <v>40</v>
      </c>
      <c r="E1900" s="61" t="s">
        <v>10</v>
      </c>
      <c r="F1900" s="45">
        <v>6180000</v>
      </c>
      <c r="G1900" s="45">
        <f>ROUNDDOWN(D1900*F1900,-3)</f>
        <v>247200000</v>
      </c>
      <c r="H1900" s="168">
        <v>89032000</v>
      </c>
      <c r="I1900" s="150" t="s">
        <v>557</v>
      </c>
      <c r="J1900" s="149" t="s">
        <v>3559</v>
      </c>
      <c r="K1900" s="149" t="s">
        <v>3572</v>
      </c>
      <c r="L1900" s="171">
        <f t="shared" si="51"/>
        <v>158168000</v>
      </c>
    </row>
    <row r="1901" spans="1:12" x14ac:dyDescent="0.25">
      <c r="A1901" s="7" t="s">
        <v>3067</v>
      </c>
      <c r="B1901" s="59" t="s">
        <v>511</v>
      </c>
      <c r="C1901" s="38" t="s">
        <v>175</v>
      </c>
      <c r="D1901" s="59"/>
      <c r="E1901" s="59"/>
      <c r="F1901" s="39"/>
      <c r="G1901" s="39">
        <v>212000000</v>
      </c>
      <c r="H1901" s="165">
        <v>3290739000</v>
      </c>
      <c r="I1901" s="150"/>
      <c r="J1901" s="149"/>
      <c r="K1901" s="149"/>
      <c r="L1901" s="171">
        <f t="shared" si="51"/>
        <v>-3078739000</v>
      </c>
    </row>
    <row r="1902" spans="1:12" x14ac:dyDescent="0.25">
      <c r="A1902" s="7" t="s">
        <v>3068</v>
      </c>
      <c r="B1902" s="60">
        <v>521211</v>
      </c>
      <c r="C1902" s="41" t="s">
        <v>7</v>
      </c>
      <c r="D1902" s="60"/>
      <c r="E1902" s="60"/>
      <c r="F1902" s="42"/>
      <c r="G1902" s="42">
        <v>41000000</v>
      </c>
      <c r="H1902" s="165">
        <v>2500000000</v>
      </c>
      <c r="I1902" s="150" t="s">
        <v>3552</v>
      </c>
      <c r="J1902" s="149" t="s">
        <v>3564</v>
      </c>
      <c r="K1902" s="149" t="s">
        <v>3564</v>
      </c>
      <c r="L1902" s="171">
        <f t="shared" si="51"/>
        <v>-2459000000</v>
      </c>
    </row>
    <row r="1903" spans="1:12" x14ac:dyDescent="0.25">
      <c r="A1903" s="7" t="s">
        <v>3069</v>
      </c>
      <c r="B1903" s="192"/>
      <c r="C1903" s="191" t="s">
        <v>3598</v>
      </c>
      <c r="D1903" s="192">
        <v>4</v>
      </c>
      <c r="E1903" s="192" t="s">
        <v>9</v>
      </c>
      <c r="F1903" s="193">
        <v>1500000</v>
      </c>
      <c r="G1903" s="45">
        <f t="shared" ref="G1903:G1908" si="52">ROUNDDOWN(D1903*F1903,-3)</f>
        <v>6000000</v>
      </c>
      <c r="H1903" s="165">
        <v>899600000</v>
      </c>
      <c r="I1903" s="150" t="s">
        <v>3552</v>
      </c>
      <c r="J1903" s="149" t="s">
        <v>3564</v>
      </c>
      <c r="K1903" s="149" t="s">
        <v>3564</v>
      </c>
      <c r="L1903" s="171">
        <f t="shared" si="51"/>
        <v>-893600000</v>
      </c>
    </row>
    <row r="1904" spans="1:12" x14ac:dyDescent="0.25">
      <c r="A1904" s="7" t="s">
        <v>3070</v>
      </c>
      <c r="B1904" s="192"/>
      <c r="C1904" s="191" t="s">
        <v>4420</v>
      </c>
      <c r="D1904" s="192">
        <v>180</v>
      </c>
      <c r="E1904" s="192" t="s">
        <v>10</v>
      </c>
      <c r="F1904" s="193">
        <v>75000</v>
      </c>
      <c r="G1904" s="45">
        <f t="shared" si="52"/>
        <v>13500000</v>
      </c>
      <c r="H1904" s="165">
        <v>104000000</v>
      </c>
      <c r="I1904" s="150" t="s">
        <v>3552</v>
      </c>
      <c r="J1904" s="149"/>
      <c r="K1904" s="149"/>
      <c r="L1904" s="171">
        <f t="shared" si="51"/>
        <v>-90500000</v>
      </c>
    </row>
    <row r="1905" spans="1:12" x14ac:dyDescent="0.25">
      <c r="A1905" s="7" t="s">
        <v>3071</v>
      </c>
      <c r="B1905" s="61"/>
      <c r="C1905" s="44" t="s">
        <v>4510</v>
      </c>
      <c r="D1905" s="61">
        <v>15</v>
      </c>
      <c r="E1905" s="61" t="s">
        <v>176</v>
      </c>
      <c r="F1905" s="45">
        <v>500000</v>
      </c>
      <c r="G1905" s="45">
        <f t="shared" si="52"/>
        <v>7500000</v>
      </c>
      <c r="H1905" s="165">
        <v>3000000</v>
      </c>
      <c r="I1905" s="150" t="s">
        <v>3552</v>
      </c>
      <c r="J1905" s="149"/>
      <c r="K1905" s="149"/>
      <c r="L1905" s="171">
        <f t="shared" si="51"/>
        <v>4500000</v>
      </c>
    </row>
    <row r="1906" spans="1:12" x14ac:dyDescent="0.25">
      <c r="A1906" s="7" t="s">
        <v>3073</v>
      </c>
      <c r="B1906" s="61"/>
      <c r="C1906" s="44" t="s">
        <v>3610</v>
      </c>
      <c r="D1906" s="61">
        <v>4</v>
      </c>
      <c r="E1906" s="61" t="s">
        <v>106</v>
      </c>
      <c r="F1906" s="45">
        <v>1000000</v>
      </c>
      <c r="G1906" s="45">
        <f t="shared" si="52"/>
        <v>4000000</v>
      </c>
      <c r="H1906" s="165">
        <v>8000000</v>
      </c>
      <c r="I1906" s="150" t="s">
        <v>3552</v>
      </c>
      <c r="J1906" s="149"/>
      <c r="K1906" s="149"/>
      <c r="L1906" s="171">
        <f t="shared" si="51"/>
        <v>-4000000</v>
      </c>
    </row>
    <row r="1907" spans="1:12" x14ac:dyDescent="0.25">
      <c r="A1907" s="7" t="s">
        <v>3074</v>
      </c>
      <c r="B1907" s="61"/>
      <c r="C1907" s="44" t="s">
        <v>3611</v>
      </c>
      <c r="D1907" s="61">
        <v>4</v>
      </c>
      <c r="E1907" s="61" t="s">
        <v>106</v>
      </c>
      <c r="F1907" s="45">
        <v>1500000</v>
      </c>
      <c r="G1907" s="45">
        <f t="shared" si="52"/>
        <v>6000000</v>
      </c>
      <c r="H1907" s="165">
        <v>75000000</v>
      </c>
      <c r="I1907" s="150" t="s">
        <v>3552</v>
      </c>
      <c r="J1907" s="149"/>
      <c r="K1907" s="149"/>
      <c r="L1907" s="171">
        <f t="shared" si="51"/>
        <v>-69000000</v>
      </c>
    </row>
    <row r="1908" spans="1:12" x14ac:dyDescent="0.25">
      <c r="A1908" s="7" t="s">
        <v>3075</v>
      </c>
      <c r="B1908" s="61"/>
      <c r="C1908" s="44" t="s">
        <v>4511</v>
      </c>
      <c r="D1908" s="61">
        <v>8</v>
      </c>
      <c r="E1908" s="61" t="s">
        <v>58</v>
      </c>
      <c r="F1908" s="45">
        <v>500000</v>
      </c>
      <c r="G1908" s="45">
        <f t="shared" si="52"/>
        <v>4000000</v>
      </c>
      <c r="H1908" s="165">
        <v>12000000</v>
      </c>
      <c r="I1908" s="150" t="s">
        <v>3552</v>
      </c>
      <c r="J1908" s="149"/>
      <c r="K1908" s="149"/>
      <c r="L1908" s="171">
        <f t="shared" si="51"/>
        <v>-8000000</v>
      </c>
    </row>
    <row r="1909" spans="1:12" x14ac:dyDescent="0.25">
      <c r="A1909" s="7" t="s">
        <v>3077</v>
      </c>
      <c r="B1909" s="60">
        <v>521219</v>
      </c>
      <c r="C1909" s="41" t="s">
        <v>53</v>
      </c>
      <c r="D1909" s="60"/>
      <c r="E1909" s="60"/>
      <c r="F1909" s="42"/>
      <c r="G1909" s="42">
        <v>32000000</v>
      </c>
      <c r="H1909" s="165">
        <v>3000000</v>
      </c>
      <c r="I1909" s="150" t="s">
        <v>3552</v>
      </c>
      <c r="J1909" s="149"/>
      <c r="K1909" s="149"/>
      <c r="L1909" s="171">
        <f t="shared" si="51"/>
        <v>29000000</v>
      </c>
    </row>
    <row r="1910" spans="1:12" ht="26.4" x14ac:dyDescent="0.25">
      <c r="A1910" s="7" t="s">
        <v>3078</v>
      </c>
      <c r="B1910" s="61"/>
      <c r="C1910" s="44" t="s">
        <v>4512</v>
      </c>
      <c r="D1910" s="61">
        <v>2</v>
      </c>
      <c r="E1910" s="61" t="s">
        <v>177</v>
      </c>
      <c r="F1910" s="45">
        <v>15000000</v>
      </c>
      <c r="G1910" s="45">
        <f>ROUNDDOWN(D1910*F1910,-3)</f>
        <v>30000000</v>
      </c>
      <c r="H1910" s="165">
        <v>3000000</v>
      </c>
      <c r="I1910" s="150" t="s">
        <v>3552</v>
      </c>
      <c r="J1910" s="149"/>
      <c r="K1910" s="149"/>
      <c r="L1910" s="171">
        <f t="shared" si="51"/>
        <v>27000000</v>
      </c>
    </row>
    <row r="1911" spans="1:12" ht="26.4" x14ac:dyDescent="0.25">
      <c r="A1911" s="7" t="s">
        <v>3080</v>
      </c>
      <c r="B1911" s="192"/>
      <c r="C1911" s="191" t="s">
        <v>4513</v>
      </c>
      <c r="D1911" s="192">
        <v>1</v>
      </c>
      <c r="E1911" s="192" t="s">
        <v>60</v>
      </c>
      <c r="F1911" s="193">
        <v>2000000</v>
      </c>
      <c r="G1911" s="45">
        <f>ROUNDDOWN(D1911*F1911,-3)</f>
        <v>2000000</v>
      </c>
      <c r="H1911" s="165">
        <v>24000000</v>
      </c>
      <c r="I1911" s="150" t="s">
        <v>3552</v>
      </c>
      <c r="J1911" s="149"/>
      <c r="K1911" s="149"/>
      <c r="L1911" s="171">
        <f t="shared" si="51"/>
        <v>-22000000</v>
      </c>
    </row>
    <row r="1912" spans="1:12" x14ac:dyDescent="0.25">
      <c r="A1912" s="7" t="s">
        <v>3082</v>
      </c>
      <c r="B1912" s="60">
        <v>522151</v>
      </c>
      <c r="C1912" s="41" t="s">
        <v>11</v>
      </c>
      <c r="D1912" s="60"/>
      <c r="E1912" s="60"/>
      <c r="F1912" s="42"/>
      <c r="G1912" s="42">
        <v>10000000</v>
      </c>
      <c r="H1912" s="165">
        <v>12000000</v>
      </c>
      <c r="I1912" s="150" t="s">
        <v>3552</v>
      </c>
      <c r="J1912" s="149"/>
      <c r="K1912" s="149"/>
      <c r="L1912" s="171">
        <f t="shared" si="51"/>
        <v>-2000000</v>
      </c>
    </row>
    <row r="1913" spans="1:12" x14ac:dyDescent="0.25">
      <c r="A1913" s="7" t="s">
        <v>3083</v>
      </c>
      <c r="B1913" s="61"/>
      <c r="C1913" s="44" t="s">
        <v>3715</v>
      </c>
      <c r="D1913" s="61">
        <v>10</v>
      </c>
      <c r="E1913" s="61" t="s">
        <v>54</v>
      </c>
      <c r="F1913" s="45">
        <v>1000000</v>
      </c>
      <c r="G1913" s="45">
        <f>ROUNDDOWN(D1913*F1913,-3)</f>
        <v>10000000</v>
      </c>
      <c r="H1913" s="165">
        <v>12000000</v>
      </c>
      <c r="I1913" s="150" t="s">
        <v>3552</v>
      </c>
      <c r="J1913" s="149"/>
      <c r="K1913" s="149"/>
      <c r="L1913" s="171">
        <f t="shared" si="51"/>
        <v>-2000000</v>
      </c>
    </row>
    <row r="1914" spans="1:12" x14ac:dyDescent="0.25">
      <c r="A1914" s="7" t="s">
        <v>3084</v>
      </c>
      <c r="B1914" s="60">
        <v>524111</v>
      </c>
      <c r="C1914" s="41" t="s">
        <v>19</v>
      </c>
      <c r="D1914" s="60"/>
      <c r="E1914" s="60"/>
      <c r="F1914" s="42"/>
      <c r="G1914" s="42">
        <v>120000000</v>
      </c>
      <c r="H1914" s="165">
        <v>21600000</v>
      </c>
      <c r="I1914" s="150" t="s">
        <v>3552</v>
      </c>
      <c r="J1914" s="149"/>
      <c r="K1914" s="149"/>
      <c r="L1914" s="171">
        <f t="shared" si="51"/>
        <v>98400000</v>
      </c>
    </row>
    <row r="1915" spans="1:12" x14ac:dyDescent="0.25">
      <c r="A1915" s="7" t="s">
        <v>3085</v>
      </c>
      <c r="B1915" s="61"/>
      <c r="C1915" s="44" t="s">
        <v>4514</v>
      </c>
      <c r="D1915" s="61">
        <v>30</v>
      </c>
      <c r="E1915" s="61" t="s">
        <v>10</v>
      </c>
      <c r="F1915" s="45">
        <v>4000000</v>
      </c>
      <c r="G1915" s="45">
        <f>ROUNDDOWN(D1915*F1915,-3)</f>
        <v>120000000</v>
      </c>
      <c r="H1915" s="165">
        <v>21600000</v>
      </c>
      <c r="I1915" s="150" t="s">
        <v>3552</v>
      </c>
      <c r="J1915" s="149"/>
      <c r="K1915" s="149"/>
      <c r="L1915" s="171">
        <f t="shared" si="51"/>
        <v>98400000</v>
      </c>
    </row>
    <row r="1916" spans="1:12" x14ac:dyDescent="0.25">
      <c r="A1916" s="7" t="s">
        <v>3087</v>
      </c>
      <c r="B1916" s="60">
        <v>524113</v>
      </c>
      <c r="C1916" s="41" t="s">
        <v>13</v>
      </c>
      <c r="D1916" s="60"/>
      <c r="E1916" s="60"/>
      <c r="F1916" s="42"/>
      <c r="G1916" s="42">
        <v>9000000</v>
      </c>
      <c r="H1916" s="165">
        <v>720000000</v>
      </c>
      <c r="I1916" s="150" t="s">
        <v>3552</v>
      </c>
      <c r="J1916" s="149"/>
      <c r="K1916" s="149"/>
      <c r="L1916" s="171">
        <f t="shared" si="51"/>
        <v>-711000000</v>
      </c>
    </row>
    <row r="1917" spans="1:12" x14ac:dyDescent="0.25">
      <c r="A1917" s="7" t="s">
        <v>3088</v>
      </c>
      <c r="B1917" s="61"/>
      <c r="C1917" s="44" t="s">
        <v>3613</v>
      </c>
      <c r="D1917" s="61">
        <v>60</v>
      </c>
      <c r="E1917" s="61" t="s">
        <v>25</v>
      </c>
      <c r="F1917" s="45">
        <v>150000</v>
      </c>
      <c r="G1917" s="45">
        <f>ROUNDDOWN(D1917*F1917,-3)</f>
        <v>9000000</v>
      </c>
      <c r="H1917" s="165">
        <v>120000000</v>
      </c>
      <c r="I1917" s="150" t="s">
        <v>3552</v>
      </c>
      <c r="J1917" s="149"/>
      <c r="K1917" s="149"/>
      <c r="L1917" s="171">
        <f t="shared" si="51"/>
        <v>-111000000</v>
      </c>
    </row>
    <row r="1918" spans="1:12" ht="26.4" x14ac:dyDescent="0.25">
      <c r="A1918" s="7" t="s">
        <v>3089</v>
      </c>
      <c r="B1918" s="58">
        <v>302</v>
      </c>
      <c r="C1918" s="35" t="s">
        <v>3091</v>
      </c>
      <c r="D1918" s="58">
        <v>0</v>
      </c>
      <c r="E1918" s="58"/>
      <c r="F1918" s="36"/>
      <c r="G1918" s="36">
        <v>126532000</v>
      </c>
      <c r="H1918" s="165">
        <v>250000000</v>
      </c>
      <c r="I1918" s="150" t="s">
        <v>3552</v>
      </c>
      <c r="J1918" s="149"/>
      <c r="K1918" s="149"/>
      <c r="L1918" s="171">
        <f t="shared" si="51"/>
        <v>-123468000</v>
      </c>
    </row>
    <row r="1919" spans="1:12" x14ac:dyDescent="0.25">
      <c r="A1919" s="7" t="s">
        <v>3092</v>
      </c>
      <c r="B1919" s="59" t="s">
        <v>8</v>
      </c>
      <c r="C1919" s="38" t="s">
        <v>178</v>
      </c>
      <c r="D1919" s="59"/>
      <c r="E1919" s="59"/>
      <c r="F1919" s="39"/>
      <c r="G1919" s="39">
        <v>126532000</v>
      </c>
      <c r="H1919" s="165">
        <v>100000000</v>
      </c>
      <c r="I1919" s="150" t="s">
        <v>3552</v>
      </c>
      <c r="J1919" s="149"/>
      <c r="K1919" s="149"/>
      <c r="L1919" s="171">
        <f t="shared" si="51"/>
        <v>26532000</v>
      </c>
    </row>
    <row r="1920" spans="1:12" x14ac:dyDescent="0.25">
      <c r="A1920" s="7" t="s">
        <v>3093</v>
      </c>
      <c r="B1920" s="60">
        <v>521211</v>
      </c>
      <c r="C1920" s="41" t="s">
        <v>7</v>
      </c>
      <c r="D1920" s="60"/>
      <c r="E1920" s="60"/>
      <c r="F1920" s="42"/>
      <c r="G1920" s="42">
        <v>35500000</v>
      </c>
      <c r="H1920" s="165">
        <v>250000000</v>
      </c>
      <c r="I1920" s="150" t="s">
        <v>3552</v>
      </c>
      <c r="J1920" s="149"/>
      <c r="K1920" s="149"/>
      <c r="L1920" s="171">
        <f t="shared" si="51"/>
        <v>-214500000</v>
      </c>
    </row>
    <row r="1921" spans="1:12" x14ac:dyDescent="0.25">
      <c r="A1921" s="7" t="s">
        <v>3094</v>
      </c>
      <c r="B1921" s="192"/>
      <c r="C1921" s="191" t="s">
        <v>3598</v>
      </c>
      <c r="D1921" s="192">
        <v>4</v>
      </c>
      <c r="E1921" s="192" t="s">
        <v>9</v>
      </c>
      <c r="F1921" s="193">
        <v>1500000</v>
      </c>
      <c r="G1921" s="45">
        <f>ROUNDDOWN(D1921*F1921,-3)</f>
        <v>6000000</v>
      </c>
      <c r="H1921" s="165">
        <v>1800000</v>
      </c>
      <c r="I1921" s="150" t="s">
        <v>3552</v>
      </c>
      <c r="J1921" s="149"/>
      <c r="K1921" s="149"/>
      <c r="L1921" s="171">
        <f t="shared" si="51"/>
        <v>4200000</v>
      </c>
    </row>
    <row r="1922" spans="1:12" x14ac:dyDescent="0.25">
      <c r="A1922" s="7" t="s">
        <v>3095</v>
      </c>
      <c r="B1922" s="61"/>
      <c r="C1922" s="44" t="s">
        <v>4420</v>
      </c>
      <c r="D1922" s="61">
        <v>180</v>
      </c>
      <c r="E1922" s="61" t="s">
        <v>10</v>
      </c>
      <c r="F1922" s="45">
        <v>75000</v>
      </c>
      <c r="G1922" s="45">
        <f>ROUNDDOWN(D1922*F1922,-3)</f>
        <v>13500000</v>
      </c>
      <c r="H1922" s="165">
        <v>750000</v>
      </c>
      <c r="I1922" s="150" t="s">
        <v>3552</v>
      </c>
      <c r="J1922" s="149"/>
      <c r="K1922" s="149"/>
      <c r="L1922" s="171">
        <f t="shared" si="51"/>
        <v>12750000</v>
      </c>
    </row>
    <row r="1923" spans="1:12" x14ac:dyDescent="0.25">
      <c r="A1923" s="7" t="s">
        <v>3096</v>
      </c>
      <c r="B1923" s="61"/>
      <c r="C1923" s="44" t="s">
        <v>3600</v>
      </c>
      <c r="D1923" s="61">
        <v>4</v>
      </c>
      <c r="E1923" s="61" t="s">
        <v>106</v>
      </c>
      <c r="F1923" s="45">
        <v>1000000</v>
      </c>
      <c r="G1923" s="45">
        <f>ROUNDDOWN(D1923*F1923,-3)</f>
        <v>4000000</v>
      </c>
      <c r="H1923" s="165">
        <v>1050000</v>
      </c>
      <c r="I1923" s="150" t="s">
        <v>3552</v>
      </c>
      <c r="J1923" s="149"/>
      <c r="K1923" s="149"/>
      <c r="L1923" s="171">
        <f t="shared" si="51"/>
        <v>2950000</v>
      </c>
    </row>
    <row r="1924" spans="1:12" x14ac:dyDescent="0.25">
      <c r="A1924" s="7" t="s">
        <v>3097</v>
      </c>
      <c r="B1924" s="192"/>
      <c r="C1924" s="191" t="s">
        <v>3601</v>
      </c>
      <c r="D1924" s="192">
        <v>4</v>
      </c>
      <c r="E1924" s="192" t="s">
        <v>106</v>
      </c>
      <c r="F1924" s="193">
        <v>1500000</v>
      </c>
      <c r="G1924" s="45">
        <f>ROUNDDOWN(D1924*F1924,-3)</f>
        <v>6000000</v>
      </c>
      <c r="H1924" s="165">
        <v>28200000</v>
      </c>
      <c r="I1924" s="150" t="s">
        <v>3552</v>
      </c>
      <c r="J1924" s="149"/>
      <c r="K1924" s="149"/>
      <c r="L1924" s="171">
        <f t="shared" si="51"/>
        <v>-22200000</v>
      </c>
    </row>
    <row r="1925" spans="1:12" x14ac:dyDescent="0.25">
      <c r="A1925" s="7" t="s">
        <v>3098</v>
      </c>
      <c r="B1925" s="61"/>
      <c r="C1925" s="44" t="s">
        <v>4515</v>
      </c>
      <c r="D1925" s="61">
        <v>12</v>
      </c>
      <c r="E1925" s="61" t="s">
        <v>176</v>
      </c>
      <c r="F1925" s="45">
        <v>500000</v>
      </c>
      <c r="G1925" s="45">
        <f>ROUNDDOWN(D1925*F1925,-3)</f>
        <v>6000000</v>
      </c>
      <c r="H1925" s="165">
        <v>28200000</v>
      </c>
      <c r="I1925" s="150" t="s">
        <v>3552</v>
      </c>
      <c r="J1925" s="149"/>
      <c r="K1925" s="149"/>
      <c r="L1925" s="171">
        <f t="shared" si="51"/>
        <v>-22200000</v>
      </c>
    </row>
    <row r="1926" spans="1:12" x14ac:dyDescent="0.25">
      <c r="A1926" s="7" t="s">
        <v>3100</v>
      </c>
      <c r="B1926" s="60">
        <v>521219</v>
      </c>
      <c r="C1926" s="41" t="s">
        <v>53</v>
      </c>
      <c r="D1926" s="60"/>
      <c r="E1926" s="60"/>
      <c r="F1926" s="42"/>
      <c r="G1926" s="42">
        <v>2000000</v>
      </c>
      <c r="H1926" s="165">
        <v>307320000</v>
      </c>
      <c r="I1926" s="150" t="s">
        <v>3552</v>
      </c>
      <c r="J1926" s="149" t="s">
        <v>3564</v>
      </c>
      <c r="K1926" s="149" t="s">
        <v>3564</v>
      </c>
      <c r="L1926" s="171">
        <f t="shared" si="51"/>
        <v>-305320000</v>
      </c>
    </row>
    <row r="1927" spans="1:12" ht="26.4" x14ac:dyDescent="0.25">
      <c r="A1927" s="7" t="s">
        <v>3101</v>
      </c>
      <c r="B1927" s="192"/>
      <c r="C1927" s="191" t="s">
        <v>4508</v>
      </c>
      <c r="D1927" s="192">
        <v>1</v>
      </c>
      <c r="E1927" s="192" t="s">
        <v>153</v>
      </c>
      <c r="F1927" s="193">
        <v>2000000</v>
      </c>
      <c r="G1927" s="45">
        <f>ROUNDDOWN(D1927*F1927,-3)</f>
        <v>2000000</v>
      </c>
      <c r="H1927" s="165">
        <v>31400000</v>
      </c>
      <c r="I1927" s="150" t="s">
        <v>3552</v>
      </c>
      <c r="J1927" s="149"/>
      <c r="K1927" s="149"/>
      <c r="L1927" s="171">
        <f t="shared" si="51"/>
        <v>-29400000</v>
      </c>
    </row>
    <row r="1928" spans="1:12" x14ac:dyDescent="0.25">
      <c r="A1928" s="7" t="s">
        <v>3102</v>
      </c>
      <c r="B1928" s="60">
        <v>524111</v>
      </c>
      <c r="C1928" s="41" t="s">
        <v>19</v>
      </c>
      <c r="D1928" s="60"/>
      <c r="E1928" s="60"/>
      <c r="F1928" s="42"/>
      <c r="G1928" s="42">
        <v>89032000</v>
      </c>
      <c r="H1928" s="165">
        <v>21000000</v>
      </c>
      <c r="I1928" s="150" t="s">
        <v>3552</v>
      </c>
      <c r="J1928" s="149"/>
      <c r="K1928" s="149"/>
      <c r="L1928" s="171">
        <f t="shared" si="51"/>
        <v>68032000</v>
      </c>
    </row>
    <row r="1929" spans="1:12" x14ac:dyDescent="0.25">
      <c r="A1929" s="7" t="s">
        <v>3103</v>
      </c>
      <c r="B1929" s="61"/>
      <c r="C1929" s="44" t="s">
        <v>4514</v>
      </c>
      <c r="D1929" s="61">
        <v>22</v>
      </c>
      <c r="E1929" s="61" t="s">
        <v>10</v>
      </c>
      <c r="F1929" s="45">
        <v>4046950</v>
      </c>
      <c r="G1929" s="45">
        <f>ROUNDDOWN(D1929*F1929,-3)</f>
        <v>89032000</v>
      </c>
      <c r="H1929" s="165">
        <v>1000000</v>
      </c>
      <c r="I1929" s="150" t="s">
        <v>3552</v>
      </c>
      <c r="J1929" s="149"/>
      <c r="K1929" s="149"/>
      <c r="L1929" s="171">
        <f t="shared" si="51"/>
        <v>88032000</v>
      </c>
    </row>
    <row r="1930" spans="1:12" x14ac:dyDescent="0.25">
      <c r="A1930" s="7" t="s">
        <v>3104</v>
      </c>
      <c r="B1930" s="138" t="s">
        <v>4516</v>
      </c>
      <c r="C1930" s="137" t="s">
        <v>3106</v>
      </c>
      <c r="D1930" s="138">
        <v>1</v>
      </c>
      <c r="E1930" s="138" t="s">
        <v>4315</v>
      </c>
      <c r="F1930" s="139"/>
      <c r="G1930" s="139">
        <v>3290739000</v>
      </c>
      <c r="H1930" s="165">
        <v>2400000</v>
      </c>
      <c r="I1930" s="150" t="s">
        <v>3552</v>
      </c>
      <c r="J1930" s="149"/>
      <c r="K1930" s="149"/>
      <c r="L1930" s="171">
        <f t="shared" si="51"/>
        <v>3288339000</v>
      </c>
    </row>
    <row r="1931" spans="1:12" ht="26.4" x14ac:dyDescent="0.25">
      <c r="A1931" s="7" t="s">
        <v>3107</v>
      </c>
      <c r="B1931" s="58">
        <v>101</v>
      </c>
      <c r="C1931" s="35" t="s">
        <v>3108</v>
      </c>
      <c r="D1931" s="58">
        <v>0</v>
      </c>
      <c r="E1931" s="58"/>
      <c r="F1931" s="36"/>
      <c r="G1931" s="36">
        <v>2500000000</v>
      </c>
      <c r="H1931" s="165">
        <v>5000000</v>
      </c>
      <c r="I1931" s="150" t="s">
        <v>3552</v>
      </c>
      <c r="J1931" s="149"/>
      <c r="K1931" s="149"/>
      <c r="L1931" s="171">
        <f t="shared" si="51"/>
        <v>2495000000</v>
      </c>
    </row>
    <row r="1932" spans="1:12" x14ac:dyDescent="0.25">
      <c r="A1932" s="7" t="s">
        <v>3109</v>
      </c>
      <c r="B1932" s="59" t="s">
        <v>8</v>
      </c>
      <c r="C1932" s="38" t="s">
        <v>179</v>
      </c>
      <c r="D1932" s="59"/>
      <c r="E1932" s="59"/>
      <c r="F1932" s="39"/>
      <c r="G1932" s="39">
        <v>899600000</v>
      </c>
      <c r="H1932" s="165">
        <v>1000000</v>
      </c>
      <c r="I1932" s="150" t="s">
        <v>3552</v>
      </c>
      <c r="J1932" s="149"/>
      <c r="K1932" s="149"/>
      <c r="L1932" s="171">
        <f t="shared" si="51"/>
        <v>898600000</v>
      </c>
    </row>
    <row r="1933" spans="1:12" x14ac:dyDescent="0.25">
      <c r="A1933" s="7" t="s">
        <v>3110</v>
      </c>
      <c r="B1933" s="60">
        <v>521211</v>
      </c>
      <c r="C1933" s="41" t="s">
        <v>7</v>
      </c>
      <c r="D1933" s="60"/>
      <c r="E1933" s="60"/>
      <c r="F1933" s="42"/>
      <c r="G1933" s="42">
        <v>104000000</v>
      </c>
      <c r="H1933" s="165">
        <v>1000000</v>
      </c>
      <c r="I1933" s="150" t="s">
        <v>3552</v>
      </c>
      <c r="J1933" s="149"/>
      <c r="K1933" s="149"/>
      <c r="L1933" s="171">
        <f t="shared" si="51"/>
        <v>103000000</v>
      </c>
    </row>
    <row r="1934" spans="1:12" x14ac:dyDescent="0.25">
      <c r="A1934" s="7" t="s">
        <v>3111</v>
      </c>
      <c r="B1934" s="192"/>
      <c r="C1934" s="191" t="s">
        <v>4517</v>
      </c>
      <c r="D1934" s="192">
        <v>3</v>
      </c>
      <c r="E1934" s="192" t="s">
        <v>180</v>
      </c>
      <c r="F1934" s="193">
        <v>1000000</v>
      </c>
      <c r="G1934" s="45">
        <f t="shared" ref="G1934:G1939" si="53">ROUNDDOWN(D1934*F1934,-3)</f>
        <v>3000000</v>
      </c>
      <c r="H1934" s="165">
        <v>24000000</v>
      </c>
      <c r="I1934" s="150" t="s">
        <v>3552</v>
      </c>
      <c r="J1934" s="149"/>
      <c r="K1934" s="149"/>
      <c r="L1934" s="171">
        <f t="shared" ref="L1934:L1997" si="54">G1934-H1934</f>
        <v>-21000000</v>
      </c>
    </row>
    <row r="1935" spans="1:12" x14ac:dyDescent="0.25">
      <c r="A1935" s="7" t="s">
        <v>3113</v>
      </c>
      <c r="B1935" s="61"/>
      <c r="C1935" s="44" t="s">
        <v>4518</v>
      </c>
      <c r="D1935" s="61">
        <v>8</v>
      </c>
      <c r="E1935" s="61" t="s">
        <v>180</v>
      </c>
      <c r="F1935" s="45">
        <v>1000000</v>
      </c>
      <c r="G1935" s="45">
        <f t="shared" si="53"/>
        <v>8000000</v>
      </c>
      <c r="H1935" s="165">
        <v>12000000</v>
      </c>
      <c r="I1935" s="150" t="s">
        <v>3552</v>
      </c>
      <c r="J1935" s="149"/>
      <c r="K1935" s="149"/>
      <c r="L1935" s="171">
        <f t="shared" si="54"/>
        <v>-4000000</v>
      </c>
    </row>
    <row r="1936" spans="1:12" x14ac:dyDescent="0.25">
      <c r="A1936" s="7" t="s">
        <v>3115</v>
      </c>
      <c r="B1936" s="61"/>
      <c r="C1936" s="44" t="s">
        <v>4519</v>
      </c>
      <c r="D1936" s="61">
        <v>300</v>
      </c>
      <c r="E1936" s="61" t="s">
        <v>106</v>
      </c>
      <c r="F1936" s="45">
        <v>250000</v>
      </c>
      <c r="G1936" s="45">
        <f t="shared" si="53"/>
        <v>75000000</v>
      </c>
      <c r="H1936" s="165">
        <v>12000000</v>
      </c>
      <c r="I1936" s="150" t="s">
        <v>3552</v>
      </c>
      <c r="J1936" s="149"/>
      <c r="K1936" s="149"/>
      <c r="L1936" s="171">
        <f t="shared" si="54"/>
        <v>63000000</v>
      </c>
    </row>
    <row r="1937" spans="1:12" ht="26.4" x14ac:dyDescent="0.25">
      <c r="A1937" s="7" t="s">
        <v>3117</v>
      </c>
      <c r="B1937" s="192"/>
      <c r="C1937" s="191" t="s">
        <v>4520</v>
      </c>
      <c r="D1937" s="192">
        <v>12</v>
      </c>
      <c r="E1937" s="192" t="s">
        <v>180</v>
      </c>
      <c r="F1937" s="193">
        <v>1000000</v>
      </c>
      <c r="G1937" s="45">
        <f t="shared" si="53"/>
        <v>12000000</v>
      </c>
      <c r="H1937" s="165">
        <v>3600000</v>
      </c>
      <c r="I1937" s="150" t="s">
        <v>3552</v>
      </c>
      <c r="J1937" s="149"/>
      <c r="K1937" s="149"/>
      <c r="L1937" s="171">
        <f t="shared" si="54"/>
        <v>8400000</v>
      </c>
    </row>
    <row r="1938" spans="1:12" x14ac:dyDescent="0.25">
      <c r="A1938" s="7" t="s">
        <v>3119</v>
      </c>
      <c r="B1938" s="61"/>
      <c r="C1938" s="44" t="s">
        <v>4521</v>
      </c>
      <c r="D1938" s="61">
        <v>3</v>
      </c>
      <c r="E1938" s="61" t="s">
        <v>106</v>
      </c>
      <c r="F1938" s="45">
        <v>1000000</v>
      </c>
      <c r="G1938" s="45">
        <f t="shared" si="53"/>
        <v>3000000</v>
      </c>
      <c r="H1938" s="165">
        <v>3600000</v>
      </c>
      <c r="I1938" s="150" t="s">
        <v>3552</v>
      </c>
      <c r="J1938" s="149"/>
      <c r="K1938" s="149"/>
      <c r="L1938" s="171">
        <f t="shared" si="54"/>
        <v>-600000</v>
      </c>
    </row>
    <row r="1939" spans="1:12" x14ac:dyDescent="0.25">
      <c r="A1939" s="7" t="s">
        <v>3120</v>
      </c>
      <c r="B1939" s="192"/>
      <c r="C1939" s="191" t="s">
        <v>4522</v>
      </c>
      <c r="D1939" s="192">
        <v>3</v>
      </c>
      <c r="E1939" s="192" t="s">
        <v>106</v>
      </c>
      <c r="F1939" s="193">
        <v>1000000</v>
      </c>
      <c r="G1939" s="45">
        <f t="shared" si="53"/>
        <v>3000000</v>
      </c>
      <c r="H1939" s="165">
        <v>241800000</v>
      </c>
      <c r="I1939" s="150" t="s">
        <v>3552</v>
      </c>
      <c r="J1939" s="149"/>
      <c r="K1939" s="149"/>
      <c r="L1939" s="171">
        <f t="shared" si="54"/>
        <v>-238800000</v>
      </c>
    </row>
    <row r="1940" spans="1:12" x14ac:dyDescent="0.25">
      <c r="A1940" s="7" t="s">
        <v>3121</v>
      </c>
      <c r="B1940" s="60">
        <v>521811</v>
      </c>
      <c r="C1940" s="41" t="s">
        <v>64</v>
      </c>
      <c r="D1940" s="60"/>
      <c r="E1940" s="60"/>
      <c r="F1940" s="42"/>
      <c r="G1940" s="42">
        <v>24000000</v>
      </c>
      <c r="H1940" s="165">
        <v>109800000</v>
      </c>
      <c r="I1940" s="150" t="s">
        <v>3552</v>
      </c>
      <c r="J1940" s="149"/>
      <c r="K1940" s="149"/>
      <c r="L1940" s="171">
        <f t="shared" si="54"/>
        <v>-85800000</v>
      </c>
    </row>
    <row r="1941" spans="1:12" x14ac:dyDescent="0.25">
      <c r="A1941" s="7" t="s">
        <v>3122</v>
      </c>
      <c r="B1941" s="61"/>
      <c r="C1941" s="44" t="s">
        <v>3625</v>
      </c>
      <c r="D1941" s="61">
        <v>12</v>
      </c>
      <c r="E1941" s="61" t="s">
        <v>106</v>
      </c>
      <c r="F1941" s="45">
        <v>1000000</v>
      </c>
      <c r="G1941" s="45">
        <f>ROUNDDOWN(D1941*F1941,-3)</f>
        <v>12000000</v>
      </c>
      <c r="H1941" s="165">
        <v>132000000</v>
      </c>
      <c r="I1941" s="150" t="s">
        <v>3552</v>
      </c>
      <c r="J1941" s="149"/>
      <c r="K1941" s="149"/>
      <c r="L1941" s="171">
        <f t="shared" si="54"/>
        <v>-120000000</v>
      </c>
    </row>
    <row r="1942" spans="1:12" x14ac:dyDescent="0.25">
      <c r="A1942" s="7" t="s">
        <v>3123</v>
      </c>
      <c r="B1942" s="192"/>
      <c r="C1942" s="191" t="s">
        <v>3626</v>
      </c>
      <c r="D1942" s="192">
        <v>12</v>
      </c>
      <c r="E1942" s="192" t="s">
        <v>106</v>
      </c>
      <c r="F1942" s="193">
        <v>1000000</v>
      </c>
      <c r="G1942" s="45">
        <f>ROUNDDOWN(D1942*F1942,-3)</f>
        <v>12000000</v>
      </c>
      <c r="H1942" s="165">
        <v>720000</v>
      </c>
      <c r="I1942" s="150" t="s">
        <v>3552</v>
      </c>
      <c r="J1942" s="149"/>
      <c r="K1942" s="149"/>
      <c r="L1942" s="171">
        <f t="shared" si="54"/>
        <v>11280000</v>
      </c>
    </row>
    <row r="1943" spans="1:12" x14ac:dyDescent="0.25">
      <c r="A1943" s="7" t="s">
        <v>3124</v>
      </c>
      <c r="B1943" s="60">
        <v>522151</v>
      </c>
      <c r="C1943" s="41" t="s">
        <v>11</v>
      </c>
      <c r="D1943" s="60"/>
      <c r="E1943" s="60"/>
      <c r="F1943" s="42"/>
      <c r="G1943" s="42">
        <v>21600000</v>
      </c>
      <c r="H1943" s="165">
        <v>300000</v>
      </c>
      <c r="I1943" s="150" t="s">
        <v>3552</v>
      </c>
      <c r="J1943" s="149"/>
      <c r="K1943" s="149"/>
      <c r="L1943" s="171">
        <f t="shared" si="54"/>
        <v>21300000</v>
      </c>
    </row>
    <row r="1944" spans="1:12" ht="26.4" x14ac:dyDescent="0.25">
      <c r="A1944" s="7" t="s">
        <v>3125</v>
      </c>
      <c r="B1944" s="61"/>
      <c r="C1944" s="44" t="s">
        <v>4523</v>
      </c>
      <c r="D1944" s="61">
        <v>24</v>
      </c>
      <c r="E1944" s="61" t="s">
        <v>54</v>
      </c>
      <c r="F1944" s="45">
        <v>900000</v>
      </c>
      <c r="G1944" s="45">
        <f>ROUNDDOWN(D1944*F1944,-3)</f>
        <v>21600000</v>
      </c>
      <c r="H1944" s="165">
        <v>420000</v>
      </c>
      <c r="I1944" s="150" t="s">
        <v>3552</v>
      </c>
      <c r="J1944" s="149"/>
      <c r="K1944" s="149"/>
      <c r="L1944" s="171">
        <f t="shared" si="54"/>
        <v>21180000</v>
      </c>
    </row>
    <row r="1945" spans="1:12" x14ac:dyDescent="0.25">
      <c r="A1945" s="7" t="s">
        <v>3127</v>
      </c>
      <c r="B1945" s="60">
        <v>524111</v>
      </c>
      <c r="C1945" s="41" t="s">
        <v>19</v>
      </c>
      <c r="D1945" s="60"/>
      <c r="E1945" s="60"/>
      <c r="F1945" s="42"/>
      <c r="G1945" s="42">
        <v>720000000</v>
      </c>
      <c r="H1945" s="165">
        <v>5800000</v>
      </c>
      <c r="I1945" s="150" t="s">
        <v>3552</v>
      </c>
      <c r="J1945" s="149"/>
      <c r="K1945" s="149"/>
      <c r="L1945" s="171">
        <f t="shared" si="54"/>
        <v>714200000</v>
      </c>
    </row>
    <row r="1946" spans="1:12" ht="26.4" x14ac:dyDescent="0.25">
      <c r="A1946" s="7" t="s">
        <v>3128</v>
      </c>
      <c r="B1946" s="61"/>
      <c r="C1946" s="44" t="s">
        <v>4524</v>
      </c>
      <c r="D1946" s="61">
        <v>24</v>
      </c>
      <c r="E1946" s="61" t="s">
        <v>25</v>
      </c>
      <c r="F1946" s="45">
        <v>5000000</v>
      </c>
      <c r="G1946" s="45">
        <f>ROUNDDOWN(D1946*F1946,-3)</f>
        <v>120000000</v>
      </c>
      <c r="H1946" s="165">
        <v>5800000</v>
      </c>
      <c r="I1946" s="150" t="s">
        <v>3552</v>
      </c>
      <c r="J1946" s="149"/>
      <c r="K1946" s="149"/>
      <c r="L1946" s="171">
        <f t="shared" si="54"/>
        <v>114200000</v>
      </c>
    </row>
    <row r="1947" spans="1:12" ht="26.4" x14ac:dyDescent="0.25">
      <c r="A1947" s="7" t="s">
        <v>3130</v>
      </c>
      <c r="B1947" s="192"/>
      <c r="C1947" s="191" t="s">
        <v>4525</v>
      </c>
      <c r="D1947" s="192">
        <v>50</v>
      </c>
      <c r="E1947" s="192" t="s">
        <v>25</v>
      </c>
      <c r="F1947" s="193">
        <v>5000000</v>
      </c>
      <c r="G1947" s="45">
        <f>ROUNDDOWN(D1947*F1947,-3)</f>
        <v>250000000</v>
      </c>
      <c r="H1947" s="165">
        <v>80600000</v>
      </c>
      <c r="I1947" s="150" t="s">
        <v>3552</v>
      </c>
      <c r="J1947" s="149" t="s">
        <v>3564</v>
      </c>
      <c r="K1947" s="149" t="s">
        <v>3564</v>
      </c>
      <c r="L1947" s="171">
        <f t="shared" si="54"/>
        <v>169400000</v>
      </c>
    </row>
    <row r="1948" spans="1:12" ht="26.4" x14ac:dyDescent="0.25">
      <c r="A1948" s="7" t="s">
        <v>3132</v>
      </c>
      <c r="B1948" s="192"/>
      <c r="C1948" s="191" t="s">
        <v>4526</v>
      </c>
      <c r="D1948" s="192">
        <v>20</v>
      </c>
      <c r="E1948" s="192" t="s">
        <v>25</v>
      </c>
      <c r="F1948" s="193">
        <v>5000000</v>
      </c>
      <c r="G1948" s="45">
        <f>ROUNDDOWN(D1948*F1948,-3)</f>
        <v>100000000</v>
      </c>
      <c r="H1948" s="165">
        <v>24000000</v>
      </c>
      <c r="I1948" s="150" t="s">
        <v>3552</v>
      </c>
      <c r="J1948" s="149"/>
      <c r="K1948" s="149"/>
      <c r="L1948" s="171">
        <f t="shared" si="54"/>
        <v>76000000</v>
      </c>
    </row>
    <row r="1949" spans="1:12" ht="26.4" x14ac:dyDescent="0.25">
      <c r="A1949" s="7" t="s">
        <v>3134</v>
      </c>
      <c r="B1949" s="61"/>
      <c r="C1949" s="44" t="s">
        <v>4527</v>
      </c>
      <c r="D1949" s="61">
        <v>50</v>
      </c>
      <c r="E1949" s="61" t="s">
        <v>25</v>
      </c>
      <c r="F1949" s="45">
        <v>5000000</v>
      </c>
      <c r="G1949" s="45">
        <f>ROUNDDOWN(D1949*F1949,-3)</f>
        <v>250000000</v>
      </c>
      <c r="H1949" s="165">
        <v>1000000</v>
      </c>
      <c r="I1949" s="150" t="s">
        <v>3552</v>
      </c>
      <c r="J1949" s="149"/>
      <c r="K1949" s="149"/>
      <c r="L1949" s="171">
        <f t="shared" si="54"/>
        <v>249000000</v>
      </c>
    </row>
    <row r="1950" spans="1:12" x14ac:dyDescent="0.25">
      <c r="A1950" s="7" t="s">
        <v>3136</v>
      </c>
      <c r="B1950" s="60">
        <v>524113</v>
      </c>
      <c r="C1950" s="41" t="s">
        <v>13</v>
      </c>
      <c r="D1950" s="60"/>
      <c r="E1950" s="60"/>
      <c r="F1950" s="42"/>
      <c r="G1950" s="42">
        <v>1800000</v>
      </c>
      <c r="H1950" s="165">
        <v>1000000</v>
      </c>
      <c r="I1950" s="150" t="s">
        <v>3552</v>
      </c>
      <c r="J1950" s="149"/>
      <c r="K1950" s="149"/>
      <c r="L1950" s="171">
        <f t="shared" si="54"/>
        <v>800000</v>
      </c>
    </row>
    <row r="1951" spans="1:12" ht="26.4" x14ac:dyDescent="0.25">
      <c r="A1951" s="7" t="s">
        <v>3137</v>
      </c>
      <c r="B1951" s="61"/>
      <c r="C1951" s="44" t="s">
        <v>4528</v>
      </c>
      <c r="D1951" s="61">
        <v>5</v>
      </c>
      <c r="E1951" s="61" t="s">
        <v>25</v>
      </c>
      <c r="F1951" s="45">
        <v>150000</v>
      </c>
      <c r="G1951" s="45">
        <f>ROUNDDOWN(D1951*F1951,-3)</f>
        <v>750000</v>
      </c>
      <c r="H1951" s="165">
        <v>1000000</v>
      </c>
      <c r="I1951" s="150" t="s">
        <v>3552</v>
      </c>
      <c r="J1951" s="149"/>
      <c r="K1951" s="149"/>
      <c r="L1951" s="171">
        <f t="shared" si="54"/>
        <v>-250000</v>
      </c>
    </row>
    <row r="1952" spans="1:12" x14ac:dyDescent="0.25">
      <c r="A1952" s="7" t="s">
        <v>3139</v>
      </c>
      <c r="B1952" s="61"/>
      <c r="C1952" s="44" t="s">
        <v>4529</v>
      </c>
      <c r="D1952" s="61">
        <v>5</v>
      </c>
      <c r="E1952" s="61" t="s">
        <v>25</v>
      </c>
      <c r="F1952" s="45">
        <v>210000</v>
      </c>
      <c r="G1952" s="45">
        <f>ROUNDDOWN(D1952*F1952,-3)</f>
        <v>1050000</v>
      </c>
      <c r="H1952" s="165">
        <v>21000000</v>
      </c>
      <c r="I1952" s="150" t="s">
        <v>3552</v>
      </c>
      <c r="J1952" s="149"/>
      <c r="K1952" s="149"/>
      <c r="L1952" s="171">
        <f t="shared" si="54"/>
        <v>-19950000</v>
      </c>
    </row>
    <row r="1953" spans="1:12" x14ac:dyDescent="0.25">
      <c r="A1953" s="7" t="s">
        <v>3141</v>
      </c>
      <c r="B1953" s="60">
        <v>524119</v>
      </c>
      <c r="C1953" s="41" t="s">
        <v>15</v>
      </c>
      <c r="D1953" s="60"/>
      <c r="E1953" s="60"/>
      <c r="F1953" s="42"/>
      <c r="G1953" s="42">
        <v>28200000</v>
      </c>
      <c r="H1953" s="165">
        <v>56600000</v>
      </c>
      <c r="I1953" s="150" t="s">
        <v>3552</v>
      </c>
      <c r="J1953" s="149"/>
      <c r="K1953" s="149"/>
      <c r="L1953" s="171">
        <f t="shared" si="54"/>
        <v>-28400000</v>
      </c>
    </row>
    <row r="1954" spans="1:12" x14ac:dyDescent="0.25">
      <c r="A1954" s="7" t="s">
        <v>3142</v>
      </c>
      <c r="B1954" s="61"/>
      <c r="C1954" s="44" t="s">
        <v>4530</v>
      </c>
      <c r="D1954" s="61">
        <v>12</v>
      </c>
      <c r="E1954" s="61" t="s">
        <v>25</v>
      </c>
      <c r="F1954" s="45">
        <v>2350000</v>
      </c>
      <c r="G1954" s="45">
        <f>ROUNDDOWN(D1954*F1954,-3)</f>
        <v>28200000</v>
      </c>
      <c r="H1954" s="165">
        <v>56600000</v>
      </c>
      <c r="I1954" s="150" t="s">
        <v>3552</v>
      </c>
      <c r="J1954" s="149"/>
      <c r="K1954" s="149"/>
      <c r="L1954" s="171">
        <f t="shared" si="54"/>
        <v>-28400000</v>
      </c>
    </row>
    <row r="1955" spans="1:12" x14ac:dyDescent="0.25">
      <c r="A1955" s="7" t="s">
        <v>3144</v>
      </c>
      <c r="B1955" s="59" t="s">
        <v>511</v>
      </c>
      <c r="C1955" s="38" t="s">
        <v>3145</v>
      </c>
      <c r="D1955" s="59"/>
      <c r="E1955" s="59"/>
      <c r="F1955" s="39"/>
      <c r="G1955" s="39">
        <v>307320000</v>
      </c>
      <c r="H1955" s="165">
        <v>304320000</v>
      </c>
      <c r="I1955" s="150" t="s">
        <v>3552</v>
      </c>
      <c r="J1955" s="149" t="s">
        <v>3564</v>
      </c>
      <c r="K1955" s="149" t="s">
        <v>3564</v>
      </c>
      <c r="L1955" s="171">
        <f t="shared" si="54"/>
        <v>3000000</v>
      </c>
    </row>
    <row r="1956" spans="1:12" x14ac:dyDescent="0.25">
      <c r="A1956" s="7" t="s">
        <v>3146</v>
      </c>
      <c r="B1956" s="60">
        <v>521211</v>
      </c>
      <c r="C1956" s="41" t="s">
        <v>7</v>
      </c>
      <c r="D1956" s="60"/>
      <c r="E1956" s="60"/>
      <c r="F1956" s="42"/>
      <c r="G1956" s="42">
        <v>31400000</v>
      </c>
      <c r="H1956" s="165">
        <v>2600000</v>
      </c>
      <c r="I1956" s="150" t="s">
        <v>3552</v>
      </c>
      <c r="J1956" s="149"/>
      <c r="K1956" s="149"/>
      <c r="L1956" s="171">
        <f t="shared" si="54"/>
        <v>28800000</v>
      </c>
    </row>
    <row r="1957" spans="1:12" ht="26.4" x14ac:dyDescent="0.25">
      <c r="A1957" s="7" t="s">
        <v>3147</v>
      </c>
      <c r="B1957" s="61"/>
      <c r="C1957" s="44" t="s">
        <v>4531</v>
      </c>
      <c r="D1957" s="61">
        <v>60</v>
      </c>
      <c r="E1957" s="61" t="s">
        <v>180</v>
      </c>
      <c r="F1957" s="45">
        <v>350000</v>
      </c>
      <c r="G1957" s="45">
        <f t="shared" ref="G1957:G1962" si="55">ROUNDDOWN(D1957*F1957,-3)</f>
        <v>21000000</v>
      </c>
      <c r="H1957" s="165">
        <v>1800000</v>
      </c>
      <c r="I1957" s="150" t="s">
        <v>3552</v>
      </c>
      <c r="J1957" s="149"/>
      <c r="K1957" s="149"/>
      <c r="L1957" s="171">
        <f t="shared" si="54"/>
        <v>19200000</v>
      </c>
    </row>
    <row r="1958" spans="1:12" x14ac:dyDescent="0.25">
      <c r="A1958" s="7" t="s">
        <v>3149</v>
      </c>
      <c r="B1958" s="61"/>
      <c r="C1958" s="44" t="s">
        <v>4532</v>
      </c>
      <c r="D1958" s="61">
        <v>1</v>
      </c>
      <c r="E1958" s="61" t="s">
        <v>180</v>
      </c>
      <c r="F1958" s="45">
        <v>1000000</v>
      </c>
      <c r="G1958" s="45">
        <f t="shared" si="55"/>
        <v>1000000</v>
      </c>
      <c r="H1958" s="165">
        <v>800000</v>
      </c>
      <c r="I1958" s="150" t="s">
        <v>3552</v>
      </c>
      <c r="J1958" s="149"/>
      <c r="K1958" s="149"/>
      <c r="L1958" s="171">
        <f t="shared" si="54"/>
        <v>200000</v>
      </c>
    </row>
    <row r="1959" spans="1:12" x14ac:dyDescent="0.25">
      <c r="A1959" s="7" t="s">
        <v>3151</v>
      </c>
      <c r="B1959" s="192"/>
      <c r="C1959" s="191" t="s">
        <v>4533</v>
      </c>
      <c r="D1959" s="192">
        <v>12</v>
      </c>
      <c r="E1959" s="192" t="s">
        <v>180</v>
      </c>
      <c r="F1959" s="193">
        <v>200000</v>
      </c>
      <c r="G1959" s="45">
        <f t="shared" si="55"/>
        <v>2400000</v>
      </c>
      <c r="H1959" s="165">
        <v>33600000</v>
      </c>
      <c r="I1959" s="150" t="s">
        <v>3552</v>
      </c>
      <c r="J1959" s="149"/>
      <c r="K1959" s="149"/>
      <c r="L1959" s="171">
        <f t="shared" si="54"/>
        <v>-31200000</v>
      </c>
    </row>
    <row r="1960" spans="1:12" x14ac:dyDescent="0.25">
      <c r="A1960" s="7" t="s">
        <v>3153</v>
      </c>
      <c r="B1960" s="61"/>
      <c r="C1960" s="44" t="s">
        <v>4534</v>
      </c>
      <c r="D1960" s="61">
        <v>5</v>
      </c>
      <c r="E1960" s="61" t="s">
        <v>180</v>
      </c>
      <c r="F1960" s="45">
        <v>1000000</v>
      </c>
      <c r="G1960" s="45">
        <f t="shared" si="55"/>
        <v>5000000</v>
      </c>
      <c r="H1960" s="165">
        <v>33600000</v>
      </c>
      <c r="I1960" s="150" t="s">
        <v>3552</v>
      </c>
      <c r="J1960" s="149"/>
      <c r="K1960" s="149"/>
      <c r="L1960" s="171">
        <f t="shared" si="54"/>
        <v>-28600000</v>
      </c>
    </row>
    <row r="1961" spans="1:12" x14ac:dyDescent="0.25">
      <c r="A1961" s="7" t="s">
        <v>3155</v>
      </c>
      <c r="B1961" s="192"/>
      <c r="C1961" s="191" t="s">
        <v>4521</v>
      </c>
      <c r="D1961" s="192">
        <v>1</v>
      </c>
      <c r="E1961" s="192" t="s">
        <v>106</v>
      </c>
      <c r="F1961" s="193">
        <v>1000000</v>
      </c>
      <c r="G1961" s="45">
        <f t="shared" si="55"/>
        <v>1000000</v>
      </c>
      <c r="H1961" s="165">
        <v>24000000</v>
      </c>
      <c r="I1961" s="150" t="s">
        <v>3552</v>
      </c>
      <c r="J1961" s="149"/>
      <c r="K1961" s="149"/>
      <c r="L1961" s="171">
        <f t="shared" si="54"/>
        <v>-23000000</v>
      </c>
    </row>
    <row r="1962" spans="1:12" x14ac:dyDescent="0.25">
      <c r="A1962" s="7" t="s">
        <v>3156</v>
      </c>
      <c r="B1962" s="61"/>
      <c r="C1962" s="44" t="s">
        <v>4522</v>
      </c>
      <c r="D1962" s="61">
        <v>1</v>
      </c>
      <c r="E1962" s="61" t="s">
        <v>106</v>
      </c>
      <c r="F1962" s="45">
        <v>1000000</v>
      </c>
      <c r="G1962" s="45">
        <f t="shared" si="55"/>
        <v>1000000</v>
      </c>
      <c r="H1962" s="165">
        <v>12000000</v>
      </c>
      <c r="I1962" s="150" t="s">
        <v>3552</v>
      </c>
      <c r="J1962" s="149"/>
      <c r="K1962" s="149"/>
      <c r="L1962" s="171">
        <f t="shared" si="54"/>
        <v>-11000000</v>
      </c>
    </row>
    <row r="1963" spans="1:12" x14ac:dyDescent="0.25">
      <c r="A1963" s="7" t="s">
        <v>3157</v>
      </c>
      <c r="B1963" s="60">
        <v>521811</v>
      </c>
      <c r="C1963" s="41" t="s">
        <v>64</v>
      </c>
      <c r="D1963" s="60"/>
      <c r="E1963" s="60"/>
      <c r="F1963" s="42"/>
      <c r="G1963" s="42">
        <v>24000000</v>
      </c>
      <c r="H1963" s="165">
        <v>12000000</v>
      </c>
      <c r="I1963" s="150" t="s">
        <v>3552</v>
      </c>
      <c r="J1963" s="149"/>
      <c r="K1963" s="149"/>
      <c r="L1963" s="171">
        <f t="shared" si="54"/>
        <v>12000000</v>
      </c>
    </row>
    <row r="1964" spans="1:12" x14ac:dyDescent="0.25">
      <c r="A1964" s="7" t="s">
        <v>3158</v>
      </c>
      <c r="B1964" s="192"/>
      <c r="C1964" s="191" t="s">
        <v>3625</v>
      </c>
      <c r="D1964" s="192">
        <v>12</v>
      </c>
      <c r="E1964" s="192" t="s">
        <v>106</v>
      </c>
      <c r="F1964" s="193">
        <v>1000000</v>
      </c>
      <c r="G1964" s="45">
        <f>ROUNDDOWN(D1964*F1964,-3)</f>
        <v>12000000</v>
      </c>
      <c r="H1964" s="165">
        <v>18000000</v>
      </c>
      <c r="I1964" s="150" t="s">
        <v>3552</v>
      </c>
      <c r="J1964" s="149"/>
      <c r="K1964" s="149"/>
      <c r="L1964" s="171">
        <f t="shared" si="54"/>
        <v>-6000000</v>
      </c>
    </row>
    <row r="1965" spans="1:12" x14ac:dyDescent="0.25">
      <c r="A1965" s="7" t="s">
        <v>3159</v>
      </c>
      <c r="B1965" s="61"/>
      <c r="C1965" s="44" t="s">
        <v>3626</v>
      </c>
      <c r="D1965" s="61">
        <v>12</v>
      </c>
      <c r="E1965" s="61" t="s">
        <v>106</v>
      </c>
      <c r="F1965" s="45">
        <v>1000000</v>
      </c>
      <c r="G1965" s="45">
        <f>ROUNDDOWN(D1965*F1965,-3)</f>
        <v>12000000</v>
      </c>
      <c r="H1965" s="165">
        <v>18000000</v>
      </c>
      <c r="I1965" s="150" t="s">
        <v>3552</v>
      </c>
      <c r="J1965" s="149"/>
      <c r="K1965" s="149"/>
      <c r="L1965" s="171">
        <f t="shared" si="54"/>
        <v>-6000000</v>
      </c>
    </row>
    <row r="1966" spans="1:12" x14ac:dyDescent="0.25">
      <c r="A1966" s="7" t="s">
        <v>3160</v>
      </c>
      <c r="B1966" s="60">
        <v>522151</v>
      </c>
      <c r="C1966" s="41" t="s">
        <v>11</v>
      </c>
      <c r="D1966" s="60"/>
      <c r="E1966" s="60"/>
      <c r="F1966" s="42"/>
      <c r="G1966" s="42">
        <v>3600000</v>
      </c>
      <c r="H1966" s="165">
        <v>9000000</v>
      </c>
      <c r="I1966" s="150" t="s">
        <v>3552</v>
      </c>
      <c r="J1966" s="149"/>
      <c r="K1966" s="149"/>
      <c r="L1966" s="171">
        <f t="shared" si="54"/>
        <v>-5400000</v>
      </c>
    </row>
    <row r="1967" spans="1:12" ht="26.4" x14ac:dyDescent="0.25">
      <c r="A1967" s="7" t="s">
        <v>3161</v>
      </c>
      <c r="B1967" s="61"/>
      <c r="C1967" s="44" t="s">
        <v>4535</v>
      </c>
      <c r="D1967" s="61">
        <v>4</v>
      </c>
      <c r="E1967" s="61" t="s">
        <v>54</v>
      </c>
      <c r="F1967" s="45">
        <v>900000</v>
      </c>
      <c r="G1967" s="45">
        <f>ROUNDDOWN(D1967*F1967,-3)</f>
        <v>3600000</v>
      </c>
      <c r="H1967" s="165">
        <v>9000000</v>
      </c>
      <c r="I1967" s="150" t="s">
        <v>3552</v>
      </c>
      <c r="J1967" s="149"/>
      <c r="K1967" s="149"/>
      <c r="L1967" s="171">
        <f t="shared" si="54"/>
        <v>-5400000</v>
      </c>
    </row>
    <row r="1968" spans="1:12" x14ac:dyDescent="0.25">
      <c r="A1968" s="7" t="s">
        <v>3163</v>
      </c>
      <c r="B1968" s="60">
        <v>524111</v>
      </c>
      <c r="C1968" s="41" t="s">
        <v>19</v>
      </c>
      <c r="D1968" s="60"/>
      <c r="E1968" s="60"/>
      <c r="F1968" s="42"/>
      <c r="G1968" s="42">
        <v>241800000</v>
      </c>
      <c r="H1968" s="165">
        <v>216400000</v>
      </c>
      <c r="I1968" s="150" t="s">
        <v>3552</v>
      </c>
      <c r="J1968" s="149"/>
      <c r="K1968" s="149"/>
      <c r="L1968" s="171">
        <f t="shared" si="54"/>
        <v>25400000</v>
      </c>
    </row>
    <row r="1969" spans="1:12" ht="26.4" x14ac:dyDescent="0.25">
      <c r="A1969" s="7" t="s">
        <v>3164</v>
      </c>
      <c r="B1969" s="61"/>
      <c r="C1969" s="44" t="s">
        <v>4536</v>
      </c>
      <c r="D1969" s="61">
        <v>60</v>
      </c>
      <c r="E1969" s="61" t="s">
        <v>25</v>
      </c>
      <c r="F1969" s="45">
        <v>1830000</v>
      </c>
      <c r="G1969" s="45">
        <f>ROUNDDOWN(D1969*F1969,-3)</f>
        <v>109800000</v>
      </c>
      <c r="H1969" s="165">
        <v>66400000</v>
      </c>
      <c r="I1969" s="150" t="s">
        <v>3552</v>
      </c>
      <c r="J1969" s="149"/>
      <c r="K1969" s="149"/>
      <c r="L1969" s="171">
        <f t="shared" si="54"/>
        <v>43400000</v>
      </c>
    </row>
    <row r="1970" spans="1:12" ht="26.4" x14ac:dyDescent="0.25">
      <c r="A1970" s="7" t="s">
        <v>3166</v>
      </c>
      <c r="B1970" s="61"/>
      <c r="C1970" s="44" t="s">
        <v>4537</v>
      </c>
      <c r="D1970" s="61">
        <v>24</v>
      </c>
      <c r="E1970" s="61" t="s">
        <v>25</v>
      </c>
      <c r="F1970" s="45">
        <v>5500000</v>
      </c>
      <c r="G1970" s="45">
        <f>ROUNDDOWN(D1970*F1970,-3)</f>
        <v>132000000</v>
      </c>
      <c r="H1970" s="165">
        <v>150000000</v>
      </c>
      <c r="I1970" s="150" t="s">
        <v>3552</v>
      </c>
      <c r="J1970" s="149"/>
      <c r="K1970" s="149"/>
      <c r="L1970" s="171">
        <f t="shared" si="54"/>
        <v>-18000000</v>
      </c>
    </row>
    <row r="1971" spans="1:12" x14ac:dyDescent="0.25">
      <c r="A1971" s="7" t="s">
        <v>3168</v>
      </c>
      <c r="B1971" s="60">
        <v>524113</v>
      </c>
      <c r="C1971" s="41" t="s">
        <v>13</v>
      </c>
      <c r="D1971" s="60"/>
      <c r="E1971" s="60"/>
      <c r="F1971" s="42"/>
      <c r="G1971" s="42">
        <v>720000</v>
      </c>
      <c r="H1971" s="165">
        <v>720000</v>
      </c>
      <c r="I1971" s="150" t="s">
        <v>3552</v>
      </c>
      <c r="J1971" s="149"/>
      <c r="K1971" s="149"/>
      <c r="L1971" s="171">
        <f t="shared" si="54"/>
        <v>0</v>
      </c>
    </row>
    <row r="1972" spans="1:12" ht="26.4" x14ac:dyDescent="0.25">
      <c r="A1972" s="7" t="s">
        <v>3169</v>
      </c>
      <c r="B1972" s="61"/>
      <c r="C1972" s="44" t="s">
        <v>4538</v>
      </c>
      <c r="D1972" s="61">
        <v>2</v>
      </c>
      <c r="E1972" s="61" t="s">
        <v>25</v>
      </c>
      <c r="F1972" s="45">
        <v>150000</v>
      </c>
      <c r="G1972" s="45">
        <f>ROUNDDOWN(D1972*F1972,-3)</f>
        <v>300000</v>
      </c>
      <c r="H1972" s="165">
        <v>300000</v>
      </c>
      <c r="I1972" s="150" t="s">
        <v>3552</v>
      </c>
      <c r="J1972" s="149"/>
      <c r="K1972" s="149"/>
      <c r="L1972" s="171">
        <f t="shared" si="54"/>
        <v>0</v>
      </c>
    </row>
    <row r="1973" spans="1:12" x14ac:dyDescent="0.25">
      <c r="A1973" s="7" t="s">
        <v>3171</v>
      </c>
      <c r="B1973" s="61"/>
      <c r="C1973" s="44" t="s">
        <v>4539</v>
      </c>
      <c r="D1973" s="61">
        <v>2</v>
      </c>
      <c r="E1973" s="61" t="s">
        <v>25</v>
      </c>
      <c r="F1973" s="45">
        <v>210000</v>
      </c>
      <c r="G1973" s="45">
        <f>ROUNDDOWN(D1973*F1973,-3)</f>
        <v>420000</v>
      </c>
      <c r="H1973" s="165">
        <v>420000</v>
      </c>
      <c r="I1973" s="150" t="s">
        <v>3552</v>
      </c>
      <c r="J1973" s="149"/>
      <c r="K1973" s="149"/>
      <c r="L1973" s="171">
        <f t="shared" si="54"/>
        <v>0</v>
      </c>
    </row>
    <row r="1974" spans="1:12" x14ac:dyDescent="0.25">
      <c r="A1974" s="7" t="s">
        <v>3173</v>
      </c>
      <c r="B1974" s="60">
        <v>524114</v>
      </c>
      <c r="C1974" s="41" t="s">
        <v>14</v>
      </c>
      <c r="D1974" s="60"/>
      <c r="E1974" s="60"/>
      <c r="F1974" s="42"/>
      <c r="G1974" s="42">
        <v>5800000</v>
      </c>
      <c r="H1974" s="165">
        <v>422620000</v>
      </c>
      <c r="I1974" s="150" t="s">
        <v>3552</v>
      </c>
      <c r="J1974" s="149" t="s">
        <v>3564</v>
      </c>
      <c r="K1974" s="149" t="s">
        <v>3564</v>
      </c>
      <c r="L1974" s="171">
        <f t="shared" si="54"/>
        <v>-416820000</v>
      </c>
    </row>
    <row r="1975" spans="1:12" x14ac:dyDescent="0.25">
      <c r="A1975" s="7" t="s">
        <v>3174</v>
      </c>
      <c r="B1975" s="192"/>
      <c r="C1975" s="191" t="s">
        <v>4540</v>
      </c>
      <c r="D1975" s="192">
        <v>4</v>
      </c>
      <c r="E1975" s="192" t="s">
        <v>73</v>
      </c>
      <c r="F1975" s="193">
        <v>1450000</v>
      </c>
      <c r="G1975" s="45">
        <f>ROUNDDOWN(D1975*F1975,-3)</f>
        <v>5800000</v>
      </c>
      <c r="H1975" s="165">
        <v>20000000</v>
      </c>
      <c r="I1975" s="150" t="s">
        <v>3552</v>
      </c>
      <c r="J1975" s="149"/>
      <c r="K1975" s="149"/>
      <c r="L1975" s="171">
        <f t="shared" si="54"/>
        <v>-14200000</v>
      </c>
    </row>
    <row r="1976" spans="1:12" ht="26.4" x14ac:dyDescent="0.25">
      <c r="A1976" s="7" t="s">
        <v>3176</v>
      </c>
      <c r="B1976" s="59" t="s">
        <v>512</v>
      </c>
      <c r="C1976" s="38" t="s">
        <v>3177</v>
      </c>
      <c r="D1976" s="59"/>
      <c r="E1976" s="59"/>
      <c r="F1976" s="39"/>
      <c r="G1976" s="39">
        <v>80600000</v>
      </c>
      <c r="H1976" s="165">
        <v>14000000</v>
      </c>
      <c r="I1976" s="150" t="s">
        <v>3552</v>
      </c>
      <c r="J1976" s="149"/>
      <c r="K1976" s="149"/>
      <c r="L1976" s="171">
        <f t="shared" si="54"/>
        <v>66600000</v>
      </c>
    </row>
    <row r="1977" spans="1:12" x14ac:dyDescent="0.25">
      <c r="A1977" s="7" t="s">
        <v>3178</v>
      </c>
      <c r="B1977" s="60">
        <v>521211</v>
      </c>
      <c r="C1977" s="41" t="s">
        <v>7</v>
      </c>
      <c r="D1977" s="60"/>
      <c r="E1977" s="60"/>
      <c r="F1977" s="42"/>
      <c r="G1977" s="42">
        <v>24000000</v>
      </c>
      <c r="H1977" s="165">
        <v>3000000</v>
      </c>
      <c r="I1977" s="150" t="s">
        <v>3552</v>
      </c>
      <c r="J1977" s="149"/>
      <c r="K1977" s="149"/>
      <c r="L1977" s="171">
        <f t="shared" si="54"/>
        <v>21000000</v>
      </c>
    </row>
    <row r="1978" spans="1:12" x14ac:dyDescent="0.25">
      <c r="A1978" s="7" t="s">
        <v>3179</v>
      </c>
      <c r="B1978" s="61"/>
      <c r="C1978" s="44" t="s">
        <v>3625</v>
      </c>
      <c r="D1978" s="61">
        <v>1</v>
      </c>
      <c r="E1978" s="61" t="s">
        <v>106</v>
      </c>
      <c r="F1978" s="45">
        <v>1000000</v>
      </c>
      <c r="G1978" s="45">
        <f>ROUNDDOWN(D1978*F1978,-3)</f>
        <v>1000000</v>
      </c>
      <c r="H1978" s="165">
        <v>1000000</v>
      </c>
      <c r="I1978" s="150" t="s">
        <v>3552</v>
      </c>
      <c r="J1978" s="149"/>
      <c r="K1978" s="149"/>
      <c r="L1978" s="171">
        <f t="shared" si="54"/>
        <v>0</v>
      </c>
    </row>
    <row r="1979" spans="1:12" x14ac:dyDescent="0.25">
      <c r="A1979" s="7" t="s">
        <v>3180</v>
      </c>
      <c r="B1979" s="61"/>
      <c r="C1979" s="44" t="s">
        <v>3626</v>
      </c>
      <c r="D1979" s="61">
        <v>1</v>
      </c>
      <c r="E1979" s="61" t="s">
        <v>106</v>
      </c>
      <c r="F1979" s="45">
        <v>1000000</v>
      </c>
      <c r="G1979" s="45">
        <f>ROUNDDOWN(D1979*F1979,-3)</f>
        <v>1000000</v>
      </c>
      <c r="H1979" s="165">
        <v>2000000</v>
      </c>
      <c r="I1979" s="150" t="s">
        <v>3552</v>
      </c>
      <c r="J1979" s="149"/>
      <c r="K1979" s="149"/>
      <c r="L1979" s="171">
        <f t="shared" si="54"/>
        <v>-1000000</v>
      </c>
    </row>
    <row r="1980" spans="1:12" x14ac:dyDescent="0.25">
      <c r="A1980" s="7" t="s">
        <v>3181</v>
      </c>
      <c r="B1980" s="192"/>
      <c r="C1980" s="191" t="s">
        <v>4541</v>
      </c>
      <c r="D1980" s="192">
        <v>1</v>
      </c>
      <c r="E1980" s="192" t="s">
        <v>180</v>
      </c>
      <c r="F1980" s="193">
        <v>1000000</v>
      </c>
      <c r="G1980" s="45">
        <f>ROUNDDOWN(D1980*F1980,-3)</f>
        <v>1000000</v>
      </c>
      <c r="H1980" s="165">
        <v>24000000</v>
      </c>
      <c r="I1980" s="150" t="s">
        <v>3552</v>
      </c>
      <c r="J1980" s="149"/>
      <c r="K1980" s="149"/>
      <c r="L1980" s="171">
        <f t="shared" si="54"/>
        <v>-23000000</v>
      </c>
    </row>
    <row r="1981" spans="1:12" ht="26.4" x14ac:dyDescent="0.25">
      <c r="A1981" s="7" t="s">
        <v>3183</v>
      </c>
      <c r="B1981" s="61"/>
      <c r="C1981" s="44" t="s">
        <v>4542</v>
      </c>
      <c r="D1981" s="61">
        <v>60</v>
      </c>
      <c r="E1981" s="61" t="s">
        <v>180</v>
      </c>
      <c r="F1981" s="45">
        <v>350000</v>
      </c>
      <c r="G1981" s="45">
        <f>ROUNDDOWN(D1981*F1981,-3)</f>
        <v>21000000</v>
      </c>
      <c r="H1981" s="165">
        <v>12000000</v>
      </c>
      <c r="I1981" s="150" t="s">
        <v>3552</v>
      </c>
      <c r="J1981" s="149"/>
      <c r="K1981" s="149"/>
      <c r="L1981" s="171">
        <f t="shared" si="54"/>
        <v>9000000</v>
      </c>
    </row>
    <row r="1982" spans="1:12" x14ac:dyDescent="0.25">
      <c r="A1982" s="7" t="s">
        <v>3185</v>
      </c>
      <c r="B1982" s="60">
        <v>524111</v>
      </c>
      <c r="C1982" s="41" t="s">
        <v>19</v>
      </c>
      <c r="D1982" s="60"/>
      <c r="E1982" s="60"/>
      <c r="F1982" s="42"/>
      <c r="G1982" s="42">
        <v>56600000</v>
      </c>
      <c r="H1982" s="165">
        <v>12000000</v>
      </c>
      <c r="I1982" s="150" t="s">
        <v>3552</v>
      </c>
      <c r="J1982" s="149"/>
      <c r="K1982" s="149"/>
      <c r="L1982" s="171">
        <f t="shared" si="54"/>
        <v>44600000</v>
      </c>
    </row>
    <row r="1983" spans="1:12" ht="26.4" x14ac:dyDescent="0.25">
      <c r="A1983" s="7" t="s">
        <v>3186</v>
      </c>
      <c r="B1983" s="192"/>
      <c r="C1983" s="191" t="s">
        <v>4543</v>
      </c>
      <c r="D1983" s="192">
        <v>20</v>
      </c>
      <c r="E1983" s="192" t="s">
        <v>25</v>
      </c>
      <c r="F1983" s="193">
        <v>2830000</v>
      </c>
      <c r="G1983" s="45">
        <f>ROUNDDOWN(D1983*F1983,-3)</f>
        <v>56600000</v>
      </c>
      <c r="H1983" s="165">
        <v>359100000</v>
      </c>
      <c r="I1983" s="150" t="s">
        <v>3552</v>
      </c>
      <c r="J1983" s="149"/>
      <c r="K1983" s="149"/>
      <c r="L1983" s="171">
        <f t="shared" si="54"/>
        <v>-302500000</v>
      </c>
    </row>
    <row r="1984" spans="1:12" x14ac:dyDescent="0.25">
      <c r="A1984" s="7" t="s">
        <v>3188</v>
      </c>
      <c r="B1984" s="59" t="s">
        <v>514</v>
      </c>
      <c r="C1984" s="38" t="s">
        <v>181</v>
      </c>
      <c r="D1984" s="59"/>
      <c r="E1984" s="59"/>
      <c r="F1984" s="39"/>
      <c r="G1984" s="39">
        <v>304320000</v>
      </c>
      <c r="H1984" s="165">
        <v>183000000</v>
      </c>
      <c r="I1984" s="150" t="s">
        <v>3552</v>
      </c>
      <c r="J1984" s="149"/>
      <c r="K1984" s="149"/>
      <c r="L1984" s="171">
        <f t="shared" si="54"/>
        <v>121320000</v>
      </c>
    </row>
    <row r="1985" spans="1:12" x14ac:dyDescent="0.25">
      <c r="A1985" s="7" t="s">
        <v>3189</v>
      </c>
      <c r="B1985" s="60">
        <v>521211</v>
      </c>
      <c r="C1985" s="41" t="s">
        <v>7</v>
      </c>
      <c r="D1985" s="60"/>
      <c r="E1985" s="60"/>
      <c r="F1985" s="42"/>
      <c r="G1985" s="42">
        <v>2600000</v>
      </c>
      <c r="H1985" s="165">
        <v>31500000</v>
      </c>
      <c r="I1985" s="150" t="s">
        <v>3552</v>
      </c>
      <c r="J1985" s="149"/>
      <c r="K1985" s="149"/>
      <c r="L1985" s="171">
        <f t="shared" si="54"/>
        <v>-28900000</v>
      </c>
    </row>
    <row r="1986" spans="1:12" x14ac:dyDescent="0.25">
      <c r="A1986" s="7" t="s">
        <v>3190</v>
      </c>
      <c r="B1986" s="61"/>
      <c r="C1986" s="44" t="s">
        <v>4544</v>
      </c>
      <c r="D1986" s="61">
        <v>12</v>
      </c>
      <c r="E1986" s="61" t="s">
        <v>180</v>
      </c>
      <c r="F1986" s="45">
        <v>150000</v>
      </c>
      <c r="G1986" s="45">
        <f>ROUNDDOWN(D1986*F1986,-3)</f>
        <v>1800000</v>
      </c>
      <c r="H1986" s="165">
        <v>99600000</v>
      </c>
      <c r="I1986" s="150" t="s">
        <v>3552</v>
      </c>
      <c r="J1986" s="149"/>
      <c r="K1986" s="149"/>
      <c r="L1986" s="171">
        <f t="shared" si="54"/>
        <v>-97800000</v>
      </c>
    </row>
    <row r="1987" spans="1:12" x14ac:dyDescent="0.25">
      <c r="A1987" s="7" t="s">
        <v>3192</v>
      </c>
      <c r="B1987" s="61"/>
      <c r="C1987" s="44" t="s">
        <v>4545</v>
      </c>
      <c r="D1987" s="61">
        <v>8</v>
      </c>
      <c r="E1987" s="61" t="s">
        <v>180</v>
      </c>
      <c r="F1987" s="45">
        <v>100000</v>
      </c>
      <c r="G1987" s="45">
        <f>ROUNDDOWN(D1987*F1987,-3)</f>
        <v>800000</v>
      </c>
      <c r="H1987" s="165">
        <v>45000000</v>
      </c>
      <c r="I1987" s="150" t="s">
        <v>3552</v>
      </c>
      <c r="J1987" s="149"/>
      <c r="K1987" s="149"/>
      <c r="L1987" s="171">
        <f t="shared" si="54"/>
        <v>-44200000</v>
      </c>
    </row>
    <row r="1988" spans="1:12" ht="26.4" x14ac:dyDescent="0.25">
      <c r="A1988" s="7" t="s">
        <v>3194</v>
      </c>
      <c r="B1988" s="60">
        <v>521241</v>
      </c>
      <c r="C1988" s="41" t="s">
        <v>642</v>
      </c>
      <c r="D1988" s="60"/>
      <c r="E1988" s="60"/>
      <c r="F1988" s="42"/>
      <c r="G1988" s="42">
        <v>33600000</v>
      </c>
      <c r="H1988" s="165">
        <v>720000</v>
      </c>
      <c r="I1988" s="150" t="s">
        <v>3552</v>
      </c>
      <c r="J1988" s="149"/>
      <c r="K1988" s="149"/>
      <c r="L1988" s="171">
        <f t="shared" si="54"/>
        <v>32880000</v>
      </c>
    </row>
    <row r="1989" spans="1:12" x14ac:dyDescent="0.25">
      <c r="A1989" s="7" t="s">
        <v>3195</v>
      </c>
      <c r="B1989" s="61"/>
      <c r="C1989" s="44" t="s">
        <v>4546</v>
      </c>
      <c r="D1989" s="61">
        <v>168</v>
      </c>
      <c r="E1989" s="61" t="s">
        <v>32</v>
      </c>
      <c r="F1989" s="45">
        <v>200000</v>
      </c>
      <c r="G1989" s="45">
        <f>ROUNDDOWN(D1989*F1989,-3)</f>
        <v>33600000</v>
      </c>
      <c r="H1989" s="165">
        <v>420000</v>
      </c>
      <c r="I1989" s="150" t="s">
        <v>3552</v>
      </c>
      <c r="J1989" s="149"/>
      <c r="K1989" s="149"/>
      <c r="L1989" s="171">
        <f t="shared" si="54"/>
        <v>33180000</v>
      </c>
    </row>
    <row r="1990" spans="1:12" x14ac:dyDescent="0.25">
      <c r="A1990" s="7" t="s">
        <v>3197</v>
      </c>
      <c r="B1990" s="60">
        <v>521811</v>
      </c>
      <c r="C1990" s="41" t="s">
        <v>64</v>
      </c>
      <c r="D1990" s="60"/>
      <c r="E1990" s="60"/>
      <c r="F1990" s="42"/>
      <c r="G1990" s="42">
        <v>24000000</v>
      </c>
      <c r="H1990" s="165">
        <v>300000</v>
      </c>
      <c r="I1990" s="150" t="s">
        <v>3552</v>
      </c>
      <c r="J1990" s="149"/>
      <c r="K1990" s="149"/>
      <c r="L1990" s="171">
        <f t="shared" si="54"/>
        <v>23700000</v>
      </c>
    </row>
    <row r="1991" spans="1:12" x14ac:dyDescent="0.25">
      <c r="A1991" s="7" t="s">
        <v>3198</v>
      </c>
      <c r="B1991" s="192"/>
      <c r="C1991" s="191" t="s">
        <v>3625</v>
      </c>
      <c r="D1991" s="192">
        <v>12</v>
      </c>
      <c r="E1991" s="192" t="s">
        <v>106</v>
      </c>
      <c r="F1991" s="193">
        <v>1000000</v>
      </c>
      <c r="G1991" s="45">
        <f>ROUNDDOWN(D1991*F1991,-3)</f>
        <v>12000000</v>
      </c>
      <c r="H1991" s="165">
        <v>18800000</v>
      </c>
      <c r="I1991" s="150" t="s">
        <v>3552</v>
      </c>
      <c r="J1991" s="149"/>
      <c r="K1991" s="149"/>
      <c r="L1991" s="171">
        <f t="shared" si="54"/>
        <v>-6800000</v>
      </c>
    </row>
    <row r="1992" spans="1:12" x14ac:dyDescent="0.25">
      <c r="A1992" s="7" t="s">
        <v>3199</v>
      </c>
      <c r="B1992" s="61"/>
      <c r="C1992" s="44" t="s">
        <v>3626</v>
      </c>
      <c r="D1992" s="61">
        <v>12</v>
      </c>
      <c r="E1992" s="61" t="s">
        <v>106</v>
      </c>
      <c r="F1992" s="45">
        <v>1000000</v>
      </c>
      <c r="G1992" s="45">
        <f>ROUNDDOWN(D1992*F1992,-3)</f>
        <v>12000000</v>
      </c>
      <c r="H1992" s="165">
        <v>18800000</v>
      </c>
      <c r="I1992" s="150" t="s">
        <v>3552</v>
      </c>
      <c r="J1992" s="149"/>
      <c r="K1992" s="149"/>
      <c r="L1992" s="171">
        <f t="shared" si="54"/>
        <v>-6800000</v>
      </c>
    </row>
    <row r="1993" spans="1:12" x14ac:dyDescent="0.25">
      <c r="A1993" s="7" t="s">
        <v>3200</v>
      </c>
      <c r="B1993" s="60">
        <v>522151</v>
      </c>
      <c r="C1993" s="41" t="s">
        <v>11</v>
      </c>
      <c r="D1993" s="60"/>
      <c r="E1993" s="60"/>
      <c r="F1993" s="42"/>
      <c r="G1993" s="42">
        <v>18000000</v>
      </c>
      <c r="H1993" s="165">
        <v>485540000</v>
      </c>
      <c r="I1993" s="150" t="s">
        <v>3552</v>
      </c>
      <c r="J1993" s="149" t="s">
        <v>3564</v>
      </c>
      <c r="K1993" s="149" t="s">
        <v>3564</v>
      </c>
      <c r="L1993" s="171">
        <f t="shared" si="54"/>
        <v>-467540000</v>
      </c>
    </row>
    <row r="1994" spans="1:12" x14ac:dyDescent="0.25">
      <c r="A1994" s="7" t="s">
        <v>3201</v>
      </c>
      <c r="B1994" s="192"/>
      <c r="C1994" s="191" t="s">
        <v>4547</v>
      </c>
      <c r="D1994" s="192">
        <v>20</v>
      </c>
      <c r="E1994" s="192" t="s">
        <v>54</v>
      </c>
      <c r="F1994" s="193">
        <v>900000</v>
      </c>
      <c r="G1994" s="45">
        <f>ROUNDDOWN(D1994*F1994,-3)</f>
        <v>18000000</v>
      </c>
      <c r="H1994" s="165">
        <v>8000000</v>
      </c>
      <c r="I1994" s="150" t="s">
        <v>3552</v>
      </c>
      <c r="J1994" s="149"/>
      <c r="K1994" s="149"/>
      <c r="L1994" s="171">
        <f t="shared" si="54"/>
        <v>10000000</v>
      </c>
    </row>
    <row r="1995" spans="1:12" x14ac:dyDescent="0.25">
      <c r="A1995" s="7" t="s">
        <v>3203</v>
      </c>
      <c r="B1995" s="60">
        <v>522192</v>
      </c>
      <c r="C1995" s="41" t="s">
        <v>24</v>
      </c>
      <c r="D1995" s="60"/>
      <c r="E1995" s="60"/>
      <c r="F1995" s="42"/>
      <c r="G1995" s="42">
        <v>9000000</v>
      </c>
      <c r="H1995" s="165">
        <v>2000000</v>
      </c>
      <c r="I1995" s="150" t="s">
        <v>3552</v>
      </c>
      <c r="J1995" s="149"/>
      <c r="K1995" s="149"/>
      <c r="L1995" s="171">
        <f t="shared" si="54"/>
        <v>7000000</v>
      </c>
    </row>
    <row r="1996" spans="1:12" ht="26.4" x14ac:dyDescent="0.25">
      <c r="A1996" s="7" t="s">
        <v>3204</v>
      </c>
      <c r="B1996" s="61"/>
      <c r="C1996" s="44" t="s">
        <v>4548</v>
      </c>
      <c r="D1996" s="61">
        <v>30</v>
      </c>
      <c r="E1996" s="61" t="s">
        <v>25</v>
      </c>
      <c r="F1996" s="45">
        <v>300000</v>
      </c>
      <c r="G1996" s="45">
        <f>ROUNDDOWN(D1996*F1996,-3)</f>
        <v>9000000</v>
      </c>
      <c r="H1996" s="165">
        <v>2000000</v>
      </c>
      <c r="I1996" s="150" t="s">
        <v>3552</v>
      </c>
      <c r="J1996" s="149"/>
      <c r="K1996" s="149"/>
      <c r="L1996" s="171">
        <f t="shared" si="54"/>
        <v>7000000</v>
      </c>
    </row>
    <row r="1997" spans="1:12" x14ac:dyDescent="0.25">
      <c r="A1997" s="7" t="s">
        <v>3206</v>
      </c>
      <c r="B1997" s="60">
        <v>524111</v>
      </c>
      <c r="C1997" s="41" t="s">
        <v>19</v>
      </c>
      <c r="D1997" s="60"/>
      <c r="E1997" s="60"/>
      <c r="F1997" s="42"/>
      <c r="G1997" s="42">
        <v>216400000</v>
      </c>
      <c r="H1997" s="165">
        <v>4000000</v>
      </c>
      <c r="I1997" s="150" t="s">
        <v>3552</v>
      </c>
      <c r="J1997" s="149"/>
      <c r="K1997" s="149"/>
      <c r="L1997" s="171">
        <f t="shared" si="54"/>
        <v>212400000</v>
      </c>
    </row>
    <row r="1998" spans="1:12" ht="26.4" x14ac:dyDescent="0.25">
      <c r="A1998" s="7" t="s">
        <v>3207</v>
      </c>
      <c r="B1998" s="192"/>
      <c r="C1998" s="191" t="s">
        <v>4549</v>
      </c>
      <c r="D1998" s="192">
        <v>80</v>
      </c>
      <c r="E1998" s="192" t="s">
        <v>25</v>
      </c>
      <c r="F1998" s="193">
        <v>830000</v>
      </c>
      <c r="G1998" s="45">
        <f>ROUNDDOWN(D1998*F1998,-3)</f>
        <v>66400000</v>
      </c>
      <c r="H1998" s="165">
        <v>24000000</v>
      </c>
      <c r="I1998" s="150" t="s">
        <v>3552</v>
      </c>
      <c r="J1998" s="149"/>
      <c r="K1998" s="149"/>
      <c r="L1998" s="171">
        <f t="shared" ref="L1998:L2061" si="56">G1998-H1998</f>
        <v>42400000</v>
      </c>
    </row>
    <row r="1999" spans="1:12" ht="26.4" x14ac:dyDescent="0.25">
      <c r="A1999" s="7" t="s">
        <v>3209</v>
      </c>
      <c r="B1999" s="61"/>
      <c r="C1999" s="44" t="s">
        <v>4550</v>
      </c>
      <c r="D1999" s="61">
        <v>30</v>
      </c>
      <c r="E1999" s="61" t="s">
        <v>25</v>
      </c>
      <c r="F1999" s="45">
        <v>5000000</v>
      </c>
      <c r="G1999" s="45">
        <f>ROUNDDOWN(D1999*F1999,-3)</f>
        <v>150000000</v>
      </c>
      <c r="H1999" s="165">
        <v>12000000</v>
      </c>
      <c r="I1999" s="150" t="s">
        <v>3552</v>
      </c>
      <c r="J1999" s="149"/>
      <c r="K1999" s="149"/>
      <c r="L1999" s="171">
        <f t="shared" si="56"/>
        <v>138000000</v>
      </c>
    </row>
    <row r="2000" spans="1:12" x14ac:dyDescent="0.25">
      <c r="A2000" s="7" t="s">
        <v>3211</v>
      </c>
      <c r="B2000" s="60">
        <v>524113</v>
      </c>
      <c r="C2000" s="41" t="s">
        <v>13</v>
      </c>
      <c r="D2000" s="60"/>
      <c r="E2000" s="60"/>
      <c r="F2000" s="42"/>
      <c r="G2000" s="42">
        <v>720000</v>
      </c>
      <c r="H2000" s="165">
        <v>12000000</v>
      </c>
      <c r="I2000" s="150" t="s">
        <v>3552</v>
      </c>
      <c r="J2000" s="149"/>
      <c r="K2000" s="149"/>
      <c r="L2000" s="171">
        <f t="shared" si="56"/>
        <v>-11280000</v>
      </c>
    </row>
    <row r="2001" spans="1:12" ht="26.4" x14ac:dyDescent="0.25">
      <c r="A2001" s="7" t="s">
        <v>3212</v>
      </c>
      <c r="B2001" s="192"/>
      <c r="C2001" s="191" t="s">
        <v>4551</v>
      </c>
      <c r="D2001" s="192">
        <v>2</v>
      </c>
      <c r="E2001" s="192" t="s">
        <v>25</v>
      </c>
      <c r="F2001" s="193">
        <v>150000</v>
      </c>
      <c r="G2001" s="45">
        <f>ROUNDDOWN(D2001*F2001,-3)</f>
        <v>300000</v>
      </c>
      <c r="H2001" s="165">
        <v>436500000</v>
      </c>
      <c r="I2001" s="150" t="s">
        <v>3552</v>
      </c>
      <c r="J2001" s="149"/>
      <c r="K2001" s="149"/>
      <c r="L2001" s="171">
        <f t="shared" si="56"/>
        <v>-436200000</v>
      </c>
    </row>
    <row r="2002" spans="1:12" x14ac:dyDescent="0.25">
      <c r="A2002" s="7" t="s">
        <v>3214</v>
      </c>
      <c r="B2002" s="61"/>
      <c r="C2002" s="44" t="s">
        <v>4539</v>
      </c>
      <c r="D2002" s="61">
        <v>2</v>
      </c>
      <c r="E2002" s="61" t="s">
        <v>25</v>
      </c>
      <c r="F2002" s="45">
        <v>210000</v>
      </c>
      <c r="G2002" s="45">
        <f>ROUNDDOWN(D2002*F2002,-3)</f>
        <v>420000</v>
      </c>
      <c r="H2002" s="165">
        <v>326700000</v>
      </c>
      <c r="I2002" s="150" t="s">
        <v>3552</v>
      </c>
      <c r="J2002" s="149"/>
      <c r="K2002" s="149"/>
      <c r="L2002" s="171">
        <f t="shared" si="56"/>
        <v>-326280000</v>
      </c>
    </row>
    <row r="2003" spans="1:12" ht="26.4" x14ac:dyDescent="0.25">
      <c r="A2003" s="7" t="s">
        <v>3215</v>
      </c>
      <c r="B2003" s="59" t="s">
        <v>519</v>
      </c>
      <c r="C2003" s="38" t="s">
        <v>182</v>
      </c>
      <c r="D2003" s="59"/>
      <c r="E2003" s="59"/>
      <c r="F2003" s="39"/>
      <c r="G2003" s="39">
        <v>422620000</v>
      </c>
      <c r="H2003" s="165">
        <v>109800000</v>
      </c>
      <c r="I2003" s="150" t="s">
        <v>3552</v>
      </c>
      <c r="J2003" s="149"/>
      <c r="K2003" s="149"/>
      <c r="L2003" s="171">
        <f t="shared" si="56"/>
        <v>312820000</v>
      </c>
    </row>
    <row r="2004" spans="1:12" x14ac:dyDescent="0.25">
      <c r="A2004" s="7" t="s">
        <v>3216</v>
      </c>
      <c r="B2004" s="60">
        <v>521211</v>
      </c>
      <c r="C2004" s="41" t="s">
        <v>7</v>
      </c>
      <c r="D2004" s="60"/>
      <c r="E2004" s="60"/>
      <c r="F2004" s="42"/>
      <c r="G2004" s="42">
        <v>20000000</v>
      </c>
      <c r="H2004" s="165">
        <v>1800000</v>
      </c>
      <c r="I2004" s="150" t="s">
        <v>3552</v>
      </c>
      <c r="J2004" s="149"/>
      <c r="K2004" s="149"/>
      <c r="L2004" s="171">
        <f t="shared" si="56"/>
        <v>18200000</v>
      </c>
    </row>
    <row r="2005" spans="1:12" ht="26.4" x14ac:dyDescent="0.25">
      <c r="A2005" s="7" t="s">
        <v>3217</v>
      </c>
      <c r="B2005" s="61"/>
      <c r="C2005" s="44" t="s">
        <v>4552</v>
      </c>
      <c r="D2005" s="61">
        <v>28</v>
      </c>
      <c r="E2005" s="61" t="s">
        <v>180</v>
      </c>
      <c r="F2005" s="45">
        <v>500000</v>
      </c>
      <c r="G2005" s="45">
        <f>ROUNDDOWN(D2005*F2005,-3)</f>
        <v>14000000</v>
      </c>
      <c r="H2005" s="165">
        <v>750000</v>
      </c>
      <c r="I2005" s="150" t="s">
        <v>3552</v>
      </c>
      <c r="J2005" s="149"/>
      <c r="K2005" s="149"/>
      <c r="L2005" s="171">
        <f t="shared" si="56"/>
        <v>13250000</v>
      </c>
    </row>
    <row r="2006" spans="1:12" x14ac:dyDescent="0.25">
      <c r="A2006" s="7" t="s">
        <v>3219</v>
      </c>
      <c r="B2006" s="61"/>
      <c r="C2006" s="44" t="s">
        <v>4553</v>
      </c>
      <c r="D2006" s="61">
        <v>3</v>
      </c>
      <c r="E2006" s="61" t="s">
        <v>180</v>
      </c>
      <c r="F2006" s="45">
        <v>1000000</v>
      </c>
      <c r="G2006" s="45">
        <f>ROUNDDOWN(D2006*F2006,-3)</f>
        <v>3000000</v>
      </c>
      <c r="H2006" s="165">
        <v>1050000</v>
      </c>
      <c r="I2006" s="150" t="s">
        <v>3552</v>
      </c>
      <c r="J2006" s="149"/>
      <c r="K2006" s="149"/>
      <c r="L2006" s="171">
        <f t="shared" si="56"/>
        <v>1950000</v>
      </c>
    </row>
    <row r="2007" spans="1:12" x14ac:dyDescent="0.25">
      <c r="A2007" s="7" t="s">
        <v>3221</v>
      </c>
      <c r="B2007" s="192"/>
      <c r="C2007" s="191" t="s">
        <v>4554</v>
      </c>
      <c r="D2007" s="192">
        <v>2</v>
      </c>
      <c r="E2007" s="192" t="s">
        <v>106</v>
      </c>
      <c r="F2007" s="193">
        <v>500000</v>
      </c>
      <c r="G2007" s="45">
        <f>ROUNDDOWN(D2007*F2007,-3)</f>
        <v>1000000</v>
      </c>
      <c r="H2007" s="165">
        <v>15240000</v>
      </c>
      <c r="I2007" s="150" t="s">
        <v>3552</v>
      </c>
      <c r="J2007" s="149"/>
      <c r="K2007" s="149"/>
      <c r="L2007" s="171">
        <f t="shared" si="56"/>
        <v>-14240000</v>
      </c>
    </row>
    <row r="2008" spans="1:12" x14ac:dyDescent="0.25">
      <c r="A2008" s="7" t="s">
        <v>3223</v>
      </c>
      <c r="B2008" s="61"/>
      <c r="C2008" s="44" t="s">
        <v>4555</v>
      </c>
      <c r="D2008" s="61">
        <v>2</v>
      </c>
      <c r="E2008" s="61" t="s">
        <v>180</v>
      </c>
      <c r="F2008" s="45">
        <v>1000000</v>
      </c>
      <c r="G2008" s="45">
        <f>ROUNDDOWN(D2008*F2008,-3)</f>
        <v>2000000</v>
      </c>
      <c r="H2008" s="165">
        <v>15240000</v>
      </c>
      <c r="I2008" s="150" t="s">
        <v>3552</v>
      </c>
      <c r="J2008" s="149"/>
      <c r="K2008" s="149"/>
      <c r="L2008" s="171">
        <f t="shared" si="56"/>
        <v>-13240000</v>
      </c>
    </row>
    <row r="2009" spans="1:12" x14ac:dyDescent="0.25">
      <c r="A2009" s="7" t="s">
        <v>3225</v>
      </c>
      <c r="B2009" s="60">
        <v>521811</v>
      </c>
      <c r="C2009" s="41" t="s">
        <v>64</v>
      </c>
      <c r="D2009" s="60"/>
      <c r="E2009" s="60"/>
      <c r="F2009" s="42"/>
      <c r="G2009" s="42">
        <v>24000000</v>
      </c>
      <c r="H2009" s="165">
        <v>15240000</v>
      </c>
      <c r="I2009" s="150" t="s">
        <v>3552</v>
      </c>
      <c r="J2009" s="149"/>
      <c r="K2009" s="149"/>
      <c r="L2009" s="171">
        <f t="shared" si="56"/>
        <v>8760000</v>
      </c>
    </row>
    <row r="2010" spans="1:12" x14ac:dyDescent="0.25">
      <c r="A2010" s="7" t="s">
        <v>3226</v>
      </c>
      <c r="B2010" s="195"/>
      <c r="C2010" s="194" t="s">
        <v>3625</v>
      </c>
      <c r="D2010" s="195">
        <v>12</v>
      </c>
      <c r="E2010" s="195" t="s">
        <v>106</v>
      </c>
      <c r="F2010" s="196">
        <v>1000000</v>
      </c>
      <c r="G2010" s="45">
        <f>ROUNDDOWN(D2010*F2010,-3)</f>
        <v>12000000</v>
      </c>
      <c r="H2010" s="165">
        <v>500819000</v>
      </c>
      <c r="I2010" s="150" t="s">
        <v>3553</v>
      </c>
      <c r="J2010" s="149" t="s">
        <v>3558</v>
      </c>
      <c r="K2010" s="149" t="s">
        <v>3564</v>
      </c>
      <c r="L2010" s="171">
        <f t="shared" si="56"/>
        <v>-488819000</v>
      </c>
    </row>
    <row r="2011" spans="1:12" x14ac:dyDescent="0.25">
      <c r="A2011" s="7" t="s">
        <v>3227</v>
      </c>
      <c r="B2011" s="192"/>
      <c r="C2011" s="191" t="s">
        <v>3626</v>
      </c>
      <c r="D2011" s="192">
        <v>12</v>
      </c>
      <c r="E2011" s="192" t="s">
        <v>106</v>
      </c>
      <c r="F2011" s="193">
        <v>1000000</v>
      </c>
      <c r="G2011" s="45">
        <f>ROUNDDOWN(D2011*F2011,-3)</f>
        <v>12000000</v>
      </c>
      <c r="H2011" s="165">
        <v>188850000</v>
      </c>
      <c r="I2011" s="150" t="s">
        <v>3553</v>
      </c>
      <c r="J2011" s="149" t="s">
        <v>3558</v>
      </c>
      <c r="K2011" s="149" t="s">
        <v>3564</v>
      </c>
      <c r="L2011" s="171">
        <f t="shared" si="56"/>
        <v>-176850000</v>
      </c>
    </row>
    <row r="2012" spans="1:12" x14ac:dyDescent="0.25">
      <c r="A2012" s="7" t="s">
        <v>3228</v>
      </c>
      <c r="B2012" s="60">
        <v>524111</v>
      </c>
      <c r="C2012" s="41" t="s">
        <v>19</v>
      </c>
      <c r="D2012" s="60"/>
      <c r="E2012" s="60"/>
      <c r="F2012" s="42"/>
      <c r="G2012" s="42">
        <v>359100000</v>
      </c>
      <c r="H2012" s="165">
        <v>18050000</v>
      </c>
      <c r="I2012" s="150" t="s">
        <v>3552</v>
      </c>
      <c r="J2012" s="149"/>
      <c r="K2012" s="149"/>
      <c r="L2012" s="171">
        <f t="shared" si="56"/>
        <v>341050000</v>
      </c>
    </row>
    <row r="2013" spans="1:12" ht="26.4" x14ac:dyDescent="0.25">
      <c r="A2013" s="7" t="s">
        <v>3229</v>
      </c>
      <c r="B2013" s="61"/>
      <c r="C2013" s="44" t="s">
        <v>4556</v>
      </c>
      <c r="D2013" s="61">
        <v>100</v>
      </c>
      <c r="E2013" s="61" t="s">
        <v>25</v>
      </c>
      <c r="F2013" s="45">
        <v>1830000</v>
      </c>
      <c r="G2013" s="45">
        <f>ROUNDDOWN(D2013*F2013,-3)</f>
        <v>183000000</v>
      </c>
      <c r="H2013" s="165">
        <v>1000000</v>
      </c>
      <c r="I2013" s="150" t="s">
        <v>3552</v>
      </c>
      <c r="J2013" s="149"/>
      <c r="K2013" s="149"/>
      <c r="L2013" s="171">
        <f t="shared" si="56"/>
        <v>182000000</v>
      </c>
    </row>
    <row r="2014" spans="1:12" ht="26.4" x14ac:dyDescent="0.25">
      <c r="A2014" s="7" t="s">
        <v>3231</v>
      </c>
      <c r="B2014" s="61"/>
      <c r="C2014" s="44" t="s">
        <v>4557</v>
      </c>
      <c r="D2014" s="61">
        <v>25</v>
      </c>
      <c r="E2014" s="61" t="s">
        <v>25</v>
      </c>
      <c r="F2014" s="45">
        <v>1260000</v>
      </c>
      <c r="G2014" s="45">
        <f>ROUNDDOWN(D2014*F2014,-3)</f>
        <v>31500000</v>
      </c>
      <c r="H2014" s="165">
        <v>2000000</v>
      </c>
      <c r="I2014" s="150" t="s">
        <v>3552</v>
      </c>
      <c r="J2014" s="149"/>
      <c r="K2014" s="149"/>
      <c r="L2014" s="171">
        <f t="shared" si="56"/>
        <v>29500000</v>
      </c>
    </row>
    <row r="2015" spans="1:12" ht="26.4" x14ac:dyDescent="0.25">
      <c r="A2015" s="7" t="s">
        <v>3233</v>
      </c>
      <c r="B2015" s="61"/>
      <c r="C2015" s="44" t="s">
        <v>4558</v>
      </c>
      <c r="D2015" s="61">
        <v>120</v>
      </c>
      <c r="E2015" s="61" t="s">
        <v>25</v>
      </c>
      <c r="F2015" s="45">
        <v>830000</v>
      </c>
      <c r="G2015" s="45">
        <f>ROUNDDOWN(D2015*F2015,-3)</f>
        <v>99600000</v>
      </c>
      <c r="H2015" s="165">
        <v>1050000</v>
      </c>
      <c r="I2015" s="150" t="s">
        <v>3552</v>
      </c>
      <c r="J2015" s="149"/>
      <c r="K2015" s="149"/>
      <c r="L2015" s="171">
        <f t="shared" si="56"/>
        <v>98550000</v>
      </c>
    </row>
    <row r="2016" spans="1:12" ht="26.4" x14ac:dyDescent="0.25">
      <c r="A2016" s="7" t="s">
        <v>3235</v>
      </c>
      <c r="B2016" s="61"/>
      <c r="C2016" s="44" t="s">
        <v>4559</v>
      </c>
      <c r="D2016" s="61">
        <v>15</v>
      </c>
      <c r="E2016" s="61" t="s">
        <v>25</v>
      </c>
      <c r="F2016" s="45">
        <v>3000000</v>
      </c>
      <c r="G2016" s="45">
        <f>ROUNDDOWN(D2016*F2016,-3)</f>
        <v>45000000</v>
      </c>
      <c r="H2016" s="165">
        <v>14000000</v>
      </c>
      <c r="I2016" s="150" t="s">
        <v>3552</v>
      </c>
      <c r="J2016" s="149"/>
      <c r="K2016" s="149"/>
      <c r="L2016" s="171">
        <f t="shared" si="56"/>
        <v>31000000</v>
      </c>
    </row>
    <row r="2017" spans="1:12" x14ac:dyDescent="0.25">
      <c r="A2017" s="7" t="s">
        <v>3237</v>
      </c>
      <c r="B2017" s="60">
        <v>524113</v>
      </c>
      <c r="C2017" s="41" t="s">
        <v>13</v>
      </c>
      <c r="D2017" s="60"/>
      <c r="E2017" s="60"/>
      <c r="F2017" s="42"/>
      <c r="G2017" s="42">
        <v>720000</v>
      </c>
      <c r="H2017" s="165">
        <v>6000000</v>
      </c>
      <c r="I2017" s="150" t="s">
        <v>3552</v>
      </c>
      <c r="J2017" s="149"/>
      <c r="K2017" s="149"/>
      <c r="L2017" s="171">
        <f t="shared" si="56"/>
        <v>-5280000</v>
      </c>
    </row>
    <row r="2018" spans="1:12" x14ac:dyDescent="0.25">
      <c r="A2018" s="7" t="s">
        <v>3238</v>
      </c>
      <c r="B2018" s="61"/>
      <c r="C2018" s="44" t="s">
        <v>4560</v>
      </c>
      <c r="D2018" s="61">
        <v>2</v>
      </c>
      <c r="E2018" s="61" t="s">
        <v>25</v>
      </c>
      <c r="F2018" s="45">
        <v>210000</v>
      </c>
      <c r="G2018" s="45">
        <f>ROUNDDOWN(D2018*F2018,-3)</f>
        <v>420000</v>
      </c>
      <c r="H2018" s="165">
        <v>6000000</v>
      </c>
      <c r="I2018" s="150" t="s">
        <v>3552</v>
      </c>
      <c r="J2018" s="149"/>
      <c r="K2018" s="149"/>
      <c r="L2018" s="171">
        <f t="shared" si="56"/>
        <v>-5580000</v>
      </c>
    </row>
    <row r="2019" spans="1:12" ht="26.4" x14ac:dyDescent="0.25">
      <c r="A2019" s="7" t="s">
        <v>3239</v>
      </c>
      <c r="B2019" s="192"/>
      <c r="C2019" s="191" t="s">
        <v>4561</v>
      </c>
      <c r="D2019" s="192">
        <v>2</v>
      </c>
      <c r="E2019" s="192" t="s">
        <v>25</v>
      </c>
      <c r="F2019" s="193">
        <v>150000</v>
      </c>
      <c r="G2019" s="45">
        <f>ROUNDDOWN(D2019*F2019,-3)</f>
        <v>300000</v>
      </c>
      <c r="H2019" s="165">
        <v>164800000</v>
      </c>
      <c r="I2019" s="150" t="s">
        <v>3552</v>
      </c>
      <c r="J2019" s="149"/>
      <c r="K2019" s="149"/>
      <c r="L2019" s="171">
        <f t="shared" si="56"/>
        <v>-164500000</v>
      </c>
    </row>
    <row r="2020" spans="1:12" x14ac:dyDescent="0.25">
      <c r="A2020" s="7" t="s">
        <v>3240</v>
      </c>
      <c r="B2020" s="60">
        <v>524119</v>
      </c>
      <c r="C2020" s="41" t="s">
        <v>15</v>
      </c>
      <c r="D2020" s="60"/>
      <c r="E2020" s="60"/>
      <c r="F2020" s="42"/>
      <c r="G2020" s="42">
        <v>18800000</v>
      </c>
      <c r="H2020" s="165">
        <v>60000000</v>
      </c>
      <c r="I2020" s="150" t="s">
        <v>3552</v>
      </c>
      <c r="J2020" s="149"/>
      <c r="K2020" s="149"/>
      <c r="L2020" s="171">
        <f t="shared" si="56"/>
        <v>-41200000</v>
      </c>
    </row>
    <row r="2021" spans="1:12" x14ac:dyDescent="0.25">
      <c r="A2021" s="7" t="s">
        <v>3241</v>
      </c>
      <c r="B2021" s="61"/>
      <c r="C2021" s="44" t="s">
        <v>4562</v>
      </c>
      <c r="D2021" s="61">
        <v>8</v>
      </c>
      <c r="E2021" s="61" t="s">
        <v>25</v>
      </c>
      <c r="F2021" s="45">
        <v>2350000</v>
      </c>
      <c r="G2021" s="45">
        <f>ROUNDDOWN(D2021*F2021,-3)</f>
        <v>18800000</v>
      </c>
      <c r="H2021" s="165">
        <v>8400000</v>
      </c>
      <c r="I2021" s="150" t="s">
        <v>3552</v>
      </c>
      <c r="J2021" s="149"/>
      <c r="K2021" s="149"/>
      <c r="L2021" s="171">
        <f t="shared" si="56"/>
        <v>10400000</v>
      </c>
    </row>
    <row r="2022" spans="1:12" x14ac:dyDescent="0.25">
      <c r="A2022" s="7" t="s">
        <v>3243</v>
      </c>
      <c r="B2022" s="59" t="s">
        <v>578</v>
      </c>
      <c r="C2022" s="38" t="s">
        <v>183</v>
      </c>
      <c r="D2022" s="59"/>
      <c r="E2022" s="59"/>
      <c r="F2022" s="39"/>
      <c r="G2022" s="39">
        <v>485540000</v>
      </c>
      <c r="H2022" s="165">
        <v>76000000</v>
      </c>
      <c r="I2022" s="150" t="s">
        <v>3552</v>
      </c>
      <c r="J2022" s="149"/>
      <c r="K2022" s="149"/>
      <c r="L2022" s="171">
        <f t="shared" si="56"/>
        <v>409540000</v>
      </c>
    </row>
    <row r="2023" spans="1:12" x14ac:dyDescent="0.25">
      <c r="A2023" s="7" t="s">
        <v>3244</v>
      </c>
      <c r="B2023" s="60">
        <v>521211</v>
      </c>
      <c r="C2023" s="41" t="s">
        <v>7</v>
      </c>
      <c r="D2023" s="60"/>
      <c r="E2023" s="60"/>
      <c r="F2023" s="42"/>
      <c r="G2023" s="42">
        <v>8000000</v>
      </c>
      <c r="H2023" s="165">
        <v>20400000</v>
      </c>
      <c r="I2023" s="150" t="s">
        <v>3552</v>
      </c>
      <c r="J2023" s="149"/>
      <c r="K2023" s="149"/>
      <c r="L2023" s="171">
        <f t="shared" si="56"/>
        <v>-12400000</v>
      </c>
    </row>
    <row r="2024" spans="1:12" x14ac:dyDescent="0.25">
      <c r="A2024" s="7" t="s">
        <v>3245</v>
      </c>
      <c r="B2024" s="192"/>
      <c r="C2024" s="191" t="s">
        <v>3625</v>
      </c>
      <c r="D2024" s="192">
        <v>2</v>
      </c>
      <c r="E2024" s="192" t="s">
        <v>106</v>
      </c>
      <c r="F2024" s="193">
        <v>1000000</v>
      </c>
      <c r="G2024" s="45">
        <f>ROUNDDOWN(D2024*F2024,-3)</f>
        <v>2000000</v>
      </c>
      <c r="H2024" s="165">
        <v>241969000</v>
      </c>
      <c r="I2024" s="150" t="s">
        <v>3553</v>
      </c>
      <c r="J2024" s="149" t="s">
        <v>3558</v>
      </c>
      <c r="K2024" s="149" t="s">
        <v>3564</v>
      </c>
      <c r="L2024" s="171">
        <f t="shared" si="56"/>
        <v>-239969000</v>
      </c>
    </row>
    <row r="2025" spans="1:12" x14ac:dyDescent="0.25">
      <c r="A2025" s="7" t="s">
        <v>3246</v>
      </c>
      <c r="B2025" s="192"/>
      <c r="C2025" s="191" t="s">
        <v>3626</v>
      </c>
      <c r="D2025" s="192">
        <v>2</v>
      </c>
      <c r="E2025" s="192" t="s">
        <v>106</v>
      </c>
      <c r="F2025" s="193">
        <v>1000000</v>
      </c>
      <c r="G2025" s="45">
        <f>ROUNDDOWN(D2025*F2025,-3)</f>
        <v>2000000</v>
      </c>
      <c r="H2025" s="165">
        <v>2940000</v>
      </c>
      <c r="I2025" s="150" t="s">
        <v>3552</v>
      </c>
      <c r="J2025" s="149"/>
      <c r="K2025" s="149"/>
      <c r="L2025" s="171">
        <f t="shared" si="56"/>
        <v>-940000</v>
      </c>
    </row>
    <row r="2026" spans="1:12" x14ac:dyDescent="0.25">
      <c r="A2026" s="7" t="s">
        <v>3247</v>
      </c>
      <c r="B2026" s="61"/>
      <c r="C2026" s="44" t="s">
        <v>4563</v>
      </c>
      <c r="D2026" s="61">
        <v>4</v>
      </c>
      <c r="E2026" s="61" t="s">
        <v>180</v>
      </c>
      <c r="F2026" s="45">
        <v>1000000</v>
      </c>
      <c r="G2026" s="45">
        <f>ROUNDDOWN(D2026*F2026,-3)</f>
        <v>4000000</v>
      </c>
      <c r="H2026" s="165">
        <v>1000000</v>
      </c>
      <c r="I2026" s="150" t="s">
        <v>3552</v>
      </c>
      <c r="J2026" s="149"/>
      <c r="K2026" s="149"/>
      <c r="L2026" s="171">
        <f t="shared" si="56"/>
        <v>3000000</v>
      </c>
    </row>
    <row r="2027" spans="1:12" x14ac:dyDescent="0.25">
      <c r="A2027" s="7" t="s">
        <v>3249</v>
      </c>
      <c r="B2027" s="60">
        <v>521811</v>
      </c>
      <c r="C2027" s="41" t="s">
        <v>64</v>
      </c>
      <c r="D2027" s="60"/>
      <c r="E2027" s="60"/>
      <c r="F2027" s="42"/>
      <c r="G2027" s="42">
        <v>24000000</v>
      </c>
      <c r="H2027" s="165">
        <v>1000000</v>
      </c>
      <c r="I2027" s="150" t="s">
        <v>3552</v>
      </c>
      <c r="J2027" s="149"/>
      <c r="K2027" s="149"/>
      <c r="L2027" s="171">
        <f t="shared" si="56"/>
        <v>23000000</v>
      </c>
    </row>
    <row r="2028" spans="1:12" x14ac:dyDescent="0.25">
      <c r="A2028" s="7" t="s">
        <v>3250</v>
      </c>
      <c r="B2028" s="61"/>
      <c r="C2028" s="44" t="s">
        <v>3625</v>
      </c>
      <c r="D2028" s="61">
        <v>12</v>
      </c>
      <c r="E2028" s="61" t="s">
        <v>106</v>
      </c>
      <c r="F2028" s="45">
        <v>1000000</v>
      </c>
      <c r="G2028" s="45">
        <f>ROUNDDOWN(D2028*F2028,-3)</f>
        <v>12000000</v>
      </c>
      <c r="H2028" s="165">
        <v>500000</v>
      </c>
      <c r="I2028" s="150" t="s">
        <v>3552</v>
      </c>
      <c r="J2028" s="149"/>
      <c r="K2028" s="149"/>
      <c r="L2028" s="171">
        <f t="shared" si="56"/>
        <v>11500000</v>
      </c>
    </row>
    <row r="2029" spans="1:12" x14ac:dyDescent="0.25">
      <c r="A2029" s="7" t="s">
        <v>3251</v>
      </c>
      <c r="B2029" s="61"/>
      <c r="C2029" s="44" t="s">
        <v>3626</v>
      </c>
      <c r="D2029" s="61">
        <v>12</v>
      </c>
      <c r="E2029" s="61" t="s">
        <v>106</v>
      </c>
      <c r="F2029" s="45">
        <v>1000000</v>
      </c>
      <c r="G2029" s="45">
        <f>ROUNDDOWN(D2029*F2029,-3)</f>
        <v>12000000</v>
      </c>
      <c r="H2029" s="165">
        <v>440000</v>
      </c>
      <c r="I2029" s="150" t="s">
        <v>3552</v>
      </c>
      <c r="J2029" s="149"/>
      <c r="K2029" s="149"/>
      <c r="L2029" s="171">
        <f t="shared" si="56"/>
        <v>11560000</v>
      </c>
    </row>
    <row r="2030" spans="1:12" x14ac:dyDescent="0.25">
      <c r="A2030" s="7" t="s">
        <v>3252</v>
      </c>
      <c r="B2030" s="60">
        <v>524111</v>
      </c>
      <c r="C2030" s="41" t="s">
        <v>19</v>
      </c>
      <c r="D2030" s="60"/>
      <c r="E2030" s="60"/>
      <c r="F2030" s="42"/>
      <c r="G2030" s="42">
        <v>436500000</v>
      </c>
      <c r="H2030" s="165">
        <v>239029000</v>
      </c>
      <c r="I2030" s="150" t="s">
        <v>3552</v>
      </c>
      <c r="J2030" s="149"/>
      <c r="K2030" s="149"/>
      <c r="L2030" s="171">
        <f t="shared" si="56"/>
        <v>197471000</v>
      </c>
    </row>
    <row r="2031" spans="1:12" ht="26.4" x14ac:dyDescent="0.25">
      <c r="A2031" s="7" t="s">
        <v>3253</v>
      </c>
      <c r="B2031" s="61"/>
      <c r="C2031" s="44" t="s">
        <v>4564</v>
      </c>
      <c r="D2031" s="61">
        <v>60</v>
      </c>
      <c r="E2031" s="61" t="s">
        <v>25</v>
      </c>
      <c r="F2031" s="45">
        <v>5445000</v>
      </c>
      <c r="G2031" s="45">
        <f>ROUNDDOWN(D2031*F2031,-3)</f>
        <v>326700000</v>
      </c>
      <c r="H2031" s="165">
        <v>13500000</v>
      </c>
      <c r="I2031" s="150" t="s">
        <v>3552</v>
      </c>
      <c r="J2031" s="149"/>
      <c r="K2031" s="149"/>
      <c r="L2031" s="171">
        <f t="shared" si="56"/>
        <v>313200000</v>
      </c>
    </row>
    <row r="2032" spans="1:12" ht="26.4" x14ac:dyDescent="0.25">
      <c r="A2032" s="7" t="s">
        <v>3255</v>
      </c>
      <c r="B2032" s="61"/>
      <c r="C2032" s="44" t="s">
        <v>4565</v>
      </c>
      <c r="D2032" s="61">
        <v>60</v>
      </c>
      <c r="E2032" s="61" t="s">
        <v>25</v>
      </c>
      <c r="F2032" s="45">
        <v>1830000</v>
      </c>
      <c r="G2032" s="45">
        <f>ROUNDDOWN(D2032*F2032,-3)</f>
        <v>109800000</v>
      </c>
      <c r="H2032" s="165">
        <v>225529000</v>
      </c>
      <c r="I2032" s="150" t="s">
        <v>3552</v>
      </c>
      <c r="J2032" s="149"/>
      <c r="K2032" s="149"/>
      <c r="L2032" s="171">
        <f t="shared" si="56"/>
        <v>-115729000</v>
      </c>
    </row>
    <row r="2033" spans="1:12" x14ac:dyDescent="0.25">
      <c r="A2033" s="7" t="s">
        <v>3257</v>
      </c>
      <c r="B2033" s="60">
        <v>524113</v>
      </c>
      <c r="C2033" s="41" t="s">
        <v>13</v>
      </c>
      <c r="D2033" s="60"/>
      <c r="E2033" s="60"/>
      <c r="F2033" s="42"/>
      <c r="G2033" s="42">
        <v>1800000</v>
      </c>
      <c r="H2033" s="165">
        <v>8880000</v>
      </c>
      <c r="I2033" s="150" t="s">
        <v>3553</v>
      </c>
      <c r="J2033" s="149" t="s">
        <v>3558</v>
      </c>
      <c r="K2033" s="149" t="s">
        <v>3564</v>
      </c>
      <c r="L2033" s="171">
        <f t="shared" si="56"/>
        <v>-7080000</v>
      </c>
    </row>
    <row r="2034" spans="1:12" ht="26.4" x14ac:dyDescent="0.25">
      <c r="A2034" s="7" t="s">
        <v>3258</v>
      </c>
      <c r="B2034" s="192"/>
      <c r="C2034" s="191" t="s">
        <v>4566</v>
      </c>
      <c r="D2034" s="192">
        <v>5</v>
      </c>
      <c r="E2034" s="192" t="s">
        <v>25</v>
      </c>
      <c r="F2034" s="193">
        <v>150000</v>
      </c>
      <c r="G2034" s="45">
        <f>ROUNDDOWN(D2034*F2034,-3)</f>
        <v>750000</v>
      </c>
      <c r="H2034" s="165">
        <v>8880000</v>
      </c>
      <c r="I2034" s="150" t="s">
        <v>3552</v>
      </c>
      <c r="J2034" s="149"/>
      <c r="K2034" s="149"/>
      <c r="L2034" s="171">
        <f t="shared" si="56"/>
        <v>-8130000</v>
      </c>
    </row>
    <row r="2035" spans="1:12" x14ac:dyDescent="0.25">
      <c r="A2035" s="7" t="s">
        <v>3260</v>
      </c>
      <c r="B2035" s="61"/>
      <c r="C2035" s="44" t="s">
        <v>4567</v>
      </c>
      <c r="D2035" s="61">
        <v>5</v>
      </c>
      <c r="E2035" s="61" t="s">
        <v>25</v>
      </c>
      <c r="F2035" s="45">
        <v>210000</v>
      </c>
      <c r="G2035" s="45">
        <f>ROUNDDOWN(D2035*F2035,-3)</f>
        <v>1050000</v>
      </c>
      <c r="H2035" s="165">
        <v>4000000</v>
      </c>
      <c r="I2035" s="150" t="s">
        <v>3552</v>
      </c>
      <c r="J2035" s="149"/>
      <c r="K2035" s="149"/>
      <c r="L2035" s="171">
        <f t="shared" si="56"/>
        <v>-2950000</v>
      </c>
    </row>
    <row r="2036" spans="1:12" x14ac:dyDescent="0.25">
      <c r="A2036" s="7" t="s">
        <v>3262</v>
      </c>
      <c r="B2036" s="60">
        <v>524119</v>
      </c>
      <c r="C2036" s="41" t="s">
        <v>15</v>
      </c>
      <c r="D2036" s="60"/>
      <c r="E2036" s="60"/>
      <c r="F2036" s="42"/>
      <c r="G2036" s="42">
        <v>15240000</v>
      </c>
      <c r="H2036" s="165">
        <v>4000000</v>
      </c>
      <c r="I2036" s="150" t="s">
        <v>3552</v>
      </c>
      <c r="J2036" s="149"/>
      <c r="K2036" s="149"/>
      <c r="L2036" s="171">
        <f t="shared" si="56"/>
        <v>11240000</v>
      </c>
    </row>
    <row r="2037" spans="1:12" ht="26.4" x14ac:dyDescent="0.25">
      <c r="A2037" s="7" t="s">
        <v>3263</v>
      </c>
      <c r="B2037" s="61"/>
      <c r="C2037" s="44" t="s">
        <v>4568</v>
      </c>
      <c r="D2037" s="61">
        <v>12</v>
      </c>
      <c r="E2037" s="61" t="s">
        <v>25</v>
      </c>
      <c r="F2037" s="45">
        <v>1270000</v>
      </c>
      <c r="G2037" s="45">
        <f>ROUNDDOWN(D2037*F2037,-3)</f>
        <v>15240000</v>
      </c>
      <c r="H2037" s="165">
        <v>880000</v>
      </c>
      <c r="I2037" s="150" t="s">
        <v>3552</v>
      </c>
      <c r="J2037" s="149"/>
      <c r="K2037" s="149"/>
      <c r="L2037" s="171">
        <f t="shared" si="56"/>
        <v>14360000</v>
      </c>
    </row>
    <row r="2038" spans="1:12" ht="26.4" x14ac:dyDescent="0.25">
      <c r="A2038" s="7" t="s">
        <v>3267</v>
      </c>
      <c r="B2038" s="58">
        <v>201</v>
      </c>
      <c r="C2038" s="35" t="s">
        <v>3268</v>
      </c>
      <c r="D2038" s="58">
        <v>0</v>
      </c>
      <c r="E2038" s="58"/>
      <c r="F2038" s="36"/>
      <c r="G2038" s="36">
        <v>500819000</v>
      </c>
      <c r="H2038" s="165">
        <v>61120000</v>
      </c>
      <c r="I2038" s="150" t="s">
        <v>3553</v>
      </c>
      <c r="J2038" s="149" t="s">
        <v>3558</v>
      </c>
      <c r="K2038" s="149" t="s">
        <v>3564</v>
      </c>
      <c r="L2038" s="171">
        <f t="shared" si="56"/>
        <v>439699000</v>
      </c>
    </row>
    <row r="2039" spans="1:12" ht="26.4" x14ac:dyDescent="0.25">
      <c r="A2039" s="7" t="s">
        <v>3269</v>
      </c>
      <c r="B2039" s="59" t="s">
        <v>8</v>
      </c>
      <c r="C2039" s="38" t="s">
        <v>3270</v>
      </c>
      <c r="D2039" s="59"/>
      <c r="E2039" s="59"/>
      <c r="F2039" s="39"/>
      <c r="G2039" s="39">
        <v>188850000</v>
      </c>
      <c r="H2039" s="165">
        <v>2000000</v>
      </c>
      <c r="I2039" s="150" t="s">
        <v>3552</v>
      </c>
      <c r="J2039" s="149"/>
      <c r="K2039" s="149"/>
      <c r="L2039" s="171">
        <f t="shared" si="56"/>
        <v>186850000</v>
      </c>
    </row>
    <row r="2040" spans="1:12" x14ac:dyDescent="0.25">
      <c r="A2040" s="7" t="s">
        <v>3271</v>
      </c>
      <c r="B2040" s="60">
        <v>521211</v>
      </c>
      <c r="C2040" s="41" t="s">
        <v>7</v>
      </c>
      <c r="D2040" s="60"/>
      <c r="E2040" s="60"/>
      <c r="F2040" s="42"/>
      <c r="G2040" s="42">
        <v>18050000</v>
      </c>
      <c r="H2040" s="165">
        <v>1000000</v>
      </c>
      <c r="I2040" s="150" t="s">
        <v>3552</v>
      </c>
      <c r="J2040" s="149"/>
      <c r="K2040" s="149"/>
      <c r="L2040" s="171">
        <f t="shared" si="56"/>
        <v>17050000</v>
      </c>
    </row>
    <row r="2041" spans="1:12" x14ac:dyDescent="0.25">
      <c r="A2041" s="7" t="s">
        <v>3272</v>
      </c>
      <c r="B2041" s="61"/>
      <c r="C2041" s="44" t="s">
        <v>3625</v>
      </c>
      <c r="D2041" s="61">
        <v>1</v>
      </c>
      <c r="E2041" s="61" t="s">
        <v>9</v>
      </c>
      <c r="F2041" s="45">
        <v>1000000</v>
      </c>
      <c r="G2041" s="45">
        <f>ROUNDDOWN(D2041*F2041,-3)</f>
        <v>1000000</v>
      </c>
      <c r="H2041" s="165">
        <v>1000000</v>
      </c>
      <c r="I2041" s="150" t="s">
        <v>3552</v>
      </c>
      <c r="J2041" s="149"/>
      <c r="K2041" s="149"/>
      <c r="L2041" s="171">
        <f t="shared" si="56"/>
        <v>0</v>
      </c>
    </row>
    <row r="2042" spans="1:12" x14ac:dyDescent="0.25">
      <c r="A2042" s="7" t="s">
        <v>3273</v>
      </c>
      <c r="B2042" s="192"/>
      <c r="C2042" s="191" t="s">
        <v>3626</v>
      </c>
      <c r="D2042" s="192">
        <v>2</v>
      </c>
      <c r="E2042" s="192" t="s">
        <v>9</v>
      </c>
      <c r="F2042" s="193">
        <v>1000000</v>
      </c>
      <c r="G2042" s="45">
        <f>ROUNDDOWN(D2042*F2042,-3)</f>
        <v>2000000</v>
      </c>
      <c r="H2042" s="165">
        <v>59120000</v>
      </c>
      <c r="I2042" s="150" t="s">
        <v>3552</v>
      </c>
      <c r="J2042" s="149"/>
      <c r="K2042" s="149"/>
      <c r="L2042" s="171">
        <f t="shared" si="56"/>
        <v>-57120000</v>
      </c>
    </row>
    <row r="2043" spans="1:12" x14ac:dyDescent="0.25">
      <c r="A2043" s="7" t="s">
        <v>3274</v>
      </c>
      <c r="B2043" s="61"/>
      <c r="C2043" s="44" t="s">
        <v>4569</v>
      </c>
      <c r="D2043" s="61">
        <v>14</v>
      </c>
      <c r="E2043" s="61" t="s">
        <v>10</v>
      </c>
      <c r="F2043" s="45">
        <v>75000</v>
      </c>
      <c r="G2043" s="45">
        <f>ROUNDDOWN(D2043*F2043,-3)</f>
        <v>1050000</v>
      </c>
      <c r="H2043" s="165">
        <v>59120000</v>
      </c>
      <c r="I2043" s="150" t="s">
        <v>3552</v>
      </c>
      <c r="J2043" s="149"/>
      <c r="K2043" s="149"/>
      <c r="L2043" s="171">
        <f t="shared" si="56"/>
        <v>-58070000</v>
      </c>
    </row>
    <row r="2044" spans="1:12" x14ac:dyDescent="0.25">
      <c r="A2044" s="7" t="s">
        <v>3276</v>
      </c>
      <c r="B2044" s="195"/>
      <c r="C2044" s="194" t="s">
        <v>4570</v>
      </c>
      <c r="D2044" s="195">
        <v>40</v>
      </c>
      <c r="E2044" s="195" t="s">
        <v>10</v>
      </c>
      <c r="F2044" s="196">
        <v>350000</v>
      </c>
      <c r="G2044" s="45">
        <f>ROUNDDOWN(D2044*F2044,-3)</f>
        <v>14000000</v>
      </c>
      <c r="H2044" s="165">
        <v>289920000</v>
      </c>
      <c r="I2044" s="150" t="s">
        <v>557</v>
      </c>
      <c r="J2044" s="149" t="s">
        <v>3558</v>
      </c>
      <c r="K2044" s="149" t="s">
        <v>3564</v>
      </c>
      <c r="L2044" s="171">
        <f t="shared" si="56"/>
        <v>-275920000</v>
      </c>
    </row>
    <row r="2045" spans="1:12" x14ac:dyDescent="0.25">
      <c r="A2045" s="7" t="s">
        <v>3278</v>
      </c>
      <c r="B2045" s="60">
        <v>522151</v>
      </c>
      <c r="C2045" s="41" t="s">
        <v>11</v>
      </c>
      <c r="D2045" s="60"/>
      <c r="E2045" s="60"/>
      <c r="F2045" s="42"/>
      <c r="G2045" s="42">
        <v>6000000</v>
      </c>
      <c r="H2045" s="165">
        <v>40700000</v>
      </c>
      <c r="I2045" s="150" t="s">
        <v>557</v>
      </c>
      <c r="J2045" s="149" t="s">
        <v>3558</v>
      </c>
      <c r="K2045" s="149" t="s">
        <v>3564</v>
      </c>
      <c r="L2045" s="171">
        <f t="shared" si="56"/>
        <v>-34700000</v>
      </c>
    </row>
    <row r="2046" spans="1:12" x14ac:dyDescent="0.25">
      <c r="A2046" s="7" t="s">
        <v>3279</v>
      </c>
      <c r="B2046" s="192"/>
      <c r="C2046" s="191" t="s">
        <v>4571</v>
      </c>
      <c r="D2046" s="192">
        <v>6</v>
      </c>
      <c r="E2046" s="192" t="s">
        <v>12</v>
      </c>
      <c r="F2046" s="193">
        <v>1000000</v>
      </c>
      <c r="G2046" s="45">
        <f>ROUNDDOWN(D2046*F2046,-3)</f>
        <v>6000000</v>
      </c>
      <c r="H2046" s="165">
        <v>23900000</v>
      </c>
      <c r="I2046" s="150" t="s">
        <v>557</v>
      </c>
      <c r="J2046" s="149" t="s">
        <v>3558</v>
      </c>
      <c r="K2046" s="149" t="s">
        <v>3564</v>
      </c>
      <c r="L2046" s="171">
        <f t="shared" si="56"/>
        <v>-17900000</v>
      </c>
    </row>
    <row r="2047" spans="1:12" x14ac:dyDescent="0.25">
      <c r="A2047" s="7" t="s">
        <v>3281</v>
      </c>
      <c r="B2047" s="60">
        <v>524119</v>
      </c>
      <c r="C2047" s="41" t="s">
        <v>15</v>
      </c>
      <c r="D2047" s="60"/>
      <c r="E2047" s="60"/>
      <c r="F2047" s="42"/>
      <c r="G2047" s="42">
        <v>164800000</v>
      </c>
      <c r="H2047" s="168">
        <v>7500000</v>
      </c>
      <c r="I2047" s="150" t="s">
        <v>557</v>
      </c>
      <c r="J2047" s="149" t="s">
        <v>3558</v>
      </c>
      <c r="K2047" s="149" t="s">
        <v>3564</v>
      </c>
      <c r="L2047" s="171">
        <f t="shared" si="56"/>
        <v>157300000</v>
      </c>
    </row>
    <row r="2048" spans="1:12" x14ac:dyDescent="0.25">
      <c r="A2048" s="7" t="s">
        <v>3282</v>
      </c>
      <c r="B2048" s="61"/>
      <c r="C2048" s="44" t="s">
        <v>4572</v>
      </c>
      <c r="D2048" s="61">
        <v>80</v>
      </c>
      <c r="E2048" s="61" t="s">
        <v>3284</v>
      </c>
      <c r="F2048" s="45">
        <v>750000</v>
      </c>
      <c r="G2048" s="45">
        <f>ROUNDDOWN(D2048*F2048,-3)</f>
        <v>60000000</v>
      </c>
      <c r="H2048" s="168">
        <v>1400000</v>
      </c>
      <c r="I2048" s="150" t="s">
        <v>557</v>
      </c>
      <c r="J2048" s="149" t="s">
        <v>3558</v>
      </c>
      <c r="K2048" s="149" t="s">
        <v>3564</v>
      </c>
      <c r="L2048" s="171">
        <f t="shared" si="56"/>
        <v>58600000</v>
      </c>
    </row>
    <row r="2049" spans="1:12" x14ac:dyDescent="0.25">
      <c r="A2049" s="7" t="s">
        <v>3285</v>
      </c>
      <c r="B2049" s="61"/>
      <c r="C2049" s="44" t="s">
        <v>4573</v>
      </c>
      <c r="D2049" s="61">
        <v>21</v>
      </c>
      <c r="E2049" s="61" t="s">
        <v>10</v>
      </c>
      <c r="F2049" s="45">
        <v>400000</v>
      </c>
      <c r="G2049" s="45">
        <f>ROUNDDOWN(D2049*F2049,-3)</f>
        <v>8400000</v>
      </c>
      <c r="H2049" s="168">
        <v>6000000</v>
      </c>
      <c r="I2049" s="150" t="s">
        <v>557</v>
      </c>
      <c r="J2049" s="149" t="s">
        <v>3558</v>
      </c>
      <c r="K2049" s="149" t="s">
        <v>3564</v>
      </c>
      <c r="L2049" s="171">
        <f t="shared" si="56"/>
        <v>2400000</v>
      </c>
    </row>
    <row r="2050" spans="1:12" x14ac:dyDescent="0.25">
      <c r="A2050" s="7" t="s">
        <v>3287</v>
      </c>
      <c r="B2050" s="61"/>
      <c r="C2050" s="44" t="s">
        <v>4574</v>
      </c>
      <c r="D2050" s="61">
        <v>19</v>
      </c>
      <c r="E2050" s="61" t="s">
        <v>10</v>
      </c>
      <c r="F2050" s="45">
        <v>4000000</v>
      </c>
      <c r="G2050" s="45">
        <f>ROUNDDOWN(D2050*F2050,-3)</f>
        <v>76000000</v>
      </c>
      <c r="H2050" s="168">
        <v>9000000</v>
      </c>
      <c r="I2050" s="150" t="s">
        <v>557</v>
      </c>
      <c r="J2050" s="149" t="s">
        <v>3558</v>
      </c>
      <c r="K2050" s="149" t="s">
        <v>3564</v>
      </c>
      <c r="L2050" s="171">
        <f t="shared" si="56"/>
        <v>67000000</v>
      </c>
    </row>
    <row r="2051" spans="1:12" x14ac:dyDescent="0.25">
      <c r="A2051" s="7" t="s">
        <v>3289</v>
      </c>
      <c r="B2051" s="192"/>
      <c r="C2051" s="191" t="s">
        <v>4575</v>
      </c>
      <c r="D2051" s="192">
        <v>120</v>
      </c>
      <c r="E2051" s="192" t="s">
        <v>16</v>
      </c>
      <c r="F2051" s="193">
        <v>170000</v>
      </c>
      <c r="G2051" s="45">
        <f>ROUNDDOWN(D2051*F2051,-3)</f>
        <v>20400000</v>
      </c>
      <c r="H2051" s="165">
        <v>15000000</v>
      </c>
      <c r="I2051" s="150" t="s">
        <v>557</v>
      </c>
      <c r="J2051" s="149" t="s">
        <v>3558</v>
      </c>
      <c r="K2051" s="149" t="s">
        <v>3564</v>
      </c>
      <c r="L2051" s="171">
        <f t="shared" si="56"/>
        <v>5400000</v>
      </c>
    </row>
    <row r="2052" spans="1:12" x14ac:dyDescent="0.25">
      <c r="A2052" s="7" t="s">
        <v>3291</v>
      </c>
      <c r="B2052" s="59" t="s">
        <v>511</v>
      </c>
      <c r="C2052" s="38" t="s">
        <v>138</v>
      </c>
      <c r="D2052" s="59"/>
      <c r="E2052" s="59"/>
      <c r="F2052" s="39"/>
      <c r="G2052" s="39">
        <v>241969000</v>
      </c>
      <c r="H2052" s="168">
        <v>15000000</v>
      </c>
      <c r="I2052" s="150" t="s">
        <v>557</v>
      </c>
      <c r="J2052" s="149" t="s">
        <v>3558</v>
      </c>
      <c r="K2052" s="149" t="s">
        <v>3564</v>
      </c>
      <c r="L2052" s="171">
        <f t="shared" si="56"/>
        <v>226969000</v>
      </c>
    </row>
    <row r="2053" spans="1:12" x14ac:dyDescent="0.25">
      <c r="A2053" s="7" t="s">
        <v>3292</v>
      </c>
      <c r="B2053" s="60">
        <v>521211</v>
      </c>
      <c r="C2053" s="41" t="s">
        <v>7</v>
      </c>
      <c r="D2053" s="60"/>
      <c r="E2053" s="60"/>
      <c r="F2053" s="42"/>
      <c r="G2053" s="42">
        <v>2940000</v>
      </c>
      <c r="H2053" s="165">
        <v>1800000</v>
      </c>
      <c r="I2053" s="150" t="s">
        <v>557</v>
      </c>
      <c r="J2053" s="149" t="s">
        <v>3558</v>
      </c>
      <c r="K2053" s="149" t="s">
        <v>3564</v>
      </c>
      <c r="L2053" s="171">
        <f t="shared" si="56"/>
        <v>1140000</v>
      </c>
    </row>
    <row r="2054" spans="1:12" x14ac:dyDescent="0.25">
      <c r="A2054" s="7" t="s">
        <v>3293</v>
      </c>
      <c r="B2054" s="61"/>
      <c r="C2054" s="44" t="s">
        <v>3625</v>
      </c>
      <c r="D2054" s="61">
        <v>1</v>
      </c>
      <c r="E2054" s="61" t="s">
        <v>9</v>
      </c>
      <c r="F2054" s="45">
        <v>1000000</v>
      </c>
      <c r="G2054" s="45">
        <f>ROUNDDOWN(D2054*F2054,-3)</f>
        <v>1000000</v>
      </c>
      <c r="H2054" s="168">
        <v>1800000</v>
      </c>
      <c r="I2054" s="150" t="s">
        <v>557</v>
      </c>
      <c r="J2054" s="149" t="s">
        <v>3558</v>
      </c>
      <c r="K2054" s="149" t="s">
        <v>3564</v>
      </c>
      <c r="L2054" s="171">
        <f t="shared" si="56"/>
        <v>-800000</v>
      </c>
    </row>
    <row r="2055" spans="1:12" x14ac:dyDescent="0.25">
      <c r="A2055" s="7" t="s">
        <v>3294</v>
      </c>
      <c r="B2055" s="192"/>
      <c r="C2055" s="191" t="s">
        <v>3626</v>
      </c>
      <c r="D2055" s="192">
        <v>1</v>
      </c>
      <c r="E2055" s="192" t="s">
        <v>9</v>
      </c>
      <c r="F2055" s="193">
        <v>1000000</v>
      </c>
      <c r="G2055" s="45">
        <f>ROUNDDOWN(D2055*F2055,-3)</f>
        <v>1000000</v>
      </c>
      <c r="H2055" s="165">
        <v>30900000</v>
      </c>
      <c r="I2055" s="150" t="s">
        <v>557</v>
      </c>
      <c r="J2055" s="149" t="s">
        <v>3558</v>
      </c>
      <c r="K2055" s="149" t="s">
        <v>3564</v>
      </c>
      <c r="L2055" s="171">
        <f t="shared" si="56"/>
        <v>-29900000</v>
      </c>
    </row>
    <row r="2056" spans="1:12" x14ac:dyDescent="0.25">
      <c r="A2056" s="7" t="s">
        <v>3295</v>
      </c>
      <c r="B2056" s="192"/>
      <c r="C2056" s="191" t="s">
        <v>4576</v>
      </c>
      <c r="D2056" s="192">
        <v>1</v>
      </c>
      <c r="E2056" s="192" t="s">
        <v>9</v>
      </c>
      <c r="F2056" s="193">
        <v>500000</v>
      </c>
      <c r="G2056" s="45">
        <f>ROUNDDOWN(D2056*F2056,-3)</f>
        <v>500000</v>
      </c>
      <c r="H2056" s="165">
        <v>11400000</v>
      </c>
      <c r="I2056" s="150" t="s">
        <v>557</v>
      </c>
      <c r="J2056" s="149" t="s">
        <v>3558</v>
      </c>
      <c r="K2056" s="149" t="s">
        <v>3564</v>
      </c>
      <c r="L2056" s="171">
        <f t="shared" si="56"/>
        <v>-10900000</v>
      </c>
    </row>
    <row r="2057" spans="1:12" x14ac:dyDescent="0.25">
      <c r="A2057" s="7" t="s">
        <v>3297</v>
      </c>
      <c r="B2057" s="61"/>
      <c r="C2057" s="44" t="s">
        <v>4577</v>
      </c>
      <c r="D2057" s="61">
        <v>20</v>
      </c>
      <c r="E2057" s="61" t="s">
        <v>10</v>
      </c>
      <c r="F2057" s="45">
        <v>22000</v>
      </c>
      <c r="G2057" s="45">
        <f>ROUNDDOWN(D2057*F2057,-3)</f>
        <v>440000</v>
      </c>
      <c r="H2057" s="168">
        <v>6000000</v>
      </c>
      <c r="I2057" s="150" t="s">
        <v>557</v>
      </c>
      <c r="J2057" s="149" t="s">
        <v>3558</v>
      </c>
      <c r="K2057" s="149" t="s">
        <v>3564</v>
      </c>
      <c r="L2057" s="171">
        <f t="shared" si="56"/>
        <v>-5560000</v>
      </c>
    </row>
    <row r="2058" spans="1:12" x14ac:dyDescent="0.25">
      <c r="A2058" s="7" t="s">
        <v>3299</v>
      </c>
      <c r="B2058" s="60">
        <v>524111</v>
      </c>
      <c r="C2058" s="41" t="s">
        <v>19</v>
      </c>
      <c r="D2058" s="60"/>
      <c r="E2058" s="60"/>
      <c r="F2058" s="42"/>
      <c r="G2058" s="42">
        <v>239029000</v>
      </c>
      <c r="H2058" s="168">
        <v>1400000</v>
      </c>
      <c r="I2058" s="150" t="s">
        <v>557</v>
      </c>
      <c r="J2058" s="149" t="s">
        <v>3558</v>
      </c>
      <c r="K2058" s="149" t="s">
        <v>3564</v>
      </c>
      <c r="L2058" s="171">
        <f t="shared" si="56"/>
        <v>237629000</v>
      </c>
    </row>
    <row r="2059" spans="1:12" ht="26.4" x14ac:dyDescent="0.25">
      <c r="A2059" s="7" t="s">
        <v>3300</v>
      </c>
      <c r="B2059" s="61"/>
      <c r="C2059" s="44" t="s">
        <v>4578</v>
      </c>
      <c r="D2059" s="61">
        <v>9</v>
      </c>
      <c r="E2059" s="61" t="s">
        <v>10</v>
      </c>
      <c r="F2059" s="45">
        <v>1500000</v>
      </c>
      <c r="G2059" s="45">
        <f>ROUNDDOWN(D2059*F2059,-3)</f>
        <v>13500000</v>
      </c>
      <c r="H2059" s="168">
        <v>4000000</v>
      </c>
      <c r="I2059" s="150" t="s">
        <v>557</v>
      </c>
      <c r="J2059" s="149" t="s">
        <v>3558</v>
      </c>
      <c r="K2059" s="149" t="s">
        <v>3564</v>
      </c>
      <c r="L2059" s="171">
        <f t="shared" si="56"/>
        <v>9500000</v>
      </c>
    </row>
    <row r="2060" spans="1:12" ht="26.4" x14ac:dyDescent="0.25">
      <c r="A2060" s="7" t="s">
        <v>3302</v>
      </c>
      <c r="B2060" s="192"/>
      <c r="C2060" s="191" t="s">
        <v>4579</v>
      </c>
      <c r="D2060" s="192">
        <v>36</v>
      </c>
      <c r="E2060" s="192" t="s">
        <v>10</v>
      </c>
      <c r="F2060" s="193">
        <v>6264695</v>
      </c>
      <c r="G2060" s="45">
        <f>ROUNDDOWN(D2060*F2060,-3)</f>
        <v>225529000</v>
      </c>
      <c r="H2060" s="165">
        <v>18000000</v>
      </c>
      <c r="I2060" s="150" t="s">
        <v>557</v>
      </c>
      <c r="J2060" s="149" t="s">
        <v>3558</v>
      </c>
      <c r="K2060" s="149" t="s">
        <v>3564</v>
      </c>
      <c r="L2060" s="171">
        <f t="shared" si="56"/>
        <v>207529000</v>
      </c>
    </row>
    <row r="2061" spans="1:12" x14ac:dyDescent="0.25">
      <c r="A2061" s="7" t="s">
        <v>3304</v>
      </c>
      <c r="B2061" s="59" t="s">
        <v>512</v>
      </c>
      <c r="C2061" s="38" t="s">
        <v>137</v>
      </c>
      <c r="D2061" s="59"/>
      <c r="E2061" s="59"/>
      <c r="F2061" s="39"/>
      <c r="G2061" s="39">
        <v>8880000</v>
      </c>
      <c r="H2061" s="168">
        <v>18000000</v>
      </c>
      <c r="I2061" s="150" t="s">
        <v>557</v>
      </c>
      <c r="J2061" s="149" t="s">
        <v>3558</v>
      </c>
      <c r="K2061" s="149" t="s">
        <v>3564</v>
      </c>
      <c r="L2061" s="171">
        <f t="shared" si="56"/>
        <v>-9120000</v>
      </c>
    </row>
    <row r="2062" spans="1:12" x14ac:dyDescent="0.25">
      <c r="A2062" s="7" t="s">
        <v>3305</v>
      </c>
      <c r="B2062" s="60">
        <v>521211</v>
      </c>
      <c r="C2062" s="41" t="s">
        <v>7</v>
      </c>
      <c r="D2062" s="60"/>
      <c r="E2062" s="60"/>
      <c r="F2062" s="42"/>
      <c r="G2062" s="42">
        <v>8880000</v>
      </c>
      <c r="H2062" s="165">
        <v>1500000</v>
      </c>
      <c r="I2062" s="150" t="s">
        <v>557</v>
      </c>
      <c r="J2062" s="149" t="s">
        <v>3558</v>
      </c>
      <c r="K2062" s="149" t="s">
        <v>3564</v>
      </c>
      <c r="L2062" s="171">
        <f t="shared" ref="L2062:L2125" si="57">G2062-H2062</f>
        <v>7380000</v>
      </c>
    </row>
    <row r="2063" spans="1:12" x14ac:dyDescent="0.25">
      <c r="A2063" s="7" t="s">
        <v>3306</v>
      </c>
      <c r="B2063" s="61"/>
      <c r="C2063" s="44" t="s">
        <v>3625</v>
      </c>
      <c r="D2063" s="61">
        <v>4</v>
      </c>
      <c r="E2063" s="61" t="s">
        <v>9</v>
      </c>
      <c r="F2063" s="45">
        <v>1000000</v>
      </c>
      <c r="G2063" s="45">
        <f>ROUNDDOWN(D2063*F2063,-3)</f>
        <v>4000000</v>
      </c>
      <c r="H2063" s="168">
        <v>1500000</v>
      </c>
      <c r="I2063" s="150" t="s">
        <v>557</v>
      </c>
      <c r="J2063" s="149" t="s">
        <v>3558</v>
      </c>
      <c r="K2063" s="149" t="s">
        <v>3564</v>
      </c>
      <c r="L2063" s="171">
        <f t="shared" si="57"/>
        <v>2500000</v>
      </c>
    </row>
    <row r="2064" spans="1:12" x14ac:dyDescent="0.25">
      <c r="A2064" s="7" t="s">
        <v>3307</v>
      </c>
      <c r="B2064" s="192"/>
      <c r="C2064" s="191" t="s">
        <v>3626</v>
      </c>
      <c r="D2064" s="192">
        <v>4</v>
      </c>
      <c r="E2064" s="192" t="s">
        <v>9</v>
      </c>
      <c r="F2064" s="193">
        <v>1000000</v>
      </c>
      <c r="G2064" s="45">
        <f>ROUNDDOWN(D2064*F2064,-3)</f>
        <v>4000000</v>
      </c>
      <c r="H2064" s="165">
        <v>26500000</v>
      </c>
      <c r="I2064" s="150" t="s">
        <v>557</v>
      </c>
      <c r="J2064" s="149" t="s">
        <v>3558</v>
      </c>
      <c r="K2064" s="149" t="s">
        <v>3564</v>
      </c>
      <c r="L2064" s="171">
        <f t="shared" si="57"/>
        <v>-22500000</v>
      </c>
    </row>
    <row r="2065" spans="1:12" x14ac:dyDescent="0.25">
      <c r="A2065" s="7" t="s">
        <v>3308</v>
      </c>
      <c r="B2065" s="192"/>
      <c r="C2065" s="191" t="s">
        <v>4580</v>
      </c>
      <c r="D2065" s="192">
        <v>40</v>
      </c>
      <c r="E2065" s="192" t="s">
        <v>10</v>
      </c>
      <c r="F2065" s="193">
        <v>22000</v>
      </c>
      <c r="G2065" s="45">
        <f>ROUNDDOWN(D2065*F2065,-3)</f>
        <v>880000</v>
      </c>
      <c r="H2065" s="165">
        <v>10000000</v>
      </c>
      <c r="I2065" s="150" t="s">
        <v>557</v>
      </c>
      <c r="J2065" s="149" t="s">
        <v>3558</v>
      </c>
      <c r="K2065" s="149" t="s">
        <v>3564</v>
      </c>
      <c r="L2065" s="171">
        <f t="shared" si="57"/>
        <v>-9120000</v>
      </c>
    </row>
    <row r="2066" spans="1:12" x14ac:dyDescent="0.25">
      <c r="A2066" s="7" t="s">
        <v>3310</v>
      </c>
      <c r="B2066" s="59" t="s">
        <v>514</v>
      </c>
      <c r="C2066" s="38" t="s">
        <v>3311</v>
      </c>
      <c r="D2066" s="59"/>
      <c r="E2066" s="59"/>
      <c r="F2066" s="39"/>
      <c r="G2066" s="39">
        <v>61120000</v>
      </c>
      <c r="H2066" s="168">
        <v>6000000</v>
      </c>
      <c r="I2066" s="150" t="s">
        <v>557</v>
      </c>
      <c r="J2066" s="149" t="s">
        <v>3558</v>
      </c>
      <c r="K2066" s="149" t="s">
        <v>3564</v>
      </c>
      <c r="L2066" s="171">
        <f t="shared" si="57"/>
        <v>55120000</v>
      </c>
    </row>
    <row r="2067" spans="1:12" x14ac:dyDescent="0.25">
      <c r="A2067" s="7" t="s">
        <v>3312</v>
      </c>
      <c r="B2067" s="60">
        <v>521211</v>
      </c>
      <c r="C2067" s="41" t="s">
        <v>7</v>
      </c>
      <c r="D2067" s="60"/>
      <c r="E2067" s="60"/>
      <c r="F2067" s="42"/>
      <c r="G2067" s="42">
        <v>2000000</v>
      </c>
      <c r="H2067" s="168">
        <v>4000000</v>
      </c>
      <c r="I2067" s="150" t="s">
        <v>557</v>
      </c>
      <c r="J2067" s="149" t="s">
        <v>3558</v>
      </c>
      <c r="K2067" s="149" t="s">
        <v>3564</v>
      </c>
      <c r="L2067" s="171">
        <f t="shared" si="57"/>
        <v>-2000000</v>
      </c>
    </row>
    <row r="2068" spans="1:12" x14ac:dyDescent="0.25">
      <c r="A2068" s="7" t="s">
        <v>3313</v>
      </c>
      <c r="B2068" s="192"/>
      <c r="C2068" s="191" t="s">
        <v>3625</v>
      </c>
      <c r="D2068" s="192">
        <v>1</v>
      </c>
      <c r="E2068" s="192" t="s">
        <v>9</v>
      </c>
      <c r="F2068" s="193">
        <v>1000000</v>
      </c>
      <c r="G2068" s="45">
        <f>ROUNDDOWN(D2068*F2068,-3)</f>
        <v>1000000</v>
      </c>
      <c r="H2068" s="165">
        <v>15000000</v>
      </c>
      <c r="I2068" s="150" t="s">
        <v>557</v>
      </c>
      <c r="J2068" s="149" t="s">
        <v>3558</v>
      </c>
      <c r="K2068" s="149" t="s">
        <v>3564</v>
      </c>
      <c r="L2068" s="171">
        <f t="shared" si="57"/>
        <v>-14000000</v>
      </c>
    </row>
    <row r="2069" spans="1:12" x14ac:dyDescent="0.25">
      <c r="A2069" s="7" t="s">
        <v>3314</v>
      </c>
      <c r="B2069" s="61"/>
      <c r="C2069" s="44" t="s">
        <v>3626</v>
      </c>
      <c r="D2069" s="61">
        <v>1</v>
      </c>
      <c r="E2069" s="61" t="s">
        <v>9</v>
      </c>
      <c r="F2069" s="45">
        <v>1000000</v>
      </c>
      <c r="G2069" s="45">
        <f>ROUNDDOWN(D2069*F2069,-3)</f>
        <v>1000000</v>
      </c>
      <c r="H2069" s="168">
        <v>15000000</v>
      </c>
      <c r="I2069" s="150" t="s">
        <v>557</v>
      </c>
      <c r="J2069" s="149" t="s">
        <v>3558</v>
      </c>
      <c r="K2069" s="149" t="s">
        <v>3564</v>
      </c>
      <c r="L2069" s="171">
        <f t="shared" si="57"/>
        <v>-14000000</v>
      </c>
    </row>
    <row r="2070" spans="1:12" x14ac:dyDescent="0.25">
      <c r="A2070" s="7" t="s">
        <v>3315</v>
      </c>
      <c r="B2070" s="60">
        <v>524111</v>
      </c>
      <c r="C2070" s="41" t="s">
        <v>19</v>
      </c>
      <c r="D2070" s="60"/>
      <c r="E2070" s="60"/>
      <c r="F2070" s="42"/>
      <c r="G2070" s="42">
        <v>59120000</v>
      </c>
      <c r="H2070" s="165">
        <v>1500000</v>
      </c>
      <c r="I2070" s="150" t="s">
        <v>557</v>
      </c>
      <c r="J2070" s="149" t="s">
        <v>3558</v>
      </c>
      <c r="K2070" s="149" t="s">
        <v>3564</v>
      </c>
      <c r="L2070" s="171">
        <f t="shared" si="57"/>
        <v>57620000</v>
      </c>
    </row>
    <row r="2071" spans="1:12" x14ac:dyDescent="0.25">
      <c r="A2071" s="7" t="s">
        <v>3316</v>
      </c>
      <c r="B2071" s="61"/>
      <c r="C2071" s="44" t="s">
        <v>4581</v>
      </c>
      <c r="D2071" s="61">
        <v>10</v>
      </c>
      <c r="E2071" s="61" t="s">
        <v>10</v>
      </c>
      <c r="F2071" s="45">
        <v>5912000</v>
      </c>
      <c r="G2071" s="45">
        <f>ROUNDDOWN(D2071*F2071,-3)</f>
        <v>59120000</v>
      </c>
      <c r="H2071" s="168">
        <v>1500000</v>
      </c>
      <c r="I2071" s="150" t="s">
        <v>557</v>
      </c>
      <c r="J2071" s="149" t="s">
        <v>3558</v>
      </c>
      <c r="K2071" s="149" t="s">
        <v>3564</v>
      </c>
      <c r="L2071" s="171">
        <f t="shared" si="57"/>
        <v>57620000</v>
      </c>
    </row>
    <row r="2072" spans="1:12" x14ac:dyDescent="0.25">
      <c r="A2072" s="7" t="s">
        <v>3318</v>
      </c>
      <c r="B2072" s="58">
        <v>301</v>
      </c>
      <c r="C2072" s="35" t="s">
        <v>3319</v>
      </c>
      <c r="D2072" s="58">
        <v>0</v>
      </c>
      <c r="E2072" s="58"/>
      <c r="F2072" s="36"/>
      <c r="G2072" s="36">
        <v>289920000</v>
      </c>
      <c r="H2072" s="165">
        <v>86700000</v>
      </c>
      <c r="I2072" s="150" t="s">
        <v>557</v>
      </c>
      <c r="J2072" s="149" t="s">
        <v>3558</v>
      </c>
      <c r="K2072" s="149" t="s">
        <v>3564</v>
      </c>
      <c r="L2072" s="171">
        <f t="shared" si="57"/>
        <v>203220000</v>
      </c>
    </row>
    <row r="2073" spans="1:12" x14ac:dyDescent="0.25">
      <c r="A2073" s="7" t="s">
        <v>3320</v>
      </c>
      <c r="B2073" s="59" t="s">
        <v>8</v>
      </c>
      <c r="C2073" s="38" t="s">
        <v>143</v>
      </c>
      <c r="D2073" s="59"/>
      <c r="E2073" s="59"/>
      <c r="F2073" s="39"/>
      <c r="G2073" s="39">
        <v>40700000</v>
      </c>
      <c r="H2073" s="165">
        <v>32400000</v>
      </c>
      <c r="I2073" s="150" t="s">
        <v>557</v>
      </c>
      <c r="J2073" s="149" t="s">
        <v>3558</v>
      </c>
      <c r="K2073" s="149" t="s">
        <v>3564</v>
      </c>
      <c r="L2073" s="171">
        <f t="shared" si="57"/>
        <v>8300000</v>
      </c>
    </row>
    <row r="2074" spans="1:12" x14ac:dyDescent="0.25">
      <c r="A2074" s="7" t="s">
        <v>3321</v>
      </c>
      <c r="B2074" s="60">
        <v>521211</v>
      </c>
      <c r="C2074" s="41" t="s">
        <v>7</v>
      </c>
      <c r="D2074" s="60"/>
      <c r="E2074" s="60"/>
      <c r="F2074" s="42"/>
      <c r="G2074" s="42">
        <v>23900000</v>
      </c>
      <c r="H2074" s="168">
        <v>9000000</v>
      </c>
      <c r="I2074" s="150" t="s">
        <v>557</v>
      </c>
      <c r="J2074" s="149" t="s">
        <v>3558</v>
      </c>
      <c r="K2074" s="149" t="s">
        <v>3564</v>
      </c>
      <c r="L2074" s="171">
        <f t="shared" si="57"/>
        <v>14900000</v>
      </c>
    </row>
    <row r="2075" spans="1:12" x14ac:dyDescent="0.25">
      <c r="A2075" s="7" t="s">
        <v>3322</v>
      </c>
      <c r="B2075" s="61"/>
      <c r="C2075" s="44" t="s">
        <v>3598</v>
      </c>
      <c r="D2075" s="61">
        <v>5</v>
      </c>
      <c r="E2075" s="61" t="s">
        <v>9</v>
      </c>
      <c r="F2075" s="45">
        <v>1500000</v>
      </c>
      <c r="G2075" s="45">
        <f>ROUNDDOWN(D2075*F2075,-3)</f>
        <v>7500000</v>
      </c>
      <c r="H2075" s="168">
        <v>1400000</v>
      </c>
      <c r="I2075" s="150" t="s">
        <v>557</v>
      </c>
      <c r="J2075" s="149" t="s">
        <v>3558</v>
      </c>
      <c r="K2075" s="149" t="s">
        <v>3564</v>
      </c>
      <c r="L2075" s="171">
        <f t="shared" si="57"/>
        <v>6100000</v>
      </c>
    </row>
    <row r="2076" spans="1:12" x14ac:dyDescent="0.25">
      <c r="A2076" s="7" t="s">
        <v>3323</v>
      </c>
      <c r="B2076" s="61"/>
      <c r="C2076" s="44" t="s">
        <v>4420</v>
      </c>
      <c r="D2076" s="61">
        <v>20</v>
      </c>
      <c r="E2076" s="61" t="s">
        <v>10</v>
      </c>
      <c r="F2076" s="45">
        <v>70000</v>
      </c>
      <c r="G2076" s="45">
        <f>ROUNDDOWN(D2076*F2076,-3)</f>
        <v>1400000</v>
      </c>
      <c r="H2076" s="168">
        <v>14000000</v>
      </c>
      <c r="I2076" s="150" t="s">
        <v>557</v>
      </c>
      <c r="J2076" s="149" t="s">
        <v>3558</v>
      </c>
      <c r="K2076" s="149" t="s">
        <v>3564</v>
      </c>
      <c r="L2076" s="171">
        <f t="shared" si="57"/>
        <v>-12600000</v>
      </c>
    </row>
    <row r="2077" spans="1:12" x14ac:dyDescent="0.25">
      <c r="A2077" s="7" t="s">
        <v>3324</v>
      </c>
      <c r="B2077" s="61"/>
      <c r="C2077" s="44" t="s">
        <v>3600</v>
      </c>
      <c r="D2077" s="61">
        <v>6</v>
      </c>
      <c r="E2077" s="61" t="s">
        <v>106</v>
      </c>
      <c r="F2077" s="45">
        <v>1000000</v>
      </c>
      <c r="G2077" s="45">
        <f>ROUNDDOWN(D2077*F2077,-3)</f>
        <v>6000000</v>
      </c>
      <c r="H2077" s="168">
        <v>2000000</v>
      </c>
      <c r="I2077" s="150" t="s">
        <v>557</v>
      </c>
      <c r="J2077" s="149" t="s">
        <v>3558</v>
      </c>
      <c r="K2077" s="149" t="s">
        <v>3564</v>
      </c>
      <c r="L2077" s="171">
        <f t="shared" si="57"/>
        <v>4000000</v>
      </c>
    </row>
    <row r="2078" spans="1:12" x14ac:dyDescent="0.25">
      <c r="A2078" s="7" t="s">
        <v>3325</v>
      </c>
      <c r="B2078" s="61"/>
      <c r="C2078" s="44" t="s">
        <v>3601</v>
      </c>
      <c r="D2078" s="61">
        <v>6</v>
      </c>
      <c r="E2078" s="61" t="s">
        <v>106</v>
      </c>
      <c r="F2078" s="45">
        <v>1500000</v>
      </c>
      <c r="G2078" s="45">
        <f>ROUNDDOWN(D2078*F2078,-3)</f>
        <v>9000000</v>
      </c>
      <c r="H2078" s="168">
        <v>6000000</v>
      </c>
      <c r="I2078" s="150" t="s">
        <v>557</v>
      </c>
      <c r="J2078" s="149" t="s">
        <v>3558</v>
      </c>
      <c r="K2078" s="149" t="s">
        <v>3564</v>
      </c>
      <c r="L2078" s="171">
        <f t="shared" si="57"/>
        <v>3000000</v>
      </c>
    </row>
    <row r="2079" spans="1:12" x14ac:dyDescent="0.25">
      <c r="A2079" s="7" t="s">
        <v>3326</v>
      </c>
      <c r="B2079" s="60">
        <v>524111</v>
      </c>
      <c r="C2079" s="41" t="s">
        <v>19</v>
      </c>
      <c r="D2079" s="60"/>
      <c r="E2079" s="60"/>
      <c r="F2079" s="42"/>
      <c r="G2079" s="42">
        <v>15000000</v>
      </c>
      <c r="H2079" s="165">
        <v>9000000</v>
      </c>
      <c r="I2079" s="150" t="s">
        <v>557</v>
      </c>
      <c r="J2079" s="149" t="s">
        <v>3558</v>
      </c>
      <c r="K2079" s="149" t="s">
        <v>3564</v>
      </c>
      <c r="L2079" s="171">
        <f t="shared" si="57"/>
        <v>6000000</v>
      </c>
    </row>
    <row r="2080" spans="1:12" x14ac:dyDescent="0.25">
      <c r="A2080" s="7" t="s">
        <v>3327</v>
      </c>
      <c r="B2080" s="61"/>
      <c r="C2080" s="44" t="s">
        <v>4582</v>
      </c>
      <c r="D2080" s="61">
        <v>5</v>
      </c>
      <c r="E2080" s="61" t="s">
        <v>10</v>
      </c>
      <c r="F2080" s="45">
        <v>3000000</v>
      </c>
      <c r="G2080" s="45">
        <f>ROUNDDOWN(D2080*F2080,-3)</f>
        <v>15000000</v>
      </c>
      <c r="H2080" s="168">
        <v>9000000</v>
      </c>
      <c r="I2080" s="150" t="s">
        <v>557</v>
      </c>
      <c r="J2080" s="149" t="s">
        <v>3558</v>
      </c>
      <c r="K2080" s="149" t="s">
        <v>3564</v>
      </c>
      <c r="L2080" s="171">
        <f t="shared" si="57"/>
        <v>6000000</v>
      </c>
    </row>
    <row r="2081" spans="1:12" x14ac:dyDescent="0.25">
      <c r="A2081" s="7" t="s">
        <v>3329</v>
      </c>
      <c r="B2081" s="60">
        <v>524113</v>
      </c>
      <c r="C2081" s="41" t="s">
        <v>13</v>
      </c>
      <c r="D2081" s="60"/>
      <c r="E2081" s="60"/>
      <c r="F2081" s="42"/>
      <c r="G2081" s="42">
        <v>1800000</v>
      </c>
      <c r="H2081" s="165">
        <v>42000000</v>
      </c>
      <c r="I2081" s="150" t="s">
        <v>557</v>
      </c>
      <c r="J2081" s="149" t="s">
        <v>3558</v>
      </c>
      <c r="K2081" s="149" t="s">
        <v>3564</v>
      </c>
      <c r="L2081" s="171">
        <f t="shared" si="57"/>
        <v>-40200000</v>
      </c>
    </row>
    <row r="2082" spans="1:12" x14ac:dyDescent="0.25">
      <c r="A2082" s="7" t="s">
        <v>3330</v>
      </c>
      <c r="B2082" s="61"/>
      <c r="C2082" s="44" t="s">
        <v>3603</v>
      </c>
      <c r="D2082" s="61">
        <v>12</v>
      </c>
      <c r="E2082" s="61" t="s">
        <v>10</v>
      </c>
      <c r="F2082" s="45">
        <v>150000</v>
      </c>
      <c r="G2082" s="45">
        <f>ROUNDDOWN(D2082*F2082,-3)</f>
        <v>1800000</v>
      </c>
      <c r="H2082" s="168">
        <v>42000000</v>
      </c>
      <c r="I2082" s="150" t="s">
        <v>557</v>
      </c>
      <c r="J2082" s="149" t="s">
        <v>3558</v>
      </c>
      <c r="K2082" s="149" t="s">
        <v>3564</v>
      </c>
      <c r="L2082" s="171">
        <f t="shared" si="57"/>
        <v>-40200000</v>
      </c>
    </row>
    <row r="2083" spans="1:12" x14ac:dyDescent="0.25">
      <c r="A2083" s="7" t="s">
        <v>3331</v>
      </c>
      <c r="B2083" s="59" t="s">
        <v>511</v>
      </c>
      <c r="C2083" s="38" t="s">
        <v>144</v>
      </c>
      <c r="D2083" s="59"/>
      <c r="E2083" s="59"/>
      <c r="F2083" s="39"/>
      <c r="G2083" s="39">
        <v>30900000</v>
      </c>
      <c r="H2083" s="165">
        <v>3300000</v>
      </c>
      <c r="I2083" s="150" t="s">
        <v>557</v>
      </c>
      <c r="J2083" s="149" t="s">
        <v>3558</v>
      </c>
      <c r="K2083" s="149" t="s">
        <v>3564</v>
      </c>
      <c r="L2083" s="171">
        <f t="shared" si="57"/>
        <v>27600000</v>
      </c>
    </row>
    <row r="2084" spans="1:12" x14ac:dyDescent="0.25">
      <c r="A2084" s="7" t="s">
        <v>3332</v>
      </c>
      <c r="B2084" s="60">
        <v>521211</v>
      </c>
      <c r="C2084" s="41" t="s">
        <v>7</v>
      </c>
      <c r="D2084" s="60"/>
      <c r="E2084" s="60"/>
      <c r="F2084" s="42"/>
      <c r="G2084" s="42">
        <v>11400000</v>
      </c>
      <c r="H2084" s="168">
        <v>3300000</v>
      </c>
      <c r="I2084" s="150" t="s">
        <v>557</v>
      </c>
      <c r="J2084" s="149" t="s">
        <v>3558</v>
      </c>
      <c r="K2084" s="149" t="s">
        <v>3564</v>
      </c>
      <c r="L2084" s="171">
        <f t="shared" si="57"/>
        <v>8100000</v>
      </c>
    </row>
    <row r="2085" spans="1:12" x14ac:dyDescent="0.25">
      <c r="A2085" s="7" t="s">
        <v>3333</v>
      </c>
      <c r="B2085" s="192"/>
      <c r="C2085" s="191" t="s">
        <v>4269</v>
      </c>
      <c r="D2085" s="192">
        <v>4</v>
      </c>
      <c r="E2085" s="192" t="s">
        <v>9</v>
      </c>
      <c r="F2085" s="193">
        <v>1500000</v>
      </c>
      <c r="G2085" s="45">
        <f>ROUNDDOWN(D2085*F2085,-3)</f>
        <v>6000000</v>
      </c>
      <c r="H2085" s="165">
        <v>28800000</v>
      </c>
      <c r="I2085" s="150" t="s">
        <v>557</v>
      </c>
      <c r="J2085" s="149" t="s">
        <v>3558</v>
      </c>
      <c r="K2085" s="149" t="s">
        <v>3564</v>
      </c>
      <c r="L2085" s="171">
        <f t="shared" si="57"/>
        <v>-22800000</v>
      </c>
    </row>
    <row r="2086" spans="1:12" x14ac:dyDescent="0.25">
      <c r="A2086" s="7" t="s">
        <v>3334</v>
      </c>
      <c r="B2086" s="192"/>
      <c r="C2086" s="191" t="s">
        <v>4420</v>
      </c>
      <c r="D2086" s="192">
        <v>20</v>
      </c>
      <c r="E2086" s="192" t="s">
        <v>10</v>
      </c>
      <c r="F2086" s="193">
        <v>70000</v>
      </c>
      <c r="G2086" s="45">
        <f>ROUNDDOWN(D2086*F2086,-3)</f>
        <v>1400000</v>
      </c>
      <c r="H2086" s="165">
        <v>15000000</v>
      </c>
      <c r="I2086" s="150" t="s">
        <v>557</v>
      </c>
      <c r="J2086" s="149" t="s">
        <v>3558</v>
      </c>
      <c r="K2086" s="149" t="s">
        <v>3564</v>
      </c>
      <c r="L2086" s="171">
        <f t="shared" si="57"/>
        <v>-13600000</v>
      </c>
    </row>
    <row r="2087" spans="1:12" x14ac:dyDescent="0.25">
      <c r="A2087" s="7" t="s">
        <v>3335</v>
      </c>
      <c r="B2087" s="61"/>
      <c r="C2087" s="44" t="s">
        <v>3600</v>
      </c>
      <c r="D2087" s="61">
        <v>4</v>
      </c>
      <c r="E2087" s="61" t="s">
        <v>106</v>
      </c>
      <c r="F2087" s="45">
        <v>1000000</v>
      </c>
      <c r="G2087" s="45">
        <f>ROUNDDOWN(D2087*F2087,-3)</f>
        <v>4000000</v>
      </c>
      <c r="H2087" s="168">
        <v>9000000</v>
      </c>
      <c r="I2087" s="150" t="s">
        <v>557</v>
      </c>
      <c r="J2087" s="149" t="s">
        <v>3558</v>
      </c>
      <c r="K2087" s="149" t="s">
        <v>3564</v>
      </c>
      <c r="L2087" s="171">
        <f t="shared" si="57"/>
        <v>-5000000</v>
      </c>
    </row>
    <row r="2088" spans="1:12" x14ac:dyDescent="0.25">
      <c r="A2088" s="7" t="s">
        <v>3336</v>
      </c>
      <c r="B2088" s="60">
        <v>524111</v>
      </c>
      <c r="C2088" s="41" t="s">
        <v>19</v>
      </c>
      <c r="D2088" s="60"/>
      <c r="E2088" s="60"/>
      <c r="F2088" s="42"/>
      <c r="G2088" s="42">
        <v>18000000</v>
      </c>
      <c r="H2088" s="168">
        <v>6000000</v>
      </c>
      <c r="I2088" s="150" t="s">
        <v>557</v>
      </c>
      <c r="J2088" s="149" t="s">
        <v>3558</v>
      </c>
      <c r="K2088" s="149" t="s">
        <v>3564</v>
      </c>
      <c r="L2088" s="171">
        <f t="shared" si="57"/>
        <v>12000000</v>
      </c>
    </row>
    <row r="2089" spans="1:12" x14ac:dyDescent="0.25">
      <c r="A2089" s="7" t="s">
        <v>3337</v>
      </c>
      <c r="B2089" s="192"/>
      <c r="C2089" s="191" t="s">
        <v>4582</v>
      </c>
      <c r="D2089" s="192">
        <v>6</v>
      </c>
      <c r="E2089" s="192" t="s">
        <v>10</v>
      </c>
      <c r="F2089" s="193">
        <v>3000000</v>
      </c>
      <c r="G2089" s="45">
        <f>ROUNDDOWN(D2089*F2089,-3)</f>
        <v>18000000</v>
      </c>
      <c r="H2089" s="165">
        <v>12000000</v>
      </c>
      <c r="I2089" s="150" t="s">
        <v>557</v>
      </c>
      <c r="J2089" s="149" t="s">
        <v>3558</v>
      </c>
      <c r="K2089" s="149" t="s">
        <v>3564</v>
      </c>
      <c r="L2089" s="171">
        <f t="shared" si="57"/>
        <v>6000000</v>
      </c>
    </row>
    <row r="2090" spans="1:12" x14ac:dyDescent="0.25">
      <c r="A2090" s="7" t="s">
        <v>3338</v>
      </c>
      <c r="B2090" s="60">
        <v>524113</v>
      </c>
      <c r="C2090" s="41" t="s">
        <v>13</v>
      </c>
      <c r="D2090" s="60"/>
      <c r="E2090" s="60"/>
      <c r="F2090" s="42"/>
      <c r="G2090" s="42">
        <v>1500000</v>
      </c>
      <c r="H2090" s="168">
        <v>12000000</v>
      </c>
      <c r="I2090" s="150" t="s">
        <v>557</v>
      </c>
      <c r="J2090" s="149" t="s">
        <v>3558</v>
      </c>
      <c r="K2090" s="149" t="s">
        <v>3564</v>
      </c>
      <c r="L2090" s="171">
        <f t="shared" si="57"/>
        <v>-10500000</v>
      </c>
    </row>
    <row r="2091" spans="1:12" x14ac:dyDescent="0.25">
      <c r="A2091" s="7" t="s">
        <v>3339</v>
      </c>
      <c r="B2091" s="192"/>
      <c r="C2091" s="191" t="s">
        <v>3613</v>
      </c>
      <c r="D2091" s="192">
        <v>10</v>
      </c>
      <c r="E2091" s="192" t="s">
        <v>10</v>
      </c>
      <c r="F2091" s="193">
        <v>150000</v>
      </c>
      <c r="G2091" s="45">
        <f>ROUNDDOWN(D2091*F2091,-3)</f>
        <v>1500000</v>
      </c>
      <c r="H2091" s="165">
        <v>1800000</v>
      </c>
      <c r="I2091" s="150" t="s">
        <v>557</v>
      </c>
      <c r="J2091" s="149" t="s">
        <v>3558</v>
      </c>
      <c r="K2091" s="149" t="s">
        <v>3564</v>
      </c>
      <c r="L2091" s="171">
        <f t="shared" si="57"/>
        <v>-300000</v>
      </c>
    </row>
    <row r="2092" spans="1:12" x14ac:dyDescent="0.25">
      <c r="A2092" s="7" t="s">
        <v>3340</v>
      </c>
      <c r="B2092" s="59" t="s">
        <v>512</v>
      </c>
      <c r="C2092" s="38" t="s">
        <v>145</v>
      </c>
      <c r="D2092" s="59"/>
      <c r="E2092" s="59"/>
      <c r="F2092" s="39"/>
      <c r="G2092" s="39">
        <v>26500000</v>
      </c>
      <c r="H2092" s="168">
        <v>1800000</v>
      </c>
      <c r="I2092" s="150" t="s">
        <v>557</v>
      </c>
      <c r="J2092" s="149" t="s">
        <v>3558</v>
      </c>
      <c r="K2092" s="149" t="s">
        <v>3564</v>
      </c>
      <c r="L2092" s="171">
        <f t="shared" si="57"/>
        <v>24700000</v>
      </c>
    </row>
    <row r="2093" spans="1:12" x14ac:dyDescent="0.25">
      <c r="A2093" s="7" t="s">
        <v>3341</v>
      </c>
      <c r="B2093" s="60">
        <v>521211</v>
      </c>
      <c r="C2093" s="41" t="s">
        <v>7</v>
      </c>
      <c r="D2093" s="60"/>
      <c r="E2093" s="60"/>
      <c r="F2093" s="42"/>
      <c r="G2093" s="42">
        <v>10000000</v>
      </c>
      <c r="H2093" s="165">
        <v>76320000</v>
      </c>
      <c r="I2093" s="150" t="s">
        <v>557</v>
      </c>
      <c r="J2093" s="149" t="s">
        <v>3558</v>
      </c>
      <c r="K2093" s="149" t="s">
        <v>3564</v>
      </c>
      <c r="L2093" s="171">
        <f t="shared" si="57"/>
        <v>-66320000</v>
      </c>
    </row>
    <row r="2094" spans="1:12" x14ac:dyDescent="0.25">
      <c r="A2094" s="7" t="s">
        <v>3342</v>
      </c>
      <c r="B2094" s="192"/>
      <c r="C2094" s="191" t="s">
        <v>4269</v>
      </c>
      <c r="D2094" s="192">
        <v>4</v>
      </c>
      <c r="E2094" s="192" t="s">
        <v>9</v>
      </c>
      <c r="F2094" s="193">
        <v>1500000</v>
      </c>
      <c r="G2094" s="45">
        <f>ROUNDDOWN(D2094*F2094,-3)</f>
        <v>6000000</v>
      </c>
      <c r="H2094" s="165">
        <v>4800000</v>
      </c>
      <c r="I2094" s="150" t="s">
        <v>557</v>
      </c>
      <c r="J2094" s="149" t="s">
        <v>3558</v>
      </c>
      <c r="K2094" s="149" t="s">
        <v>3564</v>
      </c>
      <c r="L2094" s="171">
        <f t="shared" si="57"/>
        <v>1200000</v>
      </c>
    </row>
    <row r="2095" spans="1:12" x14ac:dyDescent="0.25">
      <c r="A2095" s="7" t="s">
        <v>3343</v>
      </c>
      <c r="B2095" s="61"/>
      <c r="C2095" s="44" t="s">
        <v>3632</v>
      </c>
      <c r="D2095" s="61">
        <v>4</v>
      </c>
      <c r="E2095" s="61" t="s">
        <v>106</v>
      </c>
      <c r="F2095" s="45">
        <v>1000000</v>
      </c>
      <c r="G2095" s="45">
        <f>ROUNDDOWN(D2095*F2095,-3)</f>
        <v>4000000</v>
      </c>
      <c r="H2095" s="168">
        <v>4800000</v>
      </c>
      <c r="I2095" s="150" t="s">
        <v>557</v>
      </c>
      <c r="J2095" s="149" t="s">
        <v>3558</v>
      </c>
      <c r="K2095" s="149" t="s">
        <v>3564</v>
      </c>
      <c r="L2095" s="171">
        <f t="shared" si="57"/>
        <v>-800000</v>
      </c>
    </row>
    <row r="2096" spans="1:12" x14ac:dyDescent="0.25">
      <c r="A2096" s="7" t="s">
        <v>3344</v>
      </c>
      <c r="B2096" s="60">
        <v>524111</v>
      </c>
      <c r="C2096" s="41" t="s">
        <v>19</v>
      </c>
      <c r="D2096" s="60"/>
      <c r="E2096" s="60"/>
      <c r="F2096" s="42"/>
      <c r="G2096" s="42">
        <v>15000000</v>
      </c>
      <c r="H2096" s="165">
        <v>25000000</v>
      </c>
      <c r="I2096" s="150" t="s">
        <v>557</v>
      </c>
      <c r="J2096" s="149" t="s">
        <v>3558</v>
      </c>
      <c r="K2096" s="149" t="s">
        <v>3564</v>
      </c>
      <c r="L2096" s="171">
        <f t="shared" si="57"/>
        <v>-10000000</v>
      </c>
    </row>
    <row r="2097" spans="1:12" x14ac:dyDescent="0.25">
      <c r="A2097" s="7" t="s">
        <v>3345</v>
      </c>
      <c r="B2097" s="61"/>
      <c r="C2097" s="44" t="s">
        <v>4583</v>
      </c>
      <c r="D2097" s="61">
        <v>5</v>
      </c>
      <c r="E2097" s="61" t="s">
        <v>10</v>
      </c>
      <c r="F2097" s="45">
        <v>3000000</v>
      </c>
      <c r="G2097" s="45">
        <f>ROUNDDOWN(D2097*F2097,-3)</f>
        <v>15000000</v>
      </c>
      <c r="H2097" s="168">
        <v>15000000</v>
      </c>
      <c r="I2097" s="150" t="s">
        <v>557</v>
      </c>
      <c r="J2097" s="149" t="s">
        <v>3558</v>
      </c>
      <c r="K2097" s="149" t="s">
        <v>3564</v>
      </c>
      <c r="L2097" s="171">
        <f t="shared" si="57"/>
        <v>0</v>
      </c>
    </row>
    <row r="2098" spans="1:12" x14ac:dyDescent="0.25">
      <c r="A2098" s="7" t="s">
        <v>3347</v>
      </c>
      <c r="B2098" s="60">
        <v>524113</v>
      </c>
      <c r="C2098" s="41" t="s">
        <v>13</v>
      </c>
      <c r="D2098" s="60"/>
      <c r="E2098" s="60"/>
      <c r="F2098" s="42"/>
      <c r="G2098" s="42">
        <v>1500000</v>
      </c>
      <c r="H2098" s="168">
        <v>10000000</v>
      </c>
      <c r="I2098" s="150" t="s">
        <v>557</v>
      </c>
      <c r="J2098" s="149" t="s">
        <v>3558</v>
      </c>
      <c r="K2098" s="149" t="s">
        <v>3564</v>
      </c>
      <c r="L2098" s="171">
        <f t="shared" si="57"/>
        <v>-8500000</v>
      </c>
    </row>
    <row r="2099" spans="1:12" x14ac:dyDescent="0.25">
      <c r="A2099" s="7" t="s">
        <v>3348</v>
      </c>
      <c r="B2099" s="192"/>
      <c r="C2099" s="191" t="s">
        <v>3613</v>
      </c>
      <c r="D2099" s="192">
        <v>10</v>
      </c>
      <c r="E2099" s="192" t="s">
        <v>10</v>
      </c>
      <c r="F2099" s="193">
        <v>150000</v>
      </c>
      <c r="G2099" s="45">
        <f>ROUNDDOWN(D2099*F2099,-3)</f>
        <v>1500000</v>
      </c>
      <c r="H2099" s="165">
        <v>42770000</v>
      </c>
      <c r="I2099" s="150" t="s">
        <v>557</v>
      </c>
      <c r="J2099" s="149" t="s">
        <v>3558</v>
      </c>
      <c r="K2099" s="149" t="s">
        <v>3564</v>
      </c>
      <c r="L2099" s="171">
        <f t="shared" si="57"/>
        <v>-41270000</v>
      </c>
    </row>
    <row r="2100" spans="1:12" x14ac:dyDescent="0.25">
      <c r="A2100" s="7" t="s">
        <v>3349</v>
      </c>
      <c r="B2100" s="59" t="s">
        <v>514</v>
      </c>
      <c r="C2100" s="38" t="s">
        <v>3350</v>
      </c>
      <c r="D2100" s="59"/>
      <c r="E2100" s="59"/>
      <c r="F2100" s="39"/>
      <c r="G2100" s="39">
        <v>86700000</v>
      </c>
      <c r="H2100" s="168">
        <v>42770000</v>
      </c>
      <c r="I2100" s="150" t="s">
        <v>557</v>
      </c>
      <c r="J2100" s="149" t="s">
        <v>3558</v>
      </c>
      <c r="K2100" s="149" t="s">
        <v>3564</v>
      </c>
      <c r="L2100" s="171">
        <f t="shared" si="57"/>
        <v>43930000</v>
      </c>
    </row>
    <row r="2101" spans="1:12" x14ac:dyDescent="0.25">
      <c r="A2101" s="7" t="s">
        <v>3351</v>
      </c>
      <c r="B2101" s="60">
        <v>521211</v>
      </c>
      <c r="C2101" s="41" t="s">
        <v>7</v>
      </c>
      <c r="D2101" s="60"/>
      <c r="E2101" s="60"/>
      <c r="F2101" s="42"/>
      <c r="G2101" s="42">
        <v>32400000</v>
      </c>
      <c r="H2101" s="165">
        <v>3750000</v>
      </c>
      <c r="I2101" s="150" t="s">
        <v>557</v>
      </c>
      <c r="J2101" s="149" t="s">
        <v>3558</v>
      </c>
      <c r="K2101" s="149" t="s">
        <v>3564</v>
      </c>
      <c r="L2101" s="171">
        <f t="shared" si="57"/>
        <v>28650000</v>
      </c>
    </row>
    <row r="2102" spans="1:12" x14ac:dyDescent="0.25">
      <c r="A2102" s="7" t="s">
        <v>3352</v>
      </c>
      <c r="B2102" s="61"/>
      <c r="C2102" s="44" t="s">
        <v>4269</v>
      </c>
      <c r="D2102" s="61">
        <v>6</v>
      </c>
      <c r="E2102" s="61" t="s">
        <v>9</v>
      </c>
      <c r="F2102" s="45">
        <v>1500000</v>
      </c>
      <c r="G2102" s="45">
        <f>ROUNDDOWN(D2102*F2102,-3)</f>
        <v>9000000</v>
      </c>
      <c r="H2102" s="168">
        <v>3750000</v>
      </c>
      <c r="I2102" s="150" t="s">
        <v>557</v>
      </c>
      <c r="J2102" s="149" t="s">
        <v>3558</v>
      </c>
      <c r="K2102" s="149" t="s">
        <v>3564</v>
      </c>
      <c r="L2102" s="171">
        <f t="shared" si="57"/>
        <v>5250000</v>
      </c>
    </row>
    <row r="2103" spans="1:12" x14ac:dyDescent="0.25">
      <c r="A2103" s="7" t="s">
        <v>3353</v>
      </c>
      <c r="B2103" s="192"/>
      <c r="C2103" s="191" t="s">
        <v>4420</v>
      </c>
      <c r="D2103" s="192">
        <v>20</v>
      </c>
      <c r="E2103" s="192" t="s">
        <v>10</v>
      </c>
      <c r="F2103" s="193">
        <v>70000</v>
      </c>
      <c r="G2103" s="45">
        <f>ROUNDDOWN(D2103*F2103,-3)</f>
        <v>1400000</v>
      </c>
      <c r="H2103" s="165">
        <v>1000000000</v>
      </c>
      <c r="I2103" s="150" t="s">
        <v>3552</v>
      </c>
      <c r="J2103" s="149" t="s">
        <v>3564</v>
      </c>
      <c r="K2103" s="149" t="s">
        <v>3570</v>
      </c>
      <c r="L2103" s="171">
        <f t="shared" si="57"/>
        <v>-998600000</v>
      </c>
    </row>
    <row r="2104" spans="1:12" x14ac:dyDescent="0.25">
      <c r="A2104" s="7" t="s">
        <v>3354</v>
      </c>
      <c r="B2104" s="195"/>
      <c r="C2104" s="194" t="s">
        <v>4584</v>
      </c>
      <c r="D2104" s="195">
        <v>28</v>
      </c>
      <c r="E2104" s="195" t="s">
        <v>176</v>
      </c>
      <c r="F2104" s="196">
        <v>500000</v>
      </c>
      <c r="G2104" s="45">
        <f>ROUNDDOWN(D2104*F2104,-3)</f>
        <v>14000000</v>
      </c>
      <c r="H2104" s="165">
        <v>1000000000</v>
      </c>
      <c r="I2104" s="150" t="s">
        <v>3552</v>
      </c>
      <c r="J2104" s="149" t="s">
        <v>3564</v>
      </c>
      <c r="K2104" s="149" t="s">
        <v>3570</v>
      </c>
      <c r="L2104" s="171">
        <f t="shared" si="57"/>
        <v>-986000000</v>
      </c>
    </row>
    <row r="2105" spans="1:12" x14ac:dyDescent="0.25">
      <c r="A2105" s="7" t="s">
        <v>3356</v>
      </c>
      <c r="B2105" s="192"/>
      <c r="C2105" s="191" t="s">
        <v>4585</v>
      </c>
      <c r="D2105" s="192">
        <v>4</v>
      </c>
      <c r="E2105" s="192" t="s">
        <v>58</v>
      </c>
      <c r="F2105" s="193">
        <v>500000</v>
      </c>
      <c r="G2105" s="45">
        <f>ROUNDDOWN(D2105*F2105,-3)</f>
        <v>2000000</v>
      </c>
      <c r="H2105" s="165">
        <v>176950000</v>
      </c>
      <c r="I2105" s="150" t="s">
        <v>3552</v>
      </c>
      <c r="J2105" s="149" t="s">
        <v>3564</v>
      </c>
      <c r="K2105" s="149" t="s">
        <v>3570</v>
      </c>
      <c r="L2105" s="171">
        <f t="shared" si="57"/>
        <v>-174950000</v>
      </c>
    </row>
    <row r="2106" spans="1:12" x14ac:dyDescent="0.25">
      <c r="A2106" s="7" t="s">
        <v>3358</v>
      </c>
      <c r="B2106" s="192"/>
      <c r="C2106" s="191" t="s">
        <v>4521</v>
      </c>
      <c r="D2106" s="192">
        <v>6</v>
      </c>
      <c r="E2106" s="192" t="s">
        <v>106</v>
      </c>
      <c r="F2106" s="193">
        <v>1000000</v>
      </c>
      <c r="G2106" s="45">
        <f>ROUNDDOWN(D2106*F2106,-3)</f>
        <v>6000000</v>
      </c>
      <c r="H2106" s="165">
        <v>2950000</v>
      </c>
      <c r="I2106" s="150" t="s">
        <v>3552</v>
      </c>
      <c r="J2106" s="149"/>
      <c r="K2106" s="149"/>
      <c r="L2106" s="171">
        <f t="shared" si="57"/>
        <v>3050000</v>
      </c>
    </row>
    <row r="2107" spans="1:12" x14ac:dyDescent="0.25">
      <c r="A2107" s="7" t="s">
        <v>3359</v>
      </c>
      <c r="B2107" s="60">
        <v>522151</v>
      </c>
      <c r="C2107" s="41" t="s">
        <v>11</v>
      </c>
      <c r="D2107" s="60"/>
      <c r="E2107" s="60"/>
      <c r="F2107" s="42"/>
      <c r="G2107" s="42">
        <v>9000000</v>
      </c>
      <c r="H2107" s="165">
        <v>2950000</v>
      </c>
      <c r="I2107" s="150" t="s">
        <v>3552</v>
      </c>
      <c r="J2107" s="149"/>
      <c r="K2107" s="149"/>
      <c r="L2107" s="171">
        <f t="shared" si="57"/>
        <v>6050000</v>
      </c>
    </row>
    <row r="2108" spans="1:12" x14ac:dyDescent="0.25">
      <c r="A2108" s="7" t="s">
        <v>3360</v>
      </c>
      <c r="B2108" s="192"/>
      <c r="C2108" s="191" t="s">
        <v>3715</v>
      </c>
      <c r="D2108" s="192">
        <v>10</v>
      </c>
      <c r="E2108" s="192" t="s">
        <v>12</v>
      </c>
      <c r="F2108" s="193">
        <v>900000</v>
      </c>
      <c r="G2108" s="45">
        <f>ROUNDDOWN(D2108*F2108,-3)</f>
        <v>9000000</v>
      </c>
      <c r="H2108" s="165">
        <v>24000000</v>
      </c>
      <c r="I2108" s="150" t="s">
        <v>3552</v>
      </c>
      <c r="J2108" s="149"/>
      <c r="K2108" s="149"/>
      <c r="L2108" s="171">
        <f t="shared" si="57"/>
        <v>-15000000</v>
      </c>
    </row>
    <row r="2109" spans="1:12" x14ac:dyDescent="0.25">
      <c r="A2109" s="7" t="s">
        <v>3361</v>
      </c>
      <c r="B2109" s="60">
        <v>524111</v>
      </c>
      <c r="C2109" s="41" t="s">
        <v>19</v>
      </c>
      <c r="D2109" s="60"/>
      <c r="E2109" s="60"/>
      <c r="F2109" s="42"/>
      <c r="G2109" s="42">
        <v>42000000</v>
      </c>
      <c r="H2109" s="165">
        <v>12000000</v>
      </c>
      <c r="I2109" s="150" t="s">
        <v>3552</v>
      </c>
      <c r="J2109" s="149"/>
      <c r="K2109" s="149"/>
      <c r="L2109" s="171">
        <f t="shared" si="57"/>
        <v>30000000</v>
      </c>
    </row>
    <row r="2110" spans="1:12" ht="26.4" x14ac:dyDescent="0.25">
      <c r="A2110" s="7" t="s">
        <v>3362</v>
      </c>
      <c r="B2110" s="61"/>
      <c r="C2110" s="44" t="s">
        <v>4586</v>
      </c>
      <c r="D2110" s="61">
        <v>14</v>
      </c>
      <c r="E2110" s="61" t="s">
        <v>10</v>
      </c>
      <c r="F2110" s="45">
        <v>3000000</v>
      </c>
      <c r="G2110" s="45">
        <f>ROUNDDOWN(D2110*F2110,-3)</f>
        <v>42000000</v>
      </c>
      <c r="H2110" s="165">
        <v>12000000</v>
      </c>
      <c r="I2110" s="150" t="s">
        <v>3552</v>
      </c>
      <c r="J2110" s="149"/>
      <c r="K2110" s="149"/>
      <c r="L2110" s="171">
        <f t="shared" si="57"/>
        <v>30000000</v>
      </c>
    </row>
    <row r="2111" spans="1:12" x14ac:dyDescent="0.25">
      <c r="A2111" s="7" t="s">
        <v>3364</v>
      </c>
      <c r="B2111" s="60">
        <v>524113</v>
      </c>
      <c r="C2111" s="41" t="s">
        <v>13</v>
      </c>
      <c r="D2111" s="60"/>
      <c r="E2111" s="60"/>
      <c r="F2111" s="42"/>
      <c r="G2111" s="42">
        <v>3300000</v>
      </c>
      <c r="H2111" s="165">
        <v>150000000</v>
      </c>
      <c r="I2111" s="150" t="s">
        <v>3552</v>
      </c>
      <c r="J2111" s="149"/>
      <c r="K2111" s="149"/>
      <c r="L2111" s="171">
        <f t="shared" si="57"/>
        <v>-146700000</v>
      </c>
    </row>
    <row r="2112" spans="1:12" ht="26.4" x14ac:dyDescent="0.25">
      <c r="A2112" s="7" t="s">
        <v>3365</v>
      </c>
      <c r="B2112" s="61"/>
      <c r="C2112" s="44" t="s">
        <v>4587</v>
      </c>
      <c r="D2112" s="61">
        <v>22</v>
      </c>
      <c r="E2112" s="61" t="s">
        <v>10</v>
      </c>
      <c r="F2112" s="45">
        <v>150000</v>
      </c>
      <c r="G2112" s="45">
        <f>ROUNDDOWN(D2112*F2112,-3)</f>
        <v>3300000</v>
      </c>
      <c r="H2112" s="165">
        <v>150000000</v>
      </c>
      <c r="I2112" s="150" t="s">
        <v>3552</v>
      </c>
      <c r="J2112" s="149"/>
      <c r="K2112" s="149"/>
      <c r="L2112" s="171">
        <f t="shared" si="57"/>
        <v>-146700000</v>
      </c>
    </row>
    <row r="2113" spans="1:12" x14ac:dyDescent="0.25">
      <c r="A2113" s="7" t="s">
        <v>3367</v>
      </c>
      <c r="B2113" s="59" t="s">
        <v>519</v>
      </c>
      <c r="C2113" s="38" t="s">
        <v>146</v>
      </c>
      <c r="D2113" s="59"/>
      <c r="E2113" s="59"/>
      <c r="F2113" s="39"/>
      <c r="G2113" s="39">
        <v>28800000</v>
      </c>
      <c r="H2113" s="165">
        <v>197800000</v>
      </c>
      <c r="I2113" s="150" t="s">
        <v>3552</v>
      </c>
      <c r="J2113" s="149" t="s">
        <v>3564</v>
      </c>
      <c r="K2113" s="149" t="s">
        <v>3570</v>
      </c>
      <c r="L2113" s="171">
        <f t="shared" si="57"/>
        <v>-169000000</v>
      </c>
    </row>
    <row r="2114" spans="1:12" x14ac:dyDescent="0.25">
      <c r="A2114" s="7" t="s">
        <v>3368</v>
      </c>
      <c r="B2114" s="60">
        <v>521211</v>
      </c>
      <c r="C2114" s="41" t="s">
        <v>7</v>
      </c>
      <c r="D2114" s="60"/>
      <c r="E2114" s="60"/>
      <c r="F2114" s="42"/>
      <c r="G2114" s="42">
        <v>15000000</v>
      </c>
      <c r="H2114" s="165">
        <v>12000000</v>
      </c>
      <c r="I2114" s="150" t="s">
        <v>3552</v>
      </c>
      <c r="J2114" s="149"/>
      <c r="K2114" s="149"/>
      <c r="L2114" s="171">
        <f t="shared" si="57"/>
        <v>3000000</v>
      </c>
    </row>
    <row r="2115" spans="1:12" x14ac:dyDescent="0.25">
      <c r="A2115" s="7" t="s">
        <v>3369</v>
      </c>
      <c r="B2115" s="61"/>
      <c r="C2115" s="44" t="s">
        <v>4269</v>
      </c>
      <c r="D2115" s="61">
        <v>6</v>
      </c>
      <c r="E2115" s="61" t="s">
        <v>9</v>
      </c>
      <c r="F2115" s="45">
        <v>1500000</v>
      </c>
      <c r="G2115" s="45">
        <f>ROUNDDOWN(D2115*F2115,-3)</f>
        <v>9000000</v>
      </c>
      <c r="H2115" s="165">
        <v>12000000</v>
      </c>
      <c r="I2115" s="150" t="s">
        <v>3552</v>
      </c>
      <c r="J2115" s="149"/>
      <c r="K2115" s="149"/>
      <c r="L2115" s="171">
        <f t="shared" si="57"/>
        <v>-3000000</v>
      </c>
    </row>
    <row r="2116" spans="1:12" x14ac:dyDescent="0.25">
      <c r="A2116" s="7" t="s">
        <v>3370</v>
      </c>
      <c r="B2116" s="192"/>
      <c r="C2116" s="191" t="s">
        <v>3632</v>
      </c>
      <c r="D2116" s="192">
        <v>6</v>
      </c>
      <c r="E2116" s="192" t="s">
        <v>106</v>
      </c>
      <c r="F2116" s="193">
        <v>1000000</v>
      </c>
      <c r="G2116" s="45">
        <f>ROUNDDOWN(D2116*F2116,-3)</f>
        <v>6000000</v>
      </c>
      <c r="H2116" s="165">
        <v>24000000</v>
      </c>
      <c r="I2116" s="150" t="s">
        <v>3552</v>
      </c>
      <c r="J2116" s="149"/>
      <c r="K2116" s="149"/>
      <c r="L2116" s="171">
        <f t="shared" si="57"/>
        <v>-18000000</v>
      </c>
    </row>
    <row r="2117" spans="1:12" x14ac:dyDescent="0.25">
      <c r="A2117" s="7" t="s">
        <v>3371</v>
      </c>
      <c r="B2117" s="60">
        <v>524111</v>
      </c>
      <c r="C2117" s="41" t="s">
        <v>19</v>
      </c>
      <c r="D2117" s="60"/>
      <c r="E2117" s="60"/>
      <c r="F2117" s="42"/>
      <c r="G2117" s="42">
        <v>12000000</v>
      </c>
      <c r="H2117" s="165">
        <v>12000000</v>
      </c>
      <c r="I2117" s="150" t="s">
        <v>3552</v>
      </c>
      <c r="J2117" s="149"/>
      <c r="K2117" s="149"/>
      <c r="L2117" s="171">
        <f t="shared" si="57"/>
        <v>0</v>
      </c>
    </row>
    <row r="2118" spans="1:12" x14ac:dyDescent="0.25">
      <c r="A2118" s="7" t="s">
        <v>3372</v>
      </c>
      <c r="B2118" s="61"/>
      <c r="C2118" s="44" t="s">
        <v>4588</v>
      </c>
      <c r="D2118" s="61">
        <v>4</v>
      </c>
      <c r="E2118" s="61" t="s">
        <v>10</v>
      </c>
      <c r="F2118" s="45">
        <v>3000000</v>
      </c>
      <c r="G2118" s="45">
        <f>ROUNDDOWN(D2118*F2118,-3)</f>
        <v>12000000</v>
      </c>
      <c r="H2118" s="165">
        <v>12000000</v>
      </c>
      <c r="I2118" s="150" t="s">
        <v>3552</v>
      </c>
      <c r="J2118" s="149"/>
      <c r="K2118" s="149"/>
      <c r="L2118" s="171">
        <f t="shared" si="57"/>
        <v>0</v>
      </c>
    </row>
    <row r="2119" spans="1:12" x14ac:dyDescent="0.25">
      <c r="A2119" s="7" t="s">
        <v>3374</v>
      </c>
      <c r="B2119" s="60">
        <v>524113</v>
      </c>
      <c r="C2119" s="41" t="s">
        <v>13</v>
      </c>
      <c r="D2119" s="60"/>
      <c r="E2119" s="60"/>
      <c r="F2119" s="42"/>
      <c r="G2119" s="42">
        <v>1800000</v>
      </c>
      <c r="H2119" s="165">
        <v>21600000</v>
      </c>
      <c r="I2119" s="150" t="s">
        <v>3552</v>
      </c>
      <c r="J2119" s="149"/>
      <c r="K2119" s="149"/>
      <c r="L2119" s="171">
        <f t="shared" si="57"/>
        <v>-19800000</v>
      </c>
    </row>
    <row r="2120" spans="1:12" x14ac:dyDescent="0.25">
      <c r="A2120" s="7" t="s">
        <v>3375</v>
      </c>
      <c r="B2120" s="61"/>
      <c r="C2120" s="44" t="s">
        <v>4589</v>
      </c>
      <c r="D2120" s="61">
        <v>12</v>
      </c>
      <c r="E2120" s="61" t="s">
        <v>10</v>
      </c>
      <c r="F2120" s="45">
        <v>150000</v>
      </c>
      <c r="G2120" s="45">
        <f>ROUNDDOWN(D2120*F2120,-3)</f>
        <v>1800000</v>
      </c>
      <c r="H2120" s="165">
        <v>21600000</v>
      </c>
      <c r="I2120" s="150" t="s">
        <v>3552</v>
      </c>
      <c r="J2120" s="149"/>
      <c r="K2120" s="149"/>
      <c r="L2120" s="171">
        <f t="shared" si="57"/>
        <v>-19800000</v>
      </c>
    </row>
    <row r="2121" spans="1:12" x14ac:dyDescent="0.25">
      <c r="A2121" s="7" t="s">
        <v>3377</v>
      </c>
      <c r="B2121" s="59" t="s">
        <v>578</v>
      </c>
      <c r="C2121" s="38" t="s">
        <v>147</v>
      </c>
      <c r="D2121" s="59"/>
      <c r="E2121" s="59"/>
      <c r="F2121" s="39"/>
      <c r="G2121" s="39">
        <v>76320000</v>
      </c>
      <c r="H2121" s="165">
        <v>115000000</v>
      </c>
      <c r="I2121" s="150" t="s">
        <v>3552</v>
      </c>
      <c r="J2121" s="149"/>
      <c r="K2121" s="149"/>
      <c r="L2121" s="171">
        <f t="shared" si="57"/>
        <v>-38680000</v>
      </c>
    </row>
    <row r="2122" spans="1:12" x14ac:dyDescent="0.25">
      <c r="A2122" s="7" t="s">
        <v>3378</v>
      </c>
      <c r="B2122" s="60">
        <v>521211</v>
      </c>
      <c r="C2122" s="41" t="s">
        <v>7</v>
      </c>
      <c r="D2122" s="60"/>
      <c r="E2122" s="60"/>
      <c r="F2122" s="42"/>
      <c r="G2122" s="42">
        <v>4800000</v>
      </c>
      <c r="H2122" s="165">
        <v>35000000</v>
      </c>
      <c r="I2122" s="150" t="s">
        <v>3552</v>
      </c>
      <c r="J2122" s="149"/>
      <c r="K2122" s="149"/>
      <c r="L2122" s="171">
        <f t="shared" si="57"/>
        <v>-30200000</v>
      </c>
    </row>
    <row r="2123" spans="1:12" x14ac:dyDescent="0.25">
      <c r="A2123" s="7" t="s">
        <v>3379</v>
      </c>
      <c r="B2123" s="61"/>
      <c r="C2123" s="44" t="s">
        <v>4590</v>
      </c>
      <c r="D2123" s="61">
        <v>24</v>
      </c>
      <c r="E2123" s="61" t="s">
        <v>176</v>
      </c>
      <c r="F2123" s="45">
        <v>200000</v>
      </c>
      <c r="G2123" s="45">
        <f>ROUNDDOWN(D2123*F2123,-3)</f>
        <v>4800000</v>
      </c>
      <c r="H2123" s="165">
        <v>40000000</v>
      </c>
      <c r="I2123" s="150" t="s">
        <v>3552</v>
      </c>
      <c r="J2123" s="149"/>
      <c r="K2123" s="149"/>
      <c r="L2123" s="171">
        <f t="shared" si="57"/>
        <v>-35200000</v>
      </c>
    </row>
    <row r="2124" spans="1:12" x14ac:dyDescent="0.25">
      <c r="A2124" s="7" t="s">
        <v>3381</v>
      </c>
      <c r="B2124" s="60">
        <v>521811</v>
      </c>
      <c r="C2124" s="41" t="s">
        <v>64</v>
      </c>
      <c r="D2124" s="60"/>
      <c r="E2124" s="60"/>
      <c r="F2124" s="42"/>
      <c r="G2124" s="42">
        <v>25000000</v>
      </c>
      <c r="H2124" s="165">
        <v>40000000</v>
      </c>
      <c r="I2124" s="150" t="s">
        <v>3552</v>
      </c>
      <c r="J2124" s="149"/>
      <c r="K2124" s="149"/>
      <c r="L2124" s="171">
        <f t="shared" si="57"/>
        <v>-15000000</v>
      </c>
    </row>
    <row r="2125" spans="1:12" x14ac:dyDescent="0.25">
      <c r="A2125" s="7" t="s">
        <v>3382</v>
      </c>
      <c r="B2125" s="192"/>
      <c r="C2125" s="191" t="s">
        <v>4269</v>
      </c>
      <c r="D2125" s="192">
        <v>10</v>
      </c>
      <c r="E2125" s="192" t="s">
        <v>9</v>
      </c>
      <c r="F2125" s="193">
        <v>1500000</v>
      </c>
      <c r="G2125" s="45">
        <f>ROUNDDOWN(D2125*F2125,-3)</f>
        <v>15000000</v>
      </c>
      <c r="H2125" s="165">
        <v>25200000</v>
      </c>
      <c r="I2125" s="150" t="s">
        <v>3552</v>
      </c>
      <c r="J2125" s="149"/>
      <c r="K2125" s="149"/>
      <c r="L2125" s="171">
        <f t="shared" si="57"/>
        <v>-10200000</v>
      </c>
    </row>
    <row r="2126" spans="1:12" x14ac:dyDescent="0.25">
      <c r="A2126" s="7" t="s">
        <v>3383</v>
      </c>
      <c r="B2126" s="61"/>
      <c r="C2126" s="44" t="s">
        <v>3632</v>
      </c>
      <c r="D2126" s="61">
        <v>10</v>
      </c>
      <c r="E2126" s="61" t="s">
        <v>2749</v>
      </c>
      <c r="F2126" s="45">
        <v>1000000</v>
      </c>
      <c r="G2126" s="45">
        <f>ROUNDDOWN(D2126*F2126,-3)</f>
        <v>10000000</v>
      </c>
      <c r="H2126" s="165">
        <v>14700000</v>
      </c>
      <c r="I2126" s="150" t="s">
        <v>3552</v>
      </c>
      <c r="J2126" s="149"/>
      <c r="K2126" s="149"/>
      <c r="L2126" s="171">
        <f t="shared" ref="L2126:L2189" si="58">G2126-H2126</f>
        <v>-4700000</v>
      </c>
    </row>
    <row r="2127" spans="1:12" x14ac:dyDescent="0.25">
      <c r="A2127" s="7" t="s">
        <v>3384</v>
      </c>
      <c r="B2127" s="60">
        <v>524111</v>
      </c>
      <c r="C2127" s="41" t="s">
        <v>19</v>
      </c>
      <c r="D2127" s="60"/>
      <c r="E2127" s="60"/>
      <c r="F2127" s="42"/>
      <c r="G2127" s="42">
        <v>42770000</v>
      </c>
      <c r="H2127" s="165">
        <v>10500000</v>
      </c>
      <c r="I2127" s="150" t="s">
        <v>3552</v>
      </c>
      <c r="J2127" s="149"/>
      <c r="K2127" s="149"/>
      <c r="L2127" s="171">
        <f t="shared" si="58"/>
        <v>32270000</v>
      </c>
    </row>
    <row r="2128" spans="1:12" x14ac:dyDescent="0.25">
      <c r="A2128" s="7" t="s">
        <v>3385</v>
      </c>
      <c r="B2128" s="192"/>
      <c r="C2128" s="191" t="s">
        <v>4591</v>
      </c>
      <c r="D2128" s="192">
        <v>14</v>
      </c>
      <c r="E2128" s="192" t="s">
        <v>10</v>
      </c>
      <c r="F2128" s="193">
        <v>3055000</v>
      </c>
      <c r="G2128" s="45">
        <f>ROUNDDOWN(D2128*F2128,-3)</f>
        <v>42770000</v>
      </c>
      <c r="H2128" s="165">
        <v>126000000</v>
      </c>
      <c r="I2128" s="150" t="s">
        <v>3552</v>
      </c>
      <c r="J2128" s="149" t="s">
        <v>3564</v>
      </c>
      <c r="K2128" s="149" t="s">
        <v>3570</v>
      </c>
      <c r="L2128" s="171">
        <f t="shared" si="58"/>
        <v>-83230000</v>
      </c>
    </row>
    <row r="2129" spans="1:12" x14ac:dyDescent="0.25">
      <c r="A2129" s="7" t="s">
        <v>3387</v>
      </c>
      <c r="B2129" s="60">
        <v>524113</v>
      </c>
      <c r="C2129" s="41" t="s">
        <v>13</v>
      </c>
      <c r="D2129" s="60"/>
      <c r="E2129" s="60"/>
      <c r="F2129" s="42"/>
      <c r="G2129" s="42">
        <v>3750000</v>
      </c>
      <c r="H2129" s="165">
        <v>2000000</v>
      </c>
      <c r="I2129" s="150" t="s">
        <v>3552</v>
      </c>
      <c r="J2129" s="149"/>
      <c r="K2129" s="149"/>
      <c r="L2129" s="171">
        <f t="shared" si="58"/>
        <v>1750000</v>
      </c>
    </row>
    <row r="2130" spans="1:12" x14ac:dyDescent="0.25">
      <c r="A2130" s="7" t="s">
        <v>3388</v>
      </c>
      <c r="B2130" s="61"/>
      <c r="C2130" s="44" t="s">
        <v>3618</v>
      </c>
      <c r="D2130" s="61">
        <v>25</v>
      </c>
      <c r="E2130" s="61" t="s">
        <v>10</v>
      </c>
      <c r="F2130" s="45">
        <v>150000</v>
      </c>
      <c r="G2130" s="45">
        <f>ROUNDDOWN(D2130*F2130,-3)</f>
        <v>3750000</v>
      </c>
      <c r="H2130" s="165">
        <v>2000000</v>
      </c>
      <c r="I2130" s="150" t="s">
        <v>3552</v>
      </c>
      <c r="J2130" s="149"/>
      <c r="K2130" s="149"/>
      <c r="L2130" s="171">
        <f t="shared" si="58"/>
        <v>1750000</v>
      </c>
    </row>
    <row r="2131" spans="1:12" x14ac:dyDescent="0.25">
      <c r="A2131" s="7" t="s">
        <v>3389</v>
      </c>
      <c r="B2131" s="138" t="s">
        <v>4592</v>
      </c>
      <c r="C2131" s="137" t="s">
        <v>3391</v>
      </c>
      <c r="D2131" s="138">
        <v>1</v>
      </c>
      <c r="E2131" s="138" t="s">
        <v>4315</v>
      </c>
      <c r="F2131" s="139"/>
      <c r="G2131" s="139">
        <v>1000000000</v>
      </c>
      <c r="H2131" s="165">
        <v>24000000</v>
      </c>
      <c r="I2131" s="150" t="s">
        <v>3552</v>
      </c>
      <c r="J2131" s="149"/>
      <c r="K2131" s="149"/>
      <c r="L2131" s="171">
        <f t="shared" si="58"/>
        <v>976000000</v>
      </c>
    </row>
    <row r="2132" spans="1:12" ht="26.4" x14ac:dyDescent="0.25">
      <c r="A2132" s="7" t="s">
        <v>3392</v>
      </c>
      <c r="B2132" s="58">
        <v>101</v>
      </c>
      <c r="C2132" s="35" t="s">
        <v>3393</v>
      </c>
      <c r="D2132" s="58">
        <v>0</v>
      </c>
      <c r="E2132" s="58"/>
      <c r="F2132" s="36"/>
      <c r="G2132" s="36">
        <v>1000000000</v>
      </c>
      <c r="H2132" s="165">
        <v>12000000</v>
      </c>
      <c r="I2132" s="150" t="s">
        <v>3552</v>
      </c>
      <c r="J2132" s="149"/>
      <c r="K2132" s="149"/>
      <c r="L2132" s="171">
        <f t="shared" si="58"/>
        <v>988000000</v>
      </c>
    </row>
    <row r="2133" spans="1:12" ht="26.4" x14ac:dyDescent="0.25">
      <c r="A2133" s="7" t="s">
        <v>3394</v>
      </c>
      <c r="B2133" s="59" t="s">
        <v>8</v>
      </c>
      <c r="C2133" s="38" t="s">
        <v>4593</v>
      </c>
      <c r="D2133" s="59"/>
      <c r="E2133" s="59"/>
      <c r="F2133" s="39"/>
      <c r="G2133" s="39">
        <v>176950000</v>
      </c>
      <c r="H2133" s="165">
        <v>12000000</v>
      </c>
      <c r="I2133" s="150" t="s">
        <v>3552</v>
      </c>
      <c r="J2133" s="149"/>
      <c r="K2133" s="149"/>
      <c r="L2133" s="171">
        <f t="shared" si="58"/>
        <v>164950000</v>
      </c>
    </row>
    <row r="2134" spans="1:12" x14ac:dyDescent="0.25">
      <c r="A2134" s="7" t="s">
        <v>3395</v>
      </c>
      <c r="B2134" s="60">
        <v>521211</v>
      </c>
      <c r="C2134" s="41" t="s">
        <v>7</v>
      </c>
      <c r="D2134" s="60"/>
      <c r="E2134" s="60"/>
      <c r="F2134" s="42"/>
      <c r="G2134" s="42">
        <v>2950000</v>
      </c>
      <c r="H2134" s="165">
        <v>100000000</v>
      </c>
      <c r="I2134" s="150" t="s">
        <v>3552</v>
      </c>
      <c r="J2134" s="149"/>
      <c r="K2134" s="149"/>
      <c r="L2134" s="171">
        <f t="shared" si="58"/>
        <v>-97050000</v>
      </c>
    </row>
    <row r="2135" spans="1:12" x14ac:dyDescent="0.25">
      <c r="A2135" s="7" t="s">
        <v>3396</v>
      </c>
      <c r="B2135" s="61"/>
      <c r="C2135" s="44" t="s">
        <v>3856</v>
      </c>
      <c r="D2135" s="61">
        <v>2</v>
      </c>
      <c r="E2135" s="61" t="s">
        <v>106</v>
      </c>
      <c r="F2135" s="45">
        <v>1475000</v>
      </c>
      <c r="G2135" s="45">
        <f>ROUNDDOWN(D2135*F2135,-3)</f>
        <v>2950000</v>
      </c>
      <c r="H2135" s="165">
        <v>100000000</v>
      </c>
      <c r="I2135" s="150" t="s">
        <v>3552</v>
      </c>
      <c r="J2135" s="149"/>
      <c r="K2135" s="149"/>
      <c r="L2135" s="171">
        <f t="shared" si="58"/>
        <v>-97050000</v>
      </c>
    </row>
    <row r="2136" spans="1:12" x14ac:dyDescent="0.25">
      <c r="A2136" s="7" t="s">
        <v>3397</v>
      </c>
      <c r="B2136" s="60">
        <v>521811</v>
      </c>
      <c r="C2136" s="41" t="s">
        <v>64</v>
      </c>
      <c r="D2136" s="60"/>
      <c r="E2136" s="60"/>
      <c r="F2136" s="42"/>
      <c r="G2136" s="42">
        <v>24000000</v>
      </c>
      <c r="H2136" s="165">
        <v>127000000</v>
      </c>
      <c r="I2136" s="150" t="s">
        <v>3552</v>
      </c>
      <c r="J2136" s="149" t="s">
        <v>3564</v>
      </c>
      <c r="K2136" s="149" t="s">
        <v>3570</v>
      </c>
      <c r="L2136" s="171">
        <f t="shared" si="58"/>
        <v>-103000000</v>
      </c>
    </row>
    <row r="2137" spans="1:12" x14ac:dyDescent="0.25">
      <c r="A2137" s="7" t="s">
        <v>3398</v>
      </c>
      <c r="B2137" s="192"/>
      <c r="C2137" s="191" t="s">
        <v>3625</v>
      </c>
      <c r="D2137" s="192">
        <v>12</v>
      </c>
      <c r="E2137" s="192" t="s">
        <v>106</v>
      </c>
      <c r="F2137" s="193">
        <v>1000000</v>
      </c>
      <c r="G2137" s="45">
        <f>ROUNDDOWN(D2137*F2137,-3)</f>
        <v>12000000</v>
      </c>
      <c r="H2137" s="165">
        <v>3000000</v>
      </c>
      <c r="I2137" s="150" t="s">
        <v>3552</v>
      </c>
      <c r="J2137" s="149"/>
      <c r="K2137" s="149"/>
      <c r="L2137" s="171">
        <f t="shared" si="58"/>
        <v>9000000</v>
      </c>
    </row>
    <row r="2138" spans="1:12" x14ac:dyDescent="0.25">
      <c r="A2138" s="7" t="s">
        <v>3399</v>
      </c>
      <c r="B2138" s="61"/>
      <c r="C2138" s="44" t="s">
        <v>3626</v>
      </c>
      <c r="D2138" s="61">
        <v>12</v>
      </c>
      <c r="E2138" s="61" t="s">
        <v>106</v>
      </c>
      <c r="F2138" s="45">
        <v>1000000</v>
      </c>
      <c r="G2138" s="45">
        <f>ROUNDDOWN(D2138*F2138,-3)</f>
        <v>12000000</v>
      </c>
      <c r="H2138" s="165">
        <v>3000000</v>
      </c>
      <c r="I2138" s="150" t="s">
        <v>3552</v>
      </c>
      <c r="J2138" s="149"/>
      <c r="K2138" s="149"/>
      <c r="L2138" s="171">
        <f t="shared" si="58"/>
        <v>9000000</v>
      </c>
    </row>
    <row r="2139" spans="1:12" x14ac:dyDescent="0.25">
      <c r="A2139" s="7" t="s">
        <v>3400</v>
      </c>
      <c r="B2139" s="60">
        <v>524111</v>
      </c>
      <c r="C2139" s="41" t="s">
        <v>19</v>
      </c>
      <c r="D2139" s="60"/>
      <c r="E2139" s="60"/>
      <c r="F2139" s="42"/>
      <c r="G2139" s="42">
        <v>150000000</v>
      </c>
      <c r="H2139" s="165">
        <v>24000000</v>
      </c>
      <c r="I2139" s="150" t="s">
        <v>3552</v>
      </c>
      <c r="J2139" s="149"/>
      <c r="K2139" s="149"/>
      <c r="L2139" s="171">
        <f t="shared" si="58"/>
        <v>126000000</v>
      </c>
    </row>
    <row r="2140" spans="1:12" x14ac:dyDescent="0.25">
      <c r="A2140" s="7" t="s">
        <v>3401</v>
      </c>
      <c r="B2140" s="61"/>
      <c r="C2140" s="44" t="s">
        <v>4594</v>
      </c>
      <c r="D2140" s="61">
        <v>30</v>
      </c>
      <c r="E2140" s="61" t="s">
        <v>73</v>
      </c>
      <c r="F2140" s="45">
        <v>5000000</v>
      </c>
      <c r="G2140" s="45">
        <f>ROUNDDOWN(D2140*F2140,-3)</f>
        <v>150000000</v>
      </c>
      <c r="H2140" s="165">
        <v>12000000</v>
      </c>
      <c r="I2140" s="150" t="s">
        <v>3552</v>
      </c>
      <c r="J2140" s="149"/>
      <c r="K2140" s="149"/>
      <c r="L2140" s="171">
        <f t="shared" si="58"/>
        <v>138000000</v>
      </c>
    </row>
    <row r="2141" spans="1:12" x14ac:dyDescent="0.25">
      <c r="A2141" s="7" t="s">
        <v>3403</v>
      </c>
      <c r="B2141" s="59" t="s">
        <v>511</v>
      </c>
      <c r="C2141" s="38" t="s">
        <v>3404</v>
      </c>
      <c r="D2141" s="59"/>
      <c r="E2141" s="59"/>
      <c r="F2141" s="39"/>
      <c r="G2141" s="39">
        <v>197800000</v>
      </c>
      <c r="H2141" s="165">
        <v>12000000</v>
      </c>
      <c r="I2141" s="150" t="s">
        <v>3552</v>
      </c>
      <c r="J2141" s="149"/>
      <c r="K2141" s="149"/>
      <c r="L2141" s="171">
        <f t="shared" si="58"/>
        <v>185800000</v>
      </c>
    </row>
    <row r="2142" spans="1:12" x14ac:dyDescent="0.25">
      <c r="A2142" s="7" t="s">
        <v>3405</v>
      </c>
      <c r="B2142" s="60">
        <v>521211</v>
      </c>
      <c r="C2142" s="41" t="s">
        <v>7</v>
      </c>
      <c r="D2142" s="60"/>
      <c r="E2142" s="60"/>
      <c r="F2142" s="42"/>
      <c r="G2142" s="42">
        <v>12000000</v>
      </c>
      <c r="H2142" s="165">
        <v>100000000</v>
      </c>
      <c r="I2142" s="150" t="s">
        <v>3552</v>
      </c>
      <c r="J2142" s="149"/>
      <c r="K2142" s="149"/>
      <c r="L2142" s="171">
        <f t="shared" si="58"/>
        <v>-88000000</v>
      </c>
    </row>
    <row r="2143" spans="1:12" x14ac:dyDescent="0.25">
      <c r="A2143" s="7" t="s">
        <v>3406</v>
      </c>
      <c r="B2143" s="61"/>
      <c r="C2143" s="44" t="s">
        <v>4595</v>
      </c>
      <c r="D2143" s="61">
        <v>12</v>
      </c>
      <c r="E2143" s="61" t="s">
        <v>180</v>
      </c>
      <c r="F2143" s="45">
        <v>1000000</v>
      </c>
      <c r="G2143" s="45">
        <f>ROUNDDOWN(D2143*F2143,-3)</f>
        <v>12000000</v>
      </c>
      <c r="H2143" s="165">
        <v>100000000</v>
      </c>
      <c r="I2143" s="150" t="s">
        <v>3552</v>
      </c>
      <c r="J2143" s="149"/>
      <c r="K2143" s="149"/>
      <c r="L2143" s="171">
        <f t="shared" si="58"/>
        <v>-88000000</v>
      </c>
    </row>
    <row r="2144" spans="1:12" x14ac:dyDescent="0.25">
      <c r="A2144" s="7" t="s">
        <v>3408</v>
      </c>
      <c r="B2144" s="60">
        <v>521811</v>
      </c>
      <c r="C2144" s="41" t="s">
        <v>64</v>
      </c>
      <c r="D2144" s="60"/>
      <c r="E2144" s="60"/>
      <c r="F2144" s="42"/>
      <c r="G2144" s="42">
        <v>24000000</v>
      </c>
      <c r="H2144" s="165">
        <v>372250000</v>
      </c>
      <c r="I2144" s="150" t="s">
        <v>3552</v>
      </c>
      <c r="J2144" s="149" t="s">
        <v>3564</v>
      </c>
      <c r="K2144" s="149" t="s">
        <v>3570</v>
      </c>
      <c r="L2144" s="171">
        <f t="shared" si="58"/>
        <v>-348250000</v>
      </c>
    </row>
    <row r="2145" spans="1:12" x14ac:dyDescent="0.25">
      <c r="A2145" s="7" t="s">
        <v>3409</v>
      </c>
      <c r="B2145" s="192"/>
      <c r="C2145" s="191" t="s">
        <v>3625</v>
      </c>
      <c r="D2145" s="192">
        <v>12</v>
      </c>
      <c r="E2145" s="192" t="s">
        <v>106</v>
      </c>
      <c r="F2145" s="193">
        <v>1000000</v>
      </c>
      <c r="G2145" s="45">
        <f>ROUNDDOWN(D2145*F2145,-3)</f>
        <v>12000000</v>
      </c>
      <c r="H2145" s="165">
        <v>6000000</v>
      </c>
      <c r="I2145" s="150" t="s">
        <v>3552</v>
      </c>
      <c r="J2145" s="149"/>
      <c r="K2145" s="149"/>
      <c r="L2145" s="171">
        <f t="shared" si="58"/>
        <v>6000000</v>
      </c>
    </row>
    <row r="2146" spans="1:12" x14ac:dyDescent="0.25">
      <c r="A2146" s="7" t="s">
        <v>3410</v>
      </c>
      <c r="B2146" s="61"/>
      <c r="C2146" s="44" t="s">
        <v>3626</v>
      </c>
      <c r="D2146" s="61">
        <v>12</v>
      </c>
      <c r="E2146" s="61" t="s">
        <v>106</v>
      </c>
      <c r="F2146" s="45">
        <v>1000000</v>
      </c>
      <c r="G2146" s="45">
        <f>ROUNDDOWN(D2146*F2146,-3)</f>
        <v>12000000</v>
      </c>
      <c r="H2146" s="165">
        <v>1000000</v>
      </c>
      <c r="I2146" s="150" t="s">
        <v>3552</v>
      </c>
      <c r="J2146" s="149"/>
      <c r="K2146" s="149"/>
      <c r="L2146" s="171">
        <f t="shared" si="58"/>
        <v>11000000</v>
      </c>
    </row>
    <row r="2147" spans="1:12" x14ac:dyDescent="0.25">
      <c r="A2147" s="7" t="s">
        <v>3411</v>
      </c>
      <c r="B2147" s="60">
        <v>522151</v>
      </c>
      <c r="C2147" s="41" t="s">
        <v>11</v>
      </c>
      <c r="D2147" s="60"/>
      <c r="E2147" s="60"/>
      <c r="F2147" s="42"/>
      <c r="G2147" s="42">
        <v>21600000</v>
      </c>
      <c r="H2147" s="165">
        <v>1000000</v>
      </c>
      <c r="I2147" s="150" t="s">
        <v>3552</v>
      </c>
      <c r="J2147" s="149"/>
      <c r="K2147" s="149"/>
      <c r="L2147" s="171">
        <f t="shared" si="58"/>
        <v>20600000</v>
      </c>
    </row>
    <row r="2148" spans="1:12" ht="26.4" x14ac:dyDescent="0.25">
      <c r="A2148" s="7" t="s">
        <v>3412</v>
      </c>
      <c r="B2148" s="61"/>
      <c r="C2148" s="44" t="s">
        <v>4596</v>
      </c>
      <c r="D2148" s="61">
        <v>24</v>
      </c>
      <c r="E2148" s="61" t="s">
        <v>54</v>
      </c>
      <c r="F2148" s="45">
        <v>900000</v>
      </c>
      <c r="G2148" s="45">
        <f>ROUNDDOWN(D2148*F2148,-3)</f>
        <v>21600000</v>
      </c>
      <c r="H2148" s="165">
        <v>1000000</v>
      </c>
      <c r="I2148" s="150" t="s">
        <v>3552</v>
      </c>
      <c r="J2148" s="149"/>
      <c r="K2148" s="149"/>
      <c r="L2148" s="171">
        <f t="shared" si="58"/>
        <v>20600000</v>
      </c>
    </row>
    <row r="2149" spans="1:12" x14ac:dyDescent="0.25">
      <c r="A2149" s="7" t="s">
        <v>3414</v>
      </c>
      <c r="B2149" s="60">
        <v>524111</v>
      </c>
      <c r="C2149" s="41" t="s">
        <v>19</v>
      </c>
      <c r="D2149" s="60"/>
      <c r="E2149" s="60"/>
      <c r="F2149" s="42"/>
      <c r="G2149" s="42">
        <v>115000000</v>
      </c>
      <c r="H2149" s="165">
        <v>3000000</v>
      </c>
      <c r="I2149" s="150" t="s">
        <v>3552</v>
      </c>
      <c r="J2149" s="149"/>
      <c r="K2149" s="149"/>
      <c r="L2149" s="171">
        <f t="shared" si="58"/>
        <v>112000000</v>
      </c>
    </row>
    <row r="2150" spans="1:12" ht="26.4" x14ac:dyDescent="0.25">
      <c r="A2150" s="7" t="s">
        <v>3415</v>
      </c>
      <c r="B2150" s="192"/>
      <c r="C2150" s="191" t="s">
        <v>4597</v>
      </c>
      <c r="D2150" s="192">
        <v>7</v>
      </c>
      <c r="E2150" s="192" t="s">
        <v>25</v>
      </c>
      <c r="F2150" s="193">
        <v>5000000</v>
      </c>
      <c r="G2150" s="45">
        <f>ROUNDDOWN(D2150*F2150,-3)</f>
        <v>35000000</v>
      </c>
      <c r="H2150" s="165">
        <v>175000000</v>
      </c>
      <c r="I2150" s="150" t="s">
        <v>3552</v>
      </c>
      <c r="J2150" s="149"/>
      <c r="K2150" s="149"/>
      <c r="L2150" s="171">
        <f t="shared" si="58"/>
        <v>-140000000</v>
      </c>
    </row>
    <row r="2151" spans="1:12" x14ac:dyDescent="0.25">
      <c r="A2151" s="7" t="s">
        <v>3417</v>
      </c>
      <c r="B2151" s="61"/>
      <c r="C2151" s="44" t="s">
        <v>4598</v>
      </c>
      <c r="D2151" s="61">
        <v>8</v>
      </c>
      <c r="E2151" s="61" t="s">
        <v>25</v>
      </c>
      <c r="F2151" s="45">
        <v>5000000</v>
      </c>
      <c r="G2151" s="45">
        <f>ROUNDDOWN(D2151*F2151,-3)</f>
        <v>40000000</v>
      </c>
      <c r="H2151" s="165">
        <v>175000000</v>
      </c>
      <c r="I2151" s="150" t="s">
        <v>3552</v>
      </c>
      <c r="J2151" s="149"/>
      <c r="K2151" s="149"/>
      <c r="L2151" s="171">
        <f t="shared" si="58"/>
        <v>-135000000</v>
      </c>
    </row>
    <row r="2152" spans="1:12" ht="26.4" x14ac:dyDescent="0.25">
      <c r="A2152" s="7" t="s">
        <v>3419</v>
      </c>
      <c r="B2152" s="192"/>
      <c r="C2152" s="191" t="s">
        <v>4599</v>
      </c>
      <c r="D2152" s="192">
        <v>8</v>
      </c>
      <c r="E2152" s="192" t="s">
        <v>25</v>
      </c>
      <c r="F2152" s="193">
        <v>5000000</v>
      </c>
      <c r="G2152" s="45">
        <f>ROUNDDOWN(D2152*F2152,-3)</f>
        <v>40000000</v>
      </c>
      <c r="H2152" s="165">
        <v>191250000</v>
      </c>
      <c r="I2152" s="150" t="s">
        <v>3552</v>
      </c>
      <c r="J2152" s="149"/>
      <c r="K2152" s="149"/>
      <c r="L2152" s="171">
        <f t="shared" si="58"/>
        <v>-151250000</v>
      </c>
    </row>
    <row r="2153" spans="1:12" x14ac:dyDescent="0.25">
      <c r="A2153" s="7" t="s">
        <v>3421</v>
      </c>
      <c r="B2153" s="60">
        <v>524114</v>
      </c>
      <c r="C2153" s="41" t="s">
        <v>14</v>
      </c>
      <c r="D2153" s="60"/>
      <c r="E2153" s="60"/>
      <c r="F2153" s="42"/>
      <c r="G2153" s="42">
        <v>25200000</v>
      </c>
      <c r="H2153" s="165">
        <v>168750000</v>
      </c>
      <c r="I2153" s="150" t="s">
        <v>3552</v>
      </c>
      <c r="J2153" s="149"/>
      <c r="K2153" s="149"/>
      <c r="L2153" s="171">
        <f t="shared" si="58"/>
        <v>-143550000</v>
      </c>
    </row>
    <row r="2154" spans="1:12" x14ac:dyDescent="0.25">
      <c r="A2154" s="7" t="s">
        <v>3422</v>
      </c>
      <c r="B2154" s="61"/>
      <c r="C2154" s="44" t="s">
        <v>4600</v>
      </c>
      <c r="D2154" s="61">
        <v>70</v>
      </c>
      <c r="E2154" s="61" t="s">
        <v>73</v>
      </c>
      <c r="F2154" s="45">
        <v>210000</v>
      </c>
      <c r="G2154" s="45">
        <f>ROUNDDOWN(D2154*F2154,-3)</f>
        <v>14700000</v>
      </c>
      <c r="H2154" s="165">
        <v>22500000</v>
      </c>
      <c r="I2154" s="150" t="s">
        <v>3552</v>
      </c>
      <c r="J2154" s="149"/>
      <c r="K2154" s="149"/>
      <c r="L2154" s="171">
        <f t="shared" si="58"/>
        <v>-7800000</v>
      </c>
    </row>
    <row r="2155" spans="1:12" x14ac:dyDescent="0.25">
      <c r="A2155" s="7" t="s">
        <v>3424</v>
      </c>
      <c r="B2155" s="195"/>
      <c r="C2155" s="194" t="s">
        <v>4601</v>
      </c>
      <c r="D2155" s="195">
        <v>70</v>
      </c>
      <c r="E2155" s="195" t="s">
        <v>73</v>
      </c>
      <c r="F2155" s="196">
        <v>150000</v>
      </c>
      <c r="G2155" s="45">
        <f>ROUNDDOWN(D2155*F2155,-3)</f>
        <v>10500000</v>
      </c>
      <c r="H2155" s="165">
        <v>80000000</v>
      </c>
      <c r="I2155" s="150"/>
      <c r="J2155" s="149"/>
      <c r="K2155" s="149"/>
      <c r="L2155" s="171">
        <f t="shared" si="58"/>
        <v>-69500000</v>
      </c>
    </row>
    <row r="2156" spans="1:12" ht="26.4" x14ac:dyDescent="0.25">
      <c r="A2156" s="7" t="s">
        <v>3426</v>
      </c>
      <c r="B2156" s="59" t="s">
        <v>512</v>
      </c>
      <c r="C2156" s="38" t="s">
        <v>3427</v>
      </c>
      <c r="D2156" s="59"/>
      <c r="E2156" s="59"/>
      <c r="F2156" s="39"/>
      <c r="G2156" s="39">
        <v>126000000</v>
      </c>
      <c r="H2156" s="165">
        <v>80000000</v>
      </c>
      <c r="I2156" s="150" t="s">
        <v>3552</v>
      </c>
      <c r="J2156" s="149" t="s">
        <v>3563</v>
      </c>
      <c r="K2156" s="149" t="s">
        <v>3583</v>
      </c>
      <c r="L2156" s="171">
        <f t="shared" si="58"/>
        <v>46000000</v>
      </c>
    </row>
    <row r="2157" spans="1:12" x14ac:dyDescent="0.25">
      <c r="A2157" s="7" t="s">
        <v>3428</v>
      </c>
      <c r="B2157" s="60">
        <v>521211</v>
      </c>
      <c r="C2157" s="41" t="s">
        <v>7</v>
      </c>
      <c r="D2157" s="60"/>
      <c r="E2157" s="60"/>
      <c r="F2157" s="42"/>
      <c r="G2157" s="42">
        <v>2000000</v>
      </c>
      <c r="H2157" s="165">
        <v>80000000</v>
      </c>
      <c r="I2157" s="150" t="s">
        <v>3552</v>
      </c>
      <c r="J2157" s="149" t="s">
        <v>3563</v>
      </c>
      <c r="K2157" s="149" t="s">
        <v>3583</v>
      </c>
      <c r="L2157" s="171">
        <f t="shared" si="58"/>
        <v>-78000000</v>
      </c>
    </row>
    <row r="2158" spans="1:12" x14ac:dyDescent="0.25">
      <c r="A2158" s="7" t="s">
        <v>3429</v>
      </c>
      <c r="B2158" s="192"/>
      <c r="C2158" s="191" t="s">
        <v>3856</v>
      </c>
      <c r="D2158" s="192">
        <v>2</v>
      </c>
      <c r="E2158" s="192" t="s">
        <v>106</v>
      </c>
      <c r="F2158" s="193">
        <v>1000000</v>
      </c>
      <c r="G2158" s="45">
        <f>ROUNDDOWN(D2158*F2158,-3)</f>
        <v>2000000</v>
      </c>
      <c r="H2158" s="165">
        <v>80000000</v>
      </c>
      <c r="I2158" s="150" t="s">
        <v>3552</v>
      </c>
      <c r="J2158" s="149" t="s">
        <v>3563</v>
      </c>
      <c r="K2158" s="149" t="s">
        <v>3583</v>
      </c>
      <c r="L2158" s="171">
        <f t="shared" si="58"/>
        <v>-78000000</v>
      </c>
    </row>
    <row r="2159" spans="1:12" x14ac:dyDescent="0.25">
      <c r="A2159" s="7" t="s">
        <v>3430</v>
      </c>
      <c r="B2159" s="60">
        <v>521811</v>
      </c>
      <c r="C2159" s="41" t="s">
        <v>64</v>
      </c>
      <c r="D2159" s="60"/>
      <c r="E2159" s="60"/>
      <c r="F2159" s="42"/>
      <c r="G2159" s="42">
        <v>24000000</v>
      </c>
      <c r="H2159" s="165">
        <v>80000000</v>
      </c>
      <c r="I2159" s="150" t="s">
        <v>3552</v>
      </c>
      <c r="J2159" s="149"/>
      <c r="K2159" s="149"/>
      <c r="L2159" s="171">
        <f t="shared" si="58"/>
        <v>-56000000</v>
      </c>
    </row>
    <row r="2160" spans="1:12" x14ac:dyDescent="0.25">
      <c r="A2160" s="7" t="s">
        <v>3431</v>
      </c>
      <c r="B2160" s="61"/>
      <c r="C2160" s="44" t="s">
        <v>3625</v>
      </c>
      <c r="D2160" s="61">
        <v>12</v>
      </c>
      <c r="E2160" s="61" t="s">
        <v>106</v>
      </c>
      <c r="F2160" s="45">
        <v>1000000</v>
      </c>
      <c r="G2160" s="45">
        <f>ROUNDDOWN(D2160*F2160,-3)</f>
        <v>12000000</v>
      </c>
      <c r="H2160" s="165">
        <v>80000000</v>
      </c>
      <c r="I2160" s="150" t="s">
        <v>3552</v>
      </c>
      <c r="J2160" s="149"/>
      <c r="K2160" s="149"/>
      <c r="L2160" s="171">
        <f t="shared" si="58"/>
        <v>-68000000</v>
      </c>
    </row>
    <row r="2161" spans="1:12" x14ac:dyDescent="0.25">
      <c r="A2161" s="7" t="s">
        <v>3432</v>
      </c>
      <c r="B2161" s="192"/>
      <c r="C2161" s="191" t="s">
        <v>3626</v>
      </c>
      <c r="D2161" s="192">
        <v>12</v>
      </c>
      <c r="E2161" s="192" t="s">
        <v>106</v>
      </c>
      <c r="F2161" s="193">
        <v>1000000</v>
      </c>
      <c r="G2161" s="45">
        <f>ROUNDDOWN(D2161*F2161,-3)</f>
        <v>12000000</v>
      </c>
      <c r="H2161" s="165">
        <v>8582500000</v>
      </c>
      <c r="I2161" s="150" t="s">
        <v>557</v>
      </c>
      <c r="J2161" s="149" t="s">
        <v>3559</v>
      </c>
      <c r="K2161" s="149" t="s">
        <v>3571</v>
      </c>
      <c r="L2161" s="171">
        <f t="shared" si="58"/>
        <v>-8570500000</v>
      </c>
    </row>
    <row r="2162" spans="1:12" x14ac:dyDescent="0.25">
      <c r="A2162" s="7" t="s">
        <v>3433</v>
      </c>
      <c r="B2162" s="60">
        <v>524111</v>
      </c>
      <c r="C2162" s="41" t="s">
        <v>19</v>
      </c>
      <c r="D2162" s="60"/>
      <c r="E2162" s="60"/>
      <c r="F2162" s="42"/>
      <c r="G2162" s="42">
        <v>100000000</v>
      </c>
      <c r="H2162" s="165">
        <v>8582500000</v>
      </c>
      <c r="I2162" s="150" t="s">
        <v>557</v>
      </c>
      <c r="J2162" s="149" t="s">
        <v>3559</v>
      </c>
      <c r="K2162" s="149" t="s">
        <v>3571</v>
      </c>
      <c r="L2162" s="171">
        <f t="shared" si="58"/>
        <v>-8482500000</v>
      </c>
    </row>
    <row r="2163" spans="1:12" ht="26.4" x14ac:dyDescent="0.25">
      <c r="A2163" s="7" t="s">
        <v>3434</v>
      </c>
      <c r="B2163" s="192"/>
      <c r="C2163" s="191" t="s">
        <v>4602</v>
      </c>
      <c r="D2163" s="192">
        <v>20</v>
      </c>
      <c r="E2163" s="192" t="s">
        <v>25</v>
      </c>
      <c r="F2163" s="193">
        <v>5000000</v>
      </c>
      <c r="G2163" s="45">
        <f>ROUNDDOWN(D2163*F2163,-3)</f>
        <v>100000000</v>
      </c>
      <c r="H2163" s="165">
        <v>8582500000</v>
      </c>
      <c r="I2163" s="150" t="s">
        <v>557</v>
      </c>
      <c r="J2163" s="149" t="s">
        <v>3559</v>
      </c>
      <c r="K2163" s="149" t="s">
        <v>3571</v>
      </c>
      <c r="L2163" s="171">
        <f t="shared" si="58"/>
        <v>-8482500000</v>
      </c>
    </row>
    <row r="2164" spans="1:12" x14ac:dyDescent="0.25">
      <c r="A2164" s="7" t="s">
        <v>3436</v>
      </c>
      <c r="B2164" s="59" t="s">
        <v>514</v>
      </c>
      <c r="C2164" s="38" t="s">
        <v>3437</v>
      </c>
      <c r="D2164" s="59"/>
      <c r="E2164" s="59"/>
      <c r="F2164" s="39"/>
      <c r="G2164" s="39">
        <v>127000000</v>
      </c>
      <c r="H2164" s="165">
        <v>8473300000</v>
      </c>
      <c r="I2164" s="150" t="s">
        <v>557</v>
      </c>
      <c r="J2164" s="149" t="s">
        <v>3559</v>
      </c>
      <c r="K2164" s="149" t="s">
        <v>3571</v>
      </c>
      <c r="L2164" s="171">
        <f t="shared" si="58"/>
        <v>-8346300000</v>
      </c>
    </row>
    <row r="2165" spans="1:12" x14ac:dyDescent="0.25">
      <c r="A2165" s="7" t="s">
        <v>3438</v>
      </c>
      <c r="B2165" s="60">
        <v>521211</v>
      </c>
      <c r="C2165" s="41" t="s">
        <v>7</v>
      </c>
      <c r="D2165" s="60"/>
      <c r="E2165" s="60"/>
      <c r="F2165" s="42"/>
      <c r="G2165" s="42">
        <v>3000000</v>
      </c>
      <c r="H2165" s="165">
        <v>1713564000</v>
      </c>
      <c r="I2165" s="150" t="s">
        <v>557</v>
      </c>
      <c r="J2165" s="149" t="s">
        <v>3559</v>
      </c>
      <c r="K2165" s="149" t="s">
        <v>3571</v>
      </c>
      <c r="L2165" s="171">
        <f t="shared" si="58"/>
        <v>-1710564000</v>
      </c>
    </row>
    <row r="2166" spans="1:12" x14ac:dyDescent="0.25">
      <c r="A2166" s="7" t="s">
        <v>3439</v>
      </c>
      <c r="B2166" s="192"/>
      <c r="C2166" s="191" t="s">
        <v>3856</v>
      </c>
      <c r="D2166" s="192">
        <v>2</v>
      </c>
      <c r="E2166" s="192" t="s">
        <v>106</v>
      </c>
      <c r="F2166" s="193">
        <v>1500000</v>
      </c>
      <c r="G2166" s="45">
        <f>ROUNDDOWN(D2166*F2166,-3)</f>
        <v>3000000</v>
      </c>
      <c r="H2166" s="165">
        <v>99100000</v>
      </c>
      <c r="I2166" s="150" t="s">
        <v>557</v>
      </c>
      <c r="J2166" s="149" t="s">
        <v>3559</v>
      </c>
      <c r="K2166" s="149" t="s">
        <v>3571</v>
      </c>
      <c r="L2166" s="171">
        <f t="shared" si="58"/>
        <v>-96100000</v>
      </c>
    </row>
    <row r="2167" spans="1:12" x14ac:dyDescent="0.25">
      <c r="A2167" s="7" t="s">
        <v>3440</v>
      </c>
      <c r="B2167" s="60">
        <v>521811</v>
      </c>
      <c r="C2167" s="41" t="s">
        <v>64</v>
      </c>
      <c r="D2167" s="60"/>
      <c r="E2167" s="60"/>
      <c r="F2167" s="42"/>
      <c r="G2167" s="42">
        <v>24000000</v>
      </c>
      <c r="H2167" s="168">
        <v>28000000</v>
      </c>
      <c r="I2167" s="150" t="s">
        <v>557</v>
      </c>
      <c r="J2167" s="149" t="s">
        <v>3559</v>
      </c>
      <c r="K2167" s="149" t="s">
        <v>3571</v>
      </c>
      <c r="L2167" s="171">
        <f t="shared" si="58"/>
        <v>-4000000</v>
      </c>
    </row>
    <row r="2168" spans="1:12" x14ac:dyDescent="0.25">
      <c r="A2168" s="7" t="s">
        <v>3441</v>
      </c>
      <c r="B2168" s="61"/>
      <c r="C2168" s="44" t="s">
        <v>3625</v>
      </c>
      <c r="D2168" s="61">
        <v>12</v>
      </c>
      <c r="E2168" s="61" t="s">
        <v>106</v>
      </c>
      <c r="F2168" s="45">
        <v>1000000</v>
      </c>
      <c r="G2168" s="45">
        <f>ROUNDDOWN(D2168*F2168,-3)</f>
        <v>12000000</v>
      </c>
      <c r="H2168" s="168">
        <v>15000000</v>
      </c>
      <c r="I2168" s="150" t="s">
        <v>557</v>
      </c>
      <c r="J2168" s="149" t="s">
        <v>3559</v>
      </c>
      <c r="K2168" s="149" t="s">
        <v>3571</v>
      </c>
      <c r="L2168" s="171">
        <f t="shared" si="58"/>
        <v>-3000000</v>
      </c>
    </row>
    <row r="2169" spans="1:12" x14ac:dyDescent="0.25">
      <c r="A2169" s="7" t="s">
        <v>3442</v>
      </c>
      <c r="B2169" s="61"/>
      <c r="C2169" s="44" t="s">
        <v>3626</v>
      </c>
      <c r="D2169" s="61">
        <v>12</v>
      </c>
      <c r="E2169" s="61" t="s">
        <v>106</v>
      </c>
      <c r="F2169" s="45">
        <v>1000000</v>
      </c>
      <c r="G2169" s="45">
        <f>ROUNDDOWN(D2169*F2169,-3)</f>
        <v>12000000</v>
      </c>
      <c r="H2169" s="168">
        <v>33600000</v>
      </c>
      <c r="I2169" s="150" t="s">
        <v>557</v>
      </c>
      <c r="J2169" s="149" t="s">
        <v>3559</v>
      </c>
      <c r="K2169" s="149" t="s">
        <v>3571</v>
      </c>
      <c r="L2169" s="171">
        <f t="shared" si="58"/>
        <v>-21600000</v>
      </c>
    </row>
    <row r="2170" spans="1:12" x14ac:dyDescent="0.25">
      <c r="A2170" s="7" t="s">
        <v>3443</v>
      </c>
      <c r="B2170" s="60">
        <v>524111</v>
      </c>
      <c r="C2170" s="41" t="s">
        <v>19</v>
      </c>
      <c r="D2170" s="60"/>
      <c r="E2170" s="60"/>
      <c r="F2170" s="42"/>
      <c r="G2170" s="42">
        <v>100000000</v>
      </c>
      <c r="H2170" s="168">
        <v>22500000</v>
      </c>
      <c r="I2170" s="150" t="s">
        <v>557</v>
      </c>
      <c r="J2170" s="149" t="s">
        <v>3559</v>
      </c>
      <c r="K2170" s="149" t="s">
        <v>3571</v>
      </c>
      <c r="L2170" s="171">
        <f t="shared" si="58"/>
        <v>77500000</v>
      </c>
    </row>
    <row r="2171" spans="1:12" ht="26.4" x14ac:dyDescent="0.25">
      <c r="A2171" s="7" t="s">
        <v>3444</v>
      </c>
      <c r="B2171" s="192"/>
      <c r="C2171" s="191" t="s">
        <v>4603</v>
      </c>
      <c r="D2171" s="192">
        <v>20</v>
      </c>
      <c r="E2171" s="192" t="s">
        <v>25</v>
      </c>
      <c r="F2171" s="193">
        <v>5000000</v>
      </c>
      <c r="G2171" s="45">
        <f>ROUNDDOWN(D2171*F2171,-3)</f>
        <v>100000000</v>
      </c>
      <c r="H2171" s="165">
        <v>1333864000</v>
      </c>
      <c r="I2171" s="150" t="s">
        <v>557</v>
      </c>
      <c r="J2171" s="149" t="s">
        <v>3559</v>
      </c>
      <c r="K2171" s="149" t="s">
        <v>3571</v>
      </c>
      <c r="L2171" s="171">
        <f t="shared" si="58"/>
        <v>-1233864000</v>
      </c>
    </row>
    <row r="2172" spans="1:12" x14ac:dyDescent="0.25">
      <c r="A2172" s="7" t="s">
        <v>3446</v>
      </c>
      <c r="B2172" s="59" t="s">
        <v>519</v>
      </c>
      <c r="C2172" s="38" t="s">
        <v>135</v>
      </c>
      <c r="D2172" s="59"/>
      <c r="E2172" s="59"/>
      <c r="F2172" s="39"/>
      <c r="G2172" s="39">
        <v>372250000</v>
      </c>
      <c r="H2172" s="168">
        <v>1333614000</v>
      </c>
      <c r="I2172" s="150" t="s">
        <v>557</v>
      </c>
      <c r="J2172" s="149" t="s">
        <v>3559</v>
      </c>
      <c r="K2172" s="149" t="s">
        <v>3571</v>
      </c>
      <c r="L2172" s="171">
        <f t="shared" si="58"/>
        <v>-961364000</v>
      </c>
    </row>
    <row r="2173" spans="1:12" x14ac:dyDescent="0.25">
      <c r="A2173" s="7" t="s">
        <v>3447</v>
      </c>
      <c r="B2173" s="60">
        <v>521211</v>
      </c>
      <c r="C2173" s="41" t="s">
        <v>7</v>
      </c>
      <c r="D2173" s="60"/>
      <c r="E2173" s="60"/>
      <c r="F2173" s="42"/>
      <c r="G2173" s="42">
        <v>6000000</v>
      </c>
      <c r="H2173" s="168">
        <v>250000</v>
      </c>
      <c r="I2173" s="150" t="s">
        <v>557</v>
      </c>
      <c r="J2173" s="149" t="s">
        <v>3559</v>
      </c>
      <c r="K2173" s="149" t="s">
        <v>3571</v>
      </c>
      <c r="L2173" s="171">
        <f t="shared" si="58"/>
        <v>5750000</v>
      </c>
    </row>
    <row r="2174" spans="1:12" x14ac:dyDescent="0.25">
      <c r="A2174" s="7" t="s">
        <v>3448</v>
      </c>
      <c r="B2174" s="192"/>
      <c r="C2174" s="191" t="s">
        <v>3625</v>
      </c>
      <c r="D2174" s="192">
        <v>1</v>
      </c>
      <c r="E2174" s="192" t="s">
        <v>106</v>
      </c>
      <c r="F2174" s="193">
        <v>1000000</v>
      </c>
      <c r="G2174" s="45">
        <f>ROUNDDOWN(D2174*F2174,-3)</f>
        <v>1000000</v>
      </c>
      <c r="H2174" s="165">
        <v>25000000</v>
      </c>
      <c r="I2174" s="150" t="s">
        <v>557</v>
      </c>
      <c r="J2174" s="149" t="s">
        <v>3559</v>
      </c>
      <c r="K2174" s="149" t="s">
        <v>3571</v>
      </c>
      <c r="L2174" s="171">
        <f t="shared" si="58"/>
        <v>-24000000</v>
      </c>
    </row>
    <row r="2175" spans="1:12" x14ac:dyDescent="0.25">
      <c r="A2175" s="7" t="s">
        <v>3449</v>
      </c>
      <c r="B2175" s="61"/>
      <c r="C2175" s="44" t="s">
        <v>3626</v>
      </c>
      <c r="D2175" s="61">
        <v>1</v>
      </c>
      <c r="E2175" s="61" t="s">
        <v>106</v>
      </c>
      <c r="F2175" s="45">
        <v>1000000</v>
      </c>
      <c r="G2175" s="45">
        <f>ROUNDDOWN(D2175*F2175,-3)</f>
        <v>1000000</v>
      </c>
      <c r="H2175" s="168">
        <v>10000000</v>
      </c>
      <c r="I2175" s="150" t="s">
        <v>557</v>
      </c>
      <c r="J2175" s="149" t="s">
        <v>3559</v>
      </c>
      <c r="K2175" s="149" t="s">
        <v>3571</v>
      </c>
      <c r="L2175" s="171">
        <f t="shared" si="58"/>
        <v>-9000000</v>
      </c>
    </row>
    <row r="2176" spans="1:12" x14ac:dyDescent="0.25">
      <c r="A2176" s="7" t="s">
        <v>3450</v>
      </c>
      <c r="B2176" s="61"/>
      <c r="C2176" s="44" t="s">
        <v>4604</v>
      </c>
      <c r="D2176" s="61">
        <v>1</v>
      </c>
      <c r="E2176" s="61" t="s">
        <v>180</v>
      </c>
      <c r="F2176" s="45">
        <v>1000000</v>
      </c>
      <c r="G2176" s="45">
        <f>ROUNDDOWN(D2176*F2176,-3)</f>
        <v>1000000</v>
      </c>
      <c r="H2176" s="168">
        <v>15000000</v>
      </c>
      <c r="I2176" s="150" t="s">
        <v>557</v>
      </c>
      <c r="J2176" s="149" t="s">
        <v>3559</v>
      </c>
      <c r="K2176" s="149" t="s">
        <v>3571</v>
      </c>
      <c r="L2176" s="171">
        <f t="shared" si="58"/>
        <v>-14000000</v>
      </c>
    </row>
    <row r="2177" spans="1:12" x14ac:dyDescent="0.25">
      <c r="A2177" s="7" t="s">
        <v>3451</v>
      </c>
      <c r="B2177" s="192"/>
      <c r="C2177" s="191" t="s">
        <v>4408</v>
      </c>
      <c r="D2177" s="192">
        <v>3</v>
      </c>
      <c r="E2177" s="192" t="s">
        <v>180</v>
      </c>
      <c r="F2177" s="193">
        <v>1000000</v>
      </c>
      <c r="G2177" s="45">
        <f>ROUNDDOWN(D2177*F2177,-3)</f>
        <v>3000000</v>
      </c>
      <c r="H2177" s="165">
        <v>15000000</v>
      </c>
      <c r="I2177" s="150" t="s">
        <v>557</v>
      </c>
      <c r="J2177" s="149" t="s">
        <v>3559</v>
      </c>
      <c r="K2177" s="149" t="s">
        <v>3571</v>
      </c>
      <c r="L2177" s="171">
        <f t="shared" si="58"/>
        <v>-12000000</v>
      </c>
    </row>
    <row r="2178" spans="1:12" x14ac:dyDescent="0.25">
      <c r="A2178" s="7" t="s">
        <v>3452</v>
      </c>
      <c r="B2178" s="60">
        <v>522191</v>
      </c>
      <c r="C2178" s="41" t="s">
        <v>22</v>
      </c>
      <c r="D2178" s="60"/>
      <c r="E2178" s="60"/>
      <c r="F2178" s="42"/>
      <c r="G2178" s="42">
        <v>175000000</v>
      </c>
      <c r="H2178" s="168">
        <v>15000000</v>
      </c>
      <c r="I2178" s="150" t="s">
        <v>557</v>
      </c>
      <c r="J2178" s="149" t="s">
        <v>3559</v>
      </c>
      <c r="K2178" s="149" t="s">
        <v>3571</v>
      </c>
      <c r="L2178" s="171">
        <f t="shared" si="58"/>
        <v>160000000</v>
      </c>
    </row>
    <row r="2179" spans="1:12" x14ac:dyDescent="0.25">
      <c r="A2179" s="7" t="s">
        <v>3453</v>
      </c>
      <c r="B2179" s="192"/>
      <c r="C2179" s="191" t="s">
        <v>4605</v>
      </c>
      <c r="D2179" s="192">
        <v>500</v>
      </c>
      <c r="E2179" s="192" t="s">
        <v>136</v>
      </c>
      <c r="F2179" s="193">
        <v>350000</v>
      </c>
      <c r="G2179" s="45">
        <f>ROUNDDOWN(D2179*F2179,-3)</f>
        <v>175000000</v>
      </c>
      <c r="H2179" s="165">
        <v>102600000</v>
      </c>
      <c r="I2179" s="150" t="s">
        <v>557</v>
      </c>
      <c r="J2179" s="149" t="s">
        <v>3559</v>
      </c>
      <c r="K2179" s="149" t="s">
        <v>3571</v>
      </c>
      <c r="L2179" s="171">
        <f t="shared" si="58"/>
        <v>72400000</v>
      </c>
    </row>
    <row r="2180" spans="1:12" x14ac:dyDescent="0.25">
      <c r="A2180" s="7" t="s">
        <v>3455</v>
      </c>
      <c r="B2180" s="60">
        <v>524119</v>
      </c>
      <c r="C2180" s="41" t="s">
        <v>15</v>
      </c>
      <c r="D2180" s="60"/>
      <c r="E2180" s="60"/>
      <c r="F2180" s="42"/>
      <c r="G2180" s="42">
        <v>191250000</v>
      </c>
      <c r="H2180" s="168">
        <v>102600000</v>
      </c>
      <c r="I2180" s="150" t="s">
        <v>557</v>
      </c>
      <c r="J2180" s="149" t="s">
        <v>3559</v>
      </c>
      <c r="K2180" s="149" t="s">
        <v>3571</v>
      </c>
      <c r="L2180" s="171">
        <f t="shared" si="58"/>
        <v>88650000</v>
      </c>
    </row>
    <row r="2181" spans="1:12" ht="26.4" x14ac:dyDescent="0.25">
      <c r="A2181" s="7" t="s">
        <v>3456</v>
      </c>
      <c r="B2181" s="192"/>
      <c r="C2181" s="191" t="s">
        <v>4606</v>
      </c>
      <c r="D2181" s="192">
        <v>1125</v>
      </c>
      <c r="E2181" s="192" t="s">
        <v>73</v>
      </c>
      <c r="F2181" s="193">
        <v>150000</v>
      </c>
      <c r="G2181" s="45">
        <f>ROUNDDOWN(D2181*F2181,-3)</f>
        <v>168750000</v>
      </c>
      <c r="H2181" s="165">
        <v>138000000</v>
      </c>
      <c r="I2181" s="150" t="s">
        <v>557</v>
      </c>
      <c r="J2181" s="149" t="s">
        <v>3559</v>
      </c>
      <c r="K2181" s="149" t="s">
        <v>3571</v>
      </c>
      <c r="L2181" s="171">
        <f t="shared" si="58"/>
        <v>30750000</v>
      </c>
    </row>
    <row r="2182" spans="1:12" x14ac:dyDescent="0.25">
      <c r="A2182" s="7" t="s">
        <v>3458</v>
      </c>
      <c r="B2182" s="61"/>
      <c r="C2182" s="44" t="s">
        <v>4607</v>
      </c>
      <c r="D2182" s="61">
        <v>150</v>
      </c>
      <c r="E2182" s="61" t="s">
        <v>73</v>
      </c>
      <c r="F2182" s="45">
        <v>150000</v>
      </c>
      <c r="G2182" s="45">
        <f>ROUNDDOWN(D2182*F2182,-3)</f>
        <v>22500000</v>
      </c>
      <c r="H2182" s="168">
        <v>60000000</v>
      </c>
      <c r="I2182" s="150" t="s">
        <v>557</v>
      </c>
      <c r="J2182" s="149" t="s">
        <v>3559</v>
      </c>
      <c r="K2182" s="149" t="s">
        <v>3571</v>
      </c>
      <c r="L2182" s="171">
        <f t="shared" si="58"/>
        <v>-37500000</v>
      </c>
    </row>
    <row r="2183" spans="1:12" x14ac:dyDescent="0.25">
      <c r="A2183" s="7" t="s">
        <v>3460</v>
      </c>
      <c r="B2183" s="135" t="s">
        <v>3461</v>
      </c>
      <c r="C2183" s="133" t="s">
        <v>3462</v>
      </c>
      <c r="D2183" s="135">
        <v>1</v>
      </c>
      <c r="E2183" s="135" t="s">
        <v>4608</v>
      </c>
      <c r="F2183" s="136"/>
      <c r="G2183" s="136">
        <v>80000000</v>
      </c>
      <c r="H2183" s="168">
        <v>78000000</v>
      </c>
      <c r="I2183" s="150" t="s">
        <v>557</v>
      </c>
      <c r="J2183" s="149" t="s">
        <v>3559</v>
      </c>
      <c r="K2183" s="149" t="s">
        <v>3571</v>
      </c>
      <c r="L2183" s="171">
        <f t="shared" si="58"/>
        <v>2000000</v>
      </c>
    </row>
    <row r="2184" spans="1:12" ht="26.4" x14ac:dyDescent="0.25">
      <c r="A2184" s="7" t="s">
        <v>3463</v>
      </c>
      <c r="B2184" s="138" t="s">
        <v>4609</v>
      </c>
      <c r="C2184" s="137" t="s">
        <v>3465</v>
      </c>
      <c r="D2184" s="138">
        <v>1</v>
      </c>
      <c r="E2184" s="138" t="s">
        <v>4608</v>
      </c>
      <c r="F2184" s="139"/>
      <c r="G2184" s="139">
        <v>80000000</v>
      </c>
      <c r="H2184" s="165">
        <v>6555695000</v>
      </c>
      <c r="I2184" s="150" t="s">
        <v>557</v>
      </c>
      <c r="J2184" s="149" t="s">
        <v>3559</v>
      </c>
      <c r="K2184" s="149" t="s">
        <v>3571</v>
      </c>
      <c r="L2184" s="171">
        <f t="shared" si="58"/>
        <v>-6475695000</v>
      </c>
    </row>
    <row r="2185" spans="1:12" ht="39.6" x14ac:dyDescent="0.25">
      <c r="A2185" s="7" t="s">
        <v>3466</v>
      </c>
      <c r="B2185" s="58">
        <v>103</v>
      </c>
      <c r="C2185" s="35" t="s">
        <v>3467</v>
      </c>
      <c r="D2185" s="58">
        <v>0</v>
      </c>
      <c r="E2185" s="58"/>
      <c r="F2185" s="36"/>
      <c r="G2185" s="36">
        <v>80000000</v>
      </c>
      <c r="H2185" s="165">
        <v>25000000</v>
      </c>
      <c r="I2185" s="150" t="s">
        <v>557</v>
      </c>
      <c r="J2185" s="149" t="s">
        <v>3559</v>
      </c>
      <c r="K2185" s="149" t="s">
        <v>3571</v>
      </c>
      <c r="L2185" s="171">
        <f t="shared" si="58"/>
        <v>55000000</v>
      </c>
    </row>
    <row r="2186" spans="1:12" x14ac:dyDescent="0.25">
      <c r="A2186" s="7" t="s">
        <v>3468</v>
      </c>
      <c r="B2186" s="59" t="s">
        <v>8</v>
      </c>
      <c r="C2186" s="38" t="s">
        <v>3469</v>
      </c>
      <c r="D2186" s="59"/>
      <c r="E2186" s="59"/>
      <c r="F2186" s="39"/>
      <c r="G2186" s="39">
        <v>80000000</v>
      </c>
      <c r="H2186" s="168">
        <v>7000000</v>
      </c>
      <c r="I2186" s="150" t="s">
        <v>557</v>
      </c>
      <c r="J2186" s="149" t="s">
        <v>3559</v>
      </c>
      <c r="K2186" s="149" t="s">
        <v>3571</v>
      </c>
      <c r="L2186" s="171">
        <f t="shared" si="58"/>
        <v>73000000</v>
      </c>
    </row>
    <row r="2187" spans="1:12" x14ac:dyDescent="0.25">
      <c r="A2187" s="7" t="s">
        <v>3470</v>
      </c>
      <c r="B2187" s="60">
        <v>522191</v>
      </c>
      <c r="C2187" s="41" t="s">
        <v>22</v>
      </c>
      <c r="D2187" s="60"/>
      <c r="E2187" s="60"/>
      <c r="F2187" s="42"/>
      <c r="G2187" s="42">
        <v>80000000</v>
      </c>
      <c r="H2187" s="168">
        <v>18000000</v>
      </c>
      <c r="I2187" s="150" t="s">
        <v>557</v>
      </c>
      <c r="J2187" s="149" t="s">
        <v>3559</v>
      </c>
      <c r="K2187" s="149" t="s">
        <v>3571</v>
      </c>
      <c r="L2187" s="171">
        <f t="shared" si="58"/>
        <v>62000000</v>
      </c>
    </row>
    <row r="2188" spans="1:12" x14ac:dyDescent="0.25">
      <c r="A2188" s="7" t="s">
        <v>3471</v>
      </c>
      <c r="B2188" s="192"/>
      <c r="C2188" s="191" t="s">
        <v>4610</v>
      </c>
      <c r="D2188" s="192">
        <v>2</v>
      </c>
      <c r="E2188" s="192" t="s">
        <v>106</v>
      </c>
      <c r="F2188" s="193">
        <v>40000000</v>
      </c>
      <c r="G2188" s="45">
        <f>ROUNDDOWN(D2188*F2188,-3)</f>
        <v>80000000</v>
      </c>
      <c r="H2188" s="165">
        <v>6308695000</v>
      </c>
      <c r="I2188" s="150" t="s">
        <v>557</v>
      </c>
      <c r="J2188" s="149" t="s">
        <v>3559</v>
      </c>
      <c r="K2188" s="149" t="s">
        <v>3571</v>
      </c>
      <c r="L2188" s="171">
        <f t="shared" si="58"/>
        <v>-6228695000</v>
      </c>
    </row>
    <row r="2189" spans="1:12" x14ac:dyDescent="0.25">
      <c r="A2189" s="7" t="s">
        <v>495</v>
      </c>
      <c r="B2189" s="55">
        <v>4345</v>
      </c>
      <c r="C2189" s="26" t="s">
        <v>188</v>
      </c>
      <c r="D2189" s="55"/>
      <c r="E2189" s="55"/>
      <c r="F2189" s="27"/>
      <c r="G2189" s="27">
        <v>8582500000</v>
      </c>
      <c r="H2189" s="168">
        <v>6300445000</v>
      </c>
      <c r="I2189" s="150" t="s">
        <v>557</v>
      </c>
      <c r="J2189" s="149" t="s">
        <v>3559</v>
      </c>
      <c r="K2189" s="149" t="s">
        <v>3571</v>
      </c>
      <c r="L2189" s="171">
        <f t="shared" si="58"/>
        <v>2282055000</v>
      </c>
    </row>
    <row r="2190" spans="1:12" x14ac:dyDescent="0.25">
      <c r="A2190" s="7" t="s">
        <v>3473</v>
      </c>
      <c r="B2190" s="135" t="s">
        <v>3474</v>
      </c>
      <c r="C2190" s="133" t="s">
        <v>2312</v>
      </c>
      <c r="D2190" s="135">
        <v>4725</v>
      </c>
      <c r="E2190" s="135" t="s">
        <v>155</v>
      </c>
      <c r="F2190" s="136"/>
      <c r="G2190" s="136">
        <v>8582500000</v>
      </c>
      <c r="H2190" s="168">
        <v>750000</v>
      </c>
      <c r="I2190" s="150" t="s">
        <v>557</v>
      </c>
      <c r="J2190" s="149" t="s">
        <v>3559</v>
      </c>
      <c r="K2190" s="149" t="s">
        <v>3571</v>
      </c>
      <c r="L2190" s="171">
        <f t="shared" ref="L2190:L2221" si="59">G2190-H2190</f>
        <v>8581750000</v>
      </c>
    </row>
    <row r="2191" spans="1:12" x14ac:dyDescent="0.25">
      <c r="A2191" s="7" t="s">
        <v>3475</v>
      </c>
      <c r="B2191" s="138" t="s">
        <v>4611</v>
      </c>
      <c r="C2191" s="137" t="s">
        <v>3477</v>
      </c>
      <c r="D2191" s="138">
        <v>4725</v>
      </c>
      <c r="E2191" s="138" t="s">
        <v>155</v>
      </c>
      <c r="F2191" s="139"/>
      <c r="G2191" s="139">
        <v>8582500000</v>
      </c>
      <c r="H2191" s="168">
        <v>7500000</v>
      </c>
      <c r="I2191" s="150" t="s">
        <v>557</v>
      </c>
      <c r="J2191" s="149" t="s">
        <v>3559</v>
      </c>
      <c r="K2191" s="149" t="s">
        <v>3571</v>
      </c>
      <c r="L2191" s="171">
        <f t="shared" si="59"/>
        <v>8575000000</v>
      </c>
    </row>
    <row r="2192" spans="1:12" x14ac:dyDescent="0.25">
      <c r="A2192" s="7" t="s">
        <v>3478</v>
      </c>
      <c r="B2192" s="58">
        <v>301</v>
      </c>
      <c r="C2192" s="35" t="s">
        <v>189</v>
      </c>
      <c r="D2192" s="58">
        <v>0</v>
      </c>
      <c r="E2192" s="58"/>
      <c r="F2192" s="36"/>
      <c r="G2192" s="36">
        <v>8473300000</v>
      </c>
      <c r="H2192" s="165">
        <v>30000000</v>
      </c>
      <c r="I2192" s="150" t="s">
        <v>557</v>
      </c>
      <c r="J2192" s="149" t="s">
        <v>3559</v>
      </c>
      <c r="K2192" s="149" t="s">
        <v>3571</v>
      </c>
      <c r="L2192" s="171">
        <f t="shared" si="59"/>
        <v>8443300000</v>
      </c>
    </row>
    <row r="2193" spans="1:12" x14ac:dyDescent="0.25">
      <c r="A2193" s="7" t="s">
        <v>3479</v>
      </c>
      <c r="B2193" s="59" t="s">
        <v>8</v>
      </c>
      <c r="C2193" s="38" t="s">
        <v>190</v>
      </c>
      <c r="D2193" s="59"/>
      <c r="E2193" s="59"/>
      <c r="F2193" s="39"/>
      <c r="G2193" s="39">
        <v>1713564000</v>
      </c>
      <c r="H2193" s="168">
        <v>12000000</v>
      </c>
      <c r="I2193" s="150" t="s">
        <v>557</v>
      </c>
      <c r="J2193" s="149" t="s">
        <v>3559</v>
      </c>
      <c r="K2193" s="149" t="s">
        <v>3571</v>
      </c>
      <c r="L2193" s="171">
        <f t="shared" si="59"/>
        <v>1701564000</v>
      </c>
    </row>
    <row r="2194" spans="1:12" x14ac:dyDescent="0.25">
      <c r="A2194" s="7" t="s">
        <v>3480</v>
      </c>
      <c r="B2194" s="60">
        <v>521211</v>
      </c>
      <c r="C2194" s="41" t="s">
        <v>7</v>
      </c>
      <c r="D2194" s="60"/>
      <c r="E2194" s="60"/>
      <c r="F2194" s="42"/>
      <c r="G2194" s="42">
        <v>99100000</v>
      </c>
      <c r="H2194" s="168">
        <v>18000000</v>
      </c>
      <c r="I2194" s="150" t="s">
        <v>557</v>
      </c>
      <c r="J2194" s="149" t="s">
        <v>3559</v>
      </c>
      <c r="K2194" s="149" t="s">
        <v>3571</v>
      </c>
      <c r="L2194" s="171">
        <f t="shared" si="59"/>
        <v>81100000</v>
      </c>
    </row>
    <row r="2195" spans="1:12" x14ac:dyDescent="0.25">
      <c r="A2195" s="7" t="s">
        <v>3481</v>
      </c>
      <c r="B2195" s="192"/>
      <c r="C2195" s="191" t="s">
        <v>4612</v>
      </c>
      <c r="D2195" s="192">
        <v>400</v>
      </c>
      <c r="E2195" s="192" t="s">
        <v>10</v>
      </c>
      <c r="F2195" s="193">
        <v>70000</v>
      </c>
      <c r="G2195" s="45">
        <f>ROUNDDOWN(D2195*F2195,-3)</f>
        <v>28000000</v>
      </c>
      <c r="H2195" s="165">
        <v>6000000</v>
      </c>
      <c r="I2195" s="150" t="s">
        <v>557</v>
      </c>
      <c r="J2195" s="149" t="s">
        <v>3559</v>
      </c>
      <c r="K2195" s="149" t="s">
        <v>3571</v>
      </c>
      <c r="L2195" s="171">
        <f t="shared" si="59"/>
        <v>22000000</v>
      </c>
    </row>
    <row r="2196" spans="1:12" x14ac:dyDescent="0.25">
      <c r="A2196" s="7" t="s">
        <v>3482</v>
      </c>
      <c r="B2196" s="61"/>
      <c r="C2196" s="44" t="s">
        <v>4613</v>
      </c>
      <c r="D2196" s="61">
        <v>10</v>
      </c>
      <c r="E2196" s="61" t="s">
        <v>9</v>
      </c>
      <c r="F2196" s="45">
        <v>1500000</v>
      </c>
      <c r="G2196" s="45">
        <f>ROUNDDOWN(D2196*F2196,-3)</f>
        <v>15000000</v>
      </c>
      <c r="H2196" s="168">
        <v>6000000</v>
      </c>
      <c r="I2196" s="150" t="s">
        <v>557</v>
      </c>
      <c r="J2196" s="149" t="s">
        <v>3559</v>
      </c>
      <c r="K2196" s="149" t="s">
        <v>3571</v>
      </c>
      <c r="L2196" s="171">
        <f t="shared" si="59"/>
        <v>9000000</v>
      </c>
    </row>
    <row r="2197" spans="1:12" x14ac:dyDescent="0.25">
      <c r="A2197" s="7" t="s">
        <v>3484</v>
      </c>
      <c r="B2197" s="192"/>
      <c r="C2197" s="191" t="s">
        <v>4614</v>
      </c>
      <c r="D2197" s="192">
        <v>120</v>
      </c>
      <c r="E2197" s="192" t="s">
        <v>25</v>
      </c>
      <c r="F2197" s="193">
        <v>280000</v>
      </c>
      <c r="G2197" s="45">
        <f>ROUNDDOWN(D2197*F2197,-3)</f>
        <v>33600000</v>
      </c>
      <c r="H2197" s="165">
        <v>186000000</v>
      </c>
      <c r="I2197" s="150" t="s">
        <v>557</v>
      </c>
      <c r="J2197" s="149" t="s">
        <v>3559</v>
      </c>
      <c r="K2197" s="149" t="s">
        <v>3571</v>
      </c>
      <c r="L2197" s="171">
        <f t="shared" si="59"/>
        <v>-152400000</v>
      </c>
    </row>
    <row r="2198" spans="1:12" x14ac:dyDescent="0.25">
      <c r="A2198" s="7" t="s">
        <v>3486</v>
      </c>
      <c r="B2198" s="61"/>
      <c r="C2198" s="44" t="s">
        <v>4615</v>
      </c>
      <c r="D2198" s="61">
        <v>150</v>
      </c>
      <c r="E2198" s="61" t="s">
        <v>25</v>
      </c>
      <c r="F2198" s="45">
        <v>150000</v>
      </c>
      <c r="G2198" s="45">
        <f>ROUNDDOWN(D2198*F2198,-3)</f>
        <v>22500000</v>
      </c>
      <c r="H2198" s="168">
        <v>30000000</v>
      </c>
      <c r="I2198" s="150" t="s">
        <v>557</v>
      </c>
      <c r="J2198" s="149" t="s">
        <v>3559</v>
      </c>
      <c r="K2198" s="149" t="s">
        <v>3571</v>
      </c>
      <c r="L2198" s="171">
        <f t="shared" si="59"/>
        <v>-7500000</v>
      </c>
    </row>
    <row r="2199" spans="1:12" x14ac:dyDescent="0.25">
      <c r="A2199" s="7" t="s">
        <v>3488</v>
      </c>
      <c r="B2199" s="60">
        <v>521219</v>
      </c>
      <c r="C2199" s="41" t="s">
        <v>53</v>
      </c>
      <c r="D2199" s="60"/>
      <c r="E2199" s="60"/>
      <c r="F2199" s="42"/>
      <c r="G2199" s="42">
        <v>1333864000</v>
      </c>
      <c r="H2199" s="168">
        <v>156000000</v>
      </c>
      <c r="I2199" s="150" t="s">
        <v>557</v>
      </c>
      <c r="J2199" s="149" t="s">
        <v>3559</v>
      </c>
      <c r="K2199" s="149" t="s">
        <v>3571</v>
      </c>
      <c r="L2199" s="171">
        <f t="shared" si="59"/>
        <v>1177864000</v>
      </c>
    </row>
    <row r="2200" spans="1:12" x14ac:dyDescent="0.25">
      <c r="A2200" s="7" t="s">
        <v>3489</v>
      </c>
      <c r="B2200" s="192"/>
      <c r="C2200" s="191" t="s">
        <v>4616</v>
      </c>
      <c r="D2200" s="192">
        <v>33</v>
      </c>
      <c r="E2200" s="192" t="s">
        <v>155</v>
      </c>
      <c r="F2200" s="193">
        <v>40412550</v>
      </c>
      <c r="G2200" s="45">
        <f>ROUNDDOWN(D2200*F2200,-3)</f>
        <v>1333614000</v>
      </c>
      <c r="H2200" s="165">
        <v>174041000</v>
      </c>
      <c r="I2200" s="150" t="s">
        <v>557</v>
      </c>
      <c r="J2200" s="149" t="s">
        <v>3559</v>
      </c>
      <c r="K2200" s="149" t="s">
        <v>3571</v>
      </c>
      <c r="L2200" s="171">
        <f t="shared" si="59"/>
        <v>1159573000</v>
      </c>
    </row>
    <row r="2201" spans="1:12" x14ac:dyDescent="0.25">
      <c r="A2201" s="7" t="s">
        <v>3491</v>
      </c>
      <c r="B2201" s="192"/>
      <c r="C2201" s="191" t="s">
        <v>4617</v>
      </c>
      <c r="D2201" s="192">
        <v>1</v>
      </c>
      <c r="E2201" s="192" t="s">
        <v>9</v>
      </c>
      <c r="F2201" s="193">
        <v>250000</v>
      </c>
      <c r="G2201" s="45">
        <f>ROUNDDOWN(D2201*F2201,-3)</f>
        <v>250000</v>
      </c>
      <c r="H2201" s="165">
        <v>12000000</v>
      </c>
      <c r="I2201" s="150" t="s">
        <v>557</v>
      </c>
      <c r="J2201" s="149" t="s">
        <v>3559</v>
      </c>
      <c r="K2201" s="149" t="s">
        <v>3571</v>
      </c>
      <c r="L2201" s="171">
        <f t="shared" si="59"/>
        <v>-11750000</v>
      </c>
    </row>
    <row r="2202" spans="1:12" x14ac:dyDescent="0.25">
      <c r="A2202" s="7" t="s">
        <v>3492</v>
      </c>
      <c r="B2202" s="60">
        <v>521811</v>
      </c>
      <c r="C2202" s="41" t="s">
        <v>64</v>
      </c>
      <c r="D2202" s="60"/>
      <c r="E2202" s="60"/>
      <c r="F2202" s="42"/>
      <c r="G2202" s="42">
        <v>25000000</v>
      </c>
      <c r="H2202" s="168">
        <v>4500000</v>
      </c>
      <c r="I2202" s="150" t="s">
        <v>557</v>
      </c>
      <c r="J2202" s="149" t="s">
        <v>3559</v>
      </c>
      <c r="K2202" s="149" t="s">
        <v>3571</v>
      </c>
      <c r="L2202" s="171">
        <f t="shared" si="59"/>
        <v>20500000</v>
      </c>
    </row>
    <row r="2203" spans="1:12" x14ac:dyDescent="0.25">
      <c r="A2203" s="7" t="s">
        <v>3493</v>
      </c>
      <c r="B2203" s="61"/>
      <c r="C2203" s="44" t="s">
        <v>4269</v>
      </c>
      <c r="D2203" s="61">
        <v>10</v>
      </c>
      <c r="E2203" s="61" t="s">
        <v>9</v>
      </c>
      <c r="F2203" s="45">
        <v>1000000</v>
      </c>
      <c r="G2203" s="45">
        <f>ROUNDDOWN(D2203*F2203,-3)</f>
        <v>10000000</v>
      </c>
      <c r="H2203" s="168">
        <v>3000000</v>
      </c>
      <c r="I2203" s="150" t="s">
        <v>557</v>
      </c>
      <c r="J2203" s="149" t="s">
        <v>3559</v>
      </c>
      <c r="K2203" s="149" t="s">
        <v>3571</v>
      </c>
      <c r="L2203" s="171">
        <f t="shared" si="59"/>
        <v>7000000</v>
      </c>
    </row>
    <row r="2204" spans="1:12" x14ac:dyDescent="0.25">
      <c r="A2204" s="7" t="s">
        <v>3494</v>
      </c>
      <c r="B2204" s="61"/>
      <c r="C2204" s="44" t="s">
        <v>3632</v>
      </c>
      <c r="D2204" s="61">
        <v>10</v>
      </c>
      <c r="E2204" s="61" t="s">
        <v>9</v>
      </c>
      <c r="F2204" s="45">
        <v>1500000</v>
      </c>
      <c r="G2204" s="45">
        <f>ROUNDDOWN(D2204*F2204,-3)</f>
        <v>15000000</v>
      </c>
      <c r="H2204" s="168">
        <v>4500000</v>
      </c>
      <c r="I2204" s="150" t="s">
        <v>557</v>
      </c>
      <c r="J2204" s="149" t="s">
        <v>3559</v>
      </c>
      <c r="K2204" s="149" t="s">
        <v>3571</v>
      </c>
      <c r="L2204" s="171">
        <f t="shared" si="59"/>
        <v>10500000</v>
      </c>
    </row>
    <row r="2205" spans="1:12" x14ac:dyDescent="0.25">
      <c r="A2205" s="7" t="s">
        <v>3495</v>
      </c>
      <c r="B2205" s="60">
        <v>522151</v>
      </c>
      <c r="C2205" s="41" t="s">
        <v>11</v>
      </c>
      <c r="D2205" s="60"/>
      <c r="E2205" s="60"/>
      <c r="F2205" s="42"/>
      <c r="G2205" s="42">
        <v>15000000</v>
      </c>
      <c r="H2205" s="165">
        <v>20000000</v>
      </c>
      <c r="I2205" s="150" t="s">
        <v>557</v>
      </c>
      <c r="J2205" s="149" t="s">
        <v>3559</v>
      </c>
      <c r="K2205" s="149" t="s">
        <v>3571</v>
      </c>
      <c r="L2205" s="171">
        <f t="shared" si="59"/>
        <v>-5000000</v>
      </c>
    </row>
    <row r="2206" spans="1:12" x14ac:dyDescent="0.25">
      <c r="A2206" s="7" t="s">
        <v>3496</v>
      </c>
      <c r="B2206" s="61"/>
      <c r="C2206" s="44" t="s">
        <v>3715</v>
      </c>
      <c r="D2206" s="61">
        <v>15</v>
      </c>
      <c r="E2206" s="61" t="s">
        <v>12</v>
      </c>
      <c r="F2206" s="45">
        <v>1000000</v>
      </c>
      <c r="G2206" s="45">
        <f>ROUNDDOWN(D2206*F2206,-3)</f>
        <v>15000000</v>
      </c>
      <c r="H2206" s="168">
        <v>20000000</v>
      </c>
      <c r="I2206" s="150" t="s">
        <v>557</v>
      </c>
      <c r="J2206" s="149" t="s">
        <v>3559</v>
      </c>
      <c r="K2206" s="149" t="s">
        <v>3571</v>
      </c>
      <c r="L2206" s="171">
        <f t="shared" si="59"/>
        <v>-5000000</v>
      </c>
    </row>
    <row r="2207" spans="1:12" x14ac:dyDescent="0.25">
      <c r="A2207" s="7" t="s">
        <v>3497</v>
      </c>
      <c r="B2207" s="60">
        <v>522191</v>
      </c>
      <c r="C2207" s="41" t="s">
        <v>22</v>
      </c>
      <c r="D2207" s="60"/>
      <c r="E2207" s="60"/>
      <c r="F2207" s="42"/>
      <c r="G2207" s="42">
        <v>102600000</v>
      </c>
      <c r="H2207" s="165">
        <v>142041000</v>
      </c>
      <c r="I2207" s="150" t="s">
        <v>557</v>
      </c>
      <c r="J2207" s="149" t="s">
        <v>3559</v>
      </c>
      <c r="K2207" s="149" t="s">
        <v>3571</v>
      </c>
      <c r="L2207" s="171">
        <f t="shared" si="59"/>
        <v>-39441000</v>
      </c>
    </row>
    <row r="2208" spans="1:12" x14ac:dyDescent="0.25">
      <c r="A2208" s="7" t="s">
        <v>3498</v>
      </c>
      <c r="B2208" s="61"/>
      <c r="C2208" s="44" t="s">
        <v>4618</v>
      </c>
      <c r="D2208" s="61">
        <v>120</v>
      </c>
      <c r="E2208" s="61" t="s">
        <v>155</v>
      </c>
      <c r="F2208" s="45">
        <v>855000</v>
      </c>
      <c r="G2208" s="45">
        <f>ROUNDDOWN(D2208*F2208,-3)</f>
        <v>102600000</v>
      </c>
      <c r="H2208" s="168">
        <v>142041000</v>
      </c>
      <c r="I2208" s="150" t="s">
        <v>557</v>
      </c>
      <c r="J2208" s="149" t="s">
        <v>3559</v>
      </c>
      <c r="K2208" s="149" t="s">
        <v>3571</v>
      </c>
      <c r="L2208" s="171">
        <f t="shared" si="59"/>
        <v>-39441000</v>
      </c>
    </row>
    <row r="2209" spans="1:12" x14ac:dyDescent="0.25">
      <c r="A2209" s="7" t="s">
        <v>3500</v>
      </c>
      <c r="B2209" s="60">
        <v>524111</v>
      </c>
      <c r="C2209" s="41" t="s">
        <v>19</v>
      </c>
      <c r="D2209" s="60"/>
      <c r="E2209" s="60"/>
      <c r="F2209" s="42"/>
      <c r="G2209" s="42">
        <v>138000000</v>
      </c>
      <c r="H2209" s="165">
        <v>30000000</v>
      </c>
      <c r="I2209" s="150" t="s">
        <v>557</v>
      </c>
      <c r="J2209" s="149" t="s">
        <v>3559</v>
      </c>
      <c r="K2209" s="149" t="s">
        <v>3571</v>
      </c>
      <c r="L2209" s="171">
        <f t="shared" si="59"/>
        <v>108000000</v>
      </c>
    </row>
    <row r="2210" spans="1:12" x14ac:dyDescent="0.25">
      <c r="A2210" s="7" t="s">
        <v>3501</v>
      </c>
      <c r="B2210" s="192"/>
      <c r="C2210" s="191" t="s">
        <v>4619</v>
      </c>
      <c r="D2210" s="192">
        <v>50</v>
      </c>
      <c r="E2210" s="192" t="s">
        <v>10</v>
      </c>
      <c r="F2210" s="193">
        <v>1200000</v>
      </c>
      <c r="G2210" s="45">
        <f>ROUNDDOWN(D2210*F2210,-3)</f>
        <v>60000000</v>
      </c>
      <c r="H2210" s="165">
        <v>30000000</v>
      </c>
      <c r="I2210" s="150" t="s">
        <v>557</v>
      </c>
      <c r="J2210" s="149" t="s">
        <v>3559</v>
      </c>
      <c r="K2210" s="149" t="s">
        <v>3571</v>
      </c>
      <c r="L2210" s="171">
        <f t="shared" si="59"/>
        <v>30000000</v>
      </c>
    </row>
    <row r="2211" spans="1:12" ht="26.4" x14ac:dyDescent="0.25">
      <c r="A2211" s="7" t="s">
        <v>3503</v>
      </c>
      <c r="B2211" s="61"/>
      <c r="C2211" s="44" t="s">
        <v>4620</v>
      </c>
      <c r="D2211" s="61">
        <v>12</v>
      </c>
      <c r="E2211" s="61" t="s">
        <v>10</v>
      </c>
      <c r="F2211" s="45">
        <v>6500000</v>
      </c>
      <c r="G2211" s="45">
        <f>ROUNDDOWN(D2211*F2211,-3)</f>
        <v>78000000</v>
      </c>
      <c r="H2211" s="168">
        <v>30000000</v>
      </c>
      <c r="I2211" s="150" t="s">
        <v>557</v>
      </c>
      <c r="J2211" s="149" t="s">
        <v>3559</v>
      </c>
      <c r="K2211" s="149" t="s">
        <v>3571</v>
      </c>
      <c r="L2211" s="171">
        <f t="shared" si="59"/>
        <v>48000000</v>
      </c>
    </row>
    <row r="2212" spans="1:12" x14ac:dyDescent="0.25">
      <c r="A2212" s="7" t="s">
        <v>3505</v>
      </c>
      <c r="B2212" s="59" t="s">
        <v>511</v>
      </c>
      <c r="C2212" s="38" t="s">
        <v>191</v>
      </c>
      <c r="D2212" s="59"/>
      <c r="E2212" s="59"/>
      <c r="F2212" s="39"/>
      <c r="G2212" s="39">
        <v>6555695000</v>
      </c>
      <c r="H2212" s="165">
        <v>109200000</v>
      </c>
      <c r="I2212" s="150" t="s">
        <v>557</v>
      </c>
      <c r="J2212" s="149" t="s">
        <v>3559</v>
      </c>
      <c r="K2212" s="149" t="s">
        <v>3571</v>
      </c>
      <c r="L2212" s="171">
        <f t="shared" si="59"/>
        <v>6446495000</v>
      </c>
    </row>
    <row r="2213" spans="1:12" x14ac:dyDescent="0.25">
      <c r="A2213" s="7" t="s">
        <v>3506</v>
      </c>
      <c r="B2213" s="60">
        <v>521211</v>
      </c>
      <c r="C2213" s="41" t="s">
        <v>7</v>
      </c>
      <c r="D2213" s="60"/>
      <c r="E2213" s="60"/>
      <c r="F2213" s="42"/>
      <c r="G2213" s="42">
        <v>25000000</v>
      </c>
      <c r="H2213" s="165">
        <v>109200000</v>
      </c>
      <c r="I2213" s="150" t="s">
        <v>557</v>
      </c>
      <c r="J2213" s="149" t="s">
        <v>3559</v>
      </c>
      <c r="K2213" s="149" t="s">
        <v>3571</v>
      </c>
      <c r="L2213" s="171">
        <f t="shared" si="59"/>
        <v>-84200000</v>
      </c>
    </row>
    <row r="2214" spans="1:12" x14ac:dyDescent="0.25">
      <c r="A2214" s="7" t="s">
        <v>3507</v>
      </c>
      <c r="B2214" s="192"/>
      <c r="C2214" s="191" t="s">
        <v>4612</v>
      </c>
      <c r="D2214" s="192">
        <v>100</v>
      </c>
      <c r="E2214" s="192" t="s">
        <v>10</v>
      </c>
      <c r="F2214" s="193">
        <v>70000</v>
      </c>
      <c r="G2214" s="45">
        <f>ROUNDDOWN(D2214*F2214,-3)</f>
        <v>7000000</v>
      </c>
      <c r="H2214" s="165">
        <v>25000000</v>
      </c>
      <c r="I2214" s="150" t="s">
        <v>557</v>
      </c>
      <c r="J2214" s="149" t="s">
        <v>3559</v>
      </c>
      <c r="K2214" s="149" t="s">
        <v>3571</v>
      </c>
      <c r="L2214" s="171">
        <f t="shared" si="59"/>
        <v>-18000000</v>
      </c>
    </row>
    <row r="2215" spans="1:12" x14ac:dyDescent="0.25">
      <c r="A2215" s="7" t="s">
        <v>3508</v>
      </c>
      <c r="B2215" s="61"/>
      <c r="C2215" s="44" t="s">
        <v>4613</v>
      </c>
      <c r="D2215" s="61">
        <v>12</v>
      </c>
      <c r="E2215" s="61" t="s">
        <v>9</v>
      </c>
      <c r="F2215" s="45">
        <v>1500000</v>
      </c>
      <c r="G2215" s="45">
        <f>ROUNDDOWN(D2215*F2215,-3)</f>
        <v>18000000</v>
      </c>
      <c r="H2215" s="168">
        <v>7000000</v>
      </c>
      <c r="I2215" s="150" t="s">
        <v>557</v>
      </c>
      <c r="J2215" s="149" t="s">
        <v>3559</v>
      </c>
      <c r="K2215" s="149" t="s">
        <v>3571</v>
      </c>
      <c r="L2215" s="171">
        <f t="shared" si="59"/>
        <v>11000000</v>
      </c>
    </row>
    <row r="2216" spans="1:12" x14ac:dyDescent="0.25">
      <c r="A2216" s="7" t="s">
        <v>3509</v>
      </c>
      <c r="B2216" s="60">
        <v>521219</v>
      </c>
      <c r="C2216" s="41" t="s">
        <v>53</v>
      </c>
      <c r="D2216" s="60"/>
      <c r="E2216" s="60"/>
      <c r="F2216" s="42"/>
      <c r="G2216" s="42">
        <v>6308695000</v>
      </c>
      <c r="H2216" s="168">
        <v>18000000</v>
      </c>
      <c r="I2216" s="150" t="s">
        <v>557</v>
      </c>
      <c r="J2216" s="149" t="s">
        <v>3559</v>
      </c>
      <c r="K2216" s="149" t="s">
        <v>3571</v>
      </c>
      <c r="L2216" s="171">
        <f t="shared" si="59"/>
        <v>6290695000</v>
      </c>
    </row>
    <row r="2217" spans="1:12" x14ac:dyDescent="0.25">
      <c r="A2217" s="7" t="s">
        <v>3510</v>
      </c>
      <c r="B2217" s="192"/>
      <c r="C2217" s="191" t="s">
        <v>4616</v>
      </c>
      <c r="D2217" s="192">
        <v>157</v>
      </c>
      <c r="E2217" s="192" t="s">
        <v>155</v>
      </c>
      <c r="F2217" s="193">
        <v>40130229</v>
      </c>
      <c r="G2217" s="45">
        <f>ROUNDDOWN(D2217*F2217,-3)</f>
        <v>6300445000</v>
      </c>
      <c r="H2217" s="165">
        <v>30000000</v>
      </c>
      <c r="I2217" s="150" t="s">
        <v>557</v>
      </c>
      <c r="J2217" s="149" t="s">
        <v>3559</v>
      </c>
      <c r="K2217" s="149" t="s">
        <v>3571</v>
      </c>
      <c r="L2217" s="171">
        <f t="shared" si="59"/>
        <v>6270445000</v>
      </c>
    </row>
    <row r="2218" spans="1:12" x14ac:dyDescent="0.25">
      <c r="A2218" s="7" t="s">
        <v>3511</v>
      </c>
      <c r="B2218" s="61"/>
      <c r="C2218" s="44" t="s">
        <v>4617</v>
      </c>
      <c r="D2218" s="61">
        <v>3</v>
      </c>
      <c r="E2218" s="61" t="s">
        <v>9</v>
      </c>
      <c r="F2218" s="45">
        <v>250000</v>
      </c>
      <c r="G2218" s="45">
        <f>ROUNDDOWN(D2218*F2218,-3)</f>
        <v>750000</v>
      </c>
      <c r="H2218" s="168">
        <v>12000000</v>
      </c>
      <c r="I2218" s="150" t="s">
        <v>557</v>
      </c>
      <c r="J2218" s="149" t="s">
        <v>3559</v>
      </c>
      <c r="K2218" s="149" t="s">
        <v>3571</v>
      </c>
      <c r="L2218" s="171">
        <f t="shared" si="59"/>
        <v>-11250000</v>
      </c>
    </row>
    <row r="2219" spans="1:12" x14ac:dyDescent="0.25">
      <c r="A2219" s="7" t="s">
        <v>3512</v>
      </c>
      <c r="B2219" s="61"/>
      <c r="C2219" s="44" t="s">
        <v>4621</v>
      </c>
      <c r="D2219" s="61">
        <v>15</v>
      </c>
      <c r="E2219" s="61" t="s">
        <v>106</v>
      </c>
      <c r="F2219" s="45">
        <v>500000</v>
      </c>
      <c r="G2219" s="45">
        <f>ROUNDDOWN(D2219*F2219,-3)</f>
        <v>7500000</v>
      </c>
      <c r="H2219" s="168">
        <v>18000000</v>
      </c>
      <c r="I2219" s="150" t="s">
        <v>557</v>
      </c>
      <c r="J2219" s="149" t="s">
        <v>3559</v>
      </c>
      <c r="K2219" s="149" t="s">
        <v>3571</v>
      </c>
      <c r="L2219" s="171">
        <f t="shared" si="59"/>
        <v>-10500000</v>
      </c>
    </row>
    <row r="2220" spans="1:12" x14ac:dyDescent="0.25">
      <c r="A2220" s="7" t="s">
        <v>3514</v>
      </c>
      <c r="B2220" s="60">
        <v>521811</v>
      </c>
      <c r="C2220" s="41" t="s">
        <v>64</v>
      </c>
      <c r="D2220" s="60"/>
      <c r="E2220" s="60"/>
      <c r="F2220" s="42"/>
      <c r="G2220" s="42">
        <v>30000000</v>
      </c>
      <c r="H2220" s="165">
        <v>54200000</v>
      </c>
      <c r="I2220" s="150" t="s">
        <v>557</v>
      </c>
      <c r="J2220" s="149" t="s">
        <v>3559</v>
      </c>
      <c r="K2220" s="149" t="s">
        <v>3571</v>
      </c>
      <c r="L2220" s="171">
        <f t="shared" si="59"/>
        <v>-24200000</v>
      </c>
    </row>
    <row r="2221" spans="1:12" x14ac:dyDescent="0.25">
      <c r="A2221" s="7" t="s">
        <v>3515</v>
      </c>
      <c r="B2221" s="61"/>
      <c r="C2221" s="44" t="s">
        <v>4269</v>
      </c>
      <c r="D2221" s="61">
        <v>12</v>
      </c>
      <c r="E2221" s="61" t="s">
        <v>9</v>
      </c>
      <c r="F2221" s="45">
        <v>1000000</v>
      </c>
      <c r="G2221" s="45">
        <f>ROUNDDOWN(D2221*F2221,-3)</f>
        <v>12000000</v>
      </c>
      <c r="H2221" s="168">
        <v>54200000</v>
      </c>
      <c r="I2221" s="150" t="s">
        <v>557</v>
      </c>
      <c r="J2221" s="149" t="s">
        <v>3559</v>
      </c>
      <c r="K2221" s="149" t="s">
        <v>3571</v>
      </c>
      <c r="L2221" s="171">
        <f t="shared" si="59"/>
        <v>-42200000</v>
      </c>
    </row>
    <row r="2222" spans="1:12" x14ac:dyDescent="0.25">
      <c r="A2222" s="7" t="s">
        <v>3516</v>
      </c>
      <c r="B2222" s="61"/>
      <c r="C2222" s="44" t="s">
        <v>3632</v>
      </c>
      <c r="D2222" s="61">
        <v>12</v>
      </c>
      <c r="E2222" s="61" t="s">
        <v>9</v>
      </c>
      <c r="F2222" s="45">
        <v>1500000</v>
      </c>
      <c r="G2222" s="45">
        <f>ROUNDDOWN(D2222*F2222,-3)</f>
        <v>18000000</v>
      </c>
    </row>
    <row r="2223" spans="1:12" x14ac:dyDescent="0.25">
      <c r="A2223" s="7" t="s">
        <v>3517</v>
      </c>
      <c r="B2223" s="60">
        <v>522151</v>
      </c>
      <c r="C2223" s="41" t="s">
        <v>11</v>
      </c>
      <c r="D2223" s="60"/>
      <c r="E2223" s="60"/>
      <c r="F2223" s="42"/>
      <c r="G2223" s="42">
        <v>6000000</v>
      </c>
    </row>
    <row r="2224" spans="1:12" x14ac:dyDescent="0.25">
      <c r="A2224" s="7" t="s">
        <v>3518</v>
      </c>
      <c r="B2224" s="61"/>
      <c r="C2224" s="44" t="s">
        <v>3715</v>
      </c>
      <c r="D2224" s="61">
        <v>6</v>
      </c>
      <c r="E2224" s="61" t="s">
        <v>12</v>
      </c>
      <c r="F2224" s="45">
        <v>1000000</v>
      </c>
      <c r="G2224" s="45">
        <f>ROUNDDOWN(D2224*F2224,-3)</f>
        <v>6000000</v>
      </c>
    </row>
    <row r="2225" spans="1:7" x14ac:dyDescent="0.25">
      <c r="A2225" s="7" t="s">
        <v>3519</v>
      </c>
      <c r="B2225" s="60">
        <v>524111</v>
      </c>
      <c r="C2225" s="41" t="s">
        <v>19</v>
      </c>
      <c r="D2225" s="60"/>
      <c r="E2225" s="60"/>
      <c r="F2225" s="42"/>
      <c r="G2225" s="42">
        <v>186000000</v>
      </c>
    </row>
    <row r="2226" spans="1:7" x14ac:dyDescent="0.25">
      <c r="A2226" s="7" t="s">
        <v>3520</v>
      </c>
      <c r="B2226" s="61"/>
      <c r="C2226" s="44" t="s">
        <v>4619</v>
      </c>
      <c r="D2226" s="61">
        <v>20</v>
      </c>
      <c r="E2226" s="61" t="s">
        <v>10</v>
      </c>
      <c r="F2226" s="45">
        <v>1500000</v>
      </c>
      <c r="G2226" s="45">
        <f>ROUNDDOWN(D2226*F2226,-3)</f>
        <v>30000000</v>
      </c>
    </row>
    <row r="2227" spans="1:7" ht="26.4" x14ac:dyDescent="0.25">
      <c r="A2227" s="7" t="s">
        <v>3521</v>
      </c>
      <c r="B2227" s="61"/>
      <c r="C2227" s="44" t="s">
        <v>4620</v>
      </c>
      <c r="D2227" s="61">
        <v>24</v>
      </c>
      <c r="E2227" s="61" t="s">
        <v>10</v>
      </c>
      <c r="F2227" s="45">
        <v>6500000</v>
      </c>
      <c r="G2227" s="45">
        <f>ROUNDDOWN(D2227*F2227,-3)</f>
        <v>156000000</v>
      </c>
    </row>
    <row r="2228" spans="1:7" x14ac:dyDescent="0.25">
      <c r="A2228" s="7" t="s">
        <v>3522</v>
      </c>
      <c r="B2228" s="59" t="s">
        <v>512</v>
      </c>
      <c r="C2228" s="38" t="s">
        <v>192</v>
      </c>
      <c r="D2228" s="59"/>
      <c r="E2228" s="59"/>
      <c r="F2228" s="39"/>
      <c r="G2228" s="39">
        <v>174041000</v>
      </c>
    </row>
    <row r="2229" spans="1:7" x14ac:dyDescent="0.25">
      <c r="A2229" s="7" t="s">
        <v>3523</v>
      </c>
      <c r="B2229" s="60">
        <v>521211</v>
      </c>
      <c r="C2229" s="41" t="s">
        <v>7</v>
      </c>
      <c r="D2229" s="60"/>
      <c r="E2229" s="60"/>
      <c r="F2229" s="42"/>
      <c r="G2229" s="42">
        <v>12000000</v>
      </c>
    </row>
    <row r="2230" spans="1:7" x14ac:dyDescent="0.25">
      <c r="A2230" s="7" t="s">
        <v>3524</v>
      </c>
      <c r="B2230" s="61"/>
      <c r="C2230" s="44" t="s">
        <v>4622</v>
      </c>
      <c r="D2230" s="61">
        <v>3</v>
      </c>
      <c r="E2230" s="61" t="s">
        <v>9</v>
      </c>
      <c r="F2230" s="45">
        <v>1500000</v>
      </c>
      <c r="G2230" s="45">
        <f>ROUNDDOWN(D2230*F2230,-3)</f>
        <v>4500000</v>
      </c>
    </row>
    <row r="2231" spans="1:7" x14ac:dyDescent="0.25">
      <c r="A2231" s="7" t="s">
        <v>3525</v>
      </c>
      <c r="B2231" s="61"/>
      <c r="C2231" s="44" t="s">
        <v>3626</v>
      </c>
      <c r="D2231" s="61">
        <v>3</v>
      </c>
      <c r="E2231" s="61" t="s">
        <v>9</v>
      </c>
      <c r="F2231" s="45">
        <v>1000000</v>
      </c>
      <c r="G2231" s="45">
        <f>ROUNDDOWN(D2231*F2231,-3)</f>
        <v>3000000</v>
      </c>
    </row>
    <row r="2232" spans="1:7" x14ac:dyDescent="0.25">
      <c r="A2232" s="7" t="s">
        <v>3526</v>
      </c>
      <c r="B2232" s="61"/>
      <c r="C2232" s="44" t="s">
        <v>3600</v>
      </c>
      <c r="D2232" s="61">
        <v>3</v>
      </c>
      <c r="E2232" s="61" t="s">
        <v>9</v>
      </c>
      <c r="F2232" s="45">
        <v>1500000</v>
      </c>
      <c r="G2232" s="45">
        <f>ROUNDDOWN(D2232*F2232,-3)</f>
        <v>4500000</v>
      </c>
    </row>
    <row r="2233" spans="1:7" x14ac:dyDescent="0.25">
      <c r="A2233" s="7" t="s">
        <v>3527</v>
      </c>
      <c r="B2233" s="60">
        <v>521219</v>
      </c>
      <c r="C2233" s="41" t="s">
        <v>53</v>
      </c>
      <c r="D2233" s="60"/>
      <c r="E2233" s="60"/>
      <c r="F2233" s="42"/>
      <c r="G2233" s="42">
        <v>20000000</v>
      </c>
    </row>
    <row r="2234" spans="1:7" ht="26.4" x14ac:dyDescent="0.25">
      <c r="A2234" s="7" t="s">
        <v>3528</v>
      </c>
      <c r="B2234" s="61"/>
      <c r="C2234" s="44" t="s">
        <v>4623</v>
      </c>
      <c r="D2234" s="61">
        <v>2</v>
      </c>
      <c r="E2234" s="61" t="s">
        <v>155</v>
      </c>
      <c r="F2234" s="45">
        <v>10000000</v>
      </c>
      <c r="G2234" s="45">
        <f>ROUNDDOWN(D2234*F2234,-3)</f>
        <v>20000000</v>
      </c>
    </row>
    <row r="2235" spans="1:7" x14ac:dyDescent="0.25">
      <c r="A2235" s="7" t="s">
        <v>3530</v>
      </c>
      <c r="B2235" s="60">
        <v>524211</v>
      </c>
      <c r="C2235" s="41" t="s">
        <v>1151</v>
      </c>
      <c r="D2235" s="60"/>
      <c r="E2235" s="60"/>
      <c r="F2235" s="42"/>
      <c r="G2235" s="42">
        <v>142041000</v>
      </c>
    </row>
    <row r="2236" spans="1:7" ht="26.4" x14ac:dyDescent="0.25">
      <c r="A2236" s="7" t="s">
        <v>3531</v>
      </c>
      <c r="B2236" s="61"/>
      <c r="C2236" s="44" t="s">
        <v>4624</v>
      </c>
      <c r="D2236" s="61">
        <v>3</v>
      </c>
      <c r="E2236" s="61" t="s">
        <v>10</v>
      </c>
      <c r="F2236" s="45">
        <v>47347000</v>
      </c>
      <c r="G2236" s="45">
        <f>ROUNDDOWN(D2236*F2236,-3)</f>
        <v>142041000</v>
      </c>
    </row>
    <row r="2237" spans="1:7" x14ac:dyDescent="0.25">
      <c r="A2237" s="7" t="s">
        <v>3533</v>
      </c>
      <c r="B2237" s="59" t="s">
        <v>514</v>
      </c>
      <c r="C2237" s="38" t="s">
        <v>3534</v>
      </c>
      <c r="D2237" s="59"/>
      <c r="E2237" s="59"/>
      <c r="F2237" s="39"/>
      <c r="G2237" s="39">
        <v>30000000</v>
      </c>
    </row>
    <row r="2238" spans="1:7" x14ac:dyDescent="0.25">
      <c r="A2238" s="7" t="s">
        <v>3535</v>
      </c>
      <c r="B2238" s="60">
        <v>522192</v>
      </c>
      <c r="C2238" s="41" t="s">
        <v>24</v>
      </c>
      <c r="D2238" s="60"/>
      <c r="E2238" s="60"/>
      <c r="F2238" s="42"/>
      <c r="G2238" s="42">
        <v>30000000</v>
      </c>
    </row>
    <row r="2239" spans="1:7" x14ac:dyDescent="0.25">
      <c r="A2239" s="7" t="s">
        <v>3536</v>
      </c>
      <c r="B2239" s="61"/>
      <c r="C2239" s="44" t="s">
        <v>4625</v>
      </c>
      <c r="D2239" s="61">
        <v>120</v>
      </c>
      <c r="E2239" s="61" t="s">
        <v>776</v>
      </c>
      <c r="F2239" s="45">
        <v>250000</v>
      </c>
      <c r="G2239" s="45">
        <f>ROUNDDOWN(D2239*F2239,-3)</f>
        <v>30000000</v>
      </c>
    </row>
    <row r="2240" spans="1:7" x14ac:dyDescent="0.25">
      <c r="A2240" s="7" t="s">
        <v>3538</v>
      </c>
      <c r="B2240" s="58">
        <v>302</v>
      </c>
      <c r="C2240" s="35" t="s">
        <v>193</v>
      </c>
      <c r="D2240" s="58">
        <v>0</v>
      </c>
      <c r="E2240" s="58"/>
      <c r="F2240" s="36"/>
      <c r="G2240" s="36">
        <v>109200000</v>
      </c>
    </row>
    <row r="2241" spans="1:7" x14ac:dyDescent="0.25">
      <c r="A2241" s="7" t="s">
        <v>3539</v>
      </c>
      <c r="B2241" s="59" t="s">
        <v>8</v>
      </c>
      <c r="C2241" s="38" t="s">
        <v>193</v>
      </c>
      <c r="D2241" s="59"/>
      <c r="E2241" s="59"/>
      <c r="F2241" s="39"/>
      <c r="G2241" s="39">
        <v>109200000</v>
      </c>
    </row>
    <row r="2242" spans="1:7" x14ac:dyDescent="0.25">
      <c r="A2242" s="7" t="s">
        <v>3540</v>
      </c>
      <c r="B2242" s="60">
        <v>521211</v>
      </c>
      <c r="C2242" s="41" t="s">
        <v>7</v>
      </c>
      <c r="D2242" s="60"/>
      <c r="E2242" s="60"/>
      <c r="F2242" s="42"/>
      <c r="G2242" s="42">
        <v>25000000</v>
      </c>
    </row>
    <row r="2243" spans="1:7" x14ac:dyDescent="0.25">
      <c r="A2243" s="7" t="s">
        <v>3541</v>
      </c>
      <c r="B2243" s="61"/>
      <c r="C2243" s="44" t="s">
        <v>4612</v>
      </c>
      <c r="D2243" s="61">
        <v>100</v>
      </c>
      <c r="E2243" s="61" t="s">
        <v>10</v>
      </c>
      <c r="F2243" s="45">
        <v>70000</v>
      </c>
      <c r="G2243" s="45">
        <f>ROUNDDOWN(D2243*F2243,-3)</f>
        <v>7000000</v>
      </c>
    </row>
    <row r="2244" spans="1:7" x14ac:dyDescent="0.25">
      <c r="A2244" s="7" t="s">
        <v>3542</v>
      </c>
      <c r="B2244" s="61"/>
      <c r="C2244" s="44" t="s">
        <v>4613</v>
      </c>
      <c r="D2244" s="61">
        <v>12</v>
      </c>
      <c r="E2244" s="61" t="s">
        <v>9</v>
      </c>
      <c r="F2244" s="45">
        <v>1500000</v>
      </c>
      <c r="G2244" s="45">
        <f>ROUNDDOWN(D2244*F2244,-3)</f>
        <v>18000000</v>
      </c>
    </row>
    <row r="2245" spans="1:7" x14ac:dyDescent="0.25">
      <c r="A2245" s="7" t="s">
        <v>3543</v>
      </c>
      <c r="B2245" s="60">
        <v>521811</v>
      </c>
      <c r="C2245" s="41" t="s">
        <v>64</v>
      </c>
      <c r="D2245" s="60"/>
      <c r="E2245" s="60"/>
      <c r="F2245" s="42"/>
      <c r="G2245" s="42">
        <v>30000000</v>
      </c>
    </row>
    <row r="2246" spans="1:7" x14ac:dyDescent="0.25">
      <c r="A2246" s="7" t="s">
        <v>3544</v>
      </c>
      <c r="B2246" s="61"/>
      <c r="C2246" s="44" t="s">
        <v>4269</v>
      </c>
      <c r="D2246" s="61">
        <v>12</v>
      </c>
      <c r="E2246" s="61" t="s">
        <v>9</v>
      </c>
      <c r="F2246" s="45">
        <v>1000000</v>
      </c>
      <c r="G2246" s="45">
        <f>ROUNDDOWN(D2246*F2246,-3)</f>
        <v>12000000</v>
      </c>
    </row>
    <row r="2247" spans="1:7" x14ac:dyDescent="0.25">
      <c r="A2247" s="7" t="s">
        <v>3545</v>
      </c>
      <c r="B2247" s="61"/>
      <c r="C2247" s="44" t="s">
        <v>3632</v>
      </c>
      <c r="D2247" s="61">
        <v>12</v>
      </c>
      <c r="E2247" s="61" t="s">
        <v>9</v>
      </c>
      <c r="F2247" s="45">
        <v>1500000</v>
      </c>
      <c r="G2247" s="45">
        <f>ROUNDDOWN(D2247*F2247,-3)</f>
        <v>18000000</v>
      </c>
    </row>
    <row r="2248" spans="1:7" x14ac:dyDescent="0.25">
      <c r="A2248" s="7" t="s">
        <v>3546</v>
      </c>
      <c r="B2248" s="60">
        <v>524111</v>
      </c>
      <c r="C2248" s="41" t="s">
        <v>19</v>
      </c>
      <c r="D2248" s="60"/>
      <c r="E2248" s="60"/>
      <c r="F2248" s="42"/>
      <c r="G2248" s="42">
        <v>54200000</v>
      </c>
    </row>
    <row r="2249" spans="1:7" ht="26.4" x14ac:dyDescent="0.25">
      <c r="A2249" s="7" t="s">
        <v>3547</v>
      </c>
      <c r="B2249" s="61"/>
      <c r="C2249" s="44" t="s">
        <v>4626</v>
      </c>
      <c r="D2249" s="61">
        <v>10</v>
      </c>
      <c r="E2249" s="61" t="s">
        <v>10</v>
      </c>
      <c r="F2249" s="45">
        <v>5420000</v>
      </c>
      <c r="G2249" s="45">
        <f>ROUNDDOWN(D2249*F2249,-3)</f>
        <v>54200000</v>
      </c>
    </row>
  </sheetData>
  <autoFilter ref="A11:G2249" xr:uid="{2A035931-E454-4F8E-88F6-003EA102CB53}"/>
  <mergeCells count="12">
    <mergeCell ref="I9:K9"/>
    <mergeCell ref="M13:M14"/>
    <mergeCell ref="N13:N14"/>
    <mergeCell ref="M22:N24"/>
    <mergeCell ref="B1:G1"/>
    <mergeCell ref="B2:G2"/>
    <mergeCell ref="B9:B10"/>
    <mergeCell ref="C9:C10"/>
    <mergeCell ref="D9:D10"/>
    <mergeCell ref="E9:E10"/>
    <mergeCell ref="F9:F10"/>
    <mergeCell ref="G9:G10"/>
  </mergeCells>
  <conditionalFormatting sqref="B11:G2220 B2221:F2221">
    <cfRule type="expression" dxfId="558" priority="4">
      <formula>AND($Q$4="Ya",$P$2=ROW())</formula>
    </cfRule>
  </conditionalFormatting>
  <conditionalFormatting sqref="G12:G2220">
    <cfRule type="expression" dxfId="557" priority="3">
      <formula>NOT(_xlfn.ISFORMULA(G12))</formula>
    </cfRule>
  </conditionalFormatting>
  <conditionalFormatting sqref="G2249 G2246:G2247 G2243:G2244 G2239 G2236 G2234 G2230:G2232 G2226:G2227 G2224 G2221:G2222">
    <cfRule type="expression" dxfId="556" priority="2">
      <formula>AND($Q$4="Ya",$P$2=ROW())</formula>
    </cfRule>
  </conditionalFormatting>
  <conditionalFormatting sqref="G2249 G2246:G2247 G2243:G2244 G2239 G2236 G2234 G2230:G2232 G2226:G2227 G2224 G2221:G2222">
    <cfRule type="expression" dxfId="555" priority="1">
      <formula>NOT(_xlfn.ISFORMULA(G2221))</formula>
    </cfRule>
  </conditionalFormatting>
  <dataValidations count="4">
    <dataValidation type="list" allowBlank="1" showInputMessage="1" showErrorMessage="1" sqref="Q4" xr:uid="{D774029E-7C44-42A8-BF5A-5A081B35BDAC}">
      <formula1>"Ya,Tidak"</formula1>
    </dataValidation>
    <dataValidation type="list" allowBlank="1" showInputMessage="1" showErrorMessage="1" sqref="K12:K2221" xr:uid="{14C69CA5-48F8-4948-86AA-75051AA47B09}">
      <formula1>_xlfn.ANCHORARRAY($X$2)</formula1>
    </dataValidation>
    <dataValidation type="list" allowBlank="1" showInputMessage="1" showErrorMessage="1" sqref="J12:J2221" xr:uid="{80C0533A-ABD1-482E-992B-586F02F79425}">
      <formula1>_xlfn.ANCHORARRAY($W$2)</formula1>
    </dataValidation>
    <dataValidation type="list" allowBlank="1" showInputMessage="1" showErrorMessage="1" sqref="I12:I2221" xr:uid="{3E9C1743-03F7-4FCF-835D-EE156D12C172}">
      <formula1>_xlfn.ANCHORARRAY($V$2)</formula1>
    </dataValidation>
  </dataValidations>
  <printOptions horizontalCentered="1"/>
  <pageMargins left="0.70866141732283472" right="0.39370078740157483" top="0.39370078740157483" bottom="0.74803149606299213" header="0.31496062992125984" footer="0.31496062992125984"/>
  <pageSetup paperSize="9" scale="34" fitToHeight="0" orientation="portrait" r:id="rId1"/>
  <headerFooter>
    <oddFooter>&amp;LRincian DIPA 4 - Refocusing III Pusdik KP&amp;RHal &amp;P dari &amp;N</oddFooter>
  </headerFooter>
  <rowBreaks count="8" manualBreakCount="8">
    <brk id="65" max="13" man="1"/>
    <brk id="119" max="13" man="1"/>
    <brk id="174" max="13" man="1"/>
    <brk id="290" max="13" man="1"/>
    <brk id="348" max="13" man="1"/>
    <brk id="403" max="13" man="1"/>
    <brk id="457" max="13" man="1"/>
    <brk id="514" max="13" man="1"/>
  </rowBreaks>
  <drawing r:id="rId2"/>
  <legacyDrawing r:id="rId3"/>
  <controls>
    <mc:AlternateContent xmlns:mc="http://schemas.openxmlformats.org/markup-compatibility/2006">
      <mc:Choice Requires="x14">
        <control shapeId="12289" r:id="rId4" name="cmdGetAkun">
          <controlPr defaultSize="0" autoLine="0" r:id="rId5">
            <anchor moveWithCells="1">
              <from>
                <xdr:col>12</xdr:col>
                <xdr:colOff>327660</xdr:colOff>
                <xdr:row>1</xdr:row>
                <xdr:rowOff>22860</xdr:rowOff>
              </from>
              <to>
                <xdr:col>12</xdr:col>
                <xdr:colOff>1402080</xdr:colOff>
                <xdr:row>3</xdr:row>
                <xdr:rowOff>22860</xdr:rowOff>
              </to>
            </anchor>
          </controlPr>
        </control>
      </mc:Choice>
      <mc:Fallback>
        <control shapeId="12289" r:id="rId4" name="cmdGetAkun"/>
      </mc:Fallback>
    </mc:AlternateContent>
    <mc:AlternateContent xmlns:mc="http://schemas.openxmlformats.org/markup-compatibility/2006">
      <mc:Choice Requires="x14">
        <control shapeId="12297" r:id="rId6" name="cmdWarna">
          <controlPr defaultSize="0" print="0" autoLine="0" r:id="rId7">
            <anchor>
              <from>
                <xdr:col>12</xdr:col>
                <xdr:colOff>327660</xdr:colOff>
                <xdr:row>21</xdr:row>
                <xdr:rowOff>137160</xdr:rowOff>
              </from>
              <to>
                <xdr:col>12</xdr:col>
                <xdr:colOff>1668780</xdr:colOff>
                <xdr:row>23</xdr:row>
                <xdr:rowOff>30480</xdr:rowOff>
              </to>
            </anchor>
          </controlPr>
        </control>
      </mc:Choice>
      <mc:Fallback>
        <control shapeId="12297" r:id="rId6" name="cmdWarna"/>
      </mc:Fallback>
    </mc:AlternateContent>
    <mc:AlternateContent xmlns:mc="http://schemas.openxmlformats.org/markup-compatibility/2006">
      <mc:Choice Requires="x14">
        <control shapeId="12290" r:id="rId8" name="Check Box 2">
          <controlPr defaultSize="0" autoFill="0" autoLine="0" autoPict="0">
            <anchor moveWithCells="1">
              <from>
                <xdr:col>13</xdr:col>
                <xdr:colOff>190500</xdr:colOff>
                <xdr:row>13</xdr:row>
                <xdr:rowOff>137160</xdr:rowOff>
              </from>
              <to>
                <xdr:col>13</xdr:col>
                <xdr:colOff>502920</xdr:colOff>
                <xdr:row>15</xdr:row>
                <xdr:rowOff>7620</xdr:rowOff>
              </to>
            </anchor>
          </controlPr>
        </control>
      </mc:Choice>
    </mc:AlternateContent>
    <mc:AlternateContent xmlns:mc="http://schemas.openxmlformats.org/markup-compatibility/2006">
      <mc:Choice Requires="x14">
        <control shapeId="12291" r:id="rId9" name="Check Box 3">
          <controlPr defaultSize="0" autoFill="0" autoLine="0" autoPict="0" altText="">
            <anchor moveWithCells="1">
              <from>
                <xdr:col>13</xdr:col>
                <xdr:colOff>152400</xdr:colOff>
                <xdr:row>15</xdr:row>
                <xdr:rowOff>304800</xdr:rowOff>
              </from>
              <to>
                <xdr:col>13</xdr:col>
                <xdr:colOff>457200</xdr:colOff>
                <xdr:row>17</xdr:row>
                <xdr:rowOff>60960</xdr:rowOff>
              </to>
            </anchor>
          </controlPr>
        </control>
      </mc:Choice>
    </mc:AlternateContent>
    <mc:AlternateContent xmlns:mc="http://schemas.openxmlformats.org/markup-compatibility/2006">
      <mc:Choice Requires="x14">
        <control shapeId="12292" r:id="rId10" name="Check Box 4">
          <controlPr defaultSize="0" autoFill="0" autoLine="0" autoPict="0">
            <anchor moveWithCells="1">
              <from>
                <xdr:col>13</xdr:col>
                <xdr:colOff>144780</xdr:colOff>
                <xdr:row>17</xdr:row>
                <xdr:rowOff>99060</xdr:rowOff>
              </from>
              <to>
                <xdr:col>13</xdr:col>
                <xdr:colOff>449580</xdr:colOff>
                <xdr:row>17</xdr:row>
                <xdr:rowOff>304800</xdr:rowOff>
              </to>
            </anchor>
          </controlPr>
        </control>
      </mc:Choice>
    </mc:AlternateContent>
    <mc:AlternateContent xmlns:mc="http://schemas.openxmlformats.org/markup-compatibility/2006">
      <mc:Choice Requires="x14">
        <control shapeId="12293" r:id="rId11" name="Check Box 5">
          <controlPr defaultSize="0" autoFill="0" autoLine="0" autoPict="0">
            <anchor moveWithCells="1">
              <from>
                <xdr:col>13</xdr:col>
                <xdr:colOff>144780</xdr:colOff>
                <xdr:row>17</xdr:row>
                <xdr:rowOff>327660</xdr:rowOff>
              </from>
              <to>
                <xdr:col>13</xdr:col>
                <xdr:colOff>449580</xdr:colOff>
                <xdr:row>19</xdr:row>
                <xdr:rowOff>38100</xdr:rowOff>
              </to>
            </anchor>
          </controlPr>
        </control>
      </mc:Choice>
    </mc:AlternateContent>
    <mc:AlternateContent xmlns:mc="http://schemas.openxmlformats.org/markup-compatibility/2006">
      <mc:Choice Requires="x14">
        <control shapeId="12294" r:id="rId12" name="Check Box 6">
          <controlPr defaultSize="0" autoFill="0" autoLine="0" autoPict="0">
            <anchor moveWithCells="1">
              <from>
                <xdr:col>13</xdr:col>
                <xdr:colOff>144780</xdr:colOff>
                <xdr:row>18</xdr:row>
                <xdr:rowOff>160020</xdr:rowOff>
              </from>
              <to>
                <xdr:col>13</xdr:col>
                <xdr:colOff>449580</xdr:colOff>
                <xdr:row>20</xdr:row>
                <xdr:rowOff>38100</xdr:rowOff>
              </to>
            </anchor>
          </controlPr>
        </control>
      </mc:Choice>
    </mc:AlternateContent>
    <mc:AlternateContent xmlns:mc="http://schemas.openxmlformats.org/markup-compatibility/2006">
      <mc:Choice Requires="x14">
        <control shapeId="12295" r:id="rId13" name="Check Box 7">
          <controlPr defaultSize="0" autoFill="0" autoLine="0" autoPict="0">
            <anchor moveWithCells="1">
              <from>
                <xdr:col>13</xdr:col>
                <xdr:colOff>144780</xdr:colOff>
                <xdr:row>19</xdr:row>
                <xdr:rowOff>175260</xdr:rowOff>
              </from>
              <to>
                <xdr:col>13</xdr:col>
                <xdr:colOff>449580</xdr:colOff>
                <xdr:row>21</xdr:row>
                <xdr:rowOff>60960</xdr:rowOff>
              </to>
            </anchor>
          </controlPr>
        </control>
      </mc:Choice>
    </mc:AlternateContent>
    <mc:AlternateContent xmlns:mc="http://schemas.openxmlformats.org/markup-compatibility/2006">
      <mc:Choice Requires="x14">
        <control shapeId="12296" r:id="rId14" name="Check Box 8">
          <controlPr defaultSize="0" autoFill="0" autoLine="0" autoPict="0" altText="">
            <anchor moveWithCells="1">
              <from>
                <xdr:col>13</xdr:col>
                <xdr:colOff>175260</xdr:colOff>
                <xdr:row>15</xdr:row>
                <xdr:rowOff>60960</xdr:rowOff>
              </from>
              <to>
                <xdr:col>13</xdr:col>
                <xdr:colOff>487680</xdr:colOff>
                <xdr:row>15</xdr:row>
                <xdr:rowOff>274320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89A5FA2C-417E-493E-A219-1DC669D1D7EF}">
          <x14:formula1>
            <xm:f>Eselon2!$A$2:$A$4</xm:f>
          </x14:formula1>
          <xm:sqref>V3</xm:sqref>
        </x14:dataValidation>
        <x14:dataValidation type="list" allowBlank="1" showInputMessage="1" showErrorMessage="1" xr:uid="{EC6D0243-7129-434D-BDB1-6C7912962577}">
          <x14:formula1>
            <xm:f>Eselon2!$F$2:$F$13</xm:f>
          </x14:formula1>
          <xm:sqref>W3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525" activePane="bottomRight" state="frozen"/>
      <selection activeCell="B1" sqref="B1"/>
      <selection pane="topRight" activeCell="D1" sqref="D1"/>
      <selection pane="bottomLeft" activeCell="B12" sqref="B12"/>
      <selection pane="bottomRight" activeCell="K517" sqref="K517"/>
    </sheetView>
  </sheetViews>
  <sheetFormatPr defaultColWidth="9.109375" defaultRowHeight="13.2" x14ac:dyDescent="0.25"/>
  <cols>
    <col min="1" max="1" width="37.6640625" style="178" hidden="1" customWidth="1"/>
    <col min="2" max="2" width="16.33203125" style="173" bestFit="1"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8" width="16.88671875" style="182" customWidth="1"/>
    <col min="9" max="11" width="20" style="117" customWidth="1"/>
    <col min="12" max="12" width="9.109375" style="117"/>
    <col min="13" max="13" width="15" style="117" customWidth="1"/>
    <col min="14" max="16384" width="9.109375" style="117"/>
  </cols>
  <sheetData>
    <row r="1" spans="1:22" ht="15.6" x14ac:dyDescent="0.25">
      <c r="B1" s="424" t="s">
        <v>598</v>
      </c>
      <c r="C1" s="424"/>
      <c r="D1" s="424"/>
      <c r="E1" s="424"/>
      <c r="F1" s="424"/>
      <c r="G1" s="432"/>
      <c r="H1" s="206"/>
    </row>
    <row r="2" spans="1:22" ht="15.6" x14ac:dyDescent="0.3">
      <c r="B2" s="433" t="s">
        <v>4628</v>
      </c>
      <c r="C2" s="433"/>
      <c r="D2" s="433"/>
      <c r="E2" s="433"/>
      <c r="F2" s="433"/>
      <c r="G2" s="434"/>
      <c r="H2" s="207"/>
    </row>
    <row r="3" spans="1:22" ht="15.6" x14ac:dyDescent="0.3">
      <c r="B3" s="183"/>
      <c r="C3" s="183"/>
      <c r="D3" s="183"/>
      <c r="E3" s="183"/>
      <c r="F3" s="183"/>
      <c r="G3" s="184"/>
      <c r="H3" s="207"/>
    </row>
    <row r="4" spans="1:22" ht="15" x14ac:dyDescent="0.25">
      <c r="B4" s="185" t="s">
        <v>599</v>
      </c>
      <c r="C4" s="185" t="s">
        <v>600</v>
      </c>
      <c r="D4" s="186"/>
      <c r="E4" s="186"/>
      <c r="F4" s="185"/>
      <c r="G4" s="187"/>
      <c r="H4" s="187"/>
    </row>
    <row r="5" spans="1:22" ht="15" x14ac:dyDescent="0.25">
      <c r="B5" s="185" t="s">
        <v>601</v>
      </c>
      <c r="C5" s="185" t="s">
        <v>602</v>
      </c>
      <c r="D5" s="53"/>
      <c r="E5" s="53"/>
      <c r="F5" s="50"/>
      <c r="G5" s="143"/>
      <c r="H5" s="143"/>
    </row>
    <row r="6" spans="1:22" ht="15" x14ac:dyDescent="0.25">
      <c r="B6" s="185" t="s">
        <v>603</v>
      </c>
      <c r="C6" s="185" t="s">
        <v>604</v>
      </c>
      <c r="D6" s="53"/>
      <c r="E6" s="53"/>
      <c r="F6" s="50"/>
      <c r="G6" s="143"/>
      <c r="H6" s="143"/>
    </row>
    <row r="7" spans="1:22" ht="15.6" x14ac:dyDescent="0.3">
      <c r="B7" s="185" t="s">
        <v>605</v>
      </c>
      <c r="C7" s="188" t="str">
        <f>":  Rp. " &amp; TEXT(G12,"#.##")</f>
        <v>:  Rp. 23.342.160.000</v>
      </c>
      <c r="D7" s="53"/>
      <c r="E7" s="53"/>
      <c r="F7" s="50"/>
      <c r="G7" s="143"/>
      <c r="H7" s="143"/>
    </row>
    <row r="8" spans="1:22" ht="15" x14ac:dyDescent="0.25">
      <c r="B8" s="189"/>
      <c r="C8" s="189"/>
      <c r="D8" s="189"/>
      <c r="E8" s="189"/>
      <c r="F8" s="189"/>
      <c r="G8" s="190"/>
      <c r="H8" s="190"/>
    </row>
    <row r="9" spans="1:22" ht="13.8" x14ac:dyDescent="0.25">
      <c r="B9" s="435" t="s">
        <v>606</v>
      </c>
      <c r="C9" s="436" t="s">
        <v>607</v>
      </c>
      <c r="D9" s="437" t="s">
        <v>608</v>
      </c>
      <c r="E9" s="435" t="s">
        <v>609</v>
      </c>
      <c r="F9" s="437" t="s">
        <v>610</v>
      </c>
      <c r="G9" s="431" t="s">
        <v>611</v>
      </c>
      <c r="H9" s="208"/>
      <c r="I9" s="438" t="s">
        <v>4629</v>
      </c>
      <c r="J9" s="438"/>
      <c r="K9" s="438"/>
      <c r="L9" s="117" t="s">
        <v>4630</v>
      </c>
      <c r="M9" s="117" t="s">
        <v>4631</v>
      </c>
      <c r="N9" s="117" t="s">
        <v>4632</v>
      </c>
      <c r="O9" s="117" t="s">
        <v>4633</v>
      </c>
      <c r="P9" s="117" t="s">
        <v>4634</v>
      </c>
      <c r="Q9" s="117" t="s">
        <v>4635</v>
      </c>
      <c r="R9" s="117" t="s">
        <v>4636</v>
      </c>
      <c r="S9" s="117" t="s">
        <v>4637</v>
      </c>
      <c r="T9" s="117" t="s">
        <v>4638</v>
      </c>
      <c r="U9" s="117" t="s">
        <v>4639</v>
      </c>
      <c r="V9" s="117" t="s">
        <v>4640</v>
      </c>
    </row>
    <row r="10" spans="1:22" s="180" customFormat="1" ht="13.8" x14ac:dyDescent="0.25">
      <c r="A10" s="179" t="s">
        <v>499</v>
      </c>
      <c r="B10" s="427"/>
      <c r="C10" s="427"/>
      <c r="D10" s="430"/>
      <c r="E10" s="430"/>
      <c r="F10" s="427"/>
      <c r="G10" s="427"/>
      <c r="H10" s="217"/>
      <c r="I10" s="218" t="s">
        <v>4641</v>
      </c>
      <c r="J10" s="218" t="s">
        <v>4642</v>
      </c>
      <c r="K10" s="218" t="s">
        <v>4643</v>
      </c>
    </row>
    <row r="11" spans="1:22" s="180" customFormat="1" x14ac:dyDescent="0.25">
      <c r="A11" s="179"/>
      <c r="B11" s="176">
        <v>1</v>
      </c>
      <c r="C11" s="176">
        <v>2</v>
      </c>
      <c r="D11" s="176">
        <v>3</v>
      </c>
      <c r="E11" s="176">
        <v>4</v>
      </c>
      <c r="F11" s="176">
        <v>5</v>
      </c>
      <c r="G11" s="177">
        <v>6</v>
      </c>
      <c r="H11" s="209"/>
    </row>
    <row r="12" spans="1:22" s="180" customFormat="1" x14ac:dyDescent="0.25">
      <c r="A12" s="179"/>
      <c r="B12" s="127"/>
      <c r="C12" s="128" t="s">
        <v>613</v>
      </c>
      <c r="D12" s="129"/>
      <c r="E12" s="130"/>
      <c r="F12" s="129"/>
      <c r="G12" s="175">
        <f>SUM(G13,G114)</f>
        <v>23342160000</v>
      </c>
      <c r="H12" s="210" t="b">
        <f>_xlfn.ISFORMULA(G12)</f>
        <v>1</v>
      </c>
    </row>
    <row r="13" spans="1:22" ht="13.8" x14ac:dyDescent="0.25">
      <c r="A13" s="7" t="s">
        <v>0</v>
      </c>
      <c r="B13" s="54" t="s">
        <v>0</v>
      </c>
      <c r="C13" s="23" t="s">
        <v>1</v>
      </c>
      <c r="D13" s="54"/>
      <c r="E13" s="54"/>
      <c r="F13" s="24"/>
      <c r="G13" s="24">
        <f>G14</f>
        <v>1000000000</v>
      </c>
      <c r="H13" s="210" t="b">
        <f>_xlfn.ISFORMULA(G13)</f>
        <v>1</v>
      </c>
    </row>
    <row r="14" spans="1:22" ht="13.8" x14ac:dyDescent="0.25">
      <c r="A14" s="21" t="s">
        <v>419</v>
      </c>
      <c r="B14" s="55">
        <v>2376</v>
      </c>
      <c r="C14" s="26" t="s">
        <v>47</v>
      </c>
      <c r="D14" s="68"/>
      <c r="E14" s="55"/>
      <c r="F14" s="27"/>
      <c r="G14" s="27">
        <f>G15</f>
        <v>1000000000</v>
      </c>
      <c r="H14" s="210" t="b">
        <f t="shared" ref="H14:H76" si="0">_xlfn.ISFORMULA(G14)</f>
        <v>1</v>
      </c>
    </row>
    <row r="15" spans="1:22" ht="13.8" x14ac:dyDescent="0.25">
      <c r="A15" s="21" t="s">
        <v>420</v>
      </c>
      <c r="B15" s="135" t="s">
        <v>48</v>
      </c>
      <c r="C15" s="133" t="s">
        <v>615</v>
      </c>
      <c r="D15" s="134">
        <v>4</v>
      </c>
      <c r="E15" s="135" t="s">
        <v>3596</v>
      </c>
      <c r="F15" s="136"/>
      <c r="G15" s="136">
        <f>G16</f>
        <v>1000000000</v>
      </c>
      <c r="H15" s="210" t="b">
        <f t="shared" si="0"/>
        <v>1</v>
      </c>
    </row>
    <row r="16" spans="1:22" ht="26.4" x14ac:dyDescent="0.25">
      <c r="A16" s="21" t="s">
        <v>421</v>
      </c>
      <c r="B16" s="138" t="s">
        <v>3712</v>
      </c>
      <c r="C16" s="137" t="s">
        <v>49</v>
      </c>
      <c r="D16" s="138">
        <v>4</v>
      </c>
      <c r="E16" s="138" t="s">
        <v>3596</v>
      </c>
      <c r="F16" s="139"/>
      <c r="G16" s="139">
        <f>SUM(G17,G38,G49,G98)</f>
        <v>1000000000</v>
      </c>
      <c r="H16" s="210" t="b">
        <f t="shared" si="0"/>
        <v>1</v>
      </c>
    </row>
    <row r="17" spans="1:8" ht="13.8" x14ac:dyDescent="0.25">
      <c r="A17" s="21" t="s">
        <v>422</v>
      </c>
      <c r="B17" s="58" t="s">
        <v>502</v>
      </c>
      <c r="C17" s="35" t="s">
        <v>50</v>
      </c>
      <c r="D17" s="69"/>
      <c r="E17" s="58"/>
      <c r="F17" s="36"/>
      <c r="G17" s="36">
        <f>SUM(G18,G28)</f>
        <v>124100000</v>
      </c>
      <c r="H17" s="210" t="b">
        <f t="shared" si="0"/>
        <v>1</v>
      </c>
    </row>
    <row r="18" spans="1:8" ht="13.8" x14ac:dyDescent="0.25">
      <c r="A18" s="21" t="s">
        <v>423</v>
      </c>
      <c r="B18" s="59" t="s">
        <v>8</v>
      </c>
      <c r="C18" s="38" t="s">
        <v>51</v>
      </c>
      <c r="D18" s="59"/>
      <c r="E18" s="59"/>
      <c r="F18" s="39"/>
      <c r="G18" s="39">
        <f>SUM(G19,G24,G26)</f>
        <v>83135000</v>
      </c>
      <c r="H18" s="210" t="b">
        <f t="shared" si="0"/>
        <v>1</v>
      </c>
    </row>
    <row r="19" spans="1:8" ht="13.8" x14ac:dyDescent="0.25">
      <c r="A19" s="21" t="s">
        <v>424</v>
      </c>
      <c r="B19" s="60">
        <v>521211</v>
      </c>
      <c r="C19" s="41" t="s">
        <v>7</v>
      </c>
      <c r="D19" s="71"/>
      <c r="E19" s="60"/>
      <c r="F19" s="42"/>
      <c r="G19" s="42">
        <f>SUM(G20:G23)</f>
        <v>8375000</v>
      </c>
      <c r="H19" s="210" t="b">
        <f t="shared" si="0"/>
        <v>1</v>
      </c>
    </row>
    <row r="20" spans="1:8" ht="13.8" x14ac:dyDescent="0.25">
      <c r="A20" s="21" t="s">
        <v>425</v>
      </c>
      <c r="B20" s="152"/>
      <c r="C20" s="151" t="s">
        <v>3713</v>
      </c>
      <c r="D20" s="213">
        <v>65</v>
      </c>
      <c r="E20" s="152" t="s">
        <v>10</v>
      </c>
      <c r="F20" s="153">
        <v>75000</v>
      </c>
      <c r="G20" s="153">
        <f>ROUNDDOWN(D20*F20,-3)</f>
        <v>4875000</v>
      </c>
      <c r="H20" s="210" t="b">
        <f t="shared" si="0"/>
        <v>1</v>
      </c>
    </row>
    <row r="21" spans="1:8" ht="13.8" x14ac:dyDescent="0.25">
      <c r="A21" s="21" t="s">
        <v>426</v>
      </c>
      <c r="B21" s="152"/>
      <c r="C21" s="151" t="s">
        <v>3714</v>
      </c>
      <c r="D21" s="152">
        <v>1</v>
      </c>
      <c r="E21" s="152" t="s">
        <v>106</v>
      </c>
      <c r="F21" s="153">
        <v>1000000</v>
      </c>
      <c r="G21" s="153">
        <f>ROUNDDOWN(D21*F21,-3)</f>
        <v>1000000</v>
      </c>
      <c r="H21" s="210" t="b">
        <f t="shared" si="0"/>
        <v>1</v>
      </c>
    </row>
    <row r="22" spans="1:8" ht="13.8" x14ac:dyDescent="0.25">
      <c r="A22" s="21" t="s">
        <v>427</v>
      </c>
      <c r="B22" s="152"/>
      <c r="C22" s="151" t="s">
        <v>3600</v>
      </c>
      <c r="D22" s="213">
        <v>1</v>
      </c>
      <c r="E22" s="152" t="s">
        <v>106</v>
      </c>
      <c r="F22" s="153">
        <v>1000000</v>
      </c>
      <c r="G22" s="153">
        <f>ROUNDDOWN(D22*F22,-3)</f>
        <v>1000000</v>
      </c>
      <c r="H22" s="210" t="b">
        <f t="shared" si="0"/>
        <v>1</v>
      </c>
    </row>
    <row r="23" spans="1:8" ht="13.8" x14ac:dyDescent="0.25">
      <c r="A23" s="21" t="s">
        <v>428</v>
      </c>
      <c r="B23" s="152"/>
      <c r="C23" s="151" t="s">
        <v>3601</v>
      </c>
      <c r="D23" s="152">
        <v>1</v>
      </c>
      <c r="E23" s="152" t="s">
        <v>106</v>
      </c>
      <c r="F23" s="153">
        <v>1500000</v>
      </c>
      <c r="G23" s="153">
        <f>ROUNDDOWN(D23*F23,-3)</f>
        <v>1500000</v>
      </c>
      <c r="H23" s="210" t="b">
        <f t="shared" si="0"/>
        <v>1</v>
      </c>
    </row>
    <row r="24" spans="1:8" ht="13.8" x14ac:dyDescent="0.25">
      <c r="A24" s="21" t="s">
        <v>772</v>
      </c>
      <c r="B24" s="60">
        <v>522151</v>
      </c>
      <c r="C24" s="41" t="s">
        <v>11</v>
      </c>
      <c r="D24" s="71"/>
      <c r="E24" s="60"/>
      <c r="F24" s="42"/>
      <c r="G24" s="42">
        <f>G25</f>
        <v>1000000</v>
      </c>
      <c r="H24" s="210" t="b">
        <f>_xlfn.ISFORMULA(G24)</f>
        <v>1</v>
      </c>
    </row>
    <row r="25" spans="1:8" ht="13.8" x14ac:dyDescent="0.25">
      <c r="A25" s="21" t="s">
        <v>773</v>
      </c>
      <c r="B25" s="152"/>
      <c r="C25" s="151" t="s">
        <v>3715</v>
      </c>
      <c r="D25" s="152">
        <v>1</v>
      </c>
      <c r="E25" s="152" t="s">
        <v>54</v>
      </c>
      <c r="F25" s="153">
        <v>1000000</v>
      </c>
      <c r="G25" s="153">
        <f>ROUNDDOWN(D25*F25,-3)</f>
        <v>1000000</v>
      </c>
      <c r="H25" s="210" t="b">
        <f t="shared" si="0"/>
        <v>1</v>
      </c>
    </row>
    <row r="26" spans="1:8" ht="13.8" x14ac:dyDescent="0.25">
      <c r="A26" s="21" t="s">
        <v>429</v>
      </c>
      <c r="B26" s="60">
        <v>524111</v>
      </c>
      <c r="C26" s="41" t="s">
        <v>19</v>
      </c>
      <c r="D26" s="60"/>
      <c r="E26" s="60"/>
      <c r="F26" s="42"/>
      <c r="G26" s="42">
        <f>G27</f>
        <v>73760000</v>
      </c>
      <c r="H26" s="210" t="b">
        <f t="shared" si="0"/>
        <v>1</v>
      </c>
    </row>
    <row r="27" spans="1:8" ht="26.4" x14ac:dyDescent="0.25">
      <c r="A27" s="21" t="s">
        <v>430</v>
      </c>
      <c r="B27" s="152"/>
      <c r="C27" s="151" t="s">
        <v>3716</v>
      </c>
      <c r="D27" s="213">
        <v>12</v>
      </c>
      <c r="E27" s="152" t="s">
        <v>776</v>
      </c>
      <c r="F27" s="153">
        <v>6146667</v>
      </c>
      <c r="G27" s="153">
        <f>ROUNDDOWN(D27*F27,-3)</f>
        <v>73760000</v>
      </c>
      <c r="H27" s="210" t="b">
        <f t="shared" si="0"/>
        <v>1</v>
      </c>
    </row>
    <row r="28" spans="1:8" ht="13.8" x14ac:dyDescent="0.25">
      <c r="A28" s="21" t="s">
        <v>431</v>
      </c>
      <c r="B28" s="59" t="s">
        <v>511</v>
      </c>
      <c r="C28" s="38" t="s">
        <v>55</v>
      </c>
      <c r="D28" s="70"/>
      <c r="E28" s="59"/>
      <c r="F28" s="39"/>
      <c r="G28" s="39">
        <f>SUM(G29,G34,G36)</f>
        <v>40965000</v>
      </c>
      <c r="H28" s="210" t="b">
        <f t="shared" si="0"/>
        <v>1</v>
      </c>
    </row>
    <row r="29" spans="1:8" ht="13.8" x14ac:dyDescent="0.25">
      <c r="A29" s="21" t="s">
        <v>432</v>
      </c>
      <c r="B29" s="60">
        <v>521211</v>
      </c>
      <c r="C29" s="41" t="s">
        <v>7</v>
      </c>
      <c r="D29" s="71"/>
      <c r="E29" s="60"/>
      <c r="F29" s="42"/>
      <c r="G29" s="42">
        <f>SUM(G30:G33)</f>
        <v>6725000</v>
      </c>
      <c r="H29" s="210" t="b">
        <f t="shared" si="0"/>
        <v>1</v>
      </c>
    </row>
    <row r="30" spans="1:8" ht="13.8" x14ac:dyDescent="0.25">
      <c r="A30" s="21" t="s">
        <v>433</v>
      </c>
      <c r="B30" s="152"/>
      <c r="C30" s="151" t="s">
        <v>3713</v>
      </c>
      <c r="D30" s="152">
        <v>43</v>
      </c>
      <c r="E30" s="152" t="s">
        <v>10</v>
      </c>
      <c r="F30" s="153">
        <v>75000</v>
      </c>
      <c r="G30" s="153">
        <f>ROUNDDOWN(D30*F30,-3)</f>
        <v>3225000</v>
      </c>
      <c r="H30" s="210" t="b">
        <f t="shared" si="0"/>
        <v>1</v>
      </c>
    </row>
    <row r="31" spans="1:8" ht="13.8" x14ac:dyDescent="0.25">
      <c r="A31" s="21" t="s">
        <v>434</v>
      </c>
      <c r="B31" s="152"/>
      <c r="C31" s="151" t="s">
        <v>3714</v>
      </c>
      <c r="D31" s="213">
        <v>1</v>
      </c>
      <c r="E31" s="152" t="s">
        <v>106</v>
      </c>
      <c r="F31" s="153">
        <v>1000000</v>
      </c>
      <c r="G31" s="153">
        <f>ROUNDDOWN(D31*F31,-3)</f>
        <v>1000000</v>
      </c>
      <c r="H31" s="210" t="b">
        <f t="shared" si="0"/>
        <v>1</v>
      </c>
    </row>
    <row r="32" spans="1:8" ht="13.8" x14ac:dyDescent="0.25">
      <c r="A32" s="21" t="s">
        <v>435</v>
      </c>
      <c r="B32" s="152"/>
      <c r="C32" s="151" t="s">
        <v>3600</v>
      </c>
      <c r="D32" s="152">
        <v>1</v>
      </c>
      <c r="E32" s="152" t="s">
        <v>106</v>
      </c>
      <c r="F32" s="153">
        <v>1000000</v>
      </c>
      <c r="G32" s="153">
        <f>ROUNDDOWN(D32*F32,-3)</f>
        <v>1000000</v>
      </c>
      <c r="H32" s="210" t="b">
        <f t="shared" si="0"/>
        <v>1</v>
      </c>
    </row>
    <row r="33" spans="1:8" ht="13.8" x14ac:dyDescent="0.25">
      <c r="A33" s="21" t="s">
        <v>436</v>
      </c>
      <c r="B33" s="152"/>
      <c r="C33" s="151" t="s">
        <v>3601</v>
      </c>
      <c r="D33" s="213">
        <v>1</v>
      </c>
      <c r="E33" s="152" t="s">
        <v>106</v>
      </c>
      <c r="F33" s="153">
        <v>1500000</v>
      </c>
      <c r="G33" s="153">
        <f>ROUNDDOWN(D33*F33,-3)</f>
        <v>1500000</v>
      </c>
      <c r="H33" s="210" t="b">
        <f t="shared" si="0"/>
        <v>1</v>
      </c>
    </row>
    <row r="34" spans="1:8" ht="13.8" x14ac:dyDescent="0.25">
      <c r="A34" s="21" t="s">
        <v>777</v>
      </c>
      <c r="B34" s="60">
        <v>522151</v>
      </c>
      <c r="C34" s="41" t="s">
        <v>11</v>
      </c>
      <c r="D34" s="71"/>
      <c r="E34" s="60"/>
      <c r="F34" s="42"/>
      <c r="G34" s="42">
        <f>G35</f>
        <v>1000000</v>
      </c>
      <c r="H34" s="210" t="b">
        <f t="shared" si="0"/>
        <v>1</v>
      </c>
    </row>
    <row r="35" spans="1:8" ht="13.8" x14ac:dyDescent="0.25">
      <c r="A35" s="21" t="s">
        <v>778</v>
      </c>
      <c r="B35" s="152"/>
      <c r="C35" s="151" t="s">
        <v>3715</v>
      </c>
      <c r="D35" s="152">
        <v>1</v>
      </c>
      <c r="E35" s="152" t="s">
        <v>54</v>
      </c>
      <c r="F35" s="153">
        <v>1000000</v>
      </c>
      <c r="G35" s="153">
        <f>ROUNDDOWN(D35*F35,-3)</f>
        <v>1000000</v>
      </c>
      <c r="H35" s="210" t="b">
        <f t="shared" si="0"/>
        <v>1</v>
      </c>
    </row>
    <row r="36" spans="1:8" ht="13.8" x14ac:dyDescent="0.25">
      <c r="A36" s="21" t="s">
        <v>437</v>
      </c>
      <c r="B36" s="60">
        <v>524111</v>
      </c>
      <c r="C36" s="41" t="s">
        <v>19</v>
      </c>
      <c r="D36" s="71"/>
      <c r="E36" s="60"/>
      <c r="F36" s="42"/>
      <c r="G36" s="42">
        <f>G37</f>
        <v>33240000</v>
      </c>
      <c r="H36" s="210" t="b">
        <f t="shared" si="0"/>
        <v>1</v>
      </c>
    </row>
    <row r="37" spans="1:8" ht="26.4" x14ac:dyDescent="0.25">
      <c r="A37" s="21" t="s">
        <v>438</v>
      </c>
      <c r="B37" s="152"/>
      <c r="C37" s="151" t="s">
        <v>3716</v>
      </c>
      <c r="D37" s="152">
        <v>12</v>
      </c>
      <c r="E37" s="152" t="s">
        <v>776</v>
      </c>
      <c r="F37" s="153">
        <v>2770000</v>
      </c>
      <c r="G37" s="153">
        <f>ROUNDDOWN(D37*F37,-3)</f>
        <v>33240000</v>
      </c>
      <c r="H37" s="210" t="b">
        <f t="shared" si="0"/>
        <v>1</v>
      </c>
    </row>
    <row r="38" spans="1:8" ht="13.8" x14ac:dyDescent="0.25">
      <c r="A38" s="21" t="s">
        <v>439</v>
      </c>
      <c r="B38" s="58" t="s">
        <v>520</v>
      </c>
      <c r="C38" s="35" t="s">
        <v>57</v>
      </c>
      <c r="D38" s="69"/>
      <c r="E38" s="58"/>
      <c r="F38" s="36"/>
      <c r="G38" s="36">
        <f>G39</f>
        <v>54500000</v>
      </c>
      <c r="H38" s="210" t="b">
        <f t="shared" si="0"/>
        <v>1</v>
      </c>
    </row>
    <row r="39" spans="1:8" ht="26.4" x14ac:dyDescent="0.25">
      <c r="A39" s="21" t="s">
        <v>440</v>
      </c>
      <c r="B39" s="59" t="s">
        <v>8</v>
      </c>
      <c r="C39" s="38" t="s">
        <v>59</v>
      </c>
      <c r="D39" s="59"/>
      <c r="E39" s="59"/>
      <c r="F39" s="39"/>
      <c r="G39" s="39">
        <f>SUM(G40,G47)</f>
        <v>54500000</v>
      </c>
      <c r="H39" s="210" t="b">
        <f t="shared" si="0"/>
        <v>1</v>
      </c>
    </row>
    <row r="40" spans="1:8" ht="13.8" x14ac:dyDescent="0.25">
      <c r="A40" s="21" t="s">
        <v>441</v>
      </c>
      <c r="B40" s="60">
        <v>521211</v>
      </c>
      <c r="C40" s="41" t="s">
        <v>7</v>
      </c>
      <c r="D40" s="60"/>
      <c r="E40" s="60"/>
      <c r="F40" s="42"/>
      <c r="G40" s="42">
        <f>SUM(G41:G46)</f>
        <v>19225000</v>
      </c>
      <c r="H40" s="210" t="b">
        <f t="shared" si="0"/>
        <v>1</v>
      </c>
    </row>
    <row r="41" spans="1:8" ht="13.8" x14ac:dyDescent="0.25">
      <c r="A41" s="21" t="s">
        <v>442</v>
      </c>
      <c r="B41" s="152"/>
      <c r="C41" s="151" t="s">
        <v>3713</v>
      </c>
      <c r="D41" s="213">
        <v>23</v>
      </c>
      <c r="E41" s="152" t="s">
        <v>10</v>
      </c>
      <c r="F41" s="153">
        <v>75000</v>
      </c>
      <c r="G41" s="153">
        <f t="shared" ref="G41:G46" si="1">ROUNDDOWN(D41*F41,-3)</f>
        <v>1725000</v>
      </c>
      <c r="H41" s="210" t="b">
        <f t="shared" si="0"/>
        <v>1</v>
      </c>
    </row>
    <row r="42" spans="1:8" ht="13.8" x14ac:dyDescent="0.25">
      <c r="A42" s="7" t="s">
        <v>443</v>
      </c>
      <c r="B42" s="152"/>
      <c r="C42" s="151" t="s">
        <v>3714</v>
      </c>
      <c r="D42" s="213">
        <v>1</v>
      </c>
      <c r="E42" s="152" t="s">
        <v>106</v>
      </c>
      <c r="F42" s="153">
        <v>1000000</v>
      </c>
      <c r="G42" s="153">
        <f t="shared" si="1"/>
        <v>1000000</v>
      </c>
      <c r="H42" s="210" t="b">
        <f t="shared" si="0"/>
        <v>1</v>
      </c>
    </row>
    <row r="43" spans="1:8" ht="13.8" x14ac:dyDescent="0.25">
      <c r="A43" s="7" t="s">
        <v>444</v>
      </c>
      <c r="B43" s="152"/>
      <c r="C43" s="151" t="s">
        <v>3600</v>
      </c>
      <c r="D43" s="152">
        <v>2</v>
      </c>
      <c r="E43" s="152" t="s">
        <v>106</v>
      </c>
      <c r="F43" s="153">
        <v>1000000</v>
      </c>
      <c r="G43" s="153">
        <f t="shared" si="1"/>
        <v>2000000</v>
      </c>
      <c r="H43" s="210" t="b">
        <f t="shared" si="0"/>
        <v>1</v>
      </c>
    </row>
    <row r="44" spans="1:8" ht="13.8" x14ac:dyDescent="0.25">
      <c r="A44" s="21" t="s">
        <v>445</v>
      </c>
      <c r="B44" s="152"/>
      <c r="C44" s="151" t="s">
        <v>3601</v>
      </c>
      <c r="D44" s="152">
        <v>2</v>
      </c>
      <c r="E44" s="152" t="s">
        <v>106</v>
      </c>
      <c r="F44" s="153">
        <v>1500000</v>
      </c>
      <c r="G44" s="153">
        <f t="shared" si="1"/>
        <v>3000000</v>
      </c>
      <c r="H44" s="210" t="b">
        <f t="shared" si="0"/>
        <v>1</v>
      </c>
    </row>
    <row r="45" spans="1:8" ht="13.8" x14ac:dyDescent="0.25">
      <c r="A45" s="21" t="s">
        <v>446</v>
      </c>
      <c r="B45" s="152"/>
      <c r="C45" s="151" t="s">
        <v>3717</v>
      </c>
      <c r="D45" s="152">
        <v>23</v>
      </c>
      <c r="E45" s="152" t="s">
        <v>176</v>
      </c>
      <c r="F45" s="153">
        <v>250000</v>
      </c>
      <c r="G45" s="153">
        <f t="shared" si="1"/>
        <v>5750000</v>
      </c>
      <c r="H45" s="210" t="b">
        <f t="shared" si="0"/>
        <v>1</v>
      </c>
    </row>
    <row r="46" spans="1:8" ht="13.8" x14ac:dyDescent="0.25">
      <c r="A46" s="21" t="s">
        <v>447</v>
      </c>
      <c r="B46" s="152"/>
      <c r="C46" s="151" t="s">
        <v>3718</v>
      </c>
      <c r="D46" s="152">
        <v>23</v>
      </c>
      <c r="E46" s="152" t="s">
        <v>58</v>
      </c>
      <c r="F46" s="153">
        <v>250000</v>
      </c>
      <c r="G46" s="153">
        <f t="shared" si="1"/>
        <v>5750000</v>
      </c>
      <c r="H46" s="210" t="b">
        <f t="shared" si="0"/>
        <v>1</v>
      </c>
    </row>
    <row r="47" spans="1:8" ht="13.8" x14ac:dyDescent="0.25">
      <c r="A47" s="21" t="s">
        <v>448</v>
      </c>
      <c r="B47" s="60">
        <v>524111</v>
      </c>
      <c r="C47" s="41" t="s">
        <v>19</v>
      </c>
      <c r="D47" s="71"/>
      <c r="E47" s="60"/>
      <c r="F47" s="42"/>
      <c r="G47" s="42">
        <f>G48</f>
        <v>35275000</v>
      </c>
      <c r="H47" s="210" t="b">
        <f t="shared" si="0"/>
        <v>1</v>
      </c>
    </row>
    <row r="48" spans="1:8" ht="26.4" x14ac:dyDescent="0.25">
      <c r="A48" s="21" t="s">
        <v>449</v>
      </c>
      <c r="B48" s="152"/>
      <c r="C48" s="151" t="s">
        <v>3719</v>
      </c>
      <c r="D48" s="213">
        <v>10</v>
      </c>
      <c r="E48" s="152" t="s">
        <v>776</v>
      </c>
      <c r="F48" s="153">
        <v>3527550</v>
      </c>
      <c r="G48" s="153">
        <f>ROUNDDOWN(D48*F48,-3)</f>
        <v>35275000</v>
      </c>
      <c r="H48" s="210" t="b">
        <f t="shared" si="0"/>
        <v>1</v>
      </c>
    </row>
    <row r="49" spans="1:8" ht="13.8" x14ac:dyDescent="0.25">
      <c r="A49" s="21" t="s">
        <v>450</v>
      </c>
      <c r="B49" s="58" t="s">
        <v>523</v>
      </c>
      <c r="C49" s="35" t="s">
        <v>61</v>
      </c>
      <c r="D49" s="69"/>
      <c r="E49" s="58"/>
      <c r="F49" s="36"/>
      <c r="G49" s="36">
        <f>SUM(G50,G69,G86)</f>
        <v>686300000</v>
      </c>
      <c r="H49" s="210" t="b">
        <f t="shared" si="0"/>
        <v>1</v>
      </c>
    </row>
    <row r="50" spans="1:8" ht="13.8" x14ac:dyDescent="0.25">
      <c r="A50" s="21" t="s">
        <v>451</v>
      </c>
      <c r="B50" s="59" t="s">
        <v>8</v>
      </c>
      <c r="C50" s="38" t="s">
        <v>62</v>
      </c>
      <c r="D50" s="59"/>
      <c r="E50" s="59"/>
      <c r="F50" s="39"/>
      <c r="G50" s="39">
        <f>SUM(G51,G55,G58,G61,G63,G65,G67)</f>
        <v>386924000</v>
      </c>
      <c r="H50" s="210" t="b">
        <f t="shared" si="0"/>
        <v>1</v>
      </c>
    </row>
    <row r="51" spans="1:8" ht="13.8" x14ac:dyDescent="0.25">
      <c r="A51" s="21" t="s">
        <v>452</v>
      </c>
      <c r="B51" s="60">
        <v>521211</v>
      </c>
      <c r="C51" s="41" t="s">
        <v>7</v>
      </c>
      <c r="D51" s="71"/>
      <c r="E51" s="60"/>
      <c r="F51" s="42"/>
      <c r="G51" s="42">
        <f>SUM(G52:G54)</f>
        <v>64900000</v>
      </c>
      <c r="H51" s="210" t="b">
        <f t="shared" si="0"/>
        <v>1</v>
      </c>
    </row>
    <row r="52" spans="1:8" ht="13.8" x14ac:dyDescent="0.25">
      <c r="A52" s="21" t="s">
        <v>453</v>
      </c>
      <c r="B52" s="152"/>
      <c r="C52" s="151" t="s">
        <v>3598</v>
      </c>
      <c r="D52" s="213">
        <v>12</v>
      </c>
      <c r="E52" s="152" t="s">
        <v>106</v>
      </c>
      <c r="F52" s="153">
        <v>1500000</v>
      </c>
      <c r="G52" s="153">
        <f>ROUNDDOWN(D52*F52,-3)</f>
        <v>18000000</v>
      </c>
      <c r="H52" s="210" t="b">
        <f t="shared" si="0"/>
        <v>1</v>
      </c>
    </row>
    <row r="53" spans="1:8" ht="13.8" x14ac:dyDescent="0.25">
      <c r="A53" s="21" t="s">
        <v>454</v>
      </c>
      <c r="B53" s="152"/>
      <c r="C53" s="151" t="s">
        <v>3720</v>
      </c>
      <c r="D53" s="152">
        <v>100</v>
      </c>
      <c r="E53" s="152" t="s">
        <v>25</v>
      </c>
      <c r="F53" s="153">
        <v>69000</v>
      </c>
      <c r="G53" s="153">
        <f>ROUNDDOWN(D53*F53,-3)</f>
        <v>6900000</v>
      </c>
      <c r="H53" s="210" t="b">
        <f t="shared" si="0"/>
        <v>1</v>
      </c>
    </row>
    <row r="54" spans="1:8" ht="13.8" x14ac:dyDescent="0.25">
      <c r="A54" s="21" t="s">
        <v>783</v>
      </c>
      <c r="B54" s="152"/>
      <c r="C54" s="151" t="s">
        <v>3721</v>
      </c>
      <c r="D54" s="213">
        <v>80</v>
      </c>
      <c r="E54" s="152" t="s">
        <v>58</v>
      </c>
      <c r="F54" s="153">
        <v>500000</v>
      </c>
      <c r="G54" s="153">
        <f>ROUNDDOWN(D54*F54,-3)</f>
        <v>40000000</v>
      </c>
      <c r="H54" s="210" t="b">
        <f t="shared" si="0"/>
        <v>1</v>
      </c>
    </row>
    <row r="55" spans="1:8" ht="13.8" x14ac:dyDescent="0.25">
      <c r="A55" s="21" t="s">
        <v>455</v>
      </c>
      <c r="B55" s="60">
        <v>521219</v>
      </c>
      <c r="C55" s="41" t="s">
        <v>53</v>
      </c>
      <c r="D55" s="60"/>
      <c r="E55" s="60"/>
      <c r="F55" s="42"/>
      <c r="G55" s="42">
        <f>SUM(G56:G57)</f>
        <v>6000000</v>
      </c>
      <c r="H55" s="210" t="b">
        <f t="shared" si="0"/>
        <v>1</v>
      </c>
    </row>
    <row r="56" spans="1:8" ht="13.8" x14ac:dyDescent="0.25">
      <c r="A56" s="21" t="s">
        <v>456</v>
      </c>
      <c r="B56" s="152"/>
      <c r="C56" s="151" t="s">
        <v>3722</v>
      </c>
      <c r="D56" s="152">
        <v>4</v>
      </c>
      <c r="E56" s="152" t="s">
        <v>106</v>
      </c>
      <c r="F56" s="153">
        <v>250000</v>
      </c>
      <c r="G56" s="153">
        <f>ROUNDDOWN(D56*F56,-3)</f>
        <v>1000000</v>
      </c>
      <c r="H56" s="210" t="b">
        <f t="shared" si="0"/>
        <v>1</v>
      </c>
    </row>
    <row r="57" spans="1:8" ht="13.8" x14ac:dyDescent="0.25">
      <c r="A57" s="21" t="s">
        <v>457</v>
      </c>
      <c r="B57" s="152"/>
      <c r="C57" s="151" t="s">
        <v>3723</v>
      </c>
      <c r="D57" s="213">
        <v>10</v>
      </c>
      <c r="E57" s="152" t="s">
        <v>106</v>
      </c>
      <c r="F57" s="153">
        <v>500000</v>
      </c>
      <c r="G57" s="153">
        <f>ROUNDDOWN(D57*F57,-3)</f>
        <v>5000000</v>
      </c>
      <c r="H57" s="210" t="b">
        <f t="shared" si="0"/>
        <v>1</v>
      </c>
    </row>
    <row r="58" spans="1:8" ht="13.8" x14ac:dyDescent="0.25">
      <c r="A58" s="21" t="s">
        <v>458</v>
      </c>
      <c r="B58" s="60">
        <v>521811</v>
      </c>
      <c r="C58" s="41" t="s">
        <v>64</v>
      </c>
      <c r="D58" s="71"/>
      <c r="E58" s="60"/>
      <c r="F58" s="42"/>
      <c r="G58" s="42">
        <f>SUM(G59:G60)</f>
        <v>30000000</v>
      </c>
      <c r="H58" s="210" t="b">
        <f t="shared" si="0"/>
        <v>1</v>
      </c>
    </row>
    <row r="59" spans="1:8" ht="13.8" x14ac:dyDescent="0.25">
      <c r="A59" s="21" t="s">
        <v>459</v>
      </c>
      <c r="B59" s="152"/>
      <c r="C59" s="151" t="s">
        <v>3625</v>
      </c>
      <c r="D59" s="213">
        <v>12</v>
      </c>
      <c r="E59" s="152" t="s">
        <v>106</v>
      </c>
      <c r="F59" s="153">
        <v>1000000</v>
      </c>
      <c r="G59" s="153">
        <f>ROUNDDOWN(D59*F59,-3)</f>
        <v>12000000</v>
      </c>
      <c r="H59" s="210" t="b">
        <f t="shared" si="0"/>
        <v>1</v>
      </c>
    </row>
    <row r="60" spans="1:8" ht="13.8" x14ac:dyDescent="0.25">
      <c r="A60" s="21" t="s">
        <v>460</v>
      </c>
      <c r="B60" s="152"/>
      <c r="C60" s="151" t="s">
        <v>3626</v>
      </c>
      <c r="D60" s="213">
        <v>12</v>
      </c>
      <c r="E60" s="152" t="s">
        <v>106</v>
      </c>
      <c r="F60" s="153">
        <v>1500000</v>
      </c>
      <c r="G60" s="153">
        <f>ROUNDDOWN(D60*F60,-3)</f>
        <v>18000000</v>
      </c>
      <c r="H60" s="210" t="b">
        <f t="shared" si="0"/>
        <v>1</v>
      </c>
    </row>
    <row r="61" spans="1:8" ht="13.8" x14ac:dyDescent="0.25">
      <c r="A61" s="21" t="s">
        <v>461</v>
      </c>
      <c r="B61" s="60">
        <v>522151</v>
      </c>
      <c r="C61" s="41" t="s">
        <v>11</v>
      </c>
      <c r="D61" s="60"/>
      <c r="E61" s="60"/>
      <c r="F61" s="42"/>
      <c r="G61" s="42">
        <f>G62</f>
        <v>25200000</v>
      </c>
      <c r="H61" s="210" t="b">
        <f t="shared" si="0"/>
        <v>1</v>
      </c>
    </row>
    <row r="62" spans="1:8" ht="13.8" x14ac:dyDescent="0.25">
      <c r="A62" s="21" t="s">
        <v>462</v>
      </c>
      <c r="B62" s="152"/>
      <c r="C62" s="151" t="s">
        <v>3715</v>
      </c>
      <c r="D62" s="213">
        <v>28</v>
      </c>
      <c r="E62" s="152" t="s">
        <v>54</v>
      </c>
      <c r="F62" s="153">
        <v>900000</v>
      </c>
      <c r="G62" s="153">
        <f>ROUNDDOWN(D62*F62,-3)</f>
        <v>25200000</v>
      </c>
      <c r="H62" s="210" t="b">
        <f t="shared" si="0"/>
        <v>1</v>
      </c>
    </row>
    <row r="63" spans="1:8" ht="13.8" x14ac:dyDescent="0.25">
      <c r="A63" s="21" t="s">
        <v>463</v>
      </c>
      <c r="B63" s="60">
        <v>522192</v>
      </c>
      <c r="C63" s="41" t="s">
        <v>24</v>
      </c>
      <c r="D63" s="60"/>
      <c r="E63" s="60"/>
      <c r="F63" s="42"/>
      <c r="G63" s="42">
        <f>G64</f>
        <v>6000000</v>
      </c>
      <c r="H63" s="210" t="b">
        <f t="shared" si="0"/>
        <v>1</v>
      </c>
    </row>
    <row r="64" spans="1:8" ht="13.8" x14ac:dyDescent="0.25">
      <c r="A64" s="21" t="s">
        <v>464</v>
      </c>
      <c r="B64" s="152"/>
      <c r="C64" s="151" t="s">
        <v>3724</v>
      </c>
      <c r="D64" s="152">
        <v>1</v>
      </c>
      <c r="E64" s="152" t="s">
        <v>60</v>
      </c>
      <c r="F64" s="153">
        <v>6000000</v>
      </c>
      <c r="G64" s="153">
        <f>ROUNDDOWN(D64*F64,-3)</f>
        <v>6000000</v>
      </c>
      <c r="H64" s="210" t="b">
        <f t="shared" si="0"/>
        <v>1</v>
      </c>
    </row>
    <row r="65" spans="1:8" ht="13.8" x14ac:dyDescent="0.25">
      <c r="A65" s="21" t="s">
        <v>465</v>
      </c>
      <c r="B65" s="60">
        <v>524111</v>
      </c>
      <c r="C65" s="41" t="s">
        <v>19</v>
      </c>
      <c r="D65" s="71"/>
      <c r="E65" s="60"/>
      <c r="F65" s="42"/>
      <c r="G65" s="42">
        <f>G66</f>
        <v>253324000</v>
      </c>
      <c r="H65" s="210" t="b">
        <f t="shared" si="0"/>
        <v>1</v>
      </c>
    </row>
    <row r="66" spans="1:8" ht="26.4" x14ac:dyDescent="0.25">
      <c r="A66" s="21" t="s">
        <v>466</v>
      </c>
      <c r="B66" s="152"/>
      <c r="C66" s="151" t="s">
        <v>3725</v>
      </c>
      <c r="D66" s="213">
        <v>44</v>
      </c>
      <c r="E66" s="152" t="s">
        <v>776</v>
      </c>
      <c r="F66" s="153">
        <v>5757364</v>
      </c>
      <c r="G66" s="153">
        <f>ROUNDDOWN(D66*F66,-3)</f>
        <v>253324000</v>
      </c>
      <c r="H66" s="210" t="b">
        <f t="shared" si="0"/>
        <v>1</v>
      </c>
    </row>
    <row r="67" spans="1:8" ht="13.8" x14ac:dyDescent="0.25">
      <c r="A67" s="21" t="s">
        <v>467</v>
      </c>
      <c r="B67" s="60">
        <v>524113</v>
      </c>
      <c r="C67" s="41" t="s">
        <v>13</v>
      </c>
      <c r="D67" s="60"/>
      <c r="E67" s="60"/>
      <c r="F67" s="42"/>
      <c r="G67" s="42">
        <f>G68</f>
        <v>1500000</v>
      </c>
      <c r="H67" s="210" t="b">
        <f t="shared" si="0"/>
        <v>1</v>
      </c>
    </row>
    <row r="68" spans="1:8" ht="13.8" x14ac:dyDescent="0.25">
      <c r="A68" s="21" t="s">
        <v>468</v>
      </c>
      <c r="B68" s="152"/>
      <c r="C68" s="151" t="s">
        <v>3618</v>
      </c>
      <c r="D68" s="213">
        <v>10</v>
      </c>
      <c r="E68" s="152" t="s">
        <v>10</v>
      </c>
      <c r="F68" s="153">
        <v>150000</v>
      </c>
      <c r="G68" s="153">
        <f>ROUNDDOWN(D68*F68,-3)</f>
        <v>1500000</v>
      </c>
      <c r="H68" s="210" t="b">
        <f t="shared" si="0"/>
        <v>1</v>
      </c>
    </row>
    <row r="69" spans="1:8" ht="13.8" x14ac:dyDescent="0.25">
      <c r="A69" s="21" t="s">
        <v>469</v>
      </c>
      <c r="B69" s="59" t="s">
        <v>511</v>
      </c>
      <c r="C69" s="38" t="s">
        <v>65</v>
      </c>
      <c r="D69" s="70"/>
      <c r="E69" s="59"/>
      <c r="F69" s="39"/>
      <c r="G69" s="39">
        <f>SUM(G70,G74,G77,G80,G82,G84)</f>
        <v>247816000</v>
      </c>
      <c r="H69" s="210" t="b">
        <f t="shared" si="0"/>
        <v>1</v>
      </c>
    </row>
    <row r="70" spans="1:8" ht="13.8" x14ac:dyDescent="0.25">
      <c r="A70" s="21" t="s">
        <v>470</v>
      </c>
      <c r="B70" s="60">
        <v>521211</v>
      </c>
      <c r="C70" s="41" t="s">
        <v>7</v>
      </c>
      <c r="D70" s="60"/>
      <c r="E70" s="60"/>
      <c r="F70" s="42"/>
      <c r="G70" s="42">
        <f>SUM(G71:G73)</f>
        <v>71456000</v>
      </c>
      <c r="H70" s="210" t="b">
        <f t="shared" si="0"/>
        <v>1</v>
      </c>
    </row>
    <row r="71" spans="1:8" ht="13.8" x14ac:dyDescent="0.25">
      <c r="A71" s="21" t="s">
        <v>471</v>
      </c>
      <c r="B71" s="152"/>
      <c r="C71" s="151" t="s">
        <v>3726</v>
      </c>
      <c r="D71" s="213">
        <v>224</v>
      </c>
      <c r="E71" s="152" t="s">
        <v>25</v>
      </c>
      <c r="F71" s="153">
        <v>69000</v>
      </c>
      <c r="G71" s="153">
        <f>ROUNDDOWN(D71*F71,-3)</f>
        <v>15456000</v>
      </c>
      <c r="H71" s="210" t="b">
        <f t="shared" si="0"/>
        <v>1</v>
      </c>
    </row>
    <row r="72" spans="1:8" ht="13.8" x14ac:dyDescent="0.25">
      <c r="A72" s="21" t="s">
        <v>472</v>
      </c>
      <c r="B72" s="152"/>
      <c r="C72" s="151" t="s">
        <v>3714</v>
      </c>
      <c r="D72" s="152">
        <v>4</v>
      </c>
      <c r="E72" s="152" t="s">
        <v>106</v>
      </c>
      <c r="F72" s="153">
        <v>1500000</v>
      </c>
      <c r="G72" s="153">
        <f>ROUNDDOWN(D72*F72,-3)</f>
        <v>6000000</v>
      </c>
      <c r="H72" s="210" t="b">
        <f t="shared" si="0"/>
        <v>1</v>
      </c>
    </row>
    <row r="73" spans="1:8" ht="13.8" x14ac:dyDescent="0.25">
      <c r="A73" s="21" t="s">
        <v>789</v>
      </c>
      <c r="B73" s="152"/>
      <c r="C73" s="151" t="s">
        <v>3727</v>
      </c>
      <c r="D73" s="152">
        <v>100</v>
      </c>
      <c r="E73" s="152" t="s">
        <v>791</v>
      </c>
      <c r="F73" s="153">
        <v>500000</v>
      </c>
      <c r="G73" s="153">
        <f>ROUNDDOWN(D73*F73,-3)</f>
        <v>50000000</v>
      </c>
      <c r="H73" s="210" t="b">
        <f t="shared" si="0"/>
        <v>1</v>
      </c>
    </row>
    <row r="74" spans="1:8" ht="13.8" x14ac:dyDescent="0.25">
      <c r="A74" s="21" t="s">
        <v>473</v>
      </c>
      <c r="B74" s="60">
        <v>521219</v>
      </c>
      <c r="C74" s="41" t="s">
        <v>53</v>
      </c>
      <c r="D74" s="71"/>
      <c r="E74" s="60"/>
      <c r="F74" s="42"/>
      <c r="G74" s="42">
        <f>SUM(G75:G76)</f>
        <v>5000000</v>
      </c>
      <c r="H74" s="210" t="b">
        <f t="shared" si="0"/>
        <v>1</v>
      </c>
    </row>
    <row r="75" spans="1:8" ht="13.8" x14ac:dyDescent="0.25">
      <c r="A75" s="21" t="s">
        <v>474</v>
      </c>
      <c r="B75" s="152"/>
      <c r="C75" s="151" t="s">
        <v>3722</v>
      </c>
      <c r="D75" s="213">
        <v>4</v>
      </c>
      <c r="E75" s="152" t="s">
        <v>106</v>
      </c>
      <c r="F75" s="153">
        <v>250000</v>
      </c>
      <c r="G75" s="153">
        <f>ROUNDDOWN(D75*F75,-3)</f>
        <v>1000000</v>
      </c>
      <c r="H75" s="210" t="b">
        <f t="shared" si="0"/>
        <v>1</v>
      </c>
    </row>
    <row r="76" spans="1:8" ht="13.8" x14ac:dyDescent="0.25">
      <c r="A76" s="21" t="s">
        <v>792</v>
      </c>
      <c r="B76" s="152"/>
      <c r="C76" s="151" t="s">
        <v>3723</v>
      </c>
      <c r="D76" s="152">
        <v>8</v>
      </c>
      <c r="E76" s="152" t="s">
        <v>106</v>
      </c>
      <c r="F76" s="153">
        <v>500000</v>
      </c>
      <c r="G76" s="153">
        <f>ROUNDDOWN(D76*F76,-3)</f>
        <v>4000000</v>
      </c>
      <c r="H76" s="210" t="b">
        <f t="shared" si="0"/>
        <v>1</v>
      </c>
    </row>
    <row r="77" spans="1:8" ht="13.8" x14ac:dyDescent="0.25">
      <c r="A77" s="21" t="s">
        <v>475</v>
      </c>
      <c r="B77" s="60">
        <v>521811</v>
      </c>
      <c r="C77" s="41" t="s">
        <v>64</v>
      </c>
      <c r="D77" s="71"/>
      <c r="E77" s="60"/>
      <c r="F77" s="42"/>
      <c r="G77" s="42">
        <f>SUM(G78:G79)</f>
        <v>15000000</v>
      </c>
      <c r="H77" s="210" t="b">
        <f t="shared" ref="H77:H140" si="2">_xlfn.ISFORMULA(G77)</f>
        <v>1</v>
      </c>
    </row>
    <row r="78" spans="1:8" ht="13.8" x14ac:dyDescent="0.25">
      <c r="A78" s="21" t="s">
        <v>476</v>
      </c>
      <c r="B78" s="152"/>
      <c r="C78" s="151" t="s">
        <v>3625</v>
      </c>
      <c r="D78" s="213">
        <v>6</v>
      </c>
      <c r="E78" s="152" t="s">
        <v>106</v>
      </c>
      <c r="F78" s="153">
        <v>1000000</v>
      </c>
      <c r="G78" s="153">
        <f>ROUNDDOWN(D78*F78,-3)</f>
        <v>6000000</v>
      </c>
      <c r="H78" s="210" t="b">
        <f t="shared" si="2"/>
        <v>1</v>
      </c>
    </row>
    <row r="79" spans="1:8" ht="13.8" x14ac:dyDescent="0.25">
      <c r="A79" s="21" t="s">
        <v>477</v>
      </c>
      <c r="B79" s="152"/>
      <c r="C79" s="151" t="s">
        <v>3626</v>
      </c>
      <c r="D79" s="152">
        <v>6</v>
      </c>
      <c r="E79" s="152" t="s">
        <v>106</v>
      </c>
      <c r="F79" s="153">
        <v>1500000</v>
      </c>
      <c r="G79" s="153">
        <f>ROUNDDOWN(D79*F79,-3)</f>
        <v>9000000</v>
      </c>
      <c r="H79" s="210" t="b">
        <f t="shared" si="2"/>
        <v>1</v>
      </c>
    </row>
    <row r="80" spans="1:8" ht="13.8" x14ac:dyDescent="0.25">
      <c r="A80" s="21" t="s">
        <v>478</v>
      </c>
      <c r="B80" s="60">
        <v>522151</v>
      </c>
      <c r="C80" s="41" t="s">
        <v>11</v>
      </c>
      <c r="D80" s="71"/>
      <c r="E80" s="60"/>
      <c r="F80" s="42"/>
      <c r="G80" s="42">
        <f>G81</f>
        <v>16200000</v>
      </c>
      <c r="H80" s="210" t="b">
        <f t="shared" si="2"/>
        <v>1</v>
      </c>
    </row>
    <row r="81" spans="1:8" ht="13.8" x14ac:dyDescent="0.25">
      <c r="A81" s="21" t="s">
        <v>479</v>
      </c>
      <c r="B81" s="152"/>
      <c r="C81" s="151" t="s">
        <v>3715</v>
      </c>
      <c r="D81" s="152">
        <v>18</v>
      </c>
      <c r="E81" s="152" t="s">
        <v>54</v>
      </c>
      <c r="F81" s="153">
        <v>900000</v>
      </c>
      <c r="G81" s="153">
        <f>ROUNDDOWN(D81*F81,-3)</f>
        <v>16200000</v>
      </c>
      <c r="H81" s="210" t="b">
        <f t="shared" si="2"/>
        <v>1</v>
      </c>
    </row>
    <row r="82" spans="1:8" ht="13.8" x14ac:dyDescent="0.25">
      <c r="A82" s="21" t="s">
        <v>480</v>
      </c>
      <c r="B82" s="60">
        <v>522192</v>
      </c>
      <c r="C82" s="41" t="s">
        <v>24</v>
      </c>
      <c r="D82" s="60"/>
      <c r="E82" s="60"/>
      <c r="F82" s="42"/>
      <c r="G82" s="42">
        <f>G83</f>
        <v>2000000</v>
      </c>
      <c r="H82" s="210" t="b">
        <f t="shared" si="2"/>
        <v>1</v>
      </c>
    </row>
    <row r="83" spans="1:8" ht="13.8" x14ac:dyDescent="0.25">
      <c r="A83" s="21" t="s">
        <v>481</v>
      </c>
      <c r="B83" s="152"/>
      <c r="C83" s="151" t="s">
        <v>3724</v>
      </c>
      <c r="D83" s="213">
        <v>1</v>
      </c>
      <c r="E83" s="152" t="s">
        <v>60</v>
      </c>
      <c r="F83" s="153">
        <v>2000000</v>
      </c>
      <c r="G83" s="153">
        <f>ROUNDDOWN(D83*F83,-3)</f>
        <v>2000000</v>
      </c>
      <c r="H83" s="210" t="b">
        <f t="shared" si="2"/>
        <v>1</v>
      </c>
    </row>
    <row r="84" spans="1:8" ht="13.8" x14ac:dyDescent="0.25">
      <c r="A84" s="21" t="s">
        <v>482</v>
      </c>
      <c r="B84" s="60">
        <v>524111</v>
      </c>
      <c r="C84" s="41" t="s">
        <v>19</v>
      </c>
      <c r="D84" s="71"/>
      <c r="E84" s="60"/>
      <c r="F84" s="42"/>
      <c r="G84" s="42">
        <f>G85</f>
        <v>138160000</v>
      </c>
      <c r="H84" s="210" t="b">
        <f t="shared" si="2"/>
        <v>1</v>
      </c>
    </row>
    <row r="85" spans="1:8" ht="13.8" x14ac:dyDescent="0.25">
      <c r="A85" s="21" t="s">
        <v>483</v>
      </c>
      <c r="B85" s="152"/>
      <c r="C85" s="151" t="s">
        <v>3728</v>
      </c>
      <c r="D85" s="152">
        <v>22</v>
      </c>
      <c r="E85" s="152" t="s">
        <v>776</v>
      </c>
      <c r="F85" s="153">
        <v>6280000</v>
      </c>
      <c r="G85" s="153">
        <f>ROUNDDOWN(D85*F85,-3)</f>
        <v>138160000</v>
      </c>
      <c r="H85" s="210" t="b">
        <f t="shared" si="2"/>
        <v>1</v>
      </c>
    </row>
    <row r="86" spans="1:8" ht="13.8" x14ac:dyDescent="0.25">
      <c r="A86" s="21" t="s">
        <v>794</v>
      </c>
      <c r="B86" s="59" t="s">
        <v>512</v>
      </c>
      <c r="C86" s="38" t="s">
        <v>795</v>
      </c>
      <c r="D86" s="70"/>
      <c r="E86" s="59"/>
      <c r="F86" s="39"/>
      <c r="G86" s="39">
        <f>SUM(G87,G92,G94,G96)</f>
        <v>51560000</v>
      </c>
      <c r="H86" s="210" t="b">
        <f t="shared" si="2"/>
        <v>1</v>
      </c>
    </row>
    <row r="87" spans="1:8" ht="13.8" x14ac:dyDescent="0.25">
      <c r="A87" s="21" t="s">
        <v>796</v>
      </c>
      <c r="B87" s="60">
        <v>521211</v>
      </c>
      <c r="C87" s="41" t="s">
        <v>7</v>
      </c>
      <c r="D87" s="71"/>
      <c r="E87" s="60"/>
      <c r="F87" s="42"/>
      <c r="G87" s="42">
        <f>SUM(G88:G91)</f>
        <v>20830000</v>
      </c>
      <c r="H87" s="210" t="b">
        <f t="shared" si="2"/>
        <v>1</v>
      </c>
    </row>
    <row r="88" spans="1:8" ht="13.8" x14ac:dyDescent="0.25">
      <c r="A88" s="21" t="s">
        <v>797</v>
      </c>
      <c r="B88" s="152"/>
      <c r="C88" s="151" t="s">
        <v>3625</v>
      </c>
      <c r="D88" s="152">
        <v>4</v>
      </c>
      <c r="E88" s="152" t="s">
        <v>106</v>
      </c>
      <c r="F88" s="153">
        <v>1000000</v>
      </c>
      <c r="G88" s="153">
        <f>ROUNDDOWN(D88*F88,-3)</f>
        <v>4000000</v>
      </c>
      <c r="H88" s="210" t="b">
        <f t="shared" si="2"/>
        <v>1</v>
      </c>
    </row>
    <row r="89" spans="1:8" ht="13.8" x14ac:dyDescent="0.25">
      <c r="A89" s="21" t="s">
        <v>798</v>
      </c>
      <c r="B89" s="152"/>
      <c r="C89" s="151" t="s">
        <v>3626</v>
      </c>
      <c r="D89" s="213">
        <v>4</v>
      </c>
      <c r="E89" s="152" t="s">
        <v>106</v>
      </c>
      <c r="F89" s="153">
        <v>1500000</v>
      </c>
      <c r="G89" s="153">
        <f>ROUNDDOWN(D89*F89,-3)</f>
        <v>6000000</v>
      </c>
      <c r="H89" s="210" t="b">
        <f t="shared" si="2"/>
        <v>1</v>
      </c>
    </row>
    <row r="90" spans="1:8" ht="13.8" x14ac:dyDescent="0.25">
      <c r="A90" s="21" t="s">
        <v>799</v>
      </c>
      <c r="B90" s="152"/>
      <c r="C90" s="151" t="s">
        <v>3729</v>
      </c>
      <c r="D90" s="152">
        <v>70</v>
      </c>
      <c r="E90" s="152" t="s">
        <v>25</v>
      </c>
      <c r="F90" s="153">
        <v>69000</v>
      </c>
      <c r="G90" s="153">
        <f>ROUNDDOWN(D90*F90,-3)</f>
        <v>4830000</v>
      </c>
      <c r="H90" s="210" t="b">
        <f t="shared" si="2"/>
        <v>1</v>
      </c>
    </row>
    <row r="91" spans="1:8" ht="13.8" x14ac:dyDescent="0.25">
      <c r="A91" s="21" t="s">
        <v>800</v>
      </c>
      <c r="B91" s="152"/>
      <c r="C91" s="151" t="s">
        <v>3730</v>
      </c>
      <c r="D91" s="152">
        <v>4</v>
      </c>
      <c r="E91" s="152" t="s">
        <v>106</v>
      </c>
      <c r="F91" s="153">
        <v>1500000</v>
      </c>
      <c r="G91" s="153">
        <f>ROUNDDOWN(D91*F91,-3)</f>
        <v>6000000</v>
      </c>
      <c r="H91" s="210" t="b">
        <f t="shared" si="2"/>
        <v>1</v>
      </c>
    </row>
    <row r="92" spans="1:8" ht="13.8" x14ac:dyDescent="0.25">
      <c r="A92" s="21" t="s">
        <v>801</v>
      </c>
      <c r="B92" s="60">
        <v>521219</v>
      </c>
      <c r="C92" s="41" t="s">
        <v>53</v>
      </c>
      <c r="D92" s="71"/>
      <c r="E92" s="60"/>
      <c r="F92" s="42"/>
      <c r="G92" s="42">
        <f>G93</f>
        <v>500000</v>
      </c>
      <c r="H92" s="210" t="b">
        <f t="shared" si="2"/>
        <v>1</v>
      </c>
    </row>
    <row r="93" spans="1:8" ht="13.8" x14ac:dyDescent="0.25">
      <c r="A93" s="21" t="s">
        <v>802</v>
      </c>
      <c r="B93" s="152"/>
      <c r="C93" s="151" t="s">
        <v>3722</v>
      </c>
      <c r="D93" s="213">
        <v>2</v>
      </c>
      <c r="E93" s="152" t="s">
        <v>106</v>
      </c>
      <c r="F93" s="153">
        <v>250000</v>
      </c>
      <c r="G93" s="153">
        <f>ROUNDDOWN(D93*F93,-3)</f>
        <v>500000</v>
      </c>
      <c r="H93" s="210" t="b">
        <f t="shared" si="2"/>
        <v>1</v>
      </c>
    </row>
    <row r="94" spans="1:8" ht="13.8" x14ac:dyDescent="0.25">
      <c r="A94" s="21" t="s">
        <v>803</v>
      </c>
      <c r="B94" s="60">
        <v>522151</v>
      </c>
      <c r="C94" s="41" t="s">
        <v>11</v>
      </c>
      <c r="D94" s="60"/>
      <c r="E94" s="60"/>
      <c r="F94" s="42"/>
      <c r="G94" s="42">
        <f>G95</f>
        <v>7200000</v>
      </c>
      <c r="H94" s="210" t="b">
        <f t="shared" si="2"/>
        <v>1</v>
      </c>
    </row>
    <row r="95" spans="1:8" ht="13.8" x14ac:dyDescent="0.25">
      <c r="A95" s="21" t="s">
        <v>804</v>
      </c>
      <c r="B95" s="152"/>
      <c r="C95" s="151" t="s">
        <v>3715</v>
      </c>
      <c r="D95" s="213">
        <v>8</v>
      </c>
      <c r="E95" s="152" t="s">
        <v>54</v>
      </c>
      <c r="F95" s="153">
        <v>900000</v>
      </c>
      <c r="G95" s="153">
        <f>ROUNDDOWN(D95*F95,-3)</f>
        <v>7200000</v>
      </c>
      <c r="H95" s="210" t="b">
        <f t="shared" si="2"/>
        <v>1</v>
      </c>
    </row>
    <row r="96" spans="1:8" ht="13.8" x14ac:dyDescent="0.25">
      <c r="A96" s="21" t="s">
        <v>805</v>
      </c>
      <c r="B96" s="60">
        <v>524111</v>
      </c>
      <c r="C96" s="41" t="s">
        <v>19</v>
      </c>
      <c r="D96" s="71"/>
      <c r="E96" s="60"/>
      <c r="F96" s="42"/>
      <c r="G96" s="42">
        <f>G97</f>
        <v>23030000</v>
      </c>
      <c r="H96" s="210" t="b">
        <f t="shared" si="2"/>
        <v>1</v>
      </c>
    </row>
    <row r="97" spans="1:8" ht="26.4" x14ac:dyDescent="0.25">
      <c r="A97" s="21" t="s">
        <v>806</v>
      </c>
      <c r="B97" s="152"/>
      <c r="C97" s="151" t="s">
        <v>3731</v>
      </c>
      <c r="D97" s="152">
        <v>6</v>
      </c>
      <c r="E97" s="152" t="s">
        <v>776</v>
      </c>
      <c r="F97" s="153">
        <v>3838335</v>
      </c>
      <c r="G97" s="153">
        <f>ROUNDDOWN(D97*F97,-3)</f>
        <v>23030000</v>
      </c>
      <c r="H97" s="210" t="b">
        <f t="shared" si="2"/>
        <v>1</v>
      </c>
    </row>
    <row r="98" spans="1:8" ht="13.8" x14ac:dyDescent="0.25">
      <c r="A98" s="21" t="s">
        <v>484</v>
      </c>
      <c r="B98" s="58" t="s">
        <v>526</v>
      </c>
      <c r="C98" s="35" t="s">
        <v>67</v>
      </c>
      <c r="D98" s="69"/>
      <c r="E98" s="58"/>
      <c r="F98" s="36"/>
      <c r="G98" s="36">
        <f>G99</f>
        <v>135100000</v>
      </c>
      <c r="H98" s="210" t="b">
        <f t="shared" si="2"/>
        <v>1</v>
      </c>
    </row>
    <row r="99" spans="1:8" ht="13.8" x14ac:dyDescent="0.25">
      <c r="A99" s="21" t="s">
        <v>485</v>
      </c>
      <c r="B99" s="59" t="s">
        <v>8</v>
      </c>
      <c r="C99" s="38" t="s">
        <v>68</v>
      </c>
      <c r="D99" s="59"/>
      <c r="E99" s="59"/>
      <c r="F99" s="39"/>
      <c r="G99" s="39">
        <f>SUM(G100,G106,G108,G110,G112)</f>
        <v>135100000</v>
      </c>
      <c r="H99" s="210" t="b">
        <f t="shared" si="2"/>
        <v>1</v>
      </c>
    </row>
    <row r="100" spans="1:8" ht="13.8" x14ac:dyDescent="0.25">
      <c r="A100" s="21" t="s">
        <v>486</v>
      </c>
      <c r="B100" s="60">
        <v>521211</v>
      </c>
      <c r="C100" s="41" t="s">
        <v>7</v>
      </c>
      <c r="D100" s="71"/>
      <c r="E100" s="60"/>
      <c r="F100" s="42"/>
      <c r="G100" s="42">
        <f>SUM(G101:G105)</f>
        <v>21100000</v>
      </c>
      <c r="H100" s="210" t="b">
        <f t="shared" si="2"/>
        <v>1</v>
      </c>
    </row>
    <row r="101" spans="1:8" ht="13.8" x14ac:dyDescent="0.25">
      <c r="A101" s="21" t="s">
        <v>487</v>
      </c>
      <c r="B101" s="152"/>
      <c r="C101" s="151" t="s">
        <v>3598</v>
      </c>
      <c r="D101" s="152">
        <v>2</v>
      </c>
      <c r="E101" s="152" t="s">
        <v>106</v>
      </c>
      <c r="F101" s="153">
        <v>1500000</v>
      </c>
      <c r="G101" s="153">
        <f>ROUNDDOWN(D101*F101,-3)</f>
        <v>3000000</v>
      </c>
      <c r="H101" s="210" t="b">
        <f t="shared" si="2"/>
        <v>1</v>
      </c>
    </row>
    <row r="102" spans="1:8" ht="13.8" x14ac:dyDescent="0.25">
      <c r="A102" s="21" t="s">
        <v>488</v>
      </c>
      <c r="B102" s="152"/>
      <c r="C102" s="151" t="s">
        <v>3732</v>
      </c>
      <c r="D102" s="152">
        <v>90</v>
      </c>
      <c r="E102" s="152" t="s">
        <v>25</v>
      </c>
      <c r="F102" s="153">
        <v>65556</v>
      </c>
      <c r="G102" s="153">
        <f>ROUNDDOWN(D102*F102,-3)</f>
        <v>5900000</v>
      </c>
      <c r="H102" s="210" t="b">
        <f t="shared" si="2"/>
        <v>1</v>
      </c>
    </row>
    <row r="103" spans="1:8" ht="13.8" x14ac:dyDescent="0.25">
      <c r="A103" s="21" t="s">
        <v>489</v>
      </c>
      <c r="B103" s="152"/>
      <c r="C103" s="151" t="s">
        <v>3600</v>
      </c>
      <c r="D103" s="152">
        <v>2</v>
      </c>
      <c r="E103" s="152" t="s">
        <v>106</v>
      </c>
      <c r="F103" s="153">
        <v>1000000</v>
      </c>
      <c r="G103" s="153">
        <f>ROUNDDOWN(D103*F103,-3)</f>
        <v>2000000</v>
      </c>
      <c r="H103" s="210" t="b">
        <f t="shared" si="2"/>
        <v>1</v>
      </c>
    </row>
    <row r="104" spans="1:8" ht="13.8" x14ac:dyDescent="0.25">
      <c r="A104" s="21" t="s">
        <v>809</v>
      </c>
      <c r="B104" s="152"/>
      <c r="C104" s="151" t="s">
        <v>3601</v>
      </c>
      <c r="D104" s="213">
        <v>2</v>
      </c>
      <c r="E104" s="152" t="s">
        <v>106</v>
      </c>
      <c r="F104" s="153">
        <v>1500000</v>
      </c>
      <c r="G104" s="153">
        <f>ROUNDDOWN(D104*F104,-3)</f>
        <v>3000000</v>
      </c>
      <c r="H104" s="210" t="b">
        <f t="shared" si="2"/>
        <v>1</v>
      </c>
    </row>
    <row r="105" spans="1:8" ht="13.8" x14ac:dyDescent="0.25">
      <c r="A105" s="21" t="s">
        <v>810</v>
      </c>
      <c r="B105" s="152"/>
      <c r="C105" s="151" t="s">
        <v>3733</v>
      </c>
      <c r="D105" s="213">
        <v>36</v>
      </c>
      <c r="E105" s="152" t="s">
        <v>25</v>
      </c>
      <c r="F105" s="153">
        <v>200000</v>
      </c>
      <c r="G105" s="153">
        <f>ROUNDDOWN(D105*F105,-3)</f>
        <v>7200000</v>
      </c>
      <c r="H105" s="210" t="b">
        <f t="shared" si="2"/>
        <v>1</v>
      </c>
    </row>
    <row r="106" spans="1:8" ht="13.8" x14ac:dyDescent="0.25">
      <c r="A106" s="21" t="s">
        <v>490</v>
      </c>
      <c r="B106" s="60">
        <v>521219</v>
      </c>
      <c r="C106" s="41" t="s">
        <v>53</v>
      </c>
      <c r="D106" s="71"/>
      <c r="E106" s="60"/>
      <c r="F106" s="42"/>
      <c r="G106" s="42">
        <f>G107</f>
        <v>1584000</v>
      </c>
      <c r="H106" s="210" t="b">
        <f t="shared" si="2"/>
        <v>1</v>
      </c>
    </row>
    <row r="107" spans="1:8" ht="26.4" x14ac:dyDescent="0.25">
      <c r="A107" s="21" t="s">
        <v>491</v>
      </c>
      <c r="B107" s="152"/>
      <c r="C107" s="151" t="s">
        <v>3734</v>
      </c>
      <c r="D107" s="213">
        <v>36</v>
      </c>
      <c r="E107" s="152" t="s">
        <v>25</v>
      </c>
      <c r="F107" s="153">
        <v>44000</v>
      </c>
      <c r="G107" s="153">
        <f>ROUNDDOWN(D107*F107,-3)</f>
        <v>1584000</v>
      </c>
      <c r="H107" s="210" t="b">
        <f t="shared" si="2"/>
        <v>1</v>
      </c>
    </row>
    <row r="108" spans="1:8" ht="13.8" x14ac:dyDescent="0.25">
      <c r="A108" s="21" t="s">
        <v>492</v>
      </c>
      <c r="B108" s="60">
        <v>522151</v>
      </c>
      <c r="C108" s="41" t="s">
        <v>11</v>
      </c>
      <c r="D108" s="60"/>
      <c r="E108" s="60"/>
      <c r="F108" s="42"/>
      <c r="G108" s="42">
        <f>G109</f>
        <v>10000000</v>
      </c>
      <c r="H108" s="210" t="b">
        <f t="shared" si="2"/>
        <v>1</v>
      </c>
    </row>
    <row r="109" spans="1:8" ht="13.8" x14ac:dyDescent="0.25">
      <c r="A109" s="21" t="s">
        <v>493</v>
      </c>
      <c r="B109" s="152"/>
      <c r="C109" s="151" t="s">
        <v>3715</v>
      </c>
      <c r="D109" s="213">
        <v>10</v>
      </c>
      <c r="E109" s="152" t="s">
        <v>54</v>
      </c>
      <c r="F109" s="153">
        <v>1000000</v>
      </c>
      <c r="G109" s="153">
        <f>ROUNDDOWN(D109*F109,-3)</f>
        <v>10000000</v>
      </c>
      <c r="H109" s="210" t="b">
        <f t="shared" si="2"/>
        <v>1</v>
      </c>
    </row>
    <row r="110" spans="1:8" ht="13.8" x14ac:dyDescent="0.25">
      <c r="A110" s="21" t="s">
        <v>813</v>
      </c>
      <c r="B110" s="60">
        <v>522192</v>
      </c>
      <c r="C110" s="41" t="s">
        <v>24</v>
      </c>
      <c r="D110" s="60"/>
      <c r="E110" s="60"/>
      <c r="F110" s="42"/>
      <c r="G110" s="42">
        <f>G111</f>
        <v>5000000</v>
      </c>
      <c r="H110" s="210" t="b">
        <f t="shared" si="2"/>
        <v>1</v>
      </c>
    </row>
    <row r="111" spans="1:8" ht="13.8" x14ac:dyDescent="0.25">
      <c r="A111" s="21" t="s">
        <v>814</v>
      </c>
      <c r="B111" s="152"/>
      <c r="C111" s="151" t="s">
        <v>3735</v>
      </c>
      <c r="D111" s="213">
        <v>1</v>
      </c>
      <c r="E111" s="152" t="s">
        <v>153</v>
      </c>
      <c r="F111" s="153">
        <v>5000000</v>
      </c>
      <c r="G111" s="153">
        <f>ROUNDDOWN(D111*F111,-3)</f>
        <v>5000000</v>
      </c>
      <c r="H111" s="210" t="b">
        <f t="shared" si="2"/>
        <v>1</v>
      </c>
    </row>
    <row r="112" spans="1:8" ht="13.8" x14ac:dyDescent="0.25">
      <c r="A112" s="21" t="s">
        <v>816</v>
      </c>
      <c r="B112" s="60">
        <v>524111</v>
      </c>
      <c r="C112" s="41" t="s">
        <v>19</v>
      </c>
      <c r="D112" s="60"/>
      <c r="E112" s="60"/>
      <c r="F112" s="42"/>
      <c r="G112" s="42">
        <f>G113</f>
        <v>97416000</v>
      </c>
      <c r="H112" s="210" t="b">
        <f t="shared" si="2"/>
        <v>1</v>
      </c>
    </row>
    <row r="113" spans="1:8" ht="13.8" x14ac:dyDescent="0.25">
      <c r="A113" s="21" t="s">
        <v>817</v>
      </c>
      <c r="B113" s="152"/>
      <c r="C113" s="151" t="s">
        <v>3736</v>
      </c>
      <c r="D113" s="152">
        <v>36</v>
      </c>
      <c r="E113" s="152" t="s">
        <v>776</v>
      </c>
      <c r="F113" s="153">
        <v>2706000</v>
      </c>
      <c r="G113" s="153">
        <f>ROUNDDOWN(D113*F113,-3)</f>
        <v>97416000</v>
      </c>
      <c r="H113" s="210" t="b">
        <f t="shared" si="2"/>
        <v>1</v>
      </c>
    </row>
    <row r="114" spans="1:8" ht="13.8" x14ac:dyDescent="0.25">
      <c r="A114" s="21" t="s">
        <v>69</v>
      </c>
      <c r="B114" s="54" t="s">
        <v>69</v>
      </c>
      <c r="C114" s="23" t="s">
        <v>70</v>
      </c>
      <c r="D114" s="54"/>
      <c r="E114" s="54"/>
      <c r="F114" s="24"/>
      <c r="G114" s="24">
        <f>SUM(G115,G529)</f>
        <v>22342160000</v>
      </c>
      <c r="H114" s="210" t="b">
        <f t="shared" si="2"/>
        <v>1</v>
      </c>
    </row>
    <row r="115" spans="1:8" ht="26.4" x14ac:dyDescent="0.25">
      <c r="A115" s="21" t="s">
        <v>494</v>
      </c>
      <c r="B115" s="55">
        <v>2378</v>
      </c>
      <c r="C115" s="26" t="s">
        <v>71</v>
      </c>
      <c r="D115" s="68"/>
      <c r="E115" s="55"/>
      <c r="F115" s="27"/>
      <c r="G115" s="27">
        <f>SUM(G116,G122,G380,G386)</f>
        <v>13759660000</v>
      </c>
      <c r="H115" s="210" t="b">
        <f t="shared" si="2"/>
        <v>1</v>
      </c>
    </row>
    <row r="116" spans="1:8" ht="13.8" x14ac:dyDescent="0.25">
      <c r="A116" s="21" t="s">
        <v>819</v>
      </c>
      <c r="B116" s="135" t="s">
        <v>820</v>
      </c>
      <c r="C116" s="133" t="s">
        <v>821</v>
      </c>
      <c r="D116" s="134">
        <v>1</v>
      </c>
      <c r="E116" s="135" t="s">
        <v>42</v>
      </c>
      <c r="F116" s="136"/>
      <c r="G116" s="136">
        <f>G117</f>
        <v>115000000</v>
      </c>
      <c r="H116" s="210" t="b">
        <f t="shared" si="2"/>
        <v>1</v>
      </c>
    </row>
    <row r="117" spans="1:8" ht="26.4" x14ac:dyDescent="0.25">
      <c r="A117" s="21" t="s">
        <v>822</v>
      </c>
      <c r="B117" s="138" t="s">
        <v>3737</v>
      </c>
      <c r="C117" s="137" t="s">
        <v>824</v>
      </c>
      <c r="D117" s="140">
        <v>1</v>
      </c>
      <c r="E117" s="138" t="s">
        <v>42</v>
      </c>
      <c r="F117" s="139"/>
      <c r="G117" s="139">
        <f>G118</f>
        <v>115000000</v>
      </c>
      <c r="H117" s="210" t="b">
        <f t="shared" si="2"/>
        <v>1</v>
      </c>
    </row>
    <row r="118" spans="1:8" ht="26.4" x14ac:dyDescent="0.25">
      <c r="A118" s="21" t="s">
        <v>832</v>
      </c>
      <c r="B118" s="58">
        <v>301</v>
      </c>
      <c r="C118" s="35" t="s">
        <v>834</v>
      </c>
      <c r="D118" s="58"/>
      <c r="E118" s="58"/>
      <c r="F118" s="36"/>
      <c r="G118" s="36">
        <f>G119</f>
        <v>115000000</v>
      </c>
      <c r="H118" s="210" t="b">
        <f t="shared" si="2"/>
        <v>1</v>
      </c>
    </row>
    <row r="119" spans="1:8" ht="13.8" x14ac:dyDescent="0.25">
      <c r="A119" s="21" t="s">
        <v>835</v>
      </c>
      <c r="B119" s="59" t="s">
        <v>8</v>
      </c>
      <c r="C119" s="38" t="s">
        <v>836</v>
      </c>
      <c r="D119" s="70"/>
      <c r="E119" s="59"/>
      <c r="F119" s="39"/>
      <c r="G119" s="39">
        <f>G120</f>
        <v>115000000</v>
      </c>
      <c r="H119" s="210" t="b">
        <f t="shared" si="2"/>
        <v>1</v>
      </c>
    </row>
    <row r="120" spans="1:8" ht="13.8" x14ac:dyDescent="0.25">
      <c r="A120" s="21" t="s">
        <v>837</v>
      </c>
      <c r="B120" s="60">
        <v>532111</v>
      </c>
      <c r="C120" s="41" t="s">
        <v>43</v>
      </c>
      <c r="D120" s="60"/>
      <c r="E120" s="60"/>
      <c r="F120" s="42"/>
      <c r="G120" s="42">
        <f>G121</f>
        <v>115000000</v>
      </c>
      <c r="H120" s="210" t="b">
        <f t="shared" si="2"/>
        <v>1</v>
      </c>
    </row>
    <row r="121" spans="1:8" ht="13.8" x14ac:dyDescent="0.25">
      <c r="A121" s="21" t="s">
        <v>838</v>
      </c>
      <c r="B121" s="152"/>
      <c r="C121" s="151" t="s">
        <v>3739</v>
      </c>
      <c r="D121" s="213">
        <v>1</v>
      </c>
      <c r="E121" s="152" t="s">
        <v>23</v>
      </c>
      <c r="F121" s="153">
        <v>115000000</v>
      </c>
      <c r="G121" s="153">
        <f>ROUNDDOWN(D121*F121,-3)</f>
        <v>115000000</v>
      </c>
      <c r="H121" s="210" t="b">
        <f t="shared" si="2"/>
        <v>1</v>
      </c>
    </row>
    <row r="122" spans="1:8" ht="13.8" x14ac:dyDescent="0.25">
      <c r="A122" s="21" t="s">
        <v>840</v>
      </c>
      <c r="B122" s="135" t="s">
        <v>841</v>
      </c>
      <c r="C122" s="133" t="s">
        <v>842</v>
      </c>
      <c r="D122" s="135">
        <v>9</v>
      </c>
      <c r="E122" s="135" t="s">
        <v>3740</v>
      </c>
      <c r="F122" s="136"/>
      <c r="G122" s="136">
        <f>SUM(G123,G138,G263)</f>
        <v>11564936000</v>
      </c>
      <c r="H122" s="210" t="b">
        <f t="shared" si="2"/>
        <v>1</v>
      </c>
    </row>
    <row r="123" spans="1:8" ht="13.8" x14ac:dyDescent="0.25">
      <c r="A123" s="21" t="s">
        <v>1035</v>
      </c>
      <c r="B123" s="138" t="s">
        <v>3792</v>
      </c>
      <c r="C123" s="137" t="s">
        <v>1037</v>
      </c>
      <c r="D123" s="138">
        <v>2</v>
      </c>
      <c r="E123" s="138" t="s">
        <v>3740</v>
      </c>
      <c r="F123" s="139"/>
      <c r="G123" s="139">
        <f>G124</f>
        <v>153780000</v>
      </c>
      <c r="H123" s="210" t="b">
        <f t="shared" si="2"/>
        <v>1</v>
      </c>
    </row>
    <row r="124" spans="1:8" ht="13.8" x14ac:dyDescent="0.25">
      <c r="A124" s="7" t="s">
        <v>1184</v>
      </c>
      <c r="B124" s="58">
        <v>311</v>
      </c>
      <c r="C124" s="35" t="s">
        <v>1186</v>
      </c>
      <c r="D124" s="58"/>
      <c r="E124" s="58"/>
      <c r="F124" s="36"/>
      <c r="G124" s="36">
        <f>G125</f>
        <v>153780000</v>
      </c>
      <c r="H124" s="210" t="b">
        <f t="shared" si="2"/>
        <v>1</v>
      </c>
    </row>
    <row r="125" spans="1:8" ht="13.8" x14ac:dyDescent="0.25">
      <c r="A125" s="7" t="s">
        <v>1187</v>
      </c>
      <c r="B125" s="59" t="s">
        <v>8</v>
      </c>
      <c r="C125" s="38" t="s">
        <v>75</v>
      </c>
      <c r="D125" s="59"/>
      <c r="E125" s="59"/>
      <c r="F125" s="39"/>
      <c r="G125" s="39">
        <f>SUM(G126,G129,G131,G134,G136)</f>
        <v>153780000</v>
      </c>
      <c r="H125" s="210" t="b">
        <f t="shared" si="2"/>
        <v>1</v>
      </c>
    </row>
    <row r="126" spans="1:8" ht="13.8" x14ac:dyDescent="0.25">
      <c r="A126" s="7" t="s">
        <v>1188</v>
      </c>
      <c r="B126" s="60">
        <v>521211</v>
      </c>
      <c r="C126" s="41" t="s">
        <v>7</v>
      </c>
      <c r="D126" s="60"/>
      <c r="E126" s="60"/>
      <c r="F126" s="42"/>
      <c r="G126" s="42">
        <f>SUM(G127:G128)</f>
        <v>14400000</v>
      </c>
      <c r="H126" s="210" t="b">
        <f t="shared" si="2"/>
        <v>1</v>
      </c>
    </row>
    <row r="127" spans="1:8" ht="13.8" x14ac:dyDescent="0.25">
      <c r="A127" s="7" t="s">
        <v>1189</v>
      </c>
      <c r="B127" s="152"/>
      <c r="C127" s="151" t="s">
        <v>3598</v>
      </c>
      <c r="D127" s="152">
        <v>6</v>
      </c>
      <c r="E127" s="152" t="s">
        <v>52</v>
      </c>
      <c r="F127" s="153">
        <v>1000000</v>
      </c>
      <c r="G127" s="153">
        <f>ROUNDDOWN(D127*F127,-3)</f>
        <v>6000000</v>
      </c>
      <c r="H127" s="210" t="b">
        <f t="shared" si="2"/>
        <v>1</v>
      </c>
    </row>
    <row r="128" spans="1:8" ht="13.8" x14ac:dyDescent="0.25">
      <c r="A128" s="7" t="s">
        <v>1190</v>
      </c>
      <c r="B128" s="152"/>
      <c r="C128" s="151" t="s">
        <v>3720</v>
      </c>
      <c r="D128" s="152">
        <v>120</v>
      </c>
      <c r="E128" s="152" t="s">
        <v>25</v>
      </c>
      <c r="F128" s="153">
        <v>70000</v>
      </c>
      <c r="G128" s="153">
        <f>ROUNDDOWN(D128*F128,-3)</f>
        <v>8400000</v>
      </c>
      <c r="H128" s="210" t="b">
        <f t="shared" si="2"/>
        <v>1</v>
      </c>
    </row>
    <row r="129" spans="1:8" ht="13.8" x14ac:dyDescent="0.25">
      <c r="A129" s="7" t="s">
        <v>1191</v>
      </c>
      <c r="B129" s="60">
        <v>521219</v>
      </c>
      <c r="C129" s="41" t="s">
        <v>53</v>
      </c>
      <c r="D129" s="60"/>
      <c r="E129" s="60"/>
      <c r="F129" s="42"/>
      <c r="G129" s="42">
        <f>G130</f>
        <v>8000000</v>
      </c>
      <c r="H129" s="210" t="b">
        <f t="shared" si="2"/>
        <v>1</v>
      </c>
    </row>
    <row r="130" spans="1:8" ht="13.8" x14ac:dyDescent="0.25">
      <c r="A130" s="7" t="s">
        <v>1192</v>
      </c>
      <c r="B130" s="152"/>
      <c r="C130" s="151" t="s">
        <v>3840</v>
      </c>
      <c r="D130" s="152">
        <v>1</v>
      </c>
      <c r="E130" s="152" t="s">
        <v>106</v>
      </c>
      <c r="F130" s="153">
        <v>8000000</v>
      </c>
      <c r="G130" s="153">
        <f>ROUNDDOWN(D130*F130,-3)</f>
        <v>8000000</v>
      </c>
      <c r="H130" s="210" t="b">
        <f t="shared" si="2"/>
        <v>1</v>
      </c>
    </row>
    <row r="131" spans="1:8" ht="13.8" x14ac:dyDescent="0.25">
      <c r="A131" s="7" t="s">
        <v>1194</v>
      </c>
      <c r="B131" s="60">
        <v>521811</v>
      </c>
      <c r="C131" s="41" t="s">
        <v>64</v>
      </c>
      <c r="D131" s="60"/>
      <c r="E131" s="60"/>
      <c r="F131" s="42"/>
      <c r="G131" s="42">
        <f>SUM(G132:G133)</f>
        <v>12000000</v>
      </c>
      <c r="H131" s="210" t="b">
        <f t="shared" si="2"/>
        <v>1</v>
      </c>
    </row>
    <row r="132" spans="1:8" ht="13.8" x14ac:dyDescent="0.25">
      <c r="A132" s="7" t="s">
        <v>1195</v>
      </c>
      <c r="B132" s="152"/>
      <c r="C132" s="151" t="s">
        <v>3625</v>
      </c>
      <c r="D132" s="152">
        <v>6</v>
      </c>
      <c r="E132" s="152" t="s">
        <v>52</v>
      </c>
      <c r="F132" s="153">
        <v>1000000</v>
      </c>
      <c r="G132" s="153">
        <f>ROUNDDOWN(D132*F132,-3)</f>
        <v>6000000</v>
      </c>
      <c r="H132" s="210" t="b">
        <f t="shared" si="2"/>
        <v>1</v>
      </c>
    </row>
    <row r="133" spans="1:8" ht="13.8" x14ac:dyDescent="0.25">
      <c r="A133" s="7" t="s">
        <v>1196</v>
      </c>
      <c r="B133" s="152"/>
      <c r="C133" s="151" t="s">
        <v>3841</v>
      </c>
      <c r="D133" s="152">
        <v>6</v>
      </c>
      <c r="E133" s="152" t="s">
        <v>52</v>
      </c>
      <c r="F133" s="153">
        <v>1000000</v>
      </c>
      <c r="G133" s="153">
        <f>ROUNDDOWN(D133*F133,-3)</f>
        <v>6000000</v>
      </c>
      <c r="H133" s="210" t="b">
        <f t="shared" si="2"/>
        <v>1</v>
      </c>
    </row>
    <row r="134" spans="1:8" ht="13.8" x14ac:dyDescent="0.25">
      <c r="A134" s="7" t="s">
        <v>1198</v>
      </c>
      <c r="B134" s="60">
        <v>522151</v>
      </c>
      <c r="C134" s="41" t="s">
        <v>11</v>
      </c>
      <c r="D134" s="60"/>
      <c r="E134" s="60"/>
      <c r="F134" s="42"/>
      <c r="G134" s="42">
        <f>G135</f>
        <v>4000000</v>
      </c>
      <c r="H134" s="210" t="b">
        <f t="shared" si="2"/>
        <v>1</v>
      </c>
    </row>
    <row r="135" spans="1:8" ht="13.8" x14ac:dyDescent="0.25">
      <c r="A135" s="7" t="s">
        <v>1199</v>
      </c>
      <c r="B135" s="152"/>
      <c r="C135" s="151" t="s">
        <v>3715</v>
      </c>
      <c r="D135" s="152">
        <v>4</v>
      </c>
      <c r="E135" s="152" t="s">
        <v>54</v>
      </c>
      <c r="F135" s="153">
        <v>1000000</v>
      </c>
      <c r="G135" s="153">
        <f>ROUNDDOWN(D135*F135,-3)</f>
        <v>4000000</v>
      </c>
      <c r="H135" s="210" t="b">
        <f t="shared" si="2"/>
        <v>1</v>
      </c>
    </row>
    <row r="136" spans="1:8" ht="13.8" x14ac:dyDescent="0.25">
      <c r="A136" s="7" t="s">
        <v>1200</v>
      </c>
      <c r="B136" s="60">
        <v>524111</v>
      </c>
      <c r="C136" s="41" t="s">
        <v>19</v>
      </c>
      <c r="D136" s="60"/>
      <c r="E136" s="60"/>
      <c r="F136" s="42"/>
      <c r="G136" s="42">
        <f>G137</f>
        <v>115380000</v>
      </c>
      <c r="H136" s="210" t="b">
        <f t="shared" si="2"/>
        <v>1</v>
      </c>
    </row>
    <row r="137" spans="1:8" ht="13.8" x14ac:dyDescent="0.25">
      <c r="A137" s="7" t="s">
        <v>1201</v>
      </c>
      <c r="B137" s="152"/>
      <c r="C137" s="151" t="s">
        <v>3842</v>
      </c>
      <c r="D137" s="152">
        <v>20</v>
      </c>
      <c r="E137" s="152" t="s">
        <v>25</v>
      </c>
      <c r="F137" s="153">
        <v>5769000</v>
      </c>
      <c r="G137" s="153">
        <f>ROUNDDOWN(D137*F137,-3)</f>
        <v>115380000</v>
      </c>
      <c r="H137" s="210" t="b">
        <f t="shared" si="2"/>
        <v>1</v>
      </c>
    </row>
    <row r="138" spans="1:8" ht="13.8" x14ac:dyDescent="0.25">
      <c r="A138" s="7" t="s">
        <v>1268</v>
      </c>
      <c r="B138" s="138" t="s">
        <v>3855</v>
      </c>
      <c r="C138" s="137" t="s">
        <v>1270</v>
      </c>
      <c r="D138" s="138">
        <v>1</v>
      </c>
      <c r="E138" s="138" t="s">
        <v>3740</v>
      </c>
      <c r="F138" s="139"/>
      <c r="G138" s="139">
        <f>G139</f>
        <v>2736502000</v>
      </c>
      <c r="H138" s="210" t="b">
        <f t="shared" si="2"/>
        <v>1</v>
      </c>
    </row>
    <row r="139" spans="1:8" ht="26.4" x14ac:dyDescent="0.25">
      <c r="A139" s="7" t="s">
        <v>1388</v>
      </c>
      <c r="B139" s="58">
        <v>301</v>
      </c>
      <c r="C139" s="35" t="s">
        <v>1389</v>
      </c>
      <c r="D139" s="58"/>
      <c r="E139" s="58"/>
      <c r="F139" s="36"/>
      <c r="G139" s="36">
        <f>SUM(G140,G150,G161,G174,G184,G200,G216,G228,G248)</f>
        <v>2736502000</v>
      </c>
      <c r="H139" s="210" t="b">
        <f t="shared" si="2"/>
        <v>1</v>
      </c>
    </row>
    <row r="140" spans="1:8" ht="13.8" x14ac:dyDescent="0.25">
      <c r="A140" s="7" t="s">
        <v>1390</v>
      </c>
      <c r="B140" s="59" t="s">
        <v>8</v>
      </c>
      <c r="C140" s="38" t="s">
        <v>148</v>
      </c>
      <c r="D140" s="59"/>
      <c r="E140" s="59"/>
      <c r="F140" s="39"/>
      <c r="G140" s="39">
        <f>SUM(G141,G146,G148)</f>
        <v>42100000</v>
      </c>
      <c r="H140" s="210" t="b">
        <f t="shared" si="2"/>
        <v>1</v>
      </c>
    </row>
    <row r="141" spans="1:8" ht="13.8" x14ac:dyDescent="0.25">
      <c r="A141" s="7" t="s">
        <v>1391</v>
      </c>
      <c r="B141" s="60">
        <v>521211</v>
      </c>
      <c r="C141" s="41" t="s">
        <v>7</v>
      </c>
      <c r="D141" s="60"/>
      <c r="E141" s="60"/>
      <c r="F141" s="42"/>
      <c r="G141" s="42">
        <f>SUM(G142:G145)</f>
        <v>22000000</v>
      </c>
      <c r="H141" s="210" t="b">
        <f t="shared" ref="H141:H204" si="3">_xlfn.ISFORMULA(G141)</f>
        <v>1</v>
      </c>
    </row>
    <row r="142" spans="1:8" ht="13.8" x14ac:dyDescent="0.25">
      <c r="A142" s="7" t="s">
        <v>1392</v>
      </c>
      <c r="B142" s="152"/>
      <c r="C142" s="151" t="s">
        <v>3625</v>
      </c>
      <c r="D142" s="152">
        <v>4</v>
      </c>
      <c r="E142" s="152" t="s">
        <v>9</v>
      </c>
      <c r="F142" s="153">
        <v>1500000</v>
      </c>
      <c r="G142" s="153">
        <f>ROUNDDOWN(D142*F142,-3)</f>
        <v>6000000</v>
      </c>
      <c r="H142" s="210" t="b">
        <f t="shared" si="3"/>
        <v>1</v>
      </c>
    </row>
    <row r="143" spans="1:8" ht="13.8" x14ac:dyDescent="0.25">
      <c r="A143" s="7" t="s">
        <v>1393</v>
      </c>
      <c r="B143" s="152"/>
      <c r="C143" s="151" t="s">
        <v>3626</v>
      </c>
      <c r="D143" s="152">
        <v>4</v>
      </c>
      <c r="E143" s="152" t="s">
        <v>9</v>
      </c>
      <c r="F143" s="153">
        <v>1000000</v>
      </c>
      <c r="G143" s="153">
        <f>ROUNDDOWN(D143*F143,-3)</f>
        <v>4000000</v>
      </c>
      <c r="H143" s="210" t="b">
        <f t="shared" si="3"/>
        <v>1</v>
      </c>
    </row>
    <row r="144" spans="1:8" ht="13.8" x14ac:dyDescent="0.25">
      <c r="A144" s="7" t="s">
        <v>1394</v>
      </c>
      <c r="B144" s="152"/>
      <c r="C144" s="151" t="s">
        <v>3627</v>
      </c>
      <c r="D144" s="152">
        <v>4</v>
      </c>
      <c r="E144" s="152" t="s">
        <v>9</v>
      </c>
      <c r="F144" s="153">
        <v>1500000</v>
      </c>
      <c r="G144" s="153">
        <f>ROUNDDOWN(D144*F144,-3)</f>
        <v>6000000</v>
      </c>
      <c r="H144" s="210" t="b">
        <f t="shared" si="3"/>
        <v>1</v>
      </c>
    </row>
    <row r="145" spans="1:8" ht="13.8" x14ac:dyDescent="0.25">
      <c r="A145" s="7" t="s">
        <v>1395</v>
      </c>
      <c r="B145" s="152"/>
      <c r="C145" s="151" t="s">
        <v>3887</v>
      </c>
      <c r="D145" s="152">
        <v>12</v>
      </c>
      <c r="E145" s="152" t="s">
        <v>176</v>
      </c>
      <c r="F145" s="153">
        <v>500000</v>
      </c>
      <c r="G145" s="153">
        <f>ROUNDDOWN(D145*F145,-3)</f>
        <v>6000000</v>
      </c>
      <c r="H145" s="210" t="b">
        <f t="shared" si="3"/>
        <v>1</v>
      </c>
    </row>
    <row r="146" spans="1:8" ht="13.8" x14ac:dyDescent="0.25">
      <c r="A146" s="7" t="s">
        <v>1397</v>
      </c>
      <c r="B146" s="60">
        <v>524111</v>
      </c>
      <c r="C146" s="41" t="s">
        <v>19</v>
      </c>
      <c r="D146" s="60"/>
      <c r="E146" s="60"/>
      <c r="F146" s="42"/>
      <c r="G146" s="42">
        <f>G147</f>
        <v>18000000</v>
      </c>
      <c r="H146" s="210" t="b">
        <f t="shared" si="3"/>
        <v>1</v>
      </c>
    </row>
    <row r="147" spans="1:8" ht="13.8" x14ac:dyDescent="0.25">
      <c r="A147" s="7" t="s">
        <v>1398</v>
      </c>
      <c r="B147" s="152"/>
      <c r="C147" s="151" t="s">
        <v>3888</v>
      </c>
      <c r="D147" s="152">
        <v>6</v>
      </c>
      <c r="E147" s="152" t="s">
        <v>10</v>
      </c>
      <c r="F147" s="153">
        <v>3000000</v>
      </c>
      <c r="G147" s="153">
        <f>ROUNDDOWN(D147*F147,-3)</f>
        <v>18000000</v>
      </c>
      <c r="H147" s="210" t="b">
        <f t="shared" si="3"/>
        <v>1</v>
      </c>
    </row>
    <row r="148" spans="1:8" ht="13.8" x14ac:dyDescent="0.25">
      <c r="A148" s="7" t="s">
        <v>1400</v>
      </c>
      <c r="B148" s="60">
        <v>524113</v>
      </c>
      <c r="C148" s="41" t="s">
        <v>13</v>
      </c>
      <c r="D148" s="60"/>
      <c r="E148" s="60"/>
      <c r="F148" s="42"/>
      <c r="G148" s="42">
        <f>G149</f>
        <v>2100000</v>
      </c>
      <c r="H148" s="210" t="b">
        <f t="shared" si="3"/>
        <v>1</v>
      </c>
    </row>
    <row r="149" spans="1:8" ht="13.8" x14ac:dyDescent="0.25">
      <c r="A149" s="7" t="s">
        <v>1401</v>
      </c>
      <c r="B149" s="152"/>
      <c r="C149" s="151" t="s">
        <v>3889</v>
      </c>
      <c r="D149" s="152">
        <v>14</v>
      </c>
      <c r="E149" s="152" t="s">
        <v>10</v>
      </c>
      <c r="F149" s="153">
        <v>150000</v>
      </c>
      <c r="G149" s="153">
        <f>ROUNDDOWN(D149*F149,-3)</f>
        <v>2100000</v>
      </c>
      <c r="H149" s="210" t="b">
        <f t="shared" si="3"/>
        <v>1</v>
      </c>
    </row>
    <row r="150" spans="1:8" ht="13.8" x14ac:dyDescent="0.25">
      <c r="A150" s="7" t="s">
        <v>1403</v>
      </c>
      <c r="B150" s="59" t="s">
        <v>511</v>
      </c>
      <c r="C150" s="38" t="s">
        <v>150</v>
      </c>
      <c r="D150" s="59"/>
      <c r="E150" s="59"/>
      <c r="F150" s="39"/>
      <c r="G150" s="39">
        <f>SUM(G151,G154,G156,G158)</f>
        <v>571380000</v>
      </c>
      <c r="H150" s="210" t="b">
        <f t="shared" si="3"/>
        <v>1</v>
      </c>
    </row>
    <row r="151" spans="1:8" ht="13.8" x14ac:dyDescent="0.25">
      <c r="A151" s="7" t="s">
        <v>1404</v>
      </c>
      <c r="B151" s="60">
        <v>521211</v>
      </c>
      <c r="C151" s="41" t="s">
        <v>7</v>
      </c>
      <c r="D151" s="60"/>
      <c r="E151" s="60"/>
      <c r="F151" s="42"/>
      <c r="G151" s="42">
        <f>SUM(G152:G153)</f>
        <v>10000000</v>
      </c>
      <c r="H151" s="210" t="b">
        <f t="shared" si="3"/>
        <v>1</v>
      </c>
    </row>
    <row r="152" spans="1:8" ht="13.8" x14ac:dyDescent="0.25">
      <c r="A152" s="7" t="s">
        <v>1405</v>
      </c>
      <c r="B152" s="152"/>
      <c r="C152" s="151" t="s">
        <v>3625</v>
      </c>
      <c r="D152" s="152">
        <v>4</v>
      </c>
      <c r="E152" s="152" t="s">
        <v>9</v>
      </c>
      <c r="F152" s="153">
        <v>1500000</v>
      </c>
      <c r="G152" s="153">
        <f>ROUNDDOWN(D152*F152,-3)</f>
        <v>6000000</v>
      </c>
      <c r="H152" s="210" t="b">
        <f t="shared" si="3"/>
        <v>1</v>
      </c>
    </row>
    <row r="153" spans="1:8" ht="13.8" x14ac:dyDescent="0.25">
      <c r="A153" s="7" t="s">
        <v>1406</v>
      </c>
      <c r="B153" s="152"/>
      <c r="C153" s="151" t="s">
        <v>3626</v>
      </c>
      <c r="D153" s="152">
        <v>4</v>
      </c>
      <c r="E153" s="152" t="s">
        <v>9</v>
      </c>
      <c r="F153" s="153">
        <v>1000000</v>
      </c>
      <c r="G153" s="153">
        <f>ROUNDDOWN(D153*F153,-3)</f>
        <v>4000000</v>
      </c>
      <c r="H153" s="210" t="b">
        <f t="shared" si="3"/>
        <v>1</v>
      </c>
    </row>
    <row r="154" spans="1:8" ht="13.8" x14ac:dyDescent="0.25">
      <c r="A154" s="7" t="s">
        <v>1407</v>
      </c>
      <c r="B154" s="60">
        <v>521219</v>
      </c>
      <c r="C154" s="41" t="s">
        <v>53</v>
      </c>
      <c r="D154" s="60"/>
      <c r="E154" s="60"/>
      <c r="F154" s="42"/>
      <c r="G154" s="42">
        <f>G155</f>
        <v>7800000</v>
      </c>
      <c r="H154" s="210" t="b">
        <f t="shared" si="3"/>
        <v>1</v>
      </c>
    </row>
    <row r="155" spans="1:8" ht="13.8" x14ac:dyDescent="0.25">
      <c r="A155" s="7" t="s">
        <v>1408</v>
      </c>
      <c r="B155" s="152"/>
      <c r="C155" s="151" t="s">
        <v>3722</v>
      </c>
      <c r="D155" s="152">
        <v>12</v>
      </c>
      <c r="E155" s="152" t="s">
        <v>66</v>
      </c>
      <c r="F155" s="153">
        <v>650000</v>
      </c>
      <c r="G155" s="153">
        <f>ROUNDDOWN(D155*F155,-3)</f>
        <v>7800000</v>
      </c>
      <c r="H155" s="210" t="b">
        <f t="shared" si="3"/>
        <v>1</v>
      </c>
    </row>
    <row r="156" spans="1:8" ht="13.8" x14ac:dyDescent="0.25">
      <c r="A156" s="7" t="s">
        <v>1409</v>
      </c>
      <c r="B156" s="60">
        <v>522192</v>
      </c>
      <c r="C156" s="41" t="s">
        <v>24</v>
      </c>
      <c r="D156" s="60"/>
      <c r="E156" s="60"/>
      <c r="F156" s="42"/>
      <c r="G156" s="42">
        <f>G157</f>
        <v>39080000</v>
      </c>
      <c r="H156" s="210" t="b">
        <f t="shared" si="3"/>
        <v>1</v>
      </c>
    </row>
    <row r="157" spans="1:8" ht="13.8" x14ac:dyDescent="0.25">
      <c r="A157" s="7" t="s">
        <v>1410</v>
      </c>
      <c r="B157" s="152"/>
      <c r="C157" s="151" t="s">
        <v>3890</v>
      </c>
      <c r="D157" s="152">
        <v>80</v>
      </c>
      <c r="E157" s="152" t="s">
        <v>25</v>
      </c>
      <c r="F157" s="153">
        <v>488500</v>
      </c>
      <c r="G157" s="153">
        <f>ROUNDDOWN(D157*F157,-3)</f>
        <v>39080000</v>
      </c>
      <c r="H157" s="210" t="b">
        <f t="shared" si="3"/>
        <v>1</v>
      </c>
    </row>
    <row r="158" spans="1:8" ht="13.8" x14ac:dyDescent="0.25">
      <c r="A158" s="7" t="s">
        <v>1412</v>
      </c>
      <c r="B158" s="60">
        <v>524111</v>
      </c>
      <c r="C158" s="41" t="s">
        <v>19</v>
      </c>
      <c r="D158" s="60"/>
      <c r="E158" s="60"/>
      <c r="F158" s="42"/>
      <c r="G158" s="42">
        <f>SUM(G159:G160)</f>
        <v>514500000</v>
      </c>
      <c r="H158" s="210" t="b">
        <f t="shared" si="3"/>
        <v>1</v>
      </c>
    </row>
    <row r="159" spans="1:8" ht="13.8" x14ac:dyDescent="0.25">
      <c r="A159" s="7" t="s">
        <v>1413</v>
      </c>
      <c r="B159" s="152"/>
      <c r="C159" s="151" t="s">
        <v>3891</v>
      </c>
      <c r="D159" s="152">
        <v>55</v>
      </c>
      <c r="E159" s="152" t="s">
        <v>10</v>
      </c>
      <c r="F159" s="153">
        <v>6075000</v>
      </c>
      <c r="G159" s="153">
        <f>ROUNDDOWN(D159*F159,-3)</f>
        <v>334125000</v>
      </c>
      <c r="H159" s="210" t="b">
        <f t="shared" si="3"/>
        <v>1</v>
      </c>
    </row>
    <row r="160" spans="1:8" ht="26.4" x14ac:dyDescent="0.25">
      <c r="A160" s="7" t="s">
        <v>1415</v>
      </c>
      <c r="B160" s="152"/>
      <c r="C160" s="151" t="s">
        <v>3892</v>
      </c>
      <c r="D160" s="152">
        <v>30</v>
      </c>
      <c r="E160" s="152" t="s">
        <v>776</v>
      </c>
      <c r="F160" s="153">
        <v>6012500</v>
      </c>
      <c r="G160" s="153">
        <f>ROUNDDOWN(D160*F160,-3)</f>
        <v>180375000</v>
      </c>
      <c r="H160" s="210" t="b">
        <f t="shared" si="3"/>
        <v>1</v>
      </c>
    </row>
    <row r="161" spans="1:8" ht="26.4" x14ac:dyDescent="0.25">
      <c r="A161" s="7" t="s">
        <v>1417</v>
      </c>
      <c r="B161" s="59" t="s">
        <v>512</v>
      </c>
      <c r="C161" s="38" t="s">
        <v>1418</v>
      </c>
      <c r="D161" s="59"/>
      <c r="E161" s="59"/>
      <c r="F161" s="39"/>
      <c r="G161" s="39">
        <f>SUM(G162,G168,G170,G172)</f>
        <v>83500000</v>
      </c>
      <c r="H161" s="210" t="b">
        <f t="shared" si="3"/>
        <v>1</v>
      </c>
    </row>
    <row r="162" spans="1:8" ht="13.8" x14ac:dyDescent="0.25">
      <c r="A162" s="7" t="s">
        <v>1419</v>
      </c>
      <c r="B162" s="60">
        <v>521211</v>
      </c>
      <c r="C162" s="41" t="s">
        <v>7</v>
      </c>
      <c r="D162" s="60"/>
      <c r="E162" s="60"/>
      <c r="F162" s="42"/>
      <c r="G162" s="42">
        <f>SUM(G163:G167)</f>
        <v>46000000</v>
      </c>
      <c r="H162" s="210" t="b">
        <f t="shared" si="3"/>
        <v>1</v>
      </c>
    </row>
    <row r="163" spans="1:8" ht="13.8" x14ac:dyDescent="0.25">
      <c r="A163" s="7" t="s">
        <v>1420</v>
      </c>
      <c r="B163" s="152"/>
      <c r="C163" s="151" t="s">
        <v>3893</v>
      </c>
      <c r="D163" s="152">
        <v>500</v>
      </c>
      <c r="E163" s="152" t="s">
        <v>1422</v>
      </c>
      <c r="F163" s="153">
        <v>36000</v>
      </c>
      <c r="G163" s="153">
        <f>ROUNDDOWN(D163*F163,-3)</f>
        <v>18000000</v>
      </c>
      <c r="H163" s="210" t="b">
        <f t="shared" si="3"/>
        <v>1</v>
      </c>
    </row>
    <row r="164" spans="1:8" ht="13.8" x14ac:dyDescent="0.25">
      <c r="A164" s="7" t="s">
        <v>1423</v>
      </c>
      <c r="B164" s="152"/>
      <c r="C164" s="151" t="s">
        <v>3714</v>
      </c>
      <c r="D164" s="152">
        <v>4</v>
      </c>
      <c r="E164" s="152" t="s">
        <v>9</v>
      </c>
      <c r="F164" s="153">
        <v>1500000</v>
      </c>
      <c r="G164" s="153">
        <f>ROUNDDOWN(D164*F164,-3)</f>
        <v>6000000</v>
      </c>
      <c r="H164" s="210" t="b">
        <f t="shared" si="3"/>
        <v>1</v>
      </c>
    </row>
    <row r="165" spans="1:8" ht="13.8" x14ac:dyDescent="0.25">
      <c r="A165" s="7" t="s">
        <v>1424</v>
      </c>
      <c r="B165" s="152"/>
      <c r="C165" s="151" t="s">
        <v>3600</v>
      </c>
      <c r="D165" s="152">
        <v>4</v>
      </c>
      <c r="E165" s="152" t="s">
        <v>9</v>
      </c>
      <c r="F165" s="153">
        <v>1000000</v>
      </c>
      <c r="G165" s="153">
        <f>ROUNDDOWN(D165*F165,-3)</f>
        <v>4000000</v>
      </c>
      <c r="H165" s="210" t="b">
        <f t="shared" si="3"/>
        <v>1</v>
      </c>
    </row>
    <row r="166" spans="1:8" ht="13.8" x14ac:dyDescent="0.25">
      <c r="A166" s="7" t="s">
        <v>1425</v>
      </c>
      <c r="B166" s="152"/>
      <c r="C166" s="151" t="s">
        <v>3601</v>
      </c>
      <c r="D166" s="152">
        <v>4</v>
      </c>
      <c r="E166" s="152" t="s">
        <v>9</v>
      </c>
      <c r="F166" s="153">
        <v>1500000</v>
      </c>
      <c r="G166" s="153">
        <f>ROUNDDOWN(D166*F166,-3)</f>
        <v>6000000</v>
      </c>
      <c r="H166" s="210" t="b">
        <f t="shared" si="3"/>
        <v>1</v>
      </c>
    </row>
    <row r="167" spans="1:8" ht="13.8" x14ac:dyDescent="0.25">
      <c r="A167" s="7" t="s">
        <v>1426</v>
      </c>
      <c r="B167" s="152"/>
      <c r="C167" s="151" t="s">
        <v>3894</v>
      </c>
      <c r="D167" s="152">
        <v>24</v>
      </c>
      <c r="E167" s="152" t="s">
        <v>176</v>
      </c>
      <c r="F167" s="153">
        <v>500000</v>
      </c>
      <c r="G167" s="153">
        <f>ROUNDDOWN(D167*F167,-3)</f>
        <v>12000000</v>
      </c>
      <c r="H167" s="210" t="b">
        <f t="shared" si="3"/>
        <v>1</v>
      </c>
    </row>
    <row r="168" spans="1:8" ht="13.8" x14ac:dyDescent="0.25">
      <c r="A168" s="7" t="s">
        <v>1428</v>
      </c>
      <c r="B168" s="60">
        <v>522141</v>
      </c>
      <c r="C168" s="41" t="s">
        <v>95</v>
      </c>
      <c r="D168" s="60"/>
      <c r="E168" s="60"/>
      <c r="F168" s="42"/>
      <c r="G168" s="42">
        <f>G169</f>
        <v>6000000</v>
      </c>
      <c r="H168" s="210" t="b">
        <f t="shared" si="3"/>
        <v>1</v>
      </c>
    </row>
    <row r="169" spans="1:8" ht="13.8" x14ac:dyDescent="0.25">
      <c r="A169" s="7" t="s">
        <v>1429</v>
      </c>
      <c r="B169" s="152"/>
      <c r="C169" s="151" t="s">
        <v>3895</v>
      </c>
      <c r="D169" s="152">
        <v>4</v>
      </c>
      <c r="E169" s="152" t="s">
        <v>149</v>
      </c>
      <c r="F169" s="153">
        <v>1500000</v>
      </c>
      <c r="G169" s="153">
        <f>ROUNDDOWN(D169*F169,-3)</f>
        <v>6000000</v>
      </c>
      <c r="H169" s="210" t="b">
        <f t="shared" si="3"/>
        <v>1</v>
      </c>
    </row>
    <row r="170" spans="1:8" ht="13.8" x14ac:dyDescent="0.25">
      <c r="A170" s="7" t="s">
        <v>1431</v>
      </c>
      <c r="B170" s="60">
        <v>524111</v>
      </c>
      <c r="C170" s="41" t="s">
        <v>19</v>
      </c>
      <c r="D170" s="60"/>
      <c r="E170" s="60"/>
      <c r="F170" s="42"/>
      <c r="G170" s="42">
        <f>G171</f>
        <v>27000000</v>
      </c>
      <c r="H170" s="210" t="b">
        <f t="shared" si="3"/>
        <v>1</v>
      </c>
    </row>
    <row r="171" spans="1:8" ht="26.4" x14ac:dyDescent="0.25">
      <c r="A171" s="7" t="s">
        <v>1432</v>
      </c>
      <c r="B171" s="152"/>
      <c r="C171" s="151" t="s">
        <v>3896</v>
      </c>
      <c r="D171" s="152">
        <v>9</v>
      </c>
      <c r="E171" s="152" t="s">
        <v>10</v>
      </c>
      <c r="F171" s="153">
        <v>3000000</v>
      </c>
      <c r="G171" s="153">
        <f>ROUNDDOWN(D171*F171,-3)</f>
        <v>27000000</v>
      </c>
      <c r="H171" s="210" t="b">
        <f t="shared" si="3"/>
        <v>1</v>
      </c>
    </row>
    <row r="172" spans="1:8" ht="13.8" x14ac:dyDescent="0.25">
      <c r="A172" s="7" t="s">
        <v>1434</v>
      </c>
      <c r="B172" s="60">
        <v>524113</v>
      </c>
      <c r="C172" s="41" t="s">
        <v>13</v>
      </c>
      <c r="D172" s="60"/>
      <c r="E172" s="60"/>
      <c r="F172" s="42"/>
      <c r="G172" s="42">
        <f>G173</f>
        <v>4500000</v>
      </c>
      <c r="H172" s="210" t="b">
        <f t="shared" si="3"/>
        <v>1</v>
      </c>
    </row>
    <row r="173" spans="1:8" ht="13.8" x14ac:dyDescent="0.25">
      <c r="A173" s="7" t="s">
        <v>1435</v>
      </c>
      <c r="B173" s="152"/>
      <c r="C173" s="151" t="s">
        <v>3897</v>
      </c>
      <c r="D173" s="152">
        <v>30</v>
      </c>
      <c r="E173" s="152" t="s">
        <v>10</v>
      </c>
      <c r="F173" s="153">
        <v>150000</v>
      </c>
      <c r="G173" s="153">
        <f>ROUNDDOWN(D173*F173,-3)</f>
        <v>4500000</v>
      </c>
      <c r="H173" s="210" t="b">
        <f t="shared" si="3"/>
        <v>1</v>
      </c>
    </row>
    <row r="174" spans="1:8" ht="13.8" x14ac:dyDescent="0.25">
      <c r="A174" s="7" t="s">
        <v>1437</v>
      </c>
      <c r="B174" s="59" t="s">
        <v>514</v>
      </c>
      <c r="C174" s="38" t="s">
        <v>151</v>
      </c>
      <c r="D174" s="59"/>
      <c r="E174" s="59"/>
      <c r="F174" s="39"/>
      <c r="G174" s="39">
        <f>SUM(G175,G180,G182)</f>
        <v>101050000</v>
      </c>
      <c r="H174" s="210" t="b">
        <f t="shared" si="3"/>
        <v>1</v>
      </c>
    </row>
    <row r="175" spans="1:8" ht="13.8" x14ac:dyDescent="0.25">
      <c r="A175" s="7" t="s">
        <v>1438</v>
      </c>
      <c r="B175" s="60">
        <v>521211</v>
      </c>
      <c r="C175" s="41" t="s">
        <v>7</v>
      </c>
      <c r="D175" s="60"/>
      <c r="E175" s="60"/>
      <c r="F175" s="42"/>
      <c r="G175" s="42">
        <f>SUM(G176:G179)</f>
        <v>28000000</v>
      </c>
      <c r="H175" s="210" t="b">
        <f t="shared" si="3"/>
        <v>1</v>
      </c>
    </row>
    <row r="176" spans="1:8" ht="13.8" x14ac:dyDescent="0.25">
      <c r="A176" s="7" t="s">
        <v>1439</v>
      </c>
      <c r="B176" s="152"/>
      <c r="C176" s="151" t="s">
        <v>3625</v>
      </c>
      <c r="D176" s="152">
        <v>4</v>
      </c>
      <c r="E176" s="152" t="s">
        <v>9</v>
      </c>
      <c r="F176" s="153">
        <v>1000000</v>
      </c>
      <c r="G176" s="153">
        <f>ROUNDDOWN(D176*F176,-3)</f>
        <v>4000000</v>
      </c>
      <c r="H176" s="210" t="b">
        <f t="shared" si="3"/>
        <v>1</v>
      </c>
    </row>
    <row r="177" spans="1:8" ht="13.8" x14ac:dyDescent="0.25">
      <c r="A177" s="7" t="s">
        <v>1440</v>
      </c>
      <c r="B177" s="152"/>
      <c r="C177" s="151" t="s">
        <v>3626</v>
      </c>
      <c r="D177" s="152">
        <v>4</v>
      </c>
      <c r="E177" s="152" t="s">
        <v>9</v>
      </c>
      <c r="F177" s="153">
        <v>1500000</v>
      </c>
      <c r="G177" s="153">
        <f>ROUNDDOWN(D177*F177,-3)</f>
        <v>6000000</v>
      </c>
      <c r="H177" s="210" t="b">
        <f t="shared" si="3"/>
        <v>1</v>
      </c>
    </row>
    <row r="178" spans="1:8" ht="13.8" x14ac:dyDescent="0.25">
      <c r="A178" s="7" t="s">
        <v>1441</v>
      </c>
      <c r="B178" s="152"/>
      <c r="C178" s="151" t="s">
        <v>3627</v>
      </c>
      <c r="D178" s="152">
        <v>4</v>
      </c>
      <c r="E178" s="152" t="s">
        <v>9</v>
      </c>
      <c r="F178" s="153">
        <v>1500000</v>
      </c>
      <c r="G178" s="153">
        <f>ROUNDDOWN(D178*F178,-3)</f>
        <v>6000000</v>
      </c>
      <c r="H178" s="210" t="b">
        <f t="shared" si="3"/>
        <v>1</v>
      </c>
    </row>
    <row r="179" spans="1:8" ht="13.8" x14ac:dyDescent="0.25">
      <c r="A179" s="7" t="s">
        <v>1442</v>
      </c>
      <c r="B179" s="152"/>
      <c r="C179" s="151" t="s">
        <v>3898</v>
      </c>
      <c r="D179" s="152">
        <v>24</v>
      </c>
      <c r="E179" s="152" t="s">
        <v>176</v>
      </c>
      <c r="F179" s="153">
        <v>500000</v>
      </c>
      <c r="G179" s="153">
        <f>ROUNDDOWN(D179*F179,-3)</f>
        <v>12000000</v>
      </c>
      <c r="H179" s="210" t="b">
        <f t="shared" si="3"/>
        <v>1</v>
      </c>
    </row>
    <row r="180" spans="1:8" ht="13.8" x14ac:dyDescent="0.25">
      <c r="A180" s="7" t="s">
        <v>1443</v>
      </c>
      <c r="B180" s="60">
        <v>524111</v>
      </c>
      <c r="C180" s="41" t="s">
        <v>19</v>
      </c>
      <c r="D180" s="60"/>
      <c r="E180" s="60"/>
      <c r="F180" s="42"/>
      <c r="G180" s="42">
        <f>G181</f>
        <v>71250000</v>
      </c>
      <c r="H180" s="210" t="b">
        <f t="shared" si="3"/>
        <v>1</v>
      </c>
    </row>
    <row r="181" spans="1:8" ht="26.4" x14ac:dyDescent="0.25">
      <c r="A181" s="7" t="s">
        <v>1444</v>
      </c>
      <c r="B181" s="152"/>
      <c r="C181" s="151" t="s">
        <v>3899</v>
      </c>
      <c r="D181" s="152">
        <v>15</v>
      </c>
      <c r="E181" s="152" t="s">
        <v>10</v>
      </c>
      <c r="F181" s="153">
        <v>4750000</v>
      </c>
      <c r="G181" s="153">
        <f>ROUNDDOWN(D181*F181,-3)</f>
        <v>71250000</v>
      </c>
      <c r="H181" s="210" t="b">
        <f t="shared" si="3"/>
        <v>1</v>
      </c>
    </row>
    <row r="182" spans="1:8" ht="13.8" x14ac:dyDescent="0.25">
      <c r="A182" s="7" t="s">
        <v>1446</v>
      </c>
      <c r="B182" s="60">
        <v>524113</v>
      </c>
      <c r="C182" s="41" t="s">
        <v>13</v>
      </c>
      <c r="D182" s="60"/>
      <c r="E182" s="60"/>
      <c r="F182" s="42"/>
      <c r="G182" s="42">
        <f>G183</f>
        <v>1800000</v>
      </c>
      <c r="H182" s="210" t="b">
        <f t="shared" si="3"/>
        <v>1</v>
      </c>
    </row>
    <row r="183" spans="1:8" ht="13.8" x14ac:dyDescent="0.25">
      <c r="A183" s="7" t="s">
        <v>1447</v>
      </c>
      <c r="B183" s="152"/>
      <c r="C183" s="151" t="s">
        <v>3897</v>
      </c>
      <c r="D183" s="152">
        <v>12</v>
      </c>
      <c r="E183" s="152" t="s">
        <v>10</v>
      </c>
      <c r="F183" s="153">
        <v>150000</v>
      </c>
      <c r="G183" s="153">
        <f>ROUNDDOWN(D183*F183,-3)</f>
        <v>1800000</v>
      </c>
      <c r="H183" s="210" t="b">
        <f t="shared" si="3"/>
        <v>1</v>
      </c>
    </row>
    <row r="184" spans="1:8" ht="13.8" x14ac:dyDescent="0.25">
      <c r="A184" s="7" t="s">
        <v>1448</v>
      </c>
      <c r="B184" s="59" t="s">
        <v>519</v>
      </c>
      <c r="C184" s="38" t="s">
        <v>152</v>
      </c>
      <c r="D184" s="59"/>
      <c r="E184" s="59"/>
      <c r="F184" s="39"/>
      <c r="G184" s="39">
        <f>SUM(G185,G190,G194,G196,G198)</f>
        <v>388472000</v>
      </c>
      <c r="H184" s="210" t="b">
        <f t="shared" si="3"/>
        <v>1</v>
      </c>
    </row>
    <row r="185" spans="1:8" ht="13.8" x14ac:dyDescent="0.25">
      <c r="A185" s="7" t="s">
        <v>1449</v>
      </c>
      <c r="B185" s="60">
        <v>521211</v>
      </c>
      <c r="C185" s="41" t="s">
        <v>7</v>
      </c>
      <c r="D185" s="60"/>
      <c r="E185" s="60"/>
      <c r="F185" s="42"/>
      <c r="G185" s="42">
        <f>SUM(G186:G189)</f>
        <v>46000000</v>
      </c>
      <c r="H185" s="210" t="b">
        <f t="shared" si="3"/>
        <v>1</v>
      </c>
    </row>
    <row r="186" spans="1:8" ht="13.8" x14ac:dyDescent="0.25">
      <c r="A186" s="7" t="s">
        <v>1450</v>
      </c>
      <c r="B186" s="152"/>
      <c r="C186" s="151" t="s">
        <v>3598</v>
      </c>
      <c r="D186" s="152">
        <v>4</v>
      </c>
      <c r="E186" s="152" t="s">
        <v>9</v>
      </c>
      <c r="F186" s="153">
        <v>1500000</v>
      </c>
      <c r="G186" s="153">
        <f>ROUNDDOWN(D186*F186,-3)</f>
        <v>6000000</v>
      </c>
      <c r="H186" s="210" t="b">
        <f t="shared" si="3"/>
        <v>1</v>
      </c>
    </row>
    <row r="187" spans="1:8" ht="13.8" x14ac:dyDescent="0.25">
      <c r="A187" s="7" t="s">
        <v>1451</v>
      </c>
      <c r="B187" s="152"/>
      <c r="C187" s="151" t="s">
        <v>3632</v>
      </c>
      <c r="D187" s="152">
        <v>4</v>
      </c>
      <c r="E187" s="152" t="s">
        <v>9</v>
      </c>
      <c r="F187" s="153">
        <v>1000000</v>
      </c>
      <c r="G187" s="153">
        <f>ROUNDDOWN(D187*F187,-3)</f>
        <v>4000000</v>
      </c>
      <c r="H187" s="210" t="b">
        <f t="shared" si="3"/>
        <v>1</v>
      </c>
    </row>
    <row r="188" spans="1:8" ht="13.8" x14ac:dyDescent="0.25">
      <c r="A188" s="7" t="s">
        <v>1452</v>
      </c>
      <c r="B188" s="152"/>
      <c r="C188" s="151" t="s">
        <v>3633</v>
      </c>
      <c r="D188" s="152">
        <v>4</v>
      </c>
      <c r="E188" s="152" t="s">
        <v>9</v>
      </c>
      <c r="F188" s="153">
        <v>1500000</v>
      </c>
      <c r="G188" s="153">
        <f>ROUNDDOWN(D188*F188,-3)</f>
        <v>6000000</v>
      </c>
      <c r="H188" s="210" t="b">
        <f t="shared" si="3"/>
        <v>1</v>
      </c>
    </row>
    <row r="189" spans="1:8" ht="26.4" x14ac:dyDescent="0.25">
      <c r="A189" s="7" t="s">
        <v>1453</v>
      </c>
      <c r="B189" s="152"/>
      <c r="C189" s="151" t="s">
        <v>3900</v>
      </c>
      <c r="D189" s="152">
        <v>60</v>
      </c>
      <c r="E189" s="152" t="s">
        <v>176</v>
      </c>
      <c r="F189" s="153">
        <v>500000</v>
      </c>
      <c r="G189" s="153">
        <f>ROUNDDOWN(D189*F189,-3)</f>
        <v>30000000</v>
      </c>
      <c r="H189" s="210" t="b">
        <f t="shared" si="3"/>
        <v>1</v>
      </c>
    </row>
    <row r="190" spans="1:8" ht="26.4" x14ac:dyDescent="0.25">
      <c r="A190" s="7" t="s">
        <v>1455</v>
      </c>
      <c r="B190" s="60">
        <v>521241</v>
      </c>
      <c r="C190" s="41" t="s">
        <v>642</v>
      </c>
      <c r="D190" s="60"/>
      <c r="E190" s="60"/>
      <c r="F190" s="42"/>
      <c r="G190" s="42">
        <f>SUM(G191:G193)</f>
        <v>249600000</v>
      </c>
      <c r="H190" s="210" t="b">
        <f t="shared" si="3"/>
        <v>1</v>
      </c>
    </row>
    <row r="191" spans="1:8" ht="13.8" x14ac:dyDescent="0.25">
      <c r="A191" s="7" t="s">
        <v>1456</v>
      </c>
      <c r="B191" s="152"/>
      <c r="C191" s="151" t="s">
        <v>3901</v>
      </c>
      <c r="D191" s="152">
        <v>720</v>
      </c>
      <c r="E191" s="152" t="s">
        <v>32</v>
      </c>
      <c r="F191" s="153">
        <v>200000</v>
      </c>
      <c r="G191" s="153">
        <f>ROUNDDOWN(D191*F191,-3)</f>
        <v>144000000</v>
      </c>
      <c r="H191" s="210" t="b">
        <f t="shared" si="3"/>
        <v>1</v>
      </c>
    </row>
    <row r="192" spans="1:8" ht="26.4" x14ac:dyDescent="0.25">
      <c r="A192" s="7" t="s">
        <v>1458</v>
      </c>
      <c r="B192" s="152"/>
      <c r="C192" s="151" t="s">
        <v>3902</v>
      </c>
      <c r="D192" s="152">
        <v>360</v>
      </c>
      <c r="E192" s="152" t="s">
        <v>776</v>
      </c>
      <c r="F192" s="153">
        <v>280000</v>
      </c>
      <c r="G192" s="153">
        <f>ROUNDDOWN(D192*F192,-3)</f>
        <v>100800000</v>
      </c>
      <c r="H192" s="210" t="b">
        <f t="shared" si="3"/>
        <v>1</v>
      </c>
    </row>
    <row r="193" spans="1:8" ht="13.8" x14ac:dyDescent="0.25">
      <c r="A193" s="7" t="s">
        <v>1460</v>
      </c>
      <c r="B193" s="152"/>
      <c r="C193" s="151" t="s">
        <v>3903</v>
      </c>
      <c r="D193" s="152">
        <v>12</v>
      </c>
      <c r="E193" s="152" t="s">
        <v>32</v>
      </c>
      <c r="F193" s="153">
        <v>400000</v>
      </c>
      <c r="G193" s="153">
        <f>ROUNDDOWN(D193*F193,-3)</f>
        <v>4800000</v>
      </c>
      <c r="H193" s="210" t="b">
        <f t="shared" si="3"/>
        <v>1</v>
      </c>
    </row>
    <row r="194" spans="1:8" ht="13.8" x14ac:dyDescent="0.25">
      <c r="A194" s="7" t="s">
        <v>1462</v>
      </c>
      <c r="B194" s="60">
        <v>522192</v>
      </c>
      <c r="C194" s="41" t="s">
        <v>24</v>
      </c>
      <c r="D194" s="60"/>
      <c r="E194" s="60"/>
      <c r="F194" s="42"/>
      <c r="G194" s="42">
        <f>G195</f>
        <v>48000000</v>
      </c>
      <c r="H194" s="210" t="b">
        <f t="shared" si="3"/>
        <v>1</v>
      </c>
    </row>
    <row r="195" spans="1:8" ht="13.8" x14ac:dyDescent="0.25">
      <c r="A195" s="7" t="s">
        <v>1463</v>
      </c>
      <c r="B195" s="152"/>
      <c r="C195" s="151" t="s">
        <v>3890</v>
      </c>
      <c r="D195" s="152">
        <v>480</v>
      </c>
      <c r="E195" s="152" t="s">
        <v>25</v>
      </c>
      <c r="F195" s="153">
        <v>100000</v>
      </c>
      <c r="G195" s="153">
        <f>ROUNDDOWN(D195*F195,-3)</f>
        <v>48000000</v>
      </c>
      <c r="H195" s="210" t="b">
        <f t="shared" si="3"/>
        <v>1</v>
      </c>
    </row>
    <row r="196" spans="1:8" ht="13.8" x14ac:dyDescent="0.25">
      <c r="A196" s="7" t="s">
        <v>1464</v>
      </c>
      <c r="B196" s="60">
        <v>524111</v>
      </c>
      <c r="C196" s="41" t="s">
        <v>19</v>
      </c>
      <c r="D196" s="60"/>
      <c r="E196" s="60"/>
      <c r="F196" s="42"/>
      <c r="G196" s="42">
        <f>G197</f>
        <v>42772000</v>
      </c>
      <c r="H196" s="210" t="b">
        <f t="shared" si="3"/>
        <v>1</v>
      </c>
    </row>
    <row r="197" spans="1:8" ht="13.8" x14ac:dyDescent="0.25">
      <c r="A197" s="7" t="s">
        <v>1465</v>
      </c>
      <c r="B197" s="152"/>
      <c r="C197" s="151" t="s">
        <v>3904</v>
      </c>
      <c r="D197" s="152">
        <v>10</v>
      </c>
      <c r="E197" s="152" t="s">
        <v>10</v>
      </c>
      <c r="F197" s="153">
        <v>4277200</v>
      </c>
      <c r="G197" s="153">
        <f>ROUNDDOWN(D197*F197,-3)</f>
        <v>42772000</v>
      </c>
      <c r="H197" s="210" t="b">
        <f t="shared" si="3"/>
        <v>1</v>
      </c>
    </row>
    <row r="198" spans="1:8" ht="13.8" x14ac:dyDescent="0.25">
      <c r="A198" s="7" t="s">
        <v>1467</v>
      </c>
      <c r="B198" s="60">
        <v>524113</v>
      </c>
      <c r="C198" s="41" t="s">
        <v>13</v>
      </c>
      <c r="D198" s="60"/>
      <c r="E198" s="60"/>
      <c r="F198" s="42"/>
      <c r="G198" s="42">
        <f>G199</f>
        <v>2100000</v>
      </c>
      <c r="H198" s="210" t="b">
        <f t="shared" si="3"/>
        <v>1</v>
      </c>
    </row>
    <row r="199" spans="1:8" ht="13.8" x14ac:dyDescent="0.25">
      <c r="A199" s="7" t="s">
        <v>1468</v>
      </c>
      <c r="B199" s="152"/>
      <c r="C199" s="151" t="s">
        <v>3897</v>
      </c>
      <c r="D199" s="152">
        <v>14</v>
      </c>
      <c r="E199" s="152" t="s">
        <v>10</v>
      </c>
      <c r="F199" s="153">
        <v>150000</v>
      </c>
      <c r="G199" s="153">
        <f>ROUNDDOWN(D199*F199,-3)</f>
        <v>2100000</v>
      </c>
      <c r="H199" s="210" t="b">
        <f t="shared" si="3"/>
        <v>1</v>
      </c>
    </row>
    <row r="200" spans="1:8" ht="26.4" x14ac:dyDescent="0.25">
      <c r="A200" s="7" t="s">
        <v>1469</v>
      </c>
      <c r="B200" s="59" t="s">
        <v>578</v>
      </c>
      <c r="C200" s="38" t="s">
        <v>154</v>
      </c>
      <c r="D200" s="59"/>
      <c r="E200" s="59"/>
      <c r="F200" s="39"/>
      <c r="G200" s="39">
        <f>SUM(G201,G205,G210,G212,G214)</f>
        <v>450000000</v>
      </c>
      <c r="H200" s="210" t="b">
        <f t="shared" si="3"/>
        <v>1</v>
      </c>
    </row>
    <row r="201" spans="1:8" ht="13.8" x14ac:dyDescent="0.25">
      <c r="A201" s="7" t="s">
        <v>1470</v>
      </c>
      <c r="B201" s="60">
        <v>521211</v>
      </c>
      <c r="C201" s="41" t="s">
        <v>7</v>
      </c>
      <c r="D201" s="60"/>
      <c r="E201" s="60"/>
      <c r="F201" s="42"/>
      <c r="G201" s="42">
        <f>SUM(G202:G204)</f>
        <v>32000000</v>
      </c>
      <c r="H201" s="210" t="b">
        <f t="shared" si="3"/>
        <v>1</v>
      </c>
    </row>
    <row r="202" spans="1:8" ht="13.8" x14ac:dyDescent="0.25">
      <c r="A202" s="7" t="s">
        <v>1471</v>
      </c>
      <c r="B202" s="152"/>
      <c r="C202" s="151" t="s">
        <v>3598</v>
      </c>
      <c r="D202" s="152">
        <v>8</v>
      </c>
      <c r="E202" s="152" t="s">
        <v>9</v>
      </c>
      <c r="F202" s="153">
        <v>1500000</v>
      </c>
      <c r="G202" s="153">
        <f>ROUNDDOWN(D202*F202,-3)</f>
        <v>12000000</v>
      </c>
      <c r="H202" s="210" t="b">
        <f t="shared" si="3"/>
        <v>1</v>
      </c>
    </row>
    <row r="203" spans="1:8" ht="13.8" x14ac:dyDescent="0.25">
      <c r="A203" s="7" t="s">
        <v>1472</v>
      </c>
      <c r="B203" s="152"/>
      <c r="C203" s="151" t="s">
        <v>3632</v>
      </c>
      <c r="D203" s="152">
        <v>8</v>
      </c>
      <c r="E203" s="152" t="s">
        <v>9</v>
      </c>
      <c r="F203" s="153">
        <v>1000000</v>
      </c>
      <c r="G203" s="153">
        <f>ROUNDDOWN(D203*F203,-3)</f>
        <v>8000000</v>
      </c>
      <c r="H203" s="210" t="b">
        <f t="shared" si="3"/>
        <v>1</v>
      </c>
    </row>
    <row r="204" spans="1:8" ht="13.8" x14ac:dyDescent="0.25">
      <c r="A204" s="7" t="s">
        <v>1473</v>
      </c>
      <c r="B204" s="152"/>
      <c r="C204" s="151" t="s">
        <v>3633</v>
      </c>
      <c r="D204" s="152">
        <v>8</v>
      </c>
      <c r="E204" s="152" t="s">
        <v>9</v>
      </c>
      <c r="F204" s="153">
        <v>1500000</v>
      </c>
      <c r="G204" s="153">
        <f>ROUNDDOWN(D204*F204,-3)</f>
        <v>12000000</v>
      </c>
      <c r="H204" s="210" t="b">
        <f t="shared" si="3"/>
        <v>1</v>
      </c>
    </row>
    <row r="205" spans="1:8" ht="13.8" x14ac:dyDescent="0.25">
      <c r="A205" s="7" t="s">
        <v>1474</v>
      </c>
      <c r="B205" s="60">
        <v>521219</v>
      </c>
      <c r="C205" s="41" t="s">
        <v>53</v>
      </c>
      <c r="D205" s="60"/>
      <c r="E205" s="60"/>
      <c r="F205" s="42"/>
      <c r="G205" s="42">
        <f>SUM(G206:G209)</f>
        <v>298141000</v>
      </c>
      <c r="H205" s="210" t="b">
        <f t="shared" ref="H205:H268" si="4">_xlfn.ISFORMULA(G205)</f>
        <v>1</v>
      </c>
    </row>
    <row r="206" spans="1:8" ht="13.8" x14ac:dyDescent="0.25">
      <c r="A206" s="7" t="s">
        <v>1475</v>
      </c>
      <c r="B206" s="152"/>
      <c r="C206" s="151" t="s">
        <v>3905</v>
      </c>
      <c r="D206" s="152">
        <v>40</v>
      </c>
      <c r="E206" s="152" t="s">
        <v>10</v>
      </c>
      <c r="F206" s="153">
        <v>1000000</v>
      </c>
      <c r="G206" s="153">
        <f>ROUNDDOWN(D206*F206,-3)</f>
        <v>40000000</v>
      </c>
      <c r="H206" s="210" t="b">
        <f t="shared" si="4"/>
        <v>1</v>
      </c>
    </row>
    <row r="207" spans="1:8" ht="13.8" x14ac:dyDescent="0.25">
      <c r="A207" s="7" t="s">
        <v>1477</v>
      </c>
      <c r="B207" s="152"/>
      <c r="C207" s="151" t="s">
        <v>3906</v>
      </c>
      <c r="D207" s="152">
        <v>30</v>
      </c>
      <c r="E207" s="152" t="s">
        <v>776</v>
      </c>
      <c r="F207" s="153">
        <v>8000000</v>
      </c>
      <c r="G207" s="153">
        <f>ROUNDDOWN(D207*F207,-3)</f>
        <v>240000000</v>
      </c>
      <c r="H207" s="210" t="b">
        <f t="shared" si="4"/>
        <v>1</v>
      </c>
    </row>
    <row r="208" spans="1:8" ht="26.4" x14ac:dyDescent="0.25">
      <c r="A208" s="7" t="s">
        <v>1479</v>
      </c>
      <c r="B208" s="152"/>
      <c r="C208" s="151" t="s">
        <v>3907</v>
      </c>
      <c r="D208" s="152">
        <v>400</v>
      </c>
      <c r="E208" s="152" t="s">
        <v>10</v>
      </c>
      <c r="F208" s="153">
        <v>15000</v>
      </c>
      <c r="G208" s="153">
        <f>ROUNDDOWN(D208*F208,-3)</f>
        <v>6000000</v>
      </c>
      <c r="H208" s="210" t="b">
        <f t="shared" si="4"/>
        <v>1</v>
      </c>
    </row>
    <row r="209" spans="1:8" ht="13.8" x14ac:dyDescent="0.25">
      <c r="A209" s="7" t="s">
        <v>1481</v>
      </c>
      <c r="B209" s="152"/>
      <c r="C209" s="151" t="s">
        <v>3908</v>
      </c>
      <c r="D209" s="152">
        <v>1</v>
      </c>
      <c r="E209" s="152" t="s">
        <v>60</v>
      </c>
      <c r="F209" s="153">
        <v>12141000</v>
      </c>
      <c r="G209" s="153">
        <f>ROUNDDOWN(D209*F209,-3)</f>
        <v>12141000</v>
      </c>
      <c r="H209" s="210" t="b">
        <f t="shared" si="4"/>
        <v>1</v>
      </c>
    </row>
    <row r="210" spans="1:8" ht="13.8" x14ac:dyDescent="0.25">
      <c r="A210" s="7" t="s">
        <v>1483</v>
      </c>
      <c r="B210" s="60">
        <v>522151</v>
      </c>
      <c r="C210" s="41" t="s">
        <v>11</v>
      </c>
      <c r="D210" s="60"/>
      <c r="E210" s="60"/>
      <c r="F210" s="42"/>
      <c r="G210" s="42">
        <f>G211</f>
        <v>30000000</v>
      </c>
      <c r="H210" s="210" t="b">
        <f t="shared" si="4"/>
        <v>1</v>
      </c>
    </row>
    <row r="211" spans="1:8" ht="13.8" x14ac:dyDescent="0.25">
      <c r="A211" s="7" t="s">
        <v>1484</v>
      </c>
      <c r="B211" s="152"/>
      <c r="C211" s="151" t="s">
        <v>3715</v>
      </c>
      <c r="D211" s="152">
        <v>30</v>
      </c>
      <c r="E211" s="152" t="s">
        <v>54</v>
      </c>
      <c r="F211" s="153">
        <v>1000000</v>
      </c>
      <c r="G211" s="153">
        <f>ROUNDDOWN(D211*F211,-3)</f>
        <v>30000000</v>
      </c>
      <c r="H211" s="210" t="b">
        <f t="shared" si="4"/>
        <v>1</v>
      </c>
    </row>
    <row r="212" spans="1:8" ht="13.8" x14ac:dyDescent="0.25">
      <c r="A212" s="7" t="s">
        <v>1485</v>
      </c>
      <c r="B212" s="60">
        <v>522192</v>
      </c>
      <c r="C212" s="41" t="s">
        <v>24</v>
      </c>
      <c r="D212" s="60"/>
      <c r="E212" s="60"/>
      <c r="F212" s="42"/>
      <c r="G212" s="42">
        <f>G213</f>
        <v>8000000</v>
      </c>
      <c r="H212" s="210" t="b">
        <f t="shared" si="4"/>
        <v>1</v>
      </c>
    </row>
    <row r="213" spans="1:8" ht="13.8" x14ac:dyDescent="0.25">
      <c r="A213" s="7" t="s">
        <v>1486</v>
      </c>
      <c r="B213" s="152"/>
      <c r="C213" s="151" t="s">
        <v>3735</v>
      </c>
      <c r="D213" s="152">
        <v>1</v>
      </c>
      <c r="E213" s="152" t="s">
        <v>60</v>
      </c>
      <c r="F213" s="153">
        <v>8000000</v>
      </c>
      <c r="G213" s="153">
        <f>ROUNDDOWN(D213*F213,-3)</f>
        <v>8000000</v>
      </c>
      <c r="H213" s="210" t="b">
        <f t="shared" si="4"/>
        <v>1</v>
      </c>
    </row>
    <row r="214" spans="1:8" ht="13.8" x14ac:dyDescent="0.25">
      <c r="A214" s="7" t="s">
        <v>1487</v>
      </c>
      <c r="B214" s="60">
        <v>524111</v>
      </c>
      <c r="C214" s="41" t="s">
        <v>19</v>
      </c>
      <c r="D214" s="60"/>
      <c r="E214" s="60"/>
      <c r="F214" s="42"/>
      <c r="G214" s="42">
        <f>G215</f>
        <v>81859000</v>
      </c>
      <c r="H214" s="210" t="b">
        <f t="shared" si="4"/>
        <v>1</v>
      </c>
    </row>
    <row r="215" spans="1:8" ht="26.4" x14ac:dyDescent="0.25">
      <c r="A215" s="7" t="s">
        <v>1488</v>
      </c>
      <c r="B215" s="152"/>
      <c r="C215" s="151" t="s">
        <v>3909</v>
      </c>
      <c r="D215" s="152">
        <v>32</v>
      </c>
      <c r="E215" s="152" t="s">
        <v>10</v>
      </c>
      <c r="F215" s="153">
        <v>2558095</v>
      </c>
      <c r="G215" s="153">
        <f>ROUNDDOWN(D215*F215,-3)</f>
        <v>81859000</v>
      </c>
      <c r="H215" s="210" t="b">
        <f t="shared" si="4"/>
        <v>1</v>
      </c>
    </row>
    <row r="216" spans="1:8" ht="13.8" x14ac:dyDescent="0.25">
      <c r="A216" s="7" t="s">
        <v>1490</v>
      </c>
      <c r="B216" s="59" t="s">
        <v>579</v>
      </c>
      <c r="C216" s="38" t="s">
        <v>56</v>
      </c>
      <c r="D216" s="59"/>
      <c r="E216" s="59"/>
      <c r="F216" s="39"/>
      <c r="G216" s="39">
        <f>SUM(G217,G222,G224,G226)</f>
        <v>350000000</v>
      </c>
      <c r="H216" s="210" t="b">
        <f t="shared" si="4"/>
        <v>1</v>
      </c>
    </row>
    <row r="217" spans="1:8" ht="13.8" x14ac:dyDescent="0.25">
      <c r="A217" s="7" t="s">
        <v>1491</v>
      </c>
      <c r="B217" s="60">
        <v>521211</v>
      </c>
      <c r="C217" s="41" t="s">
        <v>7</v>
      </c>
      <c r="D217" s="60"/>
      <c r="E217" s="60"/>
      <c r="F217" s="42"/>
      <c r="G217" s="42">
        <f>SUM(G218:G221)</f>
        <v>31000000</v>
      </c>
      <c r="H217" s="210" t="b">
        <f t="shared" si="4"/>
        <v>1</v>
      </c>
    </row>
    <row r="218" spans="1:8" ht="13.8" x14ac:dyDescent="0.25">
      <c r="A218" s="7" t="s">
        <v>1492</v>
      </c>
      <c r="B218" s="152"/>
      <c r="C218" s="151" t="s">
        <v>3713</v>
      </c>
      <c r="D218" s="152">
        <v>300</v>
      </c>
      <c r="E218" s="152" t="s">
        <v>10</v>
      </c>
      <c r="F218" s="153">
        <v>75000</v>
      </c>
      <c r="G218" s="153">
        <f>ROUNDDOWN(D218*F218,-3)</f>
        <v>22500000</v>
      </c>
      <c r="H218" s="210" t="b">
        <f t="shared" si="4"/>
        <v>1</v>
      </c>
    </row>
    <row r="219" spans="1:8" ht="13.8" x14ac:dyDescent="0.25">
      <c r="A219" s="7" t="s">
        <v>1493</v>
      </c>
      <c r="B219" s="152"/>
      <c r="C219" s="151" t="s">
        <v>3714</v>
      </c>
      <c r="D219" s="152">
        <v>1</v>
      </c>
      <c r="E219" s="152" t="s">
        <v>9</v>
      </c>
      <c r="F219" s="153">
        <v>1000000</v>
      </c>
      <c r="G219" s="153">
        <f>ROUNDDOWN(D219*F219,-3)</f>
        <v>1000000</v>
      </c>
      <c r="H219" s="210" t="b">
        <f t="shared" si="4"/>
        <v>1</v>
      </c>
    </row>
    <row r="220" spans="1:8" ht="13.8" x14ac:dyDescent="0.25">
      <c r="A220" s="7" t="s">
        <v>1494</v>
      </c>
      <c r="B220" s="152"/>
      <c r="C220" s="151" t="s">
        <v>3600</v>
      </c>
      <c r="D220" s="152">
        <v>3</v>
      </c>
      <c r="E220" s="152" t="s">
        <v>9</v>
      </c>
      <c r="F220" s="153">
        <v>1000000</v>
      </c>
      <c r="G220" s="153">
        <f>ROUNDDOWN(D220*F220,-3)</f>
        <v>3000000</v>
      </c>
      <c r="H220" s="210" t="b">
        <f t="shared" si="4"/>
        <v>1</v>
      </c>
    </row>
    <row r="221" spans="1:8" ht="13.8" x14ac:dyDescent="0.25">
      <c r="A221" s="7" t="s">
        <v>1495</v>
      </c>
      <c r="B221" s="152"/>
      <c r="C221" s="151" t="s">
        <v>3601</v>
      </c>
      <c r="D221" s="152">
        <v>3</v>
      </c>
      <c r="E221" s="152" t="s">
        <v>9</v>
      </c>
      <c r="F221" s="153">
        <v>1500000</v>
      </c>
      <c r="G221" s="153">
        <f>ROUNDDOWN(D221*F221,-3)</f>
        <v>4500000</v>
      </c>
      <c r="H221" s="210" t="b">
        <f t="shared" si="4"/>
        <v>1</v>
      </c>
    </row>
    <row r="222" spans="1:8" ht="13.8" x14ac:dyDescent="0.25">
      <c r="A222" s="7" t="s">
        <v>1496</v>
      </c>
      <c r="B222" s="60">
        <v>521219</v>
      </c>
      <c r="C222" s="41" t="s">
        <v>53</v>
      </c>
      <c r="D222" s="60"/>
      <c r="E222" s="60"/>
      <c r="F222" s="42"/>
      <c r="G222" s="42">
        <f>G223</f>
        <v>3000000</v>
      </c>
      <c r="H222" s="210" t="b">
        <f t="shared" si="4"/>
        <v>1</v>
      </c>
    </row>
    <row r="223" spans="1:8" ht="13.8" x14ac:dyDescent="0.25">
      <c r="A223" s="7" t="s">
        <v>1497</v>
      </c>
      <c r="B223" s="152"/>
      <c r="C223" s="151" t="s">
        <v>3722</v>
      </c>
      <c r="D223" s="152">
        <v>12</v>
      </c>
      <c r="E223" s="152" t="s">
        <v>78</v>
      </c>
      <c r="F223" s="153">
        <v>250000</v>
      </c>
      <c r="G223" s="153">
        <f>ROUNDDOWN(D223*F223,-3)</f>
        <v>3000000</v>
      </c>
      <c r="H223" s="210" t="b">
        <f t="shared" si="4"/>
        <v>1</v>
      </c>
    </row>
    <row r="224" spans="1:8" ht="13.8" x14ac:dyDescent="0.25">
      <c r="A224" s="7" t="s">
        <v>1498</v>
      </c>
      <c r="B224" s="60">
        <v>522151</v>
      </c>
      <c r="C224" s="41" t="s">
        <v>11</v>
      </c>
      <c r="D224" s="60"/>
      <c r="E224" s="60"/>
      <c r="F224" s="42"/>
      <c r="G224" s="42">
        <f>G225</f>
        <v>70000000</v>
      </c>
      <c r="H224" s="210" t="b">
        <f t="shared" si="4"/>
        <v>1</v>
      </c>
    </row>
    <row r="225" spans="1:8" ht="13.8" x14ac:dyDescent="0.25">
      <c r="A225" s="7" t="s">
        <v>1499</v>
      </c>
      <c r="B225" s="152"/>
      <c r="C225" s="151" t="s">
        <v>3910</v>
      </c>
      <c r="D225" s="152">
        <v>70</v>
      </c>
      <c r="E225" s="152" t="s">
        <v>12</v>
      </c>
      <c r="F225" s="153">
        <v>1000000</v>
      </c>
      <c r="G225" s="153">
        <f>ROUNDDOWN(D225*F225,-3)</f>
        <v>70000000</v>
      </c>
      <c r="H225" s="210" t="b">
        <f t="shared" si="4"/>
        <v>1</v>
      </c>
    </row>
    <row r="226" spans="1:8" ht="13.8" x14ac:dyDescent="0.25">
      <c r="A226" s="7" t="s">
        <v>1501</v>
      </c>
      <c r="B226" s="60">
        <v>524111</v>
      </c>
      <c r="C226" s="41" t="s">
        <v>19</v>
      </c>
      <c r="D226" s="60"/>
      <c r="E226" s="60"/>
      <c r="F226" s="42"/>
      <c r="G226" s="42">
        <f>G227</f>
        <v>246000000</v>
      </c>
      <c r="H226" s="210" t="b">
        <f t="shared" si="4"/>
        <v>1</v>
      </c>
    </row>
    <row r="227" spans="1:8" ht="13.8" x14ac:dyDescent="0.25">
      <c r="A227" s="7" t="s">
        <v>1502</v>
      </c>
      <c r="B227" s="152"/>
      <c r="C227" s="151" t="s">
        <v>3911</v>
      </c>
      <c r="D227" s="152">
        <v>39</v>
      </c>
      <c r="E227" s="152" t="s">
        <v>10</v>
      </c>
      <c r="F227" s="153">
        <v>6307694</v>
      </c>
      <c r="G227" s="153">
        <f>ROUNDDOWN(D227*F227,-3)</f>
        <v>246000000</v>
      </c>
      <c r="H227" s="210" t="b">
        <f t="shared" si="4"/>
        <v>1</v>
      </c>
    </row>
    <row r="228" spans="1:8" ht="26.4" x14ac:dyDescent="0.25">
      <c r="A228" s="7" t="s">
        <v>1504</v>
      </c>
      <c r="B228" s="59" t="s">
        <v>580</v>
      </c>
      <c r="C228" s="38" t="s">
        <v>1505</v>
      </c>
      <c r="D228" s="59"/>
      <c r="E228" s="59"/>
      <c r="F228" s="39"/>
      <c r="G228" s="39">
        <f>SUM(G229,G239,G242,G246)</f>
        <v>668000000</v>
      </c>
      <c r="H228" s="210" t="b">
        <f t="shared" si="4"/>
        <v>1</v>
      </c>
    </row>
    <row r="229" spans="1:8" ht="13.8" x14ac:dyDescent="0.25">
      <c r="A229" s="7" t="s">
        <v>1506</v>
      </c>
      <c r="B229" s="60">
        <v>521211</v>
      </c>
      <c r="C229" s="41" t="s">
        <v>7</v>
      </c>
      <c r="D229" s="60"/>
      <c r="E229" s="60"/>
      <c r="F229" s="42"/>
      <c r="G229" s="42">
        <f>SUM(G230:G238)</f>
        <v>84800000</v>
      </c>
      <c r="H229" s="210" t="b">
        <f t="shared" si="4"/>
        <v>1</v>
      </c>
    </row>
    <row r="230" spans="1:8" ht="13.8" x14ac:dyDescent="0.25">
      <c r="A230" s="7" t="s">
        <v>1507</v>
      </c>
      <c r="B230" s="152"/>
      <c r="C230" s="151" t="s">
        <v>3713</v>
      </c>
      <c r="D230" s="152">
        <v>50</v>
      </c>
      <c r="E230" s="152" t="s">
        <v>10</v>
      </c>
      <c r="F230" s="153">
        <v>75000</v>
      </c>
      <c r="G230" s="153">
        <f t="shared" ref="G230:G238" si="5">ROUNDDOWN(D230*F230,-3)</f>
        <v>3750000</v>
      </c>
      <c r="H230" s="210" t="b">
        <f t="shared" si="4"/>
        <v>1</v>
      </c>
    </row>
    <row r="231" spans="1:8" ht="13.8" x14ac:dyDescent="0.25">
      <c r="A231" s="7" t="s">
        <v>1508</v>
      </c>
      <c r="B231" s="152"/>
      <c r="C231" s="151" t="s">
        <v>3714</v>
      </c>
      <c r="D231" s="152">
        <v>2</v>
      </c>
      <c r="E231" s="152" t="s">
        <v>9</v>
      </c>
      <c r="F231" s="153">
        <v>1000000</v>
      </c>
      <c r="G231" s="153">
        <f t="shared" si="5"/>
        <v>2000000</v>
      </c>
      <c r="H231" s="210" t="b">
        <f t="shared" si="4"/>
        <v>1</v>
      </c>
    </row>
    <row r="232" spans="1:8" ht="13.8" x14ac:dyDescent="0.25">
      <c r="A232" s="7" t="s">
        <v>1509</v>
      </c>
      <c r="B232" s="152"/>
      <c r="C232" s="151" t="s">
        <v>3600</v>
      </c>
      <c r="D232" s="152">
        <v>2</v>
      </c>
      <c r="E232" s="152" t="s">
        <v>9</v>
      </c>
      <c r="F232" s="153">
        <v>1000000</v>
      </c>
      <c r="G232" s="153">
        <f t="shared" si="5"/>
        <v>2000000</v>
      </c>
      <c r="H232" s="210" t="b">
        <f t="shared" si="4"/>
        <v>1</v>
      </c>
    </row>
    <row r="233" spans="1:8" ht="13.8" x14ac:dyDescent="0.25">
      <c r="A233" s="7" t="s">
        <v>1510</v>
      </c>
      <c r="B233" s="152"/>
      <c r="C233" s="151" t="s">
        <v>3601</v>
      </c>
      <c r="D233" s="152">
        <v>2</v>
      </c>
      <c r="E233" s="152" t="s">
        <v>9</v>
      </c>
      <c r="F233" s="153">
        <v>1500000</v>
      </c>
      <c r="G233" s="153">
        <f t="shared" si="5"/>
        <v>3000000</v>
      </c>
      <c r="H233" s="210" t="b">
        <f t="shared" si="4"/>
        <v>1</v>
      </c>
    </row>
    <row r="234" spans="1:8" ht="13.8" x14ac:dyDescent="0.25">
      <c r="A234" s="7" t="s">
        <v>1511</v>
      </c>
      <c r="B234" s="152"/>
      <c r="C234" s="151" t="s">
        <v>3912</v>
      </c>
      <c r="D234" s="152">
        <v>20</v>
      </c>
      <c r="E234" s="152" t="s">
        <v>58</v>
      </c>
      <c r="F234" s="153">
        <v>450000</v>
      </c>
      <c r="G234" s="153">
        <f t="shared" si="5"/>
        <v>9000000</v>
      </c>
      <c r="H234" s="210" t="b">
        <f t="shared" si="4"/>
        <v>1</v>
      </c>
    </row>
    <row r="235" spans="1:8" ht="13.8" x14ac:dyDescent="0.25">
      <c r="A235" s="7" t="s">
        <v>1513</v>
      </c>
      <c r="B235" s="152"/>
      <c r="C235" s="151" t="s">
        <v>3913</v>
      </c>
      <c r="D235" s="152">
        <v>20</v>
      </c>
      <c r="E235" s="152" t="s">
        <v>58</v>
      </c>
      <c r="F235" s="153">
        <v>450000</v>
      </c>
      <c r="G235" s="153">
        <f t="shared" si="5"/>
        <v>9000000</v>
      </c>
      <c r="H235" s="210" t="b">
        <f t="shared" si="4"/>
        <v>1</v>
      </c>
    </row>
    <row r="236" spans="1:8" ht="13.8" x14ac:dyDescent="0.25">
      <c r="A236" s="7" t="s">
        <v>1515</v>
      </c>
      <c r="B236" s="152"/>
      <c r="C236" s="151" t="s">
        <v>3914</v>
      </c>
      <c r="D236" s="152">
        <v>1</v>
      </c>
      <c r="E236" s="152" t="s">
        <v>23</v>
      </c>
      <c r="F236" s="153">
        <v>27575000</v>
      </c>
      <c r="G236" s="153">
        <f t="shared" si="5"/>
        <v>27575000</v>
      </c>
      <c r="H236" s="210" t="b">
        <f t="shared" si="4"/>
        <v>1</v>
      </c>
    </row>
    <row r="237" spans="1:8" ht="13.8" x14ac:dyDescent="0.25">
      <c r="A237" s="7" t="s">
        <v>1517</v>
      </c>
      <c r="B237" s="152"/>
      <c r="C237" s="151" t="s">
        <v>3915</v>
      </c>
      <c r="D237" s="152">
        <v>1</v>
      </c>
      <c r="E237" s="152" t="s">
        <v>23</v>
      </c>
      <c r="F237" s="153">
        <v>27575000</v>
      </c>
      <c r="G237" s="153">
        <f t="shared" si="5"/>
        <v>27575000</v>
      </c>
      <c r="H237" s="210" t="b">
        <f t="shared" si="4"/>
        <v>1</v>
      </c>
    </row>
    <row r="238" spans="1:8" ht="13.8" x14ac:dyDescent="0.25">
      <c r="A238" s="7" t="s">
        <v>1519</v>
      </c>
      <c r="B238" s="152"/>
      <c r="C238" s="151" t="s">
        <v>3916</v>
      </c>
      <c r="D238" s="152">
        <v>3</v>
      </c>
      <c r="E238" s="152" t="s">
        <v>58</v>
      </c>
      <c r="F238" s="153">
        <v>300000</v>
      </c>
      <c r="G238" s="153">
        <f t="shared" si="5"/>
        <v>900000</v>
      </c>
      <c r="H238" s="210" t="b">
        <f t="shared" si="4"/>
        <v>1</v>
      </c>
    </row>
    <row r="239" spans="1:8" ht="13.8" x14ac:dyDescent="0.25">
      <c r="A239" s="7" t="s">
        <v>1521</v>
      </c>
      <c r="B239" s="60">
        <v>521219</v>
      </c>
      <c r="C239" s="41" t="s">
        <v>53</v>
      </c>
      <c r="D239" s="60"/>
      <c r="E239" s="60"/>
      <c r="F239" s="42"/>
      <c r="G239" s="42">
        <f>SUM(G240:G241)</f>
        <v>393200000</v>
      </c>
      <c r="H239" s="210" t="b">
        <f t="shared" si="4"/>
        <v>1</v>
      </c>
    </row>
    <row r="240" spans="1:8" ht="13.8" x14ac:dyDescent="0.25">
      <c r="A240" s="7" t="s">
        <v>1522</v>
      </c>
      <c r="B240" s="152"/>
      <c r="C240" s="151" t="s">
        <v>3917</v>
      </c>
      <c r="D240" s="152">
        <v>1</v>
      </c>
      <c r="E240" s="152" t="s">
        <v>66</v>
      </c>
      <c r="F240" s="153">
        <v>196600000</v>
      </c>
      <c r="G240" s="153">
        <f>ROUNDDOWN(D240*F240,-3)</f>
        <v>196600000</v>
      </c>
      <c r="H240" s="210" t="b">
        <f t="shared" si="4"/>
        <v>1</v>
      </c>
    </row>
    <row r="241" spans="1:8" ht="13.8" x14ac:dyDescent="0.25">
      <c r="A241" s="7" t="s">
        <v>1524</v>
      </c>
      <c r="B241" s="152"/>
      <c r="C241" s="151" t="s">
        <v>3918</v>
      </c>
      <c r="D241" s="152">
        <v>1</v>
      </c>
      <c r="E241" s="152" t="s">
        <v>66</v>
      </c>
      <c r="F241" s="153">
        <v>196600000</v>
      </c>
      <c r="G241" s="153">
        <f>ROUNDDOWN(D241*F241,-3)</f>
        <v>196600000</v>
      </c>
      <c r="H241" s="210" t="b">
        <f t="shared" si="4"/>
        <v>1</v>
      </c>
    </row>
    <row r="242" spans="1:8" ht="13.8" x14ac:dyDescent="0.25">
      <c r="A242" s="7" t="s">
        <v>1526</v>
      </c>
      <c r="B242" s="60">
        <v>522141</v>
      </c>
      <c r="C242" s="41" t="s">
        <v>95</v>
      </c>
      <c r="D242" s="60"/>
      <c r="E242" s="60"/>
      <c r="F242" s="42"/>
      <c r="G242" s="42">
        <f>SUM(G243:G245)</f>
        <v>160000000</v>
      </c>
      <c r="H242" s="210" t="b">
        <f t="shared" si="4"/>
        <v>1</v>
      </c>
    </row>
    <row r="243" spans="1:8" ht="13.8" x14ac:dyDescent="0.25">
      <c r="A243" s="7" t="s">
        <v>1527</v>
      </c>
      <c r="B243" s="152"/>
      <c r="C243" s="151" t="s">
        <v>3919</v>
      </c>
      <c r="D243" s="152">
        <v>2</v>
      </c>
      <c r="E243" s="152" t="s">
        <v>23</v>
      </c>
      <c r="F243" s="153">
        <v>50000000</v>
      </c>
      <c r="G243" s="153">
        <f>ROUNDDOWN(D243*F243,-3)</f>
        <v>100000000</v>
      </c>
      <c r="H243" s="210" t="b">
        <f t="shared" si="4"/>
        <v>1</v>
      </c>
    </row>
    <row r="244" spans="1:8" ht="13.8" x14ac:dyDescent="0.25">
      <c r="A244" s="7" t="s">
        <v>1529</v>
      </c>
      <c r="B244" s="152"/>
      <c r="C244" s="151" t="s">
        <v>3920</v>
      </c>
      <c r="D244" s="152">
        <v>2</v>
      </c>
      <c r="E244" s="152" t="s">
        <v>23</v>
      </c>
      <c r="F244" s="153">
        <v>10000000</v>
      </c>
      <c r="G244" s="153">
        <f>ROUNDDOWN(D244*F244,-3)</f>
        <v>20000000</v>
      </c>
      <c r="H244" s="210" t="b">
        <f t="shared" si="4"/>
        <v>1</v>
      </c>
    </row>
    <row r="245" spans="1:8" ht="13.8" x14ac:dyDescent="0.25">
      <c r="A245" s="7" t="s">
        <v>1531</v>
      </c>
      <c r="B245" s="152"/>
      <c r="C245" s="151" t="s">
        <v>3921</v>
      </c>
      <c r="D245" s="152">
        <v>4</v>
      </c>
      <c r="E245" s="152" t="s">
        <v>23</v>
      </c>
      <c r="F245" s="153">
        <v>10000000</v>
      </c>
      <c r="G245" s="153">
        <f>ROUNDDOWN(D245*F245,-3)</f>
        <v>40000000</v>
      </c>
      <c r="H245" s="210" t="b">
        <f t="shared" si="4"/>
        <v>1</v>
      </c>
    </row>
    <row r="246" spans="1:8" ht="13.8" x14ac:dyDescent="0.25">
      <c r="A246" s="7" t="s">
        <v>1533</v>
      </c>
      <c r="B246" s="60">
        <v>524111</v>
      </c>
      <c r="C246" s="41" t="s">
        <v>19</v>
      </c>
      <c r="D246" s="60"/>
      <c r="E246" s="60"/>
      <c r="F246" s="42"/>
      <c r="G246" s="42">
        <f>G247</f>
        <v>30000000</v>
      </c>
      <c r="H246" s="210" t="b">
        <f t="shared" si="4"/>
        <v>1</v>
      </c>
    </row>
    <row r="247" spans="1:8" ht="26.4" x14ac:dyDescent="0.25">
      <c r="A247" s="7" t="s">
        <v>1534</v>
      </c>
      <c r="B247" s="152"/>
      <c r="C247" s="151" t="s">
        <v>3922</v>
      </c>
      <c r="D247" s="152">
        <v>12</v>
      </c>
      <c r="E247" s="152" t="s">
        <v>10</v>
      </c>
      <c r="F247" s="153">
        <v>2500000</v>
      </c>
      <c r="G247" s="153">
        <f>ROUNDDOWN(D247*F247,-3)</f>
        <v>30000000</v>
      </c>
      <c r="H247" s="210" t="b">
        <f t="shared" si="4"/>
        <v>1</v>
      </c>
    </row>
    <row r="248" spans="1:8" ht="26.4" x14ac:dyDescent="0.25">
      <c r="A248" s="7" t="s">
        <v>1536</v>
      </c>
      <c r="B248" s="59" t="s">
        <v>581</v>
      </c>
      <c r="C248" s="38" t="s">
        <v>1537</v>
      </c>
      <c r="D248" s="59"/>
      <c r="E248" s="59"/>
      <c r="F248" s="39"/>
      <c r="G248" s="39">
        <f>SUM(G249,G257,G259,G261)</f>
        <v>82000000</v>
      </c>
      <c r="H248" s="210" t="b">
        <f t="shared" si="4"/>
        <v>1</v>
      </c>
    </row>
    <row r="249" spans="1:8" ht="13.8" x14ac:dyDescent="0.25">
      <c r="A249" s="7" t="s">
        <v>1538</v>
      </c>
      <c r="B249" s="60">
        <v>521211</v>
      </c>
      <c r="C249" s="41" t="s">
        <v>7</v>
      </c>
      <c r="D249" s="60"/>
      <c r="E249" s="60"/>
      <c r="F249" s="42"/>
      <c r="G249" s="42">
        <f>SUM(G250:G256)</f>
        <v>17550000</v>
      </c>
      <c r="H249" s="210" t="b">
        <f t="shared" si="4"/>
        <v>1</v>
      </c>
    </row>
    <row r="250" spans="1:8" ht="13.8" x14ac:dyDescent="0.25">
      <c r="A250" s="7" t="s">
        <v>1539</v>
      </c>
      <c r="B250" s="152"/>
      <c r="C250" s="151" t="s">
        <v>3713</v>
      </c>
      <c r="D250" s="152">
        <v>20</v>
      </c>
      <c r="E250" s="152" t="s">
        <v>10</v>
      </c>
      <c r="F250" s="153">
        <v>75000</v>
      </c>
      <c r="G250" s="153">
        <f t="shared" ref="G250:G256" si="6">ROUNDDOWN(D250*F250,-3)</f>
        <v>1500000</v>
      </c>
      <c r="H250" s="210" t="b">
        <f t="shared" si="4"/>
        <v>1</v>
      </c>
    </row>
    <row r="251" spans="1:8" ht="13.8" x14ac:dyDescent="0.25">
      <c r="A251" s="7" t="s">
        <v>1540</v>
      </c>
      <c r="B251" s="152"/>
      <c r="C251" s="151" t="s">
        <v>3714</v>
      </c>
      <c r="D251" s="152">
        <v>2</v>
      </c>
      <c r="E251" s="152" t="s">
        <v>9</v>
      </c>
      <c r="F251" s="153">
        <v>1000000</v>
      </c>
      <c r="G251" s="153">
        <f t="shared" si="6"/>
        <v>2000000</v>
      </c>
      <c r="H251" s="210" t="b">
        <f t="shared" si="4"/>
        <v>1</v>
      </c>
    </row>
    <row r="252" spans="1:8" ht="13.8" x14ac:dyDescent="0.25">
      <c r="A252" s="7" t="s">
        <v>1541</v>
      </c>
      <c r="B252" s="152"/>
      <c r="C252" s="151" t="s">
        <v>3600</v>
      </c>
      <c r="D252" s="152">
        <v>2</v>
      </c>
      <c r="E252" s="152" t="s">
        <v>9</v>
      </c>
      <c r="F252" s="153">
        <v>1000000</v>
      </c>
      <c r="G252" s="153">
        <f t="shared" si="6"/>
        <v>2000000</v>
      </c>
      <c r="H252" s="210" t="b">
        <f t="shared" si="4"/>
        <v>1</v>
      </c>
    </row>
    <row r="253" spans="1:8" ht="13.8" x14ac:dyDescent="0.25">
      <c r="A253" s="7" t="s">
        <v>1542</v>
      </c>
      <c r="B253" s="152"/>
      <c r="C253" s="151" t="s">
        <v>3601</v>
      </c>
      <c r="D253" s="152">
        <v>2</v>
      </c>
      <c r="E253" s="152" t="s">
        <v>9</v>
      </c>
      <c r="F253" s="153">
        <v>1500000</v>
      </c>
      <c r="G253" s="153">
        <f t="shared" si="6"/>
        <v>3000000</v>
      </c>
      <c r="H253" s="210" t="b">
        <f t="shared" si="4"/>
        <v>1</v>
      </c>
    </row>
    <row r="254" spans="1:8" ht="13.8" x14ac:dyDescent="0.25">
      <c r="A254" s="7" t="s">
        <v>1543</v>
      </c>
      <c r="B254" s="152"/>
      <c r="C254" s="151" t="s">
        <v>3923</v>
      </c>
      <c r="D254" s="152">
        <v>10</v>
      </c>
      <c r="E254" s="152" t="s">
        <v>58</v>
      </c>
      <c r="F254" s="153">
        <v>250000</v>
      </c>
      <c r="G254" s="153">
        <f t="shared" si="6"/>
        <v>2500000</v>
      </c>
      <c r="H254" s="210" t="b">
        <f t="shared" si="4"/>
        <v>1</v>
      </c>
    </row>
    <row r="255" spans="1:8" ht="13.8" x14ac:dyDescent="0.25">
      <c r="A255" s="7" t="s">
        <v>1545</v>
      </c>
      <c r="B255" s="152"/>
      <c r="C255" s="151" t="s">
        <v>3924</v>
      </c>
      <c r="D255" s="152">
        <v>500</v>
      </c>
      <c r="E255" s="152" t="s">
        <v>58</v>
      </c>
      <c r="F255" s="153">
        <v>6000</v>
      </c>
      <c r="G255" s="153">
        <f t="shared" si="6"/>
        <v>3000000</v>
      </c>
      <c r="H255" s="210" t="b">
        <f t="shared" si="4"/>
        <v>1</v>
      </c>
    </row>
    <row r="256" spans="1:8" ht="13.8" x14ac:dyDescent="0.25">
      <c r="A256" s="7" t="s">
        <v>1547</v>
      </c>
      <c r="B256" s="152"/>
      <c r="C256" s="151" t="s">
        <v>3925</v>
      </c>
      <c r="D256" s="152">
        <v>100</v>
      </c>
      <c r="E256" s="152" t="s">
        <v>58</v>
      </c>
      <c r="F256" s="153">
        <v>35500</v>
      </c>
      <c r="G256" s="153">
        <f t="shared" si="6"/>
        <v>3550000</v>
      </c>
      <c r="H256" s="210" t="b">
        <f t="shared" si="4"/>
        <v>1</v>
      </c>
    </row>
    <row r="257" spans="1:8" ht="13.8" x14ac:dyDescent="0.25">
      <c r="A257" s="7" t="s">
        <v>1549</v>
      </c>
      <c r="B257" s="60">
        <v>521219</v>
      </c>
      <c r="C257" s="41" t="s">
        <v>53</v>
      </c>
      <c r="D257" s="60"/>
      <c r="E257" s="60"/>
      <c r="F257" s="42"/>
      <c r="G257" s="42">
        <f>G258</f>
        <v>3000000</v>
      </c>
      <c r="H257" s="210" t="b">
        <f t="shared" si="4"/>
        <v>1</v>
      </c>
    </row>
    <row r="258" spans="1:8" ht="13.8" x14ac:dyDescent="0.25">
      <c r="A258" s="7" t="s">
        <v>1550</v>
      </c>
      <c r="B258" s="152"/>
      <c r="C258" s="151" t="s">
        <v>3722</v>
      </c>
      <c r="D258" s="152">
        <v>12</v>
      </c>
      <c r="E258" s="152" t="s">
        <v>66</v>
      </c>
      <c r="F258" s="153">
        <v>250000</v>
      </c>
      <c r="G258" s="153">
        <f>ROUNDDOWN(D258*F258,-3)</f>
        <v>3000000</v>
      </c>
      <c r="H258" s="210" t="b">
        <f t="shared" si="4"/>
        <v>1</v>
      </c>
    </row>
    <row r="259" spans="1:8" ht="13.8" x14ac:dyDescent="0.25">
      <c r="A259" s="7" t="s">
        <v>1551</v>
      </c>
      <c r="B259" s="60">
        <v>522151</v>
      </c>
      <c r="C259" s="41" t="s">
        <v>11</v>
      </c>
      <c r="D259" s="60"/>
      <c r="E259" s="60"/>
      <c r="F259" s="42"/>
      <c r="G259" s="42">
        <f>G260</f>
        <v>40000000</v>
      </c>
      <c r="H259" s="210" t="b">
        <f t="shared" si="4"/>
        <v>1</v>
      </c>
    </row>
    <row r="260" spans="1:8" ht="13.8" x14ac:dyDescent="0.25">
      <c r="A260" s="7" t="s">
        <v>1552</v>
      </c>
      <c r="B260" s="152"/>
      <c r="C260" s="151" t="s">
        <v>3910</v>
      </c>
      <c r="D260" s="152">
        <v>40</v>
      </c>
      <c r="E260" s="152" t="s">
        <v>54</v>
      </c>
      <c r="F260" s="153">
        <v>1000000</v>
      </c>
      <c r="G260" s="153">
        <f>ROUNDDOWN(D260*F260,-3)</f>
        <v>40000000</v>
      </c>
      <c r="H260" s="210" t="b">
        <f t="shared" si="4"/>
        <v>1</v>
      </c>
    </row>
    <row r="261" spans="1:8" ht="13.8" x14ac:dyDescent="0.25">
      <c r="A261" s="7" t="s">
        <v>1553</v>
      </c>
      <c r="B261" s="60">
        <v>524111</v>
      </c>
      <c r="C261" s="41" t="s">
        <v>19</v>
      </c>
      <c r="D261" s="60"/>
      <c r="E261" s="60"/>
      <c r="F261" s="42"/>
      <c r="G261" s="42">
        <f>G262</f>
        <v>21450000</v>
      </c>
      <c r="H261" s="210" t="b">
        <f t="shared" si="4"/>
        <v>1</v>
      </c>
    </row>
    <row r="262" spans="1:8" ht="26.4" x14ac:dyDescent="0.25">
      <c r="A262" s="7" t="s">
        <v>1554</v>
      </c>
      <c r="B262" s="152"/>
      <c r="C262" s="151" t="s">
        <v>3926</v>
      </c>
      <c r="D262" s="152">
        <v>10</v>
      </c>
      <c r="E262" s="152" t="s">
        <v>10</v>
      </c>
      <c r="F262" s="153">
        <v>2145000</v>
      </c>
      <c r="G262" s="153">
        <f>ROUNDDOWN(D262*F262,-3)</f>
        <v>21450000</v>
      </c>
      <c r="H262" s="210" t="b">
        <f t="shared" si="4"/>
        <v>1</v>
      </c>
    </row>
    <row r="263" spans="1:8" ht="13.8" x14ac:dyDescent="0.25">
      <c r="A263" s="7" t="s">
        <v>1699</v>
      </c>
      <c r="B263" s="138" t="s">
        <v>3986</v>
      </c>
      <c r="C263" s="137" t="s">
        <v>1701</v>
      </c>
      <c r="D263" s="138">
        <v>1</v>
      </c>
      <c r="E263" s="138" t="s">
        <v>3740</v>
      </c>
      <c r="F263" s="139"/>
      <c r="G263" s="139">
        <f>SUM(G264,G307)</f>
        <v>8674654000</v>
      </c>
      <c r="H263" s="210" t="b">
        <f t="shared" si="4"/>
        <v>1</v>
      </c>
    </row>
    <row r="264" spans="1:8" ht="13.8" x14ac:dyDescent="0.25">
      <c r="A264" s="7" t="s">
        <v>1702</v>
      </c>
      <c r="B264" s="58" t="s">
        <v>501</v>
      </c>
      <c r="C264" s="35" t="s">
        <v>76</v>
      </c>
      <c r="D264" s="58"/>
      <c r="E264" s="58"/>
      <c r="F264" s="36"/>
      <c r="G264" s="36">
        <f>SUM(G265,G304)</f>
        <v>6478996000</v>
      </c>
      <c r="H264" s="210" t="b">
        <f t="shared" si="4"/>
        <v>1</v>
      </c>
    </row>
    <row r="265" spans="1:8" ht="13.8" x14ac:dyDescent="0.25">
      <c r="A265" s="7" t="s">
        <v>1806</v>
      </c>
      <c r="B265" s="59" t="s">
        <v>1807</v>
      </c>
      <c r="C265" s="38" t="s">
        <v>1808</v>
      </c>
      <c r="D265" s="59"/>
      <c r="E265" s="59"/>
      <c r="F265" s="39"/>
      <c r="G265" s="39">
        <f>SUM(G266,G270,G274,G278,G282,G286,G290,G294,G296,G298,G302)</f>
        <v>6155047000</v>
      </c>
      <c r="H265" s="210" t="b">
        <f t="shared" si="4"/>
        <v>1</v>
      </c>
    </row>
    <row r="266" spans="1:8" ht="13.8" x14ac:dyDescent="0.25">
      <c r="A266" s="7" t="s">
        <v>1809</v>
      </c>
      <c r="B266" s="60">
        <v>511111</v>
      </c>
      <c r="C266" s="41" t="s">
        <v>77</v>
      </c>
      <c r="D266" s="60"/>
      <c r="E266" s="60"/>
      <c r="F266" s="42"/>
      <c r="G266" s="42">
        <f>SUM(G267:G269)</f>
        <v>2483477000</v>
      </c>
      <c r="H266" s="210" t="b">
        <f t="shared" si="4"/>
        <v>1</v>
      </c>
    </row>
    <row r="267" spans="1:8" ht="13.8" x14ac:dyDescent="0.25">
      <c r="A267" s="7" t="s">
        <v>1810</v>
      </c>
      <c r="B267" s="152"/>
      <c r="C267" s="151" t="s">
        <v>3987</v>
      </c>
      <c r="D267" s="152">
        <v>1</v>
      </c>
      <c r="E267" s="152" t="s">
        <v>97</v>
      </c>
      <c r="F267" s="153">
        <v>180000000</v>
      </c>
      <c r="G267" s="153">
        <f>ROUNDDOWN(D267*F267,-3)</f>
        <v>180000000</v>
      </c>
      <c r="H267" s="210" t="b">
        <f t="shared" si="4"/>
        <v>1</v>
      </c>
    </row>
    <row r="268" spans="1:8" ht="13.8" x14ac:dyDescent="0.25">
      <c r="A268" s="7" t="s">
        <v>1811</v>
      </c>
      <c r="B268" s="152"/>
      <c r="C268" s="151" t="s">
        <v>3988</v>
      </c>
      <c r="D268" s="152">
        <v>1</v>
      </c>
      <c r="E268" s="152" t="s">
        <v>60</v>
      </c>
      <c r="F268" s="153">
        <v>2123477000</v>
      </c>
      <c r="G268" s="153">
        <f>ROUNDDOWN(D268*F268,-3)</f>
        <v>2123477000</v>
      </c>
      <c r="H268" s="210" t="b">
        <f t="shared" si="4"/>
        <v>1</v>
      </c>
    </row>
    <row r="269" spans="1:8" ht="13.8" x14ac:dyDescent="0.25">
      <c r="A269" s="7" t="s">
        <v>1812</v>
      </c>
      <c r="B269" s="152"/>
      <c r="C269" s="151" t="s">
        <v>3989</v>
      </c>
      <c r="D269" s="152">
        <v>1</v>
      </c>
      <c r="E269" s="152" t="s">
        <v>97</v>
      </c>
      <c r="F269" s="153">
        <v>180000000</v>
      </c>
      <c r="G269" s="153">
        <f>ROUNDDOWN(D269*F269,-3)</f>
        <v>180000000</v>
      </c>
      <c r="H269" s="210" t="b">
        <f t="shared" ref="H269:H332" si="7">_xlfn.ISFORMULA(G269)</f>
        <v>1</v>
      </c>
    </row>
    <row r="270" spans="1:8" ht="13.8" x14ac:dyDescent="0.25">
      <c r="A270" s="7" t="s">
        <v>1813</v>
      </c>
      <c r="B270" s="60">
        <v>511119</v>
      </c>
      <c r="C270" s="41" t="s">
        <v>79</v>
      </c>
      <c r="D270" s="60"/>
      <c r="E270" s="60"/>
      <c r="F270" s="42"/>
      <c r="G270" s="42">
        <f>SUM(G271:G273)</f>
        <v>38000</v>
      </c>
      <c r="H270" s="210" t="b">
        <f t="shared" si="7"/>
        <v>1</v>
      </c>
    </row>
    <row r="271" spans="1:8" ht="13.8" x14ac:dyDescent="0.25">
      <c r="A271" s="7" t="s">
        <v>1814</v>
      </c>
      <c r="B271" s="152"/>
      <c r="C271" s="151" t="s">
        <v>3990</v>
      </c>
      <c r="D271" s="152">
        <v>1</v>
      </c>
      <c r="E271" s="152" t="s">
        <v>97</v>
      </c>
      <c r="F271" s="153">
        <v>3000</v>
      </c>
      <c r="G271" s="153">
        <f>ROUNDDOWN(D271*F271,-3)</f>
        <v>3000</v>
      </c>
      <c r="H271" s="210" t="b">
        <f t="shared" si="7"/>
        <v>1</v>
      </c>
    </row>
    <row r="272" spans="1:8" ht="13.8" x14ac:dyDescent="0.25">
      <c r="A272" s="7" t="s">
        <v>1815</v>
      </c>
      <c r="B272" s="152"/>
      <c r="C272" s="151" t="s">
        <v>3991</v>
      </c>
      <c r="D272" s="152">
        <v>1</v>
      </c>
      <c r="E272" s="152" t="s">
        <v>153</v>
      </c>
      <c r="F272" s="153">
        <v>32000</v>
      </c>
      <c r="G272" s="153">
        <f>ROUNDDOWN(D272*F272,-3)</f>
        <v>32000</v>
      </c>
      <c r="H272" s="210" t="b">
        <f t="shared" si="7"/>
        <v>1</v>
      </c>
    </row>
    <row r="273" spans="1:8" ht="13.8" x14ac:dyDescent="0.25">
      <c r="A273" s="7" t="s">
        <v>1816</v>
      </c>
      <c r="B273" s="152"/>
      <c r="C273" s="151" t="s">
        <v>3992</v>
      </c>
      <c r="D273" s="152">
        <v>1</v>
      </c>
      <c r="E273" s="152" t="s">
        <v>97</v>
      </c>
      <c r="F273" s="153">
        <v>3000</v>
      </c>
      <c r="G273" s="153">
        <f>ROUNDDOWN(D273*F273,-3)</f>
        <v>3000</v>
      </c>
      <c r="H273" s="210" t="b">
        <f t="shared" si="7"/>
        <v>1</v>
      </c>
    </row>
    <row r="274" spans="1:8" ht="13.8" x14ac:dyDescent="0.25">
      <c r="A274" s="7" t="s">
        <v>1817</v>
      </c>
      <c r="B274" s="60">
        <v>511121</v>
      </c>
      <c r="C274" s="41" t="s">
        <v>80</v>
      </c>
      <c r="D274" s="60"/>
      <c r="E274" s="60"/>
      <c r="F274" s="42"/>
      <c r="G274" s="42">
        <f>SUM(G275:G277)</f>
        <v>171959000</v>
      </c>
      <c r="H274" s="210" t="b">
        <f t="shared" si="7"/>
        <v>1</v>
      </c>
    </row>
    <row r="275" spans="1:8" ht="13.8" x14ac:dyDescent="0.25">
      <c r="A275" s="7" t="s">
        <v>1818</v>
      </c>
      <c r="B275" s="152"/>
      <c r="C275" s="151" t="s">
        <v>3993</v>
      </c>
      <c r="D275" s="152">
        <v>1</v>
      </c>
      <c r="E275" s="152" t="s">
        <v>153</v>
      </c>
      <c r="F275" s="153">
        <v>147267000</v>
      </c>
      <c r="G275" s="153">
        <f>ROUNDDOWN(D275*F275,-3)</f>
        <v>147267000</v>
      </c>
      <c r="H275" s="210" t="b">
        <f t="shared" si="7"/>
        <v>1</v>
      </c>
    </row>
    <row r="276" spans="1:8" ht="13.8" x14ac:dyDescent="0.25">
      <c r="A276" s="7" t="s">
        <v>1819</v>
      </c>
      <c r="B276" s="152"/>
      <c r="C276" s="151" t="s">
        <v>3994</v>
      </c>
      <c r="D276" s="152">
        <v>1</v>
      </c>
      <c r="E276" s="152" t="s">
        <v>97</v>
      </c>
      <c r="F276" s="153">
        <v>12494000</v>
      </c>
      <c r="G276" s="153">
        <f>ROUNDDOWN(D276*F276,-3)</f>
        <v>12494000</v>
      </c>
      <c r="H276" s="210" t="b">
        <f t="shared" si="7"/>
        <v>1</v>
      </c>
    </row>
    <row r="277" spans="1:8" ht="13.8" x14ac:dyDescent="0.25">
      <c r="A277" s="7" t="s">
        <v>1820</v>
      </c>
      <c r="B277" s="152"/>
      <c r="C277" s="151" t="s">
        <v>3995</v>
      </c>
      <c r="D277" s="152">
        <v>1</v>
      </c>
      <c r="E277" s="152" t="s">
        <v>97</v>
      </c>
      <c r="F277" s="153">
        <v>12198000</v>
      </c>
      <c r="G277" s="153">
        <f>ROUNDDOWN(D277*F277,-3)</f>
        <v>12198000</v>
      </c>
      <c r="H277" s="210" t="b">
        <f t="shared" si="7"/>
        <v>1</v>
      </c>
    </row>
    <row r="278" spans="1:8" ht="13.8" x14ac:dyDescent="0.25">
      <c r="A278" s="7" t="s">
        <v>1821</v>
      </c>
      <c r="B278" s="60">
        <v>511122</v>
      </c>
      <c r="C278" s="41" t="s">
        <v>81</v>
      </c>
      <c r="D278" s="60"/>
      <c r="E278" s="60"/>
      <c r="F278" s="42"/>
      <c r="G278" s="42">
        <f>SUM(G279:G281)</f>
        <v>46700000</v>
      </c>
      <c r="H278" s="210" t="b">
        <f t="shared" si="7"/>
        <v>1</v>
      </c>
    </row>
    <row r="279" spans="1:8" ht="13.8" x14ac:dyDescent="0.25">
      <c r="A279" s="7" t="s">
        <v>1822</v>
      </c>
      <c r="B279" s="152"/>
      <c r="C279" s="151" t="s">
        <v>3996</v>
      </c>
      <c r="D279" s="152">
        <v>1</v>
      </c>
      <c r="E279" s="152" t="s">
        <v>97</v>
      </c>
      <c r="F279" s="153">
        <v>3282000</v>
      </c>
      <c r="G279" s="153">
        <f>ROUNDDOWN(D279*F279,-3)</f>
        <v>3282000</v>
      </c>
      <c r="H279" s="210" t="b">
        <f t="shared" si="7"/>
        <v>1</v>
      </c>
    </row>
    <row r="280" spans="1:8" ht="13.8" x14ac:dyDescent="0.25">
      <c r="A280" s="7" t="s">
        <v>1823</v>
      </c>
      <c r="B280" s="152"/>
      <c r="C280" s="151" t="s">
        <v>3997</v>
      </c>
      <c r="D280" s="152">
        <v>1</v>
      </c>
      <c r="E280" s="152" t="s">
        <v>153</v>
      </c>
      <c r="F280" s="153">
        <v>40080000</v>
      </c>
      <c r="G280" s="153">
        <f>ROUNDDOWN(D280*F280,-3)</f>
        <v>40080000</v>
      </c>
      <c r="H280" s="210" t="b">
        <f t="shared" si="7"/>
        <v>1</v>
      </c>
    </row>
    <row r="281" spans="1:8" ht="13.8" x14ac:dyDescent="0.25">
      <c r="A281" s="7" t="s">
        <v>1824</v>
      </c>
      <c r="B281" s="152"/>
      <c r="C281" s="151" t="s">
        <v>3998</v>
      </c>
      <c r="D281" s="152">
        <v>1</v>
      </c>
      <c r="E281" s="152" t="s">
        <v>97</v>
      </c>
      <c r="F281" s="153">
        <v>3338000</v>
      </c>
      <c r="G281" s="153">
        <f>ROUNDDOWN(D281*F281,-3)</f>
        <v>3338000</v>
      </c>
      <c r="H281" s="210" t="b">
        <f t="shared" si="7"/>
        <v>1</v>
      </c>
    </row>
    <row r="282" spans="1:8" ht="13.8" x14ac:dyDescent="0.25">
      <c r="A282" s="7" t="s">
        <v>1825</v>
      </c>
      <c r="B282" s="60">
        <v>511123</v>
      </c>
      <c r="C282" s="41" t="s">
        <v>82</v>
      </c>
      <c r="D282" s="60"/>
      <c r="E282" s="60"/>
      <c r="F282" s="42"/>
      <c r="G282" s="42">
        <f>SUM(G283:G285)</f>
        <v>158000000</v>
      </c>
      <c r="H282" s="210" t="b">
        <f t="shared" si="7"/>
        <v>1</v>
      </c>
    </row>
    <row r="283" spans="1:8" ht="13.8" x14ac:dyDescent="0.25">
      <c r="A283" s="7" t="s">
        <v>1826</v>
      </c>
      <c r="B283" s="152"/>
      <c r="C283" s="151" t="s">
        <v>3999</v>
      </c>
      <c r="D283" s="152">
        <v>1</v>
      </c>
      <c r="E283" s="152" t="s">
        <v>97</v>
      </c>
      <c r="F283" s="153">
        <v>12070000</v>
      </c>
      <c r="G283" s="153">
        <f>ROUNDDOWN(D283*F283,-3)</f>
        <v>12070000</v>
      </c>
      <c r="H283" s="210" t="b">
        <f t="shared" si="7"/>
        <v>1</v>
      </c>
    </row>
    <row r="284" spans="1:8" ht="13.8" x14ac:dyDescent="0.25">
      <c r="A284" s="7" t="s">
        <v>1827</v>
      </c>
      <c r="B284" s="152"/>
      <c r="C284" s="151" t="s">
        <v>4000</v>
      </c>
      <c r="D284" s="152">
        <v>1</v>
      </c>
      <c r="E284" s="152" t="s">
        <v>60</v>
      </c>
      <c r="F284" s="153">
        <v>133860000</v>
      </c>
      <c r="G284" s="153">
        <f>ROUNDDOWN(D284*F284,-3)</f>
        <v>133860000</v>
      </c>
      <c r="H284" s="210" t="b">
        <f t="shared" si="7"/>
        <v>1</v>
      </c>
    </row>
    <row r="285" spans="1:8" ht="13.8" x14ac:dyDescent="0.25">
      <c r="A285" s="7" t="s">
        <v>1828</v>
      </c>
      <c r="B285" s="152"/>
      <c r="C285" s="151" t="s">
        <v>4001</v>
      </c>
      <c r="D285" s="152">
        <v>1</v>
      </c>
      <c r="E285" s="152" t="s">
        <v>97</v>
      </c>
      <c r="F285" s="153">
        <v>12070000</v>
      </c>
      <c r="G285" s="153">
        <f>ROUNDDOWN(D285*F285,-3)</f>
        <v>12070000</v>
      </c>
      <c r="H285" s="210" t="b">
        <f t="shared" si="7"/>
        <v>1</v>
      </c>
    </row>
    <row r="286" spans="1:8" ht="13.8" x14ac:dyDescent="0.25">
      <c r="A286" s="7" t="s">
        <v>1829</v>
      </c>
      <c r="B286" s="60">
        <v>511124</v>
      </c>
      <c r="C286" s="41" t="s">
        <v>83</v>
      </c>
      <c r="D286" s="60"/>
      <c r="E286" s="60"/>
      <c r="F286" s="42"/>
      <c r="G286" s="42">
        <f>SUM(G287:G289)</f>
        <v>48180000</v>
      </c>
      <c r="H286" s="210" t="b">
        <f t="shared" si="7"/>
        <v>1</v>
      </c>
    </row>
    <row r="287" spans="1:8" ht="13.8" x14ac:dyDescent="0.25">
      <c r="A287" s="7" t="s">
        <v>1830</v>
      </c>
      <c r="B287" s="152"/>
      <c r="C287" s="151" t="s">
        <v>4002</v>
      </c>
      <c r="D287" s="152">
        <v>1</v>
      </c>
      <c r="E287" s="152" t="s">
        <v>97</v>
      </c>
      <c r="F287" s="153">
        <v>2000000</v>
      </c>
      <c r="G287" s="153">
        <f>ROUNDDOWN(D287*F287,-3)</f>
        <v>2000000</v>
      </c>
      <c r="H287" s="210" t="b">
        <f t="shared" si="7"/>
        <v>1</v>
      </c>
    </row>
    <row r="288" spans="1:8" ht="13.8" x14ac:dyDescent="0.25">
      <c r="A288" s="7" t="s">
        <v>1831</v>
      </c>
      <c r="B288" s="152"/>
      <c r="C288" s="151" t="s">
        <v>4003</v>
      </c>
      <c r="D288" s="152">
        <v>1</v>
      </c>
      <c r="E288" s="152" t="s">
        <v>60</v>
      </c>
      <c r="F288" s="153">
        <v>44180000</v>
      </c>
      <c r="G288" s="153">
        <f>ROUNDDOWN(D288*F288,-3)</f>
        <v>44180000</v>
      </c>
      <c r="H288" s="210" t="b">
        <f t="shared" si="7"/>
        <v>1</v>
      </c>
    </row>
    <row r="289" spans="1:8" ht="13.8" x14ac:dyDescent="0.25">
      <c r="A289" s="7" t="s">
        <v>1832</v>
      </c>
      <c r="B289" s="152"/>
      <c r="C289" s="151" t="s">
        <v>4004</v>
      </c>
      <c r="D289" s="152">
        <v>1</v>
      </c>
      <c r="E289" s="152" t="s">
        <v>97</v>
      </c>
      <c r="F289" s="153">
        <v>2000000</v>
      </c>
      <c r="G289" s="153">
        <f>ROUNDDOWN(D289*F289,-3)</f>
        <v>2000000</v>
      </c>
      <c r="H289" s="210" t="b">
        <f t="shared" si="7"/>
        <v>1</v>
      </c>
    </row>
    <row r="290" spans="1:8" ht="13.8" x14ac:dyDescent="0.25">
      <c r="A290" s="7" t="s">
        <v>1833</v>
      </c>
      <c r="B290" s="60">
        <v>511125</v>
      </c>
      <c r="C290" s="41" t="s">
        <v>84</v>
      </c>
      <c r="D290" s="60"/>
      <c r="E290" s="60"/>
      <c r="F290" s="42"/>
      <c r="G290" s="42">
        <f>SUM(G291:G293)</f>
        <v>13133000</v>
      </c>
      <c r="H290" s="210" t="b">
        <f t="shared" si="7"/>
        <v>1</v>
      </c>
    </row>
    <row r="291" spans="1:8" ht="13.8" x14ac:dyDescent="0.25">
      <c r="A291" s="7" t="s">
        <v>1834</v>
      </c>
      <c r="B291" s="152"/>
      <c r="C291" s="151" t="s">
        <v>4005</v>
      </c>
      <c r="D291" s="152">
        <v>1</v>
      </c>
      <c r="E291" s="152" t="s">
        <v>97</v>
      </c>
      <c r="F291" s="153">
        <v>3360000</v>
      </c>
      <c r="G291" s="153">
        <f>ROUNDDOWN(D291*F291,-3)</f>
        <v>3360000</v>
      </c>
      <c r="H291" s="210" t="b">
        <f t="shared" si="7"/>
        <v>1</v>
      </c>
    </row>
    <row r="292" spans="1:8" ht="13.8" x14ac:dyDescent="0.25">
      <c r="A292" s="7" t="s">
        <v>1835</v>
      </c>
      <c r="B292" s="152"/>
      <c r="C292" s="151" t="s">
        <v>4006</v>
      </c>
      <c r="D292" s="152">
        <v>1</v>
      </c>
      <c r="E292" s="152" t="s">
        <v>153</v>
      </c>
      <c r="F292" s="153">
        <v>6407000</v>
      </c>
      <c r="G292" s="153">
        <f>ROUNDDOWN(D292*F292,-3)</f>
        <v>6407000</v>
      </c>
      <c r="H292" s="210" t="b">
        <f t="shared" si="7"/>
        <v>1</v>
      </c>
    </row>
    <row r="293" spans="1:8" ht="13.8" x14ac:dyDescent="0.25">
      <c r="A293" s="7" t="s">
        <v>1836</v>
      </c>
      <c r="B293" s="152"/>
      <c r="C293" s="151" t="s">
        <v>4007</v>
      </c>
      <c r="D293" s="152">
        <v>1</v>
      </c>
      <c r="E293" s="152" t="s">
        <v>97</v>
      </c>
      <c r="F293" s="153">
        <v>3366000</v>
      </c>
      <c r="G293" s="153">
        <f>ROUNDDOWN(D293*F293,-3)</f>
        <v>3366000</v>
      </c>
      <c r="H293" s="210" t="b">
        <f t="shared" si="7"/>
        <v>1</v>
      </c>
    </row>
    <row r="294" spans="1:8" ht="13.8" x14ac:dyDescent="0.25">
      <c r="A294" s="7" t="s">
        <v>1837</v>
      </c>
      <c r="B294" s="60">
        <v>511126</v>
      </c>
      <c r="C294" s="41" t="s">
        <v>85</v>
      </c>
      <c r="D294" s="60"/>
      <c r="E294" s="60"/>
      <c r="F294" s="42"/>
      <c r="G294" s="42">
        <f>G295</f>
        <v>130333000</v>
      </c>
      <c r="H294" s="210" t="b">
        <f t="shared" si="7"/>
        <v>1</v>
      </c>
    </row>
    <row r="295" spans="1:8" ht="13.8" x14ac:dyDescent="0.25">
      <c r="A295" s="7" t="s">
        <v>1838</v>
      </c>
      <c r="B295" s="152"/>
      <c r="C295" s="151" t="s">
        <v>4008</v>
      </c>
      <c r="D295" s="152">
        <v>1</v>
      </c>
      <c r="E295" s="152" t="s">
        <v>60</v>
      </c>
      <c r="F295" s="153">
        <v>130333000</v>
      </c>
      <c r="G295" s="153">
        <f>ROUNDDOWN(D295*F295,-3)</f>
        <v>130333000</v>
      </c>
      <c r="H295" s="210" t="b">
        <f t="shared" si="7"/>
        <v>1</v>
      </c>
    </row>
    <row r="296" spans="1:8" ht="13.8" x14ac:dyDescent="0.25">
      <c r="A296" s="7" t="s">
        <v>1839</v>
      </c>
      <c r="B296" s="60">
        <v>511129</v>
      </c>
      <c r="C296" s="41" t="s">
        <v>86</v>
      </c>
      <c r="D296" s="60"/>
      <c r="E296" s="60"/>
      <c r="F296" s="42"/>
      <c r="G296" s="42">
        <f>G297</f>
        <v>379379000</v>
      </c>
      <c r="H296" s="210" t="b">
        <f t="shared" si="7"/>
        <v>1</v>
      </c>
    </row>
    <row r="297" spans="1:8" ht="13.8" x14ac:dyDescent="0.25">
      <c r="A297" s="7" t="s">
        <v>1840</v>
      </c>
      <c r="B297" s="152"/>
      <c r="C297" s="151" t="s">
        <v>4009</v>
      </c>
      <c r="D297" s="152">
        <v>1</v>
      </c>
      <c r="E297" s="152" t="s">
        <v>153</v>
      </c>
      <c r="F297" s="153">
        <v>379379000</v>
      </c>
      <c r="G297" s="153">
        <f>ROUNDDOWN(D297*F297,-3)</f>
        <v>379379000</v>
      </c>
      <c r="H297" s="210" t="b">
        <f t="shared" si="7"/>
        <v>1</v>
      </c>
    </row>
    <row r="298" spans="1:8" ht="13.8" x14ac:dyDescent="0.25">
      <c r="A298" s="7" t="s">
        <v>1841</v>
      </c>
      <c r="B298" s="60">
        <v>511151</v>
      </c>
      <c r="C298" s="41" t="s">
        <v>87</v>
      </c>
      <c r="D298" s="60"/>
      <c r="E298" s="60"/>
      <c r="F298" s="42"/>
      <c r="G298" s="42">
        <f>SUM(G299:G301)</f>
        <v>88360000</v>
      </c>
      <c r="H298" s="210" t="b">
        <f t="shared" si="7"/>
        <v>1</v>
      </c>
    </row>
    <row r="299" spans="1:8" ht="13.8" x14ac:dyDescent="0.25">
      <c r="A299" s="7" t="s">
        <v>1842</v>
      </c>
      <c r="B299" s="152"/>
      <c r="C299" s="151" t="s">
        <v>4010</v>
      </c>
      <c r="D299" s="152">
        <v>1</v>
      </c>
      <c r="E299" s="152" t="s">
        <v>97</v>
      </c>
      <c r="F299" s="153">
        <v>6655000</v>
      </c>
      <c r="G299" s="153">
        <f>ROUNDDOWN(D299*F299,-3)</f>
        <v>6655000</v>
      </c>
      <c r="H299" s="210" t="b">
        <f t="shared" si="7"/>
        <v>1</v>
      </c>
    </row>
    <row r="300" spans="1:8" ht="13.8" x14ac:dyDescent="0.25">
      <c r="A300" s="7" t="s">
        <v>1843</v>
      </c>
      <c r="B300" s="152"/>
      <c r="C300" s="151" t="s">
        <v>4011</v>
      </c>
      <c r="D300" s="152">
        <v>1</v>
      </c>
      <c r="E300" s="152" t="s">
        <v>60</v>
      </c>
      <c r="F300" s="153">
        <v>75605000</v>
      </c>
      <c r="G300" s="153">
        <f>ROUNDDOWN(D300*F300,-3)</f>
        <v>75605000</v>
      </c>
      <c r="H300" s="210" t="b">
        <f t="shared" si="7"/>
        <v>1</v>
      </c>
    </row>
    <row r="301" spans="1:8" ht="13.8" x14ac:dyDescent="0.25">
      <c r="A301" s="7" t="s">
        <v>1844</v>
      </c>
      <c r="B301" s="152"/>
      <c r="C301" s="151" t="s">
        <v>4012</v>
      </c>
      <c r="D301" s="152">
        <v>1</v>
      </c>
      <c r="E301" s="152" t="s">
        <v>97</v>
      </c>
      <c r="F301" s="153">
        <v>6100000</v>
      </c>
      <c r="G301" s="153">
        <f>ROUNDDOWN(D301*F301,-3)</f>
        <v>6100000</v>
      </c>
      <c r="H301" s="210" t="b">
        <f t="shared" si="7"/>
        <v>1</v>
      </c>
    </row>
    <row r="302" spans="1:8" ht="13.8" x14ac:dyDescent="0.25">
      <c r="A302" s="7" t="s">
        <v>1845</v>
      </c>
      <c r="B302" s="60">
        <v>512411</v>
      </c>
      <c r="C302" s="41" t="s">
        <v>88</v>
      </c>
      <c r="D302" s="60"/>
      <c r="E302" s="60"/>
      <c r="F302" s="42"/>
      <c r="G302" s="42">
        <f>G303</f>
        <v>2635488000</v>
      </c>
      <c r="H302" s="210" t="b">
        <f t="shared" si="7"/>
        <v>1</v>
      </c>
    </row>
    <row r="303" spans="1:8" ht="13.8" x14ac:dyDescent="0.25">
      <c r="A303" s="7" t="s">
        <v>1846</v>
      </c>
      <c r="B303" s="152"/>
      <c r="C303" s="151" t="s">
        <v>4013</v>
      </c>
      <c r="D303" s="152">
        <v>1</v>
      </c>
      <c r="E303" s="152" t="s">
        <v>153</v>
      </c>
      <c r="F303" s="153">
        <v>2635488000</v>
      </c>
      <c r="G303" s="153">
        <f>ROUNDDOWN(D303*F303,-3)</f>
        <v>2635488000</v>
      </c>
      <c r="H303" s="210" t="b">
        <f t="shared" si="7"/>
        <v>1</v>
      </c>
    </row>
    <row r="304" spans="1:8" ht="13.8" x14ac:dyDescent="0.25">
      <c r="A304" s="7" t="s">
        <v>4041</v>
      </c>
      <c r="B304" s="59" t="s">
        <v>2208</v>
      </c>
      <c r="C304" s="38" t="s">
        <v>4042</v>
      </c>
      <c r="D304" s="59"/>
      <c r="E304" s="59"/>
      <c r="F304" s="39"/>
      <c r="G304" s="39">
        <f>G305</f>
        <v>323949000</v>
      </c>
      <c r="H304" s="210" t="b">
        <f t="shared" si="7"/>
        <v>1</v>
      </c>
    </row>
    <row r="305" spans="1:8" ht="13.8" x14ac:dyDescent="0.25">
      <c r="A305" s="7" t="s">
        <v>4043</v>
      </c>
      <c r="B305" s="60">
        <v>512411</v>
      </c>
      <c r="C305" s="41" t="s">
        <v>88</v>
      </c>
      <c r="D305" s="60"/>
      <c r="E305" s="60"/>
      <c r="F305" s="42"/>
      <c r="G305" s="42">
        <f>G306</f>
        <v>323949000</v>
      </c>
      <c r="H305" s="210" t="b">
        <f t="shared" si="7"/>
        <v>1</v>
      </c>
    </row>
    <row r="306" spans="1:8" ht="13.8" x14ac:dyDescent="0.25">
      <c r="A306" s="7" t="s">
        <v>4044</v>
      </c>
      <c r="B306" s="152"/>
      <c r="C306" s="151" t="s">
        <v>4045</v>
      </c>
      <c r="D306" s="152">
        <v>1</v>
      </c>
      <c r="E306" s="152" t="s">
        <v>4046</v>
      </c>
      <c r="F306" s="153">
        <v>323949000</v>
      </c>
      <c r="G306" s="153">
        <f>ROUNDDOWN(D306*F306,-3)</f>
        <v>323949000</v>
      </c>
      <c r="H306" s="210" t="b">
        <f t="shared" si="7"/>
        <v>1</v>
      </c>
    </row>
    <row r="307" spans="1:8" ht="13.8" x14ac:dyDescent="0.25">
      <c r="A307" s="7" t="s">
        <v>1847</v>
      </c>
      <c r="B307" s="58" t="s">
        <v>557</v>
      </c>
      <c r="C307" s="35" t="s">
        <v>89</v>
      </c>
      <c r="D307" s="58"/>
      <c r="E307" s="58"/>
      <c r="F307" s="36"/>
      <c r="G307" s="36">
        <f>SUM(G308,G329,G335,G348,G363)</f>
        <v>2195658000</v>
      </c>
      <c r="H307" s="210" t="b">
        <f t="shared" si="7"/>
        <v>1</v>
      </c>
    </row>
    <row r="308" spans="1:8" ht="26.4" x14ac:dyDescent="0.25">
      <c r="A308" s="7" t="s">
        <v>2170</v>
      </c>
      <c r="B308" s="59" t="s">
        <v>1807</v>
      </c>
      <c r="C308" s="38" t="s">
        <v>2171</v>
      </c>
      <c r="D308" s="59"/>
      <c r="E308" s="59"/>
      <c r="F308" s="39"/>
      <c r="G308" s="39">
        <f>SUM(G309,G319)</f>
        <v>1254380000</v>
      </c>
      <c r="H308" s="210" t="b">
        <f t="shared" si="7"/>
        <v>1</v>
      </c>
    </row>
    <row r="309" spans="1:8" ht="13.8" x14ac:dyDescent="0.25">
      <c r="A309" s="7" t="s">
        <v>2172</v>
      </c>
      <c r="B309" s="60">
        <v>521111</v>
      </c>
      <c r="C309" s="41" t="s">
        <v>90</v>
      </c>
      <c r="D309" s="60"/>
      <c r="E309" s="60"/>
      <c r="F309" s="42"/>
      <c r="G309" s="42">
        <f>SUM(G310:G318)</f>
        <v>1076220000</v>
      </c>
      <c r="H309" s="210" t="b">
        <f t="shared" si="7"/>
        <v>1</v>
      </c>
    </row>
    <row r="310" spans="1:8" ht="13.8" x14ac:dyDescent="0.25">
      <c r="A310" s="7" t="s">
        <v>2173</v>
      </c>
      <c r="B310" s="152"/>
      <c r="C310" s="151" t="s">
        <v>4154</v>
      </c>
      <c r="D310" s="152">
        <v>60</v>
      </c>
      <c r="E310" s="152" t="s">
        <v>116</v>
      </c>
      <c r="F310" s="153">
        <v>1300000</v>
      </c>
      <c r="G310" s="153">
        <f t="shared" ref="G310:G318" si="8">ROUNDDOWN(D310*F310,-3)</f>
        <v>78000000</v>
      </c>
      <c r="H310" s="210" t="b">
        <f t="shared" si="7"/>
        <v>1</v>
      </c>
    </row>
    <row r="311" spans="1:8" ht="13.8" x14ac:dyDescent="0.25">
      <c r="A311" s="7" t="s">
        <v>2174</v>
      </c>
      <c r="B311" s="152"/>
      <c r="C311" s="151" t="s">
        <v>4182</v>
      </c>
      <c r="D311" s="152">
        <v>1</v>
      </c>
      <c r="E311" s="152" t="s">
        <v>60</v>
      </c>
      <c r="F311" s="153">
        <v>60000000</v>
      </c>
      <c r="G311" s="153">
        <f t="shared" si="8"/>
        <v>60000000</v>
      </c>
      <c r="H311" s="210" t="b">
        <f t="shared" si="7"/>
        <v>1</v>
      </c>
    </row>
    <row r="312" spans="1:8" ht="13.8" x14ac:dyDescent="0.25">
      <c r="A312" s="7" t="s">
        <v>2176</v>
      </c>
      <c r="B312" s="152"/>
      <c r="C312" s="151" t="s">
        <v>4183</v>
      </c>
      <c r="D312" s="152">
        <v>156</v>
      </c>
      <c r="E312" s="152" t="s">
        <v>21</v>
      </c>
      <c r="F312" s="153">
        <v>4858000</v>
      </c>
      <c r="G312" s="153">
        <f t="shared" si="8"/>
        <v>757848000</v>
      </c>
      <c r="H312" s="210" t="b">
        <f t="shared" si="7"/>
        <v>1</v>
      </c>
    </row>
    <row r="313" spans="1:8" ht="13.8" x14ac:dyDescent="0.25">
      <c r="A313" s="7" t="s">
        <v>2178</v>
      </c>
      <c r="B313" s="152"/>
      <c r="C313" s="151" t="s">
        <v>4184</v>
      </c>
      <c r="D313" s="152">
        <v>13</v>
      </c>
      <c r="E313" s="152" t="s">
        <v>32</v>
      </c>
      <c r="F313" s="153">
        <v>5344000</v>
      </c>
      <c r="G313" s="153">
        <f t="shared" si="8"/>
        <v>69472000</v>
      </c>
      <c r="H313" s="210" t="b">
        <f t="shared" si="7"/>
        <v>1</v>
      </c>
    </row>
    <row r="314" spans="1:8" ht="13.8" x14ac:dyDescent="0.25">
      <c r="A314" s="7" t="s">
        <v>2179</v>
      </c>
      <c r="B314" s="152"/>
      <c r="C314" s="151" t="s">
        <v>4185</v>
      </c>
      <c r="D314" s="152">
        <v>12</v>
      </c>
      <c r="E314" s="152" t="s">
        <v>78</v>
      </c>
      <c r="F314" s="153">
        <v>500000</v>
      </c>
      <c r="G314" s="153">
        <f t="shared" si="8"/>
        <v>6000000</v>
      </c>
      <c r="H314" s="210" t="b">
        <f t="shared" si="7"/>
        <v>1</v>
      </c>
    </row>
    <row r="315" spans="1:8" ht="13.8" x14ac:dyDescent="0.25">
      <c r="A315" s="7" t="s">
        <v>2181</v>
      </c>
      <c r="B315" s="152"/>
      <c r="C315" s="151" t="s">
        <v>4186</v>
      </c>
      <c r="D315" s="152">
        <v>100</v>
      </c>
      <c r="E315" s="152" t="s">
        <v>58</v>
      </c>
      <c r="F315" s="153">
        <v>500000</v>
      </c>
      <c r="G315" s="153">
        <f t="shared" si="8"/>
        <v>50000000</v>
      </c>
      <c r="H315" s="210" t="b">
        <f t="shared" si="7"/>
        <v>1</v>
      </c>
    </row>
    <row r="316" spans="1:8" ht="13.8" x14ac:dyDescent="0.25">
      <c r="A316" s="7" t="s">
        <v>2183</v>
      </c>
      <c r="B316" s="152"/>
      <c r="C316" s="151" t="s">
        <v>4187</v>
      </c>
      <c r="D316" s="152">
        <v>12</v>
      </c>
      <c r="E316" s="152" t="s">
        <v>115</v>
      </c>
      <c r="F316" s="153">
        <v>750000</v>
      </c>
      <c r="G316" s="153">
        <f t="shared" si="8"/>
        <v>9000000</v>
      </c>
      <c r="H316" s="210" t="b">
        <f t="shared" si="7"/>
        <v>1</v>
      </c>
    </row>
    <row r="317" spans="1:8" ht="13.8" x14ac:dyDescent="0.25">
      <c r="A317" s="7" t="s">
        <v>2185</v>
      </c>
      <c r="B317" s="152"/>
      <c r="C317" s="151" t="s">
        <v>4188</v>
      </c>
      <c r="D317" s="152">
        <v>12</v>
      </c>
      <c r="E317" s="152" t="s">
        <v>115</v>
      </c>
      <c r="F317" s="153">
        <v>1325000</v>
      </c>
      <c r="G317" s="153">
        <f t="shared" si="8"/>
        <v>15900000</v>
      </c>
      <c r="H317" s="210" t="b">
        <f t="shared" si="7"/>
        <v>1</v>
      </c>
    </row>
    <row r="318" spans="1:8" ht="13.8" x14ac:dyDescent="0.25">
      <c r="A318" s="7" t="s">
        <v>2187</v>
      </c>
      <c r="B318" s="152"/>
      <c r="C318" s="151" t="s">
        <v>4189</v>
      </c>
      <c r="D318" s="152">
        <v>12</v>
      </c>
      <c r="E318" s="152" t="s">
        <v>78</v>
      </c>
      <c r="F318" s="153">
        <v>2500000</v>
      </c>
      <c r="G318" s="153">
        <f t="shared" si="8"/>
        <v>30000000</v>
      </c>
      <c r="H318" s="210" t="b">
        <f t="shared" si="7"/>
        <v>1</v>
      </c>
    </row>
    <row r="319" spans="1:8" ht="13.8" x14ac:dyDescent="0.25">
      <c r="A319" s="7" t="s">
        <v>2189</v>
      </c>
      <c r="B319" s="60">
        <v>521811</v>
      </c>
      <c r="C319" s="41" t="s">
        <v>64</v>
      </c>
      <c r="D319" s="60"/>
      <c r="E319" s="60"/>
      <c r="F319" s="42"/>
      <c r="G319" s="42">
        <f>SUM(G320:G328)</f>
        <v>178160000</v>
      </c>
      <c r="H319" s="210" t="b">
        <f t="shared" si="7"/>
        <v>1</v>
      </c>
    </row>
    <row r="320" spans="1:8" ht="13.8" x14ac:dyDescent="0.25">
      <c r="A320" s="7" t="s">
        <v>2190</v>
      </c>
      <c r="B320" s="152"/>
      <c r="C320" s="151" t="s">
        <v>3625</v>
      </c>
      <c r="D320" s="152">
        <v>40</v>
      </c>
      <c r="E320" s="152" t="s">
        <v>9</v>
      </c>
      <c r="F320" s="153">
        <v>1000000</v>
      </c>
      <c r="G320" s="153">
        <f t="shared" ref="G320:G328" si="9">ROUNDDOWN(D320*F320,-3)</f>
        <v>40000000</v>
      </c>
      <c r="H320" s="210" t="b">
        <f t="shared" si="7"/>
        <v>1</v>
      </c>
    </row>
    <row r="321" spans="1:8" ht="13.8" x14ac:dyDescent="0.25">
      <c r="A321" s="7" t="s">
        <v>2191</v>
      </c>
      <c r="B321" s="152"/>
      <c r="C321" s="151" t="s">
        <v>3626</v>
      </c>
      <c r="D321" s="152">
        <v>40</v>
      </c>
      <c r="E321" s="152" t="s">
        <v>9</v>
      </c>
      <c r="F321" s="153">
        <v>1500000</v>
      </c>
      <c r="G321" s="153">
        <f t="shared" si="9"/>
        <v>60000000</v>
      </c>
      <c r="H321" s="210" t="b">
        <f t="shared" si="7"/>
        <v>1</v>
      </c>
    </row>
    <row r="322" spans="1:8" ht="13.8" x14ac:dyDescent="0.25">
      <c r="A322" s="7" t="s">
        <v>2192</v>
      </c>
      <c r="B322" s="152"/>
      <c r="C322" s="151" t="s">
        <v>4190</v>
      </c>
      <c r="D322" s="152">
        <v>192</v>
      </c>
      <c r="E322" s="152" t="s">
        <v>9</v>
      </c>
      <c r="F322" s="153">
        <v>50000</v>
      </c>
      <c r="G322" s="153">
        <f t="shared" si="9"/>
        <v>9600000</v>
      </c>
      <c r="H322" s="210" t="b">
        <f t="shared" si="7"/>
        <v>1</v>
      </c>
    </row>
    <row r="323" spans="1:8" ht="13.8" x14ac:dyDescent="0.25">
      <c r="A323" s="7" t="s">
        <v>2194</v>
      </c>
      <c r="B323" s="152"/>
      <c r="C323" s="151" t="s">
        <v>4191</v>
      </c>
      <c r="D323" s="152">
        <v>192</v>
      </c>
      <c r="E323" s="152" t="s">
        <v>9</v>
      </c>
      <c r="F323" s="153">
        <v>55000</v>
      </c>
      <c r="G323" s="153">
        <f t="shared" si="9"/>
        <v>10560000</v>
      </c>
      <c r="H323" s="210" t="b">
        <f t="shared" si="7"/>
        <v>1</v>
      </c>
    </row>
    <row r="324" spans="1:8" ht="13.8" x14ac:dyDescent="0.25">
      <c r="A324" s="7" t="s">
        <v>2196</v>
      </c>
      <c r="B324" s="152"/>
      <c r="C324" s="151" t="s">
        <v>4192</v>
      </c>
      <c r="D324" s="152">
        <v>50</v>
      </c>
      <c r="E324" s="152" t="s">
        <v>2198</v>
      </c>
      <c r="F324" s="153">
        <v>220000</v>
      </c>
      <c r="G324" s="153">
        <f t="shared" si="9"/>
        <v>11000000</v>
      </c>
      <c r="H324" s="210" t="b">
        <f t="shared" si="7"/>
        <v>1</v>
      </c>
    </row>
    <row r="325" spans="1:8" ht="13.8" x14ac:dyDescent="0.25">
      <c r="A325" s="7" t="s">
        <v>2199</v>
      </c>
      <c r="B325" s="152"/>
      <c r="C325" s="151" t="s">
        <v>4193</v>
      </c>
      <c r="D325" s="152">
        <v>50</v>
      </c>
      <c r="E325" s="152" t="s">
        <v>2198</v>
      </c>
      <c r="F325" s="153">
        <v>240000</v>
      </c>
      <c r="G325" s="153">
        <f t="shared" si="9"/>
        <v>12000000</v>
      </c>
      <c r="H325" s="210" t="b">
        <f t="shared" si="7"/>
        <v>1</v>
      </c>
    </row>
    <row r="326" spans="1:8" ht="13.8" x14ac:dyDescent="0.25">
      <c r="A326" s="7" t="s">
        <v>2201</v>
      </c>
      <c r="B326" s="152"/>
      <c r="C326" s="151" t="s">
        <v>4194</v>
      </c>
      <c r="D326" s="152">
        <v>800</v>
      </c>
      <c r="E326" s="152" t="s">
        <v>120</v>
      </c>
      <c r="F326" s="153">
        <v>5000</v>
      </c>
      <c r="G326" s="153">
        <f t="shared" si="9"/>
        <v>4000000</v>
      </c>
      <c r="H326" s="210" t="b">
        <f t="shared" si="7"/>
        <v>1</v>
      </c>
    </row>
    <row r="327" spans="1:8" ht="13.8" x14ac:dyDescent="0.25">
      <c r="A327" s="7" t="s">
        <v>2203</v>
      </c>
      <c r="B327" s="152"/>
      <c r="C327" s="151" t="s">
        <v>4195</v>
      </c>
      <c r="D327" s="152">
        <v>50</v>
      </c>
      <c r="E327" s="152" t="s">
        <v>1422</v>
      </c>
      <c r="F327" s="153">
        <v>220000</v>
      </c>
      <c r="G327" s="153">
        <f t="shared" si="9"/>
        <v>11000000</v>
      </c>
      <c r="H327" s="210" t="b">
        <f t="shared" si="7"/>
        <v>1</v>
      </c>
    </row>
    <row r="328" spans="1:8" ht="13.8" x14ac:dyDescent="0.25">
      <c r="A328" s="7" t="s">
        <v>2205</v>
      </c>
      <c r="B328" s="152"/>
      <c r="C328" s="151" t="s">
        <v>4196</v>
      </c>
      <c r="D328" s="152">
        <v>800</v>
      </c>
      <c r="E328" s="152" t="s">
        <v>120</v>
      </c>
      <c r="F328" s="153">
        <v>25000</v>
      </c>
      <c r="G328" s="153">
        <f t="shared" si="9"/>
        <v>20000000</v>
      </c>
      <c r="H328" s="210" t="b">
        <f t="shared" si="7"/>
        <v>1</v>
      </c>
    </row>
    <row r="329" spans="1:8" ht="13.8" x14ac:dyDescent="0.25">
      <c r="A329" s="7" t="s">
        <v>2207</v>
      </c>
      <c r="B329" s="59" t="s">
        <v>2208</v>
      </c>
      <c r="C329" s="38" t="s">
        <v>2209</v>
      </c>
      <c r="D329" s="59"/>
      <c r="E329" s="59"/>
      <c r="F329" s="39"/>
      <c r="G329" s="39">
        <f>SUM(G330,G332)</f>
        <v>148852000</v>
      </c>
      <c r="H329" s="210" t="b">
        <f t="shared" si="7"/>
        <v>1</v>
      </c>
    </row>
    <row r="330" spans="1:8" ht="13.8" x14ac:dyDescent="0.25">
      <c r="A330" s="7" t="s">
        <v>2210</v>
      </c>
      <c r="B330" s="60">
        <v>521114</v>
      </c>
      <c r="C330" s="41" t="s">
        <v>94</v>
      </c>
      <c r="D330" s="60"/>
      <c r="E330" s="60"/>
      <c r="F330" s="42"/>
      <c r="G330" s="42">
        <f>G331</f>
        <v>30000000</v>
      </c>
      <c r="H330" s="210" t="b">
        <f t="shared" si="7"/>
        <v>1</v>
      </c>
    </row>
    <row r="331" spans="1:8" ht="13.8" x14ac:dyDescent="0.25">
      <c r="A331" s="7" t="s">
        <v>2211</v>
      </c>
      <c r="B331" s="152"/>
      <c r="C331" s="151" t="s">
        <v>4197</v>
      </c>
      <c r="D331" s="152">
        <v>12</v>
      </c>
      <c r="E331" s="152" t="s">
        <v>78</v>
      </c>
      <c r="F331" s="153">
        <v>2500000</v>
      </c>
      <c r="G331" s="153">
        <f>ROUNDDOWN(D331*F331,-3)</f>
        <v>30000000</v>
      </c>
      <c r="H331" s="210" t="b">
        <f t="shared" si="7"/>
        <v>1</v>
      </c>
    </row>
    <row r="332" spans="1:8" ht="13.8" x14ac:dyDescent="0.25">
      <c r="A332" s="7" t="s">
        <v>2213</v>
      </c>
      <c r="B332" s="60">
        <v>522141</v>
      </c>
      <c r="C332" s="41" t="s">
        <v>95</v>
      </c>
      <c r="D332" s="60"/>
      <c r="E332" s="60"/>
      <c r="F332" s="42"/>
      <c r="G332" s="42">
        <f>SUM(G333:G334)</f>
        <v>118852000</v>
      </c>
      <c r="H332" s="210" t="b">
        <f t="shared" si="7"/>
        <v>1</v>
      </c>
    </row>
    <row r="333" spans="1:8" ht="13.8" x14ac:dyDescent="0.25">
      <c r="A333" s="7" t="s">
        <v>2214</v>
      </c>
      <c r="B333" s="152"/>
      <c r="C333" s="151" t="s">
        <v>4198</v>
      </c>
      <c r="D333" s="152">
        <v>12</v>
      </c>
      <c r="E333" s="152" t="s">
        <v>78</v>
      </c>
      <c r="F333" s="153">
        <v>5000000</v>
      </c>
      <c r="G333" s="153">
        <f>ROUNDDOWN(D333*F333,-3)</f>
        <v>60000000</v>
      </c>
      <c r="H333" s="210" t="b">
        <f t="shared" ref="H333:H396" si="10">_xlfn.ISFORMULA(G333)</f>
        <v>1</v>
      </c>
    </row>
    <row r="334" spans="1:8" ht="13.8" x14ac:dyDescent="0.25">
      <c r="A334" s="7" t="s">
        <v>2216</v>
      </c>
      <c r="B334" s="152"/>
      <c r="C334" s="151" t="s">
        <v>4199</v>
      </c>
      <c r="D334" s="152">
        <v>1</v>
      </c>
      <c r="E334" s="152" t="s">
        <v>60</v>
      </c>
      <c r="F334" s="153">
        <v>58852000</v>
      </c>
      <c r="G334" s="153">
        <f>ROUNDDOWN(D334*F334,-3)</f>
        <v>58852000</v>
      </c>
      <c r="H334" s="210" t="b">
        <f t="shared" si="10"/>
        <v>1</v>
      </c>
    </row>
    <row r="335" spans="1:8" ht="13.8" x14ac:dyDescent="0.25">
      <c r="A335" s="7" t="s">
        <v>2218</v>
      </c>
      <c r="B335" s="59" t="s">
        <v>2219</v>
      </c>
      <c r="C335" s="38" t="s">
        <v>2220</v>
      </c>
      <c r="D335" s="59"/>
      <c r="E335" s="59"/>
      <c r="F335" s="39"/>
      <c r="G335" s="39">
        <f>SUM(G336,G346)</f>
        <v>533050000</v>
      </c>
      <c r="H335" s="210" t="b">
        <f t="shared" si="10"/>
        <v>1</v>
      </c>
    </row>
    <row r="336" spans="1:8" ht="13.8" x14ac:dyDescent="0.25">
      <c r="A336" s="7" t="s">
        <v>2221</v>
      </c>
      <c r="B336" s="60">
        <v>523121</v>
      </c>
      <c r="C336" s="41" t="s">
        <v>99</v>
      </c>
      <c r="D336" s="60"/>
      <c r="E336" s="60"/>
      <c r="F336" s="42"/>
      <c r="G336" s="42">
        <f>SUM(G337:G345)</f>
        <v>497050000</v>
      </c>
      <c r="H336" s="210" t="b">
        <f t="shared" si="10"/>
        <v>1</v>
      </c>
    </row>
    <row r="337" spans="1:8" ht="26.4" x14ac:dyDescent="0.25">
      <c r="A337" s="7" t="s">
        <v>2222</v>
      </c>
      <c r="B337" s="152"/>
      <c r="C337" s="151" t="s">
        <v>4200</v>
      </c>
      <c r="D337" s="152">
        <v>1</v>
      </c>
      <c r="E337" s="152" t="s">
        <v>44</v>
      </c>
      <c r="F337" s="153">
        <v>38730000</v>
      </c>
      <c r="G337" s="153">
        <f t="shared" ref="G337:G345" si="11">ROUNDDOWN(D337*F337,-3)</f>
        <v>38730000</v>
      </c>
      <c r="H337" s="210" t="b">
        <f t="shared" si="10"/>
        <v>1</v>
      </c>
    </row>
    <row r="338" spans="1:8" ht="13.8" x14ac:dyDescent="0.25">
      <c r="A338" s="7" t="s">
        <v>2224</v>
      </c>
      <c r="B338" s="152"/>
      <c r="C338" s="151" t="s">
        <v>4201</v>
      </c>
      <c r="D338" s="152">
        <v>9</v>
      </c>
      <c r="E338" s="152" t="s">
        <v>4202</v>
      </c>
      <c r="F338" s="153">
        <v>32850000</v>
      </c>
      <c r="G338" s="153">
        <f t="shared" si="11"/>
        <v>295650000</v>
      </c>
      <c r="H338" s="210" t="b">
        <f t="shared" si="10"/>
        <v>1</v>
      </c>
    </row>
    <row r="339" spans="1:8" ht="13.8" x14ac:dyDescent="0.25">
      <c r="A339" s="7" t="s">
        <v>2226</v>
      </c>
      <c r="B339" s="152"/>
      <c r="C339" s="151" t="s">
        <v>4203</v>
      </c>
      <c r="D339" s="152">
        <v>5</v>
      </c>
      <c r="E339" s="152" t="s">
        <v>42</v>
      </c>
      <c r="F339" s="153">
        <v>3640000</v>
      </c>
      <c r="G339" s="153">
        <f t="shared" si="11"/>
        <v>18200000</v>
      </c>
      <c r="H339" s="210" t="b">
        <f t="shared" si="10"/>
        <v>1</v>
      </c>
    </row>
    <row r="340" spans="1:8" ht="13.8" x14ac:dyDescent="0.25">
      <c r="A340" s="7" t="s">
        <v>2228</v>
      </c>
      <c r="B340" s="152"/>
      <c r="C340" s="151" t="s">
        <v>4204</v>
      </c>
      <c r="D340" s="152">
        <v>40</v>
      </c>
      <c r="E340" s="152" t="s">
        <v>42</v>
      </c>
      <c r="F340" s="153">
        <v>730000</v>
      </c>
      <c r="G340" s="153">
        <f t="shared" si="11"/>
        <v>29200000</v>
      </c>
      <c r="H340" s="210" t="b">
        <f t="shared" si="10"/>
        <v>1</v>
      </c>
    </row>
    <row r="341" spans="1:8" ht="13.8" x14ac:dyDescent="0.25">
      <c r="A341" s="7" t="s">
        <v>2229</v>
      </c>
      <c r="B341" s="152"/>
      <c r="C341" s="151" t="s">
        <v>4205</v>
      </c>
      <c r="D341" s="152">
        <v>35</v>
      </c>
      <c r="E341" s="152" t="s">
        <v>44</v>
      </c>
      <c r="F341" s="153">
        <v>730000</v>
      </c>
      <c r="G341" s="153">
        <f t="shared" si="11"/>
        <v>25550000</v>
      </c>
      <c r="H341" s="210" t="b">
        <f t="shared" si="10"/>
        <v>1</v>
      </c>
    </row>
    <row r="342" spans="1:8" ht="13.8" x14ac:dyDescent="0.25">
      <c r="A342" s="7" t="s">
        <v>2230</v>
      </c>
      <c r="B342" s="152"/>
      <c r="C342" s="151" t="s">
        <v>4206</v>
      </c>
      <c r="D342" s="152">
        <v>35</v>
      </c>
      <c r="E342" s="152" t="s">
        <v>44</v>
      </c>
      <c r="F342" s="153">
        <v>690000</v>
      </c>
      <c r="G342" s="153">
        <f t="shared" si="11"/>
        <v>24150000</v>
      </c>
      <c r="H342" s="210" t="b">
        <f t="shared" si="10"/>
        <v>1</v>
      </c>
    </row>
    <row r="343" spans="1:8" ht="13.8" x14ac:dyDescent="0.25">
      <c r="A343" s="7" t="s">
        <v>2231</v>
      </c>
      <c r="B343" s="152"/>
      <c r="C343" s="151" t="s">
        <v>4207</v>
      </c>
      <c r="D343" s="152">
        <v>3</v>
      </c>
      <c r="E343" s="152" t="s">
        <v>44</v>
      </c>
      <c r="F343" s="153">
        <v>3500000</v>
      </c>
      <c r="G343" s="153">
        <f t="shared" si="11"/>
        <v>10500000</v>
      </c>
      <c r="H343" s="210" t="b">
        <f t="shared" si="10"/>
        <v>1</v>
      </c>
    </row>
    <row r="344" spans="1:8" ht="13.8" x14ac:dyDescent="0.25">
      <c r="A344" s="7" t="s">
        <v>2232</v>
      </c>
      <c r="B344" s="152"/>
      <c r="C344" s="151" t="s">
        <v>4208</v>
      </c>
      <c r="D344" s="152">
        <v>6</v>
      </c>
      <c r="E344" s="152" t="s">
        <v>44</v>
      </c>
      <c r="F344" s="153">
        <v>470000</v>
      </c>
      <c r="G344" s="153">
        <f t="shared" si="11"/>
        <v>2820000</v>
      </c>
      <c r="H344" s="210" t="b">
        <f t="shared" si="10"/>
        <v>1</v>
      </c>
    </row>
    <row r="345" spans="1:8" ht="13.8" x14ac:dyDescent="0.25">
      <c r="A345" s="7" t="s">
        <v>2234</v>
      </c>
      <c r="B345" s="152"/>
      <c r="C345" s="151" t="s">
        <v>4209</v>
      </c>
      <c r="D345" s="152">
        <v>1</v>
      </c>
      <c r="E345" s="152" t="s">
        <v>60</v>
      </c>
      <c r="F345" s="153">
        <v>52250000</v>
      </c>
      <c r="G345" s="153">
        <f t="shared" si="11"/>
        <v>52250000</v>
      </c>
      <c r="H345" s="210" t="b">
        <f t="shared" si="10"/>
        <v>1</v>
      </c>
    </row>
    <row r="346" spans="1:8" ht="13.8" x14ac:dyDescent="0.25">
      <c r="A346" s="7" t="s">
        <v>2235</v>
      </c>
      <c r="B346" s="60">
        <v>523199</v>
      </c>
      <c r="C346" s="41" t="s">
        <v>102</v>
      </c>
      <c r="D346" s="60"/>
      <c r="E346" s="60"/>
      <c r="F346" s="42"/>
      <c r="G346" s="42">
        <f>G347</f>
        <v>36000000</v>
      </c>
      <c r="H346" s="210" t="b">
        <f t="shared" si="10"/>
        <v>1</v>
      </c>
    </row>
    <row r="347" spans="1:8" ht="13.8" x14ac:dyDescent="0.25">
      <c r="A347" s="7" t="s">
        <v>2236</v>
      </c>
      <c r="B347" s="152"/>
      <c r="C347" s="151" t="s">
        <v>4210</v>
      </c>
      <c r="D347" s="152">
        <v>24</v>
      </c>
      <c r="E347" s="152" t="s">
        <v>96</v>
      </c>
      <c r="F347" s="153">
        <v>1500000</v>
      </c>
      <c r="G347" s="153">
        <f>ROUNDDOWN(D347*F347,-3)</f>
        <v>36000000</v>
      </c>
      <c r="H347" s="210" t="b">
        <f t="shared" si="10"/>
        <v>1</v>
      </c>
    </row>
    <row r="348" spans="1:8" ht="26.4" x14ac:dyDescent="0.25">
      <c r="A348" s="7" t="s">
        <v>2238</v>
      </c>
      <c r="B348" s="59" t="s">
        <v>2239</v>
      </c>
      <c r="C348" s="38" t="s">
        <v>2240</v>
      </c>
      <c r="D348" s="59"/>
      <c r="E348" s="59"/>
      <c r="F348" s="39"/>
      <c r="G348" s="39">
        <f>SUM(G349,G352)</f>
        <v>159376000</v>
      </c>
      <c r="H348" s="210" t="b">
        <f t="shared" si="10"/>
        <v>1</v>
      </c>
    </row>
    <row r="349" spans="1:8" ht="13.8" x14ac:dyDescent="0.25">
      <c r="A349" s="7" t="s">
        <v>2241</v>
      </c>
      <c r="B349" s="60">
        <v>521111</v>
      </c>
      <c r="C349" s="41" t="s">
        <v>90</v>
      </c>
      <c r="D349" s="60"/>
      <c r="E349" s="60"/>
      <c r="F349" s="42"/>
      <c r="G349" s="42">
        <f>SUM(G350:G351)</f>
        <v>101040000</v>
      </c>
      <c r="H349" s="210" t="b">
        <f t="shared" si="10"/>
        <v>1</v>
      </c>
    </row>
    <row r="350" spans="1:8" s="212" customFormat="1" ht="13.8" x14ac:dyDescent="0.25">
      <c r="A350" s="211" t="s">
        <v>2242</v>
      </c>
      <c r="B350" s="152"/>
      <c r="C350" s="151" t="s">
        <v>4211</v>
      </c>
      <c r="D350" s="152">
        <v>100</v>
      </c>
      <c r="E350" s="152" t="s">
        <v>2244</v>
      </c>
      <c r="F350" s="153">
        <v>857000</v>
      </c>
      <c r="G350" s="153">
        <f>ROUNDDOWN(D350*F350,-3)</f>
        <v>85700000</v>
      </c>
      <c r="H350" s="210" t="b">
        <f t="shared" si="10"/>
        <v>1</v>
      </c>
    </row>
    <row r="351" spans="1:8" ht="13.8" x14ac:dyDescent="0.25">
      <c r="A351" s="7" t="s">
        <v>2245</v>
      </c>
      <c r="B351" s="152"/>
      <c r="C351" s="151" t="s">
        <v>4212</v>
      </c>
      <c r="D351" s="152">
        <v>26</v>
      </c>
      <c r="E351" s="152" t="s">
        <v>121</v>
      </c>
      <c r="F351" s="153">
        <v>590000</v>
      </c>
      <c r="G351" s="153">
        <f>ROUNDDOWN(D351*F351,-3)</f>
        <v>15340000</v>
      </c>
      <c r="H351" s="210" t="b">
        <f t="shared" si="10"/>
        <v>1</v>
      </c>
    </row>
    <row r="352" spans="1:8" ht="13.8" x14ac:dyDescent="0.25">
      <c r="A352" s="7" t="s">
        <v>2247</v>
      </c>
      <c r="B352" s="60">
        <v>521115</v>
      </c>
      <c r="C352" s="41" t="s">
        <v>104</v>
      </c>
      <c r="D352" s="60"/>
      <c r="E352" s="60"/>
      <c r="F352" s="42"/>
      <c r="G352" s="42">
        <f>SUM(G353:G362)</f>
        <v>58336000</v>
      </c>
      <c r="H352" s="210" t="b">
        <f t="shared" si="10"/>
        <v>1</v>
      </c>
    </row>
    <row r="353" spans="1:8" ht="13.8" x14ac:dyDescent="0.25">
      <c r="A353" s="7" t="s">
        <v>2248</v>
      </c>
      <c r="B353" s="152"/>
      <c r="C353" s="151" t="s">
        <v>4213</v>
      </c>
      <c r="D353" s="152">
        <v>12</v>
      </c>
      <c r="E353" s="152" t="s">
        <v>32</v>
      </c>
      <c r="F353" s="153">
        <v>2920000</v>
      </c>
      <c r="G353" s="153">
        <f t="shared" ref="G353:G362" si="12">ROUNDDOWN(D353*F353,-3)</f>
        <v>35040000</v>
      </c>
      <c r="H353" s="210" t="b">
        <f t="shared" si="10"/>
        <v>1</v>
      </c>
    </row>
    <row r="354" spans="1:8" ht="13.8" x14ac:dyDescent="0.25">
      <c r="A354" s="7" t="s">
        <v>2250</v>
      </c>
      <c r="B354" s="152"/>
      <c r="C354" s="151" t="s">
        <v>4214</v>
      </c>
      <c r="D354" s="152">
        <v>12</v>
      </c>
      <c r="E354" s="152" t="s">
        <v>32</v>
      </c>
      <c r="F354" s="153">
        <v>324000</v>
      </c>
      <c r="G354" s="153">
        <f t="shared" si="12"/>
        <v>3888000</v>
      </c>
      <c r="H354" s="210" t="b">
        <f t="shared" si="10"/>
        <v>1</v>
      </c>
    </row>
    <row r="355" spans="1:8" ht="13.8" x14ac:dyDescent="0.25">
      <c r="A355" s="7" t="s">
        <v>2252</v>
      </c>
      <c r="B355" s="152"/>
      <c r="C355" s="151" t="s">
        <v>4215</v>
      </c>
      <c r="D355" s="152">
        <v>12</v>
      </c>
      <c r="E355" s="152" t="s">
        <v>32</v>
      </c>
      <c r="F355" s="153">
        <v>324000</v>
      </c>
      <c r="G355" s="153">
        <f t="shared" si="12"/>
        <v>3888000</v>
      </c>
      <c r="H355" s="210" t="b">
        <f t="shared" si="10"/>
        <v>1</v>
      </c>
    </row>
    <row r="356" spans="1:8" s="212" customFormat="1" ht="26.4" x14ac:dyDescent="0.25">
      <c r="A356" s="211" t="s">
        <v>2254</v>
      </c>
      <c r="B356" s="152"/>
      <c r="C356" s="151" t="s">
        <v>4216</v>
      </c>
      <c r="D356" s="152">
        <v>12</v>
      </c>
      <c r="E356" s="152" t="s">
        <v>32</v>
      </c>
      <c r="F356" s="153">
        <v>680000</v>
      </c>
      <c r="G356" s="153">
        <f t="shared" si="12"/>
        <v>8160000</v>
      </c>
      <c r="H356" s="210" t="b">
        <f t="shared" si="10"/>
        <v>1</v>
      </c>
    </row>
    <row r="357" spans="1:8" ht="13.8" x14ac:dyDescent="0.25">
      <c r="A357" s="7" t="s">
        <v>2256</v>
      </c>
      <c r="B357" s="152"/>
      <c r="C357" s="151" t="s">
        <v>4217</v>
      </c>
      <c r="D357" s="152">
        <v>12</v>
      </c>
      <c r="E357" s="152" t="s">
        <v>32</v>
      </c>
      <c r="F357" s="153">
        <v>200000</v>
      </c>
      <c r="G357" s="153">
        <f t="shared" si="12"/>
        <v>2400000</v>
      </c>
      <c r="H357" s="210" t="b">
        <f t="shared" si="10"/>
        <v>1</v>
      </c>
    </row>
    <row r="358" spans="1:8" ht="13.8" x14ac:dyDescent="0.25">
      <c r="A358" s="7" t="s">
        <v>2258</v>
      </c>
      <c r="B358" s="152"/>
      <c r="C358" s="151" t="s">
        <v>4218</v>
      </c>
      <c r="D358" s="152">
        <v>12</v>
      </c>
      <c r="E358" s="152" t="s">
        <v>32</v>
      </c>
      <c r="F358" s="153">
        <v>80000</v>
      </c>
      <c r="G358" s="153">
        <f t="shared" si="12"/>
        <v>960000</v>
      </c>
      <c r="H358" s="210" t="b">
        <f t="shared" si="10"/>
        <v>1</v>
      </c>
    </row>
    <row r="359" spans="1:8" ht="13.8" x14ac:dyDescent="0.25">
      <c r="A359" s="7" t="s">
        <v>2260</v>
      </c>
      <c r="B359" s="152"/>
      <c r="C359" s="151" t="s">
        <v>4219</v>
      </c>
      <c r="D359" s="152">
        <v>12</v>
      </c>
      <c r="E359" s="152" t="s">
        <v>32</v>
      </c>
      <c r="F359" s="153">
        <v>200000</v>
      </c>
      <c r="G359" s="153">
        <f t="shared" si="12"/>
        <v>2400000</v>
      </c>
      <c r="H359" s="210" t="b">
        <f t="shared" si="10"/>
        <v>1</v>
      </c>
    </row>
    <row r="360" spans="1:8" ht="13.8" x14ac:dyDescent="0.25">
      <c r="A360" s="7" t="s">
        <v>2262</v>
      </c>
      <c r="B360" s="152"/>
      <c r="C360" s="151" t="s">
        <v>4220</v>
      </c>
      <c r="D360" s="152">
        <v>1</v>
      </c>
      <c r="E360" s="152" t="s">
        <v>776</v>
      </c>
      <c r="F360" s="153">
        <v>400000</v>
      </c>
      <c r="G360" s="153">
        <f t="shared" si="12"/>
        <v>400000</v>
      </c>
      <c r="H360" s="210" t="b">
        <f t="shared" si="10"/>
        <v>1</v>
      </c>
    </row>
    <row r="361" spans="1:8" s="212" customFormat="1" ht="13.8" x14ac:dyDescent="0.25">
      <c r="A361" s="211" t="s">
        <v>2264</v>
      </c>
      <c r="B361" s="152"/>
      <c r="C361" s="151" t="s">
        <v>4221</v>
      </c>
      <c r="D361" s="152">
        <v>1</v>
      </c>
      <c r="E361" s="152" t="s">
        <v>25</v>
      </c>
      <c r="F361" s="153">
        <v>300000</v>
      </c>
      <c r="G361" s="153">
        <f t="shared" si="12"/>
        <v>300000</v>
      </c>
      <c r="H361" s="210" t="b">
        <f t="shared" si="10"/>
        <v>1</v>
      </c>
    </row>
    <row r="362" spans="1:8" ht="13.8" x14ac:dyDescent="0.25">
      <c r="A362" s="7" t="s">
        <v>2266</v>
      </c>
      <c r="B362" s="152"/>
      <c r="C362" s="151" t="s">
        <v>4222</v>
      </c>
      <c r="D362" s="152">
        <v>3</v>
      </c>
      <c r="E362" s="152" t="s">
        <v>25</v>
      </c>
      <c r="F362" s="153">
        <v>300000</v>
      </c>
      <c r="G362" s="153">
        <f t="shared" si="12"/>
        <v>900000</v>
      </c>
      <c r="H362" s="210" t="b">
        <f t="shared" si="10"/>
        <v>1</v>
      </c>
    </row>
    <row r="363" spans="1:8" ht="13.8" x14ac:dyDescent="0.25">
      <c r="A363" s="7" t="s">
        <v>4223</v>
      </c>
      <c r="B363" s="59" t="s">
        <v>4224</v>
      </c>
      <c r="C363" s="38" t="s">
        <v>4225</v>
      </c>
      <c r="D363" s="59"/>
      <c r="E363" s="59"/>
      <c r="F363" s="39"/>
      <c r="G363" s="39">
        <f>SUM(G364,G369,G374)</f>
        <v>100000000</v>
      </c>
      <c r="H363" s="210" t="b">
        <f t="shared" si="10"/>
        <v>1</v>
      </c>
    </row>
    <row r="364" spans="1:8" ht="13.8" x14ac:dyDescent="0.25">
      <c r="A364" s="7" t="s">
        <v>4226</v>
      </c>
      <c r="B364" s="60">
        <v>521111</v>
      </c>
      <c r="C364" s="41" t="s">
        <v>90</v>
      </c>
      <c r="D364" s="60"/>
      <c r="E364" s="60"/>
      <c r="F364" s="42"/>
      <c r="G364" s="42">
        <f>SUM(G365:G368)</f>
        <v>45000000</v>
      </c>
      <c r="H364" s="210" t="b">
        <f t="shared" si="10"/>
        <v>1</v>
      </c>
    </row>
    <row r="365" spans="1:8" ht="13.8" x14ac:dyDescent="0.25">
      <c r="A365" s="7" t="s">
        <v>4227</v>
      </c>
      <c r="B365" s="152"/>
      <c r="C365" s="151" t="s">
        <v>4228</v>
      </c>
      <c r="D365" s="152">
        <v>1</v>
      </c>
      <c r="E365" s="152" t="s">
        <v>60</v>
      </c>
      <c r="F365" s="153">
        <v>3000000</v>
      </c>
      <c r="G365" s="153">
        <f>ROUNDDOWN(D365*F365,-3)</f>
        <v>3000000</v>
      </c>
      <c r="H365" s="210" t="b">
        <f t="shared" si="10"/>
        <v>1</v>
      </c>
    </row>
    <row r="366" spans="1:8" s="212" customFormat="1" ht="13.8" x14ac:dyDescent="0.25">
      <c r="A366" s="211" t="s">
        <v>4229</v>
      </c>
      <c r="B366" s="152"/>
      <c r="C366" s="151" t="s">
        <v>4230</v>
      </c>
      <c r="D366" s="152">
        <v>48</v>
      </c>
      <c r="E366" s="152" t="s">
        <v>58</v>
      </c>
      <c r="F366" s="153">
        <v>500000</v>
      </c>
      <c r="G366" s="153">
        <f>ROUNDDOWN(D366*F366,-3)</f>
        <v>24000000</v>
      </c>
      <c r="H366" s="210" t="b">
        <f t="shared" si="10"/>
        <v>1</v>
      </c>
    </row>
    <row r="367" spans="1:8" ht="13.8" x14ac:dyDescent="0.25">
      <c r="A367" s="7" t="s">
        <v>4231</v>
      </c>
      <c r="B367" s="152"/>
      <c r="C367" s="151" t="s">
        <v>4232</v>
      </c>
      <c r="D367" s="152">
        <v>12</v>
      </c>
      <c r="E367" s="152" t="s">
        <v>78</v>
      </c>
      <c r="F367" s="153">
        <v>500000</v>
      </c>
      <c r="G367" s="153">
        <f>ROUNDDOWN(D367*F367,-3)</f>
        <v>6000000</v>
      </c>
      <c r="H367" s="210" t="b">
        <f t="shared" si="10"/>
        <v>1</v>
      </c>
    </row>
    <row r="368" spans="1:8" ht="13.8" x14ac:dyDescent="0.25">
      <c r="A368" s="7" t="s">
        <v>4233</v>
      </c>
      <c r="B368" s="152"/>
      <c r="C368" s="151" t="s">
        <v>4234</v>
      </c>
      <c r="D368" s="152">
        <v>60</v>
      </c>
      <c r="E368" s="152" t="s">
        <v>116</v>
      </c>
      <c r="F368" s="153">
        <v>200000</v>
      </c>
      <c r="G368" s="153">
        <f>ROUNDDOWN(D368*F368,-3)</f>
        <v>12000000</v>
      </c>
      <c r="H368" s="210" t="b">
        <f t="shared" si="10"/>
        <v>1</v>
      </c>
    </row>
    <row r="369" spans="1:8" ht="13.8" x14ac:dyDescent="0.25">
      <c r="A369" s="7" t="s">
        <v>4235</v>
      </c>
      <c r="B369" s="60">
        <v>521811</v>
      </c>
      <c r="C369" s="41" t="s">
        <v>64</v>
      </c>
      <c r="D369" s="60"/>
      <c r="E369" s="60"/>
      <c r="F369" s="42"/>
      <c r="G369" s="42">
        <f>SUM(G370:G373)</f>
        <v>26000000</v>
      </c>
      <c r="H369" s="210" t="b">
        <f t="shared" si="10"/>
        <v>1</v>
      </c>
    </row>
    <row r="370" spans="1:8" ht="13.8" x14ac:dyDescent="0.25">
      <c r="A370" s="7" t="s">
        <v>4236</v>
      </c>
      <c r="B370" s="152"/>
      <c r="C370" s="151" t="s">
        <v>3625</v>
      </c>
      <c r="D370" s="152">
        <v>8</v>
      </c>
      <c r="E370" s="152" t="s">
        <v>9</v>
      </c>
      <c r="F370" s="153">
        <v>1000000</v>
      </c>
      <c r="G370" s="153">
        <f>ROUNDDOWN(D370*F370,-3)</f>
        <v>8000000</v>
      </c>
      <c r="H370" s="210" t="b">
        <f t="shared" si="10"/>
        <v>1</v>
      </c>
    </row>
    <row r="371" spans="1:8" ht="13.8" x14ac:dyDescent="0.25">
      <c r="A371" s="7" t="s">
        <v>4237</v>
      </c>
      <c r="B371" s="152"/>
      <c r="C371" s="151" t="s">
        <v>3626</v>
      </c>
      <c r="D371" s="152">
        <v>8</v>
      </c>
      <c r="E371" s="152" t="s">
        <v>9</v>
      </c>
      <c r="F371" s="153">
        <v>1500000</v>
      </c>
      <c r="G371" s="153">
        <f>ROUNDDOWN(D371*F371,-3)</f>
        <v>12000000</v>
      </c>
      <c r="H371" s="210" t="b">
        <f t="shared" si="10"/>
        <v>1</v>
      </c>
    </row>
    <row r="372" spans="1:8" ht="13.8" x14ac:dyDescent="0.25">
      <c r="A372" s="7" t="s">
        <v>4238</v>
      </c>
      <c r="B372" s="152"/>
      <c r="C372" s="151" t="s">
        <v>4239</v>
      </c>
      <c r="D372" s="152">
        <v>200</v>
      </c>
      <c r="E372" s="152" t="s">
        <v>120</v>
      </c>
      <c r="F372" s="153">
        <v>5000</v>
      </c>
      <c r="G372" s="153">
        <f>ROUNDDOWN(D372*F372,-3)</f>
        <v>1000000</v>
      </c>
      <c r="H372" s="210" t="b">
        <f t="shared" si="10"/>
        <v>1</v>
      </c>
    </row>
    <row r="373" spans="1:8" s="212" customFormat="1" ht="13.8" x14ac:dyDescent="0.25">
      <c r="A373" s="211" t="s">
        <v>4240</v>
      </c>
      <c r="B373" s="152"/>
      <c r="C373" s="151" t="s">
        <v>4241</v>
      </c>
      <c r="D373" s="152">
        <v>200</v>
      </c>
      <c r="E373" s="152" t="s">
        <v>120</v>
      </c>
      <c r="F373" s="153">
        <v>25000</v>
      </c>
      <c r="G373" s="153">
        <f>ROUNDDOWN(D373*F373,-3)</f>
        <v>5000000</v>
      </c>
      <c r="H373" s="210" t="b">
        <f t="shared" si="10"/>
        <v>1</v>
      </c>
    </row>
    <row r="374" spans="1:8" ht="13.8" x14ac:dyDescent="0.25">
      <c r="A374" s="7" t="s">
        <v>4242</v>
      </c>
      <c r="B374" s="60">
        <v>523121</v>
      </c>
      <c r="C374" s="41" t="s">
        <v>99</v>
      </c>
      <c r="D374" s="60"/>
      <c r="E374" s="60"/>
      <c r="F374" s="42"/>
      <c r="G374" s="42">
        <f>SUM(G375:G379)</f>
        <v>29000000</v>
      </c>
      <c r="H374" s="210" t="b">
        <f t="shared" si="10"/>
        <v>1</v>
      </c>
    </row>
    <row r="375" spans="1:8" s="212" customFormat="1" ht="13.8" x14ac:dyDescent="0.25">
      <c r="A375" s="211" t="s">
        <v>4243</v>
      </c>
      <c r="B375" s="152"/>
      <c r="C375" s="151" t="s">
        <v>4244</v>
      </c>
      <c r="D375" s="152">
        <v>1</v>
      </c>
      <c r="E375" s="152" t="s">
        <v>42</v>
      </c>
      <c r="F375" s="153">
        <v>7200000</v>
      </c>
      <c r="G375" s="153">
        <f>ROUNDDOWN(D375*F375,-3)</f>
        <v>7200000</v>
      </c>
      <c r="H375" s="210" t="b">
        <f t="shared" si="10"/>
        <v>1</v>
      </c>
    </row>
    <row r="376" spans="1:8" ht="13.8" x14ac:dyDescent="0.25">
      <c r="A376" s="7" t="s">
        <v>4245</v>
      </c>
      <c r="B376" s="152"/>
      <c r="C376" s="151" t="s">
        <v>4246</v>
      </c>
      <c r="D376" s="152">
        <v>10</v>
      </c>
      <c r="E376" s="152" t="s">
        <v>42</v>
      </c>
      <c r="F376" s="153">
        <v>730000</v>
      </c>
      <c r="G376" s="153">
        <f>ROUNDDOWN(D376*F376,-3)</f>
        <v>7300000</v>
      </c>
      <c r="H376" s="210" t="b">
        <f t="shared" si="10"/>
        <v>1</v>
      </c>
    </row>
    <row r="377" spans="1:8" ht="13.8" x14ac:dyDescent="0.25">
      <c r="A377" s="7" t="s">
        <v>4247</v>
      </c>
      <c r="B377" s="152"/>
      <c r="C377" s="151" t="s">
        <v>4248</v>
      </c>
      <c r="D377" s="152">
        <v>10</v>
      </c>
      <c r="E377" s="152" t="s">
        <v>44</v>
      </c>
      <c r="F377" s="153">
        <v>730000</v>
      </c>
      <c r="G377" s="153">
        <f>ROUNDDOWN(D377*F377,-3)</f>
        <v>7300000</v>
      </c>
      <c r="H377" s="210" t="b">
        <f t="shared" si="10"/>
        <v>1</v>
      </c>
    </row>
    <row r="378" spans="1:8" ht="13.8" x14ac:dyDescent="0.25">
      <c r="A378" s="7" t="s">
        <v>4249</v>
      </c>
      <c r="B378" s="152"/>
      <c r="C378" s="151" t="s">
        <v>4250</v>
      </c>
      <c r="D378" s="152">
        <v>10</v>
      </c>
      <c r="E378" s="152" t="s">
        <v>44</v>
      </c>
      <c r="F378" s="153">
        <v>690000</v>
      </c>
      <c r="G378" s="153">
        <f>ROUNDDOWN(D378*F378,-3)</f>
        <v>6900000</v>
      </c>
      <c r="H378" s="210" t="b">
        <f t="shared" si="10"/>
        <v>1</v>
      </c>
    </row>
    <row r="379" spans="1:8" ht="13.8" x14ac:dyDescent="0.25">
      <c r="A379" s="7" t="s">
        <v>4251</v>
      </c>
      <c r="B379" s="152"/>
      <c r="C379" s="151" t="s">
        <v>4252</v>
      </c>
      <c r="D379" s="152">
        <v>1</v>
      </c>
      <c r="E379" s="152" t="s">
        <v>60</v>
      </c>
      <c r="F379" s="153">
        <v>300000</v>
      </c>
      <c r="G379" s="153">
        <f>ROUNDDOWN(D379*F379,-3)</f>
        <v>300000</v>
      </c>
      <c r="H379" s="210" t="b">
        <f t="shared" si="10"/>
        <v>1</v>
      </c>
    </row>
    <row r="380" spans="1:8" ht="13.8" x14ac:dyDescent="0.25">
      <c r="A380" s="7" t="s">
        <v>2268</v>
      </c>
      <c r="B380" s="135" t="s">
        <v>2269</v>
      </c>
      <c r="C380" s="133" t="s">
        <v>2270</v>
      </c>
      <c r="D380" s="135">
        <v>2</v>
      </c>
      <c r="E380" s="135" t="s">
        <v>42</v>
      </c>
      <c r="F380" s="136"/>
      <c r="G380" s="136">
        <f>G381</f>
        <v>540934000</v>
      </c>
      <c r="H380" s="210" t="b">
        <f t="shared" si="10"/>
        <v>1</v>
      </c>
    </row>
    <row r="381" spans="1:8" ht="13.8" x14ac:dyDescent="0.25">
      <c r="A381" s="7" t="s">
        <v>2271</v>
      </c>
      <c r="B381" s="138" t="s">
        <v>4253</v>
      </c>
      <c r="C381" s="137" t="s">
        <v>2273</v>
      </c>
      <c r="D381" s="138">
        <v>1</v>
      </c>
      <c r="E381" s="138" t="s">
        <v>42</v>
      </c>
      <c r="F381" s="139"/>
      <c r="G381" s="139">
        <f>G382</f>
        <v>540934000</v>
      </c>
      <c r="H381" s="210" t="b">
        <f t="shared" si="10"/>
        <v>1</v>
      </c>
    </row>
    <row r="382" spans="1:8" ht="13.8" x14ac:dyDescent="0.25">
      <c r="A382" s="7" t="s">
        <v>2289</v>
      </c>
      <c r="B382" s="58">
        <v>301</v>
      </c>
      <c r="C382" s="35" t="s">
        <v>2290</v>
      </c>
      <c r="D382" s="58"/>
      <c r="E382" s="58"/>
      <c r="F382" s="36"/>
      <c r="G382" s="36">
        <f>G383</f>
        <v>540934000</v>
      </c>
      <c r="H382" s="210" t="b">
        <f t="shared" si="10"/>
        <v>1</v>
      </c>
    </row>
    <row r="383" spans="1:8" ht="13.8" x14ac:dyDescent="0.25">
      <c r="A383" s="7" t="s">
        <v>2291</v>
      </c>
      <c r="B383" s="59" t="s">
        <v>8</v>
      </c>
      <c r="C383" s="38" t="s">
        <v>2292</v>
      </c>
      <c r="D383" s="59"/>
      <c r="E383" s="59"/>
      <c r="F383" s="39"/>
      <c r="G383" s="39">
        <f>G384</f>
        <v>540934000</v>
      </c>
      <c r="H383" s="210" t="b">
        <f t="shared" si="10"/>
        <v>1</v>
      </c>
    </row>
    <row r="384" spans="1:8" ht="13.8" x14ac:dyDescent="0.25">
      <c r="A384" s="7" t="s">
        <v>2293</v>
      </c>
      <c r="B384" s="60">
        <v>532111</v>
      </c>
      <c r="C384" s="41" t="s">
        <v>43</v>
      </c>
      <c r="D384" s="60"/>
      <c r="E384" s="60"/>
      <c r="F384" s="42"/>
      <c r="G384" s="42">
        <f>G385</f>
        <v>540934000</v>
      </c>
      <c r="H384" s="210" t="b">
        <f t="shared" si="10"/>
        <v>1</v>
      </c>
    </row>
    <row r="385" spans="1:8" ht="13.8" x14ac:dyDescent="0.25">
      <c r="A385" s="7" t="s">
        <v>2294</v>
      </c>
      <c r="B385" s="152"/>
      <c r="C385" s="151" t="s">
        <v>4258</v>
      </c>
      <c r="D385" s="152">
        <v>1</v>
      </c>
      <c r="E385" s="152" t="s">
        <v>42</v>
      </c>
      <c r="F385" s="153">
        <v>540934000</v>
      </c>
      <c r="G385" s="153">
        <f>ROUNDDOWN(D385*F385,-3)</f>
        <v>540934000</v>
      </c>
      <c r="H385" s="210" t="b">
        <f t="shared" si="10"/>
        <v>1</v>
      </c>
    </row>
    <row r="386" spans="1:8" ht="13.8" x14ac:dyDescent="0.25">
      <c r="A386" s="7" t="s">
        <v>2465</v>
      </c>
      <c r="B386" s="135" t="s">
        <v>2466</v>
      </c>
      <c r="C386" s="133" t="s">
        <v>2467</v>
      </c>
      <c r="D386" s="135">
        <v>5</v>
      </c>
      <c r="E386" s="135" t="s">
        <v>4315</v>
      </c>
      <c r="F386" s="136"/>
      <c r="G386" s="136">
        <f>SUM(G387,G427,G469)</f>
        <v>1538790000</v>
      </c>
      <c r="H386" s="210" t="b">
        <f t="shared" si="10"/>
        <v>1</v>
      </c>
    </row>
    <row r="387" spans="1:8" ht="13.8" x14ac:dyDescent="0.25">
      <c r="A387" s="7" t="s">
        <v>2468</v>
      </c>
      <c r="B387" s="138" t="s">
        <v>4316</v>
      </c>
      <c r="C387" s="137" t="s">
        <v>2470</v>
      </c>
      <c r="D387" s="138">
        <v>1</v>
      </c>
      <c r="E387" s="138" t="s">
        <v>4315</v>
      </c>
      <c r="F387" s="139"/>
      <c r="G387" s="139">
        <f>G388</f>
        <v>615138000</v>
      </c>
      <c r="H387" s="210" t="b">
        <f t="shared" si="10"/>
        <v>1</v>
      </c>
    </row>
    <row r="388" spans="1:8" ht="26.4" x14ac:dyDescent="0.25">
      <c r="A388" s="7" t="s">
        <v>2739</v>
      </c>
      <c r="B388" s="58">
        <v>301</v>
      </c>
      <c r="C388" s="35" t="s">
        <v>2740</v>
      </c>
      <c r="D388" s="58"/>
      <c r="E388" s="58"/>
      <c r="F388" s="36"/>
      <c r="G388" s="36">
        <f>SUM(G389,G401,G415)</f>
        <v>615138000</v>
      </c>
      <c r="H388" s="210" t="b">
        <f t="shared" si="10"/>
        <v>1</v>
      </c>
    </row>
    <row r="389" spans="1:8" ht="13.8" x14ac:dyDescent="0.25">
      <c r="A389" s="7" t="s">
        <v>2741</v>
      </c>
      <c r="B389" s="59" t="s">
        <v>8</v>
      </c>
      <c r="C389" s="38" t="s">
        <v>129</v>
      </c>
      <c r="D389" s="59"/>
      <c r="E389" s="59"/>
      <c r="F389" s="39"/>
      <c r="G389" s="39">
        <f>SUM(G390,G394,G396,G399)</f>
        <v>101050000</v>
      </c>
      <c r="H389" s="210" t="b">
        <f t="shared" si="10"/>
        <v>1</v>
      </c>
    </row>
    <row r="390" spans="1:8" ht="13.8" x14ac:dyDescent="0.25">
      <c r="A390" s="7" t="s">
        <v>2742</v>
      </c>
      <c r="B390" s="60">
        <v>521211</v>
      </c>
      <c r="C390" s="41" t="s">
        <v>7</v>
      </c>
      <c r="D390" s="60"/>
      <c r="E390" s="60"/>
      <c r="F390" s="42"/>
      <c r="G390" s="42">
        <f>SUM(G391:G393)</f>
        <v>22650000</v>
      </c>
      <c r="H390" s="210" t="b">
        <f t="shared" si="10"/>
        <v>1</v>
      </c>
    </row>
    <row r="391" spans="1:8" ht="13.8" x14ac:dyDescent="0.25">
      <c r="A391" s="7" t="s">
        <v>2743</v>
      </c>
      <c r="B391" s="152"/>
      <c r="C391" s="151" t="s">
        <v>3598</v>
      </c>
      <c r="D391" s="152">
        <v>6</v>
      </c>
      <c r="E391" s="152" t="s">
        <v>9</v>
      </c>
      <c r="F391" s="153">
        <v>1500000</v>
      </c>
      <c r="G391" s="153">
        <f>ROUNDDOWN(D391*F391,-3)</f>
        <v>9000000</v>
      </c>
      <c r="H391" s="210" t="b">
        <f t="shared" si="10"/>
        <v>1</v>
      </c>
    </row>
    <row r="392" spans="1:8" ht="13.8" x14ac:dyDescent="0.25">
      <c r="A392" s="7" t="s">
        <v>2744</v>
      </c>
      <c r="B392" s="152"/>
      <c r="C392" s="151" t="s">
        <v>4420</v>
      </c>
      <c r="D392" s="152">
        <v>70</v>
      </c>
      <c r="E392" s="152" t="s">
        <v>10</v>
      </c>
      <c r="F392" s="153">
        <v>70000</v>
      </c>
      <c r="G392" s="153">
        <f>ROUNDDOWN(D392*F392,-3)</f>
        <v>4900000</v>
      </c>
      <c r="H392" s="210" t="b">
        <f t="shared" si="10"/>
        <v>1</v>
      </c>
    </row>
    <row r="393" spans="1:8" ht="13.8" x14ac:dyDescent="0.25">
      <c r="A393" s="7" t="s">
        <v>2746</v>
      </c>
      <c r="B393" s="152"/>
      <c r="C393" s="151" t="s">
        <v>4421</v>
      </c>
      <c r="D393" s="152">
        <v>25</v>
      </c>
      <c r="E393" s="152" t="s">
        <v>176</v>
      </c>
      <c r="F393" s="153">
        <v>350000</v>
      </c>
      <c r="G393" s="153">
        <f>ROUNDDOWN(D393*F393,-3)</f>
        <v>8750000</v>
      </c>
      <c r="H393" s="210" t="b">
        <f t="shared" si="10"/>
        <v>1</v>
      </c>
    </row>
    <row r="394" spans="1:8" ht="13.8" x14ac:dyDescent="0.25">
      <c r="A394" s="7" t="s">
        <v>2747</v>
      </c>
      <c r="B394" s="60">
        <v>521219</v>
      </c>
      <c r="C394" s="41" t="s">
        <v>53</v>
      </c>
      <c r="D394" s="60"/>
      <c r="E394" s="60"/>
      <c r="F394" s="42"/>
      <c r="G394" s="42">
        <f>G395</f>
        <v>1000000</v>
      </c>
      <c r="H394" s="210" t="b">
        <f t="shared" si="10"/>
        <v>1</v>
      </c>
    </row>
    <row r="395" spans="1:8" ht="13.8" x14ac:dyDescent="0.25">
      <c r="A395" s="7" t="s">
        <v>2748</v>
      </c>
      <c r="B395" s="152"/>
      <c r="C395" s="151" t="s">
        <v>3722</v>
      </c>
      <c r="D395" s="152">
        <v>4</v>
      </c>
      <c r="E395" s="152" t="s">
        <v>2749</v>
      </c>
      <c r="F395" s="153">
        <v>250000</v>
      </c>
      <c r="G395" s="153">
        <f>ROUNDDOWN(D395*F395,-3)</f>
        <v>1000000</v>
      </c>
      <c r="H395" s="210" t="b">
        <f t="shared" si="10"/>
        <v>1</v>
      </c>
    </row>
    <row r="396" spans="1:8" ht="13.8" x14ac:dyDescent="0.25">
      <c r="A396" s="7" t="s">
        <v>2750</v>
      </c>
      <c r="B396" s="60">
        <v>521811</v>
      </c>
      <c r="C396" s="41" t="s">
        <v>64</v>
      </c>
      <c r="D396" s="60"/>
      <c r="E396" s="60"/>
      <c r="F396" s="42"/>
      <c r="G396" s="42">
        <f>SUM(G397:G398)</f>
        <v>15000000</v>
      </c>
      <c r="H396" s="210" t="b">
        <f t="shared" si="10"/>
        <v>1</v>
      </c>
    </row>
    <row r="397" spans="1:8" ht="13.8" x14ac:dyDescent="0.25">
      <c r="A397" s="7" t="s">
        <v>2751</v>
      </c>
      <c r="B397" s="152"/>
      <c r="C397" s="151" t="s">
        <v>3625</v>
      </c>
      <c r="D397" s="152">
        <v>6</v>
      </c>
      <c r="E397" s="152" t="s">
        <v>106</v>
      </c>
      <c r="F397" s="153">
        <v>1000000</v>
      </c>
      <c r="G397" s="153">
        <f>ROUNDDOWN(D397*F397,-3)</f>
        <v>6000000</v>
      </c>
      <c r="H397" s="210" t="b">
        <f t="shared" ref="H397:H460" si="13">_xlfn.ISFORMULA(G397)</f>
        <v>1</v>
      </c>
    </row>
    <row r="398" spans="1:8" ht="13.8" x14ac:dyDescent="0.25">
      <c r="A398" s="7" t="s">
        <v>2752</v>
      </c>
      <c r="B398" s="152"/>
      <c r="C398" s="151" t="s">
        <v>3626</v>
      </c>
      <c r="D398" s="152">
        <v>6</v>
      </c>
      <c r="E398" s="152" t="s">
        <v>106</v>
      </c>
      <c r="F398" s="153">
        <v>1500000</v>
      </c>
      <c r="G398" s="153">
        <f>ROUNDDOWN(D398*F398,-3)</f>
        <v>9000000</v>
      </c>
      <c r="H398" s="210" t="b">
        <f t="shared" si="13"/>
        <v>1</v>
      </c>
    </row>
    <row r="399" spans="1:8" ht="13.8" x14ac:dyDescent="0.25">
      <c r="A399" s="7" t="s">
        <v>2753</v>
      </c>
      <c r="B399" s="60">
        <v>524111</v>
      </c>
      <c r="C399" s="41" t="s">
        <v>19</v>
      </c>
      <c r="D399" s="60"/>
      <c r="E399" s="60"/>
      <c r="F399" s="42"/>
      <c r="G399" s="42">
        <f>G400</f>
        <v>62400000</v>
      </c>
      <c r="H399" s="210" t="b">
        <f t="shared" si="13"/>
        <v>1</v>
      </c>
    </row>
    <row r="400" spans="1:8" ht="13.8" x14ac:dyDescent="0.25">
      <c r="A400" s="7" t="s">
        <v>2754</v>
      </c>
      <c r="B400" s="152"/>
      <c r="C400" s="151" t="s">
        <v>4422</v>
      </c>
      <c r="D400" s="152">
        <v>12</v>
      </c>
      <c r="E400" s="152" t="s">
        <v>10</v>
      </c>
      <c r="F400" s="153">
        <v>5200000</v>
      </c>
      <c r="G400" s="153">
        <f>ROUNDDOWN(D400*F400,-3)</f>
        <v>62400000</v>
      </c>
      <c r="H400" s="210" t="b">
        <f t="shared" si="13"/>
        <v>1</v>
      </c>
    </row>
    <row r="401" spans="1:8" ht="13.8" x14ac:dyDescent="0.25">
      <c r="A401" s="7" t="s">
        <v>2756</v>
      </c>
      <c r="B401" s="59" t="s">
        <v>511</v>
      </c>
      <c r="C401" s="38" t="s">
        <v>130</v>
      </c>
      <c r="D401" s="59"/>
      <c r="E401" s="59"/>
      <c r="F401" s="39"/>
      <c r="G401" s="39">
        <f>SUM(G402,G406,G408,G411,G413)</f>
        <v>345988000</v>
      </c>
      <c r="H401" s="210" t="b">
        <f t="shared" si="13"/>
        <v>1</v>
      </c>
    </row>
    <row r="402" spans="1:8" ht="13.8" x14ac:dyDescent="0.25">
      <c r="A402" s="7" t="s">
        <v>2757</v>
      </c>
      <c r="B402" s="60">
        <v>521211</v>
      </c>
      <c r="C402" s="41" t="s">
        <v>7</v>
      </c>
      <c r="D402" s="60"/>
      <c r="E402" s="60"/>
      <c r="F402" s="42"/>
      <c r="G402" s="42">
        <f>SUM(G403:G405)</f>
        <v>49300000</v>
      </c>
      <c r="H402" s="210" t="b">
        <f t="shared" si="13"/>
        <v>1</v>
      </c>
    </row>
    <row r="403" spans="1:8" ht="13.8" x14ac:dyDescent="0.25">
      <c r="A403" s="7" t="s">
        <v>2758</v>
      </c>
      <c r="B403" s="152"/>
      <c r="C403" s="151" t="s">
        <v>3598</v>
      </c>
      <c r="D403" s="152">
        <v>10</v>
      </c>
      <c r="E403" s="152" t="s">
        <v>9</v>
      </c>
      <c r="F403" s="153">
        <v>1500000</v>
      </c>
      <c r="G403" s="153">
        <f>ROUNDDOWN(D403*F403,-3)</f>
        <v>15000000</v>
      </c>
      <c r="H403" s="210" t="b">
        <f t="shared" si="13"/>
        <v>1</v>
      </c>
    </row>
    <row r="404" spans="1:8" ht="13.8" x14ac:dyDescent="0.25">
      <c r="A404" s="7" t="s">
        <v>2759</v>
      </c>
      <c r="B404" s="152"/>
      <c r="C404" s="151" t="s">
        <v>4420</v>
      </c>
      <c r="D404" s="152">
        <v>290</v>
      </c>
      <c r="E404" s="152" t="s">
        <v>10</v>
      </c>
      <c r="F404" s="153">
        <v>70000</v>
      </c>
      <c r="G404" s="153">
        <f>ROUNDDOWN(D404*F404,-3)</f>
        <v>20300000</v>
      </c>
      <c r="H404" s="210" t="b">
        <f t="shared" si="13"/>
        <v>1</v>
      </c>
    </row>
    <row r="405" spans="1:8" ht="13.8" x14ac:dyDescent="0.25">
      <c r="A405" s="7" t="s">
        <v>2760</v>
      </c>
      <c r="B405" s="152"/>
      <c r="C405" s="151" t="s">
        <v>4421</v>
      </c>
      <c r="D405" s="152">
        <v>40</v>
      </c>
      <c r="E405" s="152" t="s">
        <v>176</v>
      </c>
      <c r="F405" s="153">
        <v>350000</v>
      </c>
      <c r="G405" s="153">
        <f>ROUNDDOWN(D405*F405,-3)</f>
        <v>14000000</v>
      </c>
      <c r="H405" s="210" t="b">
        <f t="shared" si="13"/>
        <v>1</v>
      </c>
    </row>
    <row r="406" spans="1:8" ht="13.8" x14ac:dyDescent="0.25">
      <c r="A406" s="7" t="s">
        <v>2761</v>
      </c>
      <c r="B406" s="60">
        <v>521219</v>
      </c>
      <c r="C406" s="41" t="s">
        <v>53</v>
      </c>
      <c r="D406" s="60"/>
      <c r="E406" s="60"/>
      <c r="F406" s="42"/>
      <c r="G406" s="42">
        <f>G407</f>
        <v>1000000</v>
      </c>
      <c r="H406" s="210" t="b">
        <f t="shared" si="13"/>
        <v>1</v>
      </c>
    </row>
    <row r="407" spans="1:8" ht="13.8" x14ac:dyDescent="0.25">
      <c r="A407" s="7" t="s">
        <v>2762</v>
      </c>
      <c r="B407" s="152"/>
      <c r="C407" s="151" t="s">
        <v>3722</v>
      </c>
      <c r="D407" s="152">
        <v>4</v>
      </c>
      <c r="E407" s="152" t="s">
        <v>9</v>
      </c>
      <c r="F407" s="153">
        <v>250000</v>
      </c>
      <c r="G407" s="153">
        <f>ROUNDDOWN(D407*F407,-3)</f>
        <v>1000000</v>
      </c>
      <c r="H407" s="210" t="b">
        <f t="shared" si="13"/>
        <v>1</v>
      </c>
    </row>
    <row r="408" spans="1:8" ht="13.8" x14ac:dyDescent="0.25">
      <c r="A408" s="7" t="s">
        <v>2763</v>
      </c>
      <c r="B408" s="60">
        <v>521811</v>
      </c>
      <c r="C408" s="41" t="s">
        <v>64</v>
      </c>
      <c r="D408" s="60"/>
      <c r="E408" s="60"/>
      <c r="F408" s="42"/>
      <c r="G408" s="42">
        <f>SUM(G409:G410)</f>
        <v>25000000</v>
      </c>
      <c r="H408" s="210" t="b">
        <f t="shared" si="13"/>
        <v>1</v>
      </c>
    </row>
    <row r="409" spans="1:8" ht="13.8" x14ac:dyDescent="0.25">
      <c r="A409" s="7" t="s">
        <v>2764</v>
      </c>
      <c r="B409" s="152"/>
      <c r="C409" s="151" t="s">
        <v>3625</v>
      </c>
      <c r="D409" s="152">
        <v>10</v>
      </c>
      <c r="E409" s="152" t="s">
        <v>106</v>
      </c>
      <c r="F409" s="153">
        <v>1000000</v>
      </c>
      <c r="G409" s="153">
        <f>ROUNDDOWN(D409*F409,-3)</f>
        <v>10000000</v>
      </c>
      <c r="H409" s="210" t="b">
        <f t="shared" si="13"/>
        <v>1</v>
      </c>
    </row>
    <row r="410" spans="1:8" ht="13.8" x14ac:dyDescent="0.25">
      <c r="A410" s="7" t="s">
        <v>2765</v>
      </c>
      <c r="B410" s="152"/>
      <c r="C410" s="151" t="s">
        <v>3626</v>
      </c>
      <c r="D410" s="152">
        <v>10</v>
      </c>
      <c r="E410" s="152" t="s">
        <v>106</v>
      </c>
      <c r="F410" s="153">
        <v>1500000</v>
      </c>
      <c r="G410" s="153">
        <f>ROUNDDOWN(D410*F410,-3)</f>
        <v>15000000</v>
      </c>
      <c r="H410" s="210" t="b">
        <f t="shared" si="13"/>
        <v>1</v>
      </c>
    </row>
    <row r="411" spans="1:8" ht="13.8" x14ac:dyDescent="0.25">
      <c r="A411" s="7" t="s">
        <v>2766</v>
      </c>
      <c r="B411" s="60">
        <v>522151</v>
      </c>
      <c r="C411" s="41" t="s">
        <v>11</v>
      </c>
      <c r="D411" s="60"/>
      <c r="E411" s="60"/>
      <c r="F411" s="42"/>
      <c r="G411" s="42">
        <f>G412</f>
        <v>12000000</v>
      </c>
      <c r="H411" s="210" t="b">
        <f t="shared" si="13"/>
        <v>1</v>
      </c>
    </row>
    <row r="412" spans="1:8" ht="13.8" x14ac:dyDescent="0.25">
      <c r="A412" s="7" t="s">
        <v>2767</v>
      </c>
      <c r="B412" s="152"/>
      <c r="C412" s="151" t="s">
        <v>3715</v>
      </c>
      <c r="D412" s="152">
        <v>12</v>
      </c>
      <c r="E412" s="152" t="s">
        <v>54</v>
      </c>
      <c r="F412" s="153">
        <v>1000000</v>
      </c>
      <c r="G412" s="153">
        <f>ROUNDDOWN(D412*F412,-3)</f>
        <v>12000000</v>
      </c>
      <c r="H412" s="210" t="b">
        <f t="shared" si="13"/>
        <v>1</v>
      </c>
    </row>
    <row r="413" spans="1:8" ht="13.8" x14ac:dyDescent="0.25">
      <c r="A413" s="7" t="s">
        <v>2768</v>
      </c>
      <c r="B413" s="60">
        <v>524111</v>
      </c>
      <c r="C413" s="41" t="s">
        <v>19</v>
      </c>
      <c r="D413" s="60"/>
      <c r="E413" s="60"/>
      <c r="F413" s="42"/>
      <c r="G413" s="42">
        <f>G414</f>
        <v>258688000</v>
      </c>
      <c r="H413" s="210" t="b">
        <f t="shared" si="13"/>
        <v>1</v>
      </c>
    </row>
    <row r="414" spans="1:8" ht="13.8" x14ac:dyDescent="0.25">
      <c r="A414" s="7" t="s">
        <v>2769</v>
      </c>
      <c r="B414" s="152"/>
      <c r="C414" s="151" t="s">
        <v>4423</v>
      </c>
      <c r="D414" s="152">
        <v>40</v>
      </c>
      <c r="E414" s="152" t="s">
        <v>10</v>
      </c>
      <c r="F414" s="153">
        <v>6467200</v>
      </c>
      <c r="G414" s="153">
        <f>ROUNDDOWN(D414*F414,-3)</f>
        <v>258688000</v>
      </c>
      <c r="H414" s="210" t="b">
        <f t="shared" si="13"/>
        <v>1</v>
      </c>
    </row>
    <row r="415" spans="1:8" ht="13.8" x14ac:dyDescent="0.25">
      <c r="A415" s="7" t="s">
        <v>2771</v>
      </c>
      <c r="B415" s="59" t="s">
        <v>512</v>
      </c>
      <c r="C415" s="38" t="s">
        <v>131</v>
      </c>
      <c r="D415" s="59"/>
      <c r="E415" s="59"/>
      <c r="F415" s="39"/>
      <c r="G415" s="39">
        <f>SUM(G416,G420,G423,G425)</f>
        <v>168100000</v>
      </c>
      <c r="H415" s="210" t="b">
        <f t="shared" si="13"/>
        <v>1</v>
      </c>
    </row>
    <row r="416" spans="1:8" ht="13.8" x14ac:dyDescent="0.25">
      <c r="A416" s="7" t="s">
        <v>2772</v>
      </c>
      <c r="B416" s="60">
        <v>521211</v>
      </c>
      <c r="C416" s="41" t="s">
        <v>7</v>
      </c>
      <c r="D416" s="60"/>
      <c r="E416" s="60"/>
      <c r="F416" s="42"/>
      <c r="G416" s="42">
        <f>SUM(G417:G419)</f>
        <v>39500000</v>
      </c>
      <c r="H416" s="210" t="b">
        <f t="shared" si="13"/>
        <v>1</v>
      </c>
    </row>
    <row r="417" spans="1:8" ht="13.8" x14ac:dyDescent="0.25">
      <c r="A417" s="7" t="s">
        <v>2773</v>
      </c>
      <c r="B417" s="152"/>
      <c r="C417" s="151" t="s">
        <v>3598</v>
      </c>
      <c r="D417" s="152">
        <v>10</v>
      </c>
      <c r="E417" s="152" t="s">
        <v>9</v>
      </c>
      <c r="F417" s="153">
        <v>1500000</v>
      </c>
      <c r="G417" s="153">
        <f>ROUNDDOWN(D417*F417,-3)</f>
        <v>15000000</v>
      </c>
      <c r="H417" s="210" t="b">
        <f t="shared" si="13"/>
        <v>1</v>
      </c>
    </row>
    <row r="418" spans="1:8" ht="13.8" x14ac:dyDescent="0.25">
      <c r="A418" s="7" t="s">
        <v>2774</v>
      </c>
      <c r="B418" s="152"/>
      <c r="C418" s="151" t="s">
        <v>4420</v>
      </c>
      <c r="D418" s="152">
        <v>150</v>
      </c>
      <c r="E418" s="152" t="s">
        <v>10</v>
      </c>
      <c r="F418" s="153">
        <v>70000</v>
      </c>
      <c r="G418" s="153">
        <f>ROUNDDOWN(D418*F418,-3)</f>
        <v>10500000</v>
      </c>
      <c r="H418" s="210" t="b">
        <f t="shared" si="13"/>
        <v>1</v>
      </c>
    </row>
    <row r="419" spans="1:8" ht="13.8" x14ac:dyDescent="0.25">
      <c r="A419" s="7" t="s">
        <v>2775</v>
      </c>
      <c r="B419" s="152"/>
      <c r="C419" s="151" t="s">
        <v>4421</v>
      </c>
      <c r="D419" s="152">
        <v>40</v>
      </c>
      <c r="E419" s="152" t="s">
        <v>176</v>
      </c>
      <c r="F419" s="153">
        <v>350000</v>
      </c>
      <c r="G419" s="153">
        <f>ROUNDDOWN(D419*F419,-3)</f>
        <v>14000000</v>
      </c>
      <c r="H419" s="210" t="b">
        <f t="shared" si="13"/>
        <v>1</v>
      </c>
    </row>
    <row r="420" spans="1:8" ht="13.8" x14ac:dyDescent="0.25">
      <c r="A420" s="7" t="s">
        <v>2776</v>
      </c>
      <c r="B420" s="60">
        <v>521811</v>
      </c>
      <c r="C420" s="41" t="s">
        <v>64</v>
      </c>
      <c r="D420" s="60"/>
      <c r="E420" s="60"/>
      <c r="F420" s="42"/>
      <c r="G420" s="42">
        <f>SUM(G421:G422)</f>
        <v>25000000</v>
      </c>
      <c r="H420" s="210" t="b">
        <f t="shared" si="13"/>
        <v>1</v>
      </c>
    </row>
    <row r="421" spans="1:8" ht="13.8" x14ac:dyDescent="0.25">
      <c r="A421" s="7" t="s">
        <v>2777</v>
      </c>
      <c r="B421" s="152"/>
      <c r="C421" s="151" t="s">
        <v>3625</v>
      </c>
      <c r="D421" s="152">
        <v>10</v>
      </c>
      <c r="E421" s="152" t="s">
        <v>106</v>
      </c>
      <c r="F421" s="153">
        <v>1000000</v>
      </c>
      <c r="G421" s="153">
        <f>ROUNDDOWN(D421*F421,-3)</f>
        <v>10000000</v>
      </c>
      <c r="H421" s="210" t="b">
        <f t="shared" si="13"/>
        <v>1</v>
      </c>
    </row>
    <row r="422" spans="1:8" ht="13.8" x14ac:dyDescent="0.25">
      <c r="A422" s="7" t="s">
        <v>2778</v>
      </c>
      <c r="B422" s="152"/>
      <c r="C422" s="151" t="s">
        <v>3626</v>
      </c>
      <c r="D422" s="152">
        <v>10</v>
      </c>
      <c r="E422" s="152" t="s">
        <v>106</v>
      </c>
      <c r="F422" s="153">
        <v>1500000</v>
      </c>
      <c r="G422" s="153">
        <f>ROUNDDOWN(D422*F422,-3)</f>
        <v>15000000</v>
      </c>
      <c r="H422" s="210" t="b">
        <f t="shared" si="13"/>
        <v>1</v>
      </c>
    </row>
    <row r="423" spans="1:8" ht="13.8" x14ac:dyDescent="0.25">
      <c r="A423" s="7" t="s">
        <v>2779</v>
      </c>
      <c r="B423" s="60">
        <v>522151</v>
      </c>
      <c r="C423" s="41" t="s">
        <v>11</v>
      </c>
      <c r="D423" s="60"/>
      <c r="E423" s="60"/>
      <c r="F423" s="42"/>
      <c r="G423" s="42">
        <f>G424</f>
        <v>10000000</v>
      </c>
      <c r="H423" s="210" t="b">
        <f t="shared" si="13"/>
        <v>1</v>
      </c>
    </row>
    <row r="424" spans="1:8" ht="13.8" x14ac:dyDescent="0.25">
      <c r="A424" s="7" t="s">
        <v>2780</v>
      </c>
      <c r="B424" s="152"/>
      <c r="C424" s="151" t="s">
        <v>3715</v>
      </c>
      <c r="D424" s="152">
        <v>10</v>
      </c>
      <c r="E424" s="152" t="s">
        <v>54</v>
      </c>
      <c r="F424" s="153">
        <v>1000000</v>
      </c>
      <c r="G424" s="153">
        <f>ROUNDDOWN(D424*F424,-3)</f>
        <v>10000000</v>
      </c>
      <c r="H424" s="210" t="b">
        <f t="shared" si="13"/>
        <v>1</v>
      </c>
    </row>
    <row r="425" spans="1:8" ht="13.8" x14ac:dyDescent="0.25">
      <c r="A425" s="7" t="s">
        <v>2781</v>
      </c>
      <c r="B425" s="60">
        <v>524111</v>
      </c>
      <c r="C425" s="41" t="s">
        <v>19</v>
      </c>
      <c r="D425" s="60"/>
      <c r="E425" s="60"/>
      <c r="F425" s="42"/>
      <c r="G425" s="42">
        <f>G426</f>
        <v>93600000</v>
      </c>
      <c r="H425" s="210" t="b">
        <f t="shared" si="13"/>
        <v>1</v>
      </c>
    </row>
    <row r="426" spans="1:8" ht="26.4" x14ac:dyDescent="0.25">
      <c r="A426" s="7" t="s">
        <v>2782</v>
      </c>
      <c r="B426" s="152"/>
      <c r="C426" s="151" t="s">
        <v>4424</v>
      </c>
      <c r="D426" s="152">
        <v>18</v>
      </c>
      <c r="E426" s="152" t="s">
        <v>10</v>
      </c>
      <c r="F426" s="153">
        <v>5200000</v>
      </c>
      <c r="G426" s="153">
        <f>ROUNDDOWN(D426*F426,-3)</f>
        <v>93600000</v>
      </c>
      <c r="H426" s="210" t="b">
        <f t="shared" si="13"/>
        <v>1</v>
      </c>
    </row>
    <row r="427" spans="1:8" ht="13.8" x14ac:dyDescent="0.25">
      <c r="A427" s="7" t="s">
        <v>2784</v>
      </c>
      <c r="B427" s="138" t="s">
        <v>4425</v>
      </c>
      <c r="C427" s="137" t="s">
        <v>2786</v>
      </c>
      <c r="D427" s="138">
        <v>2</v>
      </c>
      <c r="E427" s="138" t="s">
        <v>4315</v>
      </c>
      <c r="F427" s="139"/>
      <c r="G427" s="139">
        <f>SUM(G428,G457)</f>
        <v>633732000</v>
      </c>
      <c r="H427" s="210" t="b">
        <f t="shared" si="13"/>
        <v>1</v>
      </c>
    </row>
    <row r="428" spans="1:8" ht="26.4" x14ac:dyDescent="0.25">
      <c r="A428" s="7" t="s">
        <v>3052</v>
      </c>
      <c r="B428" s="58">
        <v>301</v>
      </c>
      <c r="C428" s="35" t="s">
        <v>3053</v>
      </c>
      <c r="D428" s="58"/>
      <c r="E428" s="58"/>
      <c r="F428" s="36"/>
      <c r="G428" s="36">
        <f>SUM(G429,G440)</f>
        <v>507200000</v>
      </c>
      <c r="H428" s="210" t="b">
        <f t="shared" si="13"/>
        <v>1</v>
      </c>
    </row>
    <row r="429" spans="1:8" ht="13.8" x14ac:dyDescent="0.25">
      <c r="A429" s="7" t="s">
        <v>3054</v>
      </c>
      <c r="B429" s="59" t="s">
        <v>8</v>
      </c>
      <c r="C429" s="38" t="s">
        <v>174</v>
      </c>
      <c r="D429" s="59"/>
      <c r="E429" s="59"/>
      <c r="F429" s="39"/>
      <c r="G429" s="39">
        <f>SUM(G430,G436,G438)</f>
        <v>295200000</v>
      </c>
      <c r="H429" s="210" t="b">
        <f t="shared" si="13"/>
        <v>1</v>
      </c>
    </row>
    <row r="430" spans="1:8" ht="13.8" x14ac:dyDescent="0.25">
      <c r="A430" s="7" t="s">
        <v>3055</v>
      </c>
      <c r="B430" s="60">
        <v>521211</v>
      </c>
      <c r="C430" s="41" t="s">
        <v>7</v>
      </c>
      <c r="D430" s="60"/>
      <c r="E430" s="60"/>
      <c r="F430" s="42"/>
      <c r="G430" s="42">
        <f>SUM(G431:G435)</f>
        <v>46000000</v>
      </c>
      <c r="H430" s="210" t="b">
        <f t="shared" si="13"/>
        <v>1</v>
      </c>
    </row>
    <row r="431" spans="1:8" ht="13.8" x14ac:dyDescent="0.25">
      <c r="A431" s="7" t="s">
        <v>3056</v>
      </c>
      <c r="B431" s="152"/>
      <c r="C431" s="151" t="s">
        <v>3598</v>
      </c>
      <c r="D431" s="152">
        <v>5</v>
      </c>
      <c r="E431" s="152" t="s">
        <v>9</v>
      </c>
      <c r="F431" s="153">
        <v>1500000</v>
      </c>
      <c r="G431" s="153">
        <f>ROUNDDOWN(D431*F431,-3)</f>
        <v>7500000</v>
      </c>
      <c r="H431" s="210" t="b">
        <f t="shared" si="13"/>
        <v>1</v>
      </c>
    </row>
    <row r="432" spans="1:8" ht="13.8" x14ac:dyDescent="0.25">
      <c r="A432" s="7" t="s">
        <v>3057</v>
      </c>
      <c r="B432" s="152"/>
      <c r="C432" s="151" t="s">
        <v>4420</v>
      </c>
      <c r="D432" s="152">
        <v>280</v>
      </c>
      <c r="E432" s="152" t="s">
        <v>10</v>
      </c>
      <c r="F432" s="153">
        <v>75000</v>
      </c>
      <c r="G432" s="153">
        <f>ROUNDDOWN(D432*F432,-3)</f>
        <v>21000000</v>
      </c>
      <c r="H432" s="210" t="b">
        <f t="shared" si="13"/>
        <v>1</v>
      </c>
    </row>
    <row r="433" spans="1:8" ht="13.8" x14ac:dyDescent="0.25">
      <c r="A433" s="7" t="s">
        <v>3058</v>
      </c>
      <c r="B433" s="152"/>
      <c r="C433" s="151" t="s">
        <v>4421</v>
      </c>
      <c r="D433" s="152">
        <v>30</v>
      </c>
      <c r="E433" s="152" t="s">
        <v>176</v>
      </c>
      <c r="F433" s="153">
        <v>250000</v>
      </c>
      <c r="G433" s="153">
        <f>ROUNDDOWN(D433*F433,-3)</f>
        <v>7500000</v>
      </c>
      <c r="H433" s="210" t="b">
        <f t="shared" si="13"/>
        <v>1</v>
      </c>
    </row>
    <row r="434" spans="1:8" ht="13.8" x14ac:dyDescent="0.25">
      <c r="A434" s="7" t="s">
        <v>3059</v>
      </c>
      <c r="B434" s="152"/>
      <c r="C434" s="151" t="s">
        <v>3610</v>
      </c>
      <c r="D434" s="152">
        <v>4</v>
      </c>
      <c r="E434" s="152" t="s">
        <v>106</v>
      </c>
      <c r="F434" s="153">
        <v>1000000</v>
      </c>
      <c r="G434" s="153">
        <f>ROUNDDOWN(D434*F434,-3)</f>
        <v>4000000</v>
      </c>
      <c r="H434" s="210" t="b">
        <f t="shared" si="13"/>
        <v>1</v>
      </c>
    </row>
    <row r="435" spans="1:8" ht="13.8" x14ac:dyDescent="0.25">
      <c r="A435" s="7" t="s">
        <v>3060</v>
      </c>
      <c r="B435" s="152"/>
      <c r="C435" s="151" t="s">
        <v>3611</v>
      </c>
      <c r="D435" s="152">
        <v>4</v>
      </c>
      <c r="E435" s="152" t="s">
        <v>106</v>
      </c>
      <c r="F435" s="153">
        <v>1500000</v>
      </c>
      <c r="G435" s="153">
        <f>ROUNDDOWN(D435*F435,-3)</f>
        <v>6000000</v>
      </c>
      <c r="H435" s="210" t="b">
        <f t="shared" si="13"/>
        <v>1</v>
      </c>
    </row>
    <row r="436" spans="1:8" ht="13.8" x14ac:dyDescent="0.25">
      <c r="A436" s="7" t="s">
        <v>3061</v>
      </c>
      <c r="B436" s="60">
        <v>521219</v>
      </c>
      <c r="C436" s="41" t="s">
        <v>53</v>
      </c>
      <c r="D436" s="60"/>
      <c r="E436" s="60"/>
      <c r="F436" s="42"/>
      <c r="G436" s="42">
        <f>G437</f>
        <v>2000000</v>
      </c>
      <c r="H436" s="210" t="b">
        <f t="shared" si="13"/>
        <v>1</v>
      </c>
    </row>
    <row r="437" spans="1:8" ht="26.4" x14ac:dyDescent="0.25">
      <c r="A437" s="7" t="s">
        <v>3062</v>
      </c>
      <c r="B437" s="152"/>
      <c r="C437" s="151" t="s">
        <v>4508</v>
      </c>
      <c r="D437" s="152">
        <v>1</v>
      </c>
      <c r="E437" s="152" t="s">
        <v>153</v>
      </c>
      <c r="F437" s="153">
        <v>2000000</v>
      </c>
      <c r="G437" s="153">
        <f>ROUNDDOWN(D437*F437,-3)</f>
        <v>2000000</v>
      </c>
      <c r="H437" s="210" t="b">
        <f t="shared" si="13"/>
        <v>1</v>
      </c>
    </row>
    <row r="438" spans="1:8" ht="13.8" x14ac:dyDescent="0.25">
      <c r="A438" s="7" t="s">
        <v>3064</v>
      </c>
      <c r="B438" s="60">
        <v>524111</v>
      </c>
      <c r="C438" s="41" t="s">
        <v>19</v>
      </c>
      <c r="D438" s="60"/>
      <c r="E438" s="60"/>
      <c r="F438" s="42"/>
      <c r="G438" s="42">
        <f>G439</f>
        <v>247200000</v>
      </c>
      <c r="H438" s="210" t="b">
        <f t="shared" si="13"/>
        <v>1</v>
      </c>
    </row>
    <row r="439" spans="1:8" ht="13.8" x14ac:dyDescent="0.25">
      <c r="A439" s="7" t="s">
        <v>3065</v>
      </c>
      <c r="B439" s="152"/>
      <c r="C439" s="151" t="s">
        <v>4509</v>
      </c>
      <c r="D439" s="152">
        <v>40</v>
      </c>
      <c r="E439" s="152" t="s">
        <v>10</v>
      </c>
      <c r="F439" s="153">
        <v>6180000</v>
      </c>
      <c r="G439" s="153">
        <f>ROUNDDOWN(D439*F439,-3)</f>
        <v>247200000</v>
      </c>
      <c r="H439" s="210" t="b">
        <f t="shared" si="13"/>
        <v>1</v>
      </c>
    </row>
    <row r="440" spans="1:8" ht="13.8" x14ac:dyDescent="0.25">
      <c r="A440" s="7" t="s">
        <v>3067</v>
      </c>
      <c r="B440" s="59" t="s">
        <v>511</v>
      </c>
      <c r="C440" s="38" t="s">
        <v>175</v>
      </c>
      <c r="D440" s="59"/>
      <c r="E440" s="59"/>
      <c r="F440" s="39"/>
      <c r="G440" s="39">
        <f>SUM(G441,G448,G451,G453,G455)</f>
        <v>212000000</v>
      </c>
      <c r="H440" s="210" t="b">
        <f t="shared" si="13"/>
        <v>1</v>
      </c>
    </row>
    <row r="441" spans="1:8" ht="13.8" x14ac:dyDescent="0.25">
      <c r="A441" s="7" t="s">
        <v>3068</v>
      </c>
      <c r="B441" s="60">
        <v>521211</v>
      </c>
      <c r="C441" s="41" t="s">
        <v>7</v>
      </c>
      <c r="D441" s="60"/>
      <c r="E441" s="60"/>
      <c r="F441" s="42"/>
      <c r="G441" s="42">
        <f>SUM(G442:G447)</f>
        <v>41000000</v>
      </c>
      <c r="H441" s="210" t="b">
        <f t="shared" si="13"/>
        <v>1</v>
      </c>
    </row>
    <row r="442" spans="1:8" ht="13.8" x14ac:dyDescent="0.25">
      <c r="A442" s="7" t="s">
        <v>3069</v>
      </c>
      <c r="B442" s="152"/>
      <c r="C442" s="151" t="s">
        <v>3598</v>
      </c>
      <c r="D442" s="152">
        <v>4</v>
      </c>
      <c r="E442" s="152" t="s">
        <v>9</v>
      </c>
      <c r="F442" s="153">
        <v>1500000</v>
      </c>
      <c r="G442" s="153">
        <f t="shared" ref="G442:G447" si="14">ROUNDDOWN(D442*F442,-3)</f>
        <v>6000000</v>
      </c>
      <c r="H442" s="210" t="b">
        <f t="shared" si="13"/>
        <v>1</v>
      </c>
    </row>
    <row r="443" spans="1:8" ht="13.8" x14ac:dyDescent="0.25">
      <c r="A443" s="7" t="s">
        <v>3070</v>
      </c>
      <c r="B443" s="152"/>
      <c r="C443" s="151" t="s">
        <v>4420</v>
      </c>
      <c r="D443" s="152">
        <v>180</v>
      </c>
      <c r="E443" s="152" t="s">
        <v>10</v>
      </c>
      <c r="F443" s="153">
        <v>75000</v>
      </c>
      <c r="G443" s="153">
        <f t="shared" si="14"/>
        <v>13500000</v>
      </c>
      <c r="H443" s="210" t="b">
        <f t="shared" si="13"/>
        <v>1</v>
      </c>
    </row>
    <row r="444" spans="1:8" ht="13.8" x14ac:dyDescent="0.25">
      <c r="A444" s="7" t="s">
        <v>3071</v>
      </c>
      <c r="B444" s="152"/>
      <c r="C444" s="151" t="s">
        <v>4510</v>
      </c>
      <c r="D444" s="152">
        <v>15</v>
      </c>
      <c r="E444" s="152" t="s">
        <v>176</v>
      </c>
      <c r="F444" s="153">
        <v>500000</v>
      </c>
      <c r="G444" s="153">
        <f t="shared" si="14"/>
        <v>7500000</v>
      </c>
      <c r="H444" s="210" t="b">
        <f t="shared" si="13"/>
        <v>1</v>
      </c>
    </row>
    <row r="445" spans="1:8" ht="13.8" x14ac:dyDescent="0.25">
      <c r="A445" s="7" t="s">
        <v>3073</v>
      </c>
      <c r="B445" s="152"/>
      <c r="C445" s="151" t="s">
        <v>3610</v>
      </c>
      <c r="D445" s="152">
        <v>4</v>
      </c>
      <c r="E445" s="152" t="s">
        <v>106</v>
      </c>
      <c r="F445" s="153">
        <v>1000000</v>
      </c>
      <c r="G445" s="153">
        <f t="shared" si="14"/>
        <v>4000000</v>
      </c>
      <c r="H445" s="210" t="b">
        <f t="shared" si="13"/>
        <v>1</v>
      </c>
    </row>
    <row r="446" spans="1:8" ht="13.8" x14ac:dyDescent="0.25">
      <c r="A446" s="7" t="s">
        <v>3074</v>
      </c>
      <c r="B446" s="152"/>
      <c r="C446" s="151" t="s">
        <v>3611</v>
      </c>
      <c r="D446" s="152">
        <v>4</v>
      </c>
      <c r="E446" s="152" t="s">
        <v>106</v>
      </c>
      <c r="F446" s="153">
        <v>1500000</v>
      </c>
      <c r="G446" s="153">
        <f t="shared" si="14"/>
        <v>6000000</v>
      </c>
      <c r="H446" s="210" t="b">
        <f t="shared" si="13"/>
        <v>1</v>
      </c>
    </row>
    <row r="447" spans="1:8" ht="13.8" x14ac:dyDescent="0.25">
      <c r="A447" s="7" t="s">
        <v>3075</v>
      </c>
      <c r="B447" s="152"/>
      <c r="C447" s="151" t="s">
        <v>4511</v>
      </c>
      <c r="D447" s="152">
        <v>8</v>
      </c>
      <c r="E447" s="152" t="s">
        <v>58</v>
      </c>
      <c r="F447" s="153">
        <v>500000</v>
      </c>
      <c r="G447" s="153">
        <f t="shared" si="14"/>
        <v>4000000</v>
      </c>
      <c r="H447" s="210" t="b">
        <f t="shared" si="13"/>
        <v>1</v>
      </c>
    </row>
    <row r="448" spans="1:8" ht="13.8" x14ac:dyDescent="0.25">
      <c r="A448" s="7" t="s">
        <v>3077</v>
      </c>
      <c r="B448" s="60">
        <v>521219</v>
      </c>
      <c r="C448" s="41" t="s">
        <v>53</v>
      </c>
      <c r="D448" s="60"/>
      <c r="E448" s="60"/>
      <c r="F448" s="42"/>
      <c r="G448" s="42">
        <f>SUM(G449:G450)</f>
        <v>32000000</v>
      </c>
      <c r="H448" s="210" t="b">
        <f t="shared" si="13"/>
        <v>1</v>
      </c>
    </row>
    <row r="449" spans="1:8" ht="26.4" x14ac:dyDescent="0.25">
      <c r="A449" s="7" t="s">
        <v>3078</v>
      </c>
      <c r="B449" s="152"/>
      <c r="C449" s="151" t="s">
        <v>4512</v>
      </c>
      <c r="D449" s="152">
        <v>2</v>
      </c>
      <c r="E449" s="152" t="s">
        <v>177</v>
      </c>
      <c r="F449" s="153">
        <v>15000000</v>
      </c>
      <c r="G449" s="153">
        <f>ROUNDDOWN(D449*F449,-3)</f>
        <v>30000000</v>
      </c>
      <c r="H449" s="210" t="b">
        <f t="shared" si="13"/>
        <v>1</v>
      </c>
    </row>
    <row r="450" spans="1:8" ht="26.4" x14ac:dyDescent="0.25">
      <c r="A450" s="7" t="s">
        <v>3080</v>
      </c>
      <c r="B450" s="152"/>
      <c r="C450" s="151" t="s">
        <v>4513</v>
      </c>
      <c r="D450" s="152">
        <v>1</v>
      </c>
      <c r="E450" s="152" t="s">
        <v>60</v>
      </c>
      <c r="F450" s="153">
        <v>2000000</v>
      </c>
      <c r="G450" s="153">
        <f>ROUNDDOWN(D450*F450,-3)</f>
        <v>2000000</v>
      </c>
      <c r="H450" s="210" t="b">
        <f t="shared" si="13"/>
        <v>1</v>
      </c>
    </row>
    <row r="451" spans="1:8" ht="13.8" x14ac:dyDescent="0.25">
      <c r="A451" s="7" t="s">
        <v>3082</v>
      </c>
      <c r="B451" s="60">
        <v>522151</v>
      </c>
      <c r="C451" s="41" t="s">
        <v>11</v>
      </c>
      <c r="D451" s="60"/>
      <c r="E451" s="60"/>
      <c r="F451" s="42"/>
      <c r="G451" s="42">
        <f>G452</f>
        <v>10000000</v>
      </c>
      <c r="H451" s="210" t="b">
        <f t="shared" si="13"/>
        <v>1</v>
      </c>
    </row>
    <row r="452" spans="1:8" ht="13.8" x14ac:dyDescent="0.25">
      <c r="A452" s="7" t="s">
        <v>3083</v>
      </c>
      <c r="B452" s="152"/>
      <c r="C452" s="151" t="s">
        <v>3715</v>
      </c>
      <c r="D452" s="152">
        <v>10</v>
      </c>
      <c r="E452" s="152" t="s">
        <v>54</v>
      </c>
      <c r="F452" s="153">
        <v>1000000</v>
      </c>
      <c r="G452" s="153">
        <f>ROUNDDOWN(D452*F452,-3)</f>
        <v>10000000</v>
      </c>
      <c r="H452" s="210" t="b">
        <f t="shared" si="13"/>
        <v>1</v>
      </c>
    </row>
    <row r="453" spans="1:8" ht="13.8" x14ac:dyDescent="0.25">
      <c r="A453" s="7" t="s">
        <v>3084</v>
      </c>
      <c r="B453" s="60">
        <v>524111</v>
      </c>
      <c r="C453" s="41" t="s">
        <v>19</v>
      </c>
      <c r="D453" s="60"/>
      <c r="E453" s="60"/>
      <c r="F453" s="42"/>
      <c r="G453" s="42">
        <f>G454</f>
        <v>120000000</v>
      </c>
      <c r="H453" s="210" t="b">
        <f t="shared" si="13"/>
        <v>1</v>
      </c>
    </row>
    <row r="454" spans="1:8" ht="13.8" x14ac:dyDescent="0.25">
      <c r="A454" s="7" t="s">
        <v>3085</v>
      </c>
      <c r="B454" s="152"/>
      <c r="C454" s="151" t="s">
        <v>4514</v>
      </c>
      <c r="D454" s="152">
        <v>30</v>
      </c>
      <c r="E454" s="152" t="s">
        <v>10</v>
      </c>
      <c r="F454" s="153">
        <v>4000000</v>
      </c>
      <c r="G454" s="153">
        <f>ROUNDDOWN(D454*F454,-3)</f>
        <v>120000000</v>
      </c>
      <c r="H454" s="210" t="b">
        <f t="shared" si="13"/>
        <v>1</v>
      </c>
    </row>
    <row r="455" spans="1:8" ht="13.8" x14ac:dyDescent="0.25">
      <c r="A455" s="7" t="s">
        <v>3087</v>
      </c>
      <c r="B455" s="60">
        <v>524113</v>
      </c>
      <c r="C455" s="41" t="s">
        <v>13</v>
      </c>
      <c r="D455" s="60"/>
      <c r="E455" s="60"/>
      <c r="F455" s="42"/>
      <c r="G455" s="42">
        <f>G456</f>
        <v>9000000</v>
      </c>
      <c r="H455" s="210" t="b">
        <f t="shared" si="13"/>
        <v>1</v>
      </c>
    </row>
    <row r="456" spans="1:8" ht="13.8" x14ac:dyDescent="0.25">
      <c r="A456" s="7" t="s">
        <v>3088</v>
      </c>
      <c r="B456" s="152"/>
      <c r="C456" s="151" t="s">
        <v>3613</v>
      </c>
      <c r="D456" s="152">
        <v>60</v>
      </c>
      <c r="E456" s="152" t="s">
        <v>25</v>
      </c>
      <c r="F456" s="153">
        <v>150000</v>
      </c>
      <c r="G456" s="153">
        <f>ROUNDDOWN(D456*F456,-3)</f>
        <v>9000000</v>
      </c>
      <c r="H456" s="210" t="b">
        <f t="shared" si="13"/>
        <v>1</v>
      </c>
    </row>
    <row r="457" spans="1:8" ht="26.4" x14ac:dyDescent="0.25">
      <c r="A457" s="7" t="s">
        <v>3089</v>
      </c>
      <c r="B457" s="58">
        <v>302</v>
      </c>
      <c r="C457" s="35" t="s">
        <v>3091</v>
      </c>
      <c r="D457" s="58"/>
      <c r="E457" s="58"/>
      <c r="F457" s="36"/>
      <c r="G457" s="36">
        <f>G458</f>
        <v>126532000</v>
      </c>
      <c r="H457" s="210" t="b">
        <f t="shared" si="13"/>
        <v>1</v>
      </c>
    </row>
    <row r="458" spans="1:8" ht="13.8" x14ac:dyDescent="0.25">
      <c r="A458" s="7" t="s">
        <v>3092</v>
      </c>
      <c r="B458" s="59" t="s">
        <v>8</v>
      </c>
      <c r="C458" s="38" t="s">
        <v>178</v>
      </c>
      <c r="D458" s="59"/>
      <c r="E458" s="59"/>
      <c r="F458" s="39"/>
      <c r="G458" s="39">
        <f>SUM(G459,G465,G467)</f>
        <v>126532000</v>
      </c>
      <c r="H458" s="210" t="b">
        <f t="shared" si="13"/>
        <v>1</v>
      </c>
    </row>
    <row r="459" spans="1:8" ht="13.8" x14ac:dyDescent="0.25">
      <c r="A459" s="7" t="s">
        <v>3093</v>
      </c>
      <c r="B459" s="60">
        <v>521211</v>
      </c>
      <c r="C459" s="41" t="s">
        <v>7</v>
      </c>
      <c r="D459" s="60"/>
      <c r="E459" s="60"/>
      <c r="F459" s="42"/>
      <c r="G459" s="42">
        <f>SUM(G460:G464)</f>
        <v>35500000</v>
      </c>
      <c r="H459" s="210" t="b">
        <f t="shared" si="13"/>
        <v>1</v>
      </c>
    </row>
    <row r="460" spans="1:8" ht="13.8" x14ac:dyDescent="0.25">
      <c r="A460" s="7" t="s">
        <v>3094</v>
      </c>
      <c r="B460" s="152"/>
      <c r="C460" s="151" t="s">
        <v>3598</v>
      </c>
      <c r="D460" s="152">
        <v>4</v>
      </c>
      <c r="E460" s="152" t="s">
        <v>9</v>
      </c>
      <c r="F460" s="153">
        <v>1500000</v>
      </c>
      <c r="G460" s="153">
        <f>ROUNDDOWN(D460*F460,-3)</f>
        <v>6000000</v>
      </c>
      <c r="H460" s="210" t="b">
        <f t="shared" si="13"/>
        <v>1</v>
      </c>
    </row>
    <row r="461" spans="1:8" ht="13.8" x14ac:dyDescent="0.25">
      <c r="A461" s="7" t="s">
        <v>3095</v>
      </c>
      <c r="B461" s="152"/>
      <c r="C461" s="151" t="s">
        <v>4420</v>
      </c>
      <c r="D461" s="152">
        <v>180</v>
      </c>
      <c r="E461" s="152" t="s">
        <v>10</v>
      </c>
      <c r="F461" s="153">
        <v>75000</v>
      </c>
      <c r="G461" s="153">
        <f>ROUNDDOWN(D461*F461,-3)</f>
        <v>13500000</v>
      </c>
      <c r="H461" s="210" t="b">
        <f t="shared" ref="H461:H524" si="15">_xlfn.ISFORMULA(G461)</f>
        <v>1</v>
      </c>
    </row>
    <row r="462" spans="1:8" ht="13.8" x14ac:dyDescent="0.25">
      <c r="A462" s="7" t="s">
        <v>3096</v>
      </c>
      <c r="B462" s="152"/>
      <c r="C462" s="151" t="s">
        <v>3600</v>
      </c>
      <c r="D462" s="152">
        <v>4</v>
      </c>
      <c r="E462" s="152" t="s">
        <v>106</v>
      </c>
      <c r="F462" s="153">
        <v>1000000</v>
      </c>
      <c r="G462" s="153">
        <f>ROUNDDOWN(D462*F462,-3)</f>
        <v>4000000</v>
      </c>
      <c r="H462" s="210" t="b">
        <f t="shared" si="15"/>
        <v>1</v>
      </c>
    </row>
    <row r="463" spans="1:8" ht="13.8" x14ac:dyDescent="0.25">
      <c r="A463" s="7" t="s">
        <v>3097</v>
      </c>
      <c r="B463" s="152"/>
      <c r="C463" s="151" t="s">
        <v>3601</v>
      </c>
      <c r="D463" s="152">
        <v>4</v>
      </c>
      <c r="E463" s="152" t="s">
        <v>106</v>
      </c>
      <c r="F463" s="153">
        <v>1500000</v>
      </c>
      <c r="G463" s="153">
        <f>ROUNDDOWN(D463*F463,-3)</f>
        <v>6000000</v>
      </c>
      <c r="H463" s="210" t="b">
        <f t="shared" si="15"/>
        <v>1</v>
      </c>
    </row>
    <row r="464" spans="1:8" ht="13.8" x14ac:dyDescent="0.25">
      <c r="A464" s="7" t="s">
        <v>3098</v>
      </c>
      <c r="B464" s="152"/>
      <c r="C464" s="151" t="s">
        <v>4515</v>
      </c>
      <c r="D464" s="152">
        <v>12</v>
      </c>
      <c r="E464" s="152" t="s">
        <v>176</v>
      </c>
      <c r="F464" s="153">
        <v>500000</v>
      </c>
      <c r="G464" s="153">
        <f>ROUNDDOWN(D464*F464,-3)</f>
        <v>6000000</v>
      </c>
      <c r="H464" s="210" t="b">
        <f t="shared" si="15"/>
        <v>1</v>
      </c>
    </row>
    <row r="465" spans="1:8" ht="13.8" x14ac:dyDescent="0.25">
      <c r="A465" s="7" t="s">
        <v>3100</v>
      </c>
      <c r="B465" s="60">
        <v>521219</v>
      </c>
      <c r="C465" s="41" t="s">
        <v>53</v>
      </c>
      <c r="D465" s="60"/>
      <c r="E465" s="60"/>
      <c r="F465" s="42"/>
      <c r="G465" s="42">
        <f>G466</f>
        <v>2000000</v>
      </c>
      <c r="H465" s="210" t="b">
        <f t="shared" si="15"/>
        <v>1</v>
      </c>
    </row>
    <row r="466" spans="1:8" ht="26.4" x14ac:dyDescent="0.25">
      <c r="A466" s="7" t="s">
        <v>3101</v>
      </c>
      <c r="B466" s="152"/>
      <c r="C466" s="151" t="s">
        <v>4508</v>
      </c>
      <c r="D466" s="152">
        <v>1</v>
      </c>
      <c r="E466" s="152" t="s">
        <v>153</v>
      </c>
      <c r="F466" s="153">
        <v>2000000</v>
      </c>
      <c r="G466" s="153">
        <f>ROUNDDOWN(D466*F466,-3)</f>
        <v>2000000</v>
      </c>
      <c r="H466" s="210" t="b">
        <f t="shared" si="15"/>
        <v>1</v>
      </c>
    </row>
    <row r="467" spans="1:8" ht="13.8" x14ac:dyDescent="0.25">
      <c r="A467" s="7" t="s">
        <v>3102</v>
      </c>
      <c r="B467" s="60">
        <v>524111</v>
      </c>
      <c r="C467" s="41" t="s">
        <v>19</v>
      </c>
      <c r="D467" s="60"/>
      <c r="E467" s="60"/>
      <c r="F467" s="42"/>
      <c r="G467" s="42">
        <f>G468</f>
        <v>89032000</v>
      </c>
      <c r="H467" s="210" t="b">
        <f t="shared" si="15"/>
        <v>1</v>
      </c>
    </row>
    <row r="468" spans="1:8" ht="13.8" x14ac:dyDescent="0.25">
      <c r="A468" s="7" t="s">
        <v>3103</v>
      </c>
      <c r="B468" s="152"/>
      <c r="C468" s="151" t="s">
        <v>4514</v>
      </c>
      <c r="D468" s="152">
        <v>22</v>
      </c>
      <c r="E468" s="152" t="s">
        <v>10</v>
      </c>
      <c r="F468" s="153">
        <v>4046950</v>
      </c>
      <c r="G468" s="153">
        <f>ROUNDDOWN(D468*F468,-3)</f>
        <v>89032000</v>
      </c>
      <c r="H468" s="210" t="b">
        <f t="shared" si="15"/>
        <v>1</v>
      </c>
    </row>
    <row r="469" spans="1:8" ht="13.8" x14ac:dyDescent="0.25">
      <c r="A469" s="7" t="s">
        <v>3104</v>
      </c>
      <c r="B469" s="138" t="s">
        <v>4516</v>
      </c>
      <c r="C469" s="137" t="s">
        <v>3106</v>
      </c>
      <c r="D469" s="138">
        <v>1</v>
      </c>
      <c r="E469" s="138" t="s">
        <v>4315</v>
      </c>
      <c r="F469" s="139"/>
      <c r="G469" s="139">
        <f>G470</f>
        <v>289920000</v>
      </c>
      <c r="H469" s="210" t="b">
        <f t="shared" si="15"/>
        <v>1</v>
      </c>
    </row>
    <row r="470" spans="1:8" ht="13.8" x14ac:dyDescent="0.25">
      <c r="A470" s="7" t="s">
        <v>3318</v>
      </c>
      <c r="B470" s="58">
        <v>301</v>
      </c>
      <c r="C470" s="35" t="s">
        <v>3319</v>
      </c>
      <c r="D470" s="58"/>
      <c r="E470" s="58"/>
      <c r="F470" s="36"/>
      <c r="G470" s="36">
        <f>SUM(G471,G481,G490,G498,G511,G519)</f>
        <v>289920000</v>
      </c>
      <c r="H470" s="210" t="b">
        <f t="shared" si="15"/>
        <v>1</v>
      </c>
    </row>
    <row r="471" spans="1:8" ht="13.8" x14ac:dyDescent="0.25">
      <c r="A471" s="7" t="s">
        <v>3320</v>
      </c>
      <c r="B471" s="59" t="s">
        <v>8</v>
      </c>
      <c r="C471" s="38" t="s">
        <v>143</v>
      </c>
      <c r="D471" s="59"/>
      <c r="E471" s="59"/>
      <c r="F471" s="39"/>
      <c r="G471" s="39">
        <f>SUM(G472,G477,G479)</f>
        <v>40700000</v>
      </c>
      <c r="H471" s="210" t="b">
        <f t="shared" si="15"/>
        <v>1</v>
      </c>
    </row>
    <row r="472" spans="1:8" ht="13.8" x14ac:dyDescent="0.25">
      <c r="A472" s="7" t="s">
        <v>3321</v>
      </c>
      <c r="B472" s="60">
        <v>521211</v>
      </c>
      <c r="C472" s="41" t="s">
        <v>7</v>
      </c>
      <c r="D472" s="60"/>
      <c r="E472" s="60"/>
      <c r="F472" s="42"/>
      <c r="G472" s="42">
        <f>SUM(G473:G476)</f>
        <v>23900000</v>
      </c>
      <c r="H472" s="210" t="b">
        <f t="shared" si="15"/>
        <v>1</v>
      </c>
    </row>
    <row r="473" spans="1:8" ht="13.8" x14ac:dyDescent="0.25">
      <c r="A473" s="7" t="s">
        <v>3322</v>
      </c>
      <c r="B473" s="152"/>
      <c r="C473" s="151" t="s">
        <v>3598</v>
      </c>
      <c r="D473" s="152">
        <v>5</v>
      </c>
      <c r="E473" s="152" t="s">
        <v>9</v>
      </c>
      <c r="F473" s="153">
        <v>1500000</v>
      </c>
      <c r="G473" s="153">
        <f>ROUNDDOWN(D473*F473,-3)</f>
        <v>7500000</v>
      </c>
      <c r="H473" s="210" t="b">
        <f t="shared" si="15"/>
        <v>1</v>
      </c>
    </row>
    <row r="474" spans="1:8" ht="13.8" x14ac:dyDescent="0.25">
      <c r="A474" s="7" t="s">
        <v>3323</v>
      </c>
      <c r="B474" s="152"/>
      <c r="C474" s="151" t="s">
        <v>4420</v>
      </c>
      <c r="D474" s="152">
        <v>20</v>
      </c>
      <c r="E474" s="152" t="s">
        <v>10</v>
      </c>
      <c r="F474" s="153">
        <v>70000</v>
      </c>
      <c r="G474" s="153">
        <f>ROUNDDOWN(D474*F474,-3)</f>
        <v>1400000</v>
      </c>
      <c r="H474" s="210" t="b">
        <f t="shared" si="15"/>
        <v>1</v>
      </c>
    </row>
    <row r="475" spans="1:8" ht="13.8" x14ac:dyDescent="0.25">
      <c r="A475" s="7" t="s">
        <v>3324</v>
      </c>
      <c r="B475" s="152"/>
      <c r="C475" s="151" t="s">
        <v>3600</v>
      </c>
      <c r="D475" s="152">
        <v>6</v>
      </c>
      <c r="E475" s="152" t="s">
        <v>106</v>
      </c>
      <c r="F475" s="153">
        <v>1000000</v>
      </c>
      <c r="G475" s="153">
        <f>ROUNDDOWN(D475*F475,-3)</f>
        <v>6000000</v>
      </c>
      <c r="H475" s="210" t="b">
        <f t="shared" si="15"/>
        <v>1</v>
      </c>
    </row>
    <row r="476" spans="1:8" ht="13.8" x14ac:dyDescent="0.25">
      <c r="A476" s="7" t="s">
        <v>3325</v>
      </c>
      <c r="B476" s="152"/>
      <c r="C476" s="151" t="s">
        <v>3601</v>
      </c>
      <c r="D476" s="152">
        <v>6</v>
      </c>
      <c r="E476" s="152" t="s">
        <v>106</v>
      </c>
      <c r="F476" s="153">
        <v>1500000</v>
      </c>
      <c r="G476" s="153">
        <f>ROUNDDOWN(D476*F476,-3)</f>
        <v>9000000</v>
      </c>
      <c r="H476" s="210" t="b">
        <f t="shared" si="15"/>
        <v>1</v>
      </c>
    </row>
    <row r="477" spans="1:8" ht="13.8" x14ac:dyDescent="0.25">
      <c r="A477" s="7" t="s">
        <v>3326</v>
      </c>
      <c r="B477" s="60">
        <v>524111</v>
      </c>
      <c r="C477" s="41" t="s">
        <v>19</v>
      </c>
      <c r="D477" s="60"/>
      <c r="E477" s="60"/>
      <c r="F477" s="42"/>
      <c r="G477" s="42">
        <f>G478</f>
        <v>15000000</v>
      </c>
      <c r="H477" s="210" t="b">
        <f t="shared" si="15"/>
        <v>1</v>
      </c>
    </row>
    <row r="478" spans="1:8" ht="13.8" x14ac:dyDescent="0.25">
      <c r="A478" s="7" t="s">
        <v>3327</v>
      </c>
      <c r="B478" s="152"/>
      <c r="C478" s="151" t="s">
        <v>4582</v>
      </c>
      <c r="D478" s="152">
        <v>5</v>
      </c>
      <c r="E478" s="152" t="s">
        <v>10</v>
      </c>
      <c r="F478" s="153">
        <v>3000000</v>
      </c>
      <c r="G478" s="153">
        <f>ROUNDDOWN(D478*F478,-3)</f>
        <v>15000000</v>
      </c>
      <c r="H478" s="210" t="b">
        <f t="shared" si="15"/>
        <v>1</v>
      </c>
    </row>
    <row r="479" spans="1:8" ht="13.8" x14ac:dyDescent="0.25">
      <c r="A479" s="7" t="s">
        <v>3329</v>
      </c>
      <c r="B479" s="60">
        <v>524113</v>
      </c>
      <c r="C479" s="41" t="s">
        <v>13</v>
      </c>
      <c r="D479" s="60"/>
      <c r="E479" s="60"/>
      <c r="F479" s="42"/>
      <c r="G479" s="42">
        <f>G480</f>
        <v>1800000</v>
      </c>
      <c r="H479" s="210" t="b">
        <f t="shared" si="15"/>
        <v>1</v>
      </c>
    </row>
    <row r="480" spans="1:8" ht="13.8" x14ac:dyDescent="0.25">
      <c r="A480" s="7" t="s">
        <v>3330</v>
      </c>
      <c r="B480" s="152"/>
      <c r="C480" s="151" t="s">
        <v>3603</v>
      </c>
      <c r="D480" s="152">
        <v>12</v>
      </c>
      <c r="E480" s="152" t="s">
        <v>10</v>
      </c>
      <c r="F480" s="153">
        <v>150000</v>
      </c>
      <c r="G480" s="153">
        <f>ROUNDDOWN(D480*F480,-3)</f>
        <v>1800000</v>
      </c>
      <c r="H480" s="210" t="b">
        <f t="shared" si="15"/>
        <v>1</v>
      </c>
    </row>
    <row r="481" spans="1:8" ht="13.8" x14ac:dyDescent="0.25">
      <c r="A481" s="7" t="s">
        <v>3331</v>
      </c>
      <c r="B481" s="59" t="s">
        <v>511</v>
      </c>
      <c r="C481" s="38" t="s">
        <v>144</v>
      </c>
      <c r="D481" s="59"/>
      <c r="E481" s="59"/>
      <c r="F481" s="39"/>
      <c r="G481" s="39">
        <f>SUM(G482,G486,G488)</f>
        <v>30900000</v>
      </c>
      <c r="H481" s="210" t="b">
        <f t="shared" si="15"/>
        <v>1</v>
      </c>
    </row>
    <row r="482" spans="1:8" ht="13.8" x14ac:dyDescent="0.25">
      <c r="A482" s="7" t="s">
        <v>3332</v>
      </c>
      <c r="B482" s="60">
        <v>521211</v>
      </c>
      <c r="C482" s="41" t="s">
        <v>7</v>
      </c>
      <c r="D482" s="60"/>
      <c r="E482" s="60"/>
      <c r="F482" s="42"/>
      <c r="G482" s="42">
        <f>SUM(G483:G485)</f>
        <v>11400000</v>
      </c>
      <c r="H482" s="210" t="b">
        <f t="shared" si="15"/>
        <v>1</v>
      </c>
    </row>
    <row r="483" spans="1:8" ht="13.8" x14ac:dyDescent="0.25">
      <c r="A483" s="7" t="s">
        <v>3333</v>
      </c>
      <c r="B483" s="152"/>
      <c r="C483" s="151" t="s">
        <v>4269</v>
      </c>
      <c r="D483" s="152">
        <v>4</v>
      </c>
      <c r="E483" s="152" t="s">
        <v>9</v>
      </c>
      <c r="F483" s="153">
        <v>1500000</v>
      </c>
      <c r="G483" s="153">
        <f>ROUNDDOWN(D483*F483,-3)</f>
        <v>6000000</v>
      </c>
      <c r="H483" s="210" t="b">
        <f t="shared" si="15"/>
        <v>1</v>
      </c>
    </row>
    <row r="484" spans="1:8" ht="13.8" x14ac:dyDescent="0.25">
      <c r="A484" s="7" t="s">
        <v>3334</v>
      </c>
      <c r="B484" s="152"/>
      <c r="C484" s="151" t="s">
        <v>4420</v>
      </c>
      <c r="D484" s="152">
        <v>20</v>
      </c>
      <c r="E484" s="152" t="s">
        <v>10</v>
      </c>
      <c r="F484" s="153">
        <v>70000</v>
      </c>
      <c r="G484" s="153">
        <f>ROUNDDOWN(D484*F484,-3)</f>
        <v>1400000</v>
      </c>
      <c r="H484" s="210" t="b">
        <f t="shared" si="15"/>
        <v>1</v>
      </c>
    </row>
    <row r="485" spans="1:8" ht="13.8" x14ac:dyDescent="0.25">
      <c r="A485" s="7" t="s">
        <v>3335</v>
      </c>
      <c r="B485" s="152"/>
      <c r="C485" s="151" t="s">
        <v>3600</v>
      </c>
      <c r="D485" s="152">
        <v>4</v>
      </c>
      <c r="E485" s="152" t="s">
        <v>106</v>
      </c>
      <c r="F485" s="153">
        <v>1000000</v>
      </c>
      <c r="G485" s="153">
        <f>ROUNDDOWN(D485*F485,-3)</f>
        <v>4000000</v>
      </c>
      <c r="H485" s="210" t="b">
        <f t="shared" si="15"/>
        <v>1</v>
      </c>
    </row>
    <row r="486" spans="1:8" ht="13.8" x14ac:dyDescent="0.25">
      <c r="A486" s="7" t="s">
        <v>3336</v>
      </c>
      <c r="B486" s="60">
        <v>524111</v>
      </c>
      <c r="C486" s="41" t="s">
        <v>19</v>
      </c>
      <c r="D486" s="60"/>
      <c r="E486" s="60"/>
      <c r="F486" s="42"/>
      <c r="G486" s="42">
        <f>G487</f>
        <v>18000000</v>
      </c>
      <c r="H486" s="210" t="b">
        <f t="shared" si="15"/>
        <v>1</v>
      </c>
    </row>
    <row r="487" spans="1:8" ht="13.8" x14ac:dyDescent="0.25">
      <c r="A487" s="7" t="s">
        <v>3337</v>
      </c>
      <c r="B487" s="152"/>
      <c r="C487" s="151" t="s">
        <v>4582</v>
      </c>
      <c r="D487" s="152">
        <v>6</v>
      </c>
      <c r="E487" s="152" t="s">
        <v>10</v>
      </c>
      <c r="F487" s="153">
        <v>3000000</v>
      </c>
      <c r="G487" s="153">
        <f>ROUNDDOWN(D487*F487,-3)</f>
        <v>18000000</v>
      </c>
      <c r="H487" s="210" t="b">
        <f t="shared" si="15"/>
        <v>1</v>
      </c>
    </row>
    <row r="488" spans="1:8" ht="13.8" x14ac:dyDescent="0.25">
      <c r="A488" s="7" t="s">
        <v>3338</v>
      </c>
      <c r="B488" s="60">
        <v>524113</v>
      </c>
      <c r="C488" s="41" t="s">
        <v>13</v>
      </c>
      <c r="D488" s="60"/>
      <c r="E488" s="60"/>
      <c r="F488" s="42"/>
      <c r="G488" s="42">
        <f>G489</f>
        <v>1500000</v>
      </c>
      <c r="H488" s="210" t="b">
        <f t="shared" si="15"/>
        <v>1</v>
      </c>
    </row>
    <row r="489" spans="1:8" ht="13.8" x14ac:dyDescent="0.25">
      <c r="A489" s="7" t="s">
        <v>3339</v>
      </c>
      <c r="B489" s="152"/>
      <c r="C489" s="151" t="s">
        <v>3613</v>
      </c>
      <c r="D489" s="152">
        <v>10</v>
      </c>
      <c r="E489" s="152" t="s">
        <v>10</v>
      </c>
      <c r="F489" s="153">
        <v>150000</v>
      </c>
      <c r="G489" s="153">
        <f>ROUNDDOWN(D489*F489,-3)</f>
        <v>1500000</v>
      </c>
      <c r="H489" s="210" t="b">
        <f t="shared" si="15"/>
        <v>1</v>
      </c>
    </row>
    <row r="490" spans="1:8" ht="13.8" x14ac:dyDescent="0.25">
      <c r="A490" s="7" t="s">
        <v>3340</v>
      </c>
      <c r="B490" s="59" t="s">
        <v>512</v>
      </c>
      <c r="C490" s="38" t="s">
        <v>145</v>
      </c>
      <c r="D490" s="59"/>
      <c r="E490" s="59"/>
      <c r="F490" s="39"/>
      <c r="G490" s="39">
        <f>SUM(G491,G494,G496)</f>
        <v>26500000</v>
      </c>
      <c r="H490" s="210" t="b">
        <f t="shared" si="15"/>
        <v>1</v>
      </c>
    </row>
    <row r="491" spans="1:8" ht="13.8" x14ac:dyDescent="0.25">
      <c r="A491" s="7" t="s">
        <v>3341</v>
      </c>
      <c r="B491" s="60">
        <v>521211</v>
      </c>
      <c r="C491" s="41" t="s">
        <v>7</v>
      </c>
      <c r="D491" s="60"/>
      <c r="E491" s="60"/>
      <c r="F491" s="42"/>
      <c r="G491" s="42">
        <f>SUM(G492:G493)</f>
        <v>10000000</v>
      </c>
      <c r="H491" s="210" t="b">
        <f t="shared" si="15"/>
        <v>1</v>
      </c>
    </row>
    <row r="492" spans="1:8" ht="13.8" x14ac:dyDescent="0.25">
      <c r="A492" s="7" t="s">
        <v>3342</v>
      </c>
      <c r="B492" s="152"/>
      <c r="C492" s="151" t="s">
        <v>4269</v>
      </c>
      <c r="D492" s="152">
        <v>4</v>
      </c>
      <c r="E492" s="152" t="s">
        <v>9</v>
      </c>
      <c r="F492" s="153">
        <v>1500000</v>
      </c>
      <c r="G492" s="153">
        <f>ROUNDDOWN(D492*F492,-3)</f>
        <v>6000000</v>
      </c>
      <c r="H492" s="210" t="b">
        <f t="shared" si="15"/>
        <v>1</v>
      </c>
    </row>
    <row r="493" spans="1:8" ht="13.8" x14ac:dyDescent="0.25">
      <c r="A493" s="7" t="s">
        <v>3343</v>
      </c>
      <c r="B493" s="152"/>
      <c r="C493" s="151" t="s">
        <v>3632</v>
      </c>
      <c r="D493" s="152">
        <v>4</v>
      </c>
      <c r="E493" s="152" t="s">
        <v>106</v>
      </c>
      <c r="F493" s="153">
        <v>1000000</v>
      </c>
      <c r="G493" s="153">
        <f>ROUNDDOWN(D493*F493,-3)</f>
        <v>4000000</v>
      </c>
      <c r="H493" s="210" t="b">
        <f t="shared" si="15"/>
        <v>1</v>
      </c>
    </row>
    <row r="494" spans="1:8" ht="13.8" x14ac:dyDescent="0.25">
      <c r="A494" s="7" t="s">
        <v>3344</v>
      </c>
      <c r="B494" s="60">
        <v>524111</v>
      </c>
      <c r="C494" s="41" t="s">
        <v>19</v>
      </c>
      <c r="D494" s="60"/>
      <c r="E494" s="60"/>
      <c r="F494" s="42"/>
      <c r="G494" s="42">
        <f>G495</f>
        <v>15000000</v>
      </c>
      <c r="H494" s="210" t="b">
        <f t="shared" si="15"/>
        <v>1</v>
      </c>
    </row>
    <row r="495" spans="1:8" ht="13.8" x14ac:dyDescent="0.25">
      <c r="A495" s="7" t="s">
        <v>3345</v>
      </c>
      <c r="B495" s="152"/>
      <c r="C495" s="151" t="s">
        <v>4583</v>
      </c>
      <c r="D495" s="152">
        <v>5</v>
      </c>
      <c r="E495" s="152" t="s">
        <v>10</v>
      </c>
      <c r="F495" s="153">
        <v>3000000</v>
      </c>
      <c r="G495" s="153">
        <f>ROUNDDOWN(D495*F495,-3)</f>
        <v>15000000</v>
      </c>
      <c r="H495" s="210" t="b">
        <f t="shared" si="15"/>
        <v>1</v>
      </c>
    </row>
    <row r="496" spans="1:8" ht="13.8" x14ac:dyDescent="0.25">
      <c r="A496" s="7" t="s">
        <v>3347</v>
      </c>
      <c r="B496" s="60">
        <v>524113</v>
      </c>
      <c r="C496" s="41" t="s">
        <v>13</v>
      </c>
      <c r="D496" s="60"/>
      <c r="E496" s="60"/>
      <c r="F496" s="42"/>
      <c r="G496" s="42">
        <f>G497</f>
        <v>1500000</v>
      </c>
      <c r="H496" s="210" t="b">
        <f t="shared" si="15"/>
        <v>1</v>
      </c>
    </row>
    <row r="497" spans="1:8" ht="13.8" x14ac:dyDescent="0.25">
      <c r="A497" s="7" t="s">
        <v>3348</v>
      </c>
      <c r="B497" s="152"/>
      <c r="C497" s="151" t="s">
        <v>3613</v>
      </c>
      <c r="D497" s="152">
        <v>10</v>
      </c>
      <c r="E497" s="152" t="s">
        <v>10</v>
      </c>
      <c r="F497" s="153">
        <v>150000</v>
      </c>
      <c r="G497" s="153">
        <f>ROUNDDOWN(D497*F497,-3)</f>
        <v>1500000</v>
      </c>
      <c r="H497" s="210" t="b">
        <f t="shared" si="15"/>
        <v>1</v>
      </c>
    </row>
    <row r="498" spans="1:8" ht="13.8" x14ac:dyDescent="0.25">
      <c r="A498" s="7" t="s">
        <v>3349</v>
      </c>
      <c r="B498" s="59" t="s">
        <v>514</v>
      </c>
      <c r="C498" s="38" t="s">
        <v>3350</v>
      </c>
      <c r="D498" s="59"/>
      <c r="E498" s="59"/>
      <c r="F498" s="39"/>
      <c r="G498" s="39">
        <f>SUM(G499,G505,G507,G509)</f>
        <v>86700000</v>
      </c>
      <c r="H498" s="210" t="b">
        <f t="shared" si="15"/>
        <v>1</v>
      </c>
    </row>
    <row r="499" spans="1:8" ht="13.8" x14ac:dyDescent="0.25">
      <c r="A499" s="7" t="s">
        <v>3351</v>
      </c>
      <c r="B499" s="60">
        <v>521211</v>
      </c>
      <c r="C499" s="41" t="s">
        <v>7</v>
      </c>
      <c r="D499" s="60"/>
      <c r="E499" s="60"/>
      <c r="F499" s="42"/>
      <c r="G499" s="42">
        <f>SUM(G500:G504)</f>
        <v>32400000</v>
      </c>
      <c r="H499" s="210" t="b">
        <f t="shared" si="15"/>
        <v>1</v>
      </c>
    </row>
    <row r="500" spans="1:8" ht="13.8" x14ac:dyDescent="0.25">
      <c r="A500" s="7" t="s">
        <v>3352</v>
      </c>
      <c r="B500" s="152"/>
      <c r="C500" s="151" t="s">
        <v>4269</v>
      </c>
      <c r="D500" s="152">
        <v>6</v>
      </c>
      <c r="E500" s="152" t="s">
        <v>9</v>
      </c>
      <c r="F500" s="153">
        <v>1500000</v>
      </c>
      <c r="G500" s="153">
        <f>ROUNDDOWN(D500*F500,-3)</f>
        <v>9000000</v>
      </c>
      <c r="H500" s="210" t="b">
        <f t="shared" si="15"/>
        <v>1</v>
      </c>
    </row>
    <row r="501" spans="1:8" ht="13.8" x14ac:dyDescent="0.25">
      <c r="A501" s="7" t="s">
        <v>3353</v>
      </c>
      <c r="B501" s="152"/>
      <c r="C501" s="151" t="s">
        <v>4420</v>
      </c>
      <c r="D501" s="152">
        <v>20</v>
      </c>
      <c r="E501" s="152" t="s">
        <v>10</v>
      </c>
      <c r="F501" s="153">
        <v>70000</v>
      </c>
      <c r="G501" s="153">
        <f>ROUNDDOWN(D501*F501,-3)</f>
        <v>1400000</v>
      </c>
      <c r="H501" s="210" t="b">
        <f t="shared" si="15"/>
        <v>1</v>
      </c>
    </row>
    <row r="502" spans="1:8" s="212" customFormat="1" ht="13.8" x14ac:dyDescent="0.25">
      <c r="A502" s="211" t="s">
        <v>3354</v>
      </c>
      <c r="B502" s="152"/>
      <c r="C502" s="151" t="s">
        <v>4584</v>
      </c>
      <c r="D502" s="152">
        <v>28</v>
      </c>
      <c r="E502" s="152" t="s">
        <v>176</v>
      </c>
      <c r="F502" s="153">
        <v>500000</v>
      </c>
      <c r="G502" s="153">
        <f>ROUNDDOWN(D502*F502,-3)</f>
        <v>14000000</v>
      </c>
      <c r="H502" s="210" t="b">
        <f t="shared" si="15"/>
        <v>1</v>
      </c>
    </row>
    <row r="503" spans="1:8" ht="13.8" x14ac:dyDescent="0.25">
      <c r="A503" s="7" t="s">
        <v>3356</v>
      </c>
      <c r="B503" s="152"/>
      <c r="C503" s="151" t="s">
        <v>4585</v>
      </c>
      <c r="D503" s="152">
        <v>4</v>
      </c>
      <c r="E503" s="152" t="s">
        <v>58</v>
      </c>
      <c r="F503" s="153">
        <v>500000</v>
      </c>
      <c r="G503" s="153">
        <f>ROUNDDOWN(D503*F503,-3)</f>
        <v>2000000</v>
      </c>
      <c r="H503" s="210" t="b">
        <f t="shared" si="15"/>
        <v>1</v>
      </c>
    </row>
    <row r="504" spans="1:8" ht="13.8" x14ac:dyDescent="0.25">
      <c r="A504" s="7" t="s">
        <v>3358</v>
      </c>
      <c r="B504" s="152"/>
      <c r="C504" s="151" t="s">
        <v>4521</v>
      </c>
      <c r="D504" s="152">
        <v>6</v>
      </c>
      <c r="E504" s="152" t="s">
        <v>106</v>
      </c>
      <c r="F504" s="153">
        <v>1000000</v>
      </c>
      <c r="G504" s="153">
        <f>ROUNDDOWN(D504*F504,-3)</f>
        <v>6000000</v>
      </c>
      <c r="H504" s="210" t="b">
        <f t="shared" si="15"/>
        <v>1</v>
      </c>
    </row>
    <row r="505" spans="1:8" ht="13.8" x14ac:dyDescent="0.25">
      <c r="A505" s="7" t="s">
        <v>3359</v>
      </c>
      <c r="B505" s="60">
        <v>522151</v>
      </c>
      <c r="C505" s="41" t="s">
        <v>11</v>
      </c>
      <c r="D505" s="60"/>
      <c r="E505" s="60"/>
      <c r="F505" s="42"/>
      <c r="G505" s="42">
        <f>G506</f>
        <v>9000000</v>
      </c>
      <c r="H505" s="210" t="b">
        <f t="shared" si="15"/>
        <v>1</v>
      </c>
    </row>
    <row r="506" spans="1:8" ht="13.8" x14ac:dyDescent="0.25">
      <c r="A506" s="7" t="s">
        <v>3360</v>
      </c>
      <c r="B506" s="152"/>
      <c r="C506" s="151" t="s">
        <v>3715</v>
      </c>
      <c r="D506" s="152">
        <v>10</v>
      </c>
      <c r="E506" s="152" t="s">
        <v>12</v>
      </c>
      <c r="F506" s="153">
        <v>900000</v>
      </c>
      <c r="G506" s="153">
        <f>ROUNDDOWN(D506*F506,-3)</f>
        <v>9000000</v>
      </c>
      <c r="H506" s="210" t="b">
        <f t="shared" si="15"/>
        <v>1</v>
      </c>
    </row>
    <row r="507" spans="1:8" ht="13.8" x14ac:dyDescent="0.25">
      <c r="A507" s="7" t="s">
        <v>3361</v>
      </c>
      <c r="B507" s="60">
        <v>524111</v>
      </c>
      <c r="C507" s="41" t="s">
        <v>19</v>
      </c>
      <c r="D507" s="60"/>
      <c r="E507" s="60"/>
      <c r="F507" s="42"/>
      <c r="G507" s="42">
        <f>G508</f>
        <v>42000000</v>
      </c>
      <c r="H507" s="210" t="b">
        <f t="shared" si="15"/>
        <v>1</v>
      </c>
    </row>
    <row r="508" spans="1:8" ht="26.4" x14ac:dyDescent="0.25">
      <c r="A508" s="7" t="s">
        <v>3362</v>
      </c>
      <c r="B508" s="152"/>
      <c r="C508" s="151" t="s">
        <v>4586</v>
      </c>
      <c r="D508" s="152">
        <v>14</v>
      </c>
      <c r="E508" s="152" t="s">
        <v>10</v>
      </c>
      <c r="F508" s="153">
        <v>3000000</v>
      </c>
      <c r="G508" s="153">
        <f>ROUNDDOWN(D508*F508,-3)</f>
        <v>42000000</v>
      </c>
      <c r="H508" s="210" t="b">
        <f t="shared" si="15"/>
        <v>1</v>
      </c>
    </row>
    <row r="509" spans="1:8" ht="13.8" x14ac:dyDescent="0.25">
      <c r="A509" s="7" t="s">
        <v>3364</v>
      </c>
      <c r="B509" s="60">
        <v>524113</v>
      </c>
      <c r="C509" s="41" t="s">
        <v>13</v>
      </c>
      <c r="D509" s="60"/>
      <c r="E509" s="60"/>
      <c r="F509" s="42"/>
      <c r="G509" s="42">
        <f>G510</f>
        <v>3300000</v>
      </c>
      <c r="H509" s="210" t="b">
        <f t="shared" si="15"/>
        <v>1</v>
      </c>
    </row>
    <row r="510" spans="1:8" ht="26.4" x14ac:dyDescent="0.25">
      <c r="A510" s="7" t="s">
        <v>3365</v>
      </c>
      <c r="B510" s="152"/>
      <c r="C510" s="151" t="s">
        <v>4587</v>
      </c>
      <c r="D510" s="152">
        <v>22</v>
      </c>
      <c r="E510" s="152" t="s">
        <v>10</v>
      </c>
      <c r="F510" s="153">
        <v>150000</v>
      </c>
      <c r="G510" s="153">
        <f>ROUNDDOWN(D510*F510,-3)</f>
        <v>3300000</v>
      </c>
      <c r="H510" s="210" t="b">
        <f t="shared" si="15"/>
        <v>1</v>
      </c>
    </row>
    <row r="511" spans="1:8" ht="13.8" x14ac:dyDescent="0.25">
      <c r="A511" s="7" t="s">
        <v>3367</v>
      </c>
      <c r="B511" s="59" t="s">
        <v>519</v>
      </c>
      <c r="C511" s="38" t="s">
        <v>146</v>
      </c>
      <c r="D511" s="59"/>
      <c r="E511" s="59"/>
      <c r="F511" s="39"/>
      <c r="G511" s="39">
        <f>SUM(G512,G515,G517)</f>
        <v>28800000</v>
      </c>
      <c r="H511" s="210" t="b">
        <f>_xlfn.ISFORMULA(G511)</f>
        <v>1</v>
      </c>
    </row>
    <row r="512" spans="1:8" ht="13.8" x14ac:dyDescent="0.25">
      <c r="A512" s="7" t="s">
        <v>3368</v>
      </c>
      <c r="B512" s="60">
        <v>521211</v>
      </c>
      <c r="C512" s="41" t="s">
        <v>7</v>
      </c>
      <c r="D512" s="60"/>
      <c r="E512" s="60"/>
      <c r="F512" s="42"/>
      <c r="G512" s="42">
        <f>SUM(G513:G514)</f>
        <v>15000000</v>
      </c>
      <c r="H512" s="210" t="b">
        <f t="shared" si="15"/>
        <v>1</v>
      </c>
    </row>
    <row r="513" spans="1:8" ht="13.8" x14ac:dyDescent="0.25">
      <c r="A513" s="7" t="s">
        <v>3369</v>
      </c>
      <c r="B513" s="152"/>
      <c r="C513" s="151" t="s">
        <v>4269</v>
      </c>
      <c r="D513" s="152">
        <v>6</v>
      </c>
      <c r="E513" s="152" t="s">
        <v>9</v>
      </c>
      <c r="F513" s="153">
        <v>1500000</v>
      </c>
      <c r="G513" s="153">
        <f>ROUNDDOWN(D513*F513,-3)</f>
        <v>9000000</v>
      </c>
      <c r="H513" s="210" t="b">
        <f t="shared" si="15"/>
        <v>1</v>
      </c>
    </row>
    <row r="514" spans="1:8" ht="13.8" x14ac:dyDescent="0.25">
      <c r="A514" s="7" t="s">
        <v>3370</v>
      </c>
      <c r="B514" s="152"/>
      <c r="C514" s="151" t="s">
        <v>3632</v>
      </c>
      <c r="D514" s="152">
        <v>6</v>
      </c>
      <c r="E514" s="152" t="s">
        <v>106</v>
      </c>
      <c r="F514" s="153">
        <v>1000000</v>
      </c>
      <c r="G514" s="153">
        <f>ROUNDDOWN(D514*F514,-3)</f>
        <v>6000000</v>
      </c>
      <c r="H514" s="210" t="b">
        <f t="shared" si="15"/>
        <v>1</v>
      </c>
    </row>
    <row r="515" spans="1:8" ht="13.8" x14ac:dyDescent="0.25">
      <c r="A515" s="7" t="s">
        <v>3371</v>
      </c>
      <c r="B515" s="60">
        <v>524111</v>
      </c>
      <c r="C515" s="41" t="s">
        <v>19</v>
      </c>
      <c r="D515" s="60"/>
      <c r="E515" s="60"/>
      <c r="F515" s="42"/>
      <c r="G515" s="42">
        <f>G516</f>
        <v>12000000</v>
      </c>
      <c r="H515" s="210" t="b">
        <f t="shared" si="15"/>
        <v>1</v>
      </c>
    </row>
    <row r="516" spans="1:8" ht="13.8" x14ac:dyDescent="0.25">
      <c r="A516" s="7" t="s">
        <v>3372</v>
      </c>
      <c r="B516" s="152"/>
      <c r="C516" s="151" t="s">
        <v>4588</v>
      </c>
      <c r="D516" s="152">
        <v>4</v>
      </c>
      <c r="E516" s="152" t="s">
        <v>10</v>
      </c>
      <c r="F516" s="153">
        <v>3000000</v>
      </c>
      <c r="G516" s="153">
        <f>ROUNDDOWN(D516*F516,-3)</f>
        <v>12000000</v>
      </c>
      <c r="H516" s="210" t="b">
        <f t="shared" si="15"/>
        <v>1</v>
      </c>
    </row>
    <row r="517" spans="1:8" ht="13.8" x14ac:dyDescent="0.25">
      <c r="A517" s="7" t="s">
        <v>3374</v>
      </c>
      <c r="B517" s="60">
        <v>524113</v>
      </c>
      <c r="C517" s="41" t="s">
        <v>13</v>
      </c>
      <c r="D517" s="60"/>
      <c r="E517" s="60"/>
      <c r="F517" s="42"/>
      <c r="G517" s="42">
        <f>G518</f>
        <v>1800000</v>
      </c>
      <c r="H517" s="210" t="b">
        <f t="shared" si="15"/>
        <v>1</v>
      </c>
    </row>
    <row r="518" spans="1:8" ht="13.8" x14ac:dyDescent="0.25">
      <c r="A518" s="7" t="s">
        <v>3375</v>
      </c>
      <c r="B518" s="152"/>
      <c r="C518" s="151" t="s">
        <v>4589</v>
      </c>
      <c r="D518" s="152">
        <v>12</v>
      </c>
      <c r="E518" s="152" t="s">
        <v>10</v>
      </c>
      <c r="F518" s="153">
        <v>150000</v>
      </c>
      <c r="G518" s="153">
        <f>ROUNDDOWN(D518*F518,-3)</f>
        <v>1800000</v>
      </c>
      <c r="H518" s="210" t="b">
        <f t="shared" si="15"/>
        <v>1</v>
      </c>
    </row>
    <row r="519" spans="1:8" ht="13.8" x14ac:dyDescent="0.25">
      <c r="A519" s="7" t="s">
        <v>3377</v>
      </c>
      <c r="B519" s="59" t="s">
        <v>578</v>
      </c>
      <c r="C519" s="38" t="s">
        <v>147</v>
      </c>
      <c r="D519" s="59"/>
      <c r="E519" s="59"/>
      <c r="F519" s="39"/>
      <c r="G519" s="39">
        <f>SUM(G520,G522,G525,G527)</f>
        <v>76320000</v>
      </c>
      <c r="H519" s="210" t="b">
        <f t="shared" si="15"/>
        <v>1</v>
      </c>
    </row>
    <row r="520" spans="1:8" ht="13.8" x14ac:dyDescent="0.25">
      <c r="A520" s="7" t="s">
        <v>3378</v>
      </c>
      <c r="B520" s="60">
        <v>521211</v>
      </c>
      <c r="C520" s="41" t="s">
        <v>7</v>
      </c>
      <c r="D520" s="60"/>
      <c r="E520" s="60"/>
      <c r="F520" s="42"/>
      <c r="G520" s="42">
        <f>G521</f>
        <v>4800000</v>
      </c>
      <c r="H520" s="210" t="b">
        <f t="shared" si="15"/>
        <v>1</v>
      </c>
    </row>
    <row r="521" spans="1:8" ht="13.8" x14ac:dyDescent="0.25">
      <c r="A521" s="7" t="s">
        <v>3379</v>
      </c>
      <c r="B521" s="152"/>
      <c r="C521" s="151" t="s">
        <v>4590</v>
      </c>
      <c r="D521" s="152">
        <v>24</v>
      </c>
      <c r="E521" s="152" t="s">
        <v>176</v>
      </c>
      <c r="F521" s="153">
        <v>200000</v>
      </c>
      <c r="G521" s="153">
        <f>ROUNDDOWN(D521*F521,-3)</f>
        <v>4800000</v>
      </c>
      <c r="H521" s="210" t="b">
        <f t="shared" si="15"/>
        <v>1</v>
      </c>
    </row>
    <row r="522" spans="1:8" ht="13.8" x14ac:dyDescent="0.25">
      <c r="A522" s="7" t="s">
        <v>3381</v>
      </c>
      <c r="B522" s="60">
        <v>521811</v>
      </c>
      <c r="C522" s="41" t="s">
        <v>64</v>
      </c>
      <c r="D522" s="60"/>
      <c r="E522" s="60"/>
      <c r="F522" s="42"/>
      <c r="G522" s="42">
        <f>SUM(G523:G524)</f>
        <v>25000000</v>
      </c>
      <c r="H522" s="210" t="b">
        <f t="shared" si="15"/>
        <v>1</v>
      </c>
    </row>
    <row r="523" spans="1:8" ht="13.8" x14ac:dyDescent="0.25">
      <c r="A523" s="7" t="s">
        <v>3382</v>
      </c>
      <c r="B523" s="152"/>
      <c r="C523" s="151" t="s">
        <v>4269</v>
      </c>
      <c r="D523" s="152">
        <v>10</v>
      </c>
      <c r="E523" s="152" t="s">
        <v>9</v>
      </c>
      <c r="F523" s="153">
        <v>1500000</v>
      </c>
      <c r="G523" s="153">
        <f>ROUNDDOWN(D523*F523,-3)</f>
        <v>15000000</v>
      </c>
      <c r="H523" s="210" t="b">
        <f t="shared" si="15"/>
        <v>1</v>
      </c>
    </row>
    <row r="524" spans="1:8" ht="13.8" x14ac:dyDescent="0.25">
      <c r="A524" s="7" t="s">
        <v>3383</v>
      </c>
      <c r="B524" s="152"/>
      <c r="C524" s="151" t="s">
        <v>3632</v>
      </c>
      <c r="D524" s="152">
        <v>10</v>
      </c>
      <c r="E524" s="152" t="s">
        <v>2749</v>
      </c>
      <c r="F524" s="153">
        <v>1000000</v>
      </c>
      <c r="G524" s="153">
        <f>ROUNDDOWN(D524*F524,-3)</f>
        <v>10000000</v>
      </c>
      <c r="H524" s="210" t="b">
        <f t="shared" si="15"/>
        <v>1</v>
      </c>
    </row>
    <row r="525" spans="1:8" ht="13.8" x14ac:dyDescent="0.25">
      <c r="A525" s="7" t="s">
        <v>3384</v>
      </c>
      <c r="B525" s="60">
        <v>524111</v>
      </c>
      <c r="C525" s="41" t="s">
        <v>19</v>
      </c>
      <c r="D525" s="60"/>
      <c r="E525" s="60"/>
      <c r="F525" s="42"/>
      <c r="G525" s="42">
        <f>G526</f>
        <v>42770000</v>
      </c>
      <c r="H525" s="210" t="b">
        <f t="shared" ref="H525:H588" si="16">_xlfn.ISFORMULA(G525)</f>
        <v>1</v>
      </c>
    </row>
    <row r="526" spans="1:8" ht="13.8" x14ac:dyDescent="0.25">
      <c r="A526" s="7" t="s">
        <v>3385</v>
      </c>
      <c r="B526" s="152"/>
      <c r="C526" s="151" t="s">
        <v>4591</v>
      </c>
      <c r="D526" s="152">
        <v>14</v>
      </c>
      <c r="E526" s="152" t="s">
        <v>10</v>
      </c>
      <c r="F526" s="153">
        <v>3055000</v>
      </c>
      <c r="G526" s="153">
        <f>ROUNDDOWN(D526*F526,-3)</f>
        <v>42770000</v>
      </c>
      <c r="H526" s="210" t="b">
        <f t="shared" si="16"/>
        <v>1</v>
      </c>
    </row>
    <row r="527" spans="1:8" ht="13.8" x14ac:dyDescent="0.25">
      <c r="A527" s="7" t="s">
        <v>3387</v>
      </c>
      <c r="B527" s="60">
        <v>524113</v>
      </c>
      <c r="C527" s="41" t="s">
        <v>13</v>
      </c>
      <c r="D527" s="60"/>
      <c r="E527" s="60"/>
      <c r="F527" s="42"/>
      <c r="G527" s="42">
        <f>G528</f>
        <v>3750000</v>
      </c>
      <c r="H527" s="210" t="b">
        <f t="shared" si="16"/>
        <v>1</v>
      </c>
    </row>
    <row r="528" spans="1:8" ht="13.8" x14ac:dyDescent="0.25">
      <c r="A528" s="7" t="s">
        <v>3388</v>
      </c>
      <c r="B528" s="152"/>
      <c r="C528" s="151" t="s">
        <v>3618</v>
      </c>
      <c r="D528" s="152">
        <v>25</v>
      </c>
      <c r="E528" s="152" t="s">
        <v>10</v>
      </c>
      <c r="F528" s="153">
        <v>150000</v>
      </c>
      <c r="G528" s="153">
        <f>ROUNDDOWN(D528*F528,-3)</f>
        <v>3750000</v>
      </c>
      <c r="H528" s="210" t="b">
        <f t="shared" si="16"/>
        <v>1</v>
      </c>
    </row>
    <row r="529" spans="1:8" ht="13.8" x14ac:dyDescent="0.25">
      <c r="A529" s="7" t="s">
        <v>495</v>
      </c>
      <c r="B529" s="55">
        <v>4345</v>
      </c>
      <c r="C529" s="26" t="s">
        <v>188</v>
      </c>
      <c r="D529" s="55"/>
      <c r="E529" s="55"/>
      <c r="F529" s="27"/>
      <c r="G529" s="27">
        <f>G530</f>
        <v>8582500000</v>
      </c>
      <c r="H529" s="210" t="b">
        <f t="shared" si="16"/>
        <v>1</v>
      </c>
    </row>
    <row r="530" spans="1:8" ht="13.8" x14ac:dyDescent="0.25">
      <c r="A530" s="7" t="s">
        <v>3473</v>
      </c>
      <c r="B530" s="135" t="s">
        <v>3474</v>
      </c>
      <c r="C530" s="133" t="s">
        <v>2312</v>
      </c>
      <c r="D530" s="135">
        <v>4725</v>
      </c>
      <c r="E530" s="135" t="s">
        <v>155</v>
      </c>
      <c r="F530" s="136"/>
      <c r="G530" s="136">
        <f>G531</f>
        <v>8582500000</v>
      </c>
      <c r="H530" s="210" t="b">
        <f t="shared" si="16"/>
        <v>1</v>
      </c>
    </row>
    <row r="531" spans="1:8" ht="13.8" x14ac:dyDescent="0.25">
      <c r="A531" s="7" t="s">
        <v>3475</v>
      </c>
      <c r="B531" s="138" t="s">
        <v>4611</v>
      </c>
      <c r="C531" s="137" t="s">
        <v>3477</v>
      </c>
      <c r="D531" s="138">
        <v>4725</v>
      </c>
      <c r="E531" s="138" t="s">
        <v>155</v>
      </c>
      <c r="F531" s="139"/>
      <c r="G531" s="139">
        <f>SUM(G532,G580)</f>
        <v>8582500000</v>
      </c>
      <c r="H531" s="210" t="b">
        <f t="shared" si="16"/>
        <v>1</v>
      </c>
    </row>
    <row r="532" spans="1:8" ht="13.8" x14ac:dyDescent="0.25">
      <c r="A532" s="7" t="s">
        <v>3478</v>
      </c>
      <c r="B532" s="58">
        <v>301</v>
      </c>
      <c r="C532" s="35" t="s">
        <v>189</v>
      </c>
      <c r="D532" s="58"/>
      <c r="E532" s="58"/>
      <c r="F532" s="36"/>
      <c r="G532" s="36">
        <f>SUM(G533,G552,G568,G577)</f>
        <v>8473300000</v>
      </c>
      <c r="H532" s="210" t="b">
        <f t="shared" si="16"/>
        <v>1</v>
      </c>
    </row>
    <row r="533" spans="1:8" ht="13.8" x14ac:dyDescent="0.25">
      <c r="A533" s="7" t="s">
        <v>3479</v>
      </c>
      <c r="B533" s="59" t="s">
        <v>8</v>
      </c>
      <c r="C533" s="38" t="s">
        <v>190</v>
      </c>
      <c r="D533" s="59"/>
      <c r="E533" s="59"/>
      <c r="F533" s="39"/>
      <c r="G533" s="39">
        <f>SUM(G534,G539,G542,G545,G547,G549)</f>
        <v>1713564000</v>
      </c>
      <c r="H533" s="210" t="b">
        <f t="shared" si="16"/>
        <v>1</v>
      </c>
    </row>
    <row r="534" spans="1:8" ht="13.8" x14ac:dyDescent="0.25">
      <c r="A534" s="7" t="s">
        <v>3480</v>
      </c>
      <c r="B534" s="60">
        <v>521211</v>
      </c>
      <c r="C534" s="41" t="s">
        <v>7</v>
      </c>
      <c r="D534" s="60"/>
      <c r="E534" s="60"/>
      <c r="F534" s="42"/>
      <c r="G534" s="42">
        <f>SUM(G535:G538)</f>
        <v>99100000</v>
      </c>
      <c r="H534" s="210" t="b">
        <f t="shared" si="16"/>
        <v>1</v>
      </c>
    </row>
    <row r="535" spans="1:8" ht="13.8" x14ac:dyDescent="0.25">
      <c r="A535" s="7" t="s">
        <v>3481</v>
      </c>
      <c r="B535" s="152"/>
      <c r="C535" s="151" t="s">
        <v>4612</v>
      </c>
      <c r="D535" s="152">
        <v>400</v>
      </c>
      <c r="E535" s="152" t="s">
        <v>10</v>
      </c>
      <c r="F535" s="153">
        <v>70000</v>
      </c>
      <c r="G535" s="153">
        <f>ROUNDDOWN(D535*F535,-3)</f>
        <v>28000000</v>
      </c>
      <c r="H535" s="210" t="b">
        <f t="shared" si="16"/>
        <v>1</v>
      </c>
    </row>
    <row r="536" spans="1:8" ht="13.8" x14ac:dyDescent="0.25">
      <c r="A536" s="7" t="s">
        <v>3482</v>
      </c>
      <c r="B536" s="152"/>
      <c r="C536" s="151" t="s">
        <v>4613</v>
      </c>
      <c r="D536" s="152">
        <v>10</v>
      </c>
      <c r="E536" s="152" t="s">
        <v>9</v>
      </c>
      <c r="F536" s="153">
        <v>1500000</v>
      </c>
      <c r="G536" s="153">
        <f>ROUNDDOWN(D536*F536,-3)</f>
        <v>15000000</v>
      </c>
      <c r="H536" s="210" t="b">
        <f t="shared" si="16"/>
        <v>1</v>
      </c>
    </row>
    <row r="537" spans="1:8" ht="13.8" x14ac:dyDescent="0.25">
      <c r="A537" s="7" t="s">
        <v>3484</v>
      </c>
      <c r="B537" s="152"/>
      <c r="C537" s="151" t="s">
        <v>4614</v>
      </c>
      <c r="D537" s="152">
        <v>120</v>
      </c>
      <c r="E537" s="152" t="s">
        <v>25</v>
      </c>
      <c r="F537" s="153">
        <v>280000</v>
      </c>
      <c r="G537" s="153">
        <f>ROUNDDOWN(D537*F537,-3)</f>
        <v>33600000</v>
      </c>
      <c r="H537" s="210" t="b">
        <f t="shared" si="16"/>
        <v>1</v>
      </c>
    </row>
    <row r="538" spans="1:8" ht="13.8" x14ac:dyDescent="0.25">
      <c r="A538" s="7" t="s">
        <v>3486</v>
      </c>
      <c r="B538" s="152"/>
      <c r="C538" s="151" t="s">
        <v>4615</v>
      </c>
      <c r="D538" s="152">
        <v>150</v>
      </c>
      <c r="E538" s="152" t="s">
        <v>25</v>
      </c>
      <c r="F538" s="153">
        <v>150000</v>
      </c>
      <c r="G538" s="153">
        <f>ROUNDDOWN(D538*F538,-3)</f>
        <v>22500000</v>
      </c>
      <c r="H538" s="210" t="b">
        <f t="shared" si="16"/>
        <v>1</v>
      </c>
    </row>
    <row r="539" spans="1:8" ht="13.8" x14ac:dyDescent="0.25">
      <c r="A539" s="7" t="s">
        <v>3488</v>
      </c>
      <c r="B539" s="60">
        <v>521219</v>
      </c>
      <c r="C539" s="41" t="s">
        <v>53</v>
      </c>
      <c r="D539" s="60"/>
      <c r="E539" s="60"/>
      <c r="F539" s="42"/>
      <c r="G539" s="42">
        <f>SUM(G540:G541)</f>
        <v>1333864000</v>
      </c>
      <c r="H539" s="210" t="b">
        <f t="shared" si="16"/>
        <v>1</v>
      </c>
    </row>
    <row r="540" spans="1:8" ht="13.8" x14ac:dyDescent="0.25">
      <c r="A540" s="7" t="s">
        <v>3489</v>
      </c>
      <c r="B540" s="152"/>
      <c r="C540" s="151" t="s">
        <v>4616</v>
      </c>
      <c r="D540" s="152">
        <v>33</v>
      </c>
      <c r="E540" s="152" t="s">
        <v>155</v>
      </c>
      <c r="F540" s="153">
        <v>40412550</v>
      </c>
      <c r="G540" s="153">
        <f>ROUNDDOWN(D540*F540,-3)</f>
        <v>1333614000</v>
      </c>
      <c r="H540" s="210" t="b">
        <f t="shared" si="16"/>
        <v>1</v>
      </c>
    </row>
    <row r="541" spans="1:8" ht="13.8" x14ac:dyDescent="0.25">
      <c r="A541" s="7" t="s">
        <v>3491</v>
      </c>
      <c r="B541" s="152"/>
      <c r="C541" s="151" t="s">
        <v>4617</v>
      </c>
      <c r="D541" s="152">
        <v>1</v>
      </c>
      <c r="E541" s="152" t="s">
        <v>9</v>
      </c>
      <c r="F541" s="153">
        <v>250000</v>
      </c>
      <c r="G541" s="153">
        <f>ROUNDDOWN(D541*F541,-3)</f>
        <v>250000</v>
      </c>
      <c r="H541" s="210" t="b">
        <f t="shared" si="16"/>
        <v>1</v>
      </c>
    </row>
    <row r="542" spans="1:8" ht="13.8" x14ac:dyDescent="0.25">
      <c r="A542" s="7" t="s">
        <v>3492</v>
      </c>
      <c r="B542" s="60">
        <v>521811</v>
      </c>
      <c r="C542" s="41" t="s">
        <v>64</v>
      </c>
      <c r="D542" s="60"/>
      <c r="E542" s="60"/>
      <c r="F542" s="42"/>
      <c r="G542" s="42">
        <f>SUM(G543:G544)</f>
        <v>25000000</v>
      </c>
      <c r="H542" s="210" t="b">
        <f t="shared" si="16"/>
        <v>1</v>
      </c>
    </row>
    <row r="543" spans="1:8" ht="13.8" x14ac:dyDescent="0.25">
      <c r="A543" s="7" t="s">
        <v>3493</v>
      </c>
      <c r="B543" s="152"/>
      <c r="C543" s="151" t="s">
        <v>4269</v>
      </c>
      <c r="D543" s="152">
        <v>10</v>
      </c>
      <c r="E543" s="152" t="s">
        <v>9</v>
      </c>
      <c r="F543" s="153">
        <v>1000000</v>
      </c>
      <c r="G543" s="153">
        <f>ROUNDDOWN(D543*F543,-3)</f>
        <v>10000000</v>
      </c>
      <c r="H543" s="210" t="b">
        <f t="shared" si="16"/>
        <v>1</v>
      </c>
    </row>
    <row r="544" spans="1:8" ht="13.8" x14ac:dyDescent="0.25">
      <c r="A544" s="7" t="s">
        <v>3494</v>
      </c>
      <c r="B544" s="152"/>
      <c r="C544" s="151" t="s">
        <v>3632</v>
      </c>
      <c r="D544" s="152">
        <v>10</v>
      </c>
      <c r="E544" s="152" t="s">
        <v>9</v>
      </c>
      <c r="F544" s="153">
        <v>1500000</v>
      </c>
      <c r="G544" s="153">
        <f>ROUNDDOWN(D544*F544,-3)</f>
        <v>15000000</v>
      </c>
      <c r="H544" s="210" t="b">
        <f t="shared" si="16"/>
        <v>1</v>
      </c>
    </row>
    <row r="545" spans="1:8" ht="13.8" x14ac:dyDescent="0.25">
      <c r="A545" s="7" t="s">
        <v>3495</v>
      </c>
      <c r="B545" s="60">
        <v>522151</v>
      </c>
      <c r="C545" s="41" t="s">
        <v>11</v>
      </c>
      <c r="D545" s="60"/>
      <c r="E545" s="60"/>
      <c r="F545" s="42"/>
      <c r="G545" s="42">
        <f>G546</f>
        <v>15000000</v>
      </c>
      <c r="H545" s="210" t="b">
        <f t="shared" si="16"/>
        <v>1</v>
      </c>
    </row>
    <row r="546" spans="1:8" ht="13.8" x14ac:dyDescent="0.25">
      <c r="A546" s="7" t="s">
        <v>3496</v>
      </c>
      <c r="B546" s="152"/>
      <c r="C546" s="151" t="s">
        <v>3715</v>
      </c>
      <c r="D546" s="152">
        <v>15</v>
      </c>
      <c r="E546" s="152" t="s">
        <v>12</v>
      </c>
      <c r="F546" s="153">
        <v>1000000</v>
      </c>
      <c r="G546" s="153">
        <f>ROUNDDOWN(D546*F546,-3)</f>
        <v>15000000</v>
      </c>
      <c r="H546" s="210" t="b">
        <f t="shared" si="16"/>
        <v>1</v>
      </c>
    </row>
    <row r="547" spans="1:8" ht="13.8" x14ac:dyDescent="0.25">
      <c r="A547" s="7" t="s">
        <v>3497</v>
      </c>
      <c r="B547" s="60">
        <v>522191</v>
      </c>
      <c r="C547" s="41" t="s">
        <v>22</v>
      </c>
      <c r="D547" s="60"/>
      <c r="E547" s="60"/>
      <c r="F547" s="42"/>
      <c r="G547" s="42">
        <f>G548</f>
        <v>102600000</v>
      </c>
      <c r="H547" s="210" t="b">
        <f t="shared" si="16"/>
        <v>1</v>
      </c>
    </row>
    <row r="548" spans="1:8" ht="13.8" x14ac:dyDescent="0.25">
      <c r="A548" s="7" t="s">
        <v>3498</v>
      </c>
      <c r="B548" s="152"/>
      <c r="C548" s="151" t="s">
        <v>4618</v>
      </c>
      <c r="D548" s="152">
        <v>120</v>
      </c>
      <c r="E548" s="152" t="s">
        <v>155</v>
      </c>
      <c r="F548" s="153">
        <v>855000</v>
      </c>
      <c r="G548" s="153">
        <f>ROUNDDOWN(D548*F548,-3)</f>
        <v>102600000</v>
      </c>
      <c r="H548" s="210" t="b">
        <f t="shared" si="16"/>
        <v>1</v>
      </c>
    </row>
    <row r="549" spans="1:8" ht="13.8" x14ac:dyDescent="0.25">
      <c r="A549" s="7" t="s">
        <v>3500</v>
      </c>
      <c r="B549" s="60">
        <v>524111</v>
      </c>
      <c r="C549" s="41" t="s">
        <v>19</v>
      </c>
      <c r="D549" s="60"/>
      <c r="E549" s="60"/>
      <c r="F549" s="42"/>
      <c r="G549" s="42">
        <f>SUM(G550:G551)</f>
        <v>138000000</v>
      </c>
      <c r="H549" s="210" t="b">
        <f t="shared" si="16"/>
        <v>1</v>
      </c>
    </row>
    <row r="550" spans="1:8" ht="13.8" x14ac:dyDescent="0.25">
      <c r="A550" s="7" t="s">
        <v>3501</v>
      </c>
      <c r="B550" s="152"/>
      <c r="C550" s="151" t="s">
        <v>4619</v>
      </c>
      <c r="D550" s="152">
        <v>50</v>
      </c>
      <c r="E550" s="152" t="s">
        <v>10</v>
      </c>
      <c r="F550" s="153">
        <v>1200000</v>
      </c>
      <c r="G550" s="153">
        <f>ROUNDDOWN(D550*F550,-3)</f>
        <v>60000000</v>
      </c>
      <c r="H550" s="210" t="b">
        <f t="shared" si="16"/>
        <v>1</v>
      </c>
    </row>
    <row r="551" spans="1:8" ht="26.4" x14ac:dyDescent="0.25">
      <c r="A551" s="7" t="s">
        <v>3503</v>
      </c>
      <c r="B551" s="152"/>
      <c r="C551" s="151" t="s">
        <v>4620</v>
      </c>
      <c r="D551" s="152">
        <v>12</v>
      </c>
      <c r="E551" s="152" t="s">
        <v>10</v>
      </c>
      <c r="F551" s="153">
        <v>6500000</v>
      </c>
      <c r="G551" s="153">
        <f>ROUNDDOWN(D551*F551,-3)</f>
        <v>78000000</v>
      </c>
      <c r="H551" s="210" t="b">
        <f t="shared" si="16"/>
        <v>1</v>
      </c>
    </row>
    <row r="552" spans="1:8" ht="13.8" x14ac:dyDescent="0.25">
      <c r="A552" s="7" t="s">
        <v>3505</v>
      </c>
      <c r="B552" s="59" t="s">
        <v>511</v>
      </c>
      <c r="C552" s="38" t="s">
        <v>191</v>
      </c>
      <c r="D552" s="59"/>
      <c r="E552" s="59"/>
      <c r="F552" s="39"/>
      <c r="G552" s="39">
        <f>SUM(G553,G556,G560,G563,G565)</f>
        <v>6555695000</v>
      </c>
      <c r="H552" s="210" t="b">
        <f t="shared" si="16"/>
        <v>1</v>
      </c>
    </row>
    <row r="553" spans="1:8" ht="13.8" x14ac:dyDescent="0.25">
      <c r="A553" s="7" t="s">
        <v>3506</v>
      </c>
      <c r="B553" s="60">
        <v>521211</v>
      </c>
      <c r="C553" s="41" t="s">
        <v>7</v>
      </c>
      <c r="D553" s="60"/>
      <c r="E553" s="60"/>
      <c r="F553" s="42"/>
      <c r="G553" s="42">
        <f>SUM(G554:G555)</f>
        <v>25000000</v>
      </c>
      <c r="H553" s="210" t="b">
        <f t="shared" si="16"/>
        <v>1</v>
      </c>
    </row>
    <row r="554" spans="1:8" ht="13.8" x14ac:dyDescent="0.25">
      <c r="A554" s="7" t="s">
        <v>3507</v>
      </c>
      <c r="B554" s="152"/>
      <c r="C554" s="151" t="s">
        <v>4612</v>
      </c>
      <c r="D554" s="152">
        <v>100</v>
      </c>
      <c r="E554" s="152" t="s">
        <v>10</v>
      </c>
      <c r="F554" s="153">
        <v>70000</v>
      </c>
      <c r="G554" s="153">
        <f>ROUNDDOWN(D554*F554,-3)</f>
        <v>7000000</v>
      </c>
      <c r="H554" s="210" t="b">
        <f t="shared" si="16"/>
        <v>1</v>
      </c>
    </row>
    <row r="555" spans="1:8" ht="13.8" x14ac:dyDescent="0.25">
      <c r="A555" s="7" t="s">
        <v>3508</v>
      </c>
      <c r="B555" s="152"/>
      <c r="C555" s="151" t="s">
        <v>4613</v>
      </c>
      <c r="D555" s="152">
        <v>12</v>
      </c>
      <c r="E555" s="152" t="s">
        <v>9</v>
      </c>
      <c r="F555" s="153">
        <v>1500000</v>
      </c>
      <c r="G555" s="153">
        <f>ROUNDDOWN(D555*F555,-3)</f>
        <v>18000000</v>
      </c>
      <c r="H555" s="210" t="b">
        <f t="shared" si="16"/>
        <v>1</v>
      </c>
    </row>
    <row r="556" spans="1:8" ht="13.8" x14ac:dyDescent="0.25">
      <c r="A556" s="7" t="s">
        <v>3509</v>
      </c>
      <c r="B556" s="60">
        <v>521219</v>
      </c>
      <c r="C556" s="41" t="s">
        <v>53</v>
      </c>
      <c r="D556" s="60"/>
      <c r="E556" s="60"/>
      <c r="F556" s="42"/>
      <c r="G556" s="42">
        <f>SUM(G557:G559)</f>
        <v>6308695000</v>
      </c>
      <c r="H556" s="210" t="b">
        <f t="shared" si="16"/>
        <v>1</v>
      </c>
    </row>
    <row r="557" spans="1:8" ht="13.8" x14ac:dyDescent="0.25">
      <c r="A557" s="7" t="s">
        <v>3510</v>
      </c>
      <c r="B557" s="152"/>
      <c r="C557" s="151" t="s">
        <v>4616</v>
      </c>
      <c r="D557" s="152">
        <v>157</v>
      </c>
      <c r="E557" s="152" t="s">
        <v>155</v>
      </c>
      <c r="F557" s="153">
        <v>40130229</v>
      </c>
      <c r="G557" s="153">
        <f>ROUNDDOWN(D557*F557,-3)</f>
        <v>6300445000</v>
      </c>
      <c r="H557" s="210" t="b">
        <f t="shared" si="16"/>
        <v>1</v>
      </c>
    </row>
    <row r="558" spans="1:8" ht="13.8" x14ac:dyDescent="0.25">
      <c r="A558" s="7" t="s">
        <v>3511</v>
      </c>
      <c r="B558" s="152"/>
      <c r="C558" s="151" t="s">
        <v>4617</v>
      </c>
      <c r="D558" s="152">
        <v>3</v>
      </c>
      <c r="E558" s="152" t="s">
        <v>9</v>
      </c>
      <c r="F558" s="153">
        <v>250000</v>
      </c>
      <c r="G558" s="153">
        <f>ROUNDDOWN(D558*F558,-3)</f>
        <v>750000</v>
      </c>
      <c r="H558" s="210" t="b">
        <f t="shared" si="16"/>
        <v>1</v>
      </c>
    </row>
    <row r="559" spans="1:8" ht="13.8" x14ac:dyDescent="0.25">
      <c r="A559" s="7" t="s">
        <v>3512</v>
      </c>
      <c r="B559" s="152"/>
      <c r="C559" s="151" t="s">
        <v>4621</v>
      </c>
      <c r="D559" s="152">
        <v>15</v>
      </c>
      <c r="E559" s="152" t="s">
        <v>106</v>
      </c>
      <c r="F559" s="153">
        <v>500000</v>
      </c>
      <c r="G559" s="153">
        <f>ROUNDDOWN(D559*F559,-3)</f>
        <v>7500000</v>
      </c>
      <c r="H559" s="210" t="b">
        <f t="shared" si="16"/>
        <v>1</v>
      </c>
    </row>
    <row r="560" spans="1:8" ht="13.8" x14ac:dyDescent="0.25">
      <c r="A560" s="7" t="s">
        <v>3514</v>
      </c>
      <c r="B560" s="60">
        <v>521811</v>
      </c>
      <c r="C560" s="41" t="s">
        <v>64</v>
      </c>
      <c r="D560" s="60"/>
      <c r="E560" s="60"/>
      <c r="F560" s="42"/>
      <c r="G560" s="42">
        <f>SUM(G561:G562)</f>
        <v>30000000</v>
      </c>
      <c r="H560" s="210" t="b">
        <f t="shared" si="16"/>
        <v>1</v>
      </c>
    </row>
    <row r="561" spans="1:8" ht="13.8" x14ac:dyDescent="0.25">
      <c r="A561" s="7" t="s">
        <v>3515</v>
      </c>
      <c r="B561" s="152"/>
      <c r="C561" s="151" t="s">
        <v>4269</v>
      </c>
      <c r="D561" s="152">
        <v>12</v>
      </c>
      <c r="E561" s="152" t="s">
        <v>9</v>
      </c>
      <c r="F561" s="153">
        <v>1000000</v>
      </c>
      <c r="G561" s="153">
        <f>ROUNDDOWN(D561*F561,-3)</f>
        <v>12000000</v>
      </c>
      <c r="H561" s="210" t="b">
        <f t="shared" si="16"/>
        <v>1</v>
      </c>
    </row>
    <row r="562" spans="1:8" ht="13.8" x14ac:dyDescent="0.25">
      <c r="A562" s="7" t="s">
        <v>3516</v>
      </c>
      <c r="B562" s="152"/>
      <c r="C562" s="151" t="s">
        <v>3632</v>
      </c>
      <c r="D562" s="152">
        <v>12</v>
      </c>
      <c r="E562" s="152" t="s">
        <v>9</v>
      </c>
      <c r="F562" s="153">
        <v>1500000</v>
      </c>
      <c r="G562" s="153">
        <f>ROUNDDOWN(D562*F562,-3)</f>
        <v>18000000</v>
      </c>
      <c r="H562" s="210" t="b">
        <f t="shared" si="16"/>
        <v>1</v>
      </c>
    </row>
    <row r="563" spans="1:8" ht="13.8" x14ac:dyDescent="0.25">
      <c r="A563" s="7" t="s">
        <v>3517</v>
      </c>
      <c r="B563" s="60">
        <v>522151</v>
      </c>
      <c r="C563" s="41" t="s">
        <v>11</v>
      </c>
      <c r="D563" s="60"/>
      <c r="E563" s="60"/>
      <c r="F563" s="42"/>
      <c r="G563" s="42">
        <f>G564</f>
        <v>6000000</v>
      </c>
      <c r="H563" s="210" t="b">
        <f t="shared" si="16"/>
        <v>1</v>
      </c>
    </row>
    <row r="564" spans="1:8" ht="13.8" x14ac:dyDescent="0.25">
      <c r="A564" s="7" t="s">
        <v>3518</v>
      </c>
      <c r="B564" s="152"/>
      <c r="C564" s="151" t="s">
        <v>3715</v>
      </c>
      <c r="D564" s="152">
        <v>6</v>
      </c>
      <c r="E564" s="152" t="s">
        <v>12</v>
      </c>
      <c r="F564" s="153">
        <v>1000000</v>
      </c>
      <c r="G564" s="153">
        <f>ROUNDDOWN(D564*F564,-3)</f>
        <v>6000000</v>
      </c>
      <c r="H564" s="210" t="b">
        <f t="shared" si="16"/>
        <v>1</v>
      </c>
    </row>
    <row r="565" spans="1:8" ht="13.8" x14ac:dyDescent="0.25">
      <c r="A565" s="7" t="s">
        <v>3519</v>
      </c>
      <c r="B565" s="60">
        <v>524111</v>
      </c>
      <c r="C565" s="41" t="s">
        <v>19</v>
      </c>
      <c r="D565" s="60"/>
      <c r="E565" s="60"/>
      <c r="F565" s="42"/>
      <c r="G565" s="42">
        <f>SUM(G566:G567)</f>
        <v>186000000</v>
      </c>
      <c r="H565" s="210" t="b">
        <f t="shared" si="16"/>
        <v>1</v>
      </c>
    </row>
    <row r="566" spans="1:8" ht="13.8" x14ac:dyDescent="0.25">
      <c r="A566" s="7" t="s">
        <v>3520</v>
      </c>
      <c r="B566" s="152"/>
      <c r="C566" s="151" t="s">
        <v>4619</v>
      </c>
      <c r="D566" s="152">
        <v>20</v>
      </c>
      <c r="E566" s="152" t="s">
        <v>10</v>
      </c>
      <c r="F566" s="153">
        <v>1500000</v>
      </c>
      <c r="G566" s="153">
        <f>ROUNDDOWN(D566*F566,-3)</f>
        <v>30000000</v>
      </c>
      <c r="H566" s="210" t="b">
        <f t="shared" si="16"/>
        <v>1</v>
      </c>
    </row>
    <row r="567" spans="1:8" ht="26.4" x14ac:dyDescent="0.25">
      <c r="A567" s="7" t="s">
        <v>3521</v>
      </c>
      <c r="B567" s="152"/>
      <c r="C567" s="151" t="s">
        <v>4620</v>
      </c>
      <c r="D567" s="152">
        <v>24</v>
      </c>
      <c r="E567" s="152" t="s">
        <v>10</v>
      </c>
      <c r="F567" s="153">
        <v>6500000</v>
      </c>
      <c r="G567" s="153">
        <f>ROUNDDOWN(D567*F567,-3)</f>
        <v>156000000</v>
      </c>
      <c r="H567" s="210" t="b">
        <f t="shared" si="16"/>
        <v>1</v>
      </c>
    </row>
    <row r="568" spans="1:8" ht="13.8" x14ac:dyDescent="0.25">
      <c r="A568" s="7" t="s">
        <v>3522</v>
      </c>
      <c r="B568" s="59" t="s">
        <v>512</v>
      </c>
      <c r="C568" s="38" t="s">
        <v>192</v>
      </c>
      <c r="D568" s="59"/>
      <c r="E568" s="59"/>
      <c r="F568" s="39"/>
      <c r="G568" s="39">
        <f>SUM(G569,G573,G575)</f>
        <v>174041000</v>
      </c>
      <c r="H568" s="210" t="b">
        <f t="shared" si="16"/>
        <v>1</v>
      </c>
    </row>
    <row r="569" spans="1:8" ht="13.8" x14ac:dyDescent="0.25">
      <c r="A569" s="7" t="s">
        <v>3523</v>
      </c>
      <c r="B569" s="60">
        <v>521211</v>
      </c>
      <c r="C569" s="41" t="s">
        <v>7</v>
      </c>
      <c r="D569" s="60"/>
      <c r="E569" s="60"/>
      <c r="F569" s="42"/>
      <c r="G569" s="42">
        <f>SUM(G570:G572)</f>
        <v>12000000</v>
      </c>
      <c r="H569" s="210" t="b">
        <f t="shared" si="16"/>
        <v>1</v>
      </c>
    </row>
    <row r="570" spans="1:8" ht="13.8" x14ac:dyDescent="0.25">
      <c r="A570" s="7" t="s">
        <v>3524</v>
      </c>
      <c r="B570" s="152"/>
      <c r="C570" s="151" t="s">
        <v>4622</v>
      </c>
      <c r="D570" s="152">
        <v>3</v>
      </c>
      <c r="E570" s="152" t="s">
        <v>9</v>
      </c>
      <c r="F570" s="153">
        <v>1500000</v>
      </c>
      <c r="G570" s="153">
        <f>ROUNDDOWN(D570*F570,-3)</f>
        <v>4500000</v>
      </c>
      <c r="H570" s="210" t="b">
        <f t="shared" si="16"/>
        <v>1</v>
      </c>
    </row>
    <row r="571" spans="1:8" ht="13.8" x14ac:dyDescent="0.25">
      <c r="A571" s="7" t="s">
        <v>3525</v>
      </c>
      <c r="B571" s="152"/>
      <c r="C571" s="151" t="s">
        <v>3626</v>
      </c>
      <c r="D571" s="152">
        <v>3</v>
      </c>
      <c r="E571" s="152" t="s">
        <v>9</v>
      </c>
      <c r="F571" s="153">
        <v>1000000</v>
      </c>
      <c r="G571" s="153">
        <f>ROUNDDOWN(D571*F571,-3)</f>
        <v>3000000</v>
      </c>
      <c r="H571" s="210" t="b">
        <f t="shared" si="16"/>
        <v>1</v>
      </c>
    </row>
    <row r="572" spans="1:8" ht="13.8" x14ac:dyDescent="0.25">
      <c r="A572" s="7" t="s">
        <v>3526</v>
      </c>
      <c r="B572" s="152"/>
      <c r="C572" s="151" t="s">
        <v>3600</v>
      </c>
      <c r="D572" s="152">
        <v>3</v>
      </c>
      <c r="E572" s="152" t="s">
        <v>9</v>
      </c>
      <c r="F572" s="153">
        <v>1500000</v>
      </c>
      <c r="G572" s="153">
        <f>ROUNDDOWN(D572*F572,-3)</f>
        <v>4500000</v>
      </c>
      <c r="H572" s="210" t="b">
        <f t="shared" si="16"/>
        <v>1</v>
      </c>
    </row>
    <row r="573" spans="1:8" ht="13.8" x14ac:dyDescent="0.25">
      <c r="A573" s="7" t="s">
        <v>3527</v>
      </c>
      <c r="B573" s="60">
        <v>521219</v>
      </c>
      <c r="C573" s="41" t="s">
        <v>53</v>
      </c>
      <c r="D573" s="60"/>
      <c r="E573" s="60"/>
      <c r="F573" s="42"/>
      <c r="G573" s="42">
        <f>G574</f>
        <v>20000000</v>
      </c>
      <c r="H573" s="210" t="b">
        <f t="shared" si="16"/>
        <v>1</v>
      </c>
    </row>
    <row r="574" spans="1:8" ht="26.4" x14ac:dyDescent="0.25">
      <c r="A574" s="7" t="s">
        <v>3528</v>
      </c>
      <c r="B574" s="152"/>
      <c r="C574" s="151" t="s">
        <v>4623</v>
      </c>
      <c r="D574" s="152">
        <v>2</v>
      </c>
      <c r="E574" s="152" t="s">
        <v>155</v>
      </c>
      <c r="F574" s="153">
        <v>10000000</v>
      </c>
      <c r="G574" s="153">
        <f>ROUNDDOWN(D574*F574,-3)</f>
        <v>20000000</v>
      </c>
      <c r="H574" s="210" t="b">
        <f t="shared" si="16"/>
        <v>1</v>
      </c>
    </row>
    <row r="575" spans="1:8" ht="13.8" x14ac:dyDescent="0.25">
      <c r="A575" s="7" t="s">
        <v>3530</v>
      </c>
      <c r="B575" s="60">
        <v>524211</v>
      </c>
      <c r="C575" s="41" t="s">
        <v>1151</v>
      </c>
      <c r="D575" s="60"/>
      <c r="E575" s="60"/>
      <c r="F575" s="42"/>
      <c r="G575" s="42">
        <f>G576</f>
        <v>142041000</v>
      </c>
      <c r="H575" s="210" t="b">
        <f t="shared" si="16"/>
        <v>1</v>
      </c>
    </row>
    <row r="576" spans="1:8" ht="26.4" x14ac:dyDescent="0.25">
      <c r="A576" s="7" t="s">
        <v>3531</v>
      </c>
      <c r="B576" s="152"/>
      <c r="C576" s="151" t="s">
        <v>4624</v>
      </c>
      <c r="D576" s="152">
        <v>3</v>
      </c>
      <c r="E576" s="152" t="s">
        <v>10</v>
      </c>
      <c r="F576" s="153">
        <v>47347000</v>
      </c>
      <c r="G576" s="153">
        <f>ROUNDDOWN(D576*F576,-3)</f>
        <v>142041000</v>
      </c>
      <c r="H576" s="210" t="b">
        <f t="shared" si="16"/>
        <v>1</v>
      </c>
    </row>
    <row r="577" spans="1:8" ht="13.8" x14ac:dyDescent="0.25">
      <c r="A577" s="7" t="s">
        <v>3533</v>
      </c>
      <c r="B577" s="59" t="s">
        <v>514</v>
      </c>
      <c r="C577" s="38" t="s">
        <v>3534</v>
      </c>
      <c r="D577" s="59"/>
      <c r="E577" s="59"/>
      <c r="F577" s="39"/>
      <c r="G577" s="39">
        <f>G578</f>
        <v>30000000</v>
      </c>
      <c r="H577" s="210" t="b">
        <f t="shared" si="16"/>
        <v>1</v>
      </c>
    </row>
    <row r="578" spans="1:8" ht="13.8" x14ac:dyDescent="0.25">
      <c r="A578" s="7" t="s">
        <v>3535</v>
      </c>
      <c r="B578" s="60">
        <v>522192</v>
      </c>
      <c r="C578" s="41" t="s">
        <v>24</v>
      </c>
      <c r="D578" s="60"/>
      <c r="E578" s="60"/>
      <c r="F578" s="42"/>
      <c r="G578" s="42">
        <f>G579</f>
        <v>30000000</v>
      </c>
      <c r="H578" s="210" t="b">
        <f t="shared" si="16"/>
        <v>1</v>
      </c>
    </row>
    <row r="579" spans="1:8" ht="13.8" x14ac:dyDescent="0.25">
      <c r="A579" s="7" t="s">
        <v>3536</v>
      </c>
      <c r="B579" s="152"/>
      <c r="C579" s="151" t="s">
        <v>4625</v>
      </c>
      <c r="D579" s="152">
        <v>120</v>
      </c>
      <c r="E579" s="152" t="s">
        <v>776</v>
      </c>
      <c r="F579" s="153">
        <v>250000</v>
      </c>
      <c r="G579" s="153">
        <f>ROUNDDOWN(D579*F579,-3)</f>
        <v>30000000</v>
      </c>
      <c r="H579" s="210" t="b">
        <f t="shared" si="16"/>
        <v>1</v>
      </c>
    </row>
    <row r="580" spans="1:8" ht="13.8" x14ac:dyDescent="0.25">
      <c r="A580" s="7" t="s">
        <v>3538</v>
      </c>
      <c r="B580" s="58">
        <v>302</v>
      </c>
      <c r="C580" s="35" t="s">
        <v>193</v>
      </c>
      <c r="D580" s="58"/>
      <c r="E580" s="58"/>
      <c r="F580" s="36"/>
      <c r="G580" s="36">
        <f>G581</f>
        <v>109200000</v>
      </c>
      <c r="H580" s="210" t="b">
        <f t="shared" si="16"/>
        <v>1</v>
      </c>
    </row>
    <row r="581" spans="1:8" ht="13.8" x14ac:dyDescent="0.25">
      <c r="A581" s="7" t="s">
        <v>3539</v>
      </c>
      <c r="B581" s="59" t="s">
        <v>8</v>
      </c>
      <c r="C581" s="38" t="s">
        <v>193</v>
      </c>
      <c r="D581" s="59"/>
      <c r="E581" s="59"/>
      <c r="F581" s="39"/>
      <c r="G581" s="39">
        <f>SUM(G582,G585,G588)</f>
        <v>109200000</v>
      </c>
      <c r="H581" s="210" t="b">
        <f t="shared" si="16"/>
        <v>1</v>
      </c>
    </row>
    <row r="582" spans="1:8" ht="13.8" x14ac:dyDescent="0.25">
      <c r="A582" s="7" t="s">
        <v>3540</v>
      </c>
      <c r="B582" s="60">
        <v>521211</v>
      </c>
      <c r="C582" s="41" t="s">
        <v>7</v>
      </c>
      <c r="D582" s="60"/>
      <c r="E582" s="60"/>
      <c r="F582" s="42"/>
      <c r="G582" s="42">
        <f>SUM(G583:G584)</f>
        <v>25000000</v>
      </c>
      <c r="H582" s="210" t="b">
        <f t="shared" si="16"/>
        <v>1</v>
      </c>
    </row>
    <row r="583" spans="1:8" ht="13.8" x14ac:dyDescent="0.25">
      <c r="A583" s="7" t="s">
        <v>3541</v>
      </c>
      <c r="B583" s="152"/>
      <c r="C583" s="151" t="s">
        <v>4612</v>
      </c>
      <c r="D583" s="152">
        <v>100</v>
      </c>
      <c r="E583" s="152" t="s">
        <v>10</v>
      </c>
      <c r="F583" s="153">
        <v>70000</v>
      </c>
      <c r="G583" s="153">
        <f>ROUNDDOWN(D583*F583,-3)</f>
        <v>7000000</v>
      </c>
      <c r="H583" s="210" t="b">
        <f t="shared" si="16"/>
        <v>1</v>
      </c>
    </row>
    <row r="584" spans="1:8" ht="13.8" x14ac:dyDescent="0.25">
      <c r="A584" s="7" t="s">
        <v>3542</v>
      </c>
      <c r="B584" s="152"/>
      <c r="C584" s="151" t="s">
        <v>4613</v>
      </c>
      <c r="D584" s="152">
        <v>12</v>
      </c>
      <c r="E584" s="152" t="s">
        <v>9</v>
      </c>
      <c r="F584" s="153">
        <v>1500000</v>
      </c>
      <c r="G584" s="153">
        <f>ROUNDDOWN(D584*F584,-3)</f>
        <v>18000000</v>
      </c>
      <c r="H584" s="210" t="b">
        <f t="shared" si="16"/>
        <v>1</v>
      </c>
    </row>
    <row r="585" spans="1:8" ht="13.8" x14ac:dyDescent="0.25">
      <c r="A585" s="7" t="s">
        <v>3543</v>
      </c>
      <c r="B585" s="60">
        <v>521811</v>
      </c>
      <c r="C585" s="41" t="s">
        <v>64</v>
      </c>
      <c r="D585" s="60"/>
      <c r="E585" s="60"/>
      <c r="F585" s="42"/>
      <c r="G585" s="42">
        <f>SUM(G586:G587)</f>
        <v>30000000</v>
      </c>
      <c r="H585" s="210" t="b">
        <f t="shared" si="16"/>
        <v>1</v>
      </c>
    </row>
    <row r="586" spans="1:8" ht="13.8" x14ac:dyDescent="0.25">
      <c r="A586" s="7" t="s">
        <v>3544</v>
      </c>
      <c r="B586" s="152"/>
      <c r="C586" s="151" t="s">
        <v>4269</v>
      </c>
      <c r="D586" s="152">
        <v>12</v>
      </c>
      <c r="E586" s="152" t="s">
        <v>9</v>
      </c>
      <c r="F586" s="153">
        <v>1000000</v>
      </c>
      <c r="G586" s="153">
        <f>ROUNDDOWN(D586*F586,-3)</f>
        <v>12000000</v>
      </c>
      <c r="H586" s="210" t="b">
        <f t="shared" si="16"/>
        <v>1</v>
      </c>
    </row>
    <row r="587" spans="1:8" ht="13.8" x14ac:dyDescent="0.25">
      <c r="A587" s="7" t="s">
        <v>3545</v>
      </c>
      <c r="B587" s="152"/>
      <c r="C587" s="151" t="s">
        <v>3632</v>
      </c>
      <c r="D587" s="152">
        <v>12</v>
      </c>
      <c r="E587" s="152" t="s">
        <v>9</v>
      </c>
      <c r="F587" s="153">
        <v>1500000</v>
      </c>
      <c r="G587" s="153">
        <f>ROUNDDOWN(D587*F587,-3)</f>
        <v>18000000</v>
      </c>
      <c r="H587" s="210" t="b">
        <f t="shared" si="16"/>
        <v>1</v>
      </c>
    </row>
    <row r="588" spans="1:8" ht="13.8" x14ac:dyDescent="0.25">
      <c r="A588" s="7" t="s">
        <v>3546</v>
      </c>
      <c r="B588" s="60">
        <v>524111</v>
      </c>
      <c r="C588" s="41" t="s">
        <v>19</v>
      </c>
      <c r="D588" s="60"/>
      <c r="E588" s="60"/>
      <c r="F588" s="42"/>
      <c r="G588" s="42">
        <f>G589</f>
        <v>54200000</v>
      </c>
      <c r="H588" s="210" t="b">
        <f t="shared" si="16"/>
        <v>1</v>
      </c>
    </row>
    <row r="589" spans="1:8" ht="26.4" x14ac:dyDescent="0.25">
      <c r="A589" s="7" t="s">
        <v>3547</v>
      </c>
      <c r="B589" s="152"/>
      <c r="C589" s="151" t="s">
        <v>4626</v>
      </c>
      <c r="D589" s="152">
        <v>10</v>
      </c>
      <c r="E589" s="152" t="s">
        <v>10</v>
      </c>
      <c r="F589" s="153">
        <v>5420000</v>
      </c>
      <c r="G589" s="153">
        <f>ROUNDDOWN(D589*F589,-3)</f>
        <v>54200000</v>
      </c>
      <c r="H589" s="210"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7" type="noConversion"/>
  <conditionalFormatting sqref="G12:H12 G13:G560 H13:H589">
    <cfRule type="expression" dxfId="554" priority="15">
      <formula>NOT(_xlfn.ISFORMULA(G12))</formula>
    </cfRule>
  </conditionalFormatting>
  <conditionalFormatting sqref="B11:H12 H13:H589">
    <cfRule type="expression" dxfId="553" priority="17">
      <formula>AND(#REF!="Ya",#REF!=ROW())</formula>
    </cfRule>
  </conditionalFormatting>
  <conditionalFormatting sqref="B561:F561 G586:G587 G583:G584 G579 G576 G574 G570:G572 G566:G567 G564 G561:G562 B13:G560">
    <cfRule type="expression" dxfId="552" priority="14">
      <formula>AND($P$4="Ya",$O$2=ROW())</formula>
    </cfRule>
  </conditionalFormatting>
  <conditionalFormatting sqref="G589">
    <cfRule type="expression" dxfId="551" priority="12">
      <formula>AND($P$4="Ya",$O$2=ROW())</formula>
    </cfRule>
  </conditionalFormatting>
  <conditionalFormatting sqref="G589 G586:G587 G583:G584 G579 G576 G574 G570:G572 G566:G567 G564 G561:G562">
    <cfRule type="expression" dxfId="550" priority="11">
      <formula>NOT(_xlfn.ISFORMULA(G561))</formula>
    </cfRule>
  </conditionalFormatting>
  <conditionalFormatting sqref="G573">
    <cfRule type="expression" dxfId="549" priority="10">
      <formula>NOT(_xlfn.ISFORMULA(G573))</formula>
    </cfRule>
  </conditionalFormatting>
  <conditionalFormatting sqref="G573">
    <cfRule type="expression" dxfId="548" priority="9">
      <formula>AND($P$4="Ya",$O$2=ROW())</formula>
    </cfRule>
  </conditionalFormatting>
  <conditionalFormatting sqref="G563">
    <cfRule type="expression" dxfId="547" priority="8">
      <formula>NOT(_xlfn.ISFORMULA(G563))</formula>
    </cfRule>
  </conditionalFormatting>
  <conditionalFormatting sqref="G563">
    <cfRule type="expression" dxfId="546" priority="7">
      <formula>AND($P$4="Ya",$O$2=ROW())</formula>
    </cfRule>
  </conditionalFormatting>
  <conditionalFormatting sqref="G588">
    <cfRule type="expression" dxfId="545" priority="6">
      <formula>NOT(_xlfn.ISFORMULA(G588))</formula>
    </cfRule>
  </conditionalFormatting>
  <conditionalFormatting sqref="G588">
    <cfRule type="expression" dxfId="544" priority="5">
      <formula>AND($P$4="Ya",$O$2=ROW())</formula>
    </cfRule>
  </conditionalFormatting>
  <conditionalFormatting sqref="G585">
    <cfRule type="expression" dxfId="543" priority="4">
      <formula>NOT(_xlfn.ISFORMULA(G585))</formula>
    </cfRule>
  </conditionalFormatting>
  <conditionalFormatting sqref="G585">
    <cfRule type="expression" dxfId="542" priority="3">
      <formula>AND($P$4="Ya",$O$2=ROW())</formula>
    </cfRule>
  </conditionalFormatting>
  <conditionalFormatting sqref="G582">
    <cfRule type="expression" dxfId="541" priority="2">
      <formula>NOT(_xlfn.ISFORMULA(G582))</formula>
    </cfRule>
  </conditionalFormatting>
  <conditionalFormatting sqref="G582">
    <cfRule type="expression" dxfId="540"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7"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4.4" x14ac:dyDescent="0.3"/>
  <cols>
    <col min="1" max="1" width="4.6640625" bestFit="1" customWidth="1"/>
    <col min="2" max="2" width="30.5546875" bestFit="1" customWidth="1"/>
    <col min="3" max="3" width="8.6640625" bestFit="1" customWidth="1"/>
    <col min="4" max="4" width="35.33203125" bestFit="1" customWidth="1"/>
    <col min="6" max="6" width="4.6640625" bestFit="1" customWidth="1"/>
    <col min="7" max="7" width="5.6640625" bestFit="1" customWidth="1"/>
    <col min="8" max="8" width="25.6640625" bestFit="1" customWidth="1"/>
    <col min="9" max="9" width="8.6640625" bestFit="1" customWidth="1"/>
    <col min="10" max="10" width="29.33203125" bestFit="1" customWidth="1"/>
    <col min="13" max="13" width="4.6640625" bestFit="1" customWidth="1"/>
    <col min="14" max="15" width="5.6640625" bestFit="1" customWidth="1"/>
    <col min="16" max="16" width="33.6640625" bestFit="1" customWidth="1"/>
    <col min="17" max="17" width="9.44140625" bestFit="1" customWidth="1"/>
    <col min="18" max="18" width="37.33203125" bestFit="1" customWidth="1"/>
    <col min="19" max="19" width="29.33203125" bestFit="1" customWidth="1"/>
    <col min="20" max="20" width="35.33203125" bestFit="1" customWidth="1"/>
  </cols>
  <sheetData>
    <row r="1" spans="1:20" x14ac:dyDescent="0.3">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3">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3">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3">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3">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3">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3">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3">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3">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3">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3">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3">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3">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3">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3">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3">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3">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3">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3">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3">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3">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3">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3">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3">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3">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3">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3">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3">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3">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7" type="noConversion"/>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2"/>
  <sheetViews>
    <sheetView zoomScale="55" zoomScaleNormal="55" workbookViewId="0">
      <pane ySplit="10" topLeftCell="A158" activePane="bottomLeft" state="frozen"/>
      <selection pane="bottomLeft" activeCell="O173" sqref="O173"/>
    </sheetView>
  </sheetViews>
  <sheetFormatPr defaultColWidth="9.109375" defaultRowHeight="69.900000000000006" customHeight="1" x14ac:dyDescent="0.25"/>
  <cols>
    <col min="1" max="1" width="9.109375" style="348"/>
    <col min="2" max="2" width="7.5546875" style="347" customWidth="1"/>
    <col min="3" max="3" width="5.44140625" style="347" customWidth="1"/>
    <col min="4" max="4" width="22.88671875" style="348" customWidth="1"/>
    <col min="5" max="5" width="18.109375" style="348" customWidth="1"/>
    <col min="6" max="6" width="19.44140625" style="350" customWidth="1"/>
    <col min="7" max="7" width="19.6640625" style="351" customWidth="1"/>
    <col min="8" max="8" width="26.109375" style="351" customWidth="1"/>
    <col min="9" max="9" width="20.5546875" style="348" customWidth="1"/>
    <col min="10" max="10" width="15.5546875" style="348" customWidth="1"/>
    <col min="11" max="11" width="104.6640625" style="356" customWidth="1"/>
    <col min="12" max="12" width="33.88671875" style="351" customWidth="1"/>
    <col min="13" max="13" width="34.109375" style="351" customWidth="1"/>
    <col min="14" max="14" width="25.33203125" style="406" customWidth="1"/>
    <col min="15" max="15" width="19.109375" style="348" bestFit="1" customWidth="1"/>
    <col min="16" max="19" width="9.109375" style="348"/>
    <col min="20" max="20" width="125" style="348" customWidth="1"/>
    <col min="21" max="16384" width="9.109375" style="348"/>
  </cols>
  <sheetData>
    <row r="1" spans="2:20" ht="15" x14ac:dyDescent="0.25">
      <c r="E1" s="349"/>
      <c r="K1" s="351"/>
    </row>
    <row r="2" spans="2:20" ht="15" x14ac:dyDescent="0.25">
      <c r="E2" s="349"/>
      <c r="K2" s="351"/>
      <c r="N2" s="406" t="s">
        <v>5376</v>
      </c>
      <c r="O2" s="405">
        <f>SUMIF(Table1[Status Realisasi],N2,Table1[Nilai SP2D])</f>
        <v>381840000</v>
      </c>
    </row>
    <row r="3" spans="2:20" ht="15" x14ac:dyDescent="0.25">
      <c r="E3" s="349"/>
      <c r="K3" s="351"/>
      <c r="N3" s="406" t="s">
        <v>5374</v>
      </c>
      <c r="O3" s="405">
        <f>SUMIF(Table1[Status Realisasi],N3,Table1[Nilai SP2D])</f>
        <v>3393066206</v>
      </c>
      <c r="T3" s="348" t="s">
        <v>5441</v>
      </c>
    </row>
    <row r="4" spans="2:20" ht="15" x14ac:dyDescent="0.25">
      <c r="E4" s="349"/>
      <c r="K4" s="351"/>
      <c r="N4" s="406" t="s">
        <v>5375</v>
      </c>
      <c r="O4" s="405">
        <f>SUMIF(Table1[Status Realisasi],N4,Table1[Nilai SP2D])</f>
        <v>2939763957</v>
      </c>
    </row>
    <row r="5" spans="2:20" ht="15" x14ac:dyDescent="0.25">
      <c r="E5" s="349"/>
      <c r="K5" s="351"/>
      <c r="N5" s="406" t="s">
        <v>5377</v>
      </c>
      <c r="O5" s="405">
        <f>SUMIF(Table1[Status Realisasi],N5,Table1[Nilai SP2D])</f>
        <v>654200000</v>
      </c>
    </row>
    <row r="6" spans="2:20" ht="15" x14ac:dyDescent="0.25">
      <c r="E6" s="349"/>
      <c r="K6" s="351"/>
      <c r="N6" s="406" t="s">
        <v>5378</v>
      </c>
    </row>
    <row r="7" spans="2:20" ht="15" x14ac:dyDescent="0.25">
      <c r="E7" s="349"/>
      <c r="K7" s="351"/>
      <c r="N7" s="406">
        <v>51</v>
      </c>
      <c r="O7" s="405">
        <f>SUMIF(Table1[all],N7,Table1[Nilai SP2D])</f>
        <v>2939763957</v>
      </c>
    </row>
    <row r="8" spans="2:20" ht="15" x14ac:dyDescent="0.25">
      <c r="E8" s="349"/>
      <c r="F8" s="348"/>
      <c r="K8" s="351"/>
      <c r="N8" s="406">
        <v>52</v>
      </c>
      <c r="O8" s="405">
        <f>SUMIF(Table1[all],N8,Table1[Nilai SP2D])</f>
        <v>5413122932</v>
      </c>
    </row>
    <row r="9" spans="2:20" ht="15" x14ac:dyDescent="0.25">
      <c r="E9" s="349"/>
      <c r="F9" s="348"/>
      <c r="K9" s="351"/>
      <c r="N9" s="406">
        <v>53</v>
      </c>
      <c r="O9" s="405">
        <f>SUMIF(Table1[all],N9,Table1[Nilai SP2D])</f>
        <v>654200000</v>
      </c>
    </row>
    <row r="10" spans="2:20" s="384" customFormat="1" ht="38.25" customHeight="1" x14ac:dyDescent="0.3">
      <c r="B10" s="403" t="s">
        <v>4864</v>
      </c>
      <c r="C10" s="403" t="s">
        <v>5402</v>
      </c>
      <c r="D10" s="404" t="s">
        <v>4865</v>
      </c>
      <c r="E10" s="404" t="s">
        <v>4866</v>
      </c>
      <c r="F10" s="404" t="s">
        <v>4867</v>
      </c>
      <c r="G10" s="404" t="s">
        <v>4868</v>
      </c>
      <c r="H10" s="404" t="s">
        <v>4869</v>
      </c>
      <c r="I10" s="404" t="s">
        <v>4870</v>
      </c>
      <c r="J10" s="404" t="s">
        <v>4871</v>
      </c>
      <c r="K10" s="404" t="s">
        <v>4872</v>
      </c>
      <c r="L10" s="384" t="s">
        <v>5215</v>
      </c>
      <c r="M10" s="384" t="s">
        <v>5216</v>
      </c>
      <c r="N10" s="384" t="s">
        <v>4691</v>
      </c>
      <c r="O10" s="384" t="s">
        <v>5401</v>
      </c>
      <c r="T10" s="384" t="str" cm="1">
        <f t="array" ref="T10">_xlfn.TEXTJOIN(",",TRUE,MID(_xlfn._xlws.FILTER(Table1[Nomor Invoice],Table1[Status Realisasi]="Gaji"),1,5))</f>
        <v>00003,00007,00027,00044,00050,00049,00065,00074,00077,00114,00115,00116,00117,00097,00164,00169,00174,00178,00184,00234,00235,00237,00209,00327,00357,00360,00362,00399,00343,00347,00448,00477,00488</v>
      </c>
    </row>
    <row r="11" spans="2:20" ht="69.900000000000006" customHeight="1" x14ac:dyDescent="0.25">
      <c r="B11" s="323">
        <v>1</v>
      </c>
      <c r="C11" s="323">
        <v>1</v>
      </c>
      <c r="D11" s="319" t="s">
        <v>5116</v>
      </c>
      <c r="E11" s="358" t="s">
        <v>5117</v>
      </c>
      <c r="F11" s="320">
        <v>208949299</v>
      </c>
      <c r="G11" s="371" t="s">
        <v>5033</v>
      </c>
      <c r="H11" s="353" t="s">
        <v>5118</v>
      </c>
      <c r="I11" s="319" t="s">
        <v>5117</v>
      </c>
      <c r="J11" s="319" t="s">
        <v>4892</v>
      </c>
      <c r="K11" s="322" t="s">
        <v>5119</v>
      </c>
      <c r="L11" s="397" t="s">
        <v>576</v>
      </c>
      <c r="M11" s="397" t="s">
        <v>5185</v>
      </c>
      <c r="N11" s="411" t="s">
        <v>5375</v>
      </c>
      <c r="O11" s="323">
        <v>51</v>
      </c>
    </row>
    <row r="12" spans="2:20" ht="69.900000000000006" customHeight="1" x14ac:dyDescent="0.25">
      <c r="B12" s="323">
        <v>2</v>
      </c>
      <c r="C12" s="323">
        <v>2</v>
      </c>
      <c r="D12" s="319" t="s">
        <v>5111</v>
      </c>
      <c r="E12" s="358" t="s">
        <v>5112</v>
      </c>
      <c r="F12" s="320">
        <v>203627955</v>
      </c>
      <c r="G12" s="371" t="s">
        <v>5033</v>
      </c>
      <c r="H12" s="353" t="s">
        <v>5113</v>
      </c>
      <c r="I12" s="319" t="s">
        <v>5114</v>
      </c>
      <c r="J12" s="319" t="s">
        <v>4892</v>
      </c>
      <c r="K12" s="322" t="s">
        <v>5115</v>
      </c>
      <c r="L12" s="397" t="s">
        <v>576</v>
      </c>
      <c r="M12" s="397" t="s">
        <v>5185</v>
      </c>
      <c r="N12" s="411" t="s">
        <v>5375</v>
      </c>
      <c r="O12" s="323">
        <v>51</v>
      </c>
    </row>
    <row r="13" spans="2:20" ht="69.900000000000006" customHeight="1" x14ac:dyDescent="0.25">
      <c r="B13" s="323">
        <v>3</v>
      </c>
      <c r="C13" s="323">
        <v>2</v>
      </c>
      <c r="D13" s="319" t="s">
        <v>5107</v>
      </c>
      <c r="E13" s="358" t="s">
        <v>5108</v>
      </c>
      <c r="F13" s="320">
        <v>233065910</v>
      </c>
      <c r="G13" s="371" t="s">
        <v>4878</v>
      </c>
      <c r="H13" s="353" t="s">
        <v>5109</v>
      </c>
      <c r="I13" s="319" t="s">
        <v>5108</v>
      </c>
      <c r="J13" s="319" t="s">
        <v>4878</v>
      </c>
      <c r="K13" s="322" t="s">
        <v>5110</v>
      </c>
      <c r="L13" s="397" t="s">
        <v>576</v>
      </c>
      <c r="M13" s="397" t="s">
        <v>5185</v>
      </c>
      <c r="N13" s="411" t="s">
        <v>5375</v>
      </c>
      <c r="O13" s="323">
        <v>51</v>
      </c>
    </row>
    <row r="14" spans="2:20" ht="69.900000000000006" customHeight="1" x14ac:dyDescent="0.25">
      <c r="B14" s="323">
        <v>4</v>
      </c>
      <c r="C14" s="323">
        <v>2</v>
      </c>
      <c r="D14" s="319" t="s">
        <v>5101</v>
      </c>
      <c r="E14" s="358" t="s">
        <v>5097</v>
      </c>
      <c r="F14" s="320">
        <v>3208063</v>
      </c>
      <c r="G14" s="371" t="s">
        <v>5065</v>
      </c>
      <c r="H14" s="353" t="s">
        <v>5102</v>
      </c>
      <c r="I14" s="319" t="s">
        <v>5099</v>
      </c>
      <c r="J14" s="319" t="s">
        <v>4878</v>
      </c>
      <c r="K14" s="322" t="s">
        <v>5103</v>
      </c>
      <c r="L14" s="397" t="s">
        <v>576</v>
      </c>
      <c r="M14" s="397" t="s">
        <v>5185</v>
      </c>
      <c r="N14" s="411" t="s">
        <v>5375</v>
      </c>
      <c r="O14" s="323">
        <v>51</v>
      </c>
    </row>
    <row r="15" spans="2:20" ht="69.900000000000006" customHeight="1" x14ac:dyDescent="0.25">
      <c r="B15" s="323">
        <v>5</v>
      </c>
      <c r="C15" s="323">
        <v>2</v>
      </c>
      <c r="D15" s="319" t="s">
        <v>5104</v>
      </c>
      <c r="E15" s="358" t="s">
        <v>5097</v>
      </c>
      <c r="F15" s="320">
        <v>31515000</v>
      </c>
      <c r="G15" s="371" t="s">
        <v>5049</v>
      </c>
      <c r="H15" s="353" t="s">
        <v>5105</v>
      </c>
      <c r="I15" s="319" t="s">
        <v>5099</v>
      </c>
      <c r="J15" s="319" t="s">
        <v>4878</v>
      </c>
      <c r="K15" s="322" t="s">
        <v>5106</v>
      </c>
      <c r="L15" s="397" t="s">
        <v>576</v>
      </c>
      <c r="M15" s="397" t="s">
        <v>5185</v>
      </c>
      <c r="N15" s="411" t="s">
        <v>5375</v>
      </c>
      <c r="O15" s="323">
        <v>51</v>
      </c>
    </row>
    <row r="16" spans="2:20" ht="69.900000000000006" customHeight="1" x14ac:dyDescent="0.25">
      <c r="B16" s="323">
        <v>6</v>
      </c>
      <c r="C16" s="323">
        <v>2</v>
      </c>
      <c r="D16" s="323" t="s">
        <v>4873</v>
      </c>
      <c r="E16" s="357" t="s">
        <v>4874</v>
      </c>
      <c r="F16" s="354">
        <v>63640000</v>
      </c>
      <c r="G16" s="366" t="s">
        <v>4875</v>
      </c>
      <c r="H16" s="324" t="s">
        <v>4876</v>
      </c>
      <c r="I16" s="323" t="s">
        <v>4877</v>
      </c>
      <c r="J16" s="323" t="s">
        <v>4878</v>
      </c>
      <c r="K16" s="325" t="s">
        <v>4879</v>
      </c>
      <c r="L16" s="397" t="s">
        <v>576</v>
      </c>
      <c r="M16" s="397" t="s">
        <v>5183</v>
      </c>
      <c r="N16" s="411" t="s">
        <v>5376</v>
      </c>
      <c r="O16" s="323">
        <v>52</v>
      </c>
    </row>
    <row r="17" spans="2:15" ht="69.900000000000006" customHeight="1" x14ac:dyDescent="0.25">
      <c r="B17" s="323">
        <v>7</v>
      </c>
      <c r="C17" s="323">
        <v>2</v>
      </c>
      <c r="D17" s="323" t="s">
        <v>4880</v>
      </c>
      <c r="E17" s="357" t="s">
        <v>4882</v>
      </c>
      <c r="F17" s="354">
        <v>9587800</v>
      </c>
      <c r="G17" s="367" t="s">
        <v>4878</v>
      </c>
      <c r="H17" s="323" t="s">
        <v>4883</v>
      </c>
      <c r="I17" s="323" t="s">
        <v>4881</v>
      </c>
      <c r="J17" s="323" t="s">
        <v>4878</v>
      </c>
      <c r="K17" s="325" t="s">
        <v>4884</v>
      </c>
      <c r="L17" s="397" t="s">
        <v>542</v>
      </c>
      <c r="M17" s="397" t="s">
        <v>5184</v>
      </c>
      <c r="N17" s="411"/>
      <c r="O17" s="323">
        <v>52</v>
      </c>
    </row>
    <row r="18" spans="2:15" ht="69.900000000000006" customHeight="1" x14ac:dyDescent="0.25">
      <c r="B18" s="323">
        <v>8</v>
      </c>
      <c r="C18" s="323">
        <v>2</v>
      </c>
      <c r="D18" s="323" t="s">
        <v>4885</v>
      </c>
      <c r="E18" s="357" t="s">
        <v>4882</v>
      </c>
      <c r="F18" s="354">
        <v>1010000</v>
      </c>
      <c r="G18" s="367" t="s">
        <v>4878</v>
      </c>
      <c r="H18" s="323" t="s">
        <v>4886</v>
      </c>
      <c r="I18" s="323" t="s">
        <v>4881</v>
      </c>
      <c r="J18" s="323" t="s">
        <v>4878</v>
      </c>
      <c r="K18" s="325" t="s">
        <v>4887</v>
      </c>
      <c r="L18" s="397" t="s">
        <v>542</v>
      </c>
      <c r="M18" s="397" t="s">
        <v>5184</v>
      </c>
      <c r="N18" s="411"/>
      <c r="O18" s="323">
        <v>52</v>
      </c>
    </row>
    <row r="19" spans="2:15" ht="69.900000000000006" customHeight="1" x14ac:dyDescent="0.25">
      <c r="B19" s="323">
        <v>9</v>
      </c>
      <c r="C19" s="323">
        <v>3</v>
      </c>
      <c r="D19" s="319" t="s">
        <v>5096</v>
      </c>
      <c r="E19" s="358" t="s">
        <v>4888</v>
      </c>
      <c r="F19" s="320">
        <v>211929456</v>
      </c>
      <c r="G19" s="371" t="s">
        <v>5033</v>
      </c>
      <c r="H19" s="353" t="s">
        <v>5098</v>
      </c>
      <c r="I19" s="319" t="s">
        <v>5099</v>
      </c>
      <c r="J19" s="319" t="s">
        <v>4892</v>
      </c>
      <c r="K19" s="322" t="s">
        <v>5100</v>
      </c>
      <c r="L19" s="397" t="s">
        <v>576</v>
      </c>
      <c r="M19" s="397" t="s">
        <v>5185</v>
      </c>
      <c r="N19" s="411" t="s">
        <v>5375</v>
      </c>
      <c r="O19" s="323">
        <v>51</v>
      </c>
    </row>
    <row r="20" spans="2:15" ht="69.900000000000006" customHeight="1" x14ac:dyDescent="0.25">
      <c r="B20" s="323">
        <v>10</v>
      </c>
      <c r="C20" s="323">
        <v>3</v>
      </c>
      <c r="D20" s="319" t="s">
        <v>5093</v>
      </c>
      <c r="E20" s="358" t="s">
        <v>4895</v>
      </c>
      <c r="F20" s="320">
        <v>8028903</v>
      </c>
      <c r="G20" s="371" t="s">
        <v>4878</v>
      </c>
      <c r="H20" s="353" t="s">
        <v>5094</v>
      </c>
      <c r="I20" s="319" t="s">
        <v>4898</v>
      </c>
      <c r="J20" s="319" t="s">
        <v>4878</v>
      </c>
      <c r="K20" s="322" t="s">
        <v>5095</v>
      </c>
      <c r="L20" s="397" t="s">
        <v>576</v>
      </c>
      <c r="M20" s="397" t="s">
        <v>5185</v>
      </c>
      <c r="N20" s="411" t="s">
        <v>5375</v>
      </c>
      <c r="O20" s="323">
        <v>51</v>
      </c>
    </row>
    <row r="21" spans="2:15" ht="69.900000000000006" customHeight="1" x14ac:dyDescent="0.25">
      <c r="B21" s="323">
        <v>11</v>
      </c>
      <c r="C21" s="323">
        <v>3</v>
      </c>
      <c r="D21" s="319" t="s">
        <v>5085</v>
      </c>
      <c r="E21" s="358" t="s">
        <v>5086</v>
      </c>
      <c r="F21" s="320">
        <v>237145862</v>
      </c>
      <c r="G21" s="371" t="s">
        <v>4878</v>
      </c>
      <c r="H21" s="353" t="s">
        <v>5087</v>
      </c>
      <c r="I21" s="319" t="s">
        <v>5088</v>
      </c>
      <c r="J21" s="319" t="s">
        <v>4878</v>
      </c>
      <c r="K21" s="322" t="s">
        <v>5089</v>
      </c>
      <c r="L21" s="397" t="s">
        <v>576</v>
      </c>
      <c r="M21" s="397" t="s">
        <v>5185</v>
      </c>
      <c r="N21" s="411" t="s">
        <v>5375</v>
      </c>
      <c r="O21" s="323">
        <v>51</v>
      </c>
    </row>
    <row r="22" spans="2:15" ht="69.900000000000006" customHeight="1" x14ac:dyDescent="0.25">
      <c r="B22" s="323">
        <v>12</v>
      </c>
      <c r="C22" s="323">
        <v>3</v>
      </c>
      <c r="D22" s="319" t="s">
        <v>5090</v>
      </c>
      <c r="E22" s="358" t="s">
        <v>5086</v>
      </c>
      <c r="F22" s="320">
        <v>24572000</v>
      </c>
      <c r="G22" s="371" t="s">
        <v>5049</v>
      </c>
      <c r="H22" s="353" t="s">
        <v>5091</v>
      </c>
      <c r="I22" s="319" t="s">
        <v>5088</v>
      </c>
      <c r="J22" s="319" t="s">
        <v>4878</v>
      </c>
      <c r="K22" s="322" t="s">
        <v>5092</v>
      </c>
      <c r="L22" s="397" t="s">
        <v>576</v>
      </c>
      <c r="M22" s="397" t="s">
        <v>5185</v>
      </c>
      <c r="N22" s="411" t="s">
        <v>5375</v>
      </c>
      <c r="O22" s="323">
        <v>51</v>
      </c>
    </row>
    <row r="23" spans="2:15" ht="69.900000000000006" customHeight="1" x14ac:dyDescent="0.25">
      <c r="B23" s="323">
        <v>13</v>
      </c>
      <c r="C23" s="323">
        <v>3</v>
      </c>
      <c r="D23" s="319" t="s">
        <v>5075</v>
      </c>
      <c r="E23" s="358" t="s">
        <v>4908</v>
      </c>
      <c r="F23" s="320">
        <v>7294465</v>
      </c>
      <c r="G23" s="371" t="s">
        <v>5065</v>
      </c>
      <c r="H23" s="353" t="s">
        <v>5076</v>
      </c>
      <c r="I23" s="319" t="s">
        <v>5070</v>
      </c>
      <c r="J23" s="319" t="s">
        <v>4878</v>
      </c>
      <c r="K23" s="322" t="s">
        <v>5077</v>
      </c>
      <c r="L23" s="397" t="s">
        <v>576</v>
      </c>
      <c r="M23" s="397" t="s">
        <v>5185</v>
      </c>
      <c r="N23" s="411" t="s">
        <v>5375</v>
      </c>
      <c r="O23" s="323">
        <v>51</v>
      </c>
    </row>
    <row r="24" spans="2:15" ht="69.900000000000006" customHeight="1" x14ac:dyDescent="0.25">
      <c r="B24" s="323">
        <v>14</v>
      </c>
      <c r="C24" s="323">
        <v>3</v>
      </c>
      <c r="D24" s="319" t="s">
        <v>5072</v>
      </c>
      <c r="E24" s="358" t="s">
        <v>4908</v>
      </c>
      <c r="F24" s="320">
        <v>257904</v>
      </c>
      <c r="G24" s="371" t="s">
        <v>5061</v>
      </c>
      <c r="H24" s="353" t="s">
        <v>5073</v>
      </c>
      <c r="I24" s="319" t="s">
        <v>5070</v>
      </c>
      <c r="J24" s="319" t="s">
        <v>4878</v>
      </c>
      <c r="K24" s="322" t="s">
        <v>5074</v>
      </c>
      <c r="L24" s="397" t="s">
        <v>576</v>
      </c>
      <c r="M24" s="397" t="s">
        <v>5185</v>
      </c>
      <c r="N24" s="411" t="s">
        <v>5375</v>
      </c>
      <c r="O24" s="323">
        <v>51</v>
      </c>
    </row>
    <row r="25" spans="2:15" ht="69.900000000000006" customHeight="1" x14ac:dyDescent="0.25">
      <c r="B25" s="323">
        <v>15</v>
      </c>
      <c r="C25" s="323">
        <v>3</v>
      </c>
      <c r="D25" s="319" t="s">
        <v>5078</v>
      </c>
      <c r="E25" s="358" t="s">
        <v>4908</v>
      </c>
      <c r="F25" s="320">
        <v>595396</v>
      </c>
      <c r="G25" s="371" t="s">
        <v>5061</v>
      </c>
      <c r="H25" s="353" t="s">
        <v>5079</v>
      </c>
      <c r="I25" s="319" t="s">
        <v>5070</v>
      </c>
      <c r="J25" s="319" t="s">
        <v>4878</v>
      </c>
      <c r="K25" s="322" t="s">
        <v>5080</v>
      </c>
      <c r="L25" s="397" t="s">
        <v>576</v>
      </c>
      <c r="M25" s="397" t="s">
        <v>5185</v>
      </c>
      <c r="N25" s="411" t="s">
        <v>5375</v>
      </c>
      <c r="O25" s="323">
        <v>51</v>
      </c>
    </row>
    <row r="26" spans="2:15" ht="69.900000000000006" customHeight="1" x14ac:dyDescent="0.25">
      <c r="B26" s="323">
        <v>16</v>
      </c>
      <c r="C26" s="323">
        <v>3</v>
      </c>
      <c r="D26" s="319" t="s">
        <v>5068</v>
      </c>
      <c r="E26" s="358" t="s">
        <v>4908</v>
      </c>
      <c r="F26" s="320">
        <v>3422128</v>
      </c>
      <c r="G26" s="371" t="s">
        <v>5061</v>
      </c>
      <c r="H26" s="353" t="s">
        <v>5069</v>
      </c>
      <c r="I26" s="319" t="s">
        <v>5070</v>
      </c>
      <c r="J26" s="319" t="s">
        <v>4878</v>
      </c>
      <c r="K26" s="322" t="s">
        <v>5071</v>
      </c>
      <c r="L26" s="397" t="s">
        <v>576</v>
      </c>
      <c r="M26" s="397" t="s">
        <v>5185</v>
      </c>
      <c r="N26" s="411" t="s">
        <v>5375</v>
      </c>
      <c r="O26" s="323">
        <v>51</v>
      </c>
    </row>
    <row r="27" spans="2:15" ht="69.900000000000006" customHeight="1" x14ac:dyDescent="0.25">
      <c r="B27" s="323">
        <v>17</v>
      </c>
      <c r="C27" s="323">
        <v>3</v>
      </c>
      <c r="D27" s="352" t="s">
        <v>5007</v>
      </c>
      <c r="E27" s="357" t="s">
        <v>4888</v>
      </c>
      <c r="F27" s="354">
        <v>63640000</v>
      </c>
      <c r="G27" s="366" t="s">
        <v>4889</v>
      </c>
      <c r="H27" s="324" t="s">
        <v>4890</v>
      </c>
      <c r="I27" s="323" t="s">
        <v>4891</v>
      </c>
      <c r="J27" s="323" t="s">
        <v>4892</v>
      </c>
      <c r="K27" s="325" t="s">
        <v>4893</v>
      </c>
      <c r="L27" s="397" t="s">
        <v>576</v>
      </c>
      <c r="M27" s="397" t="s">
        <v>5183</v>
      </c>
      <c r="N27" s="411" t="s">
        <v>5376</v>
      </c>
      <c r="O27" s="323">
        <v>52</v>
      </c>
    </row>
    <row r="28" spans="2:15" ht="69.900000000000006" customHeight="1" x14ac:dyDescent="0.25">
      <c r="B28" s="323">
        <v>18</v>
      </c>
      <c r="C28" s="323">
        <v>3</v>
      </c>
      <c r="D28" s="323" t="s">
        <v>4894</v>
      </c>
      <c r="E28" s="357" t="s">
        <v>4896</v>
      </c>
      <c r="F28" s="354">
        <v>99961115</v>
      </c>
      <c r="G28" s="368" t="s">
        <v>4641</v>
      </c>
      <c r="H28" s="323" t="s">
        <v>4897</v>
      </c>
      <c r="I28" s="323" t="s">
        <v>4898</v>
      </c>
      <c r="J28" s="323" t="s">
        <v>4878</v>
      </c>
      <c r="K28" s="325" t="s">
        <v>4899</v>
      </c>
      <c r="L28" s="397"/>
      <c r="M28" s="397"/>
      <c r="N28" s="411"/>
      <c r="O28" s="323">
        <v>52</v>
      </c>
    </row>
    <row r="29" spans="2:15" ht="69.900000000000006" customHeight="1" x14ac:dyDescent="0.25">
      <c r="B29" s="323">
        <v>19</v>
      </c>
      <c r="C29" s="323">
        <v>3</v>
      </c>
      <c r="D29" s="323" t="s">
        <v>4900</v>
      </c>
      <c r="E29" s="357" t="s">
        <v>4901</v>
      </c>
      <c r="F29" s="354">
        <v>21912994</v>
      </c>
      <c r="G29" s="369" t="s">
        <v>4902</v>
      </c>
      <c r="H29" s="323" t="s">
        <v>4903</v>
      </c>
      <c r="I29" s="323" t="s">
        <v>4904</v>
      </c>
      <c r="J29" s="323" t="s">
        <v>4905</v>
      </c>
      <c r="K29" s="325" t="s">
        <v>4906</v>
      </c>
      <c r="L29" s="397"/>
      <c r="M29" s="397"/>
      <c r="N29" s="411"/>
      <c r="O29" s="323">
        <v>52</v>
      </c>
    </row>
    <row r="30" spans="2:15" ht="69.900000000000006" customHeight="1" x14ac:dyDescent="0.25">
      <c r="B30" s="323">
        <v>20</v>
      </c>
      <c r="C30" s="323">
        <v>3</v>
      </c>
      <c r="D30" s="323" t="s">
        <v>4907</v>
      </c>
      <c r="E30" s="357" t="s">
        <v>4908</v>
      </c>
      <c r="F30" s="354">
        <v>31765000</v>
      </c>
      <c r="G30" s="369" t="s">
        <v>4902</v>
      </c>
      <c r="H30" s="323" t="s">
        <v>4909</v>
      </c>
      <c r="I30" s="323" t="s">
        <v>4904</v>
      </c>
      <c r="J30" s="323" t="s">
        <v>4905</v>
      </c>
      <c r="K30" s="325" t="s">
        <v>4906</v>
      </c>
      <c r="L30" s="397"/>
      <c r="M30" s="397"/>
      <c r="N30" s="411"/>
      <c r="O30" s="323">
        <v>52</v>
      </c>
    </row>
    <row r="31" spans="2:15" ht="69.900000000000006" customHeight="1" x14ac:dyDescent="0.25">
      <c r="B31" s="323">
        <v>21</v>
      </c>
      <c r="C31" s="323">
        <v>3</v>
      </c>
      <c r="D31" s="323" t="s">
        <v>4910</v>
      </c>
      <c r="E31" s="357" t="s">
        <v>4901</v>
      </c>
      <c r="F31" s="354">
        <v>2949500</v>
      </c>
      <c r="G31" s="369" t="s">
        <v>4902</v>
      </c>
      <c r="H31" s="323" t="s">
        <v>4911</v>
      </c>
      <c r="I31" s="323" t="s">
        <v>4904</v>
      </c>
      <c r="J31" s="323" t="s">
        <v>4905</v>
      </c>
      <c r="K31" s="325" t="s">
        <v>4906</v>
      </c>
      <c r="L31" s="397"/>
      <c r="M31" s="397"/>
      <c r="N31" s="411"/>
      <c r="O31" s="323">
        <v>52</v>
      </c>
    </row>
    <row r="32" spans="2:15" ht="69.900000000000006" customHeight="1" x14ac:dyDescent="0.25">
      <c r="B32" s="323">
        <v>22</v>
      </c>
      <c r="C32" s="323">
        <v>3</v>
      </c>
      <c r="D32" s="323" t="s">
        <v>4912</v>
      </c>
      <c r="E32" s="357" t="s">
        <v>4901</v>
      </c>
      <c r="F32" s="354">
        <v>58197700</v>
      </c>
      <c r="G32" s="369" t="s">
        <v>4902</v>
      </c>
      <c r="H32" s="323" t="s">
        <v>4913</v>
      </c>
      <c r="I32" s="323" t="s">
        <v>4904</v>
      </c>
      <c r="J32" s="323" t="s">
        <v>4905</v>
      </c>
      <c r="K32" s="325" t="s">
        <v>4906</v>
      </c>
      <c r="L32" s="397"/>
      <c r="M32" s="397"/>
      <c r="N32" s="411"/>
      <c r="O32" s="323">
        <v>52</v>
      </c>
    </row>
    <row r="33" spans="2:15" ht="69.900000000000006" customHeight="1" x14ac:dyDescent="0.25">
      <c r="B33" s="323">
        <v>23</v>
      </c>
      <c r="C33" s="323">
        <v>3</v>
      </c>
      <c r="D33" s="323" t="s">
        <v>4914</v>
      </c>
      <c r="E33" s="357" t="s">
        <v>4901</v>
      </c>
      <c r="F33" s="354">
        <v>42927193</v>
      </c>
      <c r="G33" s="369" t="s">
        <v>4902</v>
      </c>
      <c r="H33" s="323" t="s">
        <v>4915</v>
      </c>
      <c r="I33" s="323" t="s">
        <v>4904</v>
      </c>
      <c r="J33" s="323" t="s">
        <v>4905</v>
      </c>
      <c r="K33" s="325" t="s">
        <v>4906</v>
      </c>
      <c r="L33" s="397"/>
      <c r="M33" s="397"/>
      <c r="N33" s="411"/>
      <c r="O33" s="323">
        <v>52</v>
      </c>
    </row>
    <row r="34" spans="2:15" ht="69.900000000000006" customHeight="1" x14ac:dyDescent="0.25">
      <c r="B34" s="323">
        <v>24</v>
      </c>
      <c r="C34" s="323">
        <v>3</v>
      </c>
      <c r="D34" s="323" t="s">
        <v>4916</v>
      </c>
      <c r="E34" s="357" t="s">
        <v>4901</v>
      </c>
      <c r="F34" s="354">
        <v>3436750</v>
      </c>
      <c r="G34" s="369" t="s">
        <v>4902</v>
      </c>
      <c r="H34" s="323" t="s">
        <v>4917</v>
      </c>
      <c r="I34" s="323" t="s">
        <v>4904</v>
      </c>
      <c r="J34" s="323" t="s">
        <v>4905</v>
      </c>
      <c r="K34" s="325" t="s">
        <v>4906</v>
      </c>
      <c r="L34" s="397"/>
      <c r="M34" s="397"/>
      <c r="N34" s="411"/>
      <c r="O34" s="323">
        <v>52</v>
      </c>
    </row>
    <row r="35" spans="2:15" ht="69.900000000000006" customHeight="1" x14ac:dyDescent="0.25">
      <c r="B35" s="323">
        <v>25</v>
      </c>
      <c r="C35" s="323">
        <v>3</v>
      </c>
      <c r="D35" s="323" t="s">
        <v>4918</v>
      </c>
      <c r="E35" s="357" t="s">
        <v>4901</v>
      </c>
      <c r="F35" s="354">
        <v>50674500</v>
      </c>
      <c r="G35" s="369" t="s">
        <v>4902</v>
      </c>
      <c r="H35" s="323" t="s">
        <v>4919</v>
      </c>
      <c r="I35" s="323" t="s">
        <v>4904</v>
      </c>
      <c r="J35" s="323" t="s">
        <v>4905</v>
      </c>
      <c r="K35" s="325" t="s">
        <v>4906</v>
      </c>
      <c r="L35" s="397"/>
      <c r="M35" s="397"/>
      <c r="N35" s="411"/>
      <c r="O35" s="323">
        <v>52</v>
      </c>
    </row>
    <row r="36" spans="2:15" ht="69.900000000000006" customHeight="1" x14ac:dyDescent="0.25">
      <c r="B36" s="323">
        <v>26</v>
      </c>
      <c r="C36" s="323">
        <v>3</v>
      </c>
      <c r="D36" s="323" t="s">
        <v>4920</v>
      </c>
      <c r="E36" s="357" t="s">
        <v>4901</v>
      </c>
      <c r="F36" s="354">
        <v>198636550</v>
      </c>
      <c r="G36" s="369" t="s">
        <v>4902</v>
      </c>
      <c r="H36" s="323" t="s">
        <v>4921</v>
      </c>
      <c r="I36" s="323" t="s">
        <v>4904</v>
      </c>
      <c r="J36" s="323" t="s">
        <v>4905</v>
      </c>
      <c r="K36" s="325" t="s">
        <v>4906</v>
      </c>
      <c r="L36" s="397"/>
      <c r="M36" s="397"/>
      <c r="N36" s="411"/>
      <c r="O36" s="323">
        <v>52</v>
      </c>
    </row>
    <row r="37" spans="2:15" ht="69.900000000000006" customHeight="1" x14ac:dyDescent="0.25">
      <c r="B37" s="323">
        <v>27</v>
      </c>
      <c r="C37" s="323">
        <v>3</v>
      </c>
      <c r="D37" s="323" t="s">
        <v>4926</v>
      </c>
      <c r="E37" s="357" t="s">
        <v>4927</v>
      </c>
      <c r="F37" s="354">
        <v>1743940</v>
      </c>
      <c r="G37" s="368" t="s">
        <v>4641</v>
      </c>
      <c r="H37" s="323" t="s">
        <v>4928</v>
      </c>
      <c r="I37" s="323" t="s">
        <v>4929</v>
      </c>
      <c r="J37" s="323" t="s">
        <v>4878</v>
      </c>
      <c r="K37" s="325" t="s">
        <v>4930</v>
      </c>
      <c r="L37" s="397"/>
      <c r="M37" s="397"/>
      <c r="N37" s="411"/>
      <c r="O37" s="323">
        <v>52</v>
      </c>
    </row>
    <row r="38" spans="2:15" ht="69.900000000000006" customHeight="1" x14ac:dyDescent="0.25">
      <c r="B38" s="323">
        <v>28</v>
      </c>
      <c r="C38" s="323">
        <v>3</v>
      </c>
      <c r="D38" s="323" t="s">
        <v>4931</v>
      </c>
      <c r="E38" s="357" t="s">
        <v>4927</v>
      </c>
      <c r="F38" s="354">
        <v>21906300</v>
      </c>
      <c r="G38" s="368" t="s">
        <v>4641</v>
      </c>
      <c r="H38" s="323" t="s">
        <v>4932</v>
      </c>
      <c r="I38" s="323" t="s">
        <v>4929</v>
      </c>
      <c r="J38" s="323" t="s">
        <v>4878</v>
      </c>
      <c r="K38" s="325" t="s">
        <v>4930</v>
      </c>
      <c r="L38" s="397"/>
      <c r="M38" s="397"/>
      <c r="N38" s="411"/>
      <c r="O38" s="323">
        <v>52</v>
      </c>
    </row>
    <row r="39" spans="2:15" ht="69.900000000000006" customHeight="1" x14ac:dyDescent="0.25">
      <c r="B39" s="323">
        <v>29</v>
      </c>
      <c r="C39" s="323">
        <v>3</v>
      </c>
      <c r="D39" s="323" t="s">
        <v>4933</v>
      </c>
      <c r="E39" s="357" t="s">
        <v>4927</v>
      </c>
      <c r="F39" s="354">
        <v>12373213</v>
      </c>
      <c r="G39" s="368" t="s">
        <v>4641</v>
      </c>
      <c r="H39" s="323" t="s">
        <v>4934</v>
      </c>
      <c r="I39" s="323" t="s">
        <v>4929</v>
      </c>
      <c r="J39" s="323" t="s">
        <v>4878</v>
      </c>
      <c r="K39" s="325" t="s">
        <v>4930</v>
      </c>
      <c r="L39" s="397"/>
      <c r="M39" s="397"/>
      <c r="N39" s="411"/>
      <c r="O39" s="323">
        <v>52</v>
      </c>
    </row>
    <row r="40" spans="2:15" ht="69.900000000000006" customHeight="1" x14ac:dyDescent="0.25">
      <c r="B40" s="323">
        <v>30</v>
      </c>
      <c r="C40" s="323">
        <v>3</v>
      </c>
      <c r="D40" s="323" t="s">
        <v>4935</v>
      </c>
      <c r="E40" s="357" t="s">
        <v>4927</v>
      </c>
      <c r="F40" s="354">
        <v>8896000</v>
      </c>
      <c r="G40" s="368" t="s">
        <v>4641</v>
      </c>
      <c r="H40" s="323" t="s">
        <v>4936</v>
      </c>
      <c r="I40" s="323" t="s">
        <v>4929</v>
      </c>
      <c r="J40" s="323" t="s">
        <v>4878</v>
      </c>
      <c r="K40" s="325" t="s">
        <v>4930</v>
      </c>
      <c r="L40" s="397"/>
      <c r="M40" s="397"/>
      <c r="N40" s="411"/>
      <c r="O40" s="323">
        <v>52</v>
      </c>
    </row>
    <row r="41" spans="2:15" ht="69.900000000000006" customHeight="1" x14ac:dyDescent="0.25">
      <c r="B41" s="323">
        <v>31</v>
      </c>
      <c r="C41" s="323">
        <v>3</v>
      </c>
      <c r="D41" s="323" t="s">
        <v>4937</v>
      </c>
      <c r="E41" s="357" t="s">
        <v>4927</v>
      </c>
      <c r="F41" s="354">
        <v>12075000</v>
      </c>
      <c r="G41" s="368" t="s">
        <v>4641</v>
      </c>
      <c r="H41" s="323" t="s">
        <v>4938</v>
      </c>
      <c r="I41" s="323" t="s">
        <v>4929</v>
      </c>
      <c r="J41" s="323" t="s">
        <v>4878</v>
      </c>
      <c r="K41" s="325" t="s">
        <v>4930</v>
      </c>
      <c r="L41" s="397"/>
      <c r="M41" s="397"/>
      <c r="N41" s="411"/>
      <c r="O41" s="323">
        <v>52</v>
      </c>
    </row>
    <row r="42" spans="2:15" ht="69.900000000000006" customHeight="1" x14ac:dyDescent="0.25">
      <c r="B42" s="323">
        <v>32</v>
      </c>
      <c r="C42" s="323">
        <v>3</v>
      </c>
      <c r="D42" s="323" t="s">
        <v>4939</v>
      </c>
      <c r="E42" s="357" t="s">
        <v>4927</v>
      </c>
      <c r="F42" s="354">
        <v>1890000</v>
      </c>
      <c r="G42" s="368" t="s">
        <v>4641</v>
      </c>
      <c r="H42" s="323" t="s">
        <v>4940</v>
      </c>
      <c r="I42" s="323" t="s">
        <v>4929</v>
      </c>
      <c r="J42" s="323" t="s">
        <v>4878</v>
      </c>
      <c r="K42" s="325" t="s">
        <v>4930</v>
      </c>
      <c r="L42" s="397"/>
      <c r="M42" s="397"/>
      <c r="N42" s="411"/>
      <c r="O42" s="323">
        <v>52</v>
      </c>
    </row>
    <row r="43" spans="2:15" ht="69.900000000000006" customHeight="1" x14ac:dyDescent="0.25">
      <c r="B43" s="323">
        <v>33</v>
      </c>
      <c r="C43" s="323">
        <v>3</v>
      </c>
      <c r="D43" s="323" t="s">
        <v>4941</v>
      </c>
      <c r="E43" s="357" t="s">
        <v>4927</v>
      </c>
      <c r="F43" s="354">
        <v>18269500</v>
      </c>
      <c r="G43" s="368" t="s">
        <v>4641</v>
      </c>
      <c r="H43" s="323" t="s">
        <v>4942</v>
      </c>
      <c r="I43" s="323" t="s">
        <v>4929</v>
      </c>
      <c r="J43" s="323" t="s">
        <v>4878</v>
      </c>
      <c r="K43" s="325" t="s">
        <v>4930</v>
      </c>
      <c r="L43" s="397"/>
      <c r="M43" s="397"/>
      <c r="N43" s="411"/>
      <c r="O43" s="323">
        <v>52</v>
      </c>
    </row>
    <row r="44" spans="2:15" ht="69.900000000000006" customHeight="1" x14ac:dyDescent="0.25">
      <c r="B44" s="323">
        <v>34</v>
      </c>
      <c r="C44" s="323">
        <v>3</v>
      </c>
      <c r="D44" s="323" t="s">
        <v>4943</v>
      </c>
      <c r="E44" s="357" t="s">
        <v>4927</v>
      </c>
      <c r="F44" s="354">
        <v>21022422</v>
      </c>
      <c r="G44" s="368" t="s">
        <v>4641</v>
      </c>
      <c r="H44" s="323" t="s">
        <v>4944</v>
      </c>
      <c r="I44" s="323" t="s">
        <v>4929</v>
      </c>
      <c r="J44" s="323" t="s">
        <v>4878</v>
      </c>
      <c r="K44" s="325" t="s">
        <v>4930</v>
      </c>
      <c r="L44" s="397"/>
      <c r="M44" s="397"/>
      <c r="N44" s="411"/>
      <c r="O44" s="323">
        <v>52</v>
      </c>
    </row>
    <row r="45" spans="2:15" ht="69.900000000000006" customHeight="1" x14ac:dyDescent="0.25">
      <c r="B45" s="323">
        <v>44</v>
      </c>
      <c r="C45" s="323">
        <v>4</v>
      </c>
      <c r="D45" s="323" t="s">
        <v>4948</v>
      </c>
      <c r="E45" s="357" t="s">
        <v>4949</v>
      </c>
      <c r="F45" s="354">
        <v>830060208</v>
      </c>
      <c r="G45" s="370" t="s">
        <v>4878</v>
      </c>
      <c r="H45" s="324" t="s">
        <v>4950</v>
      </c>
      <c r="I45" s="323" t="s">
        <v>4951</v>
      </c>
      <c r="J45" s="323" t="s">
        <v>4878</v>
      </c>
      <c r="K45" s="325" t="s">
        <v>4952</v>
      </c>
      <c r="L45" s="397" t="s">
        <v>542</v>
      </c>
      <c r="M45" s="397" t="s">
        <v>5184</v>
      </c>
      <c r="N45" s="411" t="s">
        <v>5374</v>
      </c>
      <c r="O45" s="323">
        <v>52</v>
      </c>
    </row>
    <row r="46" spans="2:15" ht="69.900000000000006" customHeight="1" x14ac:dyDescent="0.25">
      <c r="B46" s="323">
        <v>45</v>
      </c>
      <c r="C46" s="323">
        <v>4</v>
      </c>
      <c r="D46" s="323" t="s">
        <v>4953</v>
      </c>
      <c r="E46" s="357" t="s">
        <v>4954</v>
      </c>
      <c r="F46" s="354">
        <v>5925000</v>
      </c>
      <c r="G46" s="370" t="s">
        <v>4878</v>
      </c>
      <c r="H46" s="324" t="s">
        <v>4955</v>
      </c>
      <c r="I46" s="323" t="s">
        <v>4949</v>
      </c>
      <c r="J46" s="323" t="s">
        <v>4878</v>
      </c>
      <c r="K46" s="325" t="s">
        <v>4956</v>
      </c>
      <c r="L46" s="397" t="s">
        <v>542</v>
      </c>
      <c r="M46" s="397" t="s">
        <v>5184</v>
      </c>
      <c r="N46" s="411" t="s">
        <v>5374</v>
      </c>
      <c r="O46" s="323">
        <v>52</v>
      </c>
    </row>
    <row r="47" spans="2:15" ht="69.900000000000006" customHeight="1" x14ac:dyDescent="0.25">
      <c r="B47" s="323">
        <v>46</v>
      </c>
      <c r="C47" s="323">
        <v>4</v>
      </c>
      <c r="D47" s="323" t="s">
        <v>4957</v>
      </c>
      <c r="E47" s="357" t="s">
        <v>4954</v>
      </c>
      <c r="F47" s="354">
        <v>5925000</v>
      </c>
      <c r="G47" s="370" t="s">
        <v>4878</v>
      </c>
      <c r="H47" s="324" t="s">
        <v>4958</v>
      </c>
      <c r="I47" s="323" t="s">
        <v>4949</v>
      </c>
      <c r="J47" s="323" t="s">
        <v>4878</v>
      </c>
      <c r="K47" s="325" t="s">
        <v>4959</v>
      </c>
      <c r="L47" s="397" t="s">
        <v>542</v>
      </c>
      <c r="M47" s="397" t="s">
        <v>5184</v>
      </c>
      <c r="N47" s="411" t="s">
        <v>5374</v>
      </c>
      <c r="O47" s="323">
        <v>52</v>
      </c>
    </row>
    <row r="48" spans="2:15" ht="69.900000000000006" customHeight="1" x14ac:dyDescent="0.25">
      <c r="B48" s="323">
        <v>47</v>
      </c>
      <c r="C48" s="323">
        <v>4</v>
      </c>
      <c r="D48" s="319" t="s">
        <v>4978</v>
      </c>
      <c r="E48" s="358" t="s">
        <v>4977</v>
      </c>
      <c r="F48" s="320">
        <v>577980144</v>
      </c>
      <c r="G48" s="370" t="s">
        <v>4878</v>
      </c>
      <c r="H48" s="319" t="s">
        <v>4987</v>
      </c>
      <c r="I48" s="319" t="s">
        <v>4976</v>
      </c>
      <c r="J48" s="319" t="s">
        <v>4878</v>
      </c>
      <c r="K48" s="322" t="s">
        <v>4988</v>
      </c>
      <c r="L48" s="397" t="s">
        <v>542</v>
      </c>
      <c r="M48" s="397" t="s">
        <v>5184</v>
      </c>
      <c r="N48" s="411" t="s">
        <v>5374</v>
      </c>
      <c r="O48" s="323">
        <v>52</v>
      </c>
    </row>
    <row r="49" spans="2:15" ht="69.900000000000006" customHeight="1" x14ac:dyDescent="0.25">
      <c r="B49" s="323">
        <v>48</v>
      </c>
      <c r="C49" s="323">
        <v>4</v>
      </c>
      <c r="D49" s="353" t="s">
        <v>5008</v>
      </c>
      <c r="E49" s="359" t="s">
        <v>5009</v>
      </c>
      <c r="F49" s="354">
        <v>11850000</v>
      </c>
      <c r="G49" s="370" t="s">
        <v>4878</v>
      </c>
      <c r="H49" s="353" t="s">
        <v>5010</v>
      </c>
      <c r="I49" s="353" t="s">
        <v>5011</v>
      </c>
      <c r="J49" s="353" t="s">
        <v>4878</v>
      </c>
      <c r="K49" s="355" t="s">
        <v>5012</v>
      </c>
      <c r="L49" s="397" t="s">
        <v>542</v>
      </c>
      <c r="M49" s="397" t="s">
        <v>5184</v>
      </c>
      <c r="N49" s="411" t="s">
        <v>5374</v>
      </c>
      <c r="O49" s="323">
        <v>52</v>
      </c>
    </row>
    <row r="50" spans="2:15" ht="69.900000000000006" customHeight="1" x14ac:dyDescent="0.25">
      <c r="B50" s="323">
        <v>49</v>
      </c>
      <c r="C50" s="323">
        <v>4</v>
      </c>
      <c r="D50" s="353" t="s">
        <v>5019</v>
      </c>
      <c r="E50" s="359" t="s">
        <v>5009</v>
      </c>
      <c r="F50" s="354">
        <v>11850000</v>
      </c>
      <c r="G50" s="370" t="s">
        <v>4878</v>
      </c>
      <c r="H50" s="353" t="s">
        <v>5020</v>
      </c>
      <c r="I50" s="353" t="s">
        <v>5011</v>
      </c>
      <c r="J50" s="353" t="s">
        <v>4878</v>
      </c>
      <c r="K50" s="355" t="s">
        <v>5021</v>
      </c>
      <c r="L50" s="397" t="s">
        <v>542</v>
      </c>
      <c r="M50" s="397" t="s">
        <v>5184</v>
      </c>
      <c r="N50" s="411" t="s">
        <v>5374</v>
      </c>
      <c r="O50" s="323">
        <v>52</v>
      </c>
    </row>
    <row r="51" spans="2:15" ht="69.900000000000006" customHeight="1" x14ac:dyDescent="0.25">
      <c r="B51" s="323">
        <v>50</v>
      </c>
      <c r="C51" s="323">
        <v>4</v>
      </c>
      <c r="D51" s="319" t="s">
        <v>5134</v>
      </c>
      <c r="E51" s="358" t="s">
        <v>5121</v>
      </c>
      <c r="F51" s="320">
        <v>5925000</v>
      </c>
      <c r="G51" s="370" t="s">
        <v>4878</v>
      </c>
      <c r="H51" s="319" t="s">
        <v>5135</v>
      </c>
      <c r="I51" s="319" t="s">
        <v>5123</v>
      </c>
      <c r="J51" s="319" t="s">
        <v>4878</v>
      </c>
      <c r="K51" s="322" t="s">
        <v>5136</v>
      </c>
      <c r="L51" s="397" t="s">
        <v>542</v>
      </c>
      <c r="M51" s="397" t="s">
        <v>5184</v>
      </c>
      <c r="N51" s="411" t="s">
        <v>5374</v>
      </c>
      <c r="O51" s="323">
        <v>52</v>
      </c>
    </row>
    <row r="52" spans="2:15" ht="69.900000000000006" customHeight="1" x14ac:dyDescent="0.25">
      <c r="B52" s="323">
        <v>51</v>
      </c>
      <c r="C52" s="323">
        <v>4</v>
      </c>
      <c r="D52" s="353" t="s">
        <v>5016</v>
      </c>
      <c r="E52" s="359" t="s">
        <v>5009</v>
      </c>
      <c r="F52" s="354">
        <v>17775000</v>
      </c>
      <c r="G52" s="370" t="s">
        <v>4878</v>
      </c>
      <c r="H52" s="353" t="s">
        <v>5017</v>
      </c>
      <c r="I52" s="353" t="s">
        <v>5011</v>
      </c>
      <c r="J52" s="353" t="s">
        <v>4878</v>
      </c>
      <c r="K52" s="355" t="s">
        <v>5018</v>
      </c>
      <c r="L52" s="397" t="s">
        <v>542</v>
      </c>
      <c r="M52" s="397" t="s">
        <v>5184</v>
      </c>
      <c r="N52" s="411" t="s">
        <v>5374</v>
      </c>
      <c r="O52" s="323">
        <v>52</v>
      </c>
    </row>
    <row r="53" spans="2:15" ht="69.900000000000006" customHeight="1" x14ac:dyDescent="0.25">
      <c r="B53" s="323">
        <v>52</v>
      </c>
      <c r="C53" s="323">
        <v>4</v>
      </c>
      <c r="D53" s="353" t="s">
        <v>5013</v>
      </c>
      <c r="E53" s="359" t="s">
        <v>5009</v>
      </c>
      <c r="F53" s="354">
        <v>11850000</v>
      </c>
      <c r="G53" s="370" t="s">
        <v>4878</v>
      </c>
      <c r="H53" s="353" t="s">
        <v>5014</v>
      </c>
      <c r="I53" s="353" t="s">
        <v>5011</v>
      </c>
      <c r="J53" s="353" t="s">
        <v>4878</v>
      </c>
      <c r="K53" s="355" t="s">
        <v>5015</v>
      </c>
      <c r="L53" s="397" t="s">
        <v>542</v>
      </c>
      <c r="M53" s="397" t="s">
        <v>5184</v>
      </c>
      <c r="N53" s="411" t="s">
        <v>5374</v>
      </c>
      <c r="O53" s="323">
        <v>52</v>
      </c>
    </row>
    <row r="54" spans="2:15" ht="69.900000000000006" customHeight="1" x14ac:dyDescent="0.25">
      <c r="B54" s="323">
        <v>53</v>
      </c>
      <c r="C54" s="323">
        <v>4</v>
      </c>
      <c r="D54" s="353" t="s">
        <v>5022</v>
      </c>
      <c r="E54" s="359" t="s">
        <v>5009</v>
      </c>
      <c r="F54" s="354">
        <v>58805004</v>
      </c>
      <c r="G54" s="370" t="s">
        <v>4878</v>
      </c>
      <c r="H54" s="353" t="s">
        <v>5023</v>
      </c>
      <c r="I54" s="353" t="s">
        <v>5011</v>
      </c>
      <c r="J54" s="353" t="s">
        <v>4878</v>
      </c>
      <c r="K54" s="355" t="s">
        <v>5024</v>
      </c>
      <c r="L54" s="397" t="s">
        <v>542</v>
      </c>
      <c r="M54" s="397" t="s">
        <v>5184</v>
      </c>
      <c r="N54" s="411" t="s">
        <v>5374</v>
      </c>
      <c r="O54" s="323">
        <v>52</v>
      </c>
    </row>
    <row r="55" spans="2:15" ht="69.900000000000006" customHeight="1" x14ac:dyDescent="0.25">
      <c r="B55" s="323">
        <v>54</v>
      </c>
      <c r="C55" s="323">
        <v>4</v>
      </c>
      <c r="D55" s="319" t="s">
        <v>5137</v>
      </c>
      <c r="E55" s="358" t="s">
        <v>5121</v>
      </c>
      <c r="F55" s="320">
        <v>11850000</v>
      </c>
      <c r="G55" s="370" t="s">
        <v>4878</v>
      </c>
      <c r="H55" s="319" t="s">
        <v>5138</v>
      </c>
      <c r="I55" s="319" t="s">
        <v>5123</v>
      </c>
      <c r="J55" s="319" t="s">
        <v>4878</v>
      </c>
      <c r="K55" s="322" t="s">
        <v>5139</v>
      </c>
      <c r="L55" s="397" t="s">
        <v>542</v>
      </c>
      <c r="M55" s="397" t="s">
        <v>5184</v>
      </c>
      <c r="N55" s="411" t="s">
        <v>5374</v>
      </c>
      <c r="O55" s="323">
        <v>52</v>
      </c>
    </row>
    <row r="56" spans="2:15" ht="69.900000000000006" customHeight="1" x14ac:dyDescent="0.25">
      <c r="B56" s="323">
        <v>35</v>
      </c>
      <c r="C56" s="323">
        <v>4</v>
      </c>
      <c r="D56" s="319" t="s">
        <v>5081</v>
      </c>
      <c r="E56" s="358" t="s">
        <v>5082</v>
      </c>
      <c r="F56" s="320">
        <v>206653906</v>
      </c>
      <c r="G56" s="371" t="s">
        <v>5033</v>
      </c>
      <c r="H56" s="353" t="s">
        <v>5083</v>
      </c>
      <c r="I56" s="319" t="s">
        <v>4904</v>
      </c>
      <c r="J56" s="319" t="s">
        <v>4892</v>
      </c>
      <c r="K56" s="322" t="s">
        <v>5084</v>
      </c>
      <c r="L56" s="397" t="s">
        <v>576</v>
      </c>
      <c r="M56" s="397" t="s">
        <v>5185</v>
      </c>
      <c r="N56" s="411" t="s">
        <v>5375</v>
      </c>
      <c r="O56" s="323">
        <v>51</v>
      </c>
    </row>
    <row r="57" spans="2:15" ht="69.900000000000006" customHeight="1" x14ac:dyDescent="0.25">
      <c r="B57" s="323">
        <v>36</v>
      </c>
      <c r="C57" s="323">
        <v>4</v>
      </c>
      <c r="D57" s="319" t="s">
        <v>5059</v>
      </c>
      <c r="E57" s="358" t="s">
        <v>5060</v>
      </c>
      <c r="F57" s="320">
        <v>633328</v>
      </c>
      <c r="G57" s="371" t="s">
        <v>5061</v>
      </c>
      <c r="H57" s="353" t="s">
        <v>5062</v>
      </c>
      <c r="I57" s="319" t="s">
        <v>5060</v>
      </c>
      <c r="J57" s="319" t="s">
        <v>4878</v>
      </c>
      <c r="K57" s="322" t="s">
        <v>5063</v>
      </c>
      <c r="L57" s="397" t="s">
        <v>576</v>
      </c>
      <c r="M57" s="397" t="s">
        <v>5185</v>
      </c>
      <c r="N57" s="411" t="s">
        <v>5375</v>
      </c>
      <c r="O57" s="323">
        <v>51</v>
      </c>
    </row>
    <row r="58" spans="2:15" ht="69.900000000000006" customHeight="1" x14ac:dyDescent="0.25">
      <c r="B58" s="323">
        <v>37</v>
      </c>
      <c r="C58" s="323">
        <v>4</v>
      </c>
      <c r="D58" s="319" t="s">
        <v>5064</v>
      </c>
      <c r="E58" s="358" t="s">
        <v>5060</v>
      </c>
      <c r="F58" s="320">
        <v>3233276</v>
      </c>
      <c r="G58" s="371" t="s">
        <v>5065</v>
      </c>
      <c r="H58" s="353" t="s">
        <v>5066</v>
      </c>
      <c r="I58" s="319" t="s">
        <v>5060</v>
      </c>
      <c r="J58" s="319" t="s">
        <v>4878</v>
      </c>
      <c r="K58" s="322" t="s">
        <v>5067</v>
      </c>
      <c r="L58" s="397" t="s">
        <v>576</v>
      </c>
      <c r="M58" s="397" t="s">
        <v>5185</v>
      </c>
      <c r="N58" s="411" t="s">
        <v>5375</v>
      </c>
      <c r="O58" s="323">
        <v>51</v>
      </c>
    </row>
    <row r="59" spans="2:15" ht="69.900000000000006" customHeight="1" x14ac:dyDescent="0.25">
      <c r="B59" s="323">
        <v>38</v>
      </c>
      <c r="C59" s="323">
        <v>4</v>
      </c>
      <c r="D59" s="319" t="s">
        <v>5053</v>
      </c>
      <c r="E59" s="358" t="s">
        <v>5048</v>
      </c>
      <c r="F59" s="320">
        <v>595000</v>
      </c>
      <c r="G59" s="371" t="s">
        <v>5049</v>
      </c>
      <c r="H59" s="353" t="s">
        <v>5054</v>
      </c>
      <c r="I59" s="319" t="s">
        <v>5051</v>
      </c>
      <c r="J59" s="319" t="s">
        <v>4878</v>
      </c>
      <c r="K59" s="322" t="s">
        <v>5055</v>
      </c>
      <c r="L59" s="397" t="s">
        <v>576</v>
      </c>
      <c r="M59" s="397" t="s">
        <v>5185</v>
      </c>
      <c r="N59" s="411" t="s">
        <v>5375</v>
      </c>
      <c r="O59" s="323">
        <v>51</v>
      </c>
    </row>
    <row r="60" spans="2:15" ht="69.900000000000006" customHeight="1" x14ac:dyDescent="0.25">
      <c r="B60" s="323">
        <v>39</v>
      </c>
      <c r="C60" s="323">
        <v>4</v>
      </c>
      <c r="D60" s="319" t="s">
        <v>5056</v>
      </c>
      <c r="E60" s="358" t="s">
        <v>5048</v>
      </c>
      <c r="F60" s="320">
        <v>239665141</v>
      </c>
      <c r="G60" s="371" t="s">
        <v>4878</v>
      </c>
      <c r="H60" s="353" t="s">
        <v>5057</v>
      </c>
      <c r="I60" s="319" t="s">
        <v>5051</v>
      </c>
      <c r="J60" s="319" t="s">
        <v>4878</v>
      </c>
      <c r="K60" s="322" t="s">
        <v>5058</v>
      </c>
      <c r="L60" s="397" t="s">
        <v>576</v>
      </c>
      <c r="M60" s="397" t="s">
        <v>5185</v>
      </c>
      <c r="N60" s="411" t="s">
        <v>5375</v>
      </c>
      <c r="O60" s="323">
        <v>51</v>
      </c>
    </row>
    <row r="61" spans="2:15" ht="69.900000000000006" customHeight="1" x14ac:dyDescent="0.25">
      <c r="B61" s="323">
        <v>40</v>
      </c>
      <c r="C61" s="323">
        <v>4</v>
      </c>
      <c r="D61" s="319" t="s">
        <v>5047</v>
      </c>
      <c r="E61" s="358" t="s">
        <v>5048</v>
      </c>
      <c r="F61" s="320">
        <v>26735000</v>
      </c>
      <c r="G61" s="371" t="s">
        <v>5049</v>
      </c>
      <c r="H61" s="353" t="s">
        <v>5050</v>
      </c>
      <c r="I61" s="319" t="s">
        <v>5051</v>
      </c>
      <c r="J61" s="319" t="s">
        <v>4878</v>
      </c>
      <c r="K61" s="322" t="s">
        <v>5052</v>
      </c>
      <c r="L61" s="397" t="s">
        <v>576</v>
      </c>
      <c r="M61" s="397" t="s">
        <v>5185</v>
      </c>
      <c r="N61" s="411" t="s">
        <v>5375</v>
      </c>
      <c r="O61" s="323">
        <v>51</v>
      </c>
    </row>
    <row r="62" spans="2:15" ht="69.900000000000006" customHeight="1" x14ac:dyDescent="0.25">
      <c r="B62" s="323">
        <v>41</v>
      </c>
      <c r="C62" s="323">
        <v>4</v>
      </c>
      <c r="D62" s="319" t="s">
        <v>5044</v>
      </c>
      <c r="E62" s="358" t="s">
        <v>4977</v>
      </c>
      <c r="F62" s="320">
        <v>208979992</v>
      </c>
      <c r="G62" s="371" t="s">
        <v>5041</v>
      </c>
      <c r="H62" s="353" t="s">
        <v>5045</v>
      </c>
      <c r="I62" s="319" t="s">
        <v>4976</v>
      </c>
      <c r="J62" s="319" t="s">
        <v>4892</v>
      </c>
      <c r="K62" s="322" t="s">
        <v>5046</v>
      </c>
      <c r="L62" s="397" t="s">
        <v>576</v>
      </c>
      <c r="M62" s="397" t="s">
        <v>5185</v>
      </c>
      <c r="N62" s="411" t="s">
        <v>5375</v>
      </c>
      <c r="O62" s="323">
        <v>51</v>
      </c>
    </row>
    <row r="63" spans="2:15" ht="69.900000000000006" customHeight="1" x14ac:dyDescent="0.25">
      <c r="B63" s="323">
        <v>42</v>
      </c>
      <c r="C63" s="323">
        <v>4</v>
      </c>
      <c r="D63" s="319" t="s">
        <v>5040</v>
      </c>
      <c r="E63" s="358" t="s">
        <v>4977</v>
      </c>
      <c r="F63" s="320">
        <v>3233300</v>
      </c>
      <c r="G63" s="371" t="s">
        <v>5041</v>
      </c>
      <c r="H63" s="353" t="s">
        <v>5042</v>
      </c>
      <c r="I63" s="319" t="s">
        <v>4976</v>
      </c>
      <c r="J63" s="319" t="s">
        <v>4892</v>
      </c>
      <c r="K63" s="322" t="s">
        <v>5043</v>
      </c>
      <c r="L63" s="397" t="s">
        <v>576</v>
      </c>
      <c r="M63" s="397" t="s">
        <v>5185</v>
      </c>
      <c r="N63" s="411" t="s">
        <v>5375</v>
      </c>
      <c r="O63" s="323">
        <v>51</v>
      </c>
    </row>
    <row r="64" spans="2:15" ht="69.900000000000006" customHeight="1" x14ac:dyDescent="0.25">
      <c r="B64" s="323">
        <v>43</v>
      </c>
      <c r="C64" s="323">
        <v>4</v>
      </c>
      <c r="D64" s="319" t="s">
        <v>5036</v>
      </c>
      <c r="E64" s="358" t="s">
        <v>5011</v>
      </c>
      <c r="F64" s="320">
        <v>121465086</v>
      </c>
      <c r="G64" s="371" t="s">
        <v>5037</v>
      </c>
      <c r="H64" s="353" t="s">
        <v>5038</v>
      </c>
      <c r="I64" s="319" t="s">
        <v>4977</v>
      </c>
      <c r="J64" s="319" t="s">
        <v>4878</v>
      </c>
      <c r="K64" s="322" t="s">
        <v>5039</v>
      </c>
      <c r="L64" s="397" t="s">
        <v>576</v>
      </c>
      <c r="M64" s="397" t="s">
        <v>5185</v>
      </c>
      <c r="N64" s="411" t="s">
        <v>5375</v>
      </c>
      <c r="O64" s="323">
        <v>51</v>
      </c>
    </row>
    <row r="65" spans="2:15" ht="69.900000000000006" customHeight="1" x14ac:dyDescent="0.25">
      <c r="B65" s="323">
        <v>55</v>
      </c>
      <c r="C65" s="323">
        <v>4</v>
      </c>
      <c r="D65" s="323" t="s">
        <v>4922</v>
      </c>
      <c r="E65" s="357" t="s">
        <v>4923</v>
      </c>
      <c r="F65" s="354">
        <f>6840000+360000</f>
        <v>7200000</v>
      </c>
      <c r="G65" s="367" t="s">
        <v>4878</v>
      </c>
      <c r="H65" s="323" t="s">
        <v>4924</v>
      </c>
      <c r="I65" s="323" t="s">
        <v>4923</v>
      </c>
      <c r="J65" s="323" t="s">
        <v>4878</v>
      </c>
      <c r="K65" s="325" t="s">
        <v>4925</v>
      </c>
      <c r="L65" s="397" t="s">
        <v>535</v>
      </c>
      <c r="M65" s="397" t="s">
        <v>5217</v>
      </c>
      <c r="N65" s="411"/>
      <c r="O65" s="323">
        <v>52</v>
      </c>
    </row>
    <row r="66" spans="2:15" ht="69.900000000000006" customHeight="1" x14ac:dyDescent="0.25">
      <c r="B66" s="323">
        <v>56</v>
      </c>
      <c r="C66" s="323">
        <v>4</v>
      </c>
      <c r="D66" s="323" t="s">
        <v>4945</v>
      </c>
      <c r="E66" s="357" t="s">
        <v>4923</v>
      </c>
      <c r="F66" s="354">
        <v>63640000</v>
      </c>
      <c r="G66" s="366" t="s">
        <v>4875</v>
      </c>
      <c r="H66" s="324" t="s">
        <v>4946</v>
      </c>
      <c r="I66" s="323" t="s">
        <v>4923</v>
      </c>
      <c r="J66" s="323" t="s">
        <v>4878</v>
      </c>
      <c r="K66" s="325" t="s">
        <v>4947</v>
      </c>
      <c r="L66" s="397" t="s">
        <v>576</v>
      </c>
      <c r="M66" s="397" t="s">
        <v>5183</v>
      </c>
      <c r="N66" s="411" t="s">
        <v>5376</v>
      </c>
      <c r="O66" s="323">
        <v>52</v>
      </c>
    </row>
    <row r="67" spans="2:15" ht="69.900000000000006" customHeight="1" x14ac:dyDescent="0.25">
      <c r="B67" s="323">
        <v>57</v>
      </c>
      <c r="C67" s="323">
        <v>4</v>
      </c>
      <c r="D67" s="323" t="s">
        <v>4960</v>
      </c>
      <c r="E67" s="357" t="s">
        <v>4954</v>
      </c>
      <c r="F67" s="354">
        <v>6060000</v>
      </c>
      <c r="G67" s="367" t="s">
        <v>4878</v>
      </c>
      <c r="H67" s="324" t="s">
        <v>4961</v>
      </c>
      <c r="I67" s="323" t="s">
        <v>4949</v>
      </c>
      <c r="J67" s="323" t="s">
        <v>4878</v>
      </c>
      <c r="K67" s="325" t="s">
        <v>4962</v>
      </c>
      <c r="L67" s="397" t="s">
        <v>531</v>
      </c>
      <c r="M67" s="397" t="s">
        <v>5218</v>
      </c>
      <c r="N67" s="411"/>
      <c r="O67" s="323">
        <v>52</v>
      </c>
    </row>
    <row r="68" spans="2:15" ht="69.900000000000006" customHeight="1" x14ac:dyDescent="0.25">
      <c r="B68" s="323">
        <v>58</v>
      </c>
      <c r="C68" s="323">
        <v>4</v>
      </c>
      <c r="D68" s="323" t="s">
        <v>4963</v>
      </c>
      <c r="E68" s="357" t="s">
        <v>4954</v>
      </c>
      <c r="F68" s="354">
        <v>1800000</v>
      </c>
      <c r="G68" s="367" t="s">
        <v>4878</v>
      </c>
      <c r="H68" s="324" t="s">
        <v>4964</v>
      </c>
      <c r="I68" s="323" t="s">
        <v>4949</v>
      </c>
      <c r="J68" s="323" t="s">
        <v>4878</v>
      </c>
      <c r="K68" s="325" t="s">
        <v>4965</v>
      </c>
      <c r="L68" s="397" t="s">
        <v>531</v>
      </c>
      <c r="M68" s="397" t="s">
        <v>5219</v>
      </c>
      <c r="N68" s="411"/>
      <c r="O68" s="323">
        <v>52</v>
      </c>
    </row>
    <row r="69" spans="2:15" ht="69.900000000000006" customHeight="1" x14ac:dyDescent="0.25">
      <c r="B69" s="323">
        <v>59</v>
      </c>
      <c r="C69" s="323">
        <v>4</v>
      </c>
      <c r="D69" s="323" t="s">
        <v>4966</v>
      </c>
      <c r="E69" s="357" t="s">
        <v>4954</v>
      </c>
      <c r="F69" s="354">
        <v>6320000</v>
      </c>
      <c r="G69" s="367" t="s">
        <v>4878</v>
      </c>
      <c r="H69" s="324" t="s">
        <v>4967</v>
      </c>
      <c r="I69" s="323" t="s">
        <v>4949</v>
      </c>
      <c r="J69" s="323" t="s">
        <v>4878</v>
      </c>
      <c r="K69" s="325" t="s">
        <v>4968</v>
      </c>
      <c r="L69" s="397" t="s">
        <v>535</v>
      </c>
      <c r="M69" s="397" t="s">
        <v>5220</v>
      </c>
      <c r="N69" s="411"/>
      <c r="O69" s="323">
        <v>52</v>
      </c>
    </row>
    <row r="70" spans="2:15" ht="69.900000000000006" customHeight="1" x14ac:dyDescent="0.25">
      <c r="B70" s="323">
        <v>60</v>
      </c>
      <c r="C70" s="323">
        <v>4</v>
      </c>
      <c r="D70" s="323" t="s">
        <v>4969</v>
      </c>
      <c r="E70" s="357" t="s">
        <v>4954</v>
      </c>
      <c r="F70" s="354">
        <v>3570000</v>
      </c>
      <c r="G70" s="367" t="s">
        <v>4878</v>
      </c>
      <c r="H70" s="324" t="s">
        <v>4970</v>
      </c>
      <c r="I70" s="323" t="s">
        <v>4949</v>
      </c>
      <c r="J70" s="323" t="s">
        <v>4878</v>
      </c>
      <c r="K70" s="325" t="s">
        <v>4971</v>
      </c>
      <c r="L70" s="397" t="s">
        <v>542</v>
      </c>
      <c r="M70" s="397" t="s">
        <v>5184</v>
      </c>
      <c r="N70" s="411"/>
      <c r="O70" s="323">
        <v>52</v>
      </c>
    </row>
    <row r="71" spans="2:15" ht="69.900000000000006" customHeight="1" x14ac:dyDescent="0.25">
      <c r="B71" s="323">
        <v>61</v>
      </c>
      <c r="C71" s="323">
        <v>4</v>
      </c>
      <c r="D71" s="323" t="s">
        <v>4972</v>
      </c>
      <c r="E71" s="357" t="s">
        <v>4954</v>
      </c>
      <c r="F71" s="354">
        <v>1040000</v>
      </c>
      <c r="G71" s="367" t="s">
        <v>4878</v>
      </c>
      <c r="H71" s="324" t="s">
        <v>4973</v>
      </c>
      <c r="I71" s="323" t="s">
        <v>4949</v>
      </c>
      <c r="J71" s="323" t="s">
        <v>4878</v>
      </c>
      <c r="K71" s="325" t="s">
        <v>4974</v>
      </c>
      <c r="L71" s="397" t="s">
        <v>531</v>
      </c>
      <c r="M71" s="397" t="s">
        <v>5219</v>
      </c>
      <c r="N71" s="411"/>
      <c r="O71" s="323">
        <v>52</v>
      </c>
    </row>
    <row r="72" spans="2:15" ht="69.900000000000006" customHeight="1" x14ac:dyDescent="0.25">
      <c r="B72" s="323">
        <v>62</v>
      </c>
      <c r="C72" s="323">
        <v>4</v>
      </c>
      <c r="D72" s="319" t="s">
        <v>4975</v>
      </c>
      <c r="E72" s="358" t="s">
        <v>4977</v>
      </c>
      <c r="F72" s="320">
        <v>8760000</v>
      </c>
      <c r="G72" s="367" t="s">
        <v>4878</v>
      </c>
      <c r="H72" s="319" t="s">
        <v>4985</v>
      </c>
      <c r="I72" s="319" t="s">
        <v>4976</v>
      </c>
      <c r="J72" s="319" t="s">
        <v>4878</v>
      </c>
      <c r="K72" s="322" t="s">
        <v>4986</v>
      </c>
      <c r="L72" s="397" t="s">
        <v>542</v>
      </c>
      <c r="M72" s="397" t="s">
        <v>5221</v>
      </c>
      <c r="N72" s="411"/>
      <c r="O72" s="323">
        <v>52</v>
      </c>
    </row>
    <row r="73" spans="2:15" ht="69.900000000000006" customHeight="1" x14ac:dyDescent="0.25">
      <c r="B73" s="323">
        <v>63</v>
      </c>
      <c r="C73" s="323">
        <v>4</v>
      </c>
      <c r="D73" s="319" t="s">
        <v>4982</v>
      </c>
      <c r="E73" s="358" t="s">
        <v>4977</v>
      </c>
      <c r="F73" s="320">
        <v>4980000</v>
      </c>
      <c r="G73" s="367" t="s">
        <v>4878</v>
      </c>
      <c r="H73" s="319" t="s">
        <v>4995</v>
      </c>
      <c r="I73" s="319" t="s">
        <v>4976</v>
      </c>
      <c r="J73" s="319" t="s">
        <v>4878</v>
      </c>
      <c r="K73" s="322" t="s">
        <v>4996</v>
      </c>
      <c r="L73" s="397" t="s">
        <v>542</v>
      </c>
      <c r="M73" s="397" t="s">
        <v>5221</v>
      </c>
      <c r="N73" s="411"/>
      <c r="O73" s="323">
        <v>52</v>
      </c>
    </row>
    <row r="74" spans="2:15" ht="69.900000000000006" customHeight="1" x14ac:dyDescent="0.25">
      <c r="B74" s="323">
        <v>64</v>
      </c>
      <c r="C74" s="323">
        <v>4</v>
      </c>
      <c r="D74" s="319" t="s">
        <v>4979</v>
      </c>
      <c r="E74" s="358" t="s">
        <v>4977</v>
      </c>
      <c r="F74" s="320">
        <v>34977460</v>
      </c>
      <c r="G74" s="367" t="s">
        <v>4878</v>
      </c>
      <c r="H74" s="319" t="s">
        <v>4989</v>
      </c>
      <c r="I74" s="319" t="s">
        <v>4976</v>
      </c>
      <c r="J74" s="319" t="s">
        <v>4878</v>
      </c>
      <c r="K74" s="322" t="s">
        <v>4990</v>
      </c>
      <c r="L74" s="397" t="s">
        <v>576</v>
      </c>
      <c r="M74" s="397" t="s">
        <v>5183</v>
      </c>
      <c r="N74" s="411"/>
      <c r="O74" s="323">
        <v>52</v>
      </c>
    </row>
    <row r="75" spans="2:15" ht="69.900000000000006" customHeight="1" x14ac:dyDescent="0.25">
      <c r="B75" s="323">
        <v>65</v>
      </c>
      <c r="C75" s="323">
        <v>4</v>
      </c>
      <c r="D75" s="319" t="s">
        <v>4980</v>
      </c>
      <c r="E75" s="358" t="s">
        <v>4977</v>
      </c>
      <c r="F75" s="320">
        <v>5656000</v>
      </c>
      <c r="G75" s="367" t="s">
        <v>4878</v>
      </c>
      <c r="H75" s="319" t="s">
        <v>4991</v>
      </c>
      <c r="I75" s="319" t="s">
        <v>4976</v>
      </c>
      <c r="J75" s="319" t="s">
        <v>4878</v>
      </c>
      <c r="K75" s="322" t="s">
        <v>4992</v>
      </c>
      <c r="L75" s="397" t="s">
        <v>531</v>
      </c>
      <c r="M75" s="397" t="s">
        <v>5218</v>
      </c>
      <c r="N75" s="411"/>
      <c r="O75" s="323">
        <v>52</v>
      </c>
    </row>
    <row r="76" spans="2:15" ht="69.900000000000006" customHeight="1" x14ac:dyDescent="0.25">
      <c r="B76" s="323">
        <v>66</v>
      </c>
      <c r="C76" s="323">
        <v>4</v>
      </c>
      <c r="D76" s="319" t="s">
        <v>5001</v>
      </c>
      <c r="E76" s="358" t="s">
        <v>4977</v>
      </c>
      <c r="F76" s="320">
        <v>6180000</v>
      </c>
      <c r="G76" s="367" t="s">
        <v>4878</v>
      </c>
      <c r="H76" s="319" t="s">
        <v>5003</v>
      </c>
      <c r="I76" s="319" t="s">
        <v>4976</v>
      </c>
      <c r="J76" s="319" t="s">
        <v>4878</v>
      </c>
      <c r="K76" s="322" t="s">
        <v>5004</v>
      </c>
      <c r="L76" s="397" t="s">
        <v>535</v>
      </c>
      <c r="M76" s="397" t="s">
        <v>5217</v>
      </c>
      <c r="N76" s="411"/>
      <c r="O76" s="323">
        <v>52</v>
      </c>
    </row>
    <row r="77" spans="2:15" ht="69.900000000000006" customHeight="1" x14ac:dyDescent="0.25">
      <c r="B77" s="323">
        <v>67</v>
      </c>
      <c r="C77" s="323">
        <v>4</v>
      </c>
      <c r="D77" s="319" t="s">
        <v>4981</v>
      </c>
      <c r="E77" s="358" t="s">
        <v>4977</v>
      </c>
      <c r="F77" s="320">
        <v>5900000</v>
      </c>
      <c r="G77" s="367" t="s">
        <v>4878</v>
      </c>
      <c r="H77" s="319" t="s">
        <v>4993</v>
      </c>
      <c r="I77" s="319" t="s">
        <v>4976</v>
      </c>
      <c r="J77" s="319" t="s">
        <v>4878</v>
      </c>
      <c r="K77" s="322" t="s">
        <v>4994</v>
      </c>
      <c r="L77" s="397" t="s">
        <v>542</v>
      </c>
      <c r="M77" s="397" t="s">
        <v>5184</v>
      </c>
      <c r="N77" s="411"/>
      <c r="O77" s="323">
        <v>52</v>
      </c>
    </row>
    <row r="78" spans="2:15" ht="69.900000000000006" customHeight="1" x14ac:dyDescent="0.25">
      <c r="B78" s="323">
        <v>68</v>
      </c>
      <c r="C78" s="323">
        <v>4</v>
      </c>
      <c r="D78" s="319" t="s">
        <v>4983</v>
      </c>
      <c r="E78" s="358" t="s">
        <v>4977</v>
      </c>
      <c r="F78" s="320">
        <v>6330000</v>
      </c>
      <c r="G78" s="367" t="s">
        <v>4878</v>
      </c>
      <c r="H78" s="319" t="s">
        <v>4997</v>
      </c>
      <c r="I78" s="319" t="s">
        <v>4976</v>
      </c>
      <c r="J78" s="319" t="s">
        <v>4878</v>
      </c>
      <c r="K78" s="322" t="s">
        <v>4998</v>
      </c>
      <c r="L78" s="397" t="s">
        <v>542</v>
      </c>
      <c r="M78" s="397" t="s">
        <v>5184</v>
      </c>
      <c r="N78" s="411"/>
      <c r="O78" s="323">
        <v>52</v>
      </c>
    </row>
    <row r="79" spans="2:15" ht="69.900000000000006" customHeight="1" x14ac:dyDescent="0.25">
      <c r="B79" s="323">
        <v>69</v>
      </c>
      <c r="C79" s="323">
        <v>4</v>
      </c>
      <c r="D79" s="319" t="s">
        <v>4984</v>
      </c>
      <c r="E79" s="358" t="s">
        <v>4977</v>
      </c>
      <c r="F79" s="320">
        <v>75325796</v>
      </c>
      <c r="G79" s="368" t="s">
        <v>4641</v>
      </c>
      <c r="H79" s="319" t="s">
        <v>4999</v>
      </c>
      <c r="I79" s="319" t="s">
        <v>4976</v>
      </c>
      <c r="J79" s="319" t="s">
        <v>4878</v>
      </c>
      <c r="K79" s="322" t="s">
        <v>5000</v>
      </c>
      <c r="L79" s="397"/>
      <c r="M79" s="397"/>
      <c r="N79" s="411"/>
      <c r="O79" s="323">
        <v>52</v>
      </c>
    </row>
    <row r="80" spans="2:15" ht="69.900000000000006" customHeight="1" x14ac:dyDescent="0.25">
      <c r="B80" s="323">
        <v>70</v>
      </c>
      <c r="C80" s="323">
        <v>4</v>
      </c>
      <c r="D80" s="319" t="s">
        <v>5002</v>
      </c>
      <c r="E80" s="358" t="s">
        <v>4977</v>
      </c>
      <c r="F80" s="320">
        <v>19929200</v>
      </c>
      <c r="G80" s="368" t="s">
        <v>4641</v>
      </c>
      <c r="H80" s="319" t="s">
        <v>5005</v>
      </c>
      <c r="I80" s="319" t="s">
        <v>4976</v>
      </c>
      <c r="J80" s="319" t="s">
        <v>4878</v>
      </c>
      <c r="K80" s="322" t="s">
        <v>5006</v>
      </c>
      <c r="L80" s="397"/>
      <c r="M80" s="397"/>
      <c r="N80" s="411"/>
      <c r="O80" s="323">
        <v>52</v>
      </c>
    </row>
    <row r="81" spans="2:15" ht="69.900000000000006" customHeight="1" x14ac:dyDescent="0.25">
      <c r="B81" s="323">
        <v>71</v>
      </c>
      <c r="C81" s="323">
        <v>4</v>
      </c>
      <c r="D81" s="319" t="s">
        <v>5172</v>
      </c>
      <c r="E81" s="358" t="s">
        <v>5142</v>
      </c>
      <c r="F81" s="354">
        <v>63640000</v>
      </c>
      <c r="G81" s="366" t="s">
        <v>5173</v>
      </c>
      <c r="H81" s="319" t="s">
        <v>5174</v>
      </c>
      <c r="I81" s="319" t="s">
        <v>5011</v>
      </c>
      <c r="J81" s="319" t="s">
        <v>4892</v>
      </c>
      <c r="K81" s="322" t="s">
        <v>5175</v>
      </c>
      <c r="L81" s="397" t="s">
        <v>576</v>
      </c>
      <c r="M81" s="397" t="s">
        <v>5183</v>
      </c>
      <c r="N81" s="411" t="s">
        <v>5376</v>
      </c>
      <c r="O81" s="323">
        <v>52</v>
      </c>
    </row>
    <row r="82" spans="2:15" ht="69.900000000000006" customHeight="1" x14ac:dyDescent="0.25">
      <c r="B82" s="323">
        <v>72</v>
      </c>
      <c r="C82" s="323">
        <v>4</v>
      </c>
      <c r="D82" s="319" t="s">
        <v>5140</v>
      </c>
      <c r="E82" s="358" t="s">
        <v>5121</v>
      </c>
      <c r="F82" s="320">
        <v>14352838</v>
      </c>
      <c r="G82" s="367" t="s">
        <v>4878</v>
      </c>
      <c r="H82" s="319" t="s">
        <v>5141</v>
      </c>
      <c r="I82" s="319" t="s">
        <v>5142</v>
      </c>
      <c r="J82" s="319" t="s">
        <v>4878</v>
      </c>
      <c r="K82" s="322" t="s">
        <v>5143</v>
      </c>
      <c r="L82" s="397" t="s">
        <v>576</v>
      </c>
      <c r="M82" s="397" t="s">
        <v>5183</v>
      </c>
      <c r="N82" s="411"/>
      <c r="O82" s="323">
        <v>52</v>
      </c>
    </row>
    <row r="83" spans="2:15" ht="69.900000000000006" customHeight="1" x14ac:dyDescent="0.25">
      <c r="B83" s="323">
        <v>73</v>
      </c>
      <c r="C83" s="323">
        <v>4</v>
      </c>
      <c r="D83" s="319" t="s">
        <v>5144</v>
      </c>
      <c r="E83" s="358" t="s">
        <v>5121</v>
      </c>
      <c r="F83" s="320">
        <v>3712700</v>
      </c>
      <c r="G83" s="367" t="s">
        <v>4878</v>
      </c>
      <c r="H83" s="319" t="s">
        <v>5145</v>
      </c>
      <c r="I83" s="319" t="s">
        <v>5123</v>
      </c>
      <c r="J83" s="319" t="s">
        <v>4878</v>
      </c>
      <c r="K83" s="322" t="s">
        <v>5146</v>
      </c>
      <c r="L83" s="397" t="s">
        <v>576</v>
      </c>
      <c r="M83" s="397" t="s">
        <v>5183</v>
      </c>
      <c r="N83" s="411"/>
      <c r="O83" s="323">
        <v>52</v>
      </c>
    </row>
    <row r="84" spans="2:15" ht="69.900000000000006" customHeight="1" x14ac:dyDescent="0.25">
      <c r="B84" s="323">
        <v>74</v>
      </c>
      <c r="C84" s="323">
        <v>4</v>
      </c>
      <c r="D84" s="319" t="s">
        <v>5128</v>
      </c>
      <c r="E84" s="358" t="s">
        <v>5121</v>
      </c>
      <c r="F84" s="320">
        <v>205000</v>
      </c>
      <c r="G84" s="367" t="s">
        <v>4878</v>
      </c>
      <c r="H84" s="319" t="s">
        <v>5129</v>
      </c>
      <c r="I84" s="319" t="s">
        <v>5123</v>
      </c>
      <c r="J84" s="319" t="s">
        <v>4878</v>
      </c>
      <c r="K84" s="322" t="s">
        <v>5130</v>
      </c>
      <c r="L84" s="397" t="s">
        <v>542</v>
      </c>
      <c r="M84" s="397" t="s">
        <v>5184</v>
      </c>
      <c r="N84" s="411"/>
      <c r="O84" s="323">
        <v>52</v>
      </c>
    </row>
    <row r="85" spans="2:15" ht="69.900000000000006" customHeight="1" x14ac:dyDescent="0.25">
      <c r="B85" s="323">
        <v>75</v>
      </c>
      <c r="C85" s="323">
        <v>4</v>
      </c>
      <c r="D85" s="319" t="s">
        <v>5125</v>
      </c>
      <c r="E85" s="358" t="s">
        <v>5121</v>
      </c>
      <c r="F85" s="320">
        <v>524500</v>
      </c>
      <c r="G85" s="367" t="s">
        <v>4878</v>
      </c>
      <c r="H85" s="319" t="s">
        <v>5126</v>
      </c>
      <c r="I85" s="319" t="s">
        <v>5123</v>
      </c>
      <c r="J85" s="319" t="s">
        <v>4878</v>
      </c>
      <c r="K85" s="322" t="s">
        <v>5127</v>
      </c>
      <c r="L85" s="397" t="s">
        <v>542</v>
      </c>
      <c r="M85" s="397" t="s">
        <v>5221</v>
      </c>
      <c r="N85" s="411"/>
      <c r="O85" s="323">
        <v>52</v>
      </c>
    </row>
    <row r="86" spans="2:15" ht="69.900000000000006" customHeight="1" x14ac:dyDescent="0.25">
      <c r="B86" s="323">
        <v>76</v>
      </c>
      <c r="C86" s="323">
        <v>4</v>
      </c>
      <c r="D86" s="319" t="s">
        <v>5120</v>
      </c>
      <c r="E86" s="358" t="s">
        <v>5121</v>
      </c>
      <c r="F86" s="320">
        <v>1790000</v>
      </c>
      <c r="G86" s="367" t="s">
        <v>4878</v>
      </c>
      <c r="H86" s="319" t="s">
        <v>5122</v>
      </c>
      <c r="I86" s="319" t="s">
        <v>5123</v>
      </c>
      <c r="J86" s="319" t="s">
        <v>4878</v>
      </c>
      <c r="K86" s="322" t="s">
        <v>5124</v>
      </c>
      <c r="L86" s="397" t="s">
        <v>542</v>
      </c>
      <c r="M86" s="397" t="s">
        <v>5221</v>
      </c>
      <c r="N86" s="411"/>
      <c r="O86" s="323">
        <v>52</v>
      </c>
    </row>
    <row r="87" spans="2:15" ht="69.900000000000006" customHeight="1" x14ac:dyDescent="0.25">
      <c r="B87" s="323">
        <v>77</v>
      </c>
      <c r="C87" s="323">
        <v>4</v>
      </c>
      <c r="D87" s="319" t="s">
        <v>5131</v>
      </c>
      <c r="E87" s="358" t="s">
        <v>5121</v>
      </c>
      <c r="F87" s="320">
        <v>1000000</v>
      </c>
      <c r="G87" s="367" t="s">
        <v>4878</v>
      </c>
      <c r="H87" s="319" t="s">
        <v>5132</v>
      </c>
      <c r="I87" s="319" t="s">
        <v>5123</v>
      </c>
      <c r="J87" s="319" t="s">
        <v>4878</v>
      </c>
      <c r="K87" s="322" t="s">
        <v>5133</v>
      </c>
      <c r="L87" s="397" t="s">
        <v>531</v>
      </c>
      <c r="M87" s="397" t="s">
        <v>5218</v>
      </c>
      <c r="N87" s="411"/>
      <c r="O87" s="323">
        <v>52</v>
      </c>
    </row>
    <row r="88" spans="2:15" ht="69.900000000000006" customHeight="1" x14ac:dyDescent="0.25">
      <c r="B88" s="323">
        <v>78</v>
      </c>
      <c r="C88" s="323">
        <v>5</v>
      </c>
      <c r="D88" s="319" t="s">
        <v>5031</v>
      </c>
      <c r="E88" s="358" t="s">
        <v>5032</v>
      </c>
      <c r="F88" s="320">
        <v>210863345</v>
      </c>
      <c r="G88" s="371" t="s">
        <v>5033</v>
      </c>
      <c r="H88" s="353" t="s">
        <v>5034</v>
      </c>
      <c r="I88" s="319" t="s">
        <v>4949</v>
      </c>
      <c r="J88" s="319" t="s">
        <v>4892</v>
      </c>
      <c r="K88" s="322" t="s">
        <v>5035</v>
      </c>
      <c r="L88" s="397" t="s">
        <v>576</v>
      </c>
      <c r="M88" s="397" t="s">
        <v>5185</v>
      </c>
      <c r="N88" s="411" t="s">
        <v>5375</v>
      </c>
      <c r="O88" s="323">
        <v>51</v>
      </c>
    </row>
    <row r="89" spans="2:15" ht="69.900000000000006" customHeight="1" x14ac:dyDescent="0.25">
      <c r="B89" s="323">
        <v>79</v>
      </c>
      <c r="C89" s="323">
        <v>5</v>
      </c>
      <c r="D89" s="319" t="s">
        <v>5180</v>
      </c>
      <c r="E89" s="358" t="s">
        <v>5179</v>
      </c>
      <c r="F89" s="320">
        <v>236089382</v>
      </c>
      <c r="G89" s="371" t="s">
        <v>4878</v>
      </c>
      <c r="H89" s="389" t="s">
        <v>5181</v>
      </c>
      <c r="I89" s="319" t="s">
        <v>5148</v>
      </c>
      <c r="J89" s="319" t="s">
        <v>4878</v>
      </c>
      <c r="K89" s="322" t="s">
        <v>5182</v>
      </c>
      <c r="L89" s="397" t="s">
        <v>576</v>
      </c>
      <c r="M89" s="397" t="s">
        <v>5185</v>
      </c>
      <c r="N89" s="411" t="s">
        <v>5375</v>
      </c>
      <c r="O89" s="323">
        <v>51</v>
      </c>
    </row>
    <row r="90" spans="2:15" ht="69.900000000000006" customHeight="1" x14ac:dyDescent="0.25">
      <c r="B90" s="323">
        <v>80</v>
      </c>
      <c r="C90" s="323">
        <v>5</v>
      </c>
      <c r="D90" s="319" t="s">
        <v>5203</v>
      </c>
      <c r="E90" s="358" t="s">
        <v>5204</v>
      </c>
      <c r="F90" s="320">
        <v>26312000</v>
      </c>
      <c r="G90" s="371" t="s">
        <v>5049</v>
      </c>
      <c r="H90" s="353" t="s">
        <v>5205</v>
      </c>
      <c r="I90" s="319" t="s">
        <v>5204</v>
      </c>
      <c r="J90" s="319" t="s">
        <v>4878</v>
      </c>
      <c r="K90" s="322" t="s">
        <v>5206</v>
      </c>
      <c r="L90" s="397" t="s">
        <v>576</v>
      </c>
      <c r="M90" s="397" t="s">
        <v>5185</v>
      </c>
      <c r="N90" s="411" t="s">
        <v>5375</v>
      </c>
      <c r="O90" s="323">
        <v>51</v>
      </c>
    </row>
    <row r="91" spans="2:15" ht="69.900000000000006" customHeight="1" x14ac:dyDescent="0.25">
      <c r="B91" s="323">
        <v>81</v>
      </c>
      <c r="C91" s="323">
        <v>5</v>
      </c>
      <c r="D91" s="319" t="s">
        <v>5207</v>
      </c>
      <c r="E91" s="358" t="s">
        <v>5208</v>
      </c>
      <c r="F91" s="320">
        <v>4745975</v>
      </c>
      <c r="G91" s="371" t="s">
        <v>4878</v>
      </c>
      <c r="H91" s="319" t="s">
        <v>5209</v>
      </c>
      <c r="I91" s="319" t="s">
        <v>5210</v>
      </c>
      <c r="J91" s="319" t="s">
        <v>4878</v>
      </c>
      <c r="K91" s="322" t="s">
        <v>5211</v>
      </c>
      <c r="L91" s="397" t="s">
        <v>576</v>
      </c>
      <c r="M91" s="397" t="s">
        <v>5185</v>
      </c>
      <c r="N91" s="411" t="s">
        <v>5375</v>
      </c>
      <c r="O91" s="323">
        <v>51</v>
      </c>
    </row>
    <row r="92" spans="2:15" ht="69.900000000000006" customHeight="1" x14ac:dyDescent="0.25">
      <c r="B92" s="323">
        <v>82</v>
      </c>
      <c r="C92" s="323">
        <v>5</v>
      </c>
      <c r="D92" s="319" t="s">
        <v>5212</v>
      </c>
      <c r="E92" s="358" t="s">
        <v>5208</v>
      </c>
      <c r="F92" s="320">
        <v>221543</v>
      </c>
      <c r="G92" s="371" t="s">
        <v>5061</v>
      </c>
      <c r="H92" s="319" t="s">
        <v>5213</v>
      </c>
      <c r="I92" s="319" t="s">
        <v>5210</v>
      </c>
      <c r="J92" s="319" t="s">
        <v>4878</v>
      </c>
      <c r="K92" s="322" t="s">
        <v>5214</v>
      </c>
      <c r="L92" s="397" t="s">
        <v>576</v>
      </c>
      <c r="M92" s="397" t="s">
        <v>5185</v>
      </c>
      <c r="N92" s="411" t="s">
        <v>5375</v>
      </c>
      <c r="O92" s="323">
        <v>51</v>
      </c>
    </row>
    <row r="93" spans="2:15" ht="69.900000000000006" customHeight="1" x14ac:dyDescent="0.25">
      <c r="B93" s="323">
        <v>83</v>
      </c>
      <c r="C93" s="323">
        <v>5</v>
      </c>
      <c r="D93" s="319" t="s">
        <v>5246</v>
      </c>
      <c r="E93" s="358" t="s">
        <v>5225</v>
      </c>
      <c r="F93" s="320">
        <v>2372988</v>
      </c>
      <c r="G93" s="371" t="s">
        <v>5037</v>
      </c>
      <c r="H93" s="319" t="s">
        <v>5247</v>
      </c>
      <c r="I93" s="319" t="s">
        <v>5227</v>
      </c>
      <c r="J93" s="319" t="s">
        <v>4878</v>
      </c>
      <c r="K93" s="322" t="s">
        <v>5043</v>
      </c>
      <c r="L93" s="385" t="s">
        <v>576</v>
      </c>
      <c r="M93" s="385" t="s">
        <v>5185</v>
      </c>
      <c r="N93" s="411" t="s">
        <v>5375</v>
      </c>
      <c r="O93" s="323">
        <v>51</v>
      </c>
    </row>
    <row r="94" spans="2:15" ht="69.900000000000006" customHeight="1" x14ac:dyDescent="0.25">
      <c r="B94" s="323">
        <v>84</v>
      </c>
      <c r="C94" s="323">
        <v>5</v>
      </c>
      <c r="D94" s="319" t="s">
        <v>5169</v>
      </c>
      <c r="E94" s="358" t="s">
        <v>5032</v>
      </c>
      <c r="F94" s="354">
        <v>63640000</v>
      </c>
      <c r="G94" s="366" t="s">
        <v>4889</v>
      </c>
      <c r="H94" s="319" t="s">
        <v>5170</v>
      </c>
      <c r="I94" s="319" t="s">
        <v>5011</v>
      </c>
      <c r="J94" s="319" t="s">
        <v>4892</v>
      </c>
      <c r="K94" s="322" t="s">
        <v>5171</v>
      </c>
      <c r="L94" s="397" t="s">
        <v>576</v>
      </c>
      <c r="M94" s="397" t="s">
        <v>5183</v>
      </c>
      <c r="N94" s="411" t="s">
        <v>5376</v>
      </c>
      <c r="O94" s="323">
        <v>52</v>
      </c>
    </row>
    <row r="95" spans="2:15" ht="69.900000000000006" customHeight="1" x14ac:dyDescent="0.25">
      <c r="B95" s="323">
        <v>85</v>
      </c>
      <c r="C95" s="323">
        <v>5</v>
      </c>
      <c r="D95" s="319" t="s">
        <v>5147</v>
      </c>
      <c r="E95" s="358" t="s">
        <v>5148</v>
      </c>
      <c r="F95" s="320">
        <v>540000000</v>
      </c>
      <c r="G95" s="407" t="s">
        <v>5149</v>
      </c>
      <c r="H95" s="319" t="s">
        <v>5150</v>
      </c>
      <c r="I95" s="319" t="s">
        <v>5151</v>
      </c>
      <c r="J95" s="319" t="s">
        <v>4878</v>
      </c>
      <c r="K95" s="322" t="s">
        <v>5152</v>
      </c>
      <c r="L95" s="397" t="s">
        <v>576</v>
      </c>
      <c r="M95" s="397" t="s">
        <v>5183</v>
      </c>
      <c r="N95" s="411" t="s">
        <v>5377</v>
      </c>
      <c r="O95" s="323">
        <v>53</v>
      </c>
    </row>
    <row r="96" spans="2:15" ht="69.900000000000006" customHeight="1" x14ac:dyDescent="0.25">
      <c r="B96" s="323">
        <v>86</v>
      </c>
      <c r="C96" s="323">
        <v>5</v>
      </c>
      <c r="D96" s="319" t="s">
        <v>5153</v>
      </c>
      <c r="E96" s="358" t="s">
        <v>5151</v>
      </c>
      <c r="F96" s="320">
        <v>900500</v>
      </c>
      <c r="G96" s="367" t="s">
        <v>4878</v>
      </c>
      <c r="H96" s="319" t="s">
        <v>5154</v>
      </c>
      <c r="I96" s="319" t="s">
        <v>5155</v>
      </c>
      <c r="J96" s="319" t="s">
        <v>4878</v>
      </c>
      <c r="K96" s="322" t="s">
        <v>5156</v>
      </c>
      <c r="L96" s="397" t="s">
        <v>542</v>
      </c>
      <c r="M96" s="397" t="s">
        <v>5184</v>
      </c>
      <c r="N96" s="411"/>
      <c r="O96" s="323">
        <v>52</v>
      </c>
    </row>
    <row r="97" spans="2:15" ht="69.900000000000006" customHeight="1" x14ac:dyDescent="0.25">
      <c r="B97" s="323">
        <v>87</v>
      </c>
      <c r="C97" s="323">
        <v>5</v>
      </c>
      <c r="D97" s="319" t="s">
        <v>5160</v>
      </c>
      <c r="E97" s="358" t="s">
        <v>5151</v>
      </c>
      <c r="F97" s="320">
        <v>3600000</v>
      </c>
      <c r="G97" s="367" t="s">
        <v>4878</v>
      </c>
      <c r="H97" s="319" t="s">
        <v>5161</v>
      </c>
      <c r="I97" s="319" t="s">
        <v>5155</v>
      </c>
      <c r="J97" s="319" t="s">
        <v>4878</v>
      </c>
      <c r="K97" s="322" t="s">
        <v>5162</v>
      </c>
      <c r="L97" s="397" t="s">
        <v>542</v>
      </c>
      <c r="M97" s="397" t="s">
        <v>5184</v>
      </c>
      <c r="N97" s="411"/>
      <c r="O97" s="323">
        <v>52</v>
      </c>
    </row>
    <row r="98" spans="2:15" ht="69.900000000000006" customHeight="1" x14ac:dyDescent="0.25">
      <c r="B98" s="323">
        <v>88</v>
      </c>
      <c r="C98" s="323">
        <v>5</v>
      </c>
      <c r="D98" s="319" t="s">
        <v>5163</v>
      </c>
      <c r="E98" s="358" t="s">
        <v>5151</v>
      </c>
      <c r="F98" s="320">
        <v>10960600</v>
      </c>
      <c r="G98" s="367" t="s">
        <v>4878</v>
      </c>
      <c r="H98" s="319" t="s">
        <v>5164</v>
      </c>
      <c r="I98" s="319" t="s">
        <v>5155</v>
      </c>
      <c r="J98" s="319" t="s">
        <v>4878</v>
      </c>
      <c r="K98" s="322" t="s">
        <v>5165</v>
      </c>
      <c r="L98" s="397" t="s">
        <v>542</v>
      </c>
      <c r="M98" s="397" t="s">
        <v>5184</v>
      </c>
      <c r="N98" s="411"/>
      <c r="O98" s="323">
        <v>52</v>
      </c>
    </row>
    <row r="99" spans="2:15" ht="69.900000000000006" customHeight="1" x14ac:dyDescent="0.25">
      <c r="B99" s="323">
        <v>89</v>
      </c>
      <c r="C99" s="323">
        <v>5</v>
      </c>
      <c r="D99" s="319" t="s">
        <v>5166</v>
      </c>
      <c r="E99" s="358" t="s">
        <v>5151</v>
      </c>
      <c r="F99" s="320">
        <v>930000</v>
      </c>
      <c r="G99" s="367" t="s">
        <v>4878</v>
      </c>
      <c r="H99" s="319" t="s">
        <v>5167</v>
      </c>
      <c r="I99" s="319" t="s">
        <v>5155</v>
      </c>
      <c r="J99" s="319" t="s">
        <v>4878</v>
      </c>
      <c r="K99" s="322" t="s">
        <v>5168</v>
      </c>
      <c r="L99" s="397" t="s">
        <v>535</v>
      </c>
      <c r="M99" s="397" t="s">
        <v>5217</v>
      </c>
      <c r="N99" s="411"/>
      <c r="O99" s="323">
        <v>52</v>
      </c>
    </row>
    <row r="100" spans="2:15" ht="69.900000000000006" customHeight="1" x14ac:dyDescent="0.25">
      <c r="B100" s="323">
        <v>90</v>
      </c>
      <c r="C100" s="323">
        <v>5</v>
      </c>
      <c r="D100" s="319" t="s">
        <v>5157</v>
      </c>
      <c r="E100" s="358" t="s">
        <v>5151</v>
      </c>
      <c r="F100" s="320">
        <v>872000</v>
      </c>
      <c r="G100" s="367" t="s">
        <v>4878</v>
      </c>
      <c r="H100" s="319" t="s">
        <v>5158</v>
      </c>
      <c r="I100" s="319" t="s">
        <v>5155</v>
      </c>
      <c r="J100" s="319" t="s">
        <v>4878</v>
      </c>
      <c r="K100" s="322" t="s">
        <v>5159</v>
      </c>
      <c r="L100" s="397" t="s">
        <v>531</v>
      </c>
      <c r="M100" s="397" t="s">
        <v>5218</v>
      </c>
      <c r="N100" s="411"/>
      <c r="O100" s="323">
        <v>52</v>
      </c>
    </row>
    <row r="101" spans="2:15" ht="69.900000000000006" customHeight="1" x14ac:dyDescent="0.25">
      <c r="B101" s="323">
        <v>91</v>
      </c>
      <c r="C101" s="323">
        <v>5</v>
      </c>
      <c r="D101" s="321" t="s">
        <v>5200</v>
      </c>
      <c r="E101" s="409" t="s">
        <v>5194</v>
      </c>
      <c r="F101" s="365">
        <v>114200000</v>
      </c>
      <c r="G101" s="407" t="s">
        <v>5149</v>
      </c>
      <c r="H101" s="321" t="s">
        <v>5201</v>
      </c>
      <c r="I101" s="321" t="s">
        <v>5179</v>
      </c>
      <c r="J101" s="321" t="s">
        <v>4878</v>
      </c>
      <c r="K101" s="322" t="s">
        <v>5202</v>
      </c>
      <c r="L101" s="397" t="s">
        <v>576</v>
      </c>
      <c r="M101" s="397" t="s">
        <v>5183</v>
      </c>
      <c r="N101" s="411" t="s">
        <v>5377</v>
      </c>
      <c r="O101" s="323">
        <v>53</v>
      </c>
    </row>
    <row r="102" spans="2:15" ht="69.900000000000006" customHeight="1" x14ac:dyDescent="0.25">
      <c r="B102" s="323">
        <v>92</v>
      </c>
      <c r="C102" s="323">
        <v>5</v>
      </c>
      <c r="D102" s="321" t="s">
        <v>5193</v>
      </c>
      <c r="E102" s="409" t="s">
        <v>5194</v>
      </c>
      <c r="F102" s="365">
        <v>93939616</v>
      </c>
      <c r="G102" s="368" t="s">
        <v>4641</v>
      </c>
      <c r="H102" s="321" t="s">
        <v>5195</v>
      </c>
      <c r="I102" s="321" t="s">
        <v>5196</v>
      </c>
      <c r="J102" s="321" t="s">
        <v>4878</v>
      </c>
      <c r="K102" s="322" t="s">
        <v>5197</v>
      </c>
      <c r="L102" s="397"/>
      <c r="M102" s="397"/>
      <c r="N102" s="411"/>
      <c r="O102" s="323">
        <v>52</v>
      </c>
    </row>
    <row r="103" spans="2:15" ht="69.900000000000006" customHeight="1" x14ac:dyDescent="0.25">
      <c r="B103" s="323">
        <v>93</v>
      </c>
      <c r="C103" s="323">
        <v>5</v>
      </c>
      <c r="D103" s="321" t="s">
        <v>5198</v>
      </c>
      <c r="E103" s="409" t="s">
        <v>5194</v>
      </c>
      <c r="F103" s="365">
        <v>1500000</v>
      </c>
      <c r="G103" s="368" t="s">
        <v>4641</v>
      </c>
      <c r="H103" s="321" t="s">
        <v>5199</v>
      </c>
      <c r="I103" s="321" t="s">
        <v>5196</v>
      </c>
      <c r="J103" s="321" t="s">
        <v>4878</v>
      </c>
      <c r="K103" s="322" t="s">
        <v>5197</v>
      </c>
      <c r="L103" s="397"/>
      <c r="M103" s="397"/>
      <c r="N103" s="411"/>
      <c r="O103" s="323">
        <v>52</v>
      </c>
    </row>
    <row r="104" spans="2:15" ht="69.900000000000006" customHeight="1" x14ac:dyDescent="0.25">
      <c r="B104" s="323">
        <v>94</v>
      </c>
      <c r="C104" s="323">
        <v>5</v>
      </c>
      <c r="D104" s="319" t="s">
        <v>5240</v>
      </c>
      <c r="E104" s="358" t="s">
        <v>5225</v>
      </c>
      <c r="F104" s="320">
        <v>448000</v>
      </c>
      <c r="G104" s="367" t="s">
        <v>4878</v>
      </c>
      <c r="H104" s="319" t="s">
        <v>5241</v>
      </c>
      <c r="I104" s="319" t="s">
        <v>5227</v>
      </c>
      <c r="J104" s="319" t="s">
        <v>4878</v>
      </c>
      <c r="K104" s="322" t="s">
        <v>5242</v>
      </c>
      <c r="L104" s="385" t="s">
        <v>542</v>
      </c>
      <c r="M104" s="385" t="s">
        <v>5184</v>
      </c>
      <c r="N104" s="411"/>
      <c r="O104" s="323">
        <v>52</v>
      </c>
    </row>
    <row r="105" spans="2:15" ht="69.900000000000006" customHeight="1" x14ac:dyDescent="0.25">
      <c r="B105" s="323">
        <v>95</v>
      </c>
      <c r="C105" s="323">
        <v>5</v>
      </c>
      <c r="D105" s="319" t="s">
        <v>5253</v>
      </c>
      <c r="E105" s="358" t="s">
        <v>5225</v>
      </c>
      <c r="F105" s="320">
        <v>1040000</v>
      </c>
      <c r="G105" s="367" t="s">
        <v>4878</v>
      </c>
      <c r="H105" s="319" t="s">
        <v>5254</v>
      </c>
      <c r="I105" s="319" t="s">
        <v>5227</v>
      </c>
      <c r="J105" s="319" t="s">
        <v>4878</v>
      </c>
      <c r="K105" s="322" t="s">
        <v>5255</v>
      </c>
      <c r="L105" s="385" t="s">
        <v>531</v>
      </c>
      <c r="M105" s="385" t="s">
        <v>5219</v>
      </c>
      <c r="N105" s="411"/>
      <c r="O105" s="323">
        <v>52</v>
      </c>
    </row>
    <row r="106" spans="2:15" ht="69.900000000000006" customHeight="1" x14ac:dyDescent="0.25">
      <c r="B106" s="323">
        <v>96</v>
      </c>
      <c r="C106" s="323">
        <v>5</v>
      </c>
      <c r="D106" s="319" t="s">
        <v>5237</v>
      </c>
      <c r="E106" s="358" t="s">
        <v>5225</v>
      </c>
      <c r="F106" s="320">
        <v>14922000</v>
      </c>
      <c r="G106" s="367" t="s">
        <v>4878</v>
      </c>
      <c r="H106" s="319" t="s">
        <v>5238</v>
      </c>
      <c r="I106" s="319" t="s">
        <v>5227</v>
      </c>
      <c r="J106" s="319" t="s">
        <v>4878</v>
      </c>
      <c r="K106" s="322" t="s">
        <v>5239</v>
      </c>
      <c r="L106" s="385" t="s">
        <v>531</v>
      </c>
      <c r="M106" s="385" t="s">
        <v>5218</v>
      </c>
      <c r="N106" s="411"/>
      <c r="O106" s="323">
        <v>52</v>
      </c>
    </row>
    <row r="107" spans="2:15" ht="69.900000000000006" customHeight="1" x14ac:dyDescent="0.25">
      <c r="B107" s="323">
        <v>97</v>
      </c>
      <c r="C107" s="323">
        <v>5</v>
      </c>
      <c r="D107" s="319" t="s">
        <v>5243</v>
      </c>
      <c r="E107" s="358" t="s">
        <v>5225</v>
      </c>
      <c r="F107" s="320">
        <v>3184000</v>
      </c>
      <c r="G107" s="367" t="s">
        <v>4878</v>
      </c>
      <c r="H107" s="319" t="s">
        <v>5244</v>
      </c>
      <c r="I107" s="319" t="s">
        <v>5227</v>
      </c>
      <c r="J107" s="319" t="s">
        <v>4878</v>
      </c>
      <c r="K107" s="322" t="s">
        <v>5245</v>
      </c>
      <c r="L107" s="385" t="s">
        <v>542</v>
      </c>
      <c r="M107" s="385" t="s">
        <v>5184</v>
      </c>
      <c r="N107" s="411"/>
      <c r="O107" s="323">
        <v>52</v>
      </c>
    </row>
    <row r="108" spans="2:15" ht="69.900000000000006" customHeight="1" x14ac:dyDescent="0.25">
      <c r="B108" s="323">
        <v>98</v>
      </c>
      <c r="C108" s="323">
        <v>5</v>
      </c>
      <c r="D108" s="319" t="s">
        <v>5248</v>
      </c>
      <c r="E108" s="358" t="s">
        <v>5225</v>
      </c>
      <c r="F108" s="320">
        <v>3620000</v>
      </c>
      <c r="G108" s="367" t="s">
        <v>4878</v>
      </c>
      <c r="H108" s="319" t="s">
        <v>5249</v>
      </c>
      <c r="I108" s="319" t="s">
        <v>5227</v>
      </c>
      <c r="J108" s="319" t="s">
        <v>4878</v>
      </c>
      <c r="K108" s="322" t="s">
        <v>5250</v>
      </c>
      <c r="L108" s="385" t="s">
        <v>531</v>
      </c>
      <c r="M108" s="385" t="s">
        <v>5218</v>
      </c>
      <c r="N108" s="411"/>
      <c r="O108" s="323">
        <v>52</v>
      </c>
    </row>
    <row r="109" spans="2:15" ht="69.900000000000006" customHeight="1" x14ac:dyDescent="0.25">
      <c r="B109" s="323">
        <v>99</v>
      </c>
      <c r="C109" s="323">
        <v>5</v>
      </c>
      <c r="D109" s="319" t="s">
        <v>5234</v>
      </c>
      <c r="E109" s="358" t="s">
        <v>5225</v>
      </c>
      <c r="F109" s="320">
        <v>1250000</v>
      </c>
      <c r="G109" s="367" t="s">
        <v>4878</v>
      </c>
      <c r="H109" s="319" t="s">
        <v>5235</v>
      </c>
      <c r="I109" s="319" t="s">
        <v>5227</v>
      </c>
      <c r="J109" s="319" t="s">
        <v>4878</v>
      </c>
      <c r="K109" s="322" t="s">
        <v>5236</v>
      </c>
      <c r="L109" s="385" t="s">
        <v>531</v>
      </c>
      <c r="M109" s="385" t="s">
        <v>5219</v>
      </c>
      <c r="N109" s="411"/>
      <c r="O109" s="323">
        <v>52</v>
      </c>
    </row>
    <row r="110" spans="2:15" ht="69.900000000000006" customHeight="1" x14ac:dyDescent="0.25">
      <c r="B110" s="323">
        <v>100</v>
      </c>
      <c r="C110" s="323">
        <v>5</v>
      </c>
      <c r="D110" s="319" t="s">
        <v>5251</v>
      </c>
      <c r="E110" s="358" t="s">
        <v>5225</v>
      </c>
      <c r="F110" s="320">
        <v>74895594</v>
      </c>
      <c r="G110" s="368" t="s">
        <v>4641</v>
      </c>
      <c r="H110" s="319" t="s">
        <v>5252</v>
      </c>
      <c r="I110" s="319" t="s">
        <v>5227</v>
      </c>
      <c r="J110" s="319" t="s">
        <v>4878</v>
      </c>
      <c r="K110" s="322" t="s">
        <v>5231</v>
      </c>
      <c r="L110" s="385"/>
      <c r="M110" s="385"/>
      <c r="N110" s="411"/>
      <c r="O110" s="323">
        <v>52</v>
      </c>
    </row>
    <row r="111" spans="2:15" ht="69.900000000000006" customHeight="1" x14ac:dyDescent="0.25">
      <c r="B111" s="323">
        <v>101</v>
      </c>
      <c r="C111" s="323">
        <v>5</v>
      </c>
      <c r="D111" s="319" t="s">
        <v>5229</v>
      </c>
      <c r="E111" s="358" t="s">
        <v>5225</v>
      </c>
      <c r="F111" s="320">
        <v>10182883</v>
      </c>
      <c r="G111" s="368" t="s">
        <v>4641</v>
      </c>
      <c r="H111" s="319" t="s">
        <v>5230</v>
      </c>
      <c r="I111" s="319" t="s">
        <v>5227</v>
      </c>
      <c r="J111" s="319" t="s">
        <v>4878</v>
      </c>
      <c r="K111" s="322" t="s">
        <v>5231</v>
      </c>
      <c r="L111" s="385"/>
      <c r="M111" s="385"/>
      <c r="N111" s="411"/>
      <c r="O111" s="323">
        <v>52</v>
      </c>
    </row>
    <row r="112" spans="2:15" ht="69.900000000000006" customHeight="1" x14ac:dyDescent="0.25">
      <c r="B112" s="323">
        <v>102</v>
      </c>
      <c r="C112" s="323">
        <v>5</v>
      </c>
      <c r="D112" s="319" t="s">
        <v>5232</v>
      </c>
      <c r="E112" s="358" t="s">
        <v>5225</v>
      </c>
      <c r="F112" s="320">
        <v>8760100</v>
      </c>
      <c r="G112" s="368" t="s">
        <v>4641</v>
      </c>
      <c r="H112" s="319" t="s">
        <v>5233</v>
      </c>
      <c r="I112" s="319" t="s">
        <v>5227</v>
      </c>
      <c r="J112" s="319" t="s">
        <v>4878</v>
      </c>
      <c r="K112" s="322" t="s">
        <v>5231</v>
      </c>
      <c r="L112" s="385"/>
      <c r="M112" s="385"/>
      <c r="N112" s="411"/>
      <c r="O112" s="323">
        <v>52</v>
      </c>
    </row>
    <row r="113" spans="2:15" ht="69.900000000000006" customHeight="1" x14ac:dyDescent="0.25">
      <c r="B113" s="323">
        <v>103</v>
      </c>
      <c r="C113" s="323">
        <v>5</v>
      </c>
      <c r="D113" s="319" t="s">
        <v>5224</v>
      </c>
      <c r="E113" s="358" t="s">
        <v>5225</v>
      </c>
      <c r="F113" s="320">
        <v>312088731</v>
      </c>
      <c r="G113" s="369" t="s">
        <v>4902</v>
      </c>
      <c r="H113" s="319" t="s">
        <v>5226</v>
      </c>
      <c r="I113" s="319" t="s">
        <v>5227</v>
      </c>
      <c r="J113" s="319" t="s">
        <v>4905</v>
      </c>
      <c r="K113" s="322" t="s">
        <v>5228</v>
      </c>
      <c r="L113" s="385"/>
      <c r="M113" s="385"/>
      <c r="N113" s="411"/>
      <c r="O113" s="323">
        <v>52</v>
      </c>
    </row>
    <row r="114" spans="2:15" ht="69.900000000000006" customHeight="1" x14ac:dyDescent="0.25">
      <c r="B114" s="323">
        <v>107</v>
      </c>
      <c r="C114" s="323">
        <v>6</v>
      </c>
      <c r="D114" s="319" t="s">
        <v>5271</v>
      </c>
      <c r="E114" s="358" t="s">
        <v>5273</v>
      </c>
      <c r="F114" s="320">
        <v>11850000</v>
      </c>
      <c r="G114" s="394" t="s">
        <v>4878</v>
      </c>
      <c r="H114" s="321" t="s">
        <v>5274</v>
      </c>
      <c r="I114" s="319" t="s">
        <v>5272</v>
      </c>
      <c r="J114" s="319" t="s">
        <v>4878</v>
      </c>
      <c r="K114" s="322" t="s">
        <v>5275</v>
      </c>
      <c r="L114" s="385" t="s">
        <v>542</v>
      </c>
      <c r="M114" s="385" t="s">
        <v>5184</v>
      </c>
      <c r="N114" s="411" t="s">
        <v>5374</v>
      </c>
      <c r="O114" s="323">
        <v>52</v>
      </c>
    </row>
    <row r="115" spans="2:15" ht="69.900000000000006" customHeight="1" x14ac:dyDescent="0.25">
      <c r="B115" s="323">
        <v>108</v>
      </c>
      <c r="C115" s="323">
        <v>6</v>
      </c>
      <c r="D115" s="319" t="s">
        <v>5291</v>
      </c>
      <c r="E115" s="358" t="s">
        <v>5273</v>
      </c>
      <c r="F115" s="320">
        <v>8750000</v>
      </c>
      <c r="G115" s="394" t="s">
        <v>5149</v>
      </c>
      <c r="H115" s="321" t="s">
        <v>5292</v>
      </c>
      <c r="I115" s="319" t="s">
        <v>5272</v>
      </c>
      <c r="J115" s="319" t="s">
        <v>4878</v>
      </c>
      <c r="K115" s="322" t="s">
        <v>5293</v>
      </c>
      <c r="L115" s="385" t="s">
        <v>542</v>
      </c>
      <c r="M115" s="385" t="s">
        <v>5184</v>
      </c>
      <c r="N115" s="411" t="s">
        <v>5374</v>
      </c>
      <c r="O115" s="323">
        <v>52</v>
      </c>
    </row>
    <row r="116" spans="2:15" ht="69.900000000000006" customHeight="1" x14ac:dyDescent="0.25">
      <c r="B116" s="323">
        <v>109</v>
      </c>
      <c r="C116" s="323">
        <v>6</v>
      </c>
      <c r="D116" s="319" t="s">
        <v>5288</v>
      </c>
      <c r="E116" s="358" t="s">
        <v>5273</v>
      </c>
      <c r="F116" s="320">
        <v>136000000</v>
      </c>
      <c r="G116" s="394" t="s">
        <v>5149</v>
      </c>
      <c r="H116" s="321" t="s">
        <v>5289</v>
      </c>
      <c r="I116" s="319" t="s">
        <v>5272</v>
      </c>
      <c r="J116" s="319" t="s">
        <v>4878</v>
      </c>
      <c r="K116" s="322" t="s">
        <v>5290</v>
      </c>
      <c r="L116" s="385" t="s">
        <v>542</v>
      </c>
      <c r="M116" s="385" t="s">
        <v>5184</v>
      </c>
      <c r="N116" s="411" t="s">
        <v>5374</v>
      </c>
      <c r="O116" s="323">
        <v>52</v>
      </c>
    </row>
    <row r="117" spans="2:15" ht="69.900000000000006" customHeight="1" x14ac:dyDescent="0.25">
      <c r="B117" s="323">
        <v>110</v>
      </c>
      <c r="C117" s="323">
        <v>6</v>
      </c>
      <c r="D117" s="319" t="s">
        <v>5303</v>
      </c>
      <c r="E117" s="358" t="s">
        <v>5273</v>
      </c>
      <c r="F117" s="320">
        <v>202275000</v>
      </c>
      <c r="G117" s="394" t="s">
        <v>5149</v>
      </c>
      <c r="H117" s="321" t="s">
        <v>5304</v>
      </c>
      <c r="I117" s="319" t="s">
        <v>5272</v>
      </c>
      <c r="J117" s="319" t="s">
        <v>4878</v>
      </c>
      <c r="K117" s="322" t="s">
        <v>5305</v>
      </c>
      <c r="L117" s="385" t="s">
        <v>542</v>
      </c>
      <c r="M117" s="385" t="s">
        <v>5184</v>
      </c>
      <c r="N117" s="411" t="s">
        <v>5374</v>
      </c>
      <c r="O117" s="323">
        <v>52</v>
      </c>
    </row>
    <row r="118" spans="2:15" ht="69.900000000000006" customHeight="1" x14ac:dyDescent="0.25">
      <c r="B118" s="323">
        <v>111</v>
      </c>
      <c r="C118" s="323">
        <v>6</v>
      </c>
      <c r="D118" s="319" t="s">
        <v>5276</v>
      </c>
      <c r="E118" s="358" t="s">
        <v>5273</v>
      </c>
      <c r="F118" s="320">
        <v>32800000</v>
      </c>
      <c r="G118" s="394" t="s">
        <v>5149</v>
      </c>
      <c r="H118" s="321" t="s">
        <v>5277</v>
      </c>
      <c r="I118" s="319" t="s">
        <v>5272</v>
      </c>
      <c r="J118" s="319" t="s">
        <v>4878</v>
      </c>
      <c r="K118" s="322" t="s">
        <v>5278</v>
      </c>
      <c r="L118" s="385" t="s">
        <v>542</v>
      </c>
      <c r="M118" s="385" t="s">
        <v>5184</v>
      </c>
      <c r="N118" s="411" t="s">
        <v>5374</v>
      </c>
      <c r="O118" s="323">
        <v>52</v>
      </c>
    </row>
    <row r="119" spans="2:15" ht="69.900000000000006" customHeight="1" x14ac:dyDescent="0.25">
      <c r="B119" s="323">
        <v>112</v>
      </c>
      <c r="C119" s="323">
        <v>6</v>
      </c>
      <c r="D119" s="319" t="s">
        <v>5294</v>
      </c>
      <c r="E119" s="358" t="s">
        <v>5273</v>
      </c>
      <c r="F119" s="320">
        <v>39150000</v>
      </c>
      <c r="G119" s="394" t="s">
        <v>5149</v>
      </c>
      <c r="H119" s="321" t="s">
        <v>5295</v>
      </c>
      <c r="I119" s="319" t="s">
        <v>5272</v>
      </c>
      <c r="J119" s="319" t="s">
        <v>4878</v>
      </c>
      <c r="K119" s="322" t="s">
        <v>5296</v>
      </c>
      <c r="L119" s="385" t="s">
        <v>542</v>
      </c>
      <c r="M119" s="385" t="s">
        <v>5184</v>
      </c>
      <c r="N119" s="411" t="s">
        <v>5374</v>
      </c>
      <c r="O119" s="323">
        <v>52</v>
      </c>
    </row>
    <row r="120" spans="2:15" ht="69.900000000000006" customHeight="1" x14ac:dyDescent="0.25">
      <c r="B120" s="323">
        <v>113</v>
      </c>
      <c r="C120" s="323">
        <v>6</v>
      </c>
      <c r="D120" s="353" t="s">
        <v>5309</v>
      </c>
      <c r="E120" s="359" t="s">
        <v>5310</v>
      </c>
      <c r="F120" s="354">
        <v>180000000</v>
      </c>
      <c r="G120" s="399" t="s">
        <v>4878</v>
      </c>
      <c r="H120" s="353" t="s">
        <v>5311</v>
      </c>
      <c r="I120" s="353" t="s">
        <v>5273</v>
      </c>
      <c r="J120" s="353" t="s">
        <v>4878</v>
      </c>
      <c r="K120" s="355" t="s">
        <v>5312</v>
      </c>
      <c r="L120" s="385" t="s">
        <v>542</v>
      </c>
      <c r="M120" s="385" t="s">
        <v>5184</v>
      </c>
      <c r="N120" s="411" t="s">
        <v>5374</v>
      </c>
      <c r="O120" s="323">
        <v>52</v>
      </c>
    </row>
    <row r="121" spans="2:15" ht="69.900000000000006" customHeight="1" x14ac:dyDescent="0.25">
      <c r="B121" s="323">
        <v>114</v>
      </c>
      <c r="C121" s="323">
        <v>6</v>
      </c>
      <c r="D121" s="353" t="s">
        <v>5331</v>
      </c>
      <c r="E121" s="359" t="s">
        <v>5310</v>
      </c>
      <c r="F121" s="354">
        <v>30000000</v>
      </c>
      <c r="G121" s="394" t="s">
        <v>4878</v>
      </c>
      <c r="H121" s="353" t="s">
        <v>5332</v>
      </c>
      <c r="I121" s="353" t="s">
        <v>5273</v>
      </c>
      <c r="J121" s="353" t="s">
        <v>4878</v>
      </c>
      <c r="K121" s="355" t="s">
        <v>5333</v>
      </c>
      <c r="L121" s="385" t="s">
        <v>542</v>
      </c>
      <c r="M121" s="385" t="s">
        <v>5184</v>
      </c>
      <c r="N121" s="411" t="s">
        <v>5374</v>
      </c>
      <c r="O121" s="323">
        <v>52</v>
      </c>
    </row>
    <row r="122" spans="2:15" ht="69.900000000000006" customHeight="1" x14ac:dyDescent="0.25">
      <c r="B122" s="323">
        <v>115</v>
      </c>
      <c r="C122" s="323">
        <v>6</v>
      </c>
      <c r="D122" s="319" t="s">
        <v>5340</v>
      </c>
      <c r="E122" s="358" t="s">
        <v>5341</v>
      </c>
      <c r="F122" s="320">
        <v>6750000</v>
      </c>
      <c r="G122" s="394" t="s">
        <v>5149</v>
      </c>
      <c r="H122" s="319" t="s">
        <v>5342</v>
      </c>
      <c r="I122" s="319" t="s">
        <v>5273</v>
      </c>
      <c r="J122" s="319" t="s">
        <v>4878</v>
      </c>
      <c r="K122" s="355" t="s">
        <v>5343</v>
      </c>
      <c r="L122" s="385" t="s">
        <v>542</v>
      </c>
      <c r="M122" s="385" t="s">
        <v>5184</v>
      </c>
      <c r="N122" s="411" t="s">
        <v>5374</v>
      </c>
      <c r="O122" s="323">
        <v>52</v>
      </c>
    </row>
    <row r="123" spans="2:15" ht="69.900000000000006" customHeight="1" x14ac:dyDescent="0.25">
      <c r="B123" s="323">
        <v>116</v>
      </c>
      <c r="C123" s="323">
        <v>6</v>
      </c>
      <c r="D123" s="319" t="s">
        <v>5344</v>
      </c>
      <c r="E123" s="358" t="s">
        <v>5341</v>
      </c>
      <c r="F123" s="320">
        <v>14000000</v>
      </c>
      <c r="G123" s="394" t="s">
        <v>5149</v>
      </c>
      <c r="H123" s="319" t="s">
        <v>5345</v>
      </c>
      <c r="I123" s="319" t="s">
        <v>5273</v>
      </c>
      <c r="J123" s="319" t="s">
        <v>4878</v>
      </c>
      <c r="K123" s="355" t="s">
        <v>5346</v>
      </c>
      <c r="L123" s="385" t="s">
        <v>542</v>
      </c>
      <c r="M123" s="385" t="s">
        <v>5184</v>
      </c>
      <c r="N123" s="411" t="s">
        <v>5374</v>
      </c>
      <c r="O123" s="323">
        <v>52</v>
      </c>
    </row>
    <row r="124" spans="2:15" ht="69.900000000000006" customHeight="1" x14ac:dyDescent="0.25">
      <c r="B124" s="323">
        <v>117</v>
      </c>
      <c r="C124" s="323">
        <v>6</v>
      </c>
      <c r="D124" s="319" t="s">
        <v>5356</v>
      </c>
      <c r="E124" s="358" t="s">
        <v>5341</v>
      </c>
      <c r="F124" s="320">
        <v>185225000</v>
      </c>
      <c r="G124" s="394" t="s">
        <v>5149</v>
      </c>
      <c r="H124" s="319" t="s">
        <v>5357</v>
      </c>
      <c r="I124" s="319" t="s">
        <v>5273</v>
      </c>
      <c r="J124" s="319" t="s">
        <v>4878</v>
      </c>
      <c r="K124" s="355" t="s">
        <v>5358</v>
      </c>
      <c r="L124" s="385" t="s">
        <v>542</v>
      </c>
      <c r="M124" s="385" t="s">
        <v>5184</v>
      </c>
      <c r="N124" s="411" t="s">
        <v>5374</v>
      </c>
      <c r="O124" s="323">
        <v>52</v>
      </c>
    </row>
    <row r="125" spans="2:15" ht="69.900000000000006" customHeight="1" x14ac:dyDescent="0.25">
      <c r="B125" s="323">
        <v>118</v>
      </c>
      <c r="C125" s="323">
        <v>6</v>
      </c>
      <c r="D125" s="319" t="s">
        <v>5350</v>
      </c>
      <c r="E125" s="358" t="s">
        <v>5341</v>
      </c>
      <c r="F125" s="320">
        <v>436225000</v>
      </c>
      <c r="G125" s="394" t="s">
        <v>5149</v>
      </c>
      <c r="H125" s="319" t="s">
        <v>5351</v>
      </c>
      <c r="I125" s="319" t="s">
        <v>5273</v>
      </c>
      <c r="J125" s="319" t="s">
        <v>4878</v>
      </c>
      <c r="K125" s="355" t="s">
        <v>5352</v>
      </c>
      <c r="L125" s="385" t="s">
        <v>542</v>
      </c>
      <c r="M125" s="385" t="s">
        <v>5184</v>
      </c>
      <c r="N125" s="411" t="s">
        <v>5374</v>
      </c>
      <c r="O125" s="323">
        <v>52</v>
      </c>
    </row>
    <row r="126" spans="2:15" ht="69.900000000000006" customHeight="1" x14ac:dyDescent="0.25">
      <c r="B126" s="323">
        <v>119</v>
      </c>
      <c r="C126" s="323">
        <v>6</v>
      </c>
      <c r="D126" s="319" t="s">
        <v>5371</v>
      </c>
      <c r="E126" s="358" t="s">
        <v>5341</v>
      </c>
      <c r="F126" s="320">
        <v>9000000</v>
      </c>
      <c r="G126" s="394" t="s">
        <v>5149</v>
      </c>
      <c r="H126" s="319" t="s">
        <v>5372</v>
      </c>
      <c r="I126" s="319" t="s">
        <v>5310</v>
      </c>
      <c r="J126" s="319" t="s">
        <v>4878</v>
      </c>
      <c r="K126" s="355" t="s">
        <v>5373</v>
      </c>
      <c r="L126" s="385" t="s">
        <v>542</v>
      </c>
      <c r="M126" s="385" t="s">
        <v>5184</v>
      </c>
      <c r="N126" s="411" t="s">
        <v>5374</v>
      </c>
      <c r="O126" s="323">
        <v>52</v>
      </c>
    </row>
    <row r="127" spans="2:15" ht="69.900000000000006" customHeight="1" x14ac:dyDescent="0.25">
      <c r="B127" s="323">
        <v>120</v>
      </c>
      <c r="C127" s="323">
        <v>6</v>
      </c>
      <c r="D127" s="319" t="s">
        <v>5362</v>
      </c>
      <c r="E127" s="358" t="s">
        <v>5341</v>
      </c>
      <c r="F127" s="320">
        <v>36000000</v>
      </c>
      <c r="G127" s="394" t="s">
        <v>5149</v>
      </c>
      <c r="H127" s="319" t="s">
        <v>5363</v>
      </c>
      <c r="I127" s="319" t="s">
        <v>5310</v>
      </c>
      <c r="J127" s="319" t="s">
        <v>4878</v>
      </c>
      <c r="K127" s="355" t="s">
        <v>5364</v>
      </c>
      <c r="L127" s="385" t="s">
        <v>542</v>
      </c>
      <c r="M127" s="385" t="s">
        <v>5184</v>
      </c>
      <c r="N127" s="411" t="s">
        <v>5374</v>
      </c>
      <c r="O127" s="323">
        <v>52</v>
      </c>
    </row>
    <row r="128" spans="2:15" ht="69.900000000000006" customHeight="1" x14ac:dyDescent="0.25">
      <c r="B128" s="323">
        <v>121</v>
      </c>
      <c r="C128" s="323">
        <v>6</v>
      </c>
      <c r="D128" s="319" t="s">
        <v>5359</v>
      </c>
      <c r="E128" s="358" t="s">
        <v>5341</v>
      </c>
      <c r="F128" s="320">
        <v>46500000</v>
      </c>
      <c r="G128" s="394" t="s">
        <v>5149</v>
      </c>
      <c r="H128" s="319" t="s">
        <v>5360</v>
      </c>
      <c r="I128" s="319" t="s">
        <v>5310</v>
      </c>
      <c r="J128" s="319" t="s">
        <v>4878</v>
      </c>
      <c r="K128" s="355" t="s">
        <v>5361</v>
      </c>
      <c r="L128" s="385" t="s">
        <v>542</v>
      </c>
      <c r="M128" s="385" t="s">
        <v>5184</v>
      </c>
      <c r="N128" s="411" t="s">
        <v>5374</v>
      </c>
      <c r="O128" s="323">
        <v>52</v>
      </c>
    </row>
    <row r="129" spans="2:15" ht="69.900000000000006" customHeight="1" x14ac:dyDescent="0.25">
      <c r="B129" s="323">
        <v>122</v>
      </c>
      <c r="C129" s="323">
        <v>6</v>
      </c>
      <c r="D129" s="319" t="s">
        <v>5353</v>
      </c>
      <c r="E129" s="358" t="s">
        <v>5341</v>
      </c>
      <c r="F129" s="320">
        <v>10000000</v>
      </c>
      <c r="G129" s="394" t="s">
        <v>5149</v>
      </c>
      <c r="H129" s="319" t="s">
        <v>5354</v>
      </c>
      <c r="I129" s="319" t="s">
        <v>5310</v>
      </c>
      <c r="J129" s="319" t="s">
        <v>4878</v>
      </c>
      <c r="K129" s="355" t="s">
        <v>5355</v>
      </c>
      <c r="L129" s="385" t="s">
        <v>542</v>
      </c>
      <c r="M129" s="385" t="s">
        <v>5184</v>
      </c>
      <c r="N129" s="411" t="s">
        <v>5374</v>
      </c>
      <c r="O129" s="323">
        <v>52</v>
      </c>
    </row>
    <row r="130" spans="2:15" ht="69.900000000000006" customHeight="1" x14ac:dyDescent="0.25">
      <c r="B130" s="323">
        <v>123</v>
      </c>
      <c r="C130" s="323">
        <v>6</v>
      </c>
      <c r="D130" s="319" t="s">
        <v>5368</v>
      </c>
      <c r="E130" s="358" t="s">
        <v>5341</v>
      </c>
      <c r="F130" s="320">
        <v>15500000</v>
      </c>
      <c r="G130" s="394" t="s">
        <v>5149</v>
      </c>
      <c r="H130" s="319" t="s">
        <v>5369</v>
      </c>
      <c r="I130" s="319" t="s">
        <v>5310</v>
      </c>
      <c r="J130" s="319" t="s">
        <v>4878</v>
      </c>
      <c r="K130" s="355" t="s">
        <v>5370</v>
      </c>
      <c r="L130" s="385" t="s">
        <v>542</v>
      </c>
      <c r="M130" s="385" t="s">
        <v>5184</v>
      </c>
      <c r="N130" s="411" t="s">
        <v>5374</v>
      </c>
      <c r="O130" s="323">
        <v>52</v>
      </c>
    </row>
    <row r="131" spans="2:15" ht="69.900000000000006" customHeight="1" x14ac:dyDescent="0.25">
      <c r="B131" s="323">
        <v>124</v>
      </c>
      <c r="C131" s="323">
        <v>6</v>
      </c>
      <c r="D131" s="319" t="s">
        <v>5347</v>
      </c>
      <c r="E131" s="358" t="s">
        <v>5341</v>
      </c>
      <c r="F131" s="320">
        <v>25000000</v>
      </c>
      <c r="G131" s="394" t="s">
        <v>5149</v>
      </c>
      <c r="H131" s="319" t="s">
        <v>5348</v>
      </c>
      <c r="I131" s="319" t="s">
        <v>5310</v>
      </c>
      <c r="J131" s="319" t="s">
        <v>4878</v>
      </c>
      <c r="K131" s="355" t="s">
        <v>5349</v>
      </c>
      <c r="L131" s="385" t="s">
        <v>542</v>
      </c>
      <c r="M131" s="385" t="s">
        <v>5184</v>
      </c>
      <c r="N131" s="411" t="s">
        <v>5374</v>
      </c>
      <c r="O131" s="323">
        <v>52</v>
      </c>
    </row>
    <row r="132" spans="2:15" ht="69.900000000000006" customHeight="1" x14ac:dyDescent="0.25">
      <c r="B132" s="323">
        <v>125</v>
      </c>
      <c r="C132" s="323">
        <v>6</v>
      </c>
      <c r="D132" s="319" t="s">
        <v>5384</v>
      </c>
      <c r="E132" s="358" t="s">
        <v>5381</v>
      </c>
      <c r="F132" s="320">
        <v>30000000</v>
      </c>
      <c r="G132" s="394" t="s">
        <v>4878</v>
      </c>
      <c r="H132" s="319" t="s">
        <v>5385</v>
      </c>
      <c r="I132" s="319" t="s">
        <v>5273</v>
      </c>
      <c r="J132" s="319" t="s">
        <v>4878</v>
      </c>
      <c r="K132" s="322" t="s">
        <v>5386</v>
      </c>
      <c r="L132" s="385" t="s">
        <v>542</v>
      </c>
      <c r="M132" s="385" t="s">
        <v>5184</v>
      </c>
      <c r="N132" s="411" t="s">
        <v>5374</v>
      </c>
      <c r="O132" s="323">
        <v>52</v>
      </c>
    </row>
    <row r="133" spans="2:15" ht="69.900000000000006" customHeight="1" x14ac:dyDescent="0.25">
      <c r="B133" s="323">
        <v>126</v>
      </c>
      <c r="C133" s="323">
        <v>6</v>
      </c>
      <c r="D133" s="319" t="s">
        <v>5389</v>
      </c>
      <c r="E133" s="358" t="s">
        <v>5381</v>
      </c>
      <c r="F133" s="320">
        <v>55500000</v>
      </c>
      <c r="G133" s="394" t="s">
        <v>5149</v>
      </c>
      <c r="H133" s="319" t="s">
        <v>5390</v>
      </c>
      <c r="I133" s="319" t="s">
        <v>5273</v>
      </c>
      <c r="J133" s="319" t="s">
        <v>4878</v>
      </c>
      <c r="K133" s="322" t="s">
        <v>5391</v>
      </c>
      <c r="L133" s="385" t="s">
        <v>542</v>
      </c>
      <c r="M133" s="385" t="s">
        <v>5184</v>
      </c>
      <c r="N133" s="411" t="s">
        <v>5374</v>
      </c>
      <c r="O133" s="323">
        <v>52</v>
      </c>
    </row>
    <row r="134" spans="2:15" ht="69.900000000000006" customHeight="1" x14ac:dyDescent="0.25">
      <c r="B134" s="323">
        <v>127</v>
      </c>
      <c r="C134" s="323">
        <v>6</v>
      </c>
      <c r="D134" s="319" t="s">
        <v>5392</v>
      </c>
      <c r="E134" s="358" t="s">
        <v>5381</v>
      </c>
      <c r="F134" s="320">
        <v>152000000</v>
      </c>
      <c r="G134" s="394" t="s">
        <v>5149</v>
      </c>
      <c r="H134" s="319" t="s">
        <v>5393</v>
      </c>
      <c r="I134" s="319" t="s">
        <v>5273</v>
      </c>
      <c r="J134" s="319" t="s">
        <v>4878</v>
      </c>
      <c r="K134" s="322" t="s">
        <v>5394</v>
      </c>
      <c r="L134" s="385" t="s">
        <v>542</v>
      </c>
      <c r="M134" s="385" t="s">
        <v>5184</v>
      </c>
      <c r="N134" s="411" t="s">
        <v>5374</v>
      </c>
      <c r="O134" s="323">
        <v>52</v>
      </c>
    </row>
    <row r="135" spans="2:15" ht="69.900000000000006" customHeight="1" x14ac:dyDescent="0.25">
      <c r="B135" s="323">
        <v>128</v>
      </c>
      <c r="C135" s="323">
        <v>6</v>
      </c>
      <c r="D135" s="319" t="s">
        <v>5395</v>
      </c>
      <c r="E135" s="358" t="s">
        <v>5381</v>
      </c>
      <c r="F135" s="320">
        <v>16250000</v>
      </c>
      <c r="G135" s="394" t="s">
        <v>5149</v>
      </c>
      <c r="H135" s="319" t="s">
        <v>5396</v>
      </c>
      <c r="I135" s="319" t="s">
        <v>5273</v>
      </c>
      <c r="J135" s="319" t="s">
        <v>4878</v>
      </c>
      <c r="K135" s="322" t="s">
        <v>5397</v>
      </c>
      <c r="L135" s="385" t="s">
        <v>542</v>
      </c>
      <c r="M135" s="385" t="s">
        <v>5184</v>
      </c>
      <c r="N135" s="411" t="s">
        <v>5374</v>
      </c>
      <c r="O135" s="323">
        <v>52</v>
      </c>
    </row>
    <row r="136" spans="2:15" ht="69.900000000000006" customHeight="1" x14ac:dyDescent="0.25">
      <c r="B136" s="323">
        <v>104</v>
      </c>
      <c r="C136" s="323">
        <v>6</v>
      </c>
      <c r="D136" s="319" t="s">
        <v>5261</v>
      </c>
      <c r="E136" s="358" t="s">
        <v>5262</v>
      </c>
      <c r="F136" s="354">
        <v>210863345</v>
      </c>
      <c r="G136" s="371" t="s">
        <v>5033</v>
      </c>
      <c r="H136" s="408" t="s">
        <v>5263</v>
      </c>
      <c r="I136" s="319" t="s">
        <v>5196</v>
      </c>
      <c r="J136" s="319" t="s">
        <v>4892</v>
      </c>
      <c r="K136" s="322" t="s">
        <v>5264</v>
      </c>
      <c r="L136" s="385" t="s">
        <v>576</v>
      </c>
      <c r="M136" s="385" t="s">
        <v>5185</v>
      </c>
      <c r="N136" s="411" t="s">
        <v>5375</v>
      </c>
      <c r="O136" s="323">
        <v>51</v>
      </c>
    </row>
    <row r="137" spans="2:15" ht="69.900000000000006" customHeight="1" x14ac:dyDescent="0.25">
      <c r="B137" s="323">
        <v>105</v>
      </c>
      <c r="C137" s="323">
        <v>6</v>
      </c>
      <c r="D137" s="319" t="s">
        <v>5265</v>
      </c>
      <c r="E137" s="358" t="s">
        <v>5262</v>
      </c>
      <c r="F137" s="354">
        <v>4697567</v>
      </c>
      <c r="G137" s="371" t="s">
        <v>5033</v>
      </c>
      <c r="H137" s="408" t="s">
        <v>5266</v>
      </c>
      <c r="I137" s="319" t="s">
        <v>5196</v>
      </c>
      <c r="J137" s="319" t="s">
        <v>4892</v>
      </c>
      <c r="K137" s="322" t="s">
        <v>5267</v>
      </c>
      <c r="L137" s="385" t="s">
        <v>576</v>
      </c>
      <c r="M137" s="385" t="s">
        <v>5185</v>
      </c>
      <c r="N137" s="411" t="s">
        <v>5375</v>
      </c>
      <c r="O137" s="323">
        <v>51</v>
      </c>
    </row>
    <row r="138" spans="2:15" ht="69.900000000000006" customHeight="1" x14ac:dyDescent="0.25">
      <c r="B138" s="323">
        <v>106</v>
      </c>
      <c r="C138" s="323">
        <v>6</v>
      </c>
      <c r="D138" s="319" t="s">
        <v>5380</v>
      </c>
      <c r="E138" s="358" t="s">
        <v>5381</v>
      </c>
      <c r="F138" s="320">
        <v>241668914</v>
      </c>
      <c r="G138" s="371" t="s">
        <v>4878</v>
      </c>
      <c r="H138" s="319" t="s">
        <v>5382</v>
      </c>
      <c r="I138" s="319" t="s">
        <v>5341</v>
      </c>
      <c r="J138" s="319" t="s">
        <v>4878</v>
      </c>
      <c r="K138" s="322" t="s">
        <v>5383</v>
      </c>
      <c r="L138" s="385" t="s">
        <v>576</v>
      </c>
      <c r="M138" s="385" t="s">
        <v>5185</v>
      </c>
      <c r="N138" s="410" t="s">
        <v>5375</v>
      </c>
      <c r="O138" s="323">
        <v>51</v>
      </c>
    </row>
    <row r="139" spans="2:15" ht="69.900000000000006" customHeight="1" x14ac:dyDescent="0.25">
      <c r="B139" s="323">
        <v>129</v>
      </c>
      <c r="C139" s="323">
        <v>6</v>
      </c>
      <c r="D139" s="319" t="s">
        <v>5268</v>
      </c>
      <c r="E139" s="358" t="s">
        <v>5262</v>
      </c>
      <c r="F139" s="354">
        <v>63640000</v>
      </c>
      <c r="G139" s="366" t="s">
        <v>4889</v>
      </c>
      <c r="H139" s="408" t="s">
        <v>5269</v>
      </c>
      <c r="I139" s="319" t="s">
        <v>5210</v>
      </c>
      <c r="J139" s="319" t="s">
        <v>4892</v>
      </c>
      <c r="K139" s="322" t="s">
        <v>5270</v>
      </c>
      <c r="L139" s="385" t="s">
        <v>576</v>
      </c>
      <c r="M139" s="385" t="s">
        <v>5183</v>
      </c>
      <c r="N139" s="411" t="s">
        <v>5376</v>
      </c>
      <c r="O139" s="323">
        <v>52</v>
      </c>
    </row>
    <row r="140" spans="2:15" ht="69.900000000000006" customHeight="1" x14ac:dyDescent="0.25">
      <c r="B140" s="323">
        <v>130</v>
      </c>
      <c r="C140" s="323">
        <v>6</v>
      </c>
      <c r="D140" s="319" t="s">
        <v>5306</v>
      </c>
      <c r="E140" s="358" t="s">
        <v>5273</v>
      </c>
      <c r="F140" s="320">
        <v>3000000</v>
      </c>
      <c r="G140" s="395" t="s">
        <v>4878</v>
      </c>
      <c r="H140" s="321" t="s">
        <v>5307</v>
      </c>
      <c r="I140" s="319" t="s">
        <v>5227</v>
      </c>
      <c r="J140" s="319" t="s">
        <v>4878</v>
      </c>
      <c r="K140" s="322" t="s">
        <v>5308</v>
      </c>
      <c r="L140" s="398" t="s">
        <v>531</v>
      </c>
      <c r="M140" s="398" t="s">
        <v>5218</v>
      </c>
      <c r="N140" s="411"/>
      <c r="O140" s="323">
        <v>52</v>
      </c>
    </row>
    <row r="141" spans="2:15" ht="69.900000000000006" customHeight="1" x14ac:dyDescent="0.25">
      <c r="B141" s="323">
        <v>131</v>
      </c>
      <c r="C141" s="323">
        <v>6</v>
      </c>
      <c r="D141" s="353" t="s">
        <v>5325</v>
      </c>
      <c r="E141" s="359" t="s">
        <v>5310</v>
      </c>
      <c r="F141" s="354">
        <v>6450000</v>
      </c>
      <c r="G141" s="395" t="s">
        <v>4878</v>
      </c>
      <c r="H141" s="353" t="s">
        <v>5326</v>
      </c>
      <c r="I141" s="353" t="s">
        <v>5273</v>
      </c>
      <c r="J141" s="353" t="s">
        <v>4878</v>
      </c>
      <c r="K141" s="355" t="s">
        <v>5327</v>
      </c>
      <c r="L141" s="385" t="s">
        <v>542</v>
      </c>
      <c r="M141" s="385" t="s">
        <v>5184</v>
      </c>
      <c r="N141" s="411"/>
      <c r="O141" s="323">
        <v>52</v>
      </c>
    </row>
    <row r="142" spans="2:15" ht="69.900000000000006" customHeight="1" x14ac:dyDescent="0.25">
      <c r="B142" s="323">
        <v>132</v>
      </c>
      <c r="C142" s="323">
        <v>6</v>
      </c>
      <c r="D142" s="319" t="s">
        <v>5297</v>
      </c>
      <c r="E142" s="358" t="s">
        <v>5273</v>
      </c>
      <c r="F142" s="320">
        <v>11343740</v>
      </c>
      <c r="G142" s="395" t="s">
        <v>4878</v>
      </c>
      <c r="H142" s="321" t="s">
        <v>5298</v>
      </c>
      <c r="I142" s="319" t="s">
        <v>5272</v>
      </c>
      <c r="J142" s="319" t="s">
        <v>4878</v>
      </c>
      <c r="K142" s="322" t="s">
        <v>5299</v>
      </c>
      <c r="L142" s="385" t="s">
        <v>535</v>
      </c>
      <c r="M142" s="385" t="s">
        <v>5220</v>
      </c>
      <c r="N142" s="411"/>
      <c r="O142" s="323">
        <v>52</v>
      </c>
    </row>
    <row r="143" spans="2:15" ht="69.900000000000006" customHeight="1" x14ac:dyDescent="0.25">
      <c r="B143" s="323">
        <v>133</v>
      </c>
      <c r="C143" s="323">
        <v>6</v>
      </c>
      <c r="D143" s="319" t="s">
        <v>5282</v>
      </c>
      <c r="E143" s="358" t="s">
        <v>5273</v>
      </c>
      <c r="F143" s="320">
        <v>2118000</v>
      </c>
      <c r="G143" s="395" t="s">
        <v>4878</v>
      </c>
      <c r="H143" s="321" t="s">
        <v>5283</v>
      </c>
      <c r="I143" s="319" t="s">
        <v>5272</v>
      </c>
      <c r="J143" s="319" t="s">
        <v>4878</v>
      </c>
      <c r="K143" s="322" t="s">
        <v>5284</v>
      </c>
      <c r="L143" s="385" t="s">
        <v>542</v>
      </c>
      <c r="M143" s="385" t="s">
        <v>5221</v>
      </c>
      <c r="N143" s="411"/>
      <c r="O143" s="323">
        <v>52</v>
      </c>
    </row>
    <row r="144" spans="2:15" ht="69.900000000000006" customHeight="1" x14ac:dyDescent="0.25">
      <c r="B144" s="323">
        <v>134</v>
      </c>
      <c r="C144" s="323">
        <v>6</v>
      </c>
      <c r="D144" s="319" t="s">
        <v>5300</v>
      </c>
      <c r="E144" s="358" t="s">
        <v>5273</v>
      </c>
      <c r="F144" s="320">
        <v>11404870</v>
      </c>
      <c r="G144" s="395" t="s">
        <v>4878</v>
      </c>
      <c r="H144" s="321" t="s">
        <v>5301</v>
      </c>
      <c r="I144" s="319" t="s">
        <v>5272</v>
      </c>
      <c r="J144" s="319" t="s">
        <v>4878</v>
      </c>
      <c r="K144" s="322" t="s">
        <v>5302</v>
      </c>
      <c r="L144" s="385" t="s">
        <v>535</v>
      </c>
      <c r="M144" s="385" t="s">
        <v>5220</v>
      </c>
      <c r="N144" s="411"/>
      <c r="O144" s="323">
        <v>52</v>
      </c>
    </row>
    <row r="145" spans="2:15" ht="69.900000000000006" customHeight="1" x14ac:dyDescent="0.25">
      <c r="B145" s="323">
        <v>135</v>
      </c>
      <c r="C145" s="323">
        <v>6</v>
      </c>
      <c r="D145" s="319" t="s">
        <v>5285</v>
      </c>
      <c r="E145" s="358" t="s">
        <v>5273</v>
      </c>
      <c r="F145" s="320">
        <v>7200000</v>
      </c>
      <c r="G145" s="395" t="s">
        <v>4878</v>
      </c>
      <c r="H145" s="321" t="s">
        <v>5286</v>
      </c>
      <c r="I145" s="319" t="s">
        <v>5272</v>
      </c>
      <c r="J145" s="319" t="s">
        <v>4878</v>
      </c>
      <c r="K145" s="322" t="s">
        <v>5287</v>
      </c>
      <c r="L145" s="385" t="s">
        <v>535</v>
      </c>
      <c r="M145" s="385" t="s">
        <v>5217</v>
      </c>
      <c r="N145" s="411"/>
      <c r="O145" s="323">
        <v>52</v>
      </c>
    </row>
    <row r="146" spans="2:15" ht="69.900000000000006" customHeight="1" x14ac:dyDescent="0.25">
      <c r="B146" s="323">
        <v>136</v>
      </c>
      <c r="C146" s="323">
        <v>6</v>
      </c>
      <c r="D146" s="319" t="s">
        <v>5279</v>
      </c>
      <c r="E146" s="358" t="s">
        <v>5273</v>
      </c>
      <c r="F146" s="320">
        <v>10500000</v>
      </c>
      <c r="G146" s="395" t="s">
        <v>4878</v>
      </c>
      <c r="H146" s="321" t="s">
        <v>5280</v>
      </c>
      <c r="I146" s="319" t="s">
        <v>5272</v>
      </c>
      <c r="J146" s="319" t="s">
        <v>4878</v>
      </c>
      <c r="K146" s="322" t="s">
        <v>5281</v>
      </c>
      <c r="L146" s="385" t="s">
        <v>542</v>
      </c>
      <c r="M146" s="385" t="s">
        <v>5184</v>
      </c>
      <c r="N146" s="411"/>
      <c r="O146" s="323">
        <v>52</v>
      </c>
    </row>
    <row r="147" spans="2:15" ht="69.900000000000006" customHeight="1" x14ac:dyDescent="0.25">
      <c r="B147" s="323">
        <v>137</v>
      </c>
      <c r="C147" s="323">
        <v>6</v>
      </c>
      <c r="D147" s="353" t="s">
        <v>5334</v>
      </c>
      <c r="E147" s="359" t="s">
        <v>5310</v>
      </c>
      <c r="F147" s="354">
        <v>1650000</v>
      </c>
      <c r="G147" s="395" t="s">
        <v>4878</v>
      </c>
      <c r="H147" s="353" t="s">
        <v>5335</v>
      </c>
      <c r="I147" s="353" t="s">
        <v>5273</v>
      </c>
      <c r="J147" s="353" t="s">
        <v>4878</v>
      </c>
      <c r="K147" s="355" t="s">
        <v>5336</v>
      </c>
      <c r="L147" s="385" t="s">
        <v>535</v>
      </c>
      <c r="M147" s="385" t="s">
        <v>5220</v>
      </c>
      <c r="N147" s="323"/>
      <c r="O147" s="323">
        <v>52</v>
      </c>
    </row>
    <row r="148" spans="2:15" ht="69.900000000000006" customHeight="1" x14ac:dyDescent="0.25">
      <c r="B148" s="323">
        <v>138</v>
      </c>
      <c r="C148" s="323">
        <v>6</v>
      </c>
      <c r="D148" s="353" t="s">
        <v>5337</v>
      </c>
      <c r="E148" s="359" t="s">
        <v>5310</v>
      </c>
      <c r="F148" s="354">
        <v>4074431</v>
      </c>
      <c r="G148" s="395" t="s">
        <v>4878</v>
      </c>
      <c r="H148" s="353" t="s">
        <v>5338</v>
      </c>
      <c r="I148" s="353" t="s">
        <v>5273</v>
      </c>
      <c r="J148" s="353" t="s">
        <v>4878</v>
      </c>
      <c r="K148" s="355" t="s">
        <v>5339</v>
      </c>
      <c r="L148" s="385" t="s">
        <v>542</v>
      </c>
      <c r="M148" s="385" t="s">
        <v>5221</v>
      </c>
      <c r="N148" s="323"/>
      <c r="O148" s="323">
        <v>52</v>
      </c>
    </row>
    <row r="149" spans="2:15" ht="69.900000000000006" customHeight="1" x14ac:dyDescent="0.25">
      <c r="B149" s="323">
        <v>139</v>
      </c>
      <c r="C149" s="323">
        <v>6</v>
      </c>
      <c r="D149" s="353" t="s">
        <v>5316</v>
      </c>
      <c r="E149" s="359" t="s">
        <v>5310</v>
      </c>
      <c r="F149" s="354">
        <v>15880573</v>
      </c>
      <c r="G149" s="400" t="s">
        <v>4878</v>
      </c>
      <c r="H149" s="353" t="s">
        <v>5317</v>
      </c>
      <c r="I149" s="353" t="s">
        <v>5273</v>
      </c>
      <c r="J149" s="353" t="s">
        <v>4878</v>
      </c>
      <c r="K149" s="355" t="s">
        <v>5318</v>
      </c>
      <c r="L149" s="385" t="s">
        <v>542</v>
      </c>
      <c r="M149" s="385" t="s">
        <v>5184</v>
      </c>
      <c r="N149" s="323"/>
      <c r="O149" s="323">
        <v>52</v>
      </c>
    </row>
    <row r="150" spans="2:15" ht="69.900000000000006" customHeight="1" x14ac:dyDescent="0.25">
      <c r="B150" s="323">
        <v>140</v>
      </c>
      <c r="C150" s="323">
        <v>6</v>
      </c>
      <c r="D150" s="319" t="s">
        <v>5365</v>
      </c>
      <c r="E150" s="358" t="s">
        <v>5341</v>
      </c>
      <c r="F150" s="320">
        <v>3700700</v>
      </c>
      <c r="G150" s="395" t="s">
        <v>4878</v>
      </c>
      <c r="H150" s="319" t="s">
        <v>5366</v>
      </c>
      <c r="I150" s="319" t="s">
        <v>5273</v>
      </c>
      <c r="J150" s="319" t="s">
        <v>4878</v>
      </c>
      <c r="K150" s="355" t="s">
        <v>5367</v>
      </c>
      <c r="L150" s="385" t="s">
        <v>535</v>
      </c>
      <c r="M150" s="385" t="s">
        <v>5220</v>
      </c>
      <c r="N150" s="323"/>
      <c r="O150" s="323">
        <v>52</v>
      </c>
    </row>
    <row r="151" spans="2:15" ht="69.900000000000006" customHeight="1" x14ac:dyDescent="0.25">
      <c r="B151" s="323">
        <v>141</v>
      </c>
      <c r="C151" s="323">
        <v>6</v>
      </c>
      <c r="D151" s="353" t="s">
        <v>5313</v>
      </c>
      <c r="E151" s="359" t="s">
        <v>5310</v>
      </c>
      <c r="F151" s="354">
        <v>3840000</v>
      </c>
      <c r="G151" s="400" t="s">
        <v>4878</v>
      </c>
      <c r="H151" s="353" t="s">
        <v>5314</v>
      </c>
      <c r="I151" s="353" t="s">
        <v>5273</v>
      </c>
      <c r="J151" s="353" t="s">
        <v>4878</v>
      </c>
      <c r="K151" s="355" t="s">
        <v>5315</v>
      </c>
      <c r="L151" s="385" t="s">
        <v>542</v>
      </c>
      <c r="M151" s="385" t="s">
        <v>5184</v>
      </c>
      <c r="N151" s="323"/>
      <c r="O151" s="323">
        <v>52</v>
      </c>
    </row>
    <row r="152" spans="2:15" ht="69.900000000000006" customHeight="1" x14ac:dyDescent="0.25">
      <c r="B152" s="323">
        <v>142</v>
      </c>
      <c r="C152" s="323">
        <v>6</v>
      </c>
      <c r="D152" s="353" t="s">
        <v>5322</v>
      </c>
      <c r="E152" s="359" t="s">
        <v>5310</v>
      </c>
      <c r="F152" s="354">
        <v>25425327</v>
      </c>
      <c r="G152" s="400" t="s">
        <v>4878</v>
      </c>
      <c r="H152" s="353" t="s">
        <v>5323</v>
      </c>
      <c r="I152" s="353" t="s">
        <v>5273</v>
      </c>
      <c r="J152" s="353" t="s">
        <v>4878</v>
      </c>
      <c r="K152" s="355" t="s">
        <v>5324</v>
      </c>
      <c r="L152" s="385" t="s">
        <v>531</v>
      </c>
      <c r="M152" s="385" t="s">
        <v>5218</v>
      </c>
      <c r="N152" s="323"/>
      <c r="O152" s="323">
        <v>52</v>
      </c>
    </row>
    <row r="153" spans="2:15" ht="69.900000000000006" customHeight="1" x14ac:dyDescent="0.25">
      <c r="B153" s="323">
        <v>143</v>
      </c>
      <c r="C153" s="323">
        <v>6</v>
      </c>
      <c r="D153" s="353" t="s">
        <v>5319</v>
      </c>
      <c r="E153" s="359" t="s">
        <v>5310</v>
      </c>
      <c r="F153" s="354">
        <v>15508650</v>
      </c>
      <c r="G153" s="400" t="s">
        <v>4878</v>
      </c>
      <c r="H153" s="353" t="s">
        <v>5320</v>
      </c>
      <c r="I153" s="353" t="s">
        <v>5273</v>
      </c>
      <c r="J153" s="353" t="s">
        <v>4878</v>
      </c>
      <c r="K153" s="355" t="s">
        <v>5321</v>
      </c>
      <c r="L153" s="385" t="s">
        <v>535</v>
      </c>
      <c r="M153" s="385" t="s">
        <v>5217</v>
      </c>
      <c r="N153" s="323"/>
      <c r="O153" s="323">
        <v>52</v>
      </c>
    </row>
    <row r="154" spans="2:15" ht="69.900000000000006" customHeight="1" x14ac:dyDescent="0.25">
      <c r="B154" s="323">
        <v>144</v>
      </c>
      <c r="C154" s="323">
        <v>6</v>
      </c>
      <c r="D154" s="353" t="s">
        <v>5328</v>
      </c>
      <c r="E154" s="359" t="s">
        <v>5310</v>
      </c>
      <c r="F154" s="354">
        <v>27294800</v>
      </c>
      <c r="G154" s="395" t="s">
        <v>4878</v>
      </c>
      <c r="H154" s="353" t="s">
        <v>5329</v>
      </c>
      <c r="I154" s="353" t="s">
        <v>5273</v>
      </c>
      <c r="J154" s="353" t="s">
        <v>4878</v>
      </c>
      <c r="K154" s="355" t="s">
        <v>5330</v>
      </c>
      <c r="L154" s="385" t="s">
        <v>535</v>
      </c>
      <c r="M154" s="385" t="s">
        <v>5217</v>
      </c>
      <c r="N154" s="323"/>
      <c r="O154" s="323">
        <v>52</v>
      </c>
    </row>
    <row r="155" spans="2:15" ht="69.900000000000006" customHeight="1" x14ac:dyDescent="0.25">
      <c r="B155" s="323">
        <v>145</v>
      </c>
      <c r="C155" s="323">
        <v>6</v>
      </c>
      <c r="D155" s="319" t="s">
        <v>5387</v>
      </c>
      <c r="E155" s="358" t="s">
        <v>5381</v>
      </c>
      <c r="F155" s="320">
        <v>7559500</v>
      </c>
      <c r="G155" s="369" t="s">
        <v>4902</v>
      </c>
      <c r="H155" s="319" t="s">
        <v>5388</v>
      </c>
      <c r="I155" s="319" t="s">
        <v>5341</v>
      </c>
      <c r="J155" s="319" t="s">
        <v>4905</v>
      </c>
      <c r="K155" s="322" t="s">
        <v>5228</v>
      </c>
      <c r="L155" s="385"/>
      <c r="M155" s="385"/>
      <c r="N155" s="410"/>
      <c r="O155" s="323">
        <v>52</v>
      </c>
    </row>
    <row r="156" spans="2:15" ht="69.900000000000006" customHeight="1" x14ac:dyDescent="0.25">
      <c r="B156" s="323">
        <v>146</v>
      </c>
      <c r="C156" s="323">
        <v>6</v>
      </c>
      <c r="D156" s="415" t="s">
        <v>5403</v>
      </c>
      <c r="E156" s="416" t="s">
        <v>5404</v>
      </c>
      <c r="F156" s="417">
        <v>136770850</v>
      </c>
      <c r="G156" s="394" t="s">
        <v>4878</v>
      </c>
      <c r="H156" s="415" t="s">
        <v>5405</v>
      </c>
      <c r="I156" s="415" t="s">
        <v>5406</v>
      </c>
      <c r="J156" s="415" t="s">
        <v>4878</v>
      </c>
      <c r="K156" s="419" t="s">
        <v>5407</v>
      </c>
      <c r="L156" s="385" t="s">
        <v>542</v>
      </c>
      <c r="M156" s="385" t="s">
        <v>5184</v>
      </c>
      <c r="N156" s="411" t="s">
        <v>5374</v>
      </c>
      <c r="O156" s="323">
        <v>52</v>
      </c>
    </row>
    <row r="157" spans="2:15" ht="69.900000000000006" customHeight="1" x14ac:dyDescent="0.25">
      <c r="B157" s="323">
        <v>147</v>
      </c>
      <c r="C157" s="323">
        <v>6</v>
      </c>
      <c r="D157" s="319" t="s">
        <v>5408</v>
      </c>
      <c r="E157" s="358" t="s">
        <v>5404</v>
      </c>
      <c r="F157" s="320">
        <v>48815040</v>
      </c>
      <c r="G157" s="395" t="s">
        <v>4878</v>
      </c>
      <c r="H157" s="319" t="s">
        <v>5409</v>
      </c>
      <c r="I157" s="319" t="s">
        <v>5406</v>
      </c>
      <c r="J157" s="319" t="s">
        <v>4878</v>
      </c>
      <c r="K157" s="355" t="s">
        <v>5410</v>
      </c>
      <c r="L157" s="385" t="s">
        <v>535</v>
      </c>
      <c r="M157" s="385" t="s">
        <v>5217</v>
      </c>
      <c r="N157" s="410"/>
      <c r="O157" s="323">
        <v>52</v>
      </c>
    </row>
    <row r="158" spans="2:15" ht="69.900000000000006" customHeight="1" x14ac:dyDescent="0.25">
      <c r="B158" s="323">
        <v>148</v>
      </c>
      <c r="C158" s="323">
        <v>6</v>
      </c>
      <c r="D158" s="319" t="s">
        <v>5411</v>
      </c>
      <c r="E158" s="358" t="s">
        <v>5404</v>
      </c>
      <c r="F158" s="320">
        <v>360000</v>
      </c>
      <c r="G158" s="395" t="s">
        <v>4878</v>
      </c>
      <c r="H158" s="319" t="s">
        <v>5412</v>
      </c>
      <c r="I158" s="319" t="s">
        <v>5406</v>
      </c>
      <c r="J158" s="319" t="s">
        <v>4878</v>
      </c>
      <c r="K158" s="355" t="s">
        <v>5413</v>
      </c>
      <c r="L158" s="385" t="s">
        <v>531</v>
      </c>
      <c r="M158" s="385" t="s">
        <v>5219</v>
      </c>
      <c r="N158" s="410"/>
      <c r="O158" s="323">
        <v>52</v>
      </c>
    </row>
    <row r="159" spans="2:15" ht="69.900000000000006" customHeight="1" x14ac:dyDescent="0.25">
      <c r="B159" s="323">
        <v>149</v>
      </c>
      <c r="C159" s="323">
        <v>6</v>
      </c>
      <c r="D159" s="415" t="s">
        <v>5414</v>
      </c>
      <c r="E159" s="416" t="s">
        <v>5404</v>
      </c>
      <c r="F159" s="417">
        <v>2110000</v>
      </c>
      <c r="G159" s="395" t="s">
        <v>4878</v>
      </c>
      <c r="H159" s="415" t="s">
        <v>5415</v>
      </c>
      <c r="I159" s="415" t="s">
        <v>5406</v>
      </c>
      <c r="J159" s="415" t="s">
        <v>4878</v>
      </c>
      <c r="K159" s="419" t="s">
        <v>5416</v>
      </c>
      <c r="L159" s="418" t="s">
        <v>531</v>
      </c>
      <c r="M159" s="418" t="s">
        <v>5218</v>
      </c>
      <c r="N159" s="414"/>
      <c r="O159" s="323">
        <v>52</v>
      </c>
    </row>
    <row r="160" spans="2:15" ht="69.900000000000006" customHeight="1" x14ac:dyDescent="0.25">
      <c r="B160" s="323">
        <v>150</v>
      </c>
      <c r="C160" s="323">
        <v>6</v>
      </c>
      <c r="D160" s="319" t="s">
        <v>5417</v>
      </c>
      <c r="E160" s="358" t="s">
        <v>5404</v>
      </c>
      <c r="F160" s="320">
        <v>9185000</v>
      </c>
      <c r="G160" s="395" t="s">
        <v>4878</v>
      </c>
      <c r="H160" s="319" t="s">
        <v>5418</v>
      </c>
      <c r="I160" s="319" t="s">
        <v>5406</v>
      </c>
      <c r="J160" s="319" t="s">
        <v>4878</v>
      </c>
      <c r="K160" s="355" t="s">
        <v>5419</v>
      </c>
      <c r="L160" s="385" t="s">
        <v>542</v>
      </c>
      <c r="M160" s="385" t="s">
        <v>5221</v>
      </c>
      <c r="N160" s="410"/>
      <c r="O160" s="323">
        <v>52</v>
      </c>
    </row>
    <row r="161" spans="2:15" ht="69.900000000000006" customHeight="1" x14ac:dyDescent="0.25">
      <c r="B161" s="323">
        <v>151</v>
      </c>
      <c r="C161" s="323">
        <v>6</v>
      </c>
      <c r="D161" s="319" t="s">
        <v>5420</v>
      </c>
      <c r="E161" s="358" t="s">
        <v>5404</v>
      </c>
      <c r="F161" s="320">
        <v>14635000</v>
      </c>
      <c r="G161" s="395" t="s">
        <v>4878</v>
      </c>
      <c r="H161" s="319" t="s">
        <v>5421</v>
      </c>
      <c r="I161" s="319" t="s">
        <v>5406</v>
      </c>
      <c r="J161" s="319" t="s">
        <v>4878</v>
      </c>
      <c r="K161" s="355" t="s">
        <v>5422</v>
      </c>
      <c r="L161" s="385" t="s">
        <v>542</v>
      </c>
      <c r="M161" s="385" t="s">
        <v>5184</v>
      </c>
      <c r="N161" s="410"/>
      <c r="O161" s="323">
        <v>52</v>
      </c>
    </row>
    <row r="162" spans="2:15" ht="69.900000000000006" customHeight="1" x14ac:dyDescent="0.25">
      <c r="B162" s="323">
        <v>152</v>
      </c>
      <c r="C162" s="323">
        <v>6</v>
      </c>
      <c r="D162" s="415" t="s">
        <v>5423</v>
      </c>
      <c r="E162" s="416" t="s">
        <v>5404</v>
      </c>
      <c r="F162" s="417">
        <v>25208100</v>
      </c>
      <c r="G162" s="395" t="s">
        <v>4878</v>
      </c>
      <c r="H162" s="415" t="s">
        <v>5424</v>
      </c>
      <c r="I162" s="415" t="s">
        <v>5406</v>
      </c>
      <c r="J162" s="415" t="s">
        <v>4878</v>
      </c>
      <c r="K162" s="419" t="s">
        <v>5425</v>
      </c>
      <c r="L162" s="418" t="s">
        <v>542</v>
      </c>
      <c r="M162" s="418" t="s">
        <v>5221</v>
      </c>
      <c r="N162" s="414"/>
      <c r="O162" s="323">
        <v>52</v>
      </c>
    </row>
    <row r="163" spans="2:15" ht="69.900000000000006" customHeight="1" x14ac:dyDescent="0.25">
      <c r="B163" s="323">
        <v>153</v>
      </c>
      <c r="C163" s="323">
        <v>6</v>
      </c>
      <c r="D163" s="319" t="s">
        <v>5426</v>
      </c>
      <c r="E163" s="358" t="s">
        <v>5404</v>
      </c>
      <c r="F163" s="320">
        <v>9875000</v>
      </c>
      <c r="G163" s="394" t="s">
        <v>4878</v>
      </c>
      <c r="H163" s="319" t="s">
        <v>5427</v>
      </c>
      <c r="I163" s="319" t="s">
        <v>5406</v>
      </c>
      <c r="J163" s="319" t="s">
        <v>4878</v>
      </c>
      <c r="K163" s="355" t="s">
        <v>5428</v>
      </c>
      <c r="L163" s="385" t="s">
        <v>542</v>
      </c>
      <c r="M163" s="385" t="s">
        <v>5184</v>
      </c>
      <c r="N163" s="411" t="s">
        <v>5374</v>
      </c>
      <c r="O163" s="323">
        <v>52</v>
      </c>
    </row>
    <row r="164" spans="2:15" ht="69.900000000000006" customHeight="1" x14ac:dyDescent="0.25">
      <c r="B164" s="323">
        <v>154</v>
      </c>
      <c r="C164" s="323">
        <v>6</v>
      </c>
      <c r="D164" s="319" t="s">
        <v>5429</v>
      </c>
      <c r="E164" s="358" t="s">
        <v>5404</v>
      </c>
      <c r="F164" s="320">
        <v>3950000</v>
      </c>
      <c r="G164" s="394" t="s">
        <v>4878</v>
      </c>
      <c r="H164" s="319" t="s">
        <v>5430</v>
      </c>
      <c r="I164" s="319" t="s">
        <v>5406</v>
      </c>
      <c r="J164" s="319" t="s">
        <v>4878</v>
      </c>
      <c r="K164" s="355" t="s">
        <v>5431</v>
      </c>
      <c r="L164" s="385" t="s">
        <v>542</v>
      </c>
      <c r="M164" s="385" t="s">
        <v>5184</v>
      </c>
      <c r="N164" s="411" t="s">
        <v>5374</v>
      </c>
      <c r="O164" s="323">
        <v>52</v>
      </c>
    </row>
    <row r="165" spans="2:15" ht="69.900000000000006" customHeight="1" x14ac:dyDescent="0.25">
      <c r="B165" s="323">
        <v>155</v>
      </c>
      <c r="C165" s="323">
        <v>6</v>
      </c>
      <c r="D165" s="415" t="s">
        <v>5432</v>
      </c>
      <c r="E165" s="416" t="s">
        <v>5404</v>
      </c>
      <c r="F165" s="417">
        <v>3950000</v>
      </c>
      <c r="G165" s="394" t="s">
        <v>4878</v>
      </c>
      <c r="H165" s="415" t="s">
        <v>5433</v>
      </c>
      <c r="I165" s="415" t="s">
        <v>5406</v>
      </c>
      <c r="J165" s="415" t="s">
        <v>4878</v>
      </c>
      <c r="K165" s="419" t="s">
        <v>5431</v>
      </c>
      <c r="L165" s="385" t="s">
        <v>542</v>
      </c>
      <c r="M165" s="385" t="s">
        <v>5184</v>
      </c>
      <c r="N165" s="411" t="s">
        <v>5374</v>
      </c>
      <c r="O165" s="323">
        <v>52</v>
      </c>
    </row>
    <row r="166" spans="2:15" ht="69.900000000000006" customHeight="1" x14ac:dyDescent="0.25">
      <c r="B166" s="323">
        <v>156</v>
      </c>
      <c r="C166" s="410">
        <v>6</v>
      </c>
      <c r="D166" s="319" t="s">
        <v>5434</v>
      </c>
      <c r="E166" s="358" t="s">
        <v>5435</v>
      </c>
      <c r="F166" s="320">
        <v>424528</v>
      </c>
      <c r="G166" s="371" t="s">
        <v>4878</v>
      </c>
      <c r="H166" s="319" t="s">
        <v>5436</v>
      </c>
      <c r="I166" s="319" t="s">
        <v>5406</v>
      </c>
      <c r="J166" s="319" t="s">
        <v>4878</v>
      </c>
      <c r="K166" s="355" t="s">
        <v>5437</v>
      </c>
      <c r="L166" s="385" t="s">
        <v>576</v>
      </c>
      <c r="M166" s="385" t="s">
        <v>5185</v>
      </c>
      <c r="N166" s="411" t="s">
        <v>5375</v>
      </c>
      <c r="O166" s="410">
        <v>51</v>
      </c>
    </row>
    <row r="167" spans="2:15" ht="69.900000000000006" customHeight="1" x14ac:dyDescent="0.25">
      <c r="B167" s="323">
        <v>157</v>
      </c>
      <c r="C167" s="414">
        <v>6</v>
      </c>
      <c r="D167" s="415" t="s">
        <v>5438</v>
      </c>
      <c r="E167" s="416" t="s">
        <v>5435</v>
      </c>
      <c r="F167" s="417">
        <v>16698000</v>
      </c>
      <c r="G167" s="371" t="s">
        <v>5049</v>
      </c>
      <c r="H167" s="415" t="s">
        <v>5439</v>
      </c>
      <c r="I167" s="415" t="s">
        <v>5406</v>
      </c>
      <c r="J167" s="415" t="s">
        <v>4878</v>
      </c>
      <c r="K167" s="419" t="s">
        <v>5440</v>
      </c>
      <c r="L167" s="385" t="s">
        <v>576</v>
      </c>
      <c r="M167" s="385" t="s">
        <v>5185</v>
      </c>
      <c r="N167" s="411" t="s">
        <v>5375</v>
      </c>
      <c r="O167" s="414">
        <v>51</v>
      </c>
    </row>
    <row r="168" spans="2:15" ht="69.900000000000006" customHeight="1" x14ac:dyDescent="0.25">
      <c r="B168" s="323">
        <v>158</v>
      </c>
      <c r="C168" s="414">
        <v>6</v>
      </c>
      <c r="D168" s="319" t="s">
        <v>5442</v>
      </c>
      <c r="E168" s="358" t="s">
        <v>5443</v>
      </c>
      <c r="F168" s="320">
        <v>1200000</v>
      </c>
      <c r="G168" s="395" t="s">
        <v>4878</v>
      </c>
      <c r="H168" s="319" t="s">
        <v>5444</v>
      </c>
      <c r="I168" s="319" t="s">
        <v>5445</v>
      </c>
      <c r="J168" s="319" t="s">
        <v>4878</v>
      </c>
      <c r="K168" s="322" t="s">
        <v>5446</v>
      </c>
      <c r="L168" s="418" t="s">
        <v>531</v>
      </c>
      <c r="M168" s="418" t="s">
        <v>5218</v>
      </c>
      <c r="N168" s="410"/>
      <c r="O168" s="410">
        <v>52</v>
      </c>
    </row>
    <row r="169" spans="2:15" ht="69.900000000000006" customHeight="1" x14ac:dyDescent="0.25">
      <c r="B169" s="323">
        <v>159</v>
      </c>
      <c r="C169" s="414">
        <v>6</v>
      </c>
      <c r="D169" s="415" t="s">
        <v>5447</v>
      </c>
      <c r="E169" s="416" t="s">
        <v>5443</v>
      </c>
      <c r="F169" s="417">
        <v>9950000</v>
      </c>
      <c r="G169" s="394" t="s">
        <v>5149</v>
      </c>
      <c r="H169" s="415" t="s">
        <v>5448</v>
      </c>
      <c r="I169" s="415" t="s">
        <v>5445</v>
      </c>
      <c r="J169" s="415" t="s">
        <v>4878</v>
      </c>
      <c r="K169" s="420" t="s">
        <v>5449</v>
      </c>
      <c r="L169" s="385" t="s">
        <v>542</v>
      </c>
      <c r="M169" s="385" t="s">
        <v>5184</v>
      </c>
      <c r="N169" s="411" t="s">
        <v>5374</v>
      </c>
      <c r="O169" s="414">
        <v>52</v>
      </c>
    </row>
    <row r="170" spans="2:15" ht="69.900000000000006" customHeight="1" x14ac:dyDescent="0.25">
      <c r="B170" s="323">
        <v>160</v>
      </c>
      <c r="C170" s="414">
        <v>6</v>
      </c>
      <c r="D170" s="415" t="s">
        <v>5450</v>
      </c>
      <c r="E170" s="416" t="s">
        <v>5443</v>
      </c>
      <c r="F170" s="417">
        <v>1810000</v>
      </c>
      <c r="G170" s="395" t="s">
        <v>4878</v>
      </c>
      <c r="H170" s="415" t="s">
        <v>5451</v>
      </c>
      <c r="I170" s="415" t="s">
        <v>5445</v>
      </c>
      <c r="J170" s="415" t="s">
        <v>4878</v>
      </c>
      <c r="K170" s="420" t="s">
        <v>5452</v>
      </c>
      <c r="L170" s="418" t="s">
        <v>531</v>
      </c>
      <c r="M170" s="418" t="s">
        <v>5218</v>
      </c>
      <c r="N170" s="414"/>
      <c r="O170" s="414">
        <v>52</v>
      </c>
    </row>
    <row r="172" spans="2:15" ht="69.900000000000006" customHeight="1" x14ac:dyDescent="0.25">
      <c r="N172" s="406" t="s">
        <v>4644</v>
      </c>
    </row>
  </sheetData>
  <sortState xmlns:xlrd2="http://schemas.microsoft.com/office/spreadsheetml/2017/richdata2" ref="B11:K51">
    <sortCondition ref="H11:H51"/>
  </sortState>
  <conditionalFormatting sqref="D113:D116">
    <cfRule type="duplicateValues" dxfId="534" priority="3"/>
  </conditionalFormatting>
  <conditionalFormatting sqref="D11:D170">
    <cfRule type="duplicateValues" dxfId="533" priority="28"/>
    <cfRule type="duplicateValues" dxfId="532" priority="29"/>
  </conditionalFormatting>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L11:L170</xm:sqref>
        </x14:dataValidation>
        <x14:dataValidation type="list" allowBlank="1" showInputMessage="1" showErrorMessage="1" xr:uid="{1D7AA939-12B2-4A2A-99CA-5C400ED59A4C}">
          <x14:formula1>
            <xm:f>Eselon2!$R$2:$R$9</xm:f>
          </x14:formula1>
          <xm:sqref>M11:M170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opLeftCell="B22" zoomScale="70" zoomScaleNormal="70" zoomScaleSheetLayoutView="70" workbookViewId="0">
      <selection activeCell="J32" sqref="J32"/>
    </sheetView>
  </sheetViews>
  <sheetFormatPr defaultRowHeight="14.4" x14ac:dyDescent="0.3"/>
  <cols>
    <col min="3" max="3" width="99.109375" style="301" bestFit="1" customWidth="1"/>
    <col min="4" max="4" width="15.88671875" bestFit="1" customWidth="1"/>
    <col min="5" max="5" width="14.88671875" bestFit="1" customWidth="1"/>
    <col min="6" max="6" width="8" bestFit="1" customWidth="1"/>
    <col min="7" max="7" width="15.88671875" bestFit="1" customWidth="1"/>
    <col min="8" max="8" width="7.6640625" bestFit="1" customWidth="1"/>
    <col min="9" max="9" width="18.5546875" bestFit="1" customWidth="1"/>
    <col min="10" max="10" width="21.44140625" customWidth="1"/>
    <col min="13" max="13" width="14.33203125" style="274" customWidth="1"/>
    <col min="18" max="18" width="19.33203125" customWidth="1"/>
    <col min="21" max="21" width="11.5546875" bestFit="1" customWidth="1"/>
  </cols>
  <sheetData>
    <row r="1" spans="3:18" ht="18.600000000000001" x14ac:dyDescent="0.45">
      <c r="C1" s="444" t="str">
        <f>PERSUBBID!A1</f>
        <v>REALISASI TANPA GAJI</v>
      </c>
      <c r="D1" s="444"/>
      <c r="E1" s="444"/>
      <c r="F1" s="444"/>
      <c r="G1" s="444"/>
      <c r="H1" s="444"/>
    </row>
    <row r="2" spans="3:18" ht="18.600000000000001" x14ac:dyDescent="0.45">
      <c r="C2" s="444" t="str">
        <f>PERSUBBID!A2</f>
        <v>Berdasarkan DIPA Revisi 1 POK 2 TA. 2022 (Tanggal 22 Maret 2022)</v>
      </c>
      <c r="D2" s="444"/>
      <c r="E2" s="444"/>
      <c r="F2" s="444"/>
      <c r="G2" s="444"/>
      <c r="H2" s="444"/>
    </row>
    <row r="3" spans="3:18" ht="18.600000000000001" x14ac:dyDescent="0.45">
      <c r="C3" s="444" t="str">
        <f>PERSUBBID!A3</f>
        <v>SAMPAI DENGAN 15 JUNI 2022</v>
      </c>
      <c r="D3" s="444"/>
      <c r="E3" s="444"/>
      <c r="F3" s="444"/>
      <c r="G3" s="444"/>
      <c r="H3" s="444"/>
    </row>
    <row r="4" spans="3:18" x14ac:dyDescent="0.3">
      <c r="C4" s="372"/>
      <c r="D4" s="372"/>
      <c r="E4" s="372"/>
      <c r="F4" s="372"/>
      <c r="G4" s="372"/>
      <c r="H4" s="372"/>
    </row>
    <row r="5" spans="3:18" ht="15.6" x14ac:dyDescent="0.3">
      <c r="C5" s="373" t="s">
        <v>4849</v>
      </c>
      <c r="D5" s="374" t="s">
        <v>4844</v>
      </c>
      <c r="E5" s="374" t="s">
        <v>4845</v>
      </c>
      <c r="F5" s="374" t="s">
        <v>4846</v>
      </c>
      <c r="G5" s="374" t="s">
        <v>4847</v>
      </c>
      <c r="H5" s="374" t="s">
        <v>4848</v>
      </c>
    </row>
    <row r="6" spans="3:18" ht="17.100000000000001" customHeight="1" x14ac:dyDescent="0.3">
      <c r="C6" s="310" t="s">
        <v>530</v>
      </c>
      <c r="D6" s="314">
        <v>16863164000</v>
      </c>
      <c r="E6" s="314">
        <v>6067322932</v>
      </c>
      <c r="F6" s="313">
        <v>35.97974218835801</v>
      </c>
      <c r="G6" s="314">
        <v>10795841068</v>
      </c>
      <c r="H6" s="313">
        <v>64.020257811641983</v>
      </c>
      <c r="R6" s="274"/>
    </row>
    <row r="7" spans="3:18" x14ac:dyDescent="0.3">
      <c r="C7" s="377" t="s">
        <v>4696</v>
      </c>
      <c r="D7" s="375">
        <v>1000000000</v>
      </c>
      <c r="E7" s="375">
        <v>368522100</v>
      </c>
      <c r="F7" s="376">
        <v>36.852209999999999</v>
      </c>
      <c r="G7" s="375">
        <v>631477900</v>
      </c>
      <c r="H7" s="376">
        <v>63.147790000000001</v>
      </c>
      <c r="R7" s="274"/>
    </row>
    <row r="8" spans="3:18" x14ac:dyDescent="0.3">
      <c r="C8" s="377" t="s">
        <v>4706</v>
      </c>
      <c r="D8" s="375">
        <v>1000000000</v>
      </c>
      <c r="E8" s="375">
        <v>368522100</v>
      </c>
      <c r="F8" s="376">
        <v>36.852209999999999</v>
      </c>
      <c r="G8" s="375">
        <v>631477900</v>
      </c>
      <c r="H8" s="376">
        <v>63.147790000000001</v>
      </c>
    </row>
    <row r="9" spans="3:18" ht="17.100000000000001" customHeight="1" x14ac:dyDescent="0.3">
      <c r="C9" s="378" t="s">
        <v>535</v>
      </c>
      <c r="D9" s="379">
        <v>821400000</v>
      </c>
      <c r="E9" s="379">
        <v>288789600</v>
      </c>
      <c r="F9" s="380">
        <v>35.158217677136591</v>
      </c>
      <c r="G9" s="379">
        <v>532610400</v>
      </c>
      <c r="H9" s="380">
        <v>64.841782322863409</v>
      </c>
    </row>
    <row r="10" spans="3:18" x14ac:dyDescent="0.3">
      <c r="C10" s="226" t="s">
        <v>536</v>
      </c>
      <c r="D10" s="299">
        <v>686300000</v>
      </c>
      <c r="E10" s="299">
        <v>214180240</v>
      </c>
      <c r="F10" s="300">
        <v>31.207961532857354</v>
      </c>
      <c r="G10" s="299">
        <v>472119760</v>
      </c>
      <c r="H10" s="300">
        <v>68.792038467142646</v>
      </c>
    </row>
    <row r="11" spans="3:18" x14ac:dyDescent="0.3">
      <c r="C11" s="377" t="s">
        <v>4708</v>
      </c>
      <c r="D11" s="375">
        <v>686300000</v>
      </c>
      <c r="E11" s="375">
        <v>214180240</v>
      </c>
      <c r="F11" s="376">
        <v>31.207961532857354</v>
      </c>
      <c r="G11" s="375">
        <v>472119760</v>
      </c>
      <c r="H11" s="376">
        <v>68.792038467142646</v>
      </c>
    </row>
    <row r="12" spans="3:18" x14ac:dyDescent="0.3">
      <c r="C12" s="401" t="s">
        <v>4714</v>
      </c>
      <c r="D12" s="232">
        <v>686300000</v>
      </c>
      <c r="E12" s="232">
        <v>214180240</v>
      </c>
      <c r="F12" s="231">
        <v>31.207961532857354</v>
      </c>
      <c r="G12" s="232">
        <v>472119760</v>
      </c>
      <c r="H12" s="231">
        <v>68.792038467142646</v>
      </c>
    </row>
    <row r="13" spans="3:18" x14ac:dyDescent="0.3">
      <c r="C13" s="383" t="s">
        <v>4715</v>
      </c>
      <c r="D13" s="381">
        <v>386924000</v>
      </c>
      <c r="E13" s="381">
        <v>58923650</v>
      </c>
      <c r="F13" s="382">
        <v>15.228740010958225</v>
      </c>
      <c r="G13" s="381">
        <v>328000350</v>
      </c>
      <c r="H13" s="382">
        <v>84.771259989041781</v>
      </c>
    </row>
    <row r="14" spans="3:18" x14ac:dyDescent="0.3">
      <c r="C14" s="387" t="s">
        <v>4698</v>
      </c>
      <c r="D14" s="375">
        <v>64900000</v>
      </c>
      <c r="E14" s="375">
        <v>6195000</v>
      </c>
      <c r="F14" s="376">
        <v>9.5454545454545467</v>
      </c>
      <c r="G14" s="375">
        <v>58705000</v>
      </c>
      <c r="H14" s="376">
        <v>90.454545454545453</v>
      </c>
    </row>
    <row r="15" spans="3:18" x14ac:dyDescent="0.3">
      <c r="C15" s="387" t="s">
        <v>4711</v>
      </c>
      <c r="D15" s="375">
        <v>6000000</v>
      </c>
      <c r="E15" s="375">
        <v>963000</v>
      </c>
      <c r="F15" s="376">
        <v>16.05</v>
      </c>
      <c r="G15" s="375">
        <v>5037000</v>
      </c>
      <c r="H15" s="376">
        <v>83.95</v>
      </c>
    </row>
    <row r="16" spans="3:18" x14ac:dyDescent="0.3">
      <c r="C16" s="387" t="s">
        <v>4716</v>
      </c>
      <c r="D16" s="375">
        <v>30000000</v>
      </c>
      <c r="E16" s="375">
        <v>9537000</v>
      </c>
      <c r="F16" s="376">
        <v>31.790000000000003</v>
      </c>
      <c r="G16" s="375">
        <v>20463000</v>
      </c>
      <c r="H16" s="376">
        <v>68.210000000000008</v>
      </c>
    </row>
    <row r="17" spans="3:21" x14ac:dyDescent="0.3">
      <c r="C17" s="387" t="s">
        <v>4701</v>
      </c>
      <c r="D17" s="375">
        <v>25200000</v>
      </c>
      <c r="E17" s="375">
        <v>9000000</v>
      </c>
      <c r="F17" s="376">
        <v>35.714285714285715</v>
      </c>
      <c r="G17" s="375">
        <v>16200000</v>
      </c>
      <c r="H17" s="376">
        <v>64.285714285714292</v>
      </c>
    </row>
    <row r="18" spans="3:21" x14ac:dyDescent="0.3">
      <c r="C18" s="387" t="s">
        <v>4703</v>
      </c>
      <c r="D18" s="375">
        <v>6000000</v>
      </c>
      <c r="E18" s="375">
        <v>0</v>
      </c>
      <c r="F18" s="376">
        <v>0</v>
      </c>
      <c r="G18" s="375">
        <v>6000000</v>
      </c>
      <c r="H18" s="376">
        <v>100</v>
      </c>
    </row>
    <row r="19" spans="3:21" x14ac:dyDescent="0.3">
      <c r="C19" s="387" t="s">
        <v>4702</v>
      </c>
      <c r="D19" s="375">
        <v>253324000</v>
      </c>
      <c r="E19" s="375">
        <v>33228650</v>
      </c>
      <c r="F19" s="376">
        <v>13.117055628365257</v>
      </c>
      <c r="G19" s="375">
        <v>220095350</v>
      </c>
      <c r="H19" s="376">
        <v>86.882944371634736</v>
      </c>
    </row>
    <row r="20" spans="3:21" x14ac:dyDescent="0.3">
      <c r="C20" s="387" t="s">
        <v>508</v>
      </c>
      <c r="D20" s="375">
        <v>1500000</v>
      </c>
      <c r="E20" s="375">
        <v>0</v>
      </c>
      <c r="F20" s="376">
        <v>0</v>
      </c>
      <c r="G20" s="375">
        <v>1500000</v>
      </c>
      <c r="H20" s="376">
        <v>100</v>
      </c>
    </row>
    <row r="21" spans="3:21" x14ac:dyDescent="0.3">
      <c r="C21" s="383" t="s">
        <v>4717</v>
      </c>
      <c r="D21" s="381">
        <v>247816000</v>
      </c>
      <c r="E21" s="381">
        <v>155256590</v>
      </c>
      <c r="F21" s="382">
        <v>62.649945927623719</v>
      </c>
      <c r="G21" s="381">
        <v>92559410</v>
      </c>
      <c r="H21" s="382">
        <v>37.350054072376281</v>
      </c>
    </row>
    <row r="22" spans="3:21" x14ac:dyDescent="0.3">
      <c r="C22" s="387" t="s">
        <v>4698</v>
      </c>
      <c r="D22" s="375">
        <v>71456000</v>
      </c>
      <c r="E22" s="375">
        <v>10438550</v>
      </c>
      <c r="F22" s="376">
        <v>14.60836038961039</v>
      </c>
      <c r="G22" s="375">
        <v>61017450</v>
      </c>
      <c r="H22" s="376">
        <v>85.391639610389618</v>
      </c>
      <c r="U22" s="276"/>
    </row>
    <row r="23" spans="3:21" x14ac:dyDescent="0.3">
      <c r="C23" s="387" t="s">
        <v>4711</v>
      </c>
      <c r="D23" s="375">
        <v>5000000</v>
      </c>
      <c r="E23" s="375">
        <v>4262850</v>
      </c>
      <c r="F23" s="376">
        <v>85.257000000000005</v>
      </c>
      <c r="G23" s="375">
        <v>737150</v>
      </c>
      <c r="H23" s="376">
        <v>14.743</v>
      </c>
      <c r="U23" s="276"/>
    </row>
    <row r="24" spans="3:21" x14ac:dyDescent="0.3">
      <c r="C24" s="387" t="s">
        <v>4716</v>
      </c>
      <c r="D24" s="375">
        <v>15000000</v>
      </c>
      <c r="E24" s="375">
        <v>2453500</v>
      </c>
      <c r="F24" s="376">
        <v>16.356666666666666</v>
      </c>
      <c r="G24" s="375">
        <v>12546500</v>
      </c>
      <c r="H24" s="376">
        <v>83.643333333333331</v>
      </c>
    </row>
    <row r="25" spans="3:21" x14ac:dyDescent="0.3">
      <c r="C25" s="387" t="s">
        <v>4701</v>
      </c>
      <c r="D25" s="375">
        <v>16200000</v>
      </c>
      <c r="E25" s="375">
        <v>6300000</v>
      </c>
      <c r="F25" s="376">
        <v>38.888888888888893</v>
      </c>
      <c r="G25" s="375">
        <v>9900000</v>
      </c>
      <c r="H25" s="376">
        <v>61.111111111111114</v>
      </c>
    </row>
    <row r="26" spans="3:21" x14ac:dyDescent="0.3">
      <c r="C26" s="387" t="s">
        <v>4703</v>
      </c>
      <c r="D26" s="375">
        <v>2000000</v>
      </c>
      <c r="E26" s="375">
        <v>365000</v>
      </c>
      <c r="F26" s="376">
        <v>18.25</v>
      </c>
      <c r="G26" s="375">
        <v>1635000</v>
      </c>
      <c r="H26" s="376">
        <v>81.75</v>
      </c>
    </row>
    <row r="27" spans="3:21" x14ac:dyDescent="0.3">
      <c r="C27" s="387" t="s">
        <v>4702</v>
      </c>
      <c r="D27" s="375">
        <v>138160000</v>
      </c>
      <c r="E27" s="375">
        <v>131436690</v>
      </c>
      <c r="F27" s="376">
        <v>95.133678343949043</v>
      </c>
      <c r="G27" s="375">
        <v>6723310</v>
      </c>
      <c r="H27" s="376">
        <v>4.866321656050955</v>
      </c>
    </row>
    <row r="28" spans="3:21" x14ac:dyDescent="0.3">
      <c r="C28" s="383" t="s">
        <v>4742</v>
      </c>
      <c r="D28" s="381">
        <v>51560000</v>
      </c>
      <c r="E28" s="381">
        <v>0</v>
      </c>
      <c r="F28" s="382">
        <v>0</v>
      </c>
      <c r="G28" s="381">
        <v>51560000</v>
      </c>
      <c r="H28" s="382">
        <v>100</v>
      </c>
    </row>
    <row r="29" spans="3:21" x14ac:dyDescent="0.3">
      <c r="C29" s="387" t="s">
        <v>4698</v>
      </c>
      <c r="D29" s="375">
        <v>20830000</v>
      </c>
      <c r="E29" s="375">
        <v>0</v>
      </c>
      <c r="F29" s="376">
        <v>0</v>
      </c>
      <c r="G29" s="375">
        <v>20830000</v>
      </c>
      <c r="H29" s="376">
        <v>100</v>
      </c>
    </row>
    <row r="30" spans="3:21" x14ac:dyDescent="0.3">
      <c r="C30" s="387" t="s">
        <v>4711</v>
      </c>
      <c r="D30" s="375">
        <v>500000</v>
      </c>
      <c r="E30" s="375">
        <v>0</v>
      </c>
      <c r="F30" s="376">
        <v>0</v>
      </c>
      <c r="G30" s="375">
        <v>500000</v>
      </c>
      <c r="H30" s="376">
        <v>100</v>
      </c>
    </row>
    <row r="31" spans="3:21" x14ac:dyDescent="0.3">
      <c r="C31" s="387" t="s">
        <v>4701</v>
      </c>
      <c r="D31" s="375">
        <v>7200000</v>
      </c>
      <c r="E31" s="375">
        <v>0</v>
      </c>
      <c r="F31" s="376">
        <v>0</v>
      </c>
      <c r="G31" s="375">
        <v>7200000</v>
      </c>
      <c r="H31" s="376">
        <v>100</v>
      </c>
    </row>
    <row r="32" spans="3:21" x14ac:dyDescent="0.3">
      <c r="C32" s="387" t="s">
        <v>4702</v>
      </c>
      <c r="D32" s="375">
        <v>23030000</v>
      </c>
      <c r="E32" s="375">
        <v>0</v>
      </c>
      <c r="F32" s="376">
        <v>0</v>
      </c>
      <c r="G32" s="375">
        <v>23030000</v>
      </c>
      <c r="H32" s="376">
        <v>100</v>
      </c>
    </row>
    <row r="33" spans="3:8" x14ac:dyDescent="0.3">
      <c r="C33" s="226" t="s">
        <v>538</v>
      </c>
      <c r="D33" s="299">
        <v>135100000</v>
      </c>
      <c r="E33" s="299">
        <v>74609360</v>
      </c>
      <c r="F33" s="300">
        <v>55.22528497409327</v>
      </c>
      <c r="G33" s="299">
        <v>60490640</v>
      </c>
      <c r="H33" s="300">
        <v>44.774715025906737</v>
      </c>
    </row>
    <row r="34" spans="3:8" x14ac:dyDescent="0.3">
      <c r="C34" s="377" t="s">
        <v>4708</v>
      </c>
      <c r="D34" s="375">
        <v>135100000</v>
      </c>
      <c r="E34" s="375">
        <v>74609360</v>
      </c>
      <c r="F34" s="376">
        <v>55.22528497409327</v>
      </c>
      <c r="G34" s="375">
        <v>60490640</v>
      </c>
      <c r="H34" s="376">
        <v>44.774715025906737</v>
      </c>
    </row>
    <row r="35" spans="3:8" x14ac:dyDescent="0.3">
      <c r="C35" s="401" t="s">
        <v>4718</v>
      </c>
      <c r="D35" s="232">
        <v>135100000</v>
      </c>
      <c r="E35" s="232">
        <v>74609360</v>
      </c>
      <c r="F35" s="231">
        <v>55.22528497409327</v>
      </c>
      <c r="G35" s="232">
        <v>60490640</v>
      </c>
      <c r="H35" s="231">
        <v>44.774715025906737</v>
      </c>
    </row>
    <row r="36" spans="3:8" x14ac:dyDescent="0.3">
      <c r="C36" s="383" t="s">
        <v>4719</v>
      </c>
      <c r="D36" s="381">
        <v>135100000</v>
      </c>
      <c r="E36" s="381">
        <v>74609360</v>
      </c>
      <c r="F36" s="382">
        <v>55.22528497409327</v>
      </c>
      <c r="G36" s="381">
        <v>60490640</v>
      </c>
      <c r="H36" s="382">
        <v>44.774715025906737</v>
      </c>
    </row>
    <row r="37" spans="3:8" x14ac:dyDescent="0.3">
      <c r="C37" s="387" t="s">
        <v>4698</v>
      </c>
      <c r="D37" s="375">
        <v>13900000</v>
      </c>
      <c r="E37" s="375">
        <v>9490750</v>
      </c>
      <c r="F37" s="376">
        <v>68.27877697841727</v>
      </c>
      <c r="G37" s="375">
        <v>4409250</v>
      </c>
      <c r="H37" s="376">
        <v>31.721223021582734</v>
      </c>
    </row>
    <row r="38" spans="3:8" x14ac:dyDescent="0.3">
      <c r="C38" s="387" t="s">
        <v>4711</v>
      </c>
      <c r="D38" s="375">
        <v>8784000</v>
      </c>
      <c r="E38" s="375">
        <v>0</v>
      </c>
      <c r="F38" s="376">
        <v>0</v>
      </c>
      <c r="G38" s="375">
        <v>8784000</v>
      </c>
      <c r="H38" s="376">
        <v>100</v>
      </c>
    </row>
    <row r="39" spans="3:8" x14ac:dyDescent="0.3">
      <c r="C39" s="387" t="s">
        <v>4701</v>
      </c>
      <c r="D39" s="375">
        <v>10000000</v>
      </c>
      <c r="E39" s="375">
        <v>7200000</v>
      </c>
      <c r="F39" s="376">
        <v>72</v>
      </c>
      <c r="G39" s="375">
        <v>2800000</v>
      </c>
      <c r="H39" s="376">
        <v>28.000000000000004</v>
      </c>
    </row>
    <row r="40" spans="3:8" x14ac:dyDescent="0.3">
      <c r="C40" s="387" t="s">
        <v>4703</v>
      </c>
      <c r="D40" s="375">
        <v>5000000</v>
      </c>
      <c r="E40" s="375">
        <v>0</v>
      </c>
      <c r="F40" s="376">
        <v>0</v>
      </c>
      <c r="G40" s="375">
        <v>5000000</v>
      </c>
      <c r="H40" s="376">
        <v>100</v>
      </c>
    </row>
    <row r="41" spans="3:8" x14ac:dyDescent="0.3">
      <c r="C41" s="387" t="s">
        <v>4702</v>
      </c>
      <c r="D41" s="375">
        <v>97416000</v>
      </c>
      <c r="E41" s="375">
        <v>57918610</v>
      </c>
      <c r="F41" s="376">
        <v>59.454925268949651</v>
      </c>
      <c r="G41" s="375">
        <v>39497390</v>
      </c>
      <c r="H41" s="376">
        <v>40.545074731050342</v>
      </c>
    </row>
    <row r="42" spans="3:8" x14ac:dyDescent="0.3">
      <c r="C42" s="378" t="s">
        <v>531</v>
      </c>
      <c r="D42" s="379">
        <v>178600000</v>
      </c>
      <c r="E42" s="379">
        <v>79732500</v>
      </c>
      <c r="F42" s="380">
        <v>44.643057110862259</v>
      </c>
      <c r="G42" s="379">
        <v>98867500</v>
      </c>
      <c r="H42" s="380">
        <v>55.356942889137741</v>
      </c>
    </row>
    <row r="43" spans="3:8" x14ac:dyDescent="0.3">
      <c r="C43" s="226" t="s">
        <v>532</v>
      </c>
      <c r="D43" s="299">
        <v>124100000</v>
      </c>
      <c r="E43" s="299">
        <v>55518000</v>
      </c>
      <c r="F43" s="300">
        <v>44.736502820306207</v>
      </c>
      <c r="G43" s="299">
        <v>68582000</v>
      </c>
      <c r="H43" s="300">
        <v>55.2634971796938</v>
      </c>
    </row>
    <row r="44" spans="3:8" x14ac:dyDescent="0.3">
      <c r="C44" s="377" t="s">
        <v>4708</v>
      </c>
      <c r="D44" s="375">
        <v>124100000</v>
      </c>
      <c r="E44" s="375">
        <v>55518000</v>
      </c>
      <c r="F44" s="376">
        <v>44.736502820306207</v>
      </c>
      <c r="G44" s="375">
        <v>68582000</v>
      </c>
      <c r="H44" s="376">
        <v>55.2634971796938</v>
      </c>
    </row>
    <row r="45" spans="3:8" x14ac:dyDescent="0.3">
      <c r="C45" s="401" t="s">
        <v>4709</v>
      </c>
      <c r="D45" s="232">
        <v>124100000</v>
      </c>
      <c r="E45" s="232">
        <v>55518000</v>
      </c>
      <c r="F45" s="231">
        <v>44.736502820306207</v>
      </c>
      <c r="G45" s="232">
        <v>68582000</v>
      </c>
      <c r="H45" s="231">
        <v>55.2634971796938</v>
      </c>
    </row>
    <row r="46" spans="3:8" x14ac:dyDescent="0.3">
      <c r="C46" s="383" t="s">
        <v>4710</v>
      </c>
      <c r="D46" s="381">
        <v>83135000</v>
      </c>
      <c r="E46" s="381">
        <v>33957000</v>
      </c>
      <c r="F46" s="382">
        <v>40.845612557887776</v>
      </c>
      <c r="G46" s="381">
        <v>49178000</v>
      </c>
      <c r="H46" s="382">
        <v>59.154387442112224</v>
      </c>
    </row>
    <row r="47" spans="3:8" ht="17.100000000000001" customHeight="1" x14ac:dyDescent="0.3">
      <c r="C47" s="387" t="s">
        <v>4698</v>
      </c>
      <c r="D47" s="375">
        <v>19875000</v>
      </c>
      <c r="E47" s="375">
        <v>5581000</v>
      </c>
      <c r="F47" s="376">
        <v>28.080503144654088</v>
      </c>
      <c r="G47" s="375">
        <v>14294000</v>
      </c>
      <c r="H47" s="376">
        <v>71.919496855345912</v>
      </c>
    </row>
    <row r="48" spans="3:8" x14ac:dyDescent="0.3">
      <c r="C48" s="387" t="s">
        <v>4701</v>
      </c>
      <c r="D48" s="375">
        <v>20000000</v>
      </c>
      <c r="E48" s="375">
        <v>2100000</v>
      </c>
      <c r="F48" s="376">
        <v>10.5</v>
      </c>
      <c r="G48" s="375">
        <v>17900000</v>
      </c>
      <c r="H48" s="376">
        <v>89.5</v>
      </c>
    </row>
    <row r="49" spans="3:8" x14ac:dyDescent="0.3">
      <c r="C49" s="387" t="s">
        <v>4702</v>
      </c>
      <c r="D49" s="375">
        <v>43260000</v>
      </c>
      <c r="E49" s="375">
        <v>26276000</v>
      </c>
      <c r="F49" s="376">
        <v>60.739713361072589</v>
      </c>
      <c r="G49" s="375">
        <v>16984000</v>
      </c>
      <c r="H49" s="376">
        <v>39.260286638927418</v>
      </c>
    </row>
    <row r="50" spans="3:8" x14ac:dyDescent="0.3">
      <c r="C50" s="383" t="s">
        <v>4712</v>
      </c>
      <c r="D50" s="381">
        <v>40965000</v>
      </c>
      <c r="E50" s="381">
        <v>21561000</v>
      </c>
      <c r="F50" s="382">
        <v>52.632735261808861</v>
      </c>
      <c r="G50" s="381">
        <v>19404000</v>
      </c>
      <c r="H50" s="382">
        <v>47.367264738191139</v>
      </c>
    </row>
    <row r="51" spans="3:8" x14ac:dyDescent="0.3">
      <c r="C51" s="387" t="s">
        <v>4698</v>
      </c>
      <c r="D51" s="375">
        <v>19500000</v>
      </c>
      <c r="E51" s="375">
        <v>4041000</v>
      </c>
      <c r="F51" s="376">
        <v>20.723076923076921</v>
      </c>
      <c r="G51" s="375">
        <v>15459000</v>
      </c>
      <c r="H51" s="376">
        <v>79.276923076923083</v>
      </c>
    </row>
    <row r="52" spans="3:8" x14ac:dyDescent="0.3">
      <c r="C52" s="387" t="s">
        <v>4701</v>
      </c>
      <c r="D52" s="375">
        <v>4000000</v>
      </c>
      <c r="E52" s="375">
        <v>900000</v>
      </c>
      <c r="F52" s="376">
        <v>22.5</v>
      </c>
      <c r="G52" s="375">
        <v>3100000</v>
      </c>
      <c r="H52" s="376">
        <v>77.5</v>
      </c>
    </row>
    <row r="53" spans="3:8" x14ac:dyDescent="0.3">
      <c r="C53" s="387" t="s">
        <v>4702</v>
      </c>
      <c r="D53" s="375">
        <v>17465000</v>
      </c>
      <c r="E53" s="375">
        <v>16620000</v>
      </c>
      <c r="F53" s="376">
        <v>95.161752075579727</v>
      </c>
      <c r="G53" s="375">
        <v>845000</v>
      </c>
      <c r="H53" s="376">
        <v>4.8382479244202692</v>
      </c>
    </row>
    <row r="54" spans="3:8" x14ac:dyDescent="0.3">
      <c r="C54" s="226" t="s">
        <v>534</v>
      </c>
      <c r="D54" s="299">
        <v>54500000</v>
      </c>
      <c r="E54" s="299">
        <v>24214500</v>
      </c>
      <c r="F54" s="300">
        <v>44.430275229357797</v>
      </c>
      <c r="G54" s="299">
        <v>30285500</v>
      </c>
      <c r="H54" s="300">
        <v>55.569724770642203</v>
      </c>
    </row>
    <row r="55" spans="3:8" x14ac:dyDescent="0.3">
      <c r="C55" s="377" t="s">
        <v>4708</v>
      </c>
      <c r="D55" s="375">
        <v>54500000</v>
      </c>
      <c r="E55" s="375">
        <v>24214500</v>
      </c>
      <c r="F55" s="376">
        <v>44.430275229357797</v>
      </c>
      <c r="G55" s="375">
        <v>30285500</v>
      </c>
      <c r="H55" s="376">
        <v>55.569724770642203</v>
      </c>
    </row>
    <row r="56" spans="3:8" x14ac:dyDescent="0.3">
      <c r="C56" s="401" t="s">
        <v>4713</v>
      </c>
      <c r="D56" s="232">
        <v>54500000</v>
      </c>
      <c r="E56" s="232">
        <v>24214500</v>
      </c>
      <c r="F56" s="231">
        <v>44.430275229357797</v>
      </c>
      <c r="G56" s="232">
        <v>30285500</v>
      </c>
      <c r="H56" s="231">
        <v>55.569724770642203</v>
      </c>
    </row>
    <row r="57" spans="3:8" x14ac:dyDescent="0.3">
      <c r="C57" s="383" t="s">
        <v>4741</v>
      </c>
      <c r="D57" s="381">
        <v>54500000</v>
      </c>
      <c r="E57" s="381">
        <v>24214500</v>
      </c>
      <c r="F57" s="382">
        <v>44.430275229357797</v>
      </c>
      <c r="G57" s="381">
        <v>30285500</v>
      </c>
      <c r="H57" s="382">
        <v>55.569724770642203</v>
      </c>
    </row>
    <row r="58" spans="3:8" x14ac:dyDescent="0.3">
      <c r="C58" s="387" t="s">
        <v>4698</v>
      </c>
      <c r="D58" s="375">
        <v>21250000</v>
      </c>
      <c r="E58" s="375">
        <v>3120000</v>
      </c>
      <c r="F58" s="376">
        <v>14.682352941176472</v>
      </c>
      <c r="G58" s="375">
        <v>18130000</v>
      </c>
      <c r="H58" s="376">
        <v>85.317647058823525</v>
      </c>
    </row>
    <row r="59" spans="3:8" x14ac:dyDescent="0.3">
      <c r="C59" s="387" t="s">
        <v>4702</v>
      </c>
      <c r="D59" s="375">
        <v>33250000</v>
      </c>
      <c r="E59" s="375">
        <v>21094500</v>
      </c>
      <c r="F59" s="376">
        <v>63.442105263157899</v>
      </c>
      <c r="G59" s="375">
        <v>12155500</v>
      </c>
      <c r="H59" s="376">
        <v>36.557894736842108</v>
      </c>
    </row>
    <row r="60" spans="3:8" x14ac:dyDescent="0.3">
      <c r="C60" s="377" t="s">
        <v>4721</v>
      </c>
      <c r="D60" s="375">
        <v>15863164000</v>
      </c>
      <c r="E60" s="375">
        <v>5698800832</v>
      </c>
      <c r="F60" s="376">
        <v>35.924742579727479</v>
      </c>
      <c r="G60" s="375">
        <v>10164363168</v>
      </c>
      <c r="H60" s="376">
        <v>64.075257420272521</v>
      </c>
    </row>
    <row r="61" spans="3:8" x14ac:dyDescent="0.3">
      <c r="C61" s="377" t="s">
        <v>4722</v>
      </c>
      <c r="D61" s="375">
        <v>7280664000</v>
      </c>
      <c r="E61" s="375">
        <v>2222086920</v>
      </c>
      <c r="F61" s="376">
        <v>30.520388250302442</v>
      </c>
      <c r="G61" s="375">
        <v>5058577080</v>
      </c>
      <c r="H61" s="376">
        <v>69.479611749697554</v>
      </c>
    </row>
    <row r="62" spans="3:8" x14ac:dyDescent="0.3">
      <c r="C62" s="378" t="s">
        <v>535</v>
      </c>
      <c r="D62" s="379">
        <v>450000000</v>
      </c>
      <c r="E62" s="379">
        <v>13647358</v>
      </c>
      <c r="F62" s="380">
        <v>3.0327462222222223</v>
      </c>
      <c r="G62" s="379">
        <v>436352642</v>
      </c>
      <c r="H62" s="380">
        <v>96.967253777777771</v>
      </c>
    </row>
    <row r="63" spans="3:8" x14ac:dyDescent="0.3">
      <c r="C63" s="226" t="s">
        <v>538</v>
      </c>
      <c r="D63" s="299">
        <v>450000000</v>
      </c>
      <c r="E63" s="299">
        <v>13647358</v>
      </c>
      <c r="F63" s="300">
        <v>3.0327462222222223</v>
      </c>
      <c r="G63" s="299">
        <v>436352642</v>
      </c>
      <c r="H63" s="300">
        <v>96.967253777777771</v>
      </c>
    </row>
    <row r="64" spans="3:8" x14ac:dyDescent="0.3">
      <c r="C64" s="377" t="s">
        <v>4754</v>
      </c>
      <c r="D64" s="375">
        <v>450000000</v>
      </c>
      <c r="E64" s="375">
        <v>13647358</v>
      </c>
      <c r="F64" s="376">
        <v>3.0327462222222223</v>
      </c>
      <c r="G64" s="375">
        <v>436352642</v>
      </c>
      <c r="H64" s="376">
        <v>96.967253777777771</v>
      </c>
    </row>
    <row r="65" spans="3:8" x14ac:dyDescent="0.3">
      <c r="C65" s="401" t="s">
        <v>4753</v>
      </c>
      <c r="D65" s="232">
        <v>450000000</v>
      </c>
      <c r="E65" s="232">
        <v>13647358</v>
      </c>
      <c r="F65" s="231">
        <v>3.0327462222222223</v>
      </c>
      <c r="G65" s="232">
        <v>436352642</v>
      </c>
      <c r="H65" s="231">
        <v>96.967253777777771</v>
      </c>
    </row>
    <row r="66" spans="3:8" x14ac:dyDescent="0.3">
      <c r="C66" s="383" t="s">
        <v>4758</v>
      </c>
      <c r="D66" s="381">
        <v>450000000</v>
      </c>
      <c r="E66" s="381">
        <v>13647358</v>
      </c>
      <c r="F66" s="382">
        <v>3.0327462222222223</v>
      </c>
      <c r="G66" s="381">
        <v>436352642</v>
      </c>
      <c r="H66" s="382">
        <v>96.967253777777771</v>
      </c>
    </row>
    <row r="67" spans="3:8" x14ac:dyDescent="0.3">
      <c r="C67" s="387" t="s">
        <v>4698</v>
      </c>
      <c r="D67" s="375">
        <v>32000000</v>
      </c>
      <c r="E67" s="375">
        <v>3999200</v>
      </c>
      <c r="F67" s="376">
        <v>12.4975</v>
      </c>
      <c r="G67" s="375">
        <v>28000800</v>
      </c>
      <c r="H67" s="376">
        <v>87.502500000000012</v>
      </c>
    </row>
    <row r="68" spans="3:8" x14ac:dyDescent="0.3">
      <c r="C68" s="387" t="s">
        <v>4711</v>
      </c>
      <c r="D68" s="375">
        <v>298141000</v>
      </c>
      <c r="E68" s="375">
        <v>4297458</v>
      </c>
      <c r="F68" s="376">
        <v>1.4414179867914845</v>
      </c>
      <c r="G68" s="375">
        <v>293843542</v>
      </c>
      <c r="H68" s="376">
        <v>98.558582013208522</v>
      </c>
    </row>
    <row r="69" spans="3:8" x14ac:dyDescent="0.3">
      <c r="C69" s="387" t="s">
        <v>4701</v>
      </c>
      <c r="D69" s="375">
        <v>30000000</v>
      </c>
      <c r="E69" s="375">
        <v>0</v>
      </c>
      <c r="F69" s="376">
        <v>0</v>
      </c>
      <c r="G69" s="375">
        <v>30000000</v>
      </c>
      <c r="H69" s="376">
        <v>100</v>
      </c>
    </row>
    <row r="70" spans="3:8" x14ac:dyDescent="0.3">
      <c r="C70" s="387" t="s">
        <v>4703</v>
      </c>
      <c r="D70" s="375">
        <v>8000000</v>
      </c>
      <c r="E70" s="375">
        <v>0</v>
      </c>
      <c r="F70" s="376">
        <v>0</v>
      </c>
      <c r="G70" s="375">
        <v>8000000</v>
      </c>
      <c r="H70" s="376">
        <v>100</v>
      </c>
    </row>
    <row r="71" spans="3:8" x14ac:dyDescent="0.3">
      <c r="C71" s="387" t="s">
        <v>4702</v>
      </c>
      <c r="D71" s="375">
        <v>81859000</v>
      </c>
      <c r="E71" s="375">
        <v>5350700</v>
      </c>
      <c r="F71" s="376">
        <v>6.5364834654711146</v>
      </c>
      <c r="G71" s="375">
        <v>76508300</v>
      </c>
      <c r="H71" s="376">
        <v>93.463516534528893</v>
      </c>
    </row>
    <row r="72" spans="3:8" x14ac:dyDescent="0.3">
      <c r="C72" s="378" t="s">
        <v>531</v>
      </c>
      <c r="D72" s="379">
        <v>1100000000</v>
      </c>
      <c r="E72" s="379">
        <v>127448590</v>
      </c>
      <c r="F72" s="380">
        <v>11.586235454545454</v>
      </c>
      <c r="G72" s="379">
        <v>972551410</v>
      </c>
      <c r="H72" s="380">
        <v>88.413764545454541</v>
      </c>
    </row>
    <row r="73" spans="3:8" x14ac:dyDescent="0.3">
      <c r="C73" s="226" t="s">
        <v>532</v>
      </c>
      <c r="D73" s="299">
        <v>350000000</v>
      </c>
      <c r="E73" s="299">
        <v>78297590</v>
      </c>
      <c r="F73" s="300">
        <v>22.370740000000001</v>
      </c>
      <c r="G73" s="299">
        <v>271702410</v>
      </c>
      <c r="H73" s="300">
        <v>77.629260000000002</v>
      </c>
    </row>
    <row r="74" spans="3:8" x14ac:dyDescent="0.3">
      <c r="C74" s="377" t="s">
        <v>4754</v>
      </c>
      <c r="D74" s="375">
        <v>350000000</v>
      </c>
      <c r="E74" s="375">
        <v>78297590</v>
      </c>
      <c r="F74" s="376">
        <v>22.370740000000001</v>
      </c>
      <c r="G74" s="375">
        <v>271702410</v>
      </c>
      <c r="H74" s="376">
        <v>77.629260000000002</v>
      </c>
    </row>
    <row r="75" spans="3:8" x14ac:dyDescent="0.3">
      <c r="C75" s="401" t="s">
        <v>4753</v>
      </c>
      <c r="D75" s="232">
        <v>350000000</v>
      </c>
      <c r="E75" s="232">
        <v>78297590</v>
      </c>
      <c r="F75" s="231">
        <v>22.370740000000001</v>
      </c>
      <c r="G75" s="232">
        <v>271702410</v>
      </c>
      <c r="H75" s="231">
        <v>77.629260000000002</v>
      </c>
    </row>
    <row r="76" spans="3:8" x14ac:dyDescent="0.3">
      <c r="C76" s="383" t="s">
        <v>4759</v>
      </c>
      <c r="D76" s="381">
        <v>350000000</v>
      </c>
      <c r="E76" s="381">
        <v>78297590</v>
      </c>
      <c r="F76" s="382">
        <v>22.370740000000001</v>
      </c>
      <c r="G76" s="381">
        <v>271702410</v>
      </c>
      <c r="H76" s="382">
        <v>77.629260000000002</v>
      </c>
    </row>
    <row r="77" spans="3:8" x14ac:dyDescent="0.3">
      <c r="C77" s="387" t="s">
        <v>4698</v>
      </c>
      <c r="D77" s="375">
        <v>31000000</v>
      </c>
      <c r="E77" s="375">
        <v>11542500</v>
      </c>
      <c r="F77" s="376">
        <v>37.233870967741936</v>
      </c>
      <c r="G77" s="375">
        <v>19457500</v>
      </c>
      <c r="H77" s="376">
        <v>62.766129032258064</v>
      </c>
    </row>
    <row r="78" spans="3:8" x14ac:dyDescent="0.3">
      <c r="C78" s="387" t="s">
        <v>4711</v>
      </c>
      <c r="D78" s="375">
        <v>3000000</v>
      </c>
      <c r="E78" s="375">
        <v>1191418</v>
      </c>
      <c r="F78" s="376">
        <v>39.713933333333337</v>
      </c>
      <c r="G78" s="375">
        <v>1808582</v>
      </c>
      <c r="H78" s="376">
        <v>60.28606666666667</v>
      </c>
    </row>
    <row r="79" spans="3:8" x14ac:dyDescent="0.3">
      <c r="C79" s="387" t="s">
        <v>4701</v>
      </c>
      <c r="D79" s="375">
        <v>70000000</v>
      </c>
      <c r="E79" s="375">
        <v>4800000</v>
      </c>
      <c r="F79" s="376">
        <v>6.8571428571428577</v>
      </c>
      <c r="G79" s="375">
        <v>65200000</v>
      </c>
      <c r="H79" s="376">
        <v>93.142857142857139</v>
      </c>
    </row>
    <row r="80" spans="3:8" x14ac:dyDescent="0.3">
      <c r="C80" s="387" t="s">
        <v>4702</v>
      </c>
      <c r="D80" s="375">
        <v>246000000</v>
      </c>
      <c r="E80" s="375">
        <v>60763672</v>
      </c>
      <c r="F80" s="376">
        <v>24.700679674796746</v>
      </c>
      <c r="G80" s="375">
        <v>185236328</v>
      </c>
      <c r="H80" s="376">
        <v>75.299320325203254</v>
      </c>
    </row>
    <row r="81" spans="3:8" x14ac:dyDescent="0.3">
      <c r="C81" s="226" t="s">
        <v>534</v>
      </c>
      <c r="D81" s="299">
        <v>750000000</v>
      </c>
      <c r="E81" s="299">
        <v>49151000</v>
      </c>
      <c r="F81" s="300">
        <v>6.553466666666667</v>
      </c>
      <c r="G81" s="299">
        <v>700849000</v>
      </c>
      <c r="H81" s="300">
        <v>93.446533333333335</v>
      </c>
    </row>
    <row r="82" spans="3:8" x14ac:dyDescent="0.3">
      <c r="C82" s="377" t="s">
        <v>4754</v>
      </c>
      <c r="D82" s="375">
        <v>750000000</v>
      </c>
      <c r="E82" s="375">
        <v>49151000</v>
      </c>
      <c r="F82" s="376">
        <v>6.553466666666667</v>
      </c>
      <c r="G82" s="375">
        <v>700849000</v>
      </c>
      <c r="H82" s="376">
        <v>93.446533333333335</v>
      </c>
    </row>
    <row r="83" spans="3:8" x14ac:dyDescent="0.3">
      <c r="C83" s="401" t="s">
        <v>4753</v>
      </c>
      <c r="D83" s="232">
        <v>750000000</v>
      </c>
      <c r="E83" s="232">
        <v>49151000</v>
      </c>
      <c r="F83" s="231">
        <v>6.553466666666667</v>
      </c>
      <c r="G83" s="232">
        <v>700849000</v>
      </c>
      <c r="H83" s="231">
        <v>93.446533333333335</v>
      </c>
    </row>
    <row r="84" spans="3:8" x14ac:dyDescent="0.3">
      <c r="C84" s="383" t="s">
        <v>4760</v>
      </c>
      <c r="D84" s="381">
        <v>639737000</v>
      </c>
      <c r="E84" s="381">
        <v>0</v>
      </c>
      <c r="F84" s="382">
        <v>0</v>
      </c>
      <c r="G84" s="381">
        <v>639737000</v>
      </c>
      <c r="H84" s="382">
        <v>100</v>
      </c>
    </row>
    <row r="85" spans="3:8" x14ac:dyDescent="0.3">
      <c r="C85" s="387" t="s">
        <v>4698</v>
      </c>
      <c r="D85" s="375">
        <v>118575000</v>
      </c>
      <c r="E85" s="375">
        <v>0</v>
      </c>
      <c r="F85" s="376">
        <v>0</v>
      </c>
      <c r="G85" s="375">
        <v>118575000</v>
      </c>
      <c r="H85" s="376">
        <v>100</v>
      </c>
    </row>
    <row r="86" spans="3:8" x14ac:dyDescent="0.3">
      <c r="C86" s="387" t="s">
        <v>4711</v>
      </c>
      <c r="D86" s="375">
        <v>393200000</v>
      </c>
      <c r="E86" s="375">
        <v>0</v>
      </c>
      <c r="F86" s="376">
        <v>0</v>
      </c>
      <c r="G86" s="375">
        <v>393200000</v>
      </c>
      <c r="H86" s="376">
        <v>100</v>
      </c>
    </row>
    <row r="87" spans="3:8" x14ac:dyDescent="0.3">
      <c r="C87" s="387" t="s">
        <v>4704</v>
      </c>
      <c r="D87" s="375">
        <v>120000000</v>
      </c>
      <c r="E87" s="375">
        <v>0</v>
      </c>
      <c r="F87" s="376">
        <v>0</v>
      </c>
      <c r="G87" s="375">
        <v>120000000</v>
      </c>
      <c r="H87" s="376">
        <v>100</v>
      </c>
    </row>
    <row r="88" spans="3:8" x14ac:dyDescent="0.3">
      <c r="C88" s="387" t="s">
        <v>4702</v>
      </c>
      <c r="D88" s="375">
        <v>7962000</v>
      </c>
      <c r="E88" s="375">
        <v>0</v>
      </c>
      <c r="F88" s="376">
        <v>0</v>
      </c>
      <c r="G88" s="375">
        <v>7962000</v>
      </c>
      <c r="H88" s="376">
        <v>100</v>
      </c>
    </row>
    <row r="89" spans="3:8" x14ac:dyDescent="0.3">
      <c r="C89" s="383" t="s">
        <v>4761</v>
      </c>
      <c r="D89" s="381">
        <v>110263000</v>
      </c>
      <c r="E89" s="381">
        <v>49151000</v>
      </c>
      <c r="F89" s="382">
        <v>44.576149751049762</v>
      </c>
      <c r="G89" s="381">
        <v>61112000</v>
      </c>
      <c r="H89" s="382">
        <v>55.423850248950238</v>
      </c>
    </row>
    <row r="90" spans="3:8" x14ac:dyDescent="0.3">
      <c r="C90" s="387" t="s">
        <v>4698</v>
      </c>
      <c r="D90" s="375">
        <v>17550000</v>
      </c>
      <c r="E90" s="375">
        <v>9469000</v>
      </c>
      <c r="F90" s="376">
        <v>53.954415954415957</v>
      </c>
      <c r="G90" s="375">
        <v>8081000</v>
      </c>
      <c r="H90" s="376">
        <v>46.04558404558405</v>
      </c>
    </row>
    <row r="91" spans="3:8" x14ac:dyDescent="0.3">
      <c r="C91" s="387" t="s">
        <v>4711</v>
      </c>
      <c r="D91" s="375">
        <v>27651000</v>
      </c>
      <c r="E91" s="375">
        <v>620000</v>
      </c>
      <c r="F91" s="376">
        <v>2.2422335539401832</v>
      </c>
      <c r="G91" s="375">
        <v>27031000</v>
      </c>
      <c r="H91" s="376">
        <v>97.757766446059819</v>
      </c>
    </row>
    <row r="92" spans="3:8" x14ac:dyDescent="0.3">
      <c r="C92" s="387" t="s">
        <v>4701</v>
      </c>
      <c r="D92" s="375">
        <v>40000000</v>
      </c>
      <c r="E92" s="375">
        <v>14000000</v>
      </c>
      <c r="F92" s="376">
        <v>35</v>
      </c>
      <c r="G92" s="375">
        <v>26000000</v>
      </c>
      <c r="H92" s="376">
        <v>65</v>
      </c>
    </row>
    <row r="93" spans="3:8" x14ac:dyDescent="0.3">
      <c r="C93" s="387" t="s">
        <v>4702</v>
      </c>
      <c r="D93" s="375">
        <v>25062000</v>
      </c>
      <c r="E93" s="375">
        <v>25062000</v>
      </c>
      <c r="F93" s="376">
        <v>100</v>
      </c>
      <c r="G93" s="375">
        <v>0</v>
      </c>
      <c r="H93" s="376">
        <v>0</v>
      </c>
    </row>
    <row r="94" spans="3:8" x14ac:dyDescent="0.3">
      <c r="C94" s="378" t="s">
        <v>542</v>
      </c>
      <c r="D94" s="379">
        <v>1402650000</v>
      </c>
      <c r="E94" s="379">
        <v>236473592</v>
      </c>
      <c r="F94" s="380">
        <v>16.859059066766477</v>
      </c>
      <c r="G94" s="379">
        <v>1166176408</v>
      </c>
      <c r="H94" s="380">
        <v>83.140940933233523</v>
      </c>
    </row>
    <row r="95" spans="3:8" x14ac:dyDescent="0.3">
      <c r="C95" s="226" t="s">
        <v>591</v>
      </c>
      <c r="D95" s="299">
        <v>633732000</v>
      </c>
      <c r="E95" s="299">
        <v>105796297</v>
      </c>
      <c r="F95" s="300">
        <v>16.694169933031628</v>
      </c>
      <c r="G95" s="299">
        <v>527935703</v>
      </c>
      <c r="H95" s="300">
        <v>83.305830066968369</v>
      </c>
    </row>
    <row r="96" spans="3:8" x14ac:dyDescent="0.3">
      <c r="C96" s="377" t="s">
        <v>4786</v>
      </c>
      <c r="D96" s="375">
        <v>633732000</v>
      </c>
      <c r="E96" s="375">
        <v>105796297</v>
      </c>
      <c r="F96" s="376">
        <v>16.694169933031628</v>
      </c>
      <c r="G96" s="375">
        <v>527935703</v>
      </c>
      <c r="H96" s="376">
        <v>83.305830066968369</v>
      </c>
    </row>
    <row r="97" spans="3:8" x14ac:dyDescent="0.3">
      <c r="C97" s="401" t="s">
        <v>4785</v>
      </c>
      <c r="D97" s="232">
        <v>507200000</v>
      </c>
      <c r="E97" s="232">
        <v>77314297</v>
      </c>
      <c r="F97" s="231">
        <v>15.243355086750791</v>
      </c>
      <c r="G97" s="232">
        <v>429885703</v>
      </c>
      <c r="H97" s="231">
        <v>84.756644913249218</v>
      </c>
    </row>
    <row r="98" spans="3:8" x14ac:dyDescent="0.3">
      <c r="C98" s="383" t="s">
        <v>4727</v>
      </c>
      <c r="D98" s="381">
        <v>295200000</v>
      </c>
      <c r="E98" s="381">
        <v>6778028</v>
      </c>
      <c r="F98" s="382">
        <v>2.2960799457994581</v>
      </c>
      <c r="G98" s="381">
        <v>288421972</v>
      </c>
      <c r="H98" s="382">
        <v>97.703920054200537</v>
      </c>
    </row>
    <row r="99" spans="3:8" x14ac:dyDescent="0.3">
      <c r="C99" s="387" t="s">
        <v>4698</v>
      </c>
      <c r="D99" s="375">
        <v>46000000</v>
      </c>
      <c r="E99" s="375">
        <v>6278500</v>
      </c>
      <c r="F99" s="376">
        <v>13.648913043478261</v>
      </c>
      <c r="G99" s="375">
        <v>39721500</v>
      </c>
      <c r="H99" s="376">
        <v>86.35108695652174</v>
      </c>
    </row>
    <row r="100" spans="3:8" x14ac:dyDescent="0.3">
      <c r="C100" s="387" t="s">
        <v>4711</v>
      </c>
      <c r="D100" s="375">
        <v>2000000</v>
      </c>
      <c r="E100" s="375">
        <v>499528</v>
      </c>
      <c r="F100" s="376">
        <v>24.976400000000002</v>
      </c>
      <c r="G100" s="375">
        <v>1500472</v>
      </c>
      <c r="H100" s="376">
        <v>75.023600000000002</v>
      </c>
    </row>
    <row r="101" spans="3:8" x14ac:dyDescent="0.3">
      <c r="C101" s="387" t="s">
        <v>4702</v>
      </c>
      <c r="D101" s="375">
        <v>247200000</v>
      </c>
      <c r="E101" s="375">
        <v>0</v>
      </c>
      <c r="F101" s="376">
        <v>0</v>
      </c>
      <c r="G101" s="375">
        <v>247200000</v>
      </c>
      <c r="H101" s="376">
        <v>100</v>
      </c>
    </row>
    <row r="102" spans="3:8" x14ac:dyDescent="0.3">
      <c r="C102" s="383" t="s">
        <v>4728</v>
      </c>
      <c r="D102" s="381">
        <v>212000000</v>
      </c>
      <c r="E102" s="381">
        <v>70536269</v>
      </c>
      <c r="F102" s="382">
        <v>33.271825</v>
      </c>
      <c r="G102" s="381">
        <v>141463731</v>
      </c>
      <c r="H102" s="382">
        <v>66.728175000000007</v>
      </c>
    </row>
    <row r="103" spans="3:8" x14ac:dyDescent="0.3">
      <c r="C103" s="387" t="s">
        <v>4698</v>
      </c>
      <c r="D103" s="375">
        <v>41000000</v>
      </c>
      <c r="E103" s="375">
        <v>9519000</v>
      </c>
      <c r="F103" s="376">
        <v>23.217073170731709</v>
      </c>
      <c r="G103" s="375">
        <v>31481000</v>
      </c>
      <c r="H103" s="376">
        <v>76.782926829268291</v>
      </c>
    </row>
    <row r="104" spans="3:8" x14ac:dyDescent="0.3">
      <c r="C104" s="387" t="s">
        <v>4711</v>
      </c>
      <c r="D104" s="375">
        <v>32000000</v>
      </c>
      <c r="E104" s="375">
        <v>603014</v>
      </c>
      <c r="F104" s="376">
        <v>1.8844187500000003</v>
      </c>
      <c r="G104" s="375">
        <v>31396986</v>
      </c>
      <c r="H104" s="376">
        <v>98.115581249999991</v>
      </c>
    </row>
    <row r="105" spans="3:8" x14ac:dyDescent="0.3">
      <c r="C105" s="387" t="s">
        <v>4701</v>
      </c>
      <c r="D105" s="375">
        <v>10000000</v>
      </c>
      <c r="E105" s="375">
        <v>0</v>
      </c>
      <c r="F105" s="376">
        <v>0</v>
      </c>
      <c r="G105" s="375">
        <v>10000000</v>
      </c>
      <c r="H105" s="376">
        <v>100</v>
      </c>
    </row>
    <row r="106" spans="3:8" x14ac:dyDescent="0.3">
      <c r="C106" s="387" t="s">
        <v>4702</v>
      </c>
      <c r="D106" s="375">
        <v>120000000</v>
      </c>
      <c r="E106" s="375">
        <v>21946724</v>
      </c>
      <c r="F106" s="376">
        <v>18.288936666666665</v>
      </c>
      <c r="G106" s="375">
        <v>98053276</v>
      </c>
      <c r="H106" s="376">
        <v>81.711063333333328</v>
      </c>
    </row>
    <row r="107" spans="3:8" ht="17.100000000000001" customHeight="1" x14ac:dyDescent="0.3">
      <c r="C107" s="387" t="s">
        <v>508</v>
      </c>
      <c r="D107" s="375">
        <v>9000000</v>
      </c>
      <c r="E107" s="375">
        <v>38467531</v>
      </c>
      <c r="F107" s="376">
        <v>427.41701111111115</v>
      </c>
      <c r="G107" s="375">
        <v>-29467531</v>
      </c>
      <c r="H107" s="376">
        <v>-327.41701111111115</v>
      </c>
    </row>
    <row r="108" spans="3:8" x14ac:dyDescent="0.3">
      <c r="C108" s="401" t="s">
        <v>4787</v>
      </c>
      <c r="D108" s="232">
        <v>126532000</v>
      </c>
      <c r="E108" s="232">
        <v>28482000</v>
      </c>
      <c r="F108" s="231">
        <v>22.509720861126041</v>
      </c>
      <c r="G108" s="232">
        <v>98050000</v>
      </c>
      <c r="H108" s="231">
        <v>77.490279138873959</v>
      </c>
    </row>
    <row r="109" spans="3:8" x14ac:dyDescent="0.3">
      <c r="C109" s="383" t="s">
        <v>4788</v>
      </c>
      <c r="D109" s="381">
        <v>126532000</v>
      </c>
      <c r="E109" s="381">
        <v>28482000</v>
      </c>
      <c r="F109" s="382">
        <v>22.509720861126041</v>
      </c>
      <c r="G109" s="381">
        <v>98050000</v>
      </c>
      <c r="H109" s="382">
        <v>77.490279138873959</v>
      </c>
    </row>
    <row r="110" spans="3:8" ht="17.100000000000001" customHeight="1" x14ac:dyDescent="0.3">
      <c r="C110" s="387" t="s">
        <v>4698</v>
      </c>
      <c r="D110" s="375">
        <v>35500000</v>
      </c>
      <c r="E110" s="375">
        <v>8344000</v>
      </c>
      <c r="F110" s="376">
        <v>23.504225352112677</v>
      </c>
      <c r="G110" s="375">
        <v>27156000</v>
      </c>
      <c r="H110" s="376">
        <v>76.49577464788733</v>
      </c>
    </row>
    <row r="111" spans="3:8" ht="17.100000000000001" customHeight="1" x14ac:dyDescent="0.3">
      <c r="C111" s="387" t="s">
        <v>4711</v>
      </c>
      <c r="D111" s="375">
        <v>2000000</v>
      </c>
      <c r="E111" s="375">
        <v>0</v>
      </c>
      <c r="F111" s="376">
        <v>0</v>
      </c>
      <c r="G111" s="375">
        <v>2000000</v>
      </c>
      <c r="H111" s="376">
        <v>100</v>
      </c>
    </row>
    <row r="112" spans="3:8" ht="17.100000000000001" customHeight="1" x14ac:dyDescent="0.3">
      <c r="C112" s="387" t="s">
        <v>4702</v>
      </c>
      <c r="D112" s="375">
        <v>89032000</v>
      </c>
      <c r="E112" s="375">
        <v>20138000</v>
      </c>
      <c r="F112" s="376">
        <v>22.618833677778778</v>
      </c>
      <c r="G112" s="375">
        <v>68894000</v>
      </c>
      <c r="H112" s="376">
        <v>77.381166322221233</v>
      </c>
    </row>
    <row r="113" spans="3:8" x14ac:dyDescent="0.3">
      <c r="C113" s="226" t="s">
        <v>543</v>
      </c>
      <c r="D113" s="299">
        <v>768918000</v>
      </c>
      <c r="E113" s="299">
        <v>130677295</v>
      </c>
      <c r="F113" s="300">
        <v>16.994958500126149</v>
      </c>
      <c r="G113" s="299">
        <v>638240705</v>
      </c>
      <c r="H113" s="300">
        <v>83.00504149987384</v>
      </c>
    </row>
    <row r="114" spans="3:8" x14ac:dyDescent="0.3">
      <c r="C114" s="377" t="s">
        <v>4752</v>
      </c>
      <c r="D114" s="375">
        <v>153780000</v>
      </c>
      <c r="E114" s="375">
        <v>28697850</v>
      </c>
      <c r="F114" s="376">
        <v>18.661626999609833</v>
      </c>
      <c r="G114" s="375">
        <v>125082150</v>
      </c>
      <c r="H114" s="376">
        <v>81.338373000390163</v>
      </c>
    </row>
    <row r="115" spans="3:8" x14ac:dyDescent="0.3">
      <c r="C115" s="401" t="s">
        <v>4751</v>
      </c>
      <c r="D115" s="232">
        <v>153780000</v>
      </c>
      <c r="E115" s="232">
        <v>28697850</v>
      </c>
      <c r="F115" s="231">
        <v>18.661626999609833</v>
      </c>
      <c r="G115" s="232">
        <v>125082150</v>
      </c>
      <c r="H115" s="231">
        <v>81.338373000390163</v>
      </c>
    </row>
    <row r="116" spans="3:8" x14ac:dyDescent="0.3">
      <c r="C116" s="383" t="s">
        <v>4750</v>
      </c>
      <c r="D116" s="381">
        <v>153780000</v>
      </c>
      <c r="E116" s="381">
        <v>28697850</v>
      </c>
      <c r="F116" s="382">
        <v>18.661626999609833</v>
      </c>
      <c r="G116" s="381">
        <v>125082150</v>
      </c>
      <c r="H116" s="382">
        <v>81.338373000390163</v>
      </c>
    </row>
    <row r="117" spans="3:8" ht="17.100000000000001" customHeight="1" x14ac:dyDescent="0.3">
      <c r="C117" s="387" t="s">
        <v>4698</v>
      </c>
      <c r="D117" s="375">
        <v>14400000</v>
      </c>
      <c r="E117" s="375">
        <v>5947500</v>
      </c>
      <c r="F117" s="376">
        <v>41.302083333333336</v>
      </c>
      <c r="G117" s="375">
        <v>8452500</v>
      </c>
      <c r="H117" s="376">
        <v>58.697916666666671</v>
      </c>
    </row>
    <row r="118" spans="3:8" ht="17.100000000000001" customHeight="1" x14ac:dyDescent="0.3">
      <c r="C118" s="387" t="s">
        <v>4711</v>
      </c>
      <c r="D118" s="375">
        <v>8000000</v>
      </c>
      <c r="E118" s="375">
        <v>0</v>
      </c>
      <c r="F118" s="376">
        <v>0</v>
      </c>
      <c r="G118" s="375">
        <v>8000000</v>
      </c>
      <c r="H118" s="376">
        <v>100</v>
      </c>
    </row>
    <row r="119" spans="3:8" ht="17.100000000000001" customHeight="1" x14ac:dyDescent="0.3">
      <c r="C119" s="387" t="s">
        <v>4716</v>
      </c>
      <c r="D119" s="375">
        <v>12000000</v>
      </c>
      <c r="E119" s="375">
        <v>4379750</v>
      </c>
      <c r="F119" s="376">
        <v>36.497916666666669</v>
      </c>
      <c r="G119" s="375">
        <v>7620250</v>
      </c>
      <c r="H119" s="376">
        <v>63.502083333333339</v>
      </c>
    </row>
    <row r="120" spans="3:8" ht="17.100000000000001" customHeight="1" x14ac:dyDescent="0.3">
      <c r="C120" s="387" t="s">
        <v>4701</v>
      </c>
      <c r="D120" s="375">
        <v>4000000</v>
      </c>
      <c r="E120" s="375">
        <v>0</v>
      </c>
      <c r="F120" s="376">
        <v>0</v>
      </c>
      <c r="G120" s="375">
        <v>4000000</v>
      </c>
      <c r="H120" s="376">
        <v>100</v>
      </c>
    </row>
    <row r="121" spans="3:8" ht="17.100000000000001" customHeight="1" x14ac:dyDescent="0.3">
      <c r="C121" s="387" t="s">
        <v>4702</v>
      </c>
      <c r="D121" s="375">
        <v>115380000</v>
      </c>
      <c r="E121" s="375">
        <v>18370600</v>
      </c>
      <c r="F121" s="376">
        <v>15.921823539608251</v>
      </c>
      <c r="G121" s="375">
        <v>97009400</v>
      </c>
      <c r="H121" s="376">
        <v>84.078176460391745</v>
      </c>
    </row>
    <row r="122" spans="3:8" x14ac:dyDescent="0.3">
      <c r="C122" s="377" t="s">
        <v>4780</v>
      </c>
      <c r="D122" s="375">
        <v>615138000</v>
      </c>
      <c r="E122" s="375">
        <v>101979445</v>
      </c>
      <c r="F122" s="376">
        <v>16.578303567654736</v>
      </c>
      <c r="G122" s="375">
        <v>513158555</v>
      </c>
      <c r="H122" s="376">
        <v>83.421696432345257</v>
      </c>
    </row>
    <row r="123" spans="3:8" x14ac:dyDescent="0.3">
      <c r="C123" s="401" t="s">
        <v>4781</v>
      </c>
      <c r="D123" s="232">
        <v>615138000</v>
      </c>
      <c r="E123" s="232">
        <v>101979445</v>
      </c>
      <c r="F123" s="231">
        <v>16.578303567654736</v>
      </c>
      <c r="G123" s="232">
        <v>513158555</v>
      </c>
      <c r="H123" s="231">
        <v>83.421696432345257</v>
      </c>
    </row>
    <row r="124" spans="3:8" x14ac:dyDescent="0.3">
      <c r="C124" s="383" t="s">
        <v>4782</v>
      </c>
      <c r="D124" s="381">
        <v>101050000</v>
      </c>
      <c r="E124" s="381">
        <v>13706395</v>
      </c>
      <c r="F124" s="382">
        <v>13.563973280554181</v>
      </c>
      <c r="G124" s="381">
        <v>87343605</v>
      </c>
      <c r="H124" s="382">
        <v>86.43602671944582</v>
      </c>
    </row>
    <row r="125" spans="3:8" ht="17.100000000000001" customHeight="1" x14ac:dyDescent="0.3">
      <c r="C125" s="387" t="s">
        <v>4698</v>
      </c>
      <c r="D125" s="375">
        <v>22650000</v>
      </c>
      <c r="E125" s="375">
        <v>2991000</v>
      </c>
      <c r="F125" s="376">
        <v>13.205298013245034</v>
      </c>
      <c r="G125" s="375">
        <v>19659000</v>
      </c>
      <c r="H125" s="376">
        <v>86.794701986754959</v>
      </c>
    </row>
    <row r="126" spans="3:8" ht="17.100000000000001" customHeight="1" x14ac:dyDescent="0.3">
      <c r="C126" s="387" t="s">
        <v>4711</v>
      </c>
      <c r="D126" s="375">
        <v>1000000</v>
      </c>
      <c r="E126" s="375">
        <v>702895</v>
      </c>
      <c r="F126" s="376">
        <v>70.289500000000004</v>
      </c>
      <c r="G126" s="375">
        <v>297105</v>
      </c>
      <c r="H126" s="376">
        <v>29.7105</v>
      </c>
    </row>
    <row r="127" spans="3:8" ht="17.100000000000001" customHeight="1" x14ac:dyDescent="0.3">
      <c r="C127" s="387" t="s">
        <v>4716</v>
      </c>
      <c r="D127" s="375">
        <v>15000000</v>
      </c>
      <c r="E127" s="375">
        <v>4849000</v>
      </c>
      <c r="F127" s="376">
        <v>32.326666666666668</v>
      </c>
      <c r="G127" s="375">
        <v>10151000</v>
      </c>
      <c r="H127" s="376">
        <v>67.673333333333332</v>
      </c>
    </row>
    <row r="128" spans="3:8" ht="17.100000000000001" customHeight="1" x14ac:dyDescent="0.3">
      <c r="C128" s="387" t="s">
        <v>4702</v>
      </c>
      <c r="D128" s="375">
        <v>62400000</v>
      </c>
      <c r="E128" s="375">
        <v>5163500</v>
      </c>
      <c r="F128" s="376">
        <v>8.2748397435897427</v>
      </c>
      <c r="G128" s="375">
        <v>57236500</v>
      </c>
      <c r="H128" s="376">
        <v>91.725160256410248</v>
      </c>
    </row>
    <row r="129" spans="3:8" x14ac:dyDescent="0.3">
      <c r="C129" s="383" t="s">
        <v>4783</v>
      </c>
      <c r="D129" s="381">
        <v>345988000</v>
      </c>
      <c r="E129" s="381">
        <v>20151000</v>
      </c>
      <c r="F129" s="382">
        <v>5.8241904343503244</v>
      </c>
      <c r="G129" s="381">
        <v>325837000</v>
      </c>
      <c r="H129" s="382">
        <v>94.175809565649672</v>
      </c>
    </row>
    <row r="130" spans="3:8" ht="17.100000000000001" customHeight="1" x14ac:dyDescent="0.3">
      <c r="C130" s="387" t="s">
        <v>4698</v>
      </c>
      <c r="D130" s="375">
        <v>49300000</v>
      </c>
      <c r="E130" s="375">
        <v>5939000</v>
      </c>
      <c r="F130" s="376">
        <v>12.046653144016227</v>
      </c>
      <c r="G130" s="375">
        <v>43361000</v>
      </c>
      <c r="H130" s="376">
        <v>87.953346855983767</v>
      </c>
    </row>
    <row r="131" spans="3:8" ht="17.100000000000001" customHeight="1" x14ac:dyDescent="0.3">
      <c r="C131" s="387" t="s">
        <v>4711</v>
      </c>
      <c r="D131" s="375">
        <v>1000000</v>
      </c>
      <c r="E131" s="375">
        <v>0</v>
      </c>
      <c r="F131" s="376">
        <v>0</v>
      </c>
      <c r="G131" s="375">
        <v>1000000</v>
      </c>
      <c r="H131" s="376">
        <v>100</v>
      </c>
    </row>
    <row r="132" spans="3:8" ht="17.100000000000001" customHeight="1" x14ac:dyDescent="0.3">
      <c r="C132" s="387" t="s">
        <v>4716</v>
      </c>
      <c r="D132" s="375">
        <v>25000000</v>
      </c>
      <c r="E132" s="375">
        <v>9783000</v>
      </c>
      <c r="F132" s="376">
        <v>39.131999999999998</v>
      </c>
      <c r="G132" s="375">
        <v>15217000</v>
      </c>
      <c r="H132" s="376">
        <v>60.868000000000002</v>
      </c>
    </row>
    <row r="133" spans="3:8" ht="17.100000000000001" customHeight="1" x14ac:dyDescent="0.3">
      <c r="C133" s="387" t="s">
        <v>4701</v>
      </c>
      <c r="D133" s="375">
        <v>12000000</v>
      </c>
      <c r="E133" s="375">
        <v>0</v>
      </c>
      <c r="F133" s="376">
        <v>0</v>
      </c>
      <c r="G133" s="375">
        <v>12000000</v>
      </c>
      <c r="H133" s="376">
        <v>100</v>
      </c>
    </row>
    <row r="134" spans="3:8" ht="17.100000000000001" customHeight="1" x14ac:dyDescent="0.3">
      <c r="C134" s="387" t="s">
        <v>4702</v>
      </c>
      <c r="D134" s="375">
        <v>258688000</v>
      </c>
      <c r="E134" s="375">
        <v>4429000</v>
      </c>
      <c r="F134" s="376">
        <v>1.7121010638297871</v>
      </c>
      <c r="G134" s="375">
        <v>254259000</v>
      </c>
      <c r="H134" s="376">
        <v>98.287898936170208</v>
      </c>
    </row>
    <row r="135" spans="3:8" x14ac:dyDescent="0.3">
      <c r="C135" s="383" t="s">
        <v>4784</v>
      </c>
      <c r="D135" s="381">
        <v>168100000</v>
      </c>
      <c r="E135" s="381">
        <v>68122050</v>
      </c>
      <c r="F135" s="382">
        <v>40.524717430101134</v>
      </c>
      <c r="G135" s="381">
        <v>99977950</v>
      </c>
      <c r="H135" s="382">
        <v>59.475282569898866</v>
      </c>
    </row>
    <row r="136" spans="3:8" ht="17.100000000000001" customHeight="1" x14ac:dyDescent="0.3">
      <c r="C136" s="387" t="s">
        <v>4698</v>
      </c>
      <c r="D136" s="375">
        <v>39500000</v>
      </c>
      <c r="E136" s="375">
        <v>16388500</v>
      </c>
      <c r="F136" s="376">
        <v>41.489873417721519</v>
      </c>
      <c r="G136" s="375">
        <v>23111500</v>
      </c>
      <c r="H136" s="376">
        <v>58.510126582278474</v>
      </c>
    </row>
    <row r="137" spans="3:8" ht="17.100000000000001" customHeight="1" x14ac:dyDescent="0.3">
      <c r="C137" s="387" t="s">
        <v>4716</v>
      </c>
      <c r="D137" s="375">
        <v>25000000</v>
      </c>
      <c r="E137" s="375">
        <v>9825750</v>
      </c>
      <c r="F137" s="376">
        <v>39.302999999999997</v>
      </c>
      <c r="G137" s="375">
        <v>15174250</v>
      </c>
      <c r="H137" s="376">
        <v>60.697000000000003</v>
      </c>
    </row>
    <row r="138" spans="3:8" ht="17.100000000000001" customHeight="1" x14ac:dyDescent="0.3">
      <c r="C138" s="387" t="s">
        <v>4701</v>
      </c>
      <c r="D138" s="375">
        <v>10000000</v>
      </c>
      <c r="E138" s="375">
        <v>0</v>
      </c>
      <c r="F138" s="376">
        <v>0</v>
      </c>
      <c r="G138" s="375">
        <v>10000000</v>
      </c>
      <c r="H138" s="376">
        <v>100</v>
      </c>
    </row>
    <row r="139" spans="3:8" ht="17.100000000000001" customHeight="1" x14ac:dyDescent="0.3">
      <c r="C139" s="387" t="s">
        <v>4702</v>
      </c>
      <c r="D139" s="375">
        <v>93600000</v>
      </c>
      <c r="E139" s="375">
        <v>41907800</v>
      </c>
      <c r="F139" s="376">
        <v>44.7732905982906</v>
      </c>
      <c r="G139" s="375">
        <v>51692200</v>
      </c>
      <c r="H139" s="376">
        <v>55.226709401709407</v>
      </c>
    </row>
    <row r="140" spans="3:8" ht="17.100000000000001" customHeight="1" x14ac:dyDescent="0.3">
      <c r="C140" s="378" t="s">
        <v>576</v>
      </c>
      <c r="D140" s="379">
        <v>4328014000</v>
      </c>
      <c r="E140" s="379">
        <v>1844517380</v>
      </c>
      <c r="F140" s="380">
        <v>42.618101050504919</v>
      </c>
      <c r="G140" s="379">
        <v>2483496620</v>
      </c>
      <c r="H140" s="380">
        <v>57.381898949495081</v>
      </c>
    </row>
    <row r="141" spans="3:8" x14ac:dyDescent="0.3">
      <c r="C141" s="226" t="s">
        <v>546</v>
      </c>
      <c r="D141" s="299">
        <v>289920000</v>
      </c>
      <c r="E141" s="299">
        <v>136548520</v>
      </c>
      <c r="F141" s="300">
        <v>47.098689293598234</v>
      </c>
      <c r="G141" s="299">
        <v>153371480</v>
      </c>
      <c r="H141" s="300">
        <v>52.901310706401759</v>
      </c>
    </row>
    <row r="142" spans="3:8" x14ac:dyDescent="0.3">
      <c r="C142" s="377" t="s">
        <v>4789</v>
      </c>
      <c r="D142" s="375">
        <v>289920000</v>
      </c>
      <c r="E142" s="375">
        <v>136548520</v>
      </c>
      <c r="F142" s="376">
        <v>47.098689293598234</v>
      </c>
      <c r="G142" s="375">
        <v>153371480</v>
      </c>
      <c r="H142" s="376">
        <v>52.901310706401759</v>
      </c>
    </row>
    <row r="143" spans="3:8" x14ac:dyDescent="0.3">
      <c r="C143" s="401" t="s">
        <v>4790</v>
      </c>
      <c r="D143" s="232">
        <v>289920000</v>
      </c>
      <c r="E143" s="232">
        <v>136548520</v>
      </c>
      <c r="F143" s="231">
        <v>47.098689293598234</v>
      </c>
      <c r="G143" s="232">
        <v>153371480</v>
      </c>
      <c r="H143" s="231">
        <v>52.901310706401759</v>
      </c>
    </row>
    <row r="144" spans="3:8" x14ac:dyDescent="0.3">
      <c r="C144" s="383" t="s">
        <v>4791</v>
      </c>
      <c r="D144" s="381">
        <v>38900000</v>
      </c>
      <c r="E144" s="381">
        <v>22532552</v>
      </c>
      <c r="F144" s="382">
        <v>57.924298200514137</v>
      </c>
      <c r="G144" s="381">
        <v>16367448</v>
      </c>
      <c r="H144" s="382">
        <v>42.075701799485863</v>
      </c>
    </row>
    <row r="145" spans="3:8" ht="17.100000000000001" customHeight="1" x14ac:dyDescent="0.3">
      <c r="C145" s="387" t="s">
        <v>4698</v>
      </c>
      <c r="D145" s="375">
        <v>23900000</v>
      </c>
      <c r="E145" s="375">
        <v>13831000</v>
      </c>
      <c r="F145" s="376">
        <v>57.870292887029287</v>
      </c>
      <c r="G145" s="375">
        <v>10069000</v>
      </c>
      <c r="H145" s="376">
        <v>42.129707112970713</v>
      </c>
    </row>
    <row r="146" spans="3:8" ht="17.100000000000001" customHeight="1" x14ac:dyDescent="0.3">
      <c r="C146" s="387" t="s">
        <v>4702</v>
      </c>
      <c r="D146" s="375">
        <v>15000000</v>
      </c>
      <c r="E146" s="375">
        <v>8701552</v>
      </c>
      <c r="F146" s="376">
        <v>58.010346666666671</v>
      </c>
      <c r="G146" s="375">
        <v>6298448</v>
      </c>
      <c r="H146" s="376">
        <v>41.989653333333329</v>
      </c>
    </row>
    <row r="147" spans="3:8" x14ac:dyDescent="0.3">
      <c r="C147" s="383" t="s">
        <v>4792</v>
      </c>
      <c r="D147" s="381">
        <v>29400000</v>
      </c>
      <c r="E147" s="381">
        <v>7794000</v>
      </c>
      <c r="F147" s="382">
        <v>26.510204081632654</v>
      </c>
      <c r="G147" s="381">
        <v>21606000</v>
      </c>
      <c r="H147" s="382">
        <v>73.489795918367349</v>
      </c>
    </row>
    <row r="148" spans="3:8" ht="17.100000000000001" customHeight="1" x14ac:dyDescent="0.3">
      <c r="C148" s="387" t="s">
        <v>4698</v>
      </c>
      <c r="D148" s="375">
        <v>11400000</v>
      </c>
      <c r="E148" s="375">
        <v>4944000</v>
      </c>
      <c r="F148" s="376">
        <v>43.368421052631575</v>
      </c>
      <c r="G148" s="375">
        <v>6456000</v>
      </c>
      <c r="H148" s="376">
        <v>56.631578947368425</v>
      </c>
    </row>
    <row r="149" spans="3:8" ht="17.100000000000001" customHeight="1" x14ac:dyDescent="0.3">
      <c r="C149" s="387" t="s">
        <v>4702</v>
      </c>
      <c r="D149" s="375">
        <v>18000000</v>
      </c>
      <c r="E149" s="375">
        <v>2850000</v>
      </c>
      <c r="F149" s="376">
        <v>15.833333333333332</v>
      </c>
      <c r="G149" s="375">
        <v>15150000</v>
      </c>
      <c r="H149" s="376">
        <v>84.166666666666671</v>
      </c>
    </row>
    <row r="150" spans="3:8" x14ac:dyDescent="0.3">
      <c r="C150" s="383" t="s">
        <v>4793</v>
      </c>
      <c r="D150" s="381">
        <v>25000000</v>
      </c>
      <c r="E150" s="381">
        <v>4968500</v>
      </c>
      <c r="F150" s="382">
        <v>19.873999999999999</v>
      </c>
      <c r="G150" s="381">
        <v>20031500</v>
      </c>
      <c r="H150" s="382">
        <v>80.125999999999991</v>
      </c>
    </row>
    <row r="151" spans="3:8" ht="17.100000000000001" customHeight="1" x14ac:dyDescent="0.3">
      <c r="C151" s="387" t="s">
        <v>4698</v>
      </c>
      <c r="D151" s="375">
        <v>10000000</v>
      </c>
      <c r="E151" s="375">
        <v>4968500</v>
      </c>
      <c r="F151" s="376">
        <v>49.685000000000002</v>
      </c>
      <c r="G151" s="375">
        <v>5031500</v>
      </c>
      <c r="H151" s="376">
        <v>50.314999999999998</v>
      </c>
    </row>
    <row r="152" spans="3:8" ht="17.100000000000001" customHeight="1" x14ac:dyDescent="0.3">
      <c r="C152" s="387" t="s">
        <v>4702</v>
      </c>
      <c r="D152" s="375">
        <v>15000000</v>
      </c>
      <c r="E152" s="375">
        <v>0</v>
      </c>
      <c r="F152" s="376">
        <v>0</v>
      </c>
      <c r="G152" s="375">
        <v>15000000</v>
      </c>
      <c r="H152" s="376">
        <v>100</v>
      </c>
    </row>
    <row r="153" spans="3:8" x14ac:dyDescent="0.3">
      <c r="C153" s="383" t="s">
        <v>4794</v>
      </c>
      <c r="D153" s="381">
        <v>80940000</v>
      </c>
      <c r="E153" s="381">
        <v>31619468</v>
      </c>
      <c r="F153" s="382">
        <v>39.065317519149986</v>
      </c>
      <c r="G153" s="381">
        <v>49320532</v>
      </c>
      <c r="H153" s="382">
        <v>60.934682480850014</v>
      </c>
    </row>
    <row r="154" spans="3:8" ht="17.100000000000001" customHeight="1" x14ac:dyDescent="0.3">
      <c r="C154" s="387" t="s">
        <v>4698</v>
      </c>
      <c r="D154" s="375">
        <v>35340000</v>
      </c>
      <c r="E154" s="375">
        <v>10985000</v>
      </c>
      <c r="F154" s="376">
        <v>31.083757781550652</v>
      </c>
      <c r="G154" s="375">
        <v>24355000</v>
      </c>
      <c r="H154" s="376">
        <v>68.916242218449355</v>
      </c>
    </row>
    <row r="155" spans="3:8" ht="17.100000000000001" customHeight="1" x14ac:dyDescent="0.3">
      <c r="C155" s="387" t="s">
        <v>4701</v>
      </c>
      <c r="D155" s="375">
        <v>3600000</v>
      </c>
      <c r="E155" s="375">
        <v>0</v>
      </c>
      <c r="F155" s="376">
        <v>0</v>
      </c>
      <c r="G155" s="375">
        <v>3600000</v>
      </c>
      <c r="H155" s="376">
        <v>100</v>
      </c>
    </row>
    <row r="156" spans="3:8" ht="17.100000000000001" customHeight="1" x14ac:dyDescent="0.3">
      <c r="C156" s="387" t="s">
        <v>4702</v>
      </c>
      <c r="D156" s="375">
        <v>42000000</v>
      </c>
      <c r="E156" s="375">
        <v>20634468</v>
      </c>
      <c r="F156" s="376">
        <v>49.129685714285714</v>
      </c>
      <c r="G156" s="375">
        <v>21365532</v>
      </c>
      <c r="H156" s="376">
        <v>50.870314285714294</v>
      </c>
    </row>
    <row r="157" spans="3:8" x14ac:dyDescent="0.3">
      <c r="C157" s="383" t="s">
        <v>4795</v>
      </c>
      <c r="D157" s="381">
        <v>27000000</v>
      </c>
      <c r="E157" s="381">
        <v>4944000</v>
      </c>
      <c r="F157" s="382">
        <v>18.31111111111111</v>
      </c>
      <c r="G157" s="381">
        <v>22056000</v>
      </c>
      <c r="H157" s="382">
        <v>81.688888888888883</v>
      </c>
    </row>
    <row r="158" spans="3:8" ht="17.100000000000001" customHeight="1" x14ac:dyDescent="0.3">
      <c r="C158" s="387" t="s">
        <v>4698</v>
      </c>
      <c r="D158" s="375">
        <v>15000000</v>
      </c>
      <c r="E158" s="375">
        <v>4944000</v>
      </c>
      <c r="F158" s="376">
        <v>32.96</v>
      </c>
      <c r="G158" s="375">
        <v>10056000</v>
      </c>
      <c r="H158" s="376">
        <v>67.040000000000006</v>
      </c>
    </row>
    <row r="159" spans="3:8" ht="17.100000000000001" customHeight="1" x14ac:dyDescent="0.3">
      <c r="C159" s="387" t="s">
        <v>4702</v>
      </c>
      <c r="D159" s="375">
        <v>12000000</v>
      </c>
      <c r="E159" s="375">
        <v>0</v>
      </c>
      <c r="F159" s="376">
        <v>0</v>
      </c>
      <c r="G159" s="375">
        <v>12000000</v>
      </c>
      <c r="H159" s="376">
        <v>100</v>
      </c>
    </row>
    <row r="160" spans="3:8" x14ac:dyDescent="0.3">
      <c r="C160" s="383" t="s">
        <v>4796</v>
      </c>
      <c r="D160" s="381">
        <v>88680000</v>
      </c>
      <c r="E160" s="381">
        <v>64690000</v>
      </c>
      <c r="F160" s="382">
        <v>72.947677041046461</v>
      </c>
      <c r="G160" s="381">
        <v>23990000</v>
      </c>
      <c r="H160" s="382">
        <v>27.052322958953539</v>
      </c>
    </row>
    <row r="161" spans="3:8" ht="17.100000000000001" customHeight="1" x14ac:dyDescent="0.3">
      <c r="C161" s="387" t="s">
        <v>4698</v>
      </c>
      <c r="D161" s="375">
        <v>4800000</v>
      </c>
      <c r="E161" s="375">
        <v>0</v>
      </c>
      <c r="F161" s="376">
        <v>0</v>
      </c>
      <c r="G161" s="375">
        <v>4800000</v>
      </c>
      <c r="H161" s="376">
        <v>100</v>
      </c>
    </row>
    <row r="162" spans="3:8" ht="17.100000000000001" customHeight="1" x14ac:dyDescent="0.3">
      <c r="C162" s="387" t="s">
        <v>4716</v>
      </c>
      <c r="D162" s="375">
        <v>27500000</v>
      </c>
      <c r="E162" s="375">
        <v>9960000</v>
      </c>
      <c r="F162" s="376">
        <v>36.218181818181819</v>
      </c>
      <c r="G162" s="375">
        <v>17540000</v>
      </c>
      <c r="H162" s="376">
        <v>63.781818181818181</v>
      </c>
    </row>
    <row r="163" spans="3:8" ht="17.100000000000001" customHeight="1" x14ac:dyDescent="0.3">
      <c r="C163" s="387" t="s">
        <v>4702</v>
      </c>
      <c r="D163" s="375">
        <v>56380000</v>
      </c>
      <c r="E163" s="375">
        <v>54730000</v>
      </c>
      <c r="F163" s="376">
        <v>97.073430294430651</v>
      </c>
      <c r="G163" s="375">
        <v>1650000</v>
      </c>
      <c r="H163" s="376">
        <v>2.9265697055693507</v>
      </c>
    </row>
    <row r="164" spans="3:8" x14ac:dyDescent="0.3">
      <c r="C164" s="226" t="s">
        <v>560</v>
      </c>
      <c r="D164" s="299">
        <v>4038094000</v>
      </c>
      <c r="E164" s="299">
        <v>1707968860</v>
      </c>
      <c r="F164" s="300">
        <v>42.296411623899786</v>
      </c>
      <c r="G164" s="299">
        <v>2330125140</v>
      </c>
      <c r="H164" s="300">
        <v>57.703588376100214</v>
      </c>
    </row>
    <row r="165" spans="3:8" ht="28.8" x14ac:dyDescent="0.3">
      <c r="C165" s="377" t="s">
        <v>4745</v>
      </c>
      <c r="D165" s="375">
        <v>115000000</v>
      </c>
      <c r="E165" s="375">
        <v>114200000</v>
      </c>
      <c r="F165" s="376">
        <v>99.304347826086953</v>
      </c>
      <c r="G165" s="375">
        <v>800000</v>
      </c>
      <c r="H165" s="376">
        <v>0.69565217391304346</v>
      </c>
    </row>
    <row r="166" spans="3:8" x14ac:dyDescent="0.3">
      <c r="C166" s="401" t="s">
        <v>4747</v>
      </c>
      <c r="D166" s="232">
        <v>115000000</v>
      </c>
      <c r="E166" s="232">
        <v>114200000</v>
      </c>
      <c r="F166" s="231">
        <v>99.304347826086953</v>
      </c>
      <c r="G166" s="232">
        <v>800000</v>
      </c>
      <c r="H166" s="231">
        <v>0.69565217391304346</v>
      </c>
    </row>
    <row r="167" spans="3:8" x14ac:dyDescent="0.3">
      <c r="C167" s="383" t="s">
        <v>4746</v>
      </c>
      <c r="D167" s="381">
        <v>115000000</v>
      </c>
      <c r="E167" s="381">
        <v>114200000</v>
      </c>
      <c r="F167" s="382">
        <v>99.304347826086953</v>
      </c>
      <c r="G167" s="381">
        <v>800000</v>
      </c>
      <c r="H167" s="382">
        <v>0.69565217391304346</v>
      </c>
    </row>
    <row r="168" spans="3:8" ht="17.100000000000001" customHeight="1" x14ac:dyDescent="0.3">
      <c r="C168" s="387" t="s">
        <v>4705</v>
      </c>
      <c r="D168" s="375">
        <v>115000000</v>
      </c>
      <c r="E168" s="375">
        <v>114200000</v>
      </c>
      <c r="F168" s="376">
        <v>99.304347826086953</v>
      </c>
      <c r="G168" s="375">
        <v>800000</v>
      </c>
      <c r="H168" s="376">
        <v>0.69565217391304346</v>
      </c>
    </row>
    <row r="169" spans="3:8" x14ac:dyDescent="0.3">
      <c r="C169" s="377" t="s">
        <v>4754</v>
      </c>
      <c r="D169" s="375">
        <v>1186502000</v>
      </c>
      <c r="E169" s="375">
        <v>390447219</v>
      </c>
      <c r="F169" s="376">
        <v>32.907421900679481</v>
      </c>
      <c r="G169" s="375">
        <v>796054781</v>
      </c>
      <c r="H169" s="376">
        <v>67.092578099320519</v>
      </c>
    </row>
    <row r="170" spans="3:8" x14ac:dyDescent="0.3">
      <c r="C170" s="401" t="s">
        <v>4753</v>
      </c>
      <c r="D170" s="232">
        <v>1186502000</v>
      </c>
      <c r="E170" s="232">
        <v>390447219</v>
      </c>
      <c r="F170" s="231">
        <v>32.907421900679481</v>
      </c>
      <c r="G170" s="232">
        <v>796054781</v>
      </c>
      <c r="H170" s="231">
        <v>67.092578099320519</v>
      </c>
    </row>
    <row r="171" spans="3:8" x14ac:dyDescent="0.3">
      <c r="C171" s="383" t="s">
        <v>4724</v>
      </c>
      <c r="D171" s="381">
        <v>51100000</v>
      </c>
      <c r="E171" s="381">
        <v>16087300</v>
      </c>
      <c r="F171" s="382">
        <v>31.481996086105674</v>
      </c>
      <c r="G171" s="381">
        <v>35012700</v>
      </c>
      <c r="H171" s="382">
        <v>68.518003913894319</v>
      </c>
    </row>
    <row r="172" spans="3:8" ht="17.100000000000001" customHeight="1" x14ac:dyDescent="0.3">
      <c r="C172" s="387" t="s">
        <v>4698</v>
      </c>
      <c r="D172" s="375">
        <v>22000000</v>
      </c>
      <c r="E172" s="375">
        <v>3998800</v>
      </c>
      <c r="F172" s="376">
        <v>18.176363636363639</v>
      </c>
      <c r="G172" s="375">
        <v>18001200</v>
      </c>
      <c r="H172" s="376">
        <v>81.823636363636368</v>
      </c>
    </row>
    <row r="173" spans="3:8" ht="17.100000000000001" customHeight="1" x14ac:dyDescent="0.3">
      <c r="C173" s="387" t="s">
        <v>4702</v>
      </c>
      <c r="D173" s="375">
        <v>27000000</v>
      </c>
      <c r="E173" s="375">
        <v>11338500</v>
      </c>
      <c r="F173" s="376">
        <v>41.994444444444447</v>
      </c>
      <c r="G173" s="375">
        <v>15661500</v>
      </c>
      <c r="H173" s="376">
        <v>58.005555555555553</v>
      </c>
    </row>
    <row r="174" spans="3:8" ht="17.100000000000001" customHeight="1" x14ac:dyDescent="0.3">
      <c r="C174" s="387" t="s">
        <v>508</v>
      </c>
      <c r="D174" s="375">
        <v>2100000</v>
      </c>
      <c r="E174" s="375">
        <v>750000</v>
      </c>
      <c r="F174" s="376">
        <v>35.714285714285715</v>
      </c>
      <c r="G174" s="375">
        <v>1350000</v>
      </c>
      <c r="H174" s="376">
        <v>64.285714285714292</v>
      </c>
    </row>
    <row r="175" spans="3:8" x14ac:dyDescent="0.3">
      <c r="C175" s="383" t="s">
        <v>4725</v>
      </c>
      <c r="D175" s="381">
        <v>548180000</v>
      </c>
      <c r="E175" s="381">
        <v>167581461</v>
      </c>
      <c r="F175" s="382">
        <v>30.570517165894412</v>
      </c>
      <c r="G175" s="381">
        <v>380598539</v>
      </c>
      <c r="H175" s="382">
        <v>69.429482834105585</v>
      </c>
    </row>
    <row r="176" spans="3:8" ht="17.100000000000001" customHeight="1" x14ac:dyDescent="0.3">
      <c r="C176" s="387" t="s">
        <v>4698</v>
      </c>
      <c r="D176" s="375">
        <v>10000000</v>
      </c>
      <c r="E176" s="375">
        <v>4970000</v>
      </c>
      <c r="F176" s="376">
        <v>49.7</v>
      </c>
      <c r="G176" s="375">
        <v>5030000</v>
      </c>
      <c r="H176" s="376">
        <v>50.3</v>
      </c>
    </row>
    <row r="177" spans="3:8" ht="17.100000000000001" customHeight="1" x14ac:dyDescent="0.3">
      <c r="C177" s="387" t="s">
        <v>4703</v>
      </c>
      <c r="D177" s="375">
        <v>23680000</v>
      </c>
      <c r="E177" s="375">
        <v>2031000</v>
      </c>
      <c r="F177" s="376">
        <v>8.5768581081081088</v>
      </c>
      <c r="G177" s="375">
        <v>21649000</v>
      </c>
      <c r="H177" s="376">
        <v>91.423141891891888</v>
      </c>
    </row>
    <row r="178" spans="3:8" ht="17.100000000000001" customHeight="1" x14ac:dyDescent="0.3">
      <c r="C178" s="387" t="s">
        <v>4702</v>
      </c>
      <c r="D178" s="375">
        <v>514500000</v>
      </c>
      <c r="E178" s="375">
        <v>160580461</v>
      </c>
      <c r="F178" s="376">
        <v>31.210973955296407</v>
      </c>
      <c r="G178" s="375">
        <v>353919539</v>
      </c>
      <c r="H178" s="376">
        <v>68.78902604470359</v>
      </c>
    </row>
    <row r="179" spans="3:8" x14ac:dyDescent="0.3">
      <c r="C179" s="383" t="s">
        <v>4755</v>
      </c>
      <c r="D179" s="381">
        <v>74500000</v>
      </c>
      <c r="E179" s="381">
        <v>42281740</v>
      </c>
      <c r="F179" s="382">
        <v>56.754013422818794</v>
      </c>
      <c r="G179" s="381">
        <v>32218260</v>
      </c>
      <c r="H179" s="382">
        <v>43.245986577181206</v>
      </c>
    </row>
    <row r="180" spans="3:8" ht="17.100000000000001" customHeight="1" x14ac:dyDescent="0.3">
      <c r="C180" s="387" t="s">
        <v>4698</v>
      </c>
      <c r="D180" s="375">
        <v>46000000</v>
      </c>
      <c r="E180" s="375">
        <v>33371740</v>
      </c>
      <c r="F180" s="376">
        <v>72.547260869565221</v>
      </c>
      <c r="G180" s="375">
        <v>12628260</v>
      </c>
      <c r="H180" s="376">
        <v>27.452739130434782</v>
      </c>
    </row>
    <row r="181" spans="3:8" ht="17.100000000000001" customHeight="1" x14ac:dyDescent="0.3">
      <c r="C181" s="387" t="s">
        <v>4704</v>
      </c>
      <c r="D181" s="375">
        <v>6000000</v>
      </c>
      <c r="E181" s="375">
        <v>0</v>
      </c>
      <c r="F181" s="376">
        <v>0</v>
      </c>
      <c r="G181" s="375">
        <v>6000000</v>
      </c>
      <c r="H181" s="376">
        <v>100</v>
      </c>
    </row>
    <row r="182" spans="3:8" ht="17.100000000000001" customHeight="1" x14ac:dyDescent="0.3">
      <c r="C182" s="387" t="s">
        <v>4702</v>
      </c>
      <c r="D182" s="375">
        <v>18000000</v>
      </c>
      <c r="E182" s="375">
        <v>8310000</v>
      </c>
      <c r="F182" s="376">
        <v>46.166666666666664</v>
      </c>
      <c r="G182" s="375">
        <v>9690000</v>
      </c>
      <c r="H182" s="376">
        <v>53.833333333333336</v>
      </c>
    </row>
    <row r="183" spans="3:8" ht="17.100000000000001" customHeight="1" x14ac:dyDescent="0.3">
      <c r="C183" s="387" t="s">
        <v>508</v>
      </c>
      <c r="D183" s="375">
        <v>4500000</v>
      </c>
      <c r="E183" s="375">
        <v>600000</v>
      </c>
      <c r="F183" s="376">
        <v>13.333333333333334</v>
      </c>
      <c r="G183" s="375">
        <v>3900000</v>
      </c>
      <c r="H183" s="376">
        <v>86.666666666666671</v>
      </c>
    </row>
    <row r="184" spans="3:8" x14ac:dyDescent="0.3">
      <c r="C184" s="383" t="s">
        <v>4726</v>
      </c>
      <c r="D184" s="381">
        <v>101050000</v>
      </c>
      <c r="E184" s="381">
        <v>33140738</v>
      </c>
      <c r="F184" s="382">
        <v>32.796376051459674</v>
      </c>
      <c r="G184" s="381">
        <v>67909262</v>
      </c>
      <c r="H184" s="382">
        <v>67.203623948540326</v>
      </c>
    </row>
    <row r="185" spans="3:8" ht="17.100000000000001" customHeight="1" x14ac:dyDescent="0.3">
      <c r="C185" s="387" t="s">
        <v>4698</v>
      </c>
      <c r="D185" s="375">
        <v>28000000</v>
      </c>
      <c r="E185" s="375">
        <v>5459000</v>
      </c>
      <c r="F185" s="376">
        <v>19.49642857142857</v>
      </c>
      <c r="G185" s="375">
        <v>22541000</v>
      </c>
      <c r="H185" s="376">
        <v>80.503571428571433</v>
      </c>
    </row>
    <row r="186" spans="3:8" ht="17.100000000000001" customHeight="1" x14ac:dyDescent="0.3">
      <c r="C186" s="387" t="s">
        <v>4702</v>
      </c>
      <c r="D186" s="375">
        <v>71250000</v>
      </c>
      <c r="E186" s="375">
        <v>27681738</v>
      </c>
      <c r="F186" s="376">
        <v>38.851562105263163</v>
      </c>
      <c r="G186" s="375">
        <v>43568262</v>
      </c>
      <c r="H186" s="376">
        <v>61.148437894736837</v>
      </c>
    </row>
    <row r="187" spans="3:8" ht="17.100000000000001" customHeight="1" x14ac:dyDescent="0.3">
      <c r="C187" s="387" t="s">
        <v>508</v>
      </c>
      <c r="D187" s="375">
        <v>1800000</v>
      </c>
      <c r="E187" s="375">
        <v>0</v>
      </c>
      <c r="F187" s="376">
        <v>0</v>
      </c>
      <c r="G187" s="375">
        <v>1800000</v>
      </c>
      <c r="H187" s="376">
        <v>100</v>
      </c>
    </row>
    <row r="188" spans="3:8" x14ac:dyDescent="0.3">
      <c r="C188" s="383" t="s">
        <v>4756</v>
      </c>
      <c r="D188" s="381">
        <v>411672000</v>
      </c>
      <c r="E188" s="381">
        <v>131355980</v>
      </c>
      <c r="F188" s="382">
        <v>31.907921840688701</v>
      </c>
      <c r="G188" s="381">
        <v>280316020</v>
      </c>
      <c r="H188" s="382">
        <v>68.092078159311299</v>
      </c>
    </row>
    <row r="189" spans="3:8" ht="17.100000000000001" customHeight="1" x14ac:dyDescent="0.3">
      <c r="C189" s="387" t="s">
        <v>4698</v>
      </c>
      <c r="D189" s="375">
        <v>57600000</v>
      </c>
      <c r="E189" s="375">
        <v>38095000</v>
      </c>
      <c r="F189" s="376">
        <v>66.137152777777771</v>
      </c>
      <c r="G189" s="375">
        <v>19505000</v>
      </c>
      <c r="H189" s="376">
        <v>33.862847222222221</v>
      </c>
    </row>
    <row r="190" spans="3:8" ht="17.100000000000001" customHeight="1" x14ac:dyDescent="0.3">
      <c r="C190" s="387" t="s">
        <v>4757</v>
      </c>
      <c r="D190" s="375">
        <v>226200000</v>
      </c>
      <c r="E190" s="375">
        <v>67164280</v>
      </c>
      <c r="F190" s="376">
        <v>29.692431476569407</v>
      </c>
      <c r="G190" s="375">
        <v>159035720</v>
      </c>
      <c r="H190" s="376">
        <v>70.307568523430604</v>
      </c>
    </row>
    <row r="191" spans="3:8" ht="17.100000000000001" customHeight="1" x14ac:dyDescent="0.3">
      <c r="C191" s="387" t="s">
        <v>4802</v>
      </c>
      <c r="D191" s="375">
        <v>35000000</v>
      </c>
      <c r="E191" s="375">
        <v>0</v>
      </c>
      <c r="F191" s="376">
        <v>0</v>
      </c>
      <c r="G191" s="375">
        <v>35000000</v>
      </c>
      <c r="H191" s="376">
        <v>100</v>
      </c>
    </row>
    <row r="192" spans="3:8" ht="17.100000000000001" customHeight="1" x14ac:dyDescent="0.3">
      <c r="C192" s="387" t="s">
        <v>4703</v>
      </c>
      <c r="D192" s="375">
        <v>48000000</v>
      </c>
      <c r="E192" s="375">
        <v>4246000</v>
      </c>
      <c r="F192" s="376">
        <v>8.8458333333333332</v>
      </c>
      <c r="G192" s="375">
        <v>43754000</v>
      </c>
      <c r="H192" s="376">
        <v>91.154166666666669</v>
      </c>
    </row>
    <row r="193" spans="3:8" ht="17.100000000000001" customHeight="1" x14ac:dyDescent="0.3">
      <c r="C193" s="387" t="s">
        <v>4702</v>
      </c>
      <c r="D193" s="375">
        <v>42772000</v>
      </c>
      <c r="E193" s="375">
        <v>21850700</v>
      </c>
      <c r="F193" s="376">
        <v>51.08645843074909</v>
      </c>
      <c r="G193" s="375">
        <v>20921300</v>
      </c>
      <c r="H193" s="376">
        <v>48.91354156925091</v>
      </c>
    </row>
    <row r="194" spans="3:8" ht="17.100000000000001" customHeight="1" x14ac:dyDescent="0.3">
      <c r="C194" s="387" t="s">
        <v>508</v>
      </c>
      <c r="D194" s="375">
        <v>2100000</v>
      </c>
      <c r="E194" s="375">
        <v>0</v>
      </c>
      <c r="F194" s="376">
        <v>0</v>
      </c>
      <c r="G194" s="375">
        <v>2100000</v>
      </c>
      <c r="H194" s="376">
        <v>100</v>
      </c>
    </row>
    <row r="195" spans="3:8" x14ac:dyDescent="0.3">
      <c r="C195" s="377" t="s">
        <v>4762</v>
      </c>
      <c r="D195" s="375">
        <v>2195658000</v>
      </c>
      <c r="E195" s="375">
        <v>663321641</v>
      </c>
      <c r="F195" s="376">
        <v>30.210608437197411</v>
      </c>
      <c r="G195" s="375">
        <v>1532336359</v>
      </c>
      <c r="H195" s="376">
        <v>69.789391562802578</v>
      </c>
    </row>
    <row r="196" spans="3:8" x14ac:dyDescent="0.3">
      <c r="C196" s="402" t="s">
        <v>4654</v>
      </c>
      <c r="D196" s="232">
        <v>2195658000</v>
      </c>
      <c r="E196" s="232">
        <v>663321641</v>
      </c>
      <c r="F196" s="231">
        <v>30.210608437197411</v>
      </c>
      <c r="G196" s="232">
        <v>1532336359</v>
      </c>
      <c r="H196" s="231">
        <v>69.789391562802578</v>
      </c>
    </row>
    <row r="197" spans="3:8" x14ac:dyDescent="0.3">
      <c r="C197" s="390" t="s">
        <v>4763</v>
      </c>
      <c r="D197" s="392">
        <v>1254380000</v>
      </c>
      <c r="E197" s="392">
        <v>487766151</v>
      </c>
      <c r="F197" s="393">
        <v>38.885038903681505</v>
      </c>
      <c r="G197" s="392">
        <v>766613849</v>
      </c>
      <c r="H197" s="393">
        <v>61.114961096318495</v>
      </c>
    </row>
    <row r="198" spans="3:8" ht="17.100000000000001" customHeight="1" x14ac:dyDescent="0.3">
      <c r="C198" s="387" t="s">
        <v>4764</v>
      </c>
      <c r="D198" s="375">
        <v>1076220000</v>
      </c>
      <c r="E198" s="375">
        <v>423058151</v>
      </c>
      <c r="F198" s="376">
        <v>39.309634740108898</v>
      </c>
      <c r="G198" s="375">
        <v>653161849</v>
      </c>
      <c r="H198" s="376">
        <v>60.690365259891102</v>
      </c>
    </row>
    <row r="199" spans="3:8" ht="17.100000000000001" customHeight="1" x14ac:dyDescent="0.3">
      <c r="C199" s="387" t="s">
        <v>4716</v>
      </c>
      <c r="D199" s="375">
        <v>178160000</v>
      </c>
      <c r="E199" s="375">
        <v>64708000</v>
      </c>
      <c r="F199" s="376">
        <v>36.320161652447233</v>
      </c>
      <c r="G199" s="375">
        <v>113452000</v>
      </c>
      <c r="H199" s="376">
        <v>63.679838347552767</v>
      </c>
    </row>
    <row r="200" spans="3:8" x14ac:dyDescent="0.3">
      <c r="C200" s="390" t="s">
        <v>4765</v>
      </c>
      <c r="D200" s="392">
        <v>148852000</v>
      </c>
      <c r="E200" s="392">
        <v>22086050</v>
      </c>
      <c r="F200" s="393">
        <v>14.837590358208153</v>
      </c>
      <c r="G200" s="392">
        <v>126765950</v>
      </c>
      <c r="H200" s="393">
        <v>85.162409641791854</v>
      </c>
    </row>
    <row r="201" spans="3:8" ht="17.100000000000001" customHeight="1" x14ac:dyDescent="0.3">
      <c r="C201" s="387" t="s">
        <v>4766</v>
      </c>
      <c r="D201" s="375">
        <v>30000000</v>
      </c>
      <c r="E201" s="375">
        <v>2286050</v>
      </c>
      <c r="F201" s="376">
        <v>7.620166666666667</v>
      </c>
      <c r="G201" s="375">
        <v>27713950</v>
      </c>
      <c r="H201" s="376">
        <v>92.379833333333337</v>
      </c>
    </row>
    <row r="202" spans="3:8" ht="17.100000000000001" customHeight="1" x14ac:dyDescent="0.3">
      <c r="C202" s="387" t="s">
        <v>4704</v>
      </c>
      <c r="D202" s="375">
        <v>118852000</v>
      </c>
      <c r="E202" s="375">
        <v>19800000</v>
      </c>
      <c r="F202" s="376">
        <v>16.659374684481541</v>
      </c>
      <c r="G202" s="375">
        <v>99052000</v>
      </c>
      <c r="H202" s="376">
        <v>83.340625315518452</v>
      </c>
    </row>
    <row r="203" spans="3:8" x14ac:dyDescent="0.3">
      <c r="C203" s="390" t="s">
        <v>4767</v>
      </c>
      <c r="D203" s="392">
        <v>533050000</v>
      </c>
      <c r="E203" s="392">
        <v>94875440</v>
      </c>
      <c r="F203" s="393">
        <v>17.798600506519087</v>
      </c>
      <c r="G203" s="392">
        <v>438174560</v>
      </c>
      <c r="H203" s="393">
        <v>82.201399493480906</v>
      </c>
    </row>
    <row r="204" spans="3:8" ht="17.100000000000001" customHeight="1" x14ac:dyDescent="0.3">
      <c r="C204" s="387" t="s">
        <v>4768</v>
      </c>
      <c r="D204" s="375">
        <v>497050000</v>
      </c>
      <c r="E204" s="375">
        <v>85875440</v>
      </c>
      <c r="F204" s="376">
        <v>17.277022432350869</v>
      </c>
      <c r="G204" s="375">
        <v>411174560</v>
      </c>
      <c r="H204" s="376">
        <v>82.722977567649124</v>
      </c>
    </row>
    <row r="205" spans="3:8" ht="17.100000000000001" customHeight="1" x14ac:dyDescent="0.3">
      <c r="C205" s="387" t="s">
        <v>4769</v>
      </c>
      <c r="D205" s="375">
        <v>36000000</v>
      </c>
      <c r="E205" s="375">
        <v>9000000</v>
      </c>
      <c r="F205" s="376">
        <v>25</v>
      </c>
      <c r="G205" s="375">
        <v>27000000</v>
      </c>
      <c r="H205" s="376">
        <v>75</v>
      </c>
    </row>
    <row r="206" spans="3:8" x14ac:dyDescent="0.3">
      <c r="C206" s="390" t="s">
        <v>4770</v>
      </c>
      <c r="D206" s="392">
        <v>159376000</v>
      </c>
      <c r="E206" s="392">
        <v>58594000</v>
      </c>
      <c r="F206" s="393">
        <v>36.764632065053711</v>
      </c>
      <c r="G206" s="392">
        <v>100782000</v>
      </c>
      <c r="H206" s="393">
        <v>63.235367934946296</v>
      </c>
    </row>
    <row r="207" spans="3:8" ht="17.100000000000001" customHeight="1" x14ac:dyDescent="0.3">
      <c r="C207" s="387" t="s">
        <v>4764</v>
      </c>
      <c r="D207" s="375">
        <v>101040000</v>
      </c>
      <c r="E207" s="375">
        <v>44410000</v>
      </c>
      <c r="F207" s="376">
        <v>43.952889944576405</v>
      </c>
      <c r="G207" s="375">
        <v>56630000</v>
      </c>
      <c r="H207" s="376">
        <v>56.047110055423602</v>
      </c>
    </row>
    <row r="208" spans="3:8" ht="17.100000000000001" customHeight="1" x14ac:dyDescent="0.3">
      <c r="C208" s="387" t="s">
        <v>4771</v>
      </c>
      <c r="D208" s="375">
        <v>58336000</v>
      </c>
      <c r="E208" s="375">
        <v>14184000</v>
      </c>
      <c r="F208" s="376">
        <v>24.314317059791552</v>
      </c>
      <c r="G208" s="375">
        <v>44152000</v>
      </c>
      <c r="H208" s="376">
        <v>75.685682940208437</v>
      </c>
    </row>
    <row r="209" spans="3:8" x14ac:dyDescent="0.3">
      <c r="C209" s="390" t="s">
        <v>4772</v>
      </c>
      <c r="D209" s="392">
        <v>100000000</v>
      </c>
      <c r="E209" s="392">
        <v>0</v>
      </c>
      <c r="F209" s="393">
        <v>0</v>
      </c>
      <c r="G209" s="392">
        <v>100000000</v>
      </c>
      <c r="H209" s="393">
        <v>100</v>
      </c>
    </row>
    <row r="210" spans="3:8" ht="17.100000000000001" customHeight="1" x14ac:dyDescent="0.3">
      <c r="C210" s="387" t="s">
        <v>4764</v>
      </c>
      <c r="D210" s="375">
        <v>45000000</v>
      </c>
      <c r="E210" s="375">
        <v>0</v>
      </c>
      <c r="F210" s="376">
        <v>0</v>
      </c>
      <c r="G210" s="375">
        <v>45000000</v>
      </c>
      <c r="H210" s="376">
        <v>100</v>
      </c>
    </row>
    <row r="211" spans="3:8" ht="17.100000000000001" customHeight="1" x14ac:dyDescent="0.3">
      <c r="C211" s="387" t="s">
        <v>4716</v>
      </c>
      <c r="D211" s="375">
        <v>26000000</v>
      </c>
      <c r="E211" s="375">
        <v>0</v>
      </c>
      <c r="F211" s="376">
        <v>0</v>
      </c>
      <c r="G211" s="375">
        <v>26000000</v>
      </c>
      <c r="H211" s="376">
        <v>100</v>
      </c>
    </row>
    <row r="212" spans="3:8" ht="17.100000000000001" customHeight="1" x14ac:dyDescent="0.3">
      <c r="C212" s="387" t="s">
        <v>4768</v>
      </c>
      <c r="D212" s="375">
        <v>29000000</v>
      </c>
      <c r="E212" s="375">
        <v>0</v>
      </c>
      <c r="F212" s="376">
        <v>0</v>
      </c>
      <c r="G212" s="375">
        <v>29000000</v>
      </c>
      <c r="H212" s="376">
        <v>100</v>
      </c>
    </row>
    <row r="213" spans="3:8" x14ac:dyDescent="0.3">
      <c r="C213" s="377" t="s">
        <v>4775</v>
      </c>
      <c r="D213" s="375">
        <v>540934000</v>
      </c>
      <c r="E213" s="375">
        <v>540000000</v>
      </c>
      <c r="F213" s="376">
        <v>99.827335682356804</v>
      </c>
      <c r="G213" s="375">
        <v>934000</v>
      </c>
      <c r="H213" s="376">
        <v>0.17266431764318754</v>
      </c>
    </row>
    <row r="214" spans="3:8" x14ac:dyDescent="0.3">
      <c r="C214" s="401" t="s">
        <v>4776</v>
      </c>
      <c r="D214" s="232">
        <v>540934000</v>
      </c>
      <c r="E214" s="232">
        <v>540000000</v>
      </c>
      <c r="F214" s="231">
        <v>99.827335682356804</v>
      </c>
      <c r="G214" s="232">
        <v>934000</v>
      </c>
      <c r="H214" s="231">
        <v>0.17266431764318754</v>
      </c>
    </row>
    <row r="215" spans="3:8" x14ac:dyDescent="0.3">
      <c r="C215" s="383" t="s">
        <v>4777</v>
      </c>
      <c r="D215" s="381">
        <v>540934000</v>
      </c>
      <c r="E215" s="381">
        <v>540000000</v>
      </c>
      <c r="F215" s="382">
        <v>99.827335682356804</v>
      </c>
      <c r="G215" s="381">
        <v>934000</v>
      </c>
      <c r="H215" s="382">
        <v>0.17266431764318754</v>
      </c>
    </row>
    <row r="216" spans="3:8" ht="17.100000000000001" customHeight="1" x14ac:dyDescent="0.3">
      <c r="C216" s="387" t="s">
        <v>4705</v>
      </c>
      <c r="D216" s="375">
        <v>540934000</v>
      </c>
      <c r="E216" s="375">
        <v>540000000</v>
      </c>
      <c r="F216" s="376">
        <v>99.827335682356804</v>
      </c>
      <c r="G216" s="375">
        <v>934000</v>
      </c>
      <c r="H216" s="376">
        <v>0.17266431764318754</v>
      </c>
    </row>
    <row r="217" spans="3:8" x14ac:dyDescent="0.3">
      <c r="C217" s="377" t="s">
        <v>4729</v>
      </c>
      <c r="D217" s="375">
        <v>8582500000</v>
      </c>
      <c r="E217" s="375">
        <v>3476713912</v>
      </c>
      <c r="F217" s="376">
        <v>40.509337745412175</v>
      </c>
      <c r="G217" s="375">
        <v>5105786088</v>
      </c>
      <c r="H217" s="376">
        <v>59.490662254587825</v>
      </c>
    </row>
    <row r="218" spans="3:8" ht="17.100000000000001" customHeight="1" x14ac:dyDescent="0.3">
      <c r="C218" s="378" t="s">
        <v>542</v>
      </c>
      <c r="D218" s="379">
        <v>8582500000</v>
      </c>
      <c r="E218" s="379">
        <v>3476713912</v>
      </c>
      <c r="F218" s="380">
        <v>40.509337745412175</v>
      </c>
      <c r="G218" s="379">
        <v>5105786088</v>
      </c>
      <c r="H218" s="380">
        <v>59.490662254587825</v>
      </c>
    </row>
    <row r="219" spans="3:8" x14ac:dyDescent="0.3">
      <c r="C219" s="226" t="s">
        <v>543</v>
      </c>
      <c r="D219" s="299">
        <v>8582500000</v>
      </c>
      <c r="E219" s="299">
        <v>3476713912</v>
      </c>
      <c r="F219" s="300">
        <v>40.509337745412175</v>
      </c>
      <c r="G219" s="299">
        <v>5105786088</v>
      </c>
      <c r="H219" s="300">
        <v>59.490662254587825</v>
      </c>
    </row>
    <row r="220" spans="3:8" x14ac:dyDescent="0.3">
      <c r="C220" s="377" t="s">
        <v>4799</v>
      </c>
      <c r="D220" s="375">
        <v>8582500000</v>
      </c>
      <c r="E220" s="375">
        <v>3476713912</v>
      </c>
      <c r="F220" s="376">
        <v>40.509337745412175</v>
      </c>
      <c r="G220" s="375">
        <v>5105786088</v>
      </c>
      <c r="H220" s="376">
        <v>59.490662254587825</v>
      </c>
    </row>
    <row r="221" spans="3:8" x14ac:dyDescent="0.3">
      <c r="C221" s="401" t="s">
        <v>4800</v>
      </c>
      <c r="D221" s="232">
        <v>8473300000</v>
      </c>
      <c r="E221" s="232">
        <v>3468907912</v>
      </c>
      <c r="F221" s="231">
        <v>40.939278816989841</v>
      </c>
      <c r="G221" s="232">
        <v>5004392088</v>
      </c>
      <c r="H221" s="231">
        <v>59.060721183010159</v>
      </c>
    </row>
    <row r="222" spans="3:8" x14ac:dyDescent="0.3">
      <c r="C222" s="383" t="s">
        <v>4801</v>
      </c>
      <c r="D222" s="381">
        <v>1713564000</v>
      </c>
      <c r="E222" s="381">
        <v>25390000</v>
      </c>
      <c r="F222" s="382">
        <v>1.4817071320359203</v>
      </c>
      <c r="G222" s="381">
        <v>1688174000</v>
      </c>
      <c r="H222" s="382">
        <v>98.518292867964078</v>
      </c>
    </row>
    <row r="223" spans="3:8" ht="17.100000000000001" customHeight="1" x14ac:dyDescent="0.3">
      <c r="C223" s="387" t="s">
        <v>4698</v>
      </c>
      <c r="D223" s="375">
        <v>99100000</v>
      </c>
      <c r="E223" s="375">
        <v>0</v>
      </c>
      <c r="F223" s="376">
        <v>0</v>
      </c>
      <c r="G223" s="375">
        <v>99100000</v>
      </c>
      <c r="H223" s="376">
        <v>100</v>
      </c>
    </row>
    <row r="224" spans="3:8" ht="17.100000000000001" customHeight="1" x14ac:dyDescent="0.3">
      <c r="C224" s="387" t="s">
        <v>4711</v>
      </c>
      <c r="D224" s="375">
        <v>1333864000</v>
      </c>
      <c r="E224" s="375">
        <v>0</v>
      </c>
      <c r="F224" s="376">
        <v>0</v>
      </c>
      <c r="G224" s="375">
        <v>1333864000</v>
      </c>
      <c r="H224" s="376">
        <v>100</v>
      </c>
    </row>
    <row r="225" spans="3:8" ht="17.100000000000001" customHeight="1" x14ac:dyDescent="0.3">
      <c r="C225" s="387" t="s">
        <v>4716</v>
      </c>
      <c r="D225" s="375">
        <v>25000000</v>
      </c>
      <c r="E225" s="375">
        <v>4855000</v>
      </c>
      <c r="F225" s="376">
        <v>19.420000000000002</v>
      </c>
      <c r="G225" s="375">
        <v>20145000</v>
      </c>
      <c r="H225" s="376">
        <v>80.58</v>
      </c>
    </row>
    <row r="226" spans="3:8" ht="17.100000000000001" customHeight="1" x14ac:dyDescent="0.3">
      <c r="C226" s="387" t="s">
        <v>4701</v>
      </c>
      <c r="D226" s="375">
        <v>15000000</v>
      </c>
      <c r="E226" s="375">
        <v>0</v>
      </c>
      <c r="F226" s="376">
        <v>0</v>
      </c>
      <c r="G226" s="375">
        <v>15000000</v>
      </c>
      <c r="H226" s="376">
        <v>100</v>
      </c>
    </row>
    <row r="227" spans="3:8" ht="17.100000000000001" customHeight="1" x14ac:dyDescent="0.3">
      <c r="C227" s="387" t="s">
        <v>4802</v>
      </c>
      <c r="D227" s="375">
        <v>102600000</v>
      </c>
      <c r="E227" s="375">
        <v>0</v>
      </c>
      <c r="F227" s="376">
        <v>0</v>
      </c>
      <c r="G227" s="375">
        <v>102600000</v>
      </c>
      <c r="H227" s="376">
        <v>100</v>
      </c>
    </row>
    <row r="228" spans="3:8" ht="17.100000000000001" customHeight="1" x14ac:dyDescent="0.3">
      <c r="C228" s="387" t="s">
        <v>4702</v>
      </c>
      <c r="D228" s="375">
        <v>138000000</v>
      </c>
      <c r="E228" s="375">
        <v>20535000</v>
      </c>
      <c r="F228" s="376">
        <v>14.880434782608695</v>
      </c>
      <c r="G228" s="375">
        <v>117465000</v>
      </c>
      <c r="H228" s="376">
        <v>85.119565217391298</v>
      </c>
    </row>
    <row r="229" spans="3:8" x14ac:dyDescent="0.3">
      <c r="C229" s="383" t="s">
        <v>4803</v>
      </c>
      <c r="D229" s="381">
        <v>6555695000</v>
      </c>
      <c r="E229" s="381">
        <v>3443517912</v>
      </c>
      <c r="F229" s="382">
        <v>52.527122021387505</v>
      </c>
      <c r="G229" s="381">
        <v>3112177088</v>
      </c>
      <c r="H229" s="382">
        <v>47.472877978612487</v>
      </c>
    </row>
    <row r="230" spans="3:8" ht="17.100000000000001" customHeight="1" x14ac:dyDescent="0.3">
      <c r="C230" s="387" t="s">
        <v>4698</v>
      </c>
      <c r="D230" s="375">
        <v>25000000</v>
      </c>
      <c r="E230" s="375">
        <v>2917500</v>
      </c>
      <c r="F230" s="376">
        <v>11.67</v>
      </c>
      <c r="G230" s="375">
        <v>22082500</v>
      </c>
      <c r="H230" s="376">
        <v>88.33</v>
      </c>
    </row>
    <row r="231" spans="3:8" ht="17.100000000000001" customHeight="1" x14ac:dyDescent="0.3">
      <c r="C231" s="387" t="s">
        <v>4711</v>
      </c>
      <c r="D231" s="375">
        <v>6308695000</v>
      </c>
      <c r="E231" s="375">
        <v>3393066206</v>
      </c>
      <c r="F231" s="376">
        <v>53.78396333948622</v>
      </c>
      <c r="G231" s="375">
        <v>2915628794</v>
      </c>
      <c r="H231" s="376">
        <v>46.21603666051378</v>
      </c>
    </row>
    <row r="232" spans="3:8" ht="17.100000000000001" customHeight="1" x14ac:dyDescent="0.3">
      <c r="C232" s="387" t="s">
        <v>4716</v>
      </c>
      <c r="D232" s="375">
        <v>30000000</v>
      </c>
      <c r="E232" s="375">
        <v>4811000</v>
      </c>
      <c r="F232" s="376">
        <v>16.036666666666665</v>
      </c>
      <c r="G232" s="375">
        <v>25189000</v>
      </c>
      <c r="H232" s="376">
        <v>83.963333333333338</v>
      </c>
    </row>
    <row r="233" spans="3:8" ht="17.100000000000001" customHeight="1" x14ac:dyDescent="0.3">
      <c r="C233" s="387" t="s">
        <v>4701</v>
      </c>
      <c r="D233" s="375">
        <v>6000000</v>
      </c>
      <c r="E233" s="375">
        <v>0</v>
      </c>
      <c r="F233" s="376">
        <v>0</v>
      </c>
      <c r="G233" s="375">
        <v>6000000</v>
      </c>
      <c r="H233" s="376">
        <v>100</v>
      </c>
    </row>
    <row r="234" spans="3:8" ht="17.100000000000001" customHeight="1" x14ac:dyDescent="0.3">
      <c r="C234" s="387" t="s">
        <v>4702</v>
      </c>
      <c r="D234" s="375">
        <v>186000000</v>
      </c>
      <c r="E234" s="375">
        <v>42723206</v>
      </c>
      <c r="F234" s="376">
        <v>22.969465591397849</v>
      </c>
      <c r="G234" s="375">
        <v>143276794</v>
      </c>
      <c r="H234" s="376">
        <v>77.030534408602151</v>
      </c>
    </row>
    <row r="235" spans="3:8" x14ac:dyDescent="0.3">
      <c r="C235" s="383" t="s">
        <v>4804</v>
      </c>
      <c r="D235" s="381">
        <v>174041000</v>
      </c>
      <c r="E235" s="381">
        <v>0</v>
      </c>
      <c r="F235" s="382">
        <v>0</v>
      </c>
      <c r="G235" s="381">
        <v>174041000</v>
      </c>
      <c r="H235" s="382">
        <v>100</v>
      </c>
    </row>
    <row r="236" spans="3:8" ht="17.100000000000001" customHeight="1" x14ac:dyDescent="0.3">
      <c r="C236" s="387" t="s">
        <v>4698</v>
      </c>
      <c r="D236" s="375">
        <v>12000000</v>
      </c>
      <c r="E236" s="375">
        <v>0</v>
      </c>
      <c r="F236" s="376">
        <v>0</v>
      </c>
      <c r="G236" s="375">
        <v>12000000</v>
      </c>
      <c r="H236" s="376">
        <v>100</v>
      </c>
    </row>
    <row r="237" spans="3:8" ht="17.100000000000001" customHeight="1" x14ac:dyDescent="0.3">
      <c r="C237" s="387" t="s">
        <v>4711</v>
      </c>
      <c r="D237" s="375">
        <v>20000000</v>
      </c>
      <c r="E237" s="375">
        <v>0</v>
      </c>
      <c r="F237" s="376">
        <v>0</v>
      </c>
      <c r="G237" s="375">
        <v>20000000</v>
      </c>
      <c r="H237" s="376">
        <v>100</v>
      </c>
    </row>
    <row r="238" spans="3:8" ht="17.100000000000001" customHeight="1" x14ac:dyDescent="0.3">
      <c r="C238" s="387" t="s">
        <v>4806</v>
      </c>
      <c r="D238" s="375">
        <v>142041000</v>
      </c>
      <c r="E238" s="375">
        <v>0</v>
      </c>
      <c r="F238" s="376">
        <v>0</v>
      </c>
      <c r="G238" s="375">
        <v>142041000</v>
      </c>
      <c r="H238" s="376">
        <v>100</v>
      </c>
    </row>
    <row r="239" spans="3:8" x14ac:dyDescent="0.3">
      <c r="C239" s="383" t="s">
        <v>4805</v>
      </c>
      <c r="D239" s="381">
        <v>30000000</v>
      </c>
      <c r="E239" s="381">
        <v>0</v>
      </c>
      <c r="F239" s="382">
        <v>0</v>
      </c>
      <c r="G239" s="381">
        <v>30000000</v>
      </c>
      <c r="H239" s="382">
        <v>100</v>
      </c>
    </row>
    <row r="240" spans="3:8" ht="17.100000000000001" customHeight="1" x14ac:dyDescent="0.3">
      <c r="C240" s="387" t="s">
        <v>4703</v>
      </c>
      <c r="D240" s="375">
        <v>30000000</v>
      </c>
      <c r="E240" s="375">
        <v>0</v>
      </c>
      <c r="F240" s="376">
        <v>0</v>
      </c>
      <c r="G240" s="375">
        <v>30000000</v>
      </c>
      <c r="H240" s="376">
        <v>100</v>
      </c>
    </row>
    <row r="241" spans="3:10" x14ac:dyDescent="0.3">
      <c r="C241" s="401" t="s">
        <v>4820</v>
      </c>
      <c r="D241" s="232">
        <v>109200000</v>
      </c>
      <c r="E241" s="232">
        <v>7806000</v>
      </c>
      <c r="F241" s="231">
        <v>7.1483516483516487</v>
      </c>
      <c r="G241" s="232">
        <v>101394000</v>
      </c>
      <c r="H241" s="231">
        <v>92.85164835164835</v>
      </c>
    </row>
    <row r="242" spans="3:10" x14ac:dyDescent="0.3">
      <c r="C242" s="383" t="s">
        <v>4821</v>
      </c>
      <c r="D242" s="381">
        <v>109200000</v>
      </c>
      <c r="E242" s="381">
        <v>7806000</v>
      </c>
      <c r="F242" s="382">
        <v>7.1483516483516487</v>
      </c>
      <c r="G242" s="381">
        <v>101394000</v>
      </c>
      <c r="H242" s="382">
        <v>92.85164835164835</v>
      </c>
    </row>
    <row r="243" spans="3:10" ht="17.100000000000001" customHeight="1" x14ac:dyDescent="0.3">
      <c r="C243" s="387" t="s">
        <v>4698</v>
      </c>
      <c r="D243" s="375">
        <v>25000000</v>
      </c>
      <c r="E243" s="375">
        <v>2961000</v>
      </c>
      <c r="F243" s="376">
        <v>11.844000000000001</v>
      </c>
      <c r="G243" s="375">
        <v>22039000</v>
      </c>
      <c r="H243" s="376">
        <v>88.156000000000006</v>
      </c>
    </row>
    <row r="244" spans="3:10" ht="17.100000000000001" customHeight="1" x14ac:dyDescent="0.3">
      <c r="C244" s="387" t="s">
        <v>4716</v>
      </c>
      <c r="D244" s="375">
        <v>30000000</v>
      </c>
      <c r="E244" s="375">
        <v>4845000</v>
      </c>
      <c r="F244" s="376">
        <v>16.150000000000002</v>
      </c>
      <c r="G244" s="375">
        <v>25155000</v>
      </c>
      <c r="H244" s="376">
        <v>83.850000000000009</v>
      </c>
    </row>
    <row r="245" spans="3:10" ht="17.100000000000001" customHeight="1" x14ac:dyDescent="0.3">
      <c r="C245" s="387" t="s">
        <v>4702</v>
      </c>
      <c r="D245" s="375">
        <v>54200000</v>
      </c>
      <c r="E245" s="375">
        <v>0</v>
      </c>
      <c r="F245" s="376">
        <v>0</v>
      </c>
      <c r="G245" s="375">
        <v>54200000</v>
      </c>
      <c r="H245" s="376">
        <v>100</v>
      </c>
    </row>
    <row r="246" spans="3:10" x14ac:dyDescent="0.3">
      <c r="C246" s="377" t="s">
        <v>4842</v>
      </c>
      <c r="D246" s="375">
        <v>16863164000</v>
      </c>
      <c r="E246" s="375">
        <v>6067322932</v>
      </c>
      <c r="F246" s="376">
        <v>35.97974218835801</v>
      </c>
      <c r="G246" s="375">
        <v>10795841068</v>
      </c>
      <c r="H246" s="376">
        <v>64.020257811641983</v>
      </c>
      <c r="J246" s="276">
        <f>SUM('SP2D ON'!F129:F138)</f>
        <v>761479826</v>
      </c>
    </row>
    <row r="247" spans="3:10" x14ac:dyDescent="0.3">
      <c r="C247"/>
      <c r="J247" s="276">
        <f>GETPIVOTDATA("Realisasi ",$C$5)-J246</f>
        <v>5305843106</v>
      </c>
    </row>
    <row r="248" spans="3:10" x14ac:dyDescent="0.3">
      <c r="C248"/>
    </row>
    <row r="249" spans="3:10" x14ac:dyDescent="0.3">
      <c r="C249"/>
    </row>
    <row r="250" spans="3:10" x14ac:dyDescent="0.3">
      <c r="C250"/>
    </row>
    <row r="251" spans="3:10" x14ac:dyDescent="0.3">
      <c r="C251"/>
    </row>
    <row r="252" spans="3:10" x14ac:dyDescent="0.3">
      <c r="C252"/>
    </row>
    <row r="253" spans="3:10" x14ac:dyDescent="0.3">
      <c r="C253"/>
    </row>
    <row r="254" spans="3:10" x14ac:dyDescent="0.3">
      <c r="C254"/>
    </row>
    <row r="255" spans="3:10" x14ac:dyDescent="0.3">
      <c r="C255"/>
    </row>
    <row r="256" spans="3:10" x14ac:dyDescent="0.3">
      <c r="C256"/>
    </row>
    <row r="257" spans="3:3" x14ac:dyDescent="0.3">
      <c r="C257"/>
    </row>
    <row r="258" spans="3:3" x14ac:dyDescent="0.3">
      <c r="C258"/>
    </row>
    <row r="259" spans="3:3" x14ac:dyDescent="0.3">
      <c r="C259"/>
    </row>
    <row r="260" spans="3:3" x14ac:dyDescent="0.3">
      <c r="C260"/>
    </row>
    <row r="261" spans="3:3" x14ac:dyDescent="0.3">
      <c r="C261"/>
    </row>
    <row r="262" spans="3:3" x14ac:dyDescent="0.3">
      <c r="C262"/>
    </row>
    <row r="263" spans="3:3" x14ac:dyDescent="0.3">
      <c r="C263"/>
    </row>
    <row r="264" spans="3:3" x14ac:dyDescent="0.3">
      <c r="C264"/>
    </row>
    <row r="265" spans="3:3" x14ac:dyDescent="0.3">
      <c r="C265"/>
    </row>
    <row r="266" spans="3:3" x14ac:dyDescent="0.3">
      <c r="C266"/>
    </row>
    <row r="267" spans="3:3" x14ac:dyDescent="0.3">
      <c r="C267"/>
    </row>
    <row r="268" spans="3:3" x14ac:dyDescent="0.3">
      <c r="C268"/>
    </row>
    <row r="269" spans="3:3" x14ac:dyDescent="0.3">
      <c r="C269"/>
    </row>
    <row r="270" spans="3:3" x14ac:dyDescent="0.3">
      <c r="C270"/>
    </row>
    <row r="271" spans="3:3" x14ac:dyDescent="0.3">
      <c r="C271"/>
    </row>
    <row r="272" spans="3:3" x14ac:dyDescent="0.3">
      <c r="C272"/>
    </row>
    <row r="273" spans="3:3" x14ac:dyDescent="0.3">
      <c r="C273"/>
    </row>
    <row r="274" spans="3:3" x14ac:dyDescent="0.3">
      <c r="C274"/>
    </row>
    <row r="275" spans="3:3" x14ac:dyDescent="0.3">
      <c r="C275"/>
    </row>
    <row r="276" spans="3:3" x14ac:dyDescent="0.3">
      <c r="C276"/>
    </row>
    <row r="277" spans="3:3" x14ac:dyDescent="0.3">
      <c r="C277"/>
    </row>
    <row r="278" spans="3:3" x14ac:dyDescent="0.3">
      <c r="C278"/>
    </row>
    <row r="279" spans="3:3" x14ac:dyDescent="0.3">
      <c r="C279"/>
    </row>
    <row r="280" spans="3:3" x14ac:dyDescent="0.3">
      <c r="C280"/>
    </row>
    <row r="281" spans="3:3" x14ac:dyDescent="0.3">
      <c r="C281"/>
    </row>
    <row r="282" spans="3:3" x14ac:dyDescent="0.3">
      <c r="C282"/>
    </row>
    <row r="283" spans="3:3" x14ac:dyDescent="0.3">
      <c r="C283"/>
    </row>
    <row r="284" spans="3:3" x14ac:dyDescent="0.3">
      <c r="C284"/>
    </row>
    <row r="285" spans="3:3" x14ac:dyDescent="0.3">
      <c r="C285"/>
    </row>
    <row r="286" spans="3:3" x14ac:dyDescent="0.3">
      <c r="C286"/>
    </row>
    <row r="287" spans="3:3" x14ac:dyDescent="0.3">
      <c r="C287"/>
    </row>
    <row r="288" spans="3:3" x14ac:dyDescent="0.3">
      <c r="C288"/>
    </row>
    <row r="289" spans="3:3" x14ac:dyDescent="0.3">
      <c r="C289"/>
    </row>
    <row r="290" spans="3:3" x14ac:dyDescent="0.3">
      <c r="C290"/>
    </row>
    <row r="291" spans="3:3" x14ac:dyDescent="0.3">
      <c r="C291"/>
    </row>
    <row r="292" spans="3:3" x14ac:dyDescent="0.3">
      <c r="C292"/>
    </row>
    <row r="293" spans="3:3" x14ac:dyDescent="0.3">
      <c r="C293"/>
    </row>
    <row r="294" spans="3:3" x14ac:dyDescent="0.3">
      <c r="C294"/>
    </row>
    <row r="295" spans="3:3" x14ac:dyDescent="0.3">
      <c r="C295"/>
    </row>
    <row r="296" spans="3:3" x14ac:dyDescent="0.3">
      <c r="C296"/>
    </row>
    <row r="297" spans="3:3" x14ac:dyDescent="0.3">
      <c r="C297"/>
    </row>
    <row r="298" spans="3:3" x14ac:dyDescent="0.3">
      <c r="C298"/>
    </row>
    <row r="299" spans="3:3" x14ac:dyDescent="0.3">
      <c r="C299"/>
    </row>
    <row r="300" spans="3:3" x14ac:dyDescent="0.3">
      <c r="C300"/>
    </row>
    <row r="301" spans="3:3" x14ac:dyDescent="0.3">
      <c r="C301"/>
    </row>
    <row r="302" spans="3:3" x14ac:dyDescent="0.3">
      <c r="C302"/>
    </row>
    <row r="303" spans="3:3" x14ac:dyDescent="0.3">
      <c r="C303"/>
    </row>
    <row r="304" spans="3:3" x14ac:dyDescent="0.3">
      <c r="C304"/>
    </row>
    <row r="305" spans="3:3" x14ac:dyDescent="0.3">
      <c r="C305"/>
    </row>
    <row r="306" spans="3:3" x14ac:dyDescent="0.3">
      <c r="C306"/>
    </row>
    <row r="307" spans="3:3" x14ac:dyDescent="0.3">
      <c r="C307"/>
    </row>
    <row r="308" spans="3:3" x14ac:dyDescent="0.3">
      <c r="C308"/>
    </row>
    <row r="309" spans="3:3" x14ac:dyDescent="0.3">
      <c r="C309"/>
    </row>
    <row r="310" spans="3:3" x14ac:dyDescent="0.3">
      <c r="C310"/>
    </row>
    <row r="311" spans="3:3" x14ac:dyDescent="0.3">
      <c r="C311"/>
    </row>
    <row r="312" spans="3:3" x14ac:dyDescent="0.3">
      <c r="C312"/>
    </row>
    <row r="313" spans="3:3" x14ac:dyDescent="0.3">
      <c r="C313"/>
    </row>
    <row r="314" spans="3:3" x14ac:dyDescent="0.3">
      <c r="C314"/>
    </row>
    <row r="315" spans="3:3" x14ac:dyDescent="0.3">
      <c r="C315"/>
    </row>
    <row r="316" spans="3:3" x14ac:dyDescent="0.3">
      <c r="C316"/>
    </row>
    <row r="317" spans="3:3" x14ac:dyDescent="0.3">
      <c r="C317"/>
    </row>
    <row r="318" spans="3:3" x14ac:dyDescent="0.3">
      <c r="C318"/>
    </row>
    <row r="319" spans="3:3" x14ac:dyDescent="0.3">
      <c r="C319"/>
    </row>
    <row r="320" spans="3:3" x14ac:dyDescent="0.3">
      <c r="C320"/>
    </row>
    <row r="321" spans="3:3" x14ac:dyDescent="0.3">
      <c r="C321"/>
    </row>
    <row r="322" spans="3:3" x14ac:dyDescent="0.3">
      <c r="C322"/>
    </row>
    <row r="323" spans="3:3" x14ac:dyDescent="0.3">
      <c r="C323"/>
    </row>
    <row r="324" spans="3:3" x14ac:dyDescent="0.3">
      <c r="C324"/>
    </row>
    <row r="325" spans="3:3" x14ac:dyDescent="0.3">
      <c r="C325"/>
    </row>
    <row r="326" spans="3:3" x14ac:dyDescent="0.3">
      <c r="C326"/>
    </row>
    <row r="327" spans="3:3" x14ac:dyDescent="0.3">
      <c r="C327"/>
    </row>
    <row r="328" spans="3:3" x14ac:dyDescent="0.3">
      <c r="C328"/>
    </row>
    <row r="329" spans="3:3" x14ac:dyDescent="0.3">
      <c r="C329"/>
    </row>
    <row r="330" spans="3:3" x14ac:dyDescent="0.3">
      <c r="C330"/>
    </row>
    <row r="331" spans="3:3" x14ac:dyDescent="0.3">
      <c r="C331"/>
    </row>
    <row r="332" spans="3:3" x14ac:dyDescent="0.3">
      <c r="C332"/>
    </row>
    <row r="333" spans="3:3" x14ac:dyDescent="0.3">
      <c r="C333"/>
    </row>
    <row r="334" spans="3:3" x14ac:dyDescent="0.3">
      <c r="C334"/>
    </row>
    <row r="335" spans="3:3" x14ac:dyDescent="0.3">
      <c r="C335"/>
    </row>
    <row r="336" spans="3:3" x14ac:dyDescent="0.3">
      <c r="C336"/>
    </row>
    <row r="337" spans="3:3" x14ac:dyDescent="0.3">
      <c r="C337"/>
    </row>
    <row r="338" spans="3:3" x14ac:dyDescent="0.3">
      <c r="C338"/>
    </row>
    <row r="339" spans="3:3" x14ac:dyDescent="0.3">
      <c r="C339"/>
    </row>
    <row r="340" spans="3:3" x14ac:dyDescent="0.3">
      <c r="C340"/>
    </row>
    <row r="341" spans="3:3" x14ac:dyDescent="0.3">
      <c r="C341"/>
    </row>
    <row r="342" spans="3:3" x14ac:dyDescent="0.3">
      <c r="C342"/>
    </row>
    <row r="343" spans="3:3" x14ac:dyDescent="0.3">
      <c r="C343"/>
    </row>
    <row r="344" spans="3:3" x14ac:dyDescent="0.3">
      <c r="C344"/>
    </row>
    <row r="345" spans="3:3" x14ac:dyDescent="0.3">
      <c r="C345"/>
    </row>
    <row r="346" spans="3:3" x14ac:dyDescent="0.3">
      <c r="C346"/>
    </row>
    <row r="347" spans="3:3" x14ac:dyDescent="0.3">
      <c r="C347"/>
    </row>
    <row r="348" spans="3:3" x14ac:dyDescent="0.3">
      <c r="C348"/>
    </row>
    <row r="349" spans="3:3" x14ac:dyDescent="0.3">
      <c r="C349"/>
    </row>
    <row r="350" spans="3:3" x14ac:dyDescent="0.3">
      <c r="C350"/>
    </row>
    <row r="351" spans="3:3" x14ac:dyDescent="0.3">
      <c r="C351"/>
    </row>
    <row r="352" spans="3:3" x14ac:dyDescent="0.3">
      <c r="C352"/>
    </row>
    <row r="353" spans="3:3" x14ac:dyDescent="0.3">
      <c r="C353"/>
    </row>
    <row r="354" spans="3:3" x14ac:dyDescent="0.3">
      <c r="C354"/>
    </row>
    <row r="355" spans="3:3" x14ac:dyDescent="0.3">
      <c r="C355"/>
    </row>
    <row r="356" spans="3:3" x14ac:dyDescent="0.3">
      <c r="C356"/>
    </row>
    <row r="357" spans="3:3" x14ac:dyDescent="0.3">
      <c r="C357"/>
    </row>
    <row r="358" spans="3:3" x14ac:dyDescent="0.3">
      <c r="C358"/>
    </row>
    <row r="359" spans="3:3" x14ac:dyDescent="0.3">
      <c r="C359"/>
    </row>
    <row r="360" spans="3:3" x14ac:dyDescent="0.3">
      <c r="C360"/>
    </row>
    <row r="361" spans="3:3" x14ac:dyDescent="0.3">
      <c r="C361"/>
    </row>
    <row r="362" spans="3:3" x14ac:dyDescent="0.3">
      <c r="C362"/>
    </row>
    <row r="363" spans="3:3" x14ac:dyDescent="0.3">
      <c r="C363"/>
    </row>
    <row r="364" spans="3:3" x14ac:dyDescent="0.3">
      <c r="C364"/>
    </row>
    <row r="365" spans="3:3" x14ac:dyDescent="0.3">
      <c r="C365"/>
    </row>
    <row r="366" spans="3:3" x14ac:dyDescent="0.3">
      <c r="C366"/>
    </row>
    <row r="367" spans="3:3" x14ac:dyDescent="0.3">
      <c r="C367"/>
    </row>
    <row r="368" spans="3:3" x14ac:dyDescent="0.3">
      <c r="C368"/>
    </row>
    <row r="369" spans="3:3" x14ac:dyDescent="0.3">
      <c r="C369"/>
    </row>
    <row r="370" spans="3:3" x14ac:dyDescent="0.3">
      <c r="C370"/>
    </row>
    <row r="371" spans="3:3" x14ac:dyDescent="0.3">
      <c r="C371"/>
    </row>
    <row r="372" spans="3:3" x14ac:dyDescent="0.3">
      <c r="C372"/>
    </row>
    <row r="373" spans="3:3" x14ac:dyDescent="0.3">
      <c r="C373"/>
    </row>
    <row r="374" spans="3:3" x14ac:dyDescent="0.3">
      <c r="C374"/>
    </row>
    <row r="375" spans="3:3" x14ac:dyDescent="0.3">
      <c r="C375"/>
    </row>
    <row r="376" spans="3:3" x14ac:dyDescent="0.3">
      <c r="C376"/>
    </row>
    <row r="377" spans="3:3" x14ac:dyDescent="0.3">
      <c r="C377"/>
    </row>
    <row r="378" spans="3:3" x14ac:dyDescent="0.3">
      <c r="C378"/>
    </row>
    <row r="379" spans="3:3" x14ac:dyDescent="0.3">
      <c r="C379"/>
    </row>
    <row r="380" spans="3:3" x14ac:dyDescent="0.3">
      <c r="C380"/>
    </row>
    <row r="381" spans="3:3" x14ac:dyDescent="0.3">
      <c r="C381"/>
    </row>
    <row r="382" spans="3:3" x14ac:dyDescent="0.3">
      <c r="C382"/>
    </row>
    <row r="383" spans="3:3" x14ac:dyDescent="0.3">
      <c r="C383"/>
    </row>
    <row r="384" spans="3:3" x14ac:dyDescent="0.3">
      <c r="C384"/>
    </row>
    <row r="385" spans="3:3" x14ac:dyDescent="0.3">
      <c r="C385"/>
    </row>
    <row r="386" spans="3:3" x14ac:dyDescent="0.3">
      <c r="C386"/>
    </row>
    <row r="387" spans="3:3" x14ac:dyDescent="0.3">
      <c r="C387"/>
    </row>
    <row r="388" spans="3:3" x14ac:dyDescent="0.3">
      <c r="C388"/>
    </row>
    <row r="389" spans="3:3" x14ac:dyDescent="0.3">
      <c r="C389"/>
    </row>
    <row r="390" spans="3:3" x14ac:dyDescent="0.3">
      <c r="C390"/>
    </row>
    <row r="391" spans="3:3" x14ac:dyDescent="0.3">
      <c r="C391"/>
    </row>
    <row r="392" spans="3:3" x14ac:dyDescent="0.3">
      <c r="C392"/>
    </row>
    <row r="393" spans="3:3" x14ac:dyDescent="0.3">
      <c r="C393"/>
    </row>
    <row r="394" spans="3:3" x14ac:dyDescent="0.3">
      <c r="C394"/>
    </row>
    <row r="395" spans="3:3" x14ac:dyDescent="0.3">
      <c r="C395"/>
    </row>
    <row r="396" spans="3:3" x14ac:dyDescent="0.3">
      <c r="C396"/>
    </row>
    <row r="397" spans="3:3" x14ac:dyDescent="0.3">
      <c r="C397"/>
    </row>
    <row r="398" spans="3:3" x14ac:dyDescent="0.3">
      <c r="C398"/>
    </row>
    <row r="399" spans="3:3" x14ac:dyDescent="0.3">
      <c r="C399"/>
    </row>
    <row r="400" spans="3:3" x14ac:dyDescent="0.3">
      <c r="C400"/>
    </row>
    <row r="401" spans="3:3" x14ac:dyDescent="0.3">
      <c r="C401"/>
    </row>
    <row r="402" spans="3:3" x14ac:dyDescent="0.3">
      <c r="C402"/>
    </row>
    <row r="403" spans="3:3" x14ac:dyDescent="0.3">
      <c r="C403"/>
    </row>
    <row r="404" spans="3:3" x14ac:dyDescent="0.3">
      <c r="C404"/>
    </row>
    <row r="405" spans="3:3" x14ac:dyDescent="0.3">
      <c r="C405"/>
    </row>
    <row r="406" spans="3:3" x14ac:dyDescent="0.3">
      <c r="C406"/>
    </row>
    <row r="407" spans="3:3" x14ac:dyDescent="0.3">
      <c r="C407"/>
    </row>
    <row r="408" spans="3:3" x14ac:dyDescent="0.3">
      <c r="C408"/>
    </row>
    <row r="409" spans="3:3" x14ac:dyDescent="0.3">
      <c r="C409"/>
    </row>
    <row r="410" spans="3:3" x14ac:dyDescent="0.3">
      <c r="C410"/>
    </row>
    <row r="411" spans="3:3" x14ac:dyDescent="0.3">
      <c r="C411"/>
    </row>
    <row r="412" spans="3:3" x14ac:dyDescent="0.3">
      <c r="C412"/>
    </row>
    <row r="413" spans="3:3" x14ac:dyDescent="0.3">
      <c r="C413"/>
    </row>
    <row r="414" spans="3:3" x14ac:dyDescent="0.3">
      <c r="C414"/>
    </row>
    <row r="415" spans="3:3" x14ac:dyDescent="0.3">
      <c r="C415"/>
    </row>
    <row r="416" spans="3:3" x14ac:dyDescent="0.3">
      <c r="C416"/>
    </row>
    <row r="417" spans="3:3" x14ac:dyDescent="0.3">
      <c r="C417"/>
    </row>
    <row r="418" spans="3:3" x14ac:dyDescent="0.3">
      <c r="C418"/>
    </row>
    <row r="419" spans="3:3" x14ac:dyDescent="0.3">
      <c r="C419"/>
    </row>
    <row r="420" spans="3:3" x14ac:dyDescent="0.3">
      <c r="C420"/>
    </row>
    <row r="421" spans="3:3" x14ac:dyDescent="0.3">
      <c r="C421"/>
    </row>
    <row r="422" spans="3:3" x14ac:dyDescent="0.3">
      <c r="C422"/>
    </row>
    <row r="423" spans="3:3" x14ac:dyDescent="0.3">
      <c r="C423"/>
    </row>
    <row r="424" spans="3:3" x14ac:dyDescent="0.3">
      <c r="C424"/>
    </row>
    <row r="425" spans="3:3" x14ac:dyDescent="0.3">
      <c r="C425"/>
    </row>
    <row r="426" spans="3:3" x14ac:dyDescent="0.3">
      <c r="C426"/>
    </row>
    <row r="427" spans="3:3" x14ac:dyDescent="0.3">
      <c r="C427"/>
    </row>
    <row r="428" spans="3:3" x14ac:dyDescent="0.3">
      <c r="C428"/>
    </row>
    <row r="429" spans="3:3" x14ac:dyDescent="0.3">
      <c r="C429"/>
    </row>
    <row r="430" spans="3:3" x14ac:dyDescent="0.3">
      <c r="C430"/>
    </row>
    <row r="431" spans="3:3" x14ac:dyDescent="0.3">
      <c r="C431"/>
    </row>
    <row r="432" spans="3:3" x14ac:dyDescent="0.3">
      <c r="C432"/>
    </row>
    <row r="433" spans="3:3" x14ac:dyDescent="0.3">
      <c r="C433"/>
    </row>
    <row r="434" spans="3:3" x14ac:dyDescent="0.3">
      <c r="C434"/>
    </row>
    <row r="435" spans="3:3" x14ac:dyDescent="0.3">
      <c r="C435"/>
    </row>
    <row r="436" spans="3:3" x14ac:dyDescent="0.3">
      <c r="C436"/>
    </row>
    <row r="437" spans="3:3" x14ac:dyDescent="0.3">
      <c r="C437"/>
    </row>
    <row r="438" spans="3:3" x14ac:dyDescent="0.3">
      <c r="C438"/>
    </row>
    <row r="439" spans="3:3" x14ac:dyDescent="0.3">
      <c r="C439"/>
    </row>
    <row r="440" spans="3:3" x14ac:dyDescent="0.3">
      <c r="C440"/>
    </row>
    <row r="441" spans="3:3" x14ac:dyDescent="0.3">
      <c r="C441"/>
    </row>
    <row r="442" spans="3:3" x14ac:dyDescent="0.3">
      <c r="C442"/>
    </row>
    <row r="443" spans="3:3" x14ac:dyDescent="0.3">
      <c r="C443"/>
    </row>
    <row r="444" spans="3:3" x14ac:dyDescent="0.3">
      <c r="C444"/>
    </row>
    <row r="445" spans="3:3" x14ac:dyDescent="0.3">
      <c r="C445"/>
    </row>
    <row r="446" spans="3:3" x14ac:dyDescent="0.3">
      <c r="C446"/>
    </row>
    <row r="447" spans="3:3" x14ac:dyDescent="0.3">
      <c r="C447"/>
    </row>
    <row r="448" spans="3:3" x14ac:dyDescent="0.3">
      <c r="C448"/>
    </row>
    <row r="449" spans="3:3" x14ac:dyDescent="0.3">
      <c r="C449"/>
    </row>
    <row r="450" spans="3:3" x14ac:dyDescent="0.3">
      <c r="C450"/>
    </row>
    <row r="451" spans="3:3" x14ac:dyDescent="0.3">
      <c r="C451"/>
    </row>
    <row r="452" spans="3:3" x14ac:dyDescent="0.3">
      <c r="C452"/>
    </row>
    <row r="453" spans="3:3" x14ac:dyDescent="0.3">
      <c r="C453"/>
    </row>
    <row r="454" spans="3:3" x14ac:dyDescent="0.3">
      <c r="C454"/>
    </row>
    <row r="455" spans="3:3" x14ac:dyDescent="0.3">
      <c r="C455"/>
    </row>
    <row r="456" spans="3:3" x14ac:dyDescent="0.3">
      <c r="C456"/>
    </row>
    <row r="457" spans="3:3" x14ac:dyDescent="0.3">
      <c r="C457"/>
    </row>
    <row r="458" spans="3:3" x14ac:dyDescent="0.3">
      <c r="C458"/>
    </row>
    <row r="459" spans="3:3" x14ac:dyDescent="0.3">
      <c r="C459"/>
    </row>
    <row r="460" spans="3:3" x14ac:dyDescent="0.3">
      <c r="C460"/>
    </row>
    <row r="461" spans="3:3" x14ac:dyDescent="0.3">
      <c r="C461"/>
    </row>
    <row r="462" spans="3:3" x14ac:dyDescent="0.3">
      <c r="C462"/>
    </row>
    <row r="463" spans="3:3" x14ac:dyDescent="0.3">
      <c r="C463"/>
    </row>
    <row r="464" spans="3:3" x14ac:dyDescent="0.3">
      <c r="C464"/>
    </row>
    <row r="465" spans="3:3" x14ac:dyDescent="0.3">
      <c r="C465"/>
    </row>
    <row r="466" spans="3:3" x14ac:dyDescent="0.3">
      <c r="C466"/>
    </row>
    <row r="467" spans="3:3" x14ac:dyDescent="0.3">
      <c r="C467"/>
    </row>
    <row r="468" spans="3:3" x14ac:dyDescent="0.3">
      <c r="C468"/>
    </row>
    <row r="469" spans="3:3" x14ac:dyDescent="0.3">
      <c r="C469"/>
    </row>
    <row r="470" spans="3:3" x14ac:dyDescent="0.3">
      <c r="C470"/>
    </row>
    <row r="471" spans="3:3" x14ac:dyDescent="0.3">
      <c r="C471"/>
    </row>
    <row r="472" spans="3:3" x14ac:dyDescent="0.3">
      <c r="C472"/>
    </row>
    <row r="473" spans="3:3" x14ac:dyDescent="0.3">
      <c r="C473"/>
    </row>
    <row r="474" spans="3:3" x14ac:dyDescent="0.3">
      <c r="C474"/>
    </row>
    <row r="475" spans="3:3" x14ac:dyDescent="0.3">
      <c r="C475"/>
    </row>
    <row r="476" spans="3:3" x14ac:dyDescent="0.3">
      <c r="C476"/>
    </row>
    <row r="477" spans="3:3" x14ac:dyDescent="0.3">
      <c r="C477"/>
    </row>
    <row r="478" spans="3:3" x14ac:dyDescent="0.3">
      <c r="C478"/>
    </row>
    <row r="479" spans="3:3" x14ac:dyDescent="0.3">
      <c r="C479"/>
    </row>
    <row r="480" spans="3:3" x14ac:dyDescent="0.3">
      <c r="C480"/>
    </row>
    <row r="481" spans="3:3" x14ac:dyDescent="0.3">
      <c r="C481"/>
    </row>
    <row r="482" spans="3:3" x14ac:dyDescent="0.3">
      <c r="C482"/>
    </row>
    <row r="483" spans="3:3" x14ac:dyDescent="0.3">
      <c r="C483"/>
    </row>
    <row r="484" spans="3:3" x14ac:dyDescent="0.3">
      <c r="C484"/>
    </row>
    <row r="485" spans="3:3" x14ac:dyDescent="0.3">
      <c r="C485"/>
    </row>
    <row r="486" spans="3:3" x14ac:dyDescent="0.3">
      <c r="C486"/>
    </row>
    <row r="487" spans="3:3" x14ac:dyDescent="0.3">
      <c r="C487"/>
    </row>
    <row r="488" spans="3:3" x14ac:dyDescent="0.3">
      <c r="C488"/>
    </row>
    <row r="489" spans="3:3" x14ac:dyDescent="0.3">
      <c r="C489"/>
    </row>
    <row r="490" spans="3:3" x14ac:dyDescent="0.3">
      <c r="C490"/>
    </row>
    <row r="491" spans="3:3" x14ac:dyDescent="0.3">
      <c r="C491"/>
    </row>
    <row r="492" spans="3:3" x14ac:dyDescent="0.3">
      <c r="C492"/>
    </row>
    <row r="493" spans="3:3" x14ac:dyDescent="0.3">
      <c r="C493"/>
    </row>
    <row r="494" spans="3:3" x14ac:dyDescent="0.3">
      <c r="C494"/>
    </row>
    <row r="495" spans="3:3" x14ac:dyDescent="0.3">
      <c r="C495"/>
    </row>
    <row r="496" spans="3:3" x14ac:dyDescent="0.3">
      <c r="C496"/>
    </row>
    <row r="497" spans="3:3" x14ac:dyDescent="0.3">
      <c r="C497"/>
    </row>
    <row r="498" spans="3:3" x14ac:dyDescent="0.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31" bottom="0.31" header="0.18" footer="0.19"/>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J27" sqref="J27"/>
    </sheetView>
  </sheetViews>
  <sheetFormatPr defaultRowHeight="14.4" x14ac:dyDescent="0.3"/>
  <cols>
    <col min="2" max="2" width="36.33203125" bestFit="1" customWidth="1"/>
    <col min="3" max="3" width="13.109375" bestFit="1" customWidth="1"/>
    <col min="4" max="4" width="12.5546875" bestFit="1" customWidth="1"/>
    <col min="5" max="8" width="13.109375" bestFit="1" customWidth="1"/>
    <col min="9" max="10" width="15.5546875" bestFit="1" customWidth="1"/>
    <col min="11" max="12" width="30" bestFit="1" customWidth="1"/>
    <col min="13" max="13" width="33.109375" bestFit="1" customWidth="1"/>
    <col min="14" max="15" width="11.33203125" bestFit="1" customWidth="1"/>
    <col min="16" max="16" width="12.5546875" bestFit="1" customWidth="1"/>
    <col min="17" max="17" width="32.44140625" bestFit="1" customWidth="1"/>
    <col min="18" max="18" width="12.5546875" bestFit="1" customWidth="1"/>
    <col min="19" max="19" width="40.109375" bestFit="1" customWidth="1"/>
    <col min="20" max="20" width="39.6640625" bestFit="1" customWidth="1"/>
    <col min="21" max="21" width="30" bestFit="1" customWidth="1"/>
    <col min="22" max="22" width="12.5546875" bestFit="1" customWidth="1"/>
    <col min="23" max="23" width="13.109375" bestFit="1" customWidth="1"/>
    <col min="24" max="24" width="12.5546875" bestFit="1" customWidth="1"/>
    <col min="25" max="25" width="41" bestFit="1" customWidth="1"/>
    <col min="26" max="26" width="40.5546875" bestFit="1" customWidth="1"/>
    <col min="27" max="27" width="18.109375" bestFit="1" customWidth="1"/>
    <col min="28" max="28" width="17.6640625" bestFit="1" customWidth="1"/>
    <col min="29" max="34" width="30" bestFit="1" customWidth="1"/>
    <col min="35" max="35" width="41" bestFit="1" customWidth="1"/>
    <col min="36" max="36" width="40.5546875" bestFit="1" customWidth="1"/>
    <col min="37" max="37" width="41" bestFit="1" customWidth="1"/>
    <col min="38" max="38" width="18.109375" bestFit="1" customWidth="1"/>
    <col min="39" max="39" width="17.6640625" bestFit="1" customWidth="1"/>
    <col min="40" max="40" width="18.109375" bestFit="1" customWidth="1"/>
  </cols>
  <sheetData>
    <row r="5" spans="2:10" x14ac:dyDescent="0.3">
      <c r="B5" s="361" t="s">
        <v>4868</v>
      </c>
      <c r="C5" s="362" t="s">
        <v>4851</v>
      </c>
      <c r="D5" s="362" t="s">
        <v>4852</v>
      </c>
      <c r="E5" s="362" t="s">
        <v>4853</v>
      </c>
      <c r="F5" s="362" t="s">
        <v>4862</v>
      </c>
      <c r="G5" s="362" t="s">
        <v>5186</v>
      </c>
      <c r="H5" s="362" t="s">
        <v>5222</v>
      </c>
      <c r="I5" s="362" t="s">
        <v>5259</v>
      </c>
      <c r="J5" s="362" t="s">
        <v>5399</v>
      </c>
    </row>
    <row r="6" spans="2:10" x14ac:dyDescent="0.3">
      <c r="B6" s="361" t="s">
        <v>4866</v>
      </c>
      <c r="C6" s="363" t="s">
        <v>5191</v>
      </c>
      <c r="D6" s="363" t="s">
        <v>5192</v>
      </c>
      <c r="E6" s="363" t="s">
        <v>5190</v>
      </c>
      <c r="F6" s="363" t="s">
        <v>5189</v>
      </c>
      <c r="G6" s="364" t="s">
        <v>5188</v>
      </c>
      <c r="H6" s="364" t="s">
        <v>5258</v>
      </c>
      <c r="I6" s="364" t="s">
        <v>5258</v>
      </c>
      <c r="J6" s="364" t="s">
        <v>5400</v>
      </c>
    </row>
    <row r="7" spans="2:10" hidden="1" x14ac:dyDescent="0.3">
      <c r="B7" s="317" t="s">
        <v>4859</v>
      </c>
      <c r="C7" s="220" t="s">
        <v>4856</v>
      </c>
      <c r="D7" s="220" t="s">
        <v>4857</v>
      </c>
      <c r="E7" s="220" t="s">
        <v>4858</v>
      </c>
      <c r="F7" s="220" t="s">
        <v>4863</v>
      </c>
      <c r="G7" s="220" t="s">
        <v>5187</v>
      </c>
      <c r="H7" s="220" t="s">
        <v>5256</v>
      </c>
      <c r="I7" s="220" t="s">
        <v>5257</v>
      </c>
      <c r="J7" s="220" t="s">
        <v>5398</v>
      </c>
    </row>
    <row r="8" spans="2:10" x14ac:dyDescent="0.3">
      <c r="B8" s="388" t="s">
        <v>576</v>
      </c>
      <c r="C8" s="386">
        <v>99961115</v>
      </c>
      <c r="D8" s="386">
        <v>249311050</v>
      </c>
      <c r="E8" s="386">
        <v>39291922</v>
      </c>
      <c r="F8" s="386">
        <v>95254996</v>
      </c>
      <c r="G8" s="386">
        <v>90588412</v>
      </c>
      <c r="H8" s="386">
        <v>75905247</v>
      </c>
      <c r="I8" s="386">
        <v>103091640</v>
      </c>
      <c r="J8" s="386">
        <v>2030000</v>
      </c>
    </row>
    <row r="9" spans="2:10" x14ac:dyDescent="0.3">
      <c r="B9" s="331" t="s">
        <v>546</v>
      </c>
      <c r="C9" s="225">
        <v>0</v>
      </c>
      <c r="D9" s="225">
        <v>50674500</v>
      </c>
      <c r="E9" s="225">
        <v>18269500</v>
      </c>
      <c r="F9" s="225">
        <v>19929200</v>
      </c>
      <c r="G9" s="225">
        <v>10000000</v>
      </c>
      <c r="H9" s="225">
        <v>9882500</v>
      </c>
      <c r="I9" s="225">
        <v>25762820</v>
      </c>
      <c r="J9" s="225">
        <v>2030000</v>
      </c>
    </row>
    <row r="10" spans="2:10" x14ac:dyDescent="0.3">
      <c r="B10" s="331" t="s">
        <v>560</v>
      </c>
      <c r="C10" s="225">
        <v>99961115</v>
      </c>
      <c r="D10" s="225">
        <v>198636550</v>
      </c>
      <c r="E10" s="225">
        <v>21022422</v>
      </c>
      <c r="F10" s="225">
        <v>75325796</v>
      </c>
      <c r="G10" s="225">
        <v>80588412</v>
      </c>
      <c r="H10" s="225">
        <v>66022747</v>
      </c>
      <c r="I10" s="225">
        <v>77328820</v>
      </c>
      <c r="J10" s="225">
        <v>0</v>
      </c>
    </row>
    <row r="11" spans="2:10" x14ac:dyDescent="0.3">
      <c r="B11" s="388" t="s">
        <v>542</v>
      </c>
      <c r="C11" s="386">
        <v>0</v>
      </c>
      <c r="D11" s="386">
        <v>46363943</v>
      </c>
      <c r="E11" s="386">
        <v>13965000</v>
      </c>
      <c r="F11" s="386">
        <v>0</v>
      </c>
      <c r="G11" s="386">
        <v>0</v>
      </c>
      <c r="H11" s="386">
        <v>300383</v>
      </c>
      <c r="I11" s="386">
        <v>99280968</v>
      </c>
      <c r="J11" s="386">
        <v>5529500</v>
      </c>
    </row>
    <row r="12" spans="2:10" x14ac:dyDescent="0.3">
      <c r="B12" s="331" t="s">
        <v>591</v>
      </c>
      <c r="C12" s="225">
        <v>0</v>
      </c>
      <c r="D12" s="225">
        <v>5496528</v>
      </c>
      <c r="E12" s="225">
        <v>4230000</v>
      </c>
      <c r="F12" s="225">
        <v>0</v>
      </c>
      <c r="G12" s="225">
        <v>0</v>
      </c>
      <c r="H12" s="225">
        <v>300383</v>
      </c>
      <c r="I12" s="225">
        <v>36489355</v>
      </c>
      <c r="J12" s="225">
        <v>2640000</v>
      </c>
    </row>
    <row r="13" spans="2:10" x14ac:dyDescent="0.3">
      <c r="B13" s="331" t="s">
        <v>543</v>
      </c>
      <c r="C13" s="225">
        <v>0</v>
      </c>
      <c r="D13" s="225">
        <v>40867415</v>
      </c>
      <c r="E13" s="225">
        <v>9735000</v>
      </c>
      <c r="F13" s="225">
        <v>0</v>
      </c>
      <c r="G13" s="225">
        <v>0</v>
      </c>
      <c r="H13" s="225">
        <v>0</v>
      </c>
      <c r="I13" s="225">
        <v>62791613</v>
      </c>
      <c r="J13" s="225">
        <v>2889500</v>
      </c>
    </row>
    <row r="14" spans="2:10" x14ac:dyDescent="0.3">
      <c r="B14" s="388" t="s">
        <v>531</v>
      </c>
      <c r="C14" s="386">
        <v>0</v>
      </c>
      <c r="D14" s="386">
        <v>53677994</v>
      </c>
      <c r="E14" s="386">
        <v>21269213</v>
      </c>
      <c r="F14" s="386">
        <v>0</v>
      </c>
      <c r="G14" s="386">
        <v>0</v>
      </c>
      <c r="H14" s="386">
        <v>16306833</v>
      </c>
      <c r="I14" s="386">
        <v>45801723</v>
      </c>
      <c r="J14" s="386">
        <v>0</v>
      </c>
    </row>
    <row r="15" spans="2:10" x14ac:dyDescent="0.3">
      <c r="B15" s="331" t="s">
        <v>532</v>
      </c>
      <c r="C15" s="225">
        <v>0</v>
      </c>
      <c r="D15" s="225">
        <v>31461994</v>
      </c>
      <c r="E15" s="225">
        <v>9369213</v>
      </c>
      <c r="F15" s="225">
        <v>0</v>
      </c>
      <c r="G15" s="225">
        <v>0</v>
      </c>
      <c r="H15" s="225">
        <v>11498833</v>
      </c>
      <c r="I15" s="225">
        <v>15810223</v>
      </c>
      <c r="J15" s="225">
        <v>0</v>
      </c>
    </row>
    <row r="16" spans="2:10" x14ac:dyDescent="0.3">
      <c r="B16" s="331" t="s">
        <v>534</v>
      </c>
      <c r="C16" s="225">
        <v>0</v>
      </c>
      <c r="D16" s="225">
        <v>22216000</v>
      </c>
      <c r="E16" s="225">
        <v>11900000</v>
      </c>
      <c r="F16" s="225">
        <v>0</v>
      </c>
      <c r="G16" s="225">
        <v>0</v>
      </c>
      <c r="H16" s="225">
        <v>4808000</v>
      </c>
      <c r="I16" s="225">
        <v>29991500</v>
      </c>
      <c r="J16" s="225">
        <v>0</v>
      </c>
    </row>
    <row r="17" spans="2:10" x14ac:dyDescent="0.3">
      <c r="B17" s="388" t="s">
        <v>535</v>
      </c>
      <c r="C17" s="386">
        <v>0</v>
      </c>
      <c r="D17" s="386">
        <v>61147200</v>
      </c>
      <c r="E17" s="386">
        <v>23650240</v>
      </c>
      <c r="F17" s="386">
        <v>0</v>
      </c>
      <c r="G17" s="386">
        <v>4851204</v>
      </c>
      <c r="H17" s="386">
        <v>1326114</v>
      </c>
      <c r="I17" s="386">
        <v>63914400</v>
      </c>
      <c r="J17" s="386">
        <v>0</v>
      </c>
    </row>
    <row r="18" spans="2:10" x14ac:dyDescent="0.3">
      <c r="B18" s="331" t="s">
        <v>536</v>
      </c>
      <c r="C18" s="225">
        <v>0</v>
      </c>
      <c r="D18" s="225">
        <v>35690450</v>
      </c>
      <c r="E18" s="225">
        <v>7572800</v>
      </c>
      <c r="F18" s="225">
        <v>0</v>
      </c>
      <c r="G18" s="225">
        <v>0</v>
      </c>
      <c r="H18" s="225">
        <v>1074100</v>
      </c>
      <c r="I18" s="225">
        <v>63914400</v>
      </c>
      <c r="J18" s="225">
        <v>0</v>
      </c>
    </row>
    <row r="19" spans="2:10" x14ac:dyDescent="0.3">
      <c r="B19" s="331" t="s">
        <v>538</v>
      </c>
      <c r="C19" s="225">
        <v>0</v>
      </c>
      <c r="D19" s="225">
        <v>25456750</v>
      </c>
      <c r="E19" s="225">
        <v>16077440</v>
      </c>
      <c r="F19" s="225">
        <v>0</v>
      </c>
      <c r="G19" s="225">
        <v>4851204</v>
      </c>
      <c r="H19" s="225">
        <v>252014</v>
      </c>
      <c r="I19" s="225">
        <v>0</v>
      </c>
      <c r="J19" s="225">
        <v>0</v>
      </c>
    </row>
    <row r="20" spans="2:10" x14ac:dyDescent="0.3">
      <c r="B20" s="318" t="s">
        <v>4842</v>
      </c>
      <c r="C20" s="225">
        <v>99961115</v>
      </c>
      <c r="D20" s="225">
        <v>410500187</v>
      </c>
      <c r="E20" s="225">
        <v>98176375</v>
      </c>
      <c r="F20" s="225">
        <v>95254996</v>
      </c>
      <c r="G20" s="225">
        <v>95439616</v>
      </c>
      <c r="H20" s="225">
        <v>93838577</v>
      </c>
      <c r="I20" s="225">
        <v>312088731</v>
      </c>
      <c r="J20" s="225">
        <v>7559500</v>
      </c>
    </row>
  </sheetData>
  <pageMargins left="0.25" right="0.25" top="0.75" bottom="0.75" header="0.3" footer="0.3"/>
  <pageSetup paperSize="9" fitToHeight="0"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AX147"/>
  <sheetViews>
    <sheetView showGridLines="0" topLeftCell="N1" zoomScale="85" zoomScaleNormal="85" workbookViewId="0">
      <pane ySplit="3" topLeftCell="A46" activePane="bottomLeft" state="frozen"/>
      <selection activeCell="N1" sqref="N1"/>
      <selection pane="bottomLeft" activeCell="W132" sqref="W132"/>
    </sheetView>
  </sheetViews>
  <sheetFormatPr defaultRowHeight="14.4" x14ac:dyDescent="0.3"/>
  <cols>
    <col min="1" max="1" width="7.5546875" bestFit="1" customWidth="1"/>
    <col min="2" max="2" width="7" bestFit="1" customWidth="1"/>
    <col min="3" max="3" width="10.88671875" bestFit="1" customWidth="1"/>
    <col min="4" max="4" width="44.109375" bestFit="1" customWidth="1"/>
    <col min="5" max="5" width="6.88671875" bestFit="1" customWidth="1"/>
    <col min="6" max="6" width="105.109375" bestFit="1" customWidth="1"/>
    <col min="7" max="7" width="10.109375" style="275" customWidth="1"/>
    <col min="8" max="8" width="59.88671875" style="275" bestFit="1" customWidth="1"/>
    <col min="9" max="9" width="10.44140625" style="275" bestFit="1" customWidth="1"/>
    <col min="10" max="10" width="115.44140625" style="275" bestFit="1" customWidth="1"/>
    <col min="11" max="11" width="10.6640625" style="275" bestFit="1" customWidth="1"/>
    <col min="12" max="12" width="86.88671875" style="275" bestFit="1" customWidth="1"/>
    <col min="13" max="13" width="11.6640625" style="275" bestFit="1" customWidth="1"/>
    <col min="14" max="14" width="79" style="275" bestFit="1" customWidth="1"/>
    <col min="15" max="15" width="7.88671875" customWidth="1"/>
    <col min="16" max="16" width="49.88671875" style="275" customWidth="1"/>
    <col min="17" max="17" width="15.33203125" customWidth="1"/>
    <col min="18" max="18" width="10.6640625" customWidth="1"/>
    <col min="19" max="19" width="11.5546875" customWidth="1"/>
    <col min="20" max="20" width="13.88671875" customWidth="1"/>
    <col min="21" max="22" width="14.33203125" customWidth="1"/>
    <col min="23" max="23" width="14.33203125" bestFit="1" customWidth="1"/>
    <col min="24" max="25" width="11.5546875" customWidth="1"/>
    <col min="26" max="29" width="10.6640625" customWidth="1"/>
    <col min="30" max="30" width="20" style="275" customWidth="1"/>
    <col min="31" max="31" width="29.88671875" style="275" customWidth="1"/>
    <col min="32" max="32" width="35.109375" style="275" customWidth="1"/>
    <col min="33" max="33" width="12.109375" style="275" customWidth="1"/>
    <col min="34" max="34" width="77.88671875" style="275" customWidth="1"/>
    <col min="35" max="35" width="14.33203125" style="275" customWidth="1"/>
    <col min="36" max="36" width="9.88671875" style="275" customWidth="1"/>
    <col min="37" max="37" width="15.33203125" style="275" customWidth="1"/>
    <col min="38" max="38" width="9" style="275" customWidth="1"/>
    <col min="39" max="39" width="29.44140625" style="275" customWidth="1"/>
    <col min="40" max="40" width="12.33203125" style="275" customWidth="1"/>
    <col min="41" max="41" width="22.109375" style="275" customWidth="1"/>
    <col min="42" max="42" width="32.109375" style="275" customWidth="1"/>
    <col min="43" max="43" width="13.6640625" style="275" customWidth="1"/>
    <col min="44" max="44" width="12.5546875" style="275" customWidth="1"/>
    <col min="45" max="45" width="11.5546875" style="275" customWidth="1"/>
    <col min="46" max="46" width="13.5546875" style="275" customWidth="1"/>
    <col min="47" max="48" width="11.5546875" bestFit="1" customWidth="1"/>
    <col min="49" max="49" width="12.5546875" bestFit="1" customWidth="1"/>
    <col min="50" max="50" width="11.33203125" customWidth="1"/>
  </cols>
  <sheetData>
    <row r="1" spans="1:50" x14ac:dyDescent="0.3">
      <c r="V1" t="s">
        <v>4644</v>
      </c>
    </row>
    <row r="2" spans="1:50" x14ac:dyDescent="0.3">
      <c r="AA2" t="s">
        <v>4644</v>
      </c>
    </row>
    <row r="3" spans="1:50" s="275" customFormat="1" x14ac:dyDescent="0.3">
      <c r="A3" s="275" t="s">
        <v>4661</v>
      </c>
      <c r="B3" s="275" t="s">
        <v>4662</v>
      </c>
      <c r="C3" s="275" t="s">
        <v>4663</v>
      </c>
      <c r="D3" s="275" t="s">
        <v>496</v>
      </c>
      <c r="E3" s="275" t="s">
        <v>4664</v>
      </c>
      <c r="F3" s="275" t="s">
        <v>497</v>
      </c>
      <c r="G3" s="275" t="s">
        <v>4665</v>
      </c>
      <c r="H3" s="275" t="s">
        <v>4666</v>
      </c>
      <c r="I3" s="275" t="s">
        <v>4667</v>
      </c>
      <c r="J3" s="275" t="s">
        <v>4668</v>
      </c>
      <c r="K3" s="275" t="s">
        <v>4669</v>
      </c>
      <c r="L3" s="275" t="s">
        <v>498</v>
      </c>
      <c r="M3" s="275" t="s">
        <v>4670</v>
      </c>
      <c r="N3" s="275" t="s">
        <v>4671</v>
      </c>
      <c r="O3" s="275" t="s">
        <v>4672</v>
      </c>
      <c r="P3" s="275" t="s">
        <v>499</v>
      </c>
      <c r="Q3" s="275" t="s">
        <v>4650</v>
      </c>
      <c r="R3" s="275" t="s">
        <v>4673</v>
      </c>
      <c r="S3" s="275" t="s">
        <v>4674</v>
      </c>
      <c r="T3" s="275" t="s">
        <v>4675</v>
      </c>
      <c r="U3" s="275" t="s">
        <v>4676</v>
      </c>
      <c r="V3" s="275" t="s">
        <v>4677</v>
      </c>
      <c r="W3" s="275" t="s">
        <v>4678</v>
      </c>
      <c r="X3" s="275" t="s">
        <v>4679</v>
      </c>
      <c r="Y3" s="275" t="s">
        <v>4680</v>
      </c>
      <c r="Z3" s="275" t="s">
        <v>4681</v>
      </c>
      <c r="AA3" s="275" t="s">
        <v>4682</v>
      </c>
      <c r="AB3" s="275" t="s">
        <v>4683</v>
      </c>
      <c r="AC3" s="275" t="s">
        <v>4684</v>
      </c>
      <c r="AD3" s="275" t="s">
        <v>4685</v>
      </c>
      <c r="AE3" s="275" t="s">
        <v>4686</v>
      </c>
      <c r="AF3" s="275" t="s">
        <v>500</v>
      </c>
      <c r="AG3" s="275" t="s">
        <v>4687</v>
      </c>
      <c r="AH3" s="275" t="s">
        <v>4688</v>
      </c>
      <c r="AI3" s="275" t="s">
        <v>4651</v>
      </c>
      <c r="AJ3" s="275" t="s">
        <v>4843</v>
      </c>
      <c r="AK3" s="275" t="s">
        <v>4652</v>
      </c>
      <c r="AL3" s="275" t="s">
        <v>4843</v>
      </c>
      <c r="AM3" s="275" t="s">
        <v>4689</v>
      </c>
      <c r="AN3" s="275" t="s">
        <v>4690</v>
      </c>
      <c r="AO3" s="275" t="s">
        <v>4691</v>
      </c>
      <c r="AP3" s="275" t="s">
        <v>4692</v>
      </c>
      <c r="AQ3" s="275" t="s">
        <v>4851</v>
      </c>
      <c r="AR3" s="275" t="s">
        <v>4852</v>
      </c>
      <c r="AS3" s="275" t="s">
        <v>4853</v>
      </c>
      <c r="AT3" s="275" t="s">
        <v>4862</v>
      </c>
      <c r="AU3" s="275" t="s">
        <v>5186</v>
      </c>
      <c r="AV3" s="275" t="s">
        <v>5222</v>
      </c>
      <c r="AW3" s="275" t="s">
        <v>5223</v>
      </c>
      <c r="AX3" s="275" t="s">
        <v>5379</v>
      </c>
    </row>
    <row r="4" spans="1:50" s="278" customFormat="1" x14ac:dyDescent="0.3">
      <c r="A4" s="277" t="s">
        <v>4693</v>
      </c>
      <c r="B4" s="277" t="s">
        <v>4694</v>
      </c>
      <c r="C4" s="277" t="s">
        <v>4695</v>
      </c>
      <c r="D4" s="277" t="s">
        <v>4696</v>
      </c>
      <c r="E4" s="277" t="s">
        <v>196</v>
      </c>
      <c r="F4" s="277" t="s">
        <v>4706</v>
      </c>
      <c r="G4" s="277" t="s">
        <v>4697</v>
      </c>
      <c r="H4" s="277" t="s">
        <v>4707</v>
      </c>
      <c r="I4" s="277" t="s">
        <v>501</v>
      </c>
      <c r="J4" s="277" t="s">
        <v>4708</v>
      </c>
      <c r="K4" s="277" t="s">
        <v>502</v>
      </c>
      <c r="L4" s="277" t="s">
        <v>4709</v>
      </c>
      <c r="M4" s="277" t="s">
        <v>8</v>
      </c>
      <c r="N4" s="277" t="s">
        <v>4710</v>
      </c>
      <c r="O4" s="277" t="s">
        <v>503</v>
      </c>
      <c r="P4" s="277" t="s">
        <v>4698</v>
      </c>
      <c r="Q4" s="309">
        <v>19875000</v>
      </c>
      <c r="R4" s="292">
        <f>SUM('PER BULAN'!G21:I21)</f>
        <v>0</v>
      </c>
      <c r="S4" s="292">
        <f>SUM('PER BULAN'!J21:M21)</f>
        <v>0</v>
      </c>
      <c r="T4" s="292">
        <f>SUM('PER BULAN'!M21:O21)</f>
        <v>2490000</v>
      </c>
      <c r="U4" s="292">
        <f>SUM('PER BULAN'!P21:R21)</f>
        <v>0</v>
      </c>
      <c r="V4" s="292">
        <f>SUM('PER BULAN'!S21:U21)</f>
        <v>3091000</v>
      </c>
      <c r="W4" s="292">
        <f>SUM('PER BULAN'!V21:X21)</f>
        <v>0</v>
      </c>
      <c r="X4" s="292">
        <f>SUM('PER BULAN'!Y21:AA21)</f>
        <v>0</v>
      </c>
      <c r="Y4" s="292">
        <f>SUM('PER BULAN'!AB21:AD21)</f>
        <v>0</v>
      </c>
      <c r="Z4" s="292">
        <f>SUM('PER BULAN'!AE21:AG21)</f>
        <v>0</v>
      </c>
      <c r="AA4" s="292">
        <f>SUM('PER BULAN'!AH21:AJ21)</f>
        <v>0</v>
      </c>
      <c r="AB4" s="292">
        <f>SUM('PER BULAN'!AK21:AM21)</f>
        <v>0</v>
      </c>
      <c r="AC4" s="292">
        <f>SUM('PER BULAN'!AN21:AP21)</f>
        <v>0</v>
      </c>
      <c r="AD4" s="277" t="s">
        <v>530</v>
      </c>
      <c r="AE4" s="277" t="s">
        <v>531</v>
      </c>
      <c r="AF4" s="277" t="s">
        <v>532</v>
      </c>
      <c r="AG4" s="277" t="s">
        <v>4699</v>
      </c>
      <c r="AH4" s="277" t="s">
        <v>4700</v>
      </c>
      <c r="AI4" s="277">
        <f>SUM(R4:AC4)</f>
        <v>5581000</v>
      </c>
      <c r="AJ4" s="291">
        <f>AI4/Q4*100</f>
        <v>28.080503144654088</v>
      </c>
      <c r="AK4" s="277">
        <f>Q4-AI4</f>
        <v>14294000</v>
      </c>
      <c r="AL4" s="291">
        <f>AK4/Q4*100</f>
        <v>71.919496855345912</v>
      </c>
      <c r="AM4" s="277" t="s">
        <v>424</v>
      </c>
      <c r="AN4" s="277" t="s">
        <v>4730</v>
      </c>
      <c r="AO4" s="277" t="s">
        <v>4731</v>
      </c>
      <c r="AP4" s="277" t="s">
        <v>4732</v>
      </c>
      <c r="AQ4" s="292">
        <f>SUM('PER BULAN'!AX21)</f>
        <v>0</v>
      </c>
      <c r="AR4" s="292">
        <f>SUM('PER BULAN'!AY21)</f>
        <v>990000</v>
      </c>
      <c r="AS4" s="292">
        <f>SUM('PER BULAN'!AZ21)</f>
        <v>1500000</v>
      </c>
      <c r="AT4" s="292">
        <f>SUM('PER BULAN'!BA21)</f>
        <v>0</v>
      </c>
      <c r="AU4" s="292">
        <f>SUM('PER BULAN'!BB21)</f>
        <v>0</v>
      </c>
      <c r="AV4" s="292">
        <f>SUM('PER BULAN'!BC21)</f>
        <v>1606000</v>
      </c>
      <c r="AW4" s="292">
        <f>SUM('PER BULAN'!BD21)</f>
        <v>1485000</v>
      </c>
      <c r="AX4" s="292">
        <f>SUM('PER BULAN'!BE21)</f>
        <v>0</v>
      </c>
    </row>
    <row r="5" spans="1:50" s="278" customFormat="1" x14ac:dyDescent="0.3">
      <c r="A5" s="277" t="s">
        <v>4693</v>
      </c>
      <c r="B5" s="277" t="s">
        <v>4694</v>
      </c>
      <c r="C5" s="277" t="s">
        <v>4695</v>
      </c>
      <c r="D5" s="277" t="s">
        <v>4696</v>
      </c>
      <c r="E5" s="277" t="s">
        <v>196</v>
      </c>
      <c r="F5" s="277" t="s">
        <v>4706</v>
      </c>
      <c r="G5" s="277" t="s">
        <v>4697</v>
      </c>
      <c r="H5" s="277" t="s">
        <v>4707</v>
      </c>
      <c r="I5" s="277" t="s">
        <v>501</v>
      </c>
      <c r="J5" s="277" t="s">
        <v>4708</v>
      </c>
      <c r="K5" s="277" t="s">
        <v>502</v>
      </c>
      <c r="L5" s="277" t="s">
        <v>4709</v>
      </c>
      <c r="M5" s="277" t="s">
        <v>8</v>
      </c>
      <c r="N5" s="277" t="s">
        <v>4710</v>
      </c>
      <c r="O5" s="277" t="s">
        <v>516</v>
      </c>
      <c r="P5" s="277" t="s">
        <v>4701</v>
      </c>
      <c r="Q5" s="278">
        <f>'PER BULAN'!F22</f>
        <v>20000000</v>
      </c>
      <c r="R5" s="292">
        <f>SUM('PER BULAN'!G22:I22)</f>
        <v>0</v>
      </c>
      <c r="S5" s="292">
        <f>SUM('PER BULAN'!J22:L22)</f>
        <v>0</v>
      </c>
      <c r="T5" s="292">
        <f>SUM('PER BULAN'!M22:O22)</f>
        <v>900000</v>
      </c>
      <c r="U5" s="292">
        <f>SUM('PER BULAN'!P22:R22)</f>
        <v>0</v>
      </c>
      <c r="V5" s="292">
        <f>SUM('PER BULAN'!S22:U22)</f>
        <v>0</v>
      </c>
      <c r="W5" s="292">
        <f>SUM('PER BULAN'!V22:X22)</f>
        <v>1200000</v>
      </c>
      <c r="X5" s="292">
        <f>SUM('PER BULAN'!Y22:AA22)</f>
        <v>0</v>
      </c>
      <c r="Y5" s="292">
        <f>SUM('PER BULAN'!AB22:AD22)</f>
        <v>0</v>
      </c>
      <c r="Z5" s="292">
        <f>SUM('PER BULAN'!AE22:AG22)</f>
        <v>0</v>
      </c>
      <c r="AA5" s="292">
        <f>SUM('PER BULAN'!AH22:AJ22)</f>
        <v>0</v>
      </c>
      <c r="AB5" s="292">
        <f>SUM('PER BULAN'!AK22:AM22)</f>
        <v>0</v>
      </c>
      <c r="AC5" s="292">
        <f>SUM('PER BULAN'!AN22:AP22)</f>
        <v>0</v>
      </c>
      <c r="AD5" s="277" t="s">
        <v>530</v>
      </c>
      <c r="AE5" s="277" t="s">
        <v>531</v>
      </c>
      <c r="AF5" s="277" t="s">
        <v>532</v>
      </c>
      <c r="AG5" s="277" t="s">
        <v>4699</v>
      </c>
      <c r="AH5" s="277" t="s">
        <v>4700</v>
      </c>
      <c r="AI5" s="277">
        <f t="shared" ref="AI5:AI68" si="0">SUM(R5:AC5)</f>
        <v>2100000</v>
      </c>
      <c r="AJ5" s="291">
        <f t="shared" ref="AJ5:AJ68" si="1">AI5/Q5*100</f>
        <v>10.5</v>
      </c>
      <c r="AK5" s="277">
        <f t="shared" ref="AK5:AK68" si="2">Q5-AI5</f>
        <v>17900000</v>
      </c>
      <c r="AL5" s="291">
        <f t="shared" ref="AL5:AL68" si="3">AK5/Q5*100</f>
        <v>89.5</v>
      </c>
      <c r="AM5" s="277" t="s">
        <v>772</v>
      </c>
      <c r="AN5" s="277" t="s">
        <v>4730</v>
      </c>
      <c r="AO5" s="277" t="s">
        <v>4735</v>
      </c>
      <c r="AP5" s="277" t="s">
        <v>4732</v>
      </c>
      <c r="AQ5" s="292">
        <f>SUM('PER BULAN'!AX22)</f>
        <v>0</v>
      </c>
      <c r="AR5" s="292">
        <f>SUM('PER BULAN'!AY22)</f>
        <v>900000</v>
      </c>
      <c r="AS5" s="292">
        <f>SUM('PER BULAN'!AZ22)</f>
        <v>0</v>
      </c>
      <c r="AT5" s="292">
        <f>SUM('PER BULAN'!BA22)</f>
        <v>0</v>
      </c>
      <c r="AU5" s="292">
        <f>SUM('PER BULAN'!BB22)</f>
        <v>0</v>
      </c>
      <c r="AV5" s="292">
        <f>SUM('PER BULAN'!BC22)</f>
        <v>0</v>
      </c>
      <c r="AW5" s="292">
        <f>SUM('PER BULAN'!BD22)</f>
        <v>0</v>
      </c>
      <c r="AX5" s="292">
        <f>SUM('PER BULAN'!BE22)</f>
        <v>0</v>
      </c>
    </row>
    <row r="6" spans="1:50" s="278" customFormat="1" x14ac:dyDescent="0.3">
      <c r="A6" s="277" t="s">
        <v>4693</v>
      </c>
      <c r="B6" s="277" t="s">
        <v>4694</v>
      </c>
      <c r="C6" s="277" t="s">
        <v>4695</v>
      </c>
      <c r="D6" s="277" t="s">
        <v>4696</v>
      </c>
      <c r="E6" s="277" t="s">
        <v>196</v>
      </c>
      <c r="F6" s="277" t="s">
        <v>4706</v>
      </c>
      <c r="G6" s="277" t="s">
        <v>4697</v>
      </c>
      <c r="H6" s="277" t="s">
        <v>4707</v>
      </c>
      <c r="I6" s="277" t="s">
        <v>501</v>
      </c>
      <c r="J6" s="277" t="s">
        <v>4708</v>
      </c>
      <c r="K6" s="277" t="s">
        <v>502</v>
      </c>
      <c r="L6" s="277" t="s">
        <v>4709</v>
      </c>
      <c r="M6" s="277" t="s">
        <v>8</v>
      </c>
      <c r="N6" s="277" t="s">
        <v>4710</v>
      </c>
      <c r="O6" s="277" t="s">
        <v>513</v>
      </c>
      <c r="P6" s="277" t="s">
        <v>4702</v>
      </c>
      <c r="Q6" s="278">
        <f>'PER BULAN'!F23</f>
        <v>43260000</v>
      </c>
      <c r="R6" s="292">
        <f>SUM('PER BULAN'!G23:I23)</f>
        <v>0</v>
      </c>
      <c r="S6" s="292">
        <f>SUM('PER BULAN'!J23:L23)</f>
        <v>0</v>
      </c>
      <c r="T6" s="292">
        <f>SUM('PER BULAN'!M23:O23)</f>
        <v>10950000</v>
      </c>
      <c r="U6" s="292">
        <f>SUM('PER BULAN'!P23:R23)</f>
        <v>11716000</v>
      </c>
      <c r="V6" s="292">
        <f>SUM('PER BULAN'!S23:U23)</f>
        <v>1800000</v>
      </c>
      <c r="W6" s="292">
        <f>SUM('PER BULAN'!V23:X23)</f>
        <v>1810000</v>
      </c>
      <c r="X6" s="292">
        <f>SUM('PER BULAN'!Y23:AA23)</f>
        <v>0</v>
      </c>
      <c r="Y6" s="292">
        <f>SUM('PER BULAN'!AB23:AD23)</f>
        <v>0</v>
      </c>
      <c r="Z6" s="292">
        <f>SUM('PER BULAN'!AE23:AG23)</f>
        <v>0</v>
      </c>
      <c r="AA6" s="292">
        <f>SUM('PER BULAN'!AH23:AJ23)</f>
        <v>0</v>
      </c>
      <c r="AB6" s="292">
        <f>SUM('PER BULAN'!AK23:AM23)</f>
        <v>0</v>
      </c>
      <c r="AC6" s="292">
        <f>SUM('PER BULAN'!AN23:AP23)</f>
        <v>0</v>
      </c>
      <c r="AD6" s="277" t="s">
        <v>530</v>
      </c>
      <c r="AE6" s="277" t="s">
        <v>531</v>
      </c>
      <c r="AF6" s="277" t="s">
        <v>532</v>
      </c>
      <c r="AG6" s="277" t="s">
        <v>4699</v>
      </c>
      <c r="AH6" s="277" t="s">
        <v>4700</v>
      </c>
      <c r="AI6" s="277">
        <f t="shared" si="0"/>
        <v>26276000</v>
      </c>
      <c r="AJ6" s="291">
        <f t="shared" si="1"/>
        <v>60.739713361072589</v>
      </c>
      <c r="AK6" s="277">
        <f t="shared" si="2"/>
        <v>16984000</v>
      </c>
      <c r="AL6" s="291">
        <f t="shared" si="3"/>
        <v>39.260286638927418</v>
      </c>
      <c r="AM6" s="277" t="s">
        <v>429</v>
      </c>
      <c r="AN6" s="277" t="s">
        <v>4730</v>
      </c>
      <c r="AO6" s="277" t="s">
        <v>4736</v>
      </c>
      <c r="AP6" s="277" t="s">
        <v>4732</v>
      </c>
      <c r="AQ6" s="292">
        <f>SUM('PER BULAN'!AX23)</f>
        <v>0</v>
      </c>
      <c r="AR6" s="292">
        <f>SUM('PER BULAN'!AY23)</f>
        <v>10950000</v>
      </c>
      <c r="AS6" s="292">
        <f>SUM('PER BULAN'!AZ23)</f>
        <v>0</v>
      </c>
      <c r="AT6" s="292">
        <f>SUM('PER BULAN'!BA23)</f>
        <v>0</v>
      </c>
      <c r="AU6" s="292">
        <f>SUM('PER BULAN'!BB23)</f>
        <v>0</v>
      </c>
      <c r="AV6" s="292">
        <f>SUM('PER BULAN'!BC23)</f>
        <v>1800000</v>
      </c>
      <c r="AW6" s="292">
        <f>SUM('PER BULAN'!BD23)</f>
        <v>0</v>
      </c>
      <c r="AX6" s="292">
        <f>SUM('PER BULAN'!BE23)</f>
        <v>0</v>
      </c>
    </row>
    <row r="7" spans="1:50" s="278" customFormat="1" x14ac:dyDescent="0.3">
      <c r="A7" s="277" t="s">
        <v>4693</v>
      </c>
      <c r="B7" s="277" t="s">
        <v>4694</v>
      </c>
      <c r="C7" s="277" t="s">
        <v>4695</v>
      </c>
      <c r="D7" s="277" t="s">
        <v>4696</v>
      </c>
      <c r="E7" s="277" t="s">
        <v>196</v>
      </c>
      <c r="F7" s="277" t="s">
        <v>4706</v>
      </c>
      <c r="G7" s="277" t="s">
        <v>4697</v>
      </c>
      <c r="H7" s="277" t="s">
        <v>4707</v>
      </c>
      <c r="I7" s="277" t="s">
        <v>501</v>
      </c>
      <c r="J7" s="277" t="s">
        <v>4708</v>
      </c>
      <c r="K7" s="277" t="s">
        <v>502</v>
      </c>
      <c r="L7" s="277" t="s">
        <v>4709</v>
      </c>
      <c r="M7" s="277" t="s">
        <v>511</v>
      </c>
      <c r="N7" s="277" t="s">
        <v>4712</v>
      </c>
      <c r="O7" s="277" t="s">
        <v>503</v>
      </c>
      <c r="P7" s="277" t="s">
        <v>4698</v>
      </c>
      <c r="Q7" s="278">
        <f>'PER BULAN'!F25</f>
        <v>19500000</v>
      </c>
      <c r="R7" s="292">
        <f>SUM('PER BULAN'!G25:I25)</f>
        <v>0</v>
      </c>
      <c r="S7" s="292">
        <f>SUM('PER BULAN'!J25:L25)</f>
        <v>0</v>
      </c>
      <c r="T7" s="292">
        <f>SUM('PER BULAN'!M25:O25)</f>
        <v>2561000</v>
      </c>
      <c r="U7" s="292">
        <f>SUM('PER BULAN'!P25:R25)</f>
        <v>0</v>
      </c>
      <c r="V7" s="292">
        <f>SUM('PER BULAN'!S25:U25)</f>
        <v>1480000</v>
      </c>
      <c r="W7" s="292">
        <f>SUM('PER BULAN'!V25:X25)</f>
        <v>0</v>
      </c>
      <c r="X7" s="292">
        <f>SUM('PER BULAN'!Y25:AA25)</f>
        <v>0</v>
      </c>
      <c r="Y7" s="292">
        <f>SUM('PER BULAN'!AB25:AD25)</f>
        <v>0</v>
      </c>
      <c r="Z7" s="292">
        <f>SUM('PER BULAN'!AE25:AG25)</f>
        <v>0</v>
      </c>
      <c r="AA7" s="292">
        <f>SUM('PER BULAN'!AH25:AJ25)</f>
        <v>0</v>
      </c>
      <c r="AB7" s="292">
        <f>SUM('PER BULAN'!AK25:AM25)</f>
        <v>0</v>
      </c>
      <c r="AC7" s="292">
        <f>SUM('PER BULAN'!AN25:AP25)</f>
        <v>0</v>
      </c>
      <c r="AD7" s="277" t="s">
        <v>530</v>
      </c>
      <c r="AE7" s="277" t="s">
        <v>531</v>
      </c>
      <c r="AF7" s="277" t="s">
        <v>532</v>
      </c>
      <c r="AG7" s="277" t="s">
        <v>4699</v>
      </c>
      <c r="AH7" s="277" t="s">
        <v>4700</v>
      </c>
      <c r="AI7" s="277">
        <f t="shared" si="0"/>
        <v>4041000</v>
      </c>
      <c r="AJ7" s="291">
        <f t="shared" si="1"/>
        <v>20.723076923076921</v>
      </c>
      <c r="AK7" s="277">
        <f t="shared" si="2"/>
        <v>15459000</v>
      </c>
      <c r="AL7" s="291">
        <f t="shared" si="3"/>
        <v>79.276923076923083</v>
      </c>
      <c r="AM7" s="277" t="s">
        <v>432</v>
      </c>
      <c r="AN7" s="277" t="s">
        <v>4730</v>
      </c>
      <c r="AO7" s="277" t="s">
        <v>4731</v>
      </c>
      <c r="AP7" s="277" t="s">
        <v>4732</v>
      </c>
      <c r="AQ7" s="292">
        <f>SUM('PER BULAN'!AX25)</f>
        <v>0</v>
      </c>
      <c r="AR7" s="292">
        <f>SUM('PER BULAN'!AY25)</f>
        <v>1525000</v>
      </c>
      <c r="AS7" s="292">
        <f>SUM('PER BULAN'!AZ25)</f>
        <v>1036000</v>
      </c>
      <c r="AT7" s="292">
        <f>SUM('PER BULAN'!BA25)</f>
        <v>0</v>
      </c>
      <c r="AU7" s="292">
        <f>SUM('PER BULAN'!BB25)</f>
        <v>0</v>
      </c>
      <c r="AV7" s="292">
        <f>SUM('PER BULAN'!BC25)</f>
        <v>0</v>
      </c>
      <c r="AW7" s="292">
        <f>SUM('PER BULAN'!BD25)</f>
        <v>1480000</v>
      </c>
      <c r="AX7" s="292">
        <f>SUM('PER BULAN'!BE25)</f>
        <v>0</v>
      </c>
    </row>
    <row r="8" spans="1:50" s="278" customFormat="1" x14ac:dyDescent="0.3">
      <c r="A8" s="277" t="s">
        <v>4693</v>
      </c>
      <c r="B8" s="277" t="s">
        <v>4694</v>
      </c>
      <c r="C8" s="277" t="s">
        <v>4695</v>
      </c>
      <c r="D8" s="277" t="s">
        <v>4696</v>
      </c>
      <c r="E8" s="277" t="s">
        <v>196</v>
      </c>
      <c r="F8" s="277" t="s">
        <v>4706</v>
      </c>
      <c r="G8" s="277" t="s">
        <v>4697</v>
      </c>
      <c r="H8" s="277" t="s">
        <v>4707</v>
      </c>
      <c r="I8" s="277" t="s">
        <v>501</v>
      </c>
      <c r="J8" s="277" t="s">
        <v>4708</v>
      </c>
      <c r="K8" s="277" t="s">
        <v>502</v>
      </c>
      <c r="L8" s="277" t="s">
        <v>4709</v>
      </c>
      <c r="M8" s="277" t="s">
        <v>511</v>
      </c>
      <c r="N8" s="277" t="s">
        <v>4712</v>
      </c>
      <c r="O8" s="277" t="s">
        <v>516</v>
      </c>
      <c r="P8" s="277" t="s">
        <v>4701</v>
      </c>
      <c r="Q8" s="278">
        <f>'PER BULAN'!F26</f>
        <v>4000000</v>
      </c>
      <c r="R8" s="292">
        <f>SUM('PER BULAN'!G26:I26)</f>
        <v>0</v>
      </c>
      <c r="S8" s="292">
        <f>SUM('PER BULAN'!J26:L26)</f>
        <v>0</v>
      </c>
      <c r="T8" s="292">
        <f>SUM('PER BULAN'!M26:O26)</f>
        <v>900000</v>
      </c>
      <c r="U8" s="292">
        <f>SUM('PER BULAN'!P26:R26)</f>
        <v>0</v>
      </c>
      <c r="V8" s="292">
        <f>SUM('PER BULAN'!S26:U26)</f>
        <v>0</v>
      </c>
      <c r="W8" s="292">
        <f>SUM('PER BULAN'!V26:X26)</f>
        <v>0</v>
      </c>
      <c r="X8" s="292">
        <f>SUM('PER BULAN'!Y26:AA26)</f>
        <v>0</v>
      </c>
      <c r="Y8" s="292">
        <f>SUM('PER BULAN'!AB26:AD26)</f>
        <v>0</v>
      </c>
      <c r="Z8" s="292">
        <f>SUM('PER BULAN'!AE26:AG26)</f>
        <v>0</v>
      </c>
      <c r="AA8" s="292">
        <f>SUM('PER BULAN'!AH26:AJ26)</f>
        <v>0</v>
      </c>
      <c r="AB8" s="292">
        <f>SUM('PER BULAN'!AK26:AM26)</f>
        <v>0</v>
      </c>
      <c r="AC8" s="292">
        <f>SUM('PER BULAN'!AN26:AP26)</f>
        <v>0</v>
      </c>
      <c r="AD8" s="277" t="s">
        <v>530</v>
      </c>
      <c r="AE8" s="277" t="s">
        <v>531</v>
      </c>
      <c r="AF8" s="277" t="s">
        <v>532</v>
      </c>
      <c r="AG8" s="277" t="s">
        <v>4699</v>
      </c>
      <c r="AH8" s="277" t="s">
        <v>4700</v>
      </c>
      <c r="AI8" s="277">
        <f t="shared" si="0"/>
        <v>900000</v>
      </c>
      <c r="AJ8" s="291">
        <f>AI8/Q8*100</f>
        <v>22.5</v>
      </c>
      <c r="AK8" s="277">
        <f t="shared" si="2"/>
        <v>3100000</v>
      </c>
      <c r="AL8" s="291">
        <f t="shared" si="3"/>
        <v>77.5</v>
      </c>
      <c r="AM8" s="277" t="s">
        <v>777</v>
      </c>
      <c r="AN8" s="277" t="s">
        <v>4730</v>
      </c>
      <c r="AO8" s="277" t="s">
        <v>4735</v>
      </c>
      <c r="AP8" s="277" t="s">
        <v>4732</v>
      </c>
      <c r="AQ8" s="292">
        <f>SUM('PER BULAN'!AX26)</f>
        <v>0</v>
      </c>
      <c r="AR8" s="292">
        <f>SUM('PER BULAN'!AY26)</f>
        <v>900000</v>
      </c>
      <c r="AS8" s="292">
        <f>SUM('PER BULAN'!AZ26)</f>
        <v>0</v>
      </c>
      <c r="AT8" s="292">
        <f>SUM('PER BULAN'!BA26)</f>
        <v>0</v>
      </c>
      <c r="AU8" s="292">
        <f>SUM('PER BULAN'!BB26)</f>
        <v>0</v>
      </c>
      <c r="AV8" s="292">
        <f>SUM('PER BULAN'!BC26)</f>
        <v>0</v>
      </c>
      <c r="AW8" s="292">
        <f>SUM('PER BULAN'!BD26)</f>
        <v>0</v>
      </c>
      <c r="AX8" s="292">
        <f>SUM('PER BULAN'!BE26)</f>
        <v>0</v>
      </c>
    </row>
    <row r="9" spans="1:50" s="278" customFormat="1" x14ac:dyDescent="0.3">
      <c r="A9" s="277" t="s">
        <v>4693</v>
      </c>
      <c r="B9" s="277" t="s">
        <v>4694</v>
      </c>
      <c r="C9" s="277" t="s">
        <v>4695</v>
      </c>
      <c r="D9" s="277" t="s">
        <v>4696</v>
      </c>
      <c r="E9" s="277" t="s">
        <v>196</v>
      </c>
      <c r="F9" s="277" t="s">
        <v>4706</v>
      </c>
      <c r="G9" s="277" t="s">
        <v>4697</v>
      </c>
      <c r="H9" s="277" t="s">
        <v>4707</v>
      </c>
      <c r="I9" s="277" t="s">
        <v>501</v>
      </c>
      <c r="J9" s="277" t="s">
        <v>4708</v>
      </c>
      <c r="K9" s="277" t="s">
        <v>502</v>
      </c>
      <c r="L9" s="277" t="s">
        <v>4709</v>
      </c>
      <c r="M9" s="277" t="s">
        <v>511</v>
      </c>
      <c r="N9" s="277" t="s">
        <v>4712</v>
      </c>
      <c r="O9" s="277" t="s">
        <v>513</v>
      </c>
      <c r="P9" s="277" t="s">
        <v>4702</v>
      </c>
      <c r="Q9" s="278">
        <f>'PER BULAN'!F27</f>
        <v>17465000</v>
      </c>
      <c r="R9" s="292">
        <f>SUM('PER BULAN'!G27:I27)</f>
        <v>0</v>
      </c>
      <c r="S9" s="292">
        <f>SUM('PER BULAN'!J27:L27)</f>
        <v>0</v>
      </c>
      <c r="T9" s="292">
        <f>SUM('PER BULAN'!M27:O27)</f>
        <v>16620000</v>
      </c>
      <c r="U9" s="292">
        <f>SUM('PER BULAN'!P27:R27)</f>
        <v>0</v>
      </c>
      <c r="V9" s="292">
        <f>SUM('PER BULAN'!S27:U27)</f>
        <v>0</v>
      </c>
      <c r="W9" s="292">
        <f>SUM('PER BULAN'!V27:X27)</f>
        <v>0</v>
      </c>
      <c r="X9" s="292">
        <f>SUM('PER BULAN'!Y27:AA27)</f>
        <v>0</v>
      </c>
      <c r="Y9" s="292">
        <f>SUM('PER BULAN'!AB27:AD27)</f>
        <v>0</v>
      </c>
      <c r="Z9" s="292">
        <f>SUM('PER BULAN'!AE27:AG27)</f>
        <v>0</v>
      </c>
      <c r="AA9" s="292">
        <f>SUM('PER BULAN'!AH27:AJ27)</f>
        <v>0</v>
      </c>
      <c r="AB9" s="292">
        <f>SUM('PER BULAN'!AK27:AM27)</f>
        <v>0</v>
      </c>
      <c r="AC9" s="292">
        <f>SUM('PER BULAN'!AN27:AP27)</f>
        <v>0</v>
      </c>
      <c r="AD9" s="277" t="s">
        <v>530</v>
      </c>
      <c r="AE9" s="277" t="s">
        <v>531</v>
      </c>
      <c r="AF9" s="277" t="s">
        <v>532</v>
      </c>
      <c r="AG9" s="277" t="s">
        <v>4699</v>
      </c>
      <c r="AH9" s="277" t="s">
        <v>4700</v>
      </c>
      <c r="AI9" s="277">
        <f t="shared" si="0"/>
        <v>16620000</v>
      </c>
      <c r="AJ9" s="291">
        <f t="shared" si="1"/>
        <v>95.161752075579727</v>
      </c>
      <c r="AK9" s="277">
        <f t="shared" si="2"/>
        <v>845000</v>
      </c>
      <c r="AL9" s="291">
        <f t="shared" si="3"/>
        <v>4.8382479244202692</v>
      </c>
      <c r="AM9" s="277" t="s">
        <v>437</v>
      </c>
      <c r="AN9" s="277" t="s">
        <v>4730</v>
      </c>
      <c r="AO9" s="277" t="s">
        <v>4736</v>
      </c>
      <c r="AP9" s="277" t="s">
        <v>4732</v>
      </c>
      <c r="AQ9" s="292">
        <f>SUM('PER BULAN'!AX27)</f>
        <v>0</v>
      </c>
      <c r="AR9" s="292">
        <f>SUM('PER BULAN'!AY27)</f>
        <v>12960000</v>
      </c>
      <c r="AS9" s="292">
        <f>SUM('PER BULAN'!AZ27)</f>
        <v>3660000</v>
      </c>
      <c r="AT9" s="292">
        <f>SUM('PER BULAN'!BA27)</f>
        <v>0</v>
      </c>
      <c r="AU9" s="292">
        <f>SUM('PER BULAN'!BB27)</f>
        <v>0</v>
      </c>
      <c r="AV9" s="292">
        <f>SUM('PER BULAN'!BC27)</f>
        <v>0</v>
      </c>
      <c r="AW9" s="292">
        <f>SUM('PER BULAN'!BD27)</f>
        <v>0</v>
      </c>
      <c r="AX9" s="292">
        <f>SUM('PER BULAN'!BE27)</f>
        <v>0</v>
      </c>
    </row>
    <row r="10" spans="1:50" s="278" customFormat="1" x14ac:dyDescent="0.3">
      <c r="A10" s="277" t="s">
        <v>4693</v>
      </c>
      <c r="B10" s="277" t="s">
        <v>4694</v>
      </c>
      <c r="C10" s="277" t="s">
        <v>4695</v>
      </c>
      <c r="D10" s="277" t="s">
        <v>4696</v>
      </c>
      <c r="E10" s="277" t="s">
        <v>196</v>
      </c>
      <c r="F10" s="277" t="s">
        <v>4706</v>
      </c>
      <c r="G10" s="277" t="s">
        <v>4697</v>
      </c>
      <c r="H10" s="277" t="s">
        <v>4707</v>
      </c>
      <c r="I10" s="277" t="s">
        <v>501</v>
      </c>
      <c r="J10" s="277" t="s">
        <v>4708</v>
      </c>
      <c r="K10" s="277" t="s">
        <v>520</v>
      </c>
      <c r="L10" s="277" t="s">
        <v>4713</v>
      </c>
      <c r="M10" s="277" t="s">
        <v>8</v>
      </c>
      <c r="N10" s="277" t="s">
        <v>4741</v>
      </c>
      <c r="O10" s="277" t="s">
        <v>503</v>
      </c>
      <c r="P10" s="277" t="s">
        <v>4698</v>
      </c>
      <c r="Q10" s="278">
        <v>21250000</v>
      </c>
      <c r="R10" s="292">
        <f>SUM('PER BULAN'!G30:I30)</f>
        <v>0</v>
      </c>
      <c r="S10" s="292">
        <f>SUM('PER BULAN'!J30:L30)</f>
        <v>0</v>
      </c>
      <c r="T10" s="292">
        <f>SUM('PER BULAN'!M30:O30)</f>
        <v>2460000</v>
      </c>
      <c r="U10" s="292">
        <f>SUM('PER BULAN'!P30:R30)</f>
        <v>0</v>
      </c>
      <c r="V10" s="292">
        <f>SUM('PER BULAN'!S30:U30)</f>
        <v>660000</v>
      </c>
      <c r="W10" s="292">
        <f>SUM('PER BULAN'!V30:X30)</f>
        <v>0</v>
      </c>
      <c r="X10" s="292">
        <f>SUM('PER BULAN'!Y30:AA30)</f>
        <v>0</v>
      </c>
      <c r="Y10" s="292">
        <f>SUM('PER BULAN'!AB30:AD30)</f>
        <v>0</v>
      </c>
      <c r="Z10" s="292">
        <f>SUM('PER BULAN'!AE30:AG30)</f>
        <v>0</v>
      </c>
      <c r="AA10" s="292">
        <f>SUM('PER BULAN'!AH30:AJ30)</f>
        <v>0</v>
      </c>
      <c r="AB10" s="292">
        <f>SUM('PER BULAN'!AK30:AM30)</f>
        <v>0</v>
      </c>
      <c r="AC10" s="292">
        <f>SUM('PER BULAN'!AN30:AP30)</f>
        <v>0</v>
      </c>
      <c r="AD10" s="277" t="s">
        <v>530</v>
      </c>
      <c r="AE10" s="277" t="s">
        <v>531</v>
      </c>
      <c r="AF10" s="277" t="s">
        <v>534</v>
      </c>
      <c r="AG10" s="277" t="s">
        <v>4699</v>
      </c>
      <c r="AH10" s="277" t="s">
        <v>4700</v>
      </c>
      <c r="AI10" s="277">
        <f t="shared" si="0"/>
        <v>3120000</v>
      </c>
      <c r="AJ10" s="291">
        <f t="shared" si="1"/>
        <v>14.682352941176472</v>
      </c>
      <c r="AK10" s="277">
        <f t="shared" si="2"/>
        <v>18130000</v>
      </c>
      <c r="AL10" s="291">
        <f t="shared" si="3"/>
        <v>85.317647058823525</v>
      </c>
      <c r="AM10" s="277" t="s">
        <v>441</v>
      </c>
      <c r="AN10" s="277" t="s">
        <v>4730</v>
      </c>
      <c r="AO10" s="277" t="s">
        <v>4731</v>
      </c>
      <c r="AP10" s="277" t="s">
        <v>4732</v>
      </c>
      <c r="AQ10" s="292">
        <f>SUM('PER BULAN'!AX30)</f>
        <v>0</v>
      </c>
      <c r="AR10" s="292">
        <f>SUM('PER BULAN'!AY30)</f>
        <v>2460000</v>
      </c>
      <c r="AS10" s="292">
        <f>SUM('PER BULAN'!AZ30)</f>
        <v>0</v>
      </c>
      <c r="AT10" s="292">
        <f>SUM('PER BULAN'!BA30)</f>
        <v>0</v>
      </c>
      <c r="AU10" s="292">
        <f>SUM('PER BULAN'!BB30)</f>
        <v>0</v>
      </c>
      <c r="AV10" s="292">
        <f>SUM('PER BULAN'!BC30)</f>
        <v>660000</v>
      </c>
      <c r="AW10" s="292">
        <f>SUM('PER BULAN'!BD30)</f>
        <v>0</v>
      </c>
      <c r="AX10" s="292">
        <f>SUM('PER BULAN'!BE30)</f>
        <v>0</v>
      </c>
    </row>
    <row r="11" spans="1:50" s="278" customFormat="1" x14ac:dyDescent="0.3">
      <c r="A11" s="277" t="s">
        <v>4693</v>
      </c>
      <c r="B11" s="277" t="s">
        <v>4694</v>
      </c>
      <c r="C11" s="277" t="s">
        <v>4695</v>
      </c>
      <c r="D11" s="277" t="s">
        <v>4696</v>
      </c>
      <c r="E11" s="277" t="s">
        <v>196</v>
      </c>
      <c r="F11" s="277" t="s">
        <v>4706</v>
      </c>
      <c r="G11" s="277" t="s">
        <v>4697</v>
      </c>
      <c r="H11" s="277" t="s">
        <v>4707</v>
      </c>
      <c r="I11" s="277" t="s">
        <v>501</v>
      </c>
      <c r="J11" s="277" t="s">
        <v>4708</v>
      </c>
      <c r="K11" s="277" t="s">
        <v>520</v>
      </c>
      <c r="L11" s="277" t="s">
        <v>4713</v>
      </c>
      <c r="M11" s="277" t="s">
        <v>8</v>
      </c>
      <c r="N11" s="277" t="s">
        <v>4741</v>
      </c>
      <c r="O11" s="277" t="s">
        <v>513</v>
      </c>
      <c r="P11" s="277" t="s">
        <v>4702</v>
      </c>
      <c r="Q11" s="278">
        <v>33250000</v>
      </c>
      <c r="R11" s="292">
        <f>SUM('PER BULAN'!G31:I31)</f>
        <v>0</v>
      </c>
      <c r="S11" s="292">
        <f>SUM('PER BULAN'!J31:L31)</f>
        <v>0</v>
      </c>
      <c r="T11" s="292">
        <f>SUM('PER BULAN'!M31:O31)</f>
        <v>3780000</v>
      </c>
      <c r="U11" s="292">
        <f>SUM('PER BULAN'!P31:R31)</f>
        <v>2840000</v>
      </c>
      <c r="V11" s="292">
        <f>SUM('PER BULAN'!S31:U31)</f>
        <v>14114500</v>
      </c>
      <c r="W11" s="292">
        <f>SUM('PER BULAN'!V31:X31)</f>
        <v>360000</v>
      </c>
      <c r="X11" s="292">
        <f>SUM('PER BULAN'!Y31:AA31)</f>
        <v>0</v>
      </c>
      <c r="Y11" s="292">
        <f>SUM('PER BULAN'!AB31:AD31)</f>
        <v>0</v>
      </c>
      <c r="Z11" s="292">
        <f>SUM('PER BULAN'!AE31:AG31)</f>
        <v>0</v>
      </c>
      <c r="AA11" s="292">
        <f>SUM('PER BULAN'!AH31:AJ31)</f>
        <v>0</v>
      </c>
      <c r="AB11" s="292">
        <f>SUM('PER BULAN'!AK31:AM31)</f>
        <v>0</v>
      </c>
      <c r="AC11" s="292">
        <f>SUM('PER BULAN'!AN31:AP31)</f>
        <v>0</v>
      </c>
      <c r="AD11" s="277" t="s">
        <v>530</v>
      </c>
      <c r="AE11" s="277" t="s">
        <v>531</v>
      </c>
      <c r="AF11" s="277" t="s">
        <v>534</v>
      </c>
      <c r="AG11" s="277" t="s">
        <v>4699</v>
      </c>
      <c r="AH11" s="277" t="s">
        <v>4700</v>
      </c>
      <c r="AI11" s="277">
        <f t="shared" si="0"/>
        <v>21094500</v>
      </c>
      <c r="AJ11" s="291">
        <f t="shared" si="1"/>
        <v>63.442105263157899</v>
      </c>
      <c r="AK11" s="277">
        <f t="shared" si="2"/>
        <v>12155500</v>
      </c>
      <c r="AL11" s="291">
        <f t="shared" si="3"/>
        <v>36.557894736842108</v>
      </c>
      <c r="AM11" s="277" t="s">
        <v>448</v>
      </c>
      <c r="AN11" s="277" t="s">
        <v>4730</v>
      </c>
      <c r="AO11" s="277" t="s">
        <v>4736</v>
      </c>
      <c r="AP11" s="277" t="s">
        <v>4732</v>
      </c>
      <c r="AQ11" s="292">
        <f>SUM('PER BULAN'!AX31)</f>
        <v>0</v>
      </c>
      <c r="AR11" s="292">
        <f>SUM('PER BULAN'!AY31)</f>
        <v>1080000</v>
      </c>
      <c r="AS11" s="292">
        <f>SUM('PER BULAN'!AZ31)</f>
        <v>2700000</v>
      </c>
      <c r="AT11" s="292">
        <f>SUM('PER BULAN'!BA31)</f>
        <v>0</v>
      </c>
      <c r="AU11" s="292">
        <f>SUM('PER BULAN'!BB31)</f>
        <v>0</v>
      </c>
      <c r="AV11" s="292">
        <f>SUM('PER BULAN'!BC31)</f>
        <v>3620000</v>
      </c>
      <c r="AW11" s="292">
        <f>SUM('PER BULAN'!BD31)</f>
        <v>9244500</v>
      </c>
      <c r="AX11" s="292">
        <f>SUM('PER BULAN'!BE31)</f>
        <v>0</v>
      </c>
    </row>
    <row r="12" spans="1:50" s="278" customFormat="1" x14ac:dyDescent="0.3">
      <c r="A12" s="277" t="s">
        <v>4693</v>
      </c>
      <c r="B12" s="277" t="s">
        <v>4694</v>
      </c>
      <c r="C12" s="277" t="s">
        <v>4695</v>
      </c>
      <c r="D12" s="277" t="s">
        <v>4696</v>
      </c>
      <c r="E12" s="277" t="s">
        <v>196</v>
      </c>
      <c r="F12" s="277" t="s">
        <v>4706</v>
      </c>
      <c r="G12" s="277" t="s">
        <v>4697</v>
      </c>
      <c r="H12" s="277" t="s">
        <v>4707</v>
      </c>
      <c r="I12" s="277" t="s">
        <v>501</v>
      </c>
      <c r="J12" s="277" t="s">
        <v>4708</v>
      </c>
      <c r="K12" s="277" t="s">
        <v>523</v>
      </c>
      <c r="L12" s="277" t="s">
        <v>4714</v>
      </c>
      <c r="M12" s="277" t="s">
        <v>8</v>
      </c>
      <c r="N12" s="277" t="s">
        <v>4715</v>
      </c>
      <c r="O12" s="277">
        <v>521211</v>
      </c>
      <c r="P12" s="277" t="s">
        <v>4698</v>
      </c>
      <c r="Q12" s="278">
        <v>64900000</v>
      </c>
      <c r="R12" s="292">
        <f>SUM('PER BULAN'!G34:I34)</f>
        <v>0</v>
      </c>
      <c r="S12" s="292">
        <f>SUM('PER BULAN'!J34:L34)</f>
        <v>0</v>
      </c>
      <c r="T12" s="292">
        <f>SUM('PER BULAN'!M34:O34)</f>
        <v>4332500</v>
      </c>
      <c r="U12" s="292">
        <f>SUM('PER BULAN'!P34:R34)</f>
        <v>0</v>
      </c>
      <c r="V12" s="292">
        <f>SUM('PER BULAN'!S34:U34)</f>
        <v>1862500</v>
      </c>
      <c r="W12" s="292">
        <f>SUM('PER BULAN'!V34:X34)</f>
        <v>0</v>
      </c>
      <c r="X12" s="292">
        <f>SUM('PER BULAN'!Y34:AA34)</f>
        <v>0</v>
      </c>
      <c r="Y12" s="292">
        <f>SUM('PER BULAN'!AB34:AD34)</f>
        <v>0</v>
      </c>
      <c r="Z12" s="292">
        <f>SUM('PER BULAN'!AE34:AG34)</f>
        <v>0</v>
      </c>
      <c r="AA12" s="292">
        <f>SUM('PER BULAN'!AH34:AJ34)</f>
        <v>0</v>
      </c>
      <c r="AB12" s="292">
        <f>SUM('PER BULAN'!AK34:AM34)</f>
        <v>0</v>
      </c>
      <c r="AC12" s="292">
        <f>SUM('PER BULAN'!AN34:AP34)</f>
        <v>0</v>
      </c>
      <c r="AD12" s="277" t="s">
        <v>530</v>
      </c>
      <c r="AE12" s="277" t="s">
        <v>535</v>
      </c>
      <c r="AF12" s="277" t="s">
        <v>536</v>
      </c>
      <c r="AG12" s="277" t="s">
        <v>4699</v>
      </c>
      <c r="AH12" s="277" t="s">
        <v>4700</v>
      </c>
      <c r="AI12" s="277">
        <f t="shared" si="0"/>
        <v>6195000</v>
      </c>
      <c r="AJ12" s="291">
        <f t="shared" si="1"/>
        <v>9.5454545454545467</v>
      </c>
      <c r="AK12" s="277">
        <f t="shared" si="2"/>
        <v>58705000</v>
      </c>
      <c r="AL12" s="291">
        <f t="shared" si="3"/>
        <v>90.454545454545453</v>
      </c>
      <c r="AM12" s="277" t="s">
        <v>452</v>
      </c>
      <c r="AN12" s="277" t="s">
        <v>4730</v>
      </c>
      <c r="AO12" s="277" t="s">
        <v>4731</v>
      </c>
      <c r="AP12" s="277" t="s">
        <v>4732</v>
      </c>
      <c r="AQ12" s="292">
        <f>SUM('PER BULAN'!AX34)</f>
        <v>0</v>
      </c>
      <c r="AR12" s="292">
        <f>SUM('PER BULAN'!AY34)</f>
        <v>2871000</v>
      </c>
      <c r="AS12" s="292">
        <f>SUM('PER BULAN'!AZ34)</f>
        <v>1461500</v>
      </c>
      <c r="AT12" s="292">
        <f>SUM('PER BULAN'!BA34)</f>
        <v>0</v>
      </c>
      <c r="AU12" s="292">
        <f>SUM('PER BULAN'!BB34)</f>
        <v>0</v>
      </c>
      <c r="AV12" s="292">
        <f>SUM('PER BULAN'!BC34)</f>
        <v>440000</v>
      </c>
      <c r="AW12" s="292">
        <f>SUM('PER BULAN'!BD34)</f>
        <v>1422500</v>
      </c>
      <c r="AX12" s="292">
        <f>SUM('PER BULAN'!BE34)</f>
        <v>0</v>
      </c>
    </row>
    <row r="13" spans="1:50" s="278" customFormat="1" x14ac:dyDescent="0.3">
      <c r="A13" s="277" t="s">
        <v>4693</v>
      </c>
      <c r="B13" s="277" t="s">
        <v>4694</v>
      </c>
      <c r="C13" s="277" t="s">
        <v>4695</v>
      </c>
      <c r="D13" s="277" t="s">
        <v>4696</v>
      </c>
      <c r="E13" s="277" t="s">
        <v>196</v>
      </c>
      <c r="F13" s="277" t="s">
        <v>4706</v>
      </c>
      <c r="G13" s="277" t="s">
        <v>4697</v>
      </c>
      <c r="H13" s="277" t="s">
        <v>4707</v>
      </c>
      <c r="I13" s="277" t="s">
        <v>501</v>
      </c>
      <c r="J13" s="277" t="s">
        <v>4708</v>
      </c>
      <c r="K13" s="277" t="s">
        <v>523</v>
      </c>
      <c r="L13" s="277" t="s">
        <v>4714</v>
      </c>
      <c r="M13" s="277" t="s">
        <v>8</v>
      </c>
      <c r="N13" s="277" t="s">
        <v>4715</v>
      </c>
      <c r="O13" s="277">
        <v>521219</v>
      </c>
      <c r="P13" s="277" t="s">
        <v>4711</v>
      </c>
      <c r="Q13" s="278">
        <v>6000000</v>
      </c>
      <c r="R13" s="292">
        <f>SUM('PER BULAN'!G35:I35)</f>
        <v>0</v>
      </c>
      <c r="S13" s="292">
        <f>SUM('PER BULAN'!J35:L35)</f>
        <v>0</v>
      </c>
      <c r="T13" s="292">
        <f>SUM('PER BULAN'!M35:O35)</f>
        <v>631750</v>
      </c>
      <c r="U13" s="292">
        <f>SUM('PER BULAN'!P35:R35)</f>
        <v>0</v>
      </c>
      <c r="V13" s="292">
        <f>SUM('PER BULAN'!S35:U35)</f>
        <v>331250</v>
      </c>
      <c r="W13" s="292">
        <f>SUM('PER BULAN'!V35:X35)</f>
        <v>0</v>
      </c>
      <c r="X13" s="292">
        <f>SUM('PER BULAN'!Y35:AA35)</f>
        <v>0</v>
      </c>
      <c r="Y13" s="292">
        <f>SUM('PER BULAN'!AB35:AD35)</f>
        <v>0</v>
      </c>
      <c r="Z13" s="292">
        <f>SUM('PER BULAN'!AE35:AG35)</f>
        <v>0</v>
      </c>
      <c r="AA13" s="292">
        <f>SUM('PER BULAN'!AH35:AJ35)</f>
        <v>0</v>
      </c>
      <c r="AB13" s="292">
        <f>SUM('PER BULAN'!AK35:AM35)</f>
        <v>0</v>
      </c>
      <c r="AC13" s="292">
        <f>SUM('PER BULAN'!AN35:AP35)</f>
        <v>0</v>
      </c>
      <c r="AD13" s="277" t="s">
        <v>530</v>
      </c>
      <c r="AE13" s="277" t="s">
        <v>535</v>
      </c>
      <c r="AF13" s="277" t="s">
        <v>536</v>
      </c>
      <c r="AG13" s="277" t="s">
        <v>4699</v>
      </c>
      <c r="AH13" s="277" t="s">
        <v>4700</v>
      </c>
      <c r="AI13" s="277">
        <f t="shared" si="0"/>
        <v>963000</v>
      </c>
      <c r="AJ13" s="291">
        <f t="shared" si="1"/>
        <v>16.05</v>
      </c>
      <c r="AK13" s="277">
        <f t="shared" si="2"/>
        <v>5037000</v>
      </c>
      <c r="AL13" s="291">
        <f t="shared" si="3"/>
        <v>83.95</v>
      </c>
      <c r="AM13" s="277" t="s">
        <v>455</v>
      </c>
      <c r="AN13" s="277" t="s">
        <v>4730</v>
      </c>
      <c r="AO13" s="277" t="s">
        <v>4733</v>
      </c>
      <c r="AP13" s="277" t="s">
        <v>4732</v>
      </c>
      <c r="AQ13" s="292">
        <f>SUM('PER BULAN'!AX35)</f>
        <v>0</v>
      </c>
      <c r="AR13" s="292">
        <f>SUM('PER BULAN'!AY35)</f>
        <v>300450</v>
      </c>
      <c r="AS13" s="292">
        <f>SUM('PER BULAN'!AZ35)</f>
        <v>331300</v>
      </c>
      <c r="AT13" s="292">
        <f>SUM('PER BULAN'!BA35)</f>
        <v>0</v>
      </c>
      <c r="AU13" s="292">
        <f>SUM('PER BULAN'!BB35)</f>
        <v>0</v>
      </c>
      <c r="AV13" s="292">
        <f>SUM('PER BULAN'!BC35)</f>
        <v>331250</v>
      </c>
      <c r="AW13" s="292">
        <f>SUM('PER BULAN'!BD35)</f>
        <v>0</v>
      </c>
      <c r="AX13" s="292">
        <f>SUM('PER BULAN'!BE35)</f>
        <v>0</v>
      </c>
    </row>
    <row r="14" spans="1:50" s="278" customFormat="1" x14ac:dyDescent="0.3">
      <c r="A14" s="277" t="s">
        <v>4693</v>
      </c>
      <c r="B14" s="277" t="s">
        <v>4694</v>
      </c>
      <c r="C14" s="277" t="s">
        <v>4695</v>
      </c>
      <c r="D14" s="277" t="s">
        <v>4696</v>
      </c>
      <c r="E14" s="277" t="s">
        <v>196</v>
      </c>
      <c r="F14" s="277" t="s">
        <v>4706</v>
      </c>
      <c r="G14" s="277" t="s">
        <v>4697</v>
      </c>
      <c r="H14" s="277" t="s">
        <v>4707</v>
      </c>
      <c r="I14" s="277" t="s">
        <v>501</v>
      </c>
      <c r="J14" s="277" t="s">
        <v>4708</v>
      </c>
      <c r="K14" s="277" t="s">
        <v>523</v>
      </c>
      <c r="L14" s="277" t="s">
        <v>4714</v>
      </c>
      <c r="M14" s="277" t="s">
        <v>8</v>
      </c>
      <c r="N14" s="277" t="s">
        <v>4715</v>
      </c>
      <c r="O14" s="277" t="s">
        <v>537</v>
      </c>
      <c r="P14" s="277" t="s">
        <v>4716</v>
      </c>
      <c r="Q14" s="278">
        <v>30000000</v>
      </c>
      <c r="R14" s="292">
        <f>SUM('PER BULAN'!G36:I36)</f>
        <v>0</v>
      </c>
      <c r="S14" s="292">
        <f>SUM('PER BULAN'!J36:L36)</f>
        <v>0</v>
      </c>
      <c r="T14" s="292">
        <f>SUM('PER BULAN'!M36:O36)</f>
        <v>7146000</v>
      </c>
      <c r="U14" s="292">
        <f>SUM('PER BULAN'!P36:R36)</f>
        <v>0</v>
      </c>
      <c r="V14" s="292">
        <f>SUM('PER BULAN'!S36:U36)</f>
        <v>2391000</v>
      </c>
      <c r="W14" s="292">
        <f>SUM('PER BULAN'!V36:X36)</f>
        <v>0</v>
      </c>
      <c r="X14" s="292">
        <f>SUM('PER BULAN'!Y36:AA36)</f>
        <v>0</v>
      </c>
      <c r="Y14" s="292">
        <f>SUM('PER BULAN'!AB36:AD36)</f>
        <v>0</v>
      </c>
      <c r="Z14" s="292">
        <f>SUM('PER BULAN'!AE36:AG36)</f>
        <v>0</v>
      </c>
      <c r="AA14" s="292">
        <f>SUM('PER BULAN'!AH36:AJ36)</f>
        <v>0</v>
      </c>
      <c r="AB14" s="292">
        <f>SUM('PER BULAN'!AK36:AM36)</f>
        <v>0</v>
      </c>
      <c r="AC14" s="292">
        <f>SUM('PER BULAN'!AN36:AP36)</f>
        <v>0</v>
      </c>
      <c r="AD14" s="277" t="s">
        <v>530</v>
      </c>
      <c r="AE14" s="277" t="s">
        <v>535</v>
      </c>
      <c r="AF14" s="277" t="s">
        <v>536</v>
      </c>
      <c r="AG14" s="277" t="s">
        <v>4699</v>
      </c>
      <c r="AH14" s="277" t="s">
        <v>4700</v>
      </c>
      <c r="AI14" s="277">
        <f t="shared" si="0"/>
        <v>9537000</v>
      </c>
      <c r="AJ14" s="291">
        <f t="shared" si="1"/>
        <v>31.790000000000003</v>
      </c>
      <c r="AK14" s="277">
        <f t="shared" si="2"/>
        <v>20463000</v>
      </c>
      <c r="AL14" s="291">
        <f t="shared" si="3"/>
        <v>68.210000000000008</v>
      </c>
      <c r="AM14" s="277" t="s">
        <v>458</v>
      </c>
      <c r="AN14" s="277" t="s">
        <v>4730</v>
      </c>
      <c r="AO14" s="277" t="s">
        <v>4737</v>
      </c>
      <c r="AP14" s="277" t="s">
        <v>4732</v>
      </c>
      <c r="AQ14" s="292">
        <f>SUM('PER BULAN'!AX36)</f>
        <v>0</v>
      </c>
      <c r="AR14" s="292">
        <f>SUM('PER BULAN'!AY36)</f>
        <v>4846000</v>
      </c>
      <c r="AS14" s="292">
        <f>SUM('PER BULAN'!AZ36)</f>
        <v>2300000</v>
      </c>
      <c r="AT14" s="292">
        <f>SUM('PER BULAN'!BA36)</f>
        <v>0</v>
      </c>
      <c r="AU14" s="292">
        <f>SUM('PER BULAN'!BB36)</f>
        <v>0</v>
      </c>
      <c r="AV14" s="292">
        <f>SUM('PER BULAN'!BC36)</f>
        <v>0</v>
      </c>
      <c r="AW14" s="292">
        <f>SUM('PER BULAN'!BD36)</f>
        <v>2391000</v>
      </c>
      <c r="AX14" s="292">
        <f>SUM('PER BULAN'!BE36)</f>
        <v>0</v>
      </c>
    </row>
    <row r="15" spans="1:50" s="278" customFormat="1" x14ac:dyDescent="0.3">
      <c r="A15" s="277" t="s">
        <v>4693</v>
      </c>
      <c r="B15" s="277" t="s">
        <v>4694</v>
      </c>
      <c r="C15" s="277" t="s">
        <v>4695</v>
      </c>
      <c r="D15" s="277" t="s">
        <v>4696</v>
      </c>
      <c r="E15" s="277" t="s">
        <v>196</v>
      </c>
      <c r="F15" s="277" t="s">
        <v>4706</v>
      </c>
      <c r="G15" s="277" t="s">
        <v>4697</v>
      </c>
      <c r="H15" s="277" t="s">
        <v>4707</v>
      </c>
      <c r="I15" s="277" t="s">
        <v>501</v>
      </c>
      <c r="J15" s="277" t="s">
        <v>4708</v>
      </c>
      <c r="K15" s="277" t="s">
        <v>523</v>
      </c>
      <c r="L15" s="277" t="s">
        <v>4714</v>
      </c>
      <c r="M15" s="277" t="s">
        <v>8</v>
      </c>
      <c r="N15" s="277" t="s">
        <v>4715</v>
      </c>
      <c r="O15" s="277" t="s">
        <v>516</v>
      </c>
      <c r="P15" s="277" t="s">
        <v>4701</v>
      </c>
      <c r="Q15" s="278">
        <v>25200000</v>
      </c>
      <c r="R15" s="292">
        <f>SUM('PER BULAN'!G37:I37)</f>
        <v>0</v>
      </c>
      <c r="S15" s="292">
        <f>SUM('PER BULAN'!J37:L37)</f>
        <v>0</v>
      </c>
      <c r="T15" s="292">
        <f>SUM('PER BULAN'!M37:O37)</f>
        <v>1800000</v>
      </c>
      <c r="U15" s="292">
        <f>SUM('PER BULAN'!P37:R37)</f>
        <v>0</v>
      </c>
      <c r="V15" s="292">
        <f>SUM('PER BULAN'!S37:U37)</f>
        <v>0</v>
      </c>
      <c r="W15" s="292">
        <f>SUM('PER BULAN'!V37:X37)</f>
        <v>7200000</v>
      </c>
      <c r="X15" s="292">
        <f>SUM('PER BULAN'!Y37:AA37)</f>
        <v>0</v>
      </c>
      <c r="Y15" s="292">
        <f>SUM('PER BULAN'!AB37:AD37)</f>
        <v>0</v>
      </c>
      <c r="Z15" s="292">
        <f>SUM('PER BULAN'!AE37:AG37)</f>
        <v>0</v>
      </c>
      <c r="AA15" s="292">
        <f>SUM('PER BULAN'!AH37:AJ37)</f>
        <v>0</v>
      </c>
      <c r="AB15" s="292">
        <f>SUM('PER BULAN'!AK37:AM37)</f>
        <v>0</v>
      </c>
      <c r="AC15" s="292">
        <f>SUM('PER BULAN'!AN37:AP37)</f>
        <v>0</v>
      </c>
      <c r="AD15" s="277" t="s">
        <v>530</v>
      </c>
      <c r="AE15" s="277" t="s">
        <v>535</v>
      </c>
      <c r="AF15" s="277" t="s">
        <v>536</v>
      </c>
      <c r="AG15" s="277" t="s">
        <v>4699</v>
      </c>
      <c r="AH15" s="277" t="s">
        <v>4700</v>
      </c>
      <c r="AI15" s="277">
        <f t="shared" si="0"/>
        <v>9000000</v>
      </c>
      <c r="AJ15" s="291">
        <f t="shared" si="1"/>
        <v>35.714285714285715</v>
      </c>
      <c r="AK15" s="277">
        <f t="shared" si="2"/>
        <v>16200000</v>
      </c>
      <c r="AL15" s="291">
        <f t="shared" si="3"/>
        <v>64.285714285714292</v>
      </c>
      <c r="AM15" s="277" t="s">
        <v>461</v>
      </c>
      <c r="AN15" s="277" t="s">
        <v>4730</v>
      </c>
      <c r="AO15" s="277" t="s">
        <v>4735</v>
      </c>
      <c r="AP15" s="277" t="s">
        <v>4732</v>
      </c>
      <c r="AQ15" s="292">
        <f>SUM('PER BULAN'!AX37)</f>
        <v>0</v>
      </c>
      <c r="AR15" s="292">
        <f>SUM('PER BULAN'!AY37)</f>
        <v>1800000</v>
      </c>
      <c r="AS15" s="292">
        <f>SUM('PER BULAN'!AZ37)</f>
        <v>0</v>
      </c>
      <c r="AT15" s="292">
        <f>SUM('PER BULAN'!BA37)</f>
        <v>0</v>
      </c>
      <c r="AU15" s="292">
        <f>SUM('PER BULAN'!BB37)</f>
        <v>0</v>
      </c>
      <c r="AV15" s="292">
        <f>SUM('PER BULAN'!BC37)</f>
        <v>0</v>
      </c>
      <c r="AW15" s="292">
        <f>SUM('PER BULAN'!BD37)</f>
        <v>0</v>
      </c>
      <c r="AX15" s="292">
        <f>SUM('PER BULAN'!BE37)</f>
        <v>0</v>
      </c>
    </row>
    <row r="16" spans="1:50" s="278" customFormat="1" x14ac:dyDescent="0.3">
      <c r="A16" s="277" t="s">
        <v>4693</v>
      </c>
      <c r="B16" s="277" t="s">
        <v>4694</v>
      </c>
      <c r="C16" s="277" t="s">
        <v>4695</v>
      </c>
      <c r="D16" s="277" t="s">
        <v>4696</v>
      </c>
      <c r="E16" s="277" t="s">
        <v>196</v>
      </c>
      <c r="F16" s="277" t="s">
        <v>4706</v>
      </c>
      <c r="G16" s="277" t="s">
        <v>4697</v>
      </c>
      <c r="H16" s="277" t="s">
        <v>4707</v>
      </c>
      <c r="I16" s="277" t="s">
        <v>501</v>
      </c>
      <c r="J16" s="277" t="s">
        <v>4708</v>
      </c>
      <c r="K16" s="277" t="s">
        <v>523</v>
      </c>
      <c r="L16" s="277" t="s">
        <v>4714</v>
      </c>
      <c r="M16" s="277" t="s">
        <v>8</v>
      </c>
      <c r="N16" s="277" t="s">
        <v>4715</v>
      </c>
      <c r="O16" s="277" t="s">
        <v>518</v>
      </c>
      <c r="P16" s="277" t="s">
        <v>4703</v>
      </c>
      <c r="Q16" s="278">
        <v>6000000</v>
      </c>
      <c r="R16" s="292">
        <f>SUM('PER BULAN'!G38:I38)</f>
        <v>0</v>
      </c>
      <c r="S16" s="292">
        <f>SUM('PER BULAN'!J38:L38)</f>
        <v>0</v>
      </c>
      <c r="T16" s="292">
        <f>SUM('PER BULAN'!M38:O38)</f>
        <v>0</v>
      </c>
      <c r="U16" s="292">
        <f>SUM('PER BULAN'!P38:R38)</f>
        <v>0</v>
      </c>
      <c r="V16" s="292">
        <f>SUM('PER BULAN'!S38:U38)</f>
        <v>0</v>
      </c>
      <c r="W16" s="292">
        <f>SUM('PER BULAN'!V38:X38)</f>
        <v>0</v>
      </c>
      <c r="X16" s="292">
        <f>SUM('PER BULAN'!Y38:AA38)</f>
        <v>0</v>
      </c>
      <c r="Y16" s="292">
        <f>SUM('PER BULAN'!AB38:AD38)</f>
        <v>0</v>
      </c>
      <c r="Z16" s="292">
        <f>SUM('PER BULAN'!AE38:AG38)</f>
        <v>0</v>
      </c>
      <c r="AA16" s="292">
        <f>SUM('PER BULAN'!AH38:AJ38)</f>
        <v>0</v>
      </c>
      <c r="AB16" s="292">
        <f>SUM('PER BULAN'!AK38:AM38)</f>
        <v>0</v>
      </c>
      <c r="AC16" s="292">
        <f>SUM('PER BULAN'!AN38:AP38)</f>
        <v>0</v>
      </c>
      <c r="AD16" s="277" t="s">
        <v>530</v>
      </c>
      <c r="AE16" s="277" t="s">
        <v>535</v>
      </c>
      <c r="AF16" s="277" t="s">
        <v>536</v>
      </c>
      <c r="AG16" s="277" t="s">
        <v>4699</v>
      </c>
      <c r="AH16" s="277" t="s">
        <v>4700</v>
      </c>
      <c r="AI16" s="277">
        <f t="shared" si="0"/>
        <v>0</v>
      </c>
      <c r="AJ16" s="291">
        <f t="shared" si="1"/>
        <v>0</v>
      </c>
      <c r="AK16" s="277">
        <f t="shared" si="2"/>
        <v>6000000</v>
      </c>
      <c r="AL16" s="291">
        <f t="shared" si="3"/>
        <v>100</v>
      </c>
      <c r="AM16" s="277" t="s">
        <v>463</v>
      </c>
      <c r="AN16" s="277" t="s">
        <v>4734</v>
      </c>
      <c r="AO16" s="277" t="s">
        <v>4735</v>
      </c>
      <c r="AP16" s="277" t="s">
        <v>4732</v>
      </c>
      <c r="AQ16" s="292">
        <f>SUM('PER BULAN'!AX38)</f>
        <v>0</v>
      </c>
      <c r="AR16" s="292">
        <f>SUM('PER BULAN'!AY38)</f>
        <v>0</v>
      </c>
      <c r="AS16" s="292">
        <f>SUM('PER BULAN'!AZ38)</f>
        <v>0</v>
      </c>
      <c r="AT16" s="292">
        <f>SUM('PER BULAN'!BA38)</f>
        <v>0</v>
      </c>
      <c r="AU16" s="292">
        <f>SUM('PER BULAN'!BB38)</f>
        <v>0</v>
      </c>
      <c r="AV16" s="292">
        <f>SUM('PER BULAN'!BC38)</f>
        <v>0</v>
      </c>
      <c r="AW16" s="292">
        <f>SUM('PER BULAN'!BD38)</f>
        <v>0</v>
      </c>
      <c r="AX16" s="292">
        <f>SUM('PER BULAN'!BE38)</f>
        <v>0</v>
      </c>
    </row>
    <row r="17" spans="1:50" s="278" customFormat="1" x14ac:dyDescent="0.3">
      <c r="A17" s="277" t="s">
        <v>4693</v>
      </c>
      <c r="B17" s="277" t="s">
        <v>4694</v>
      </c>
      <c r="C17" s="277" t="s">
        <v>4695</v>
      </c>
      <c r="D17" s="277" t="s">
        <v>4696</v>
      </c>
      <c r="E17" s="277" t="s">
        <v>196</v>
      </c>
      <c r="F17" s="277" t="s">
        <v>4706</v>
      </c>
      <c r="G17" s="277" t="s">
        <v>4697</v>
      </c>
      <c r="H17" s="277" t="s">
        <v>4707</v>
      </c>
      <c r="I17" s="277" t="s">
        <v>501</v>
      </c>
      <c r="J17" s="277" t="s">
        <v>4708</v>
      </c>
      <c r="K17" s="277" t="s">
        <v>523</v>
      </c>
      <c r="L17" s="277" t="s">
        <v>4714</v>
      </c>
      <c r="M17" s="277" t="s">
        <v>8</v>
      </c>
      <c r="N17" s="277" t="s">
        <v>4715</v>
      </c>
      <c r="O17" s="277" t="s">
        <v>513</v>
      </c>
      <c r="P17" s="277" t="s">
        <v>4702</v>
      </c>
      <c r="Q17" s="278">
        <v>253324000</v>
      </c>
      <c r="R17" s="292">
        <f>SUM('PER BULAN'!G39:I39)</f>
        <v>0</v>
      </c>
      <c r="S17" s="292">
        <f>SUM('PER BULAN'!J39:L39)</f>
        <v>0</v>
      </c>
      <c r="T17" s="292">
        <f>SUM('PER BULAN'!M39:O39)</f>
        <v>10610000</v>
      </c>
      <c r="U17" s="292">
        <f>SUM('PER BULAN'!P39:R39)</f>
        <v>6180000</v>
      </c>
      <c r="V17" s="292">
        <f>SUM('PER BULAN'!S39:U39)</f>
        <v>930000</v>
      </c>
      <c r="W17" s="292">
        <f>SUM('PER BULAN'!V39:X39)</f>
        <v>15508650</v>
      </c>
      <c r="X17" s="292">
        <f>SUM('PER BULAN'!Y39:AA39)</f>
        <v>0</v>
      </c>
      <c r="Y17" s="292">
        <f>SUM('PER BULAN'!AB39:AD39)</f>
        <v>0</v>
      </c>
      <c r="Z17" s="292">
        <f>SUM('PER BULAN'!AE39:AG39)</f>
        <v>0</v>
      </c>
      <c r="AA17" s="292">
        <f>SUM('PER BULAN'!AH39:AJ39)</f>
        <v>0</v>
      </c>
      <c r="AB17" s="292">
        <f>SUM('PER BULAN'!AK39:AM39)</f>
        <v>0</v>
      </c>
      <c r="AC17" s="292">
        <f>SUM('PER BULAN'!AN39:AP39)</f>
        <v>0</v>
      </c>
      <c r="AD17" s="277" t="s">
        <v>530</v>
      </c>
      <c r="AE17" s="277" t="s">
        <v>535</v>
      </c>
      <c r="AF17" s="277" t="s">
        <v>536</v>
      </c>
      <c r="AG17" s="277" t="s">
        <v>4699</v>
      </c>
      <c r="AH17" s="277" t="s">
        <v>4700</v>
      </c>
      <c r="AI17" s="277">
        <f t="shared" si="0"/>
        <v>33228650</v>
      </c>
      <c r="AJ17" s="291">
        <f t="shared" si="1"/>
        <v>13.117055628365257</v>
      </c>
      <c r="AK17" s="277">
        <f t="shared" si="2"/>
        <v>220095350</v>
      </c>
      <c r="AL17" s="291">
        <f t="shared" si="3"/>
        <v>86.882944371634736</v>
      </c>
      <c r="AM17" s="277" t="s">
        <v>465</v>
      </c>
      <c r="AN17" s="277" t="s">
        <v>4730</v>
      </c>
      <c r="AO17" s="277" t="s">
        <v>4736</v>
      </c>
      <c r="AP17" s="277" t="s">
        <v>4732</v>
      </c>
      <c r="AQ17" s="292">
        <f>SUM('PER BULAN'!AX39)</f>
        <v>0</v>
      </c>
      <c r="AR17" s="292">
        <f>SUM('PER BULAN'!AY39)</f>
        <v>7130000</v>
      </c>
      <c r="AS17" s="292">
        <f>SUM('PER BULAN'!AZ39)</f>
        <v>3480000</v>
      </c>
      <c r="AT17" s="292">
        <f>SUM('PER BULAN'!BA39)</f>
        <v>0</v>
      </c>
      <c r="AU17" s="292">
        <f>SUM('PER BULAN'!BB39)</f>
        <v>0</v>
      </c>
      <c r="AV17" s="292">
        <f>SUM('PER BULAN'!BC39)</f>
        <v>0</v>
      </c>
      <c r="AW17" s="292">
        <f>SUM('PER BULAN'!BD39)</f>
        <v>0</v>
      </c>
      <c r="AX17" s="292">
        <f>SUM('PER BULAN'!BE39)</f>
        <v>0</v>
      </c>
    </row>
    <row r="18" spans="1:50" s="278" customFormat="1" x14ac:dyDescent="0.3">
      <c r="A18" s="277" t="s">
        <v>4693</v>
      </c>
      <c r="B18" s="277" t="s">
        <v>4694</v>
      </c>
      <c r="C18" s="277" t="s">
        <v>4695</v>
      </c>
      <c r="D18" s="277" t="s">
        <v>4696</v>
      </c>
      <c r="E18" s="277" t="s">
        <v>196</v>
      </c>
      <c r="F18" s="277" t="s">
        <v>4706</v>
      </c>
      <c r="G18" s="277" t="s">
        <v>4697</v>
      </c>
      <c r="H18" s="277" t="s">
        <v>4707</v>
      </c>
      <c r="I18" s="277" t="s">
        <v>501</v>
      </c>
      <c r="J18" s="277" t="s">
        <v>4708</v>
      </c>
      <c r="K18" s="277" t="s">
        <v>523</v>
      </c>
      <c r="L18" s="277" t="s">
        <v>4714</v>
      </c>
      <c r="M18" s="277" t="s">
        <v>8</v>
      </c>
      <c r="N18" s="277" t="s">
        <v>4715</v>
      </c>
      <c r="O18" s="277" t="s">
        <v>507</v>
      </c>
      <c r="P18" s="277" t="s">
        <v>508</v>
      </c>
      <c r="Q18" s="278">
        <v>1500000</v>
      </c>
      <c r="R18" s="292">
        <f>SUM('PER BULAN'!G40:I40)</f>
        <v>0</v>
      </c>
      <c r="S18" s="292">
        <f>SUM('PER BULAN'!J40:L40)</f>
        <v>0</v>
      </c>
      <c r="T18" s="292">
        <f>SUM('PER BULAN'!M40:O40)</f>
        <v>0</v>
      </c>
      <c r="U18" s="292">
        <f>SUM('PER BULAN'!P40:R40)</f>
        <v>0</v>
      </c>
      <c r="V18" s="292">
        <f>SUM('PER BULAN'!S40:U40)</f>
        <v>0</v>
      </c>
      <c r="W18" s="292">
        <f>SUM('PER BULAN'!V40:X40)</f>
        <v>0</v>
      </c>
      <c r="X18" s="292">
        <f>SUM('PER BULAN'!Y40:AA40)</f>
        <v>0</v>
      </c>
      <c r="Y18" s="292">
        <f>SUM('PER BULAN'!AB40:AD40)</f>
        <v>0</v>
      </c>
      <c r="Z18" s="292">
        <f>SUM('PER BULAN'!AE40:AG40)</f>
        <v>0</v>
      </c>
      <c r="AA18" s="292">
        <f>SUM('PER BULAN'!AH40:AJ40)</f>
        <v>0</v>
      </c>
      <c r="AB18" s="292">
        <f>SUM('PER BULAN'!AK40:AM40)</f>
        <v>0</v>
      </c>
      <c r="AC18" s="292">
        <f>SUM('PER BULAN'!AN40:AP40)</f>
        <v>0</v>
      </c>
      <c r="AD18" s="277" t="s">
        <v>530</v>
      </c>
      <c r="AE18" s="277" t="s">
        <v>535</v>
      </c>
      <c r="AF18" s="277" t="s">
        <v>536</v>
      </c>
      <c r="AG18" s="277" t="s">
        <v>4699</v>
      </c>
      <c r="AH18" s="277" t="s">
        <v>4700</v>
      </c>
      <c r="AI18" s="277">
        <f t="shared" si="0"/>
        <v>0</v>
      </c>
      <c r="AJ18" s="291">
        <f t="shared" si="1"/>
        <v>0</v>
      </c>
      <c r="AK18" s="277">
        <f t="shared" si="2"/>
        <v>1500000</v>
      </c>
      <c r="AL18" s="291">
        <f t="shared" si="3"/>
        <v>100</v>
      </c>
      <c r="AM18" s="277" t="s">
        <v>467</v>
      </c>
      <c r="AN18" s="277" t="s">
        <v>4730</v>
      </c>
      <c r="AO18" s="277" t="s">
        <v>4738</v>
      </c>
      <c r="AP18" s="277" t="s">
        <v>4732</v>
      </c>
      <c r="AQ18" s="292">
        <f>SUM('PER BULAN'!AX40)</f>
        <v>0</v>
      </c>
      <c r="AR18" s="292">
        <f>SUM('PER BULAN'!AY40)</f>
        <v>0</v>
      </c>
      <c r="AS18" s="292">
        <f>SUM('PER BULAN'!AZ40)</f>
        <v>0</v>
      </c>
      <c r="AT18" s="292">
        <f>SUM('PER BULAN'!BA40)</f>
        <v>0</v>
      </c>
      <c r="AU18" s="292">
        <f>SUM('PER BULAN'!BB40)</f>
        <v>0</v>
      </c>
      <c r="AV18" s="292">
        <f>SUM('PER BULAN'!BC40)</f>
        <v>0</v>
      </c>
      <c r="AW18" s="292">
        <f>SUM('PER BULAN'!BD40)</f>
        <v>0</v>
      </c>
      <c r="AX18" s="292">
        <f>SUM('PER BULAN'!BE40)</f>
        <v>0</v>
      </c>
    </row>
    <row r="19" spans="1:50" s="278" customFormat="1" x14ac:dyDescent="0.3">
      <c r="A19" s="277" t="s">
        <v>4693</v>
      </c>
      <c r="B19" s="277" t="s">
        <v>4694</v>
      </c>
      <c r="C19" s="277" t="s">
        <v>4695</v>
      </c>
      <c r="D19" s="277" t="s">
        <v>4696</v>
      </c>
      <c r="E19" s="277" t="s">
        <v>196</v>
      </c>
      <c r="F19" s="277" t="s">
        <v>4706</v>
      </c>
      <c r="G19" s="277" t="s">
        <v>4697</v>
      </c>
      <c r="H19" s="277" t="s">
        <v>4707</v>
      </c>
      <c r="I19" s="277" t="s">
        <v>501</v>
      </c>
      <c r="J19" s="277" t="s">
        <v>4708</v>
      </c>
      <c r="K19" s="277" t="s">
        <v>523</v>
      </c>
      <c r="L19" s="277" t="s">
        <v>4714</v>
      </c>
      <c r="M19" s="277" t="s">
        <v>511</v>
      </c>
      <c r="N19" s="277" t="s">
        <v>4717</v>
      </c>
      <c r="O19" s="277">
        <v>521211</v>
      </c>
      <c r="P19" s="277" t="s">
        <v>4698</v>
      </c>
      <c r="Q19" s="278">
        <v>71456000</v>
      </c>
      <c r="R19" s="292">
        <f>SUM('PER BULAN'!G42:I42)</f>
        <v>0</v>
      </c>
      <c r="S19" s="292">
        <f>SUM('PER BULAN'!J42:L42)</f>
        <v>0</v>
      </c>
      <c r="T19" s="292">
        <f>SUM('PER BULAN'!M42:O42)</f>
        <v>0</v>
      </c>
      <c r="U19" s="292">
        <f>SUM('PER BULAN'!P42:R42)</f>
        <v>0</v>
      </c>
      <c r="V19" s="292">
        <f>SUM('PER BULAN'!S42:U42)</f>
        <v>10438550</v>
      </c>
      <c r="W19" s="292">
        <f>SUM('PER BULAN'!V42:X42)</f>
        <v>0</v>
      </c>
      <c r="X19" s="292">
        <f>SUM('PER BULAN'!Y42:AA42)</f>
        <v>0</v>
      </c>
      <c r="Y19" s="292">
        <f>SUM('PER BULAN'!AB42:AD42)</f>
        <v>0</v>
      </c>
      <c r="Z19" s="292">
        <f>SUM('PER BULAN'!AE42:AG42)</f>
        <v>0</v>
      </c>
      <c r="AA19" s="292">
        <f>SUM('PER BULAN'!AH42:AJ42)</f>
        <v>0</v>
      </c>
      <c r="AB19" s="292">
        <f>SUM('PER BULAN'!AK42:AM42)</f>
        <v>0</v>
      </c>
      <c r="AC19" s="292">
        <f>SUM('PER BULAN'!AN42:AP42)</f>
        <v>0</v>
      </c>
      <c r="AD19" s="277" t="s">
        <v>530</v>
      </c>
      <c r="AE19" s="277" t="s">
        <v>535</v>
      </c>
      <c r="AF19" s="277" t="s">
        <v>536</v>
      </c>
      <c r="AG19" s="277" t="s">
        <v>4699</v>
      </c>
      <c r="AH19" s="277" t="s">
        <v>4700</v>
      </c>
      <c r="AI19" s="277">
        <f t="shared" si="0"/>
        <v>10438550</v>
      </c>
      <c r="AJ19" s="291">
        <f t="shared" si="1"/>
        <v>14.60836038961039</v>
      </c>
      <c r="AK19" s="277">
        <f t="shared" si="2"/>
        <v>61017450</v>
      </c>
      <c r="AL19" s="291">
        <f t="shared" si="3"/>
        <v>85.391639610389618</v>
      </c>
      <c r="AM19" s="277" t="s">
        <v>470</v>
      </c>
      <c r="AN19" s="277" t="s">
        <v>4730</v>
      </c>
      <c r="AO19" s="277" t="s">
        <v>4731</v>
      </c>
      <c r="AP19" s="277" t="s">
        <v>4732</v>
      </c>
      <c r="AQ19" s="292">
        <f>SUM('PER BULAN'!AX42)</f>
        <v>0</v>
      </c>
      <c r="AR19" s="292">
        <f>SUM('PER BULAN'!AY42)</f>
        <v>0</v>
      </c>
      <c r="AS19" s="292">
        <f>SUM('PER BULAN'!AZ42)</f>
        <v>0</v>
      </c>
      <c r="AT19" s="292">
        <f>SUM('PER BULAN'!BA42)</f>
        <v>0</v>
      </c>
      <c r="AU19" s="292">
        <f>SUM('PER BULAN'!BB42)</f>
        <v>0</v>
      </c>
      <c r="AV19" s="292">
        <f>SUM('PER BULAN'!BC42)</f>
        <v>0</v>
      </c>
      <c r="AW19" s="292">
        <f>SUM('PER BULAN'!BD42)</f>
        <v>10438550</v>
      </c>
      <c r="AX19" s="292">
        <f>SUM('PER BULAN'!BE42)</f>
        <v>0</v>
      </c>
    </row>
    <row r="20" spans="1:50" s="278" customFormat="1" x14ac:dyDescent="0.3">
      <c r="A20" s="277" t="s">
        <v>4693</v>
      </c>
      <c r="B20" s="277" t="s">
        <v>4694</v>
      </c>
      <c r="C20" s="277" t="s">
        <v>4695</v>
      </c>
      <c r="D20" s="277" t="s">
        <v>4696</v>
      </c>
      <c r="E20" s="277" t="s">
        <v>196</v>
      </c>
      <c r="F20" s="277" t="s">
        <v>4706</v>
      </c>
      <c r="G20" s="277" t="s">
        <v>4697</v>
      </c>
      <c r="H20" s="277" t="s">
        <v>4707</v>
      </c>
      <c r="I20" s="277" t="s">
        <v>501</v>
      </c>
      <c r="J20" s="277" t="s">
        <v>4708</v>
      </c>
      <c r="K20" s="277" t="s">
        <v>523</v>
      </c>
      <c r="L20" s="277" t="s">
        <v>4714</v>
      </c>
      <c r="M20" s="277" t="s">
        <v>511</v>
      </c>
      <c r="N20" s="277" t="s">
        <v>4717</v>
      </c>
      <c r="O20" s="277">
        <v>521219</v>
      </c>
      <c r="P20" s="277" t="s">
        <v>4711</v>
      </c>
      <c r="Q20" s="278">
        <v>5000000</v>
      </c>
      <c r="R20" s="292">
        <f>SUM('PER BULAN'!G43:I43)</f>
        <v>0</v>
      </c>
      <c r="S20" s="292">
        <f>SUM('PER BULAN'!J43:L43)</f>
        <v>0</v>
      </c>
      <c r="T20" s="292">
        <f>SUM('PER BULAN'!M43:O43)</f>
        <v>0</v>
      </c>
      <c r="U20" s="292">
        <f>SUM('PER BULAN'!P43:R43)</f>
        <v>0</v>
      </c>
      <c r="V20" s="292">
        <f>SUM('PER BULAN'!S43:U43)</f>
        <v>4262850</v>
      </c>
      <c r="W20" s="292">
        <f>SUM('PER BULAN'!V43:X43)</f>
        <v>0</v>
      </c>
      <c r="X20" s="292">
        <f>SUM('PER BULAN'!Y43:AA43)</f>
        <v>0</v>
      </c>
      <c r="Y20" s="292">
        <f>SUM('PER BULAN'!AB43:AD43)</f>
        <v>0</v>
      </c>
      <c r="Z20" s="292">
        <f>SUM('PER BULAN'!AE43:AG43)</f>
        <v>0</v>
      </c>
      <c r="AA20" s="292">
        <f>SUM('PER BULAN'!AH43:AJ43)</f>
        <v>0</v>
      </c>
      <c r="AB20" s="292">
        <f>SUM('PER BULAN'!AK43:AM43)</f>
        <v>0</v>
      </c>
      <c r="AC20" s="292">
        <f>SUM('PER BULAN'!AN43:AP43)</f>
        <v>0</v>
      </c>
      <c r="AD20" s="277" t="s">
        <v>530</v>
      </c>
      <c r="AE20" s="277" t="s">
        <v>535</v>
      </c>
      <c r="AF20" s="277" t="s">
        <v>536</v>
      </c>
      <c r="AG20" s="277" t="s">
        <v>4699</v>
      </c>
      <c r="AH20" s="277" t="s">
        <v>4700</v>
      </c>
      <c r="AI20" s="277">
        <f t="shared" si="0"/>
        <v>4262850</v>
      </c>
      <c r="AJ20" s="291">
        <f t="shared" si="1"/>
        <v>85.257000000000005</v>
      </c>
      <c r="AK20" s="277">
        <f t="shared" si="2"/>
        <v>737150</v>
      </c>
      <c r="AL20" s="291">
        <f t="shared" si="3"/>
        <v>14.743</v>
      </c>
      <c r="AM20" s="277" t="s">
        <v>473</v>
      </c>
      <c r="AN20" s="277" t="s">
        <v>4730</v>
      </c>
      <c r="AO20" s="277" t="s">
        <v>4733</v>
      </c>
      <c r="AP20" s="277" t="s">
        <v>4732</v>
      </c>
      <c r="AQ20" s="292">
        <f>SUM('PER BULAN'!AX43)</f>
        <v>0</v>
      </c>
      <c r="AR20" s="292">
        <f>SUM('PER BULAN'!AY43)</f>
        <v>0</v>
      </c>
      <c r="AS20" s="292">
        <f>SUM('PER BULAN'!AZ43)</f>
        <v>0</v>
      </c>
      <c r="AT20" s="292">
        <f>SUM('PER BULAN'!BA43)</f>
        <v>0</v>
      </c>
      <c r="AU20" s="292">
        <f>SUM('PER BULAN'!BB43)</f>
        <v>0</v>
      </c>
      <c r="AV20" s="292">
        <f>SUM('PER BULAN'!BC43)</f>
        <v>302850</v>
      </c>
      <c r="AW20" s="292">
        <f>SUM('PER BULAN'!BD43)</f>
        <v>3960000</v>
      </c>
      <c r="AX20" s="292">
        <f>SUM('PER BULAN'!BE43)</f>
        <v>0</v>
      </c>
    </row>
    <row r="21" spans="1:50" s="278" customFormat="1" x14ac:dyDescent="0.3">
      <c r="A21" s="277" t="s">
        <v>4693</v>
      </c>
      <c r="B21" s="277" t="s">
        <v>4694</v>
      </c>
      <c r="C21" s="277" t="s">
        <v>4695</v>
      </c>
      <c r="D21" s="277" t="s">
        <v>4696</v>
      </c>
      <c r="E21" s="277" t="s">
        <v>196</v>
      </c>
      <c r="F21" s="277" t="s">
        <v>4706</v>
      </c>
      <c r="G21" s="277" t="s">
        <v>4697</v>
      </c>
      <c r="H21" s="277" t="s">
        <v>4707</v>
      </c>
      <c r="I21" s="277" t="s">
        <v>501</v>
      </c>
      <c r="J21" s="277" t="s">
        <v>4708</v>
      </c>
      <c r="K21" s="277" t="s">
        <v>523</v>
      </c>
      <c r="L21" s="277" t="s">
        <v>4714</v>
      </c>
      <c r="M21" s="277" t="s">
        <v>511</v>
      </c>
      <c r="N21" s="277" t="s">
        <v>4717</v>
      </c>
      <c r="O21" s="277">
        <v>521811</v>
      </c>
      <c r="P21" s="277" t="s">
        <v>4716</v>
      </c>
      <c r="Q21" s="278">
        <v>15000000</v>
      </c>
      <c r="R21" s="292">
        <f>SUM('PER BULAN'!G44:I44)</f>
        <v>0</v>
      </c>
      <c r="S21" s="292">
        <f>SUM('PER BULAN'!J44:L44)</f>
        <v>0</v>
      </c>
      <c r="T21" s="292">
        <f>SUM('PER BULAN'!M44:O44)</f>
        <v>0</v>
      </c>
      <c r="U21" s="292">
        <f>SUM('PER BULAN'!P44:R44)</f>
        <v>0</v>
      </c>
      <c r="V21" s="292">
        <f>SUM('PER BULAN'!S44:U44)</f>
        <v>2453500</v>
      </c>
      <c r="W21" s="292">
        <f>SUM('PER BULAN'!V44:X44)</f>
        <v>0</v>
      </c>
      <c r="X21" s="292">
        <f>SUM('PER BULAN'!Y44:AA44)</f>
        <v>0</v>
      </c>
      <c r="Y21" s="292">
        <f>SUM('PER BULAN'!AB44:AD44)</f>
        <v>0</v>
      </c>
      <c r="Z21" s="292">
        <f>SUM('PER BULAN'!AE44:AG44)</f>
        <v>0</v>
      </c>
      <c r="AA21" s="292">
        <f>SUM('PER BULAN'!AH44:AJ44)</f>
        <v>0</v>
      </c>
      <c r="AB21" s="292">
        <f>SUM('PER BULAN'!AK44:AM44)</f>
        <v>0</v>
      </c>
      <c r="AC21" s="292">
        <f>SUM('PER BULAN'!AN44:AP44)</f>
        <v>0</v>
      </c>
      <c r="AD21" s="277" t="s">
        <v>530</v>
      </c>
      <c r="AE21" s="277" t="s">
        <v>535</v>
      </c>
      <c r="AF21" s="277" t="s">
        <v>536</v>
      </c>
      <c r="AG21" s="277" t="s">
        <v>4699</v>
      </c>
      <c r="AH21" s="277" t="s">
        <v>4700</v>
      </c>
      <c r="AI21" s="277">
        <f t="shared" si="0"/>
        <v>2453500</v>
      </c>
      <c r="AJ21" s="291">
        <f t="shared" si="1"/>
        <v>16.356666666666666</v>
      </c>
      <c r="AK21" s="277">
        <f t="shared" si="2"/>
        <v>12546500</v>
      </c>
      <c r="AL21" s="291">
        <f t="shared" si="3"/>
        <v>83.643333333333331</v>
      </c>
      <c r="AM21" s="277" t="s">
        <v>475</v>
      </c>
      <c r="AN21" s="277" t="s">
        <v>4730</v>
      </c>
      <c r="AO21" s="277" t="s">
        <v>4737</v>
      </c>
      <c r="AP21" s="277" t="s">
        <v>4732</v>
      </c>
      <c r="AQ21" s="292">
        <f>SUM('PER BULAN'!AX44)</f>
        <v>0</v>
      </c>
      <c r="AR21" s="292">
        <f>SUM('PER BULAN'!AY44)</f>
        <v>0</v>
      </c>
      <c r="AS21" s="292">
        <f>SUM('PER BULAN'!AZ44)</f>
        <v>0</v>
      </c>
      <c r="AT21" s="292">
        <f>SUM('PER BULAN'!BA44)</f>
        <v>0</v>
      </c>
      <c r="AU21" s="292">
        <f>SUM('PER BULAN'!BB44)</f>
        <v>0</v>
      </c>
      <c r="AV21" s="292">
        <f>SUM('PER BULAN'!BC44)</f>
        <v>0</v>
      </c>
      <c r="AW21" s="292">
        <f>SUM('PER BULAN'!BD44)</f>
        <v>2453500</v>
      </c>
      <c r="AX21" s="292">
        <f>SUM('PER BULAN'!BE44)</f>
        <v>0</v>
      </c>
    </row>
    <row r="22" spans="1:50" s="278" customFormat="1" x14ac:dyDescent="0.3">
      <c r="A22" s="277" t="s">
        <v>4693</v>
      </c>
      <c r="B22" s="277" t="s">
        <v>4694</v>
      </c>
      <c r="C22" s="277" t="s">
        <v>4695</v>
      </c>
      <c r="D22" s="277" t="s">
        <v>4696</v>
      </c>
      <c r="E22" s="277" t="s">
        <v>196</v>
      </c>
      <c r="F22" s="277" t="s">
        <v>4706</v>
      </c>
      <c r="G22" s="277" t="s">
        <v>4697</v>
      </c>
      <c r="H22" s="277" t="s">
        <v>4707</v>
      </c>
      <c r="I22" s="277" t="s">
        <v>501</v>
      </c>
      <c r="J22" s="277" t="s">
        <v>4708</v>
      </c>
      <c r="K22" s="277" t="s">
        <v>523</v>
      </c>
      <c r="L22" s="277" t="s">
        <v>4714</v>
      </c>
      <c r="M22" s="277" t="s">
        <v>511</v>
      </c>
      <c r="N22" s="277" t="s">
        <v>4717</v>
      </c>
      <c r="O22" s="277">
        <v>522151</v>
      </c>
      <c r="P22" s="277" t="s">
        <v>4701</v>
      </c>
      <c r="Q22" s="278">
        <v>16200000</v>
      </c>
      <c r="R22" s="292">
        <f>SUM('PER BULAN'!G45:I45)</f>
        <v>0</v>
      </c>
      <c r="S22" s="292">
        <f>SUM('PER BULAN'!J45:L45)</f>
        <v>0</v>
      </c>
      <c r="T22" s="292">
        <f>SUM('PER BULAN'!M45:O45)</f>
        <v>0</v>
      </c>
      <c r="U22" s="292">
        <f>SUM('PER BULAN'!P45:R45)</f>
        <v>0</v>
      </c>
      <c r="V22" s="292">
        <f>SUM('PER BULAN'!S45:U45)</f>
        <v>6300000</v>
      </c>
      <c r="W22" s="292">
        <f>SUM('PER BULAN'!V45:X45)</f>
        <v>0</v>
      </c>
      <c r="X22" s="292">
        <f>SUM('PER BULAN'!Y45:AA45)</f>
        <v>0</v>
      </c>
      <c r="Y22" s="292">
        <f>SUM('PER BULAN'!AB45:AD45)</f>
        <v>0</v>
      </c>
      <c r="Z22" s="292">
        <f>SUM('PER BULAN'!AE45:AG45)</f>
        <v>0</v>
      </c>
      <c r="AA22" s="292">
        <f>SUM('PER BULAN'!AH45:AJ45)</f>
        <v>0</v>
      </c>
      <c r="AB22" s="292">
        <f>SUM('PER BULAN'!AK45:AM45)</f>
        <v>0</v>
      </c>
      <c r="AC22" s="292">
        <f>SUM('PER BULAN'!AN45:AP45)</f>
        <v>0</v>
      </c>
      <c r="AD22" s="277" t="s">
        <v>530</v>
      </c>
      <c r="AE22" s="277" t="s">
        <v>535</v>
      </c>
      <c r="AF22" s="277" t="s">
        <v>536</v>
      </c>
      <c r="AG22" s="277" t="s">
        <v>4699</v>
      </c>
      <c r="AH22" s="277" t="s">
        <v>4700</v>
      </c>
      <c r="AI22" s="277">
        <f t="shared" si="0"/>
        <v>6300000</v>
      </c>
      <c r="AJ22" s="291">
        <f t="shared" si="1"/>
        <v>38.888888888888893</v>
      </c>
      <c r="AK22" s="277">
        <f t="shared" si="2"/>
        <v>9900000</v>
      </c>
      <c r="AL22" s="291">
        <f t="shared" si="3"/>
        <v>61.111111111111114</v>
      </c>
      <c r="AM22" s="277" t="s">
        <v>478</v>
      </c>
      <c r="AN22" s="277" t="s">
        <v>4730</v>
      </c>
      <c r="AO22" s="277" t="s">
        <v>4735</v>
      </c>
      <c r="AP22" s="277" t="s">
        <v>4732</v>
      </c>
      <c r="AQ22" s="292">
        <f>SUM('PER BULAN'!AX45)</f>
        <v>0</v>
      </c>
      <c r="AR22" s="292">
        <f>SUM('PER BULAN'!AY45)</f>
        <v>0</v>
      </c>
      <c r="AS22" s="292">
        <f>SUM('PER BULAN'!AZ45)</f>
        <v>0</v>
      </c>
      <c r="AT22" s="292">
        <f>SUM('PER BULAN'!BA45)</f>
        <v>0</v>
      </c>
      <c r="AU22" s="292">
        <f>SUM('PER BULAN'!BB45)</f>
        <v>0</v>
      </c>
      <c r="AV22" s="292">
        <f>SUM('PER BULAN'!BC45)</f>
        <v>0</v>
      </c>
      <c r="AW22" s="292">
        <f>SUM('PER BULAN'!BD45)</f>
        <v>6300000</v>
      </c>
      <c r="AX22" s="292">
        <f>SUM('PER BULAN'!BE45)</f>
        <v>0</v>
      </c>
    </row>
    <row r="23" spans="1:50" s="278" customFormat="1" x14ac:dyDescent="0.3">
      <c r="A23" s="277" t="s">
        <v>4693</v>
      </c>
      <c r="B23" s="277" t="s">
        <v>4694</v>
      </c>
      <c r="C23" s="277" t="s">
        <v>4695</v>
      </c>
      <c r="D23" s="277" t="s">
        <v>4696</v>
      </c>
      <c r="E23" s="277" t="s">
        <v>196</v>
      </c>
      <c r="F23" s="277" t="s">
        <v>4706</v>
      </c>
      <c r="G23" s="277" t="s">
        <v>4697</v>
      </c>
      <c r="H23" s="277" t="s">
        <v>4707</v>
      </c>
      <c r="I23" s="277" t="s">
        <v>501</v>
      </c>
      <c r="J23" s="277" t="s">
        <v>4708</v>
      </c>
      <c r="K23" s="277" t="s">
        <v>523</v>
      </c>
      <c r="L23" s="277" t="s">
        <v>4714</v>
      </c>
      <c r="M23" s="277" t="s">
        <v>511</v>
      </c>
      <c r="N23" s="277" t="s">
        <v>4717</v>
      </c>
      <c r="O23" s="277" t="s">
        <v>518</v>
      </c>
      <c r="P23" s="277" t="s">
        <v>4703</v>
      </c>
      <c r="Q23" s="278">
        <v>2000000</v>
      </c>
      <c r="R23" s="292">
        <f>SUM('PER BULAN'!G46:I46)</f>
        <v>0</v>
      </c>
      <c r="S23" s="292">
        <f>SUM('PER BULAN'!J46:L46)</f>
        <v>0</v>
      </c>
      <c r="T23" s="292">
        <f>SUM('PER BULAN'!M46:O46)</f>
        <v>365000</v>
      </c>
      <c r="U23" s="292">
        <f>SUM('PER BULAN'!P46:R46)</f>
        <v>0</v>
      </c>
      <c r="V23" s="292">
        <f>SUM('PER BULAN'!S46:U46)</f>
        <v>0</v>
      </c>
      <c r="W23" s="292">
        <f>SUM('PER BULAN'!V46:X46)</f>
        <v>0</v>
      </c>
      <c r="X23" s="292">
        <f>SUM('PER BULAN'!Y46:AA46)</f>
        <v>0</v>
      </c>
      <c r="Y23" s="292">
        <f>SUM('PER BULAN'!AB46:AD46)</f>
        <v>0</v>
      </c>
      <c r="Z23" s="292">
        <f>SUM('PER BULAN'!AE46:AG46)</f>
        <v>0</v>
      </c>
      <c r="AA23" s="292">
        <f>SUM('PER BULAN'!AH46:AJ46)</f>
        <v>0</v>
      </c>
      <c r="AB23" s="292">
        <f>SUM('PER BULAN'!AK46:AM46)</f>
        <v>0</v>
      </c>
      <c r="AC23" s="292">
        <f>SUM('PER BULAN'!AN46:AP46)</f>
        <v>0</v>
      </c>
      <c r="AD23" s="277" t="s">
        <v>530</v>
      </c>
      <c r="AE23" s="277" t="s">
        <v>535</v>
      </c>
      <c r="AF23" s="277" t="s">
        <v>536</v>
      </c>
      <c r="AG23" s="277" t="s">
        <v>4699</v>
      </c>
      <c r="AH23" s="277" t="s">
        <v>4700</v>
      </c>
      <c r="AI23" s="277">
        <f t="shared" si="0"/>
        <v>365000</v>
      </c>
      <c r="AJ23" s="291">
        <f t="shared" si="1"/>
        <v>18.25</v>
      </c>
      <c r="AK23" s="277">
        <f t="shared" si="2"/>
        <v>1635000</v>
      </c>
      <c r="AL23" s="291">
        <f t="shared" si="3"/>
        <v>81.75</v>
      </c>
      <c r="AM23" s="277" t="s">
        <v>480</v>
      </c>
      <c r="AN23" s="277" t="s">
        <v>4734</v>
      </c>
      <c r="AO23" s="277" t="s">
        <v>4735</v>
      </c>
      <c r="AP23" s="277" t="s">
        <v>4732</v>
      </c>
      <c r="AQ23" s="292">
        <f>SUM('PER BULAN'!AX46)</f>
        <v>0</v>
      </c>
      <c r="AR23" s="292">
        <f>SUM('PER BULAN'!AY46)</f>
        <v>365000</v>
      </c>
      <c r="AS23" s="292">
        <f>SUM('PER BULAN'!AZ46)</f>
        <v>0</v>
      </c>
      <c r="AT23" s="292">
        <f>SUM('PER BULAN'!BA46)</f>
        <v>0</v>
      </c>
      <c r="AU23" s="292">
        <f>SUM('PER BULAN'!BB46)</f>
        <v>0</v>
      </c>
      <c r="AV23" s="292">
        <f>SUM('PER BULAN'!BC46)</f>
        <v>0</v>
      </c>
      <c r="AW23" s="292">
        <f>SUM('PER BULAN'!BD46)</f>
        <v>0</v>
      </c>
      <c r="AX23" s="292">
        <f>SUM('PER BULAN'!BE46)</f>
        <v>0</v>
      </c>
    </row>
    <row r="24" spans="1:50" s="278" customFormat="1" x14ac:dyDescent="0.3">
      <c r="A24" s="277" t="s">
        <v>4693</v>
      </c>
      <c r="B24" s="277" t="s">
        <v>4694</v>
      </c>
      <c r="C24" s="277" t="s">
        <v>4695</v>
      </c>
      <c r="D24" s="277" t="s">
        <v>4696</v>
      </c>
      <c r="E24" s="277" t="s">
        <v>196</v>
      </c>
      <c r="F24" s="277" t="s">
        <v>4706</v>
      </c>
      <c r="G24" s="277" t="s">
        <v>4697</v>
      </c>
      <c r="H24" s="277" t="s">
        <v>4707</v>
      </c>
      <c r="I24" s="277" t="s">
        <v>501</v>
      </c>
      <c r="J24" s="277" t="s">
        <v>4708</v>
      </c>
      <c r="K24" s="277" t="s">
        <v>523</v>
      </c>
      <c r="L24" s="277" t="s">
        <v>4714</v>
      </c>
      <c r="M24" s="277" t="s">
        <v>511</v>
      </c>
      <c r="N24" s="277" t="s">
        <v>4717</v>
      </c>
      <c r="O24" s="277" t="s">
        <v>513</v>
      </c>
      <c r="P24" s="277" t="s">
        <v>4702</v>
      </c>
      <c r="Q24" s="278">
        <v>138160000</v>
      </c>
      <c r="R24" s="292">
        <f>SUM('PER BULAN'!G47:I47)</f>
        <v>0</v>
      </c>
      <c r="S24" s="292">
        <f>SUM('PER BULAN'!J47:L47)</f>
        <v>0</v>
      </c>
      <c r="T24" s="292">
        <f>SUM('PER BULAN'!M47:O47)</f>
        <v>18378000</v>
      </c>
      <c r="U24" s="292">
        <f>SUM('PER BULAN'!P47:R47)</f>
        <v>0</v>
      </c>
      <c r="V24" s="292">
        <f>SUM('PER BULAN'!S47:U47)</f>
        <v>36948850</v>
      </c>
      <c r="W24" s="292">
        <f>SUM('PER BULAN'!V47:X47)</f>
        <v>76109840</v>
      </c>
      <c r="X24" s="292">
        <f>SUM('PER BULAN'!Y47:AA47)</f>
        <v>0</v>
      </c>
      <c r="Y24" s="292">
        <f>SUM('PER BULAN'!AB47:AD47)</f>
        <v>0</v>
      </c>
      <c r="Z24" s="292">
        <f>SUM('PER BULAN'!AE47:AG47)</f>
        <v>0</v>
      </c>
      <c r="AA24" s="292">
        <f>SUM('PER BULAN'!AH47:AJ47)</f>
        <v>0</v>
      </c>
      <c r="AB24" s="292">
        <f>SUM('PER BULAN'!AK47:AM47)</f>
        <v>0</v>
      </c>
      <c r="AC24" s="292">
        <f>SUM('PER BULAN'!AN47:AP47)</f>
        <v>0</v>
      </c>
      <c r="AD24" s="277" t="s">
        <v>530</v>
      </c>
      <c r="AE24" s="277" t="s">
        <v>535</v>
      </c>
      <c r="AF24" s="277" t="s">
        <v>536</v>
      </c>
      <c r="AG24" s="277" t="s">
        <v>4699</v>
      </c>
      <c r="AH24" s="277" t="s">
        <v>4700</v>
      </c>
      <c r="AI24" s="277">
        <f t="shared" si="0"/>
        <v>131436690</v>
      </c>
      <c r="AJ24" s="291">
        <f t="shared" si="1"/>
        <v>95.133678343949043</v>
      </c>
      <c r="AK24" s="277">
        <f t="shared" si="2"/>
        <v>6723310</v>
      </c>
      <c r="AL24" s="291">
        <f t="shared" si="3"/>
        <v>4.866321656050955</v>
      </c>
      <c r="AM24" s="277" t="s">
        <v>482</v>
      </c>
      <c r="AN24" s="277" t="s">
        <v>4730</v>
      </c>
      <c r="AO24" s="277" t="s">
        <v>4736</v>
      </c>
      <c r="AP24" s="277" t="s">
        <v>4732</v>
      </c>
      <c r="AQ24" s="292">
        <f>SUM('PER BULAN'!AX47)</f>
        <v>0</v>
      </c>
      <c r="AR24" s="292">
        <f>SUM('PER BULAN'!AY47)</f>
        <v>18378000</v>
      </c>
      <c r="AS24" s="292">
        <f>SUM('PER BULAN'!AZ47)</f>
        <v>0</v>
      </c>
      <c r="AT24" s="292">
        <f>SUM('PER BULAN'!BA47)</f>
        <v>0</v>
      </c>
      <c r="AU24" s="292">
        <f>SUM('PER BULAN'!BB47)</f>
        <v>0</v>
      </c>
      <c r="AV24" s="292">
        <f>SUM('PER BULAN'!BC47)</f>
        <v>0</v>
      </c>
      <c r="AW24" s="292">
        <f>SUM('PER BULAN'!BD47)</f>
        <v>36948850</v>
      </c>
      <c r="AX24" s="292">
        <f>SUM('PER BULAN'!BE47)</f>
        <v>0</v>
      </c>
    </row>
    <row r="25" spans="1:50" s="278" customFormat="1" x14ac:dyDescent="0.3">
      <c r="A25" s="277" t="s">
        <v>4693</v>
      </c>
      <c r="B25" s="277" t="s">
        <v>4694</v>
      </c>
      <c r="C25" s="277" t="s">
        <v>4695</v>
      </c>
      <c r="D25" s="277" t="s">
        <v>4696</v>
      </c>
      <c r="E25" s="277" t="s">
        <v>196</v>
      </c>
      <c r="F25" s="277" t="s">
        <v>4706</v>
      </c>
      <c r="G25" s="277" t="s">
        <v>4697</v>
      </c>
      <c r="H25" s="277" t="s">
        <v>4707</v>
      </c>
      <c r="I25" s="277" t="s">
        <v>501</v>
      </c>
      <c r="J25" s="277" t="s">
        <v>4708</v>
      </c>
      <c r="K25" s="277" t="s">
        <v>523</v>
      </c>
      <c r="L25" s="277" t="s">
        <v>4714</v>
      </c>
      <c r="M25" s="277" t="s">
        <v>512</v>
      </c>
      <c r="N25" s="277" t="s">
        <v>4742</v>
      </c>
      <c r="O25" s="277">
        <v>521211</v>
      </c>
      <c r="P25" s="277" t="s">
        <v>4698</v>
      </c>
      <c r="Q25" s="278">
        <v>20830000</v>
      </c>
      <c r="R25" s="292">
        <f>SUM('PER BULAN'!G49:I49)</f>
        <v>0</v>
      </c>
      <c r="S25" s="292">
        <f>SUM('PER BULAN'!J49:L49)</f>
        <v>0</v>
      </c>
      <c r="T25" s="292">
        <f>SUM('PER BULAN'!M49:O49)</f>
        <v>0</v>
      </c>
      <c r="U25" s="292">
        <f>SUM('PER BULAN'!P49:R49)</f>
        <v>0</v>
      </c>
      <c r="V25" s="292">
        <f>SUM('PER BULAN'!S49:U49)</f>
        <v>0</v>
      </c>
      <c r="W25" s="292">
        <f>SUM('PER BULAN'!V49:X49)</f>
        <v>0</v>
      </c>
      <c r="X25" s="292">
        <f>SUM('PER BULAN'!Y49:AA49)</f>
        <v>0</v>
      </c>
      <c r="Y25" s="292">
        <f>SUM('PER BULAN'!AB49:AD49)</f>
        <v>0</v>
      </c>
      <c r="Z25" s="292">
        <f>SUM('PER BULAN'!AE49:AG49)</f>
        <v>0</v>
      </c>
      <c r="AA25" s="292">
        <f>SUM('PER BULAN'!AH49:AJ49)</f>
        <v>0</v>
      </c>
      <c r="AB25" s="292">
        <f>SUM('PER BULAN'!AK49:AM49)</f>
        <v>0</v>
      </c>
      <c r="AC25" s="292">
        <f>SUM('PER BULAN'!AN49:AP49)</f>
        <v>0</v>
      </c>
      <c r="AD25" s="277" t="s">
        <v>530</v>
      </c>
      <c r="AE25" s="277" t="s">
        <v>535</v>
      </c>
      <c r="AF25" s="277" t="s">
        <v>536</v>
      </c>
      <c r="AG25" s="277" t="s">
        <v>4699</v>
      </c>
      <c r="AH25" s="277" t="s">
        <v>4700</v>
      </c>
      <c r="AI25" s="277">
        <f t="shared" si="0"/>
        <v>0</v>
      </c>
      <c r="AJ25" s="291">
        <f t="shared" si="1"/>
        <v>0</v>
      </c>
      <c r="AK25" s="277">
        <f t="shared" si="2"/>
        <v>20830000</v>
      </c>
      <c r="AL25" s="291">
        <f t="shared" si="3"/>
        <v>100</v>
      </c>
      <c r="AM25" s="277" t="s">
        <v>796</v>
      </c>
      <c r="AN25" s="277" t="s">
        <v>4730</v>
      </c>
      <c r="AO25" s="277" t="s">
        <v>4731</v>
      </c>
      <c r="AP25" s="277" t="s">
        <v>4732</v>
      </c>
      <c r="AQ25" s="292">
        <f>SUM('PER BULAN'!AX49)</f>
        <v>0</v>
      </c>
      <c r="AR25" s="292">
        <f>SUM('PER BULAN'!AY49)</f>
        <v>0</v>
      </c>
      <c r="AS25" s="292">
        <f>SUM('PER BULAN'!AZ49)</f>
        <v>0</v>
      </c>
      <c r="AT25" s="292">
        <f>SUM('PER BULAN'!BA49)</f>
        <v>0</v>
      </c>
      <c r="AU25" s="292">
        <f>SUM('PER BULAN'!BB49)</f>
        <v>0</v>
      </c>
      <c r="AV25" s="292">
        <f>SUM('PER BULAN'!BC49)</f>
        <v>0</v>
      </c>
      <c r="AW25" s="292">
        <f>SUM('PER BULAN'!BD49)</f>
        <v>0</v>
      </c>
      <c r="AX25" s="292">
        <f>SUM('PER BULAN'!BE49)</f>
        <v>0</v>
      </c>
    </row>
    <row r="26" spans="1:50" s="278" customFormat="1" x14ac:dyDescent="0.3">
      <c r="A26" s="277" t="s">
        <v>4693</v>
      </c>
      <c r="B26" s="277" t="s">
        <v>4694</v>
      </c>
      <c r="C26" s="277" t="s">
        <v>4695</v>
      </c>
      <c r="D26" s="277" t="s">
        <v>4696</v>
      </c>
      <c r="E26" s="277" t="s">
        <v>196</v>
      </c>
      <c r="F26" s="277" t="s">
        <v>4706</v>
      </c>
      <c r="G26" s="277" t="s">
        <v>4697</v>
      </c>
      <c r="H26" s="277" t="s">
        <v>4707</v>
      </c>
      <c r="I26" s="277" t="s">
        <v>501</v>
      </c>
      <c r="J26" s="277" t="s">
        <v>4708</v>
      </c>
      <c r="K26" s="277" t="s">
        <v>523</v>
      </c>
      <c r="L26" s="277" t="s">
        <v>4714</v>
      </c>
      <c r="M26" s="277" t="s">
        <v>512</v>
      </c>
      <c r="N26" s="277" t="s">
        <v>4742</v>
      </c>
      <c r="O26" s="277">
        <v>521219</v>
      </c>
      <c r="P26" s="277" t="s">
        <v>4711</v>
      </c>
      <c r="Q26" s="278">
        <v>500000</v>
      </c>
      <c r="R26" s="292">
        <f>SUM('PER BULAN'!G50:I50)</f>
        <v>0</v>
      </c>
      <c r="S26" s="292">
        <f>SUM('PER BULAN'!J50:L50)</f>
        <v>0</v>
      </c>
      <c r="T26" s="292">
        <f>SUM('PER BULAN'!M50:O50)</f>
        <v>0</v>
      </c>
      <c r="U26" s="292">
        <f>SUM('PER BULAN'!P50:R50)</f>
        <v>0</v>
      </c>
      <c r="V26" s="292">
        <f>SUM('PER BULAN'!S50:U50)</f>
        <v>0</v>
      </c>
      <c r="W26" s="292">
        <f>SUM('PER BULAN'!V50:X50)</f>
        <v>0</v>
      </c>
      <c r="X26" s="292">
        <f>SUM('PER BULAN'!Y50:AA50)</f>
        <v>0</v>
      </c>
      <c r="Y26" s="292">
        <f>SUM('PER BULAN'!AB50:AD50)</f>
        <v>0</v>
      </c>
      <c r="Z26" s="292">
        <f>SUM('PER BULAN'!AE50:AG50)</f>
        <v>0</v>
      </c>
      <c r="AA26" s="292">
        <f>SUM('PER BULAN'!AH50:AJ50)</f>
        <v>0</v>
      </c>
      <c r="AB26" s="292">
        <f>SUM('PER BULAN'!AK50:AM50)</f>
        <v>0</v>
      </c>
      <c r="AC26" s="292">
        <f>SUM('PER BULAN'!AN50:AP50)</f>
        <v>0</v>
      </c>
      <c r="AD26" s="277" t="s">
        <v>530</v>
      </c>
      <c r="AE26" s="277" t="s">
        <v>535</v>
      </c>
      <c r="AF26" s="277" t="s">
        <v>536</v>
      </c>
      <c r="AG26" s="277" t="s">
        <v>4699</v>
      </c>
      <c r="AH26" s="277" t="s">
        <v>4700</v>
      </c>
      <c r="AI26" s="277">
        <f t="shared" si="0"/>
        <v>0</v>
      </c>
      <c r="AJ26" s="291">
        <f t="shared" si="1"/>
        <v>0</v>
      </c>
      <c r="AK26" s="277">
        <f t="shared" si="2"/>
        <v>500000</v>
      </c>
      <c r="AL26" s="291">
        <f t="shared" si="3"/>
        <v>100</v>
      </c>
      <c r="AM26" s="277" t="s">
        <v>801</v>
      </c>
      <c r="AN26" s="277" t="s">
        <v>4730</v>
      </c>
      <c r="AO26" s="277" t="s">
        <v>4733</v>
      </c>
      <c r="AP26" s="277" t="s">
        <v>4732</v>
      </c>
      <c r="AQ26" s="292">
        <f>SUM('PER BULAN'!AX50)</f>
        <v>0</v>
      </c>
      <c r="AR26" s="292">
        <f>SUM('PER BULAN'!AY50)</f>
        <v>0</v>
      </c>
      <c r="AS26" s="292">
        <f>SUM('PER BULAN'!AZ50)</f>
        <v>0</v>
      </c>
      <c r="AT26" s="292">
        <f>SUM('PER BULAN'!BA50)</f>
        <v>0</v>
      </c>
      <c r="AU26" s="292">
        <f>SUM('PER BULAN'!BB50)</f>
        <v>0</v>
      </c>
      <c r="AV26" s="292">
        <f>SUM('PER BULAN'!BC50)</f>
        <v>0</v>
      </c>
      <c r="AW26" s="292">
        <f>SUM('PER BULAN'!BD50)</f>
        <v>0</v>
      </c>
      <c r="AX26" s="292">
        <f>SUM('PER BULAN'!BE50)</f>
        <v>0</v>
      </c>
    </row>
    <row r="27" spans="1:50" s="278" customFormat="1" x14ac:dyDescent="0.3">
      <c r="A27" s="277" t="s">
        <v>4693</v>
      </c>
      <c r="B27" s="277" t="s">
        <v>4694</v>
      </c>
      <c r="C27" s="277" t="s">
        <v>4695</v>
      </c>
      <c r="D27" s="277" t="s">
        <v>4696</v>
      </c>
      <c r="E27" s="277" t="s">
        <v>196</v>
      </c>
      <c r="F27" s="277" t="s">
        <v>4706</v>
      </c>
      <c r="G27" s="277" t="s">
        <v>4697</v>
      </c>
      <c r="H27" s="277" t="s">
        <v>4707</v>
      </c>
      <c r="I27" s="277" t="s">
        <v>501</v>
      </c>
      <c r="J27" s="277" t="s">
        <v>4708</v>
      </c>
      <c r="K27" s="277" t="s">
        <v>523</v>
      </c>
      <c r="L27" s="277" t="s">
        <v>4714</v>
      </c>
      <c r="M27" s="277" t="s">
        <v>512</v>
      </c>
      <c r="N27" s="277" t="s">
        <v>4742</v>
      </c>
      <c r="O27" s="277">
        <v>522151</v>
      </c>
      <c r="P27" s="277" t="s">
        <v>4701</v>
      </c>
      <c r="Q27" s="278">
        <v>7200000</v>
      </c>
      <c r="R27" s="292">
        <f>SUM('PER BULAN'!G51:I51)</f>
        <v>0</v>
      </c>
      <c r="S27" s="292">
        <f>SUM('PER BULAN'!J51:L51)</f>
        <v>0</v>
      </c>
      <c r="T27" s="292">
        <f>SUM('PER BULAN'!M51:O51)</f>
        <v>0</v>
      </c>
      <c r="U27" s="292">
        <f>SUM('PER BULAN'!P51:R51)</f>
        <v>0</v>
      </c>
      <c r="V27" s="292">
        <f>SUM('PER BULAN'!S51:U51)</f>
        <v>0</v>
      </c>
      <c r="W27" s="292">
        <f>SUM('PER BULAN'!V51:X51)</f>
        <v>0</v>
      </c>
      <c r="X27" s="292">
        <f>SUM('PER BULAN'!Y51:AA51)</f>
        <v>0</v>
      </c>
      <c r="Y27" s="292">
        <f>SUM('PER BULAN'!AB51:AD51)</f>
        <v>0</v>
      </c>
      <c r="Z27" s="292">
        <f>SUM('PER BULAN'!AE51:AG51)</f>
        <v>0</v>
      </c>
      <c r="AA27" s="292">
        <f>SUM('PER BULAN'!AH51:AJ51)</f>
        <v>0</v>
      </c>
      <c r="AB27" s="292">
        <f>SUM('PER BULAN'!AK51:AM51)</f>
        <v>0</v>
      </c>
      <c r="AC27" s="292">
        <f>SUM('PER BULAN'!AN51:AP51)</f>
        <v>0</v>
      </c>
      <c r="AD27" s="277" t="s">
        <v>530</v>
      </c>
      <c r="AE27" s="277" t="s">
        <v>535</v>
      </c>
      <c r="AF27" s="277" t="s">
        <v>536</v>
      </c>
      <c r="AG27" s="277" t="s">
        <v>4699</v>
      </c>
      <c r="AH27" s="277" t="s">
        <v>4700</v>
      </c>
      <c r="AI27" s="277">
        <f t="shared" si="0"/>
        <v>0</v>
      </c>
      <c r="AJ27" s="291">
        <f t="shared" si="1"/>
        <v>0</v>
      </c>
      <c r="AK27" s="277">
        <f t="shared" si="2"/>
        <v>7200000</v>
      </c>
      <c r="AL27" s="291">
        <f t="shared" si="3"/>
        <v>100</v>
      </c>
      <c r="AM27" s="277" t="s">
        <v>803</v>
      </c>
      <c r="AN27" s="277" t="s">
        <v>4730</v>
      </c>
      <c r="AO27" s="277" t="s">
        <v>4735</v>
      </c>
      <c r="AP27" s="277" t="s">
        <v>4732</v>
      </c>
      <c r="AQ27" s="292">
        <f>SUM('PER BULAN'!AX51)</f>
        <v>0</v>
      </c>
      <c r="AR27" s="292">
        <f>SUM('PER BULAN'!AY51)</f>
        <v>0</v>
      </c>
      <c r="AS27" s="292">
        <f>SUM('PER BULAN'!AZ51)</f>
        <v>0</v>
      </c>
      <c r="AT27" s="292">
        <f>SUM('PER BULAN'!BA51)</f>
        <v>0</v>
      </c>
      <c r="AU27" s="292">
        <f>SUM('PER BULAN'!BB51)</f>
        <v>0</v>
      </c>
      <c r="AV27" s="292">
        <f>SUM('PER BULAN'!BC51)</f>
        <v>0</v>
      </c>
      <c r="AW27" s="292">
        <f>SUM('PER BULAN'!BD51)</f>
        <v>0</v>
      </c>
      <c r="AX27" s="292">
        <f>SUM('PER BULAN'!BE51)</f>
        <v>0</v>
      </c>
    </row>
    <row r="28" spans="1:50" s="278" customFormat="1" x14ac:dyDescent="0.3">
      <c r="A28" s="277" t="s">
        <v>4693</v>
      </c>
      <c r="B28" s="277" t="s">
        <v>4694</v>
      </c>
      <c r="C28" s="277" t="s">
        <v>4695</v>
      </c>
      <c r="D28" s="277" t="s">
        <v>4696</v>
      </c>
      <c r="E28" s="277" t="s">
        <v>196</v>
      </c>
      <c r="F28" s="277" t="s">
        <v>4706</v>
      </c>
      <c r="G28" s="277" t="s">
        <v>4697</v>
      </c>
      <c r="H28" s="277" t="s">
        <v>4707</v>
      </c>
      <c r="I28" s="277" t="s">
        <v>501</v>
      </c>
      <c r="J28" s="277" t="s">
        <v>4708</v>
      </c>
      <c r="K28" s="277" t="s">
        <v>523</v>
      </c>
      <c r="L28" s="277" t="s">
        <v>4714</v>
      </c>
      <c r="M28" s="277" t="s">
        <v>512</v>
      </c>
      <c r="N28" s="277" t="s">
        <v>4742</v>
      </c>
      <c r="O28" s="277" t="s">
        <v>513</v>
      </c>
      <c r="P28" s="277" t="s">
        <v>4702</v>
      </c>
      <c r="Q28" s="278">
        <v>23030000</v>
      </c>
      <c r="R28" s="292">
        <f>SUM('PER BULAN'!G52:I52)</f>
        <v>0</v>
      </c>
      <c r="S28" s="292">
        <f>SUM('PER BULAN'!J52:L52)</f>
        <v>0</v>
      </c>
      <c r="T28" s="292">
        <f>SUM('PER BULAN'!M52:O52)</f>
        <v>0</v>
      </c>
      <c r="U28" s="292">
        <f>SUM('PER BULAN'!P52:R52)</f>
        <v>0</v>
      </c>
      <c r="V28" s="292">
        <f>SUM('PER BULAN'!S52:U52)</f>
        <v>0</v>
      </c>
      <c r="W28" s="292">
        <f>SUM('PER BULAN'!V52:X52)</f>
        <v>0</v>
      </c>
      <c r="X28" s="292">
        <f>SUM('PER BULAN'!Y52:AA52)</f>
        <v>0</v>
      </c>
      <c r="Y28" s="292">
        <f>SUM('PER BULAN'!AB52:AD52)</f>
        <v>0</v>
      </c>
      <c r="Z28" s="292">
        <f>SUM('PER BULAN'!AE52:AG52)</f>
        <v>0</v>
      </c>
      <c r="AA28" s="292">
        <f>SUM('PER BULAN'!AH52:AJ52)</f>
        <v>0</v>
      </c>
      <c r="AB28" s="292">
        <f>SUM('PER BULAN'!AK52:AM52)</f>
        <v>0</v>
      </c>
      <c r="AC28" s="292">
        <f>SUM('PER BULAN'!AN52:AP52)</f>
        <v>0</v>
      </c>
      <c r="AD28" s="277" t="s">
        <v>530</v>
      </c>
      <c r="AE28" s="277" t="s">
        <v>535</v>
      </c>
      <c r="AF28" s="277" t="s">
        <v>536</v>
      </c>
      <c r="AG28" s="277" t="s">
        <v>4699</v>
      </c>
      <c r="AH28" s="277" t="s">
        <v>4700</v>
      </c>
      <c r="AI28" s="277">
        <f t="shared" si="0"/>
        <v>0</v>
      </c>
      <c r="AJ28" s="291">
        <f t="shared" si="1"/>
        <v>0</v>
      </c>
      <c r="AK28" s="277">
        <f t="shared" si="2"/>
        <v>23030000</v>
      </c>
      <c r="AL28" s="291">
        <f t="shared" si="3"/>
        <v>100</v>
      </c>
      <c r="AM28" s="277" t="s">
        <v>805</v>
      </c>
      <c r="AN28" s="277" t="s">
        <v>4730</v>
      </c>
      <c r="AO28" s="277" t="s">
        <v>4736</v>
      </c>
      <c r="AP28" s="277" t="s">
        <v>4732</v>
      </c>
      <c r="AQ28" s="292">
        <f>SUM('PER BULAN'!AX52)</f>
        <v>0</v>
      </c>
      <c r="AR28" s="292">
        <f>SUM('PER BULAN'!AY52)</f>
        <v>0</v>
      </c>
      <c r="AS28" s="292">
        <f>SUM('PER BULAN'!AZ52)</f>
        <v>0</v>
      </c>
      <c r="AT28" s="292">
        <f>SUM('PER BULAN'!BA52)</f>
        <v>0</v>
      </c>
      <c r="AU28" s="292">
        <f>SUM('PER BULAN'!BB52)</f>
        <v>0</v>
      </c>
      <c r="AV28" s="292">
        <f>SUM('PER BULAN'!BC52)</f>
        <v>0</v>
      </c>
      <c r="AW28" s="292">
        <f>SUM('PER BULAN'!BD52)</f>
        <v>0</v>
      </c>
      <c r="AX28" s="292">
        <f>SUM('PER BULAN'!BE52)</f>
        <v>0</v>
      </c>
    </row>
    <row r="29" spans="1:50" s="278" customFormat="1" x14ac:dyDescent="0.3">
      <c r="A29" s="277" t="s">
        <v>4693</v>
      </c>
      <c r="B29" s="277" t="s">
        <v>4694</v>
      </c>
      <c r="C29" s="277" t="s">
        <v>4695</v>
      </c>
      <c r="D29" s="277" t="s">
        <v>4696</v>
      </c>
      <c r="E29" s="277" t="s">
        <v>196</v>
      </c>
      <c r="F29" s="277" t="s">
        <v>4706</v>
      </c>
      <c r="G29" s="277" t="s">
        <v>4697</v>
      </c>
      <c r="H29" s="277" t="s">
        <v>4707</v>
      </c>
      <c r="I29" s="277" t="s">
        <v>501</v>
      </c>
      <c r="J29" s="277" t="s">
        <v>4708</v>
      </c>
      <c r="K29" s="277" t="s">
        <v>526</v>
      </c>
      <c r="L29" s="277" t="s">
        <v>4718</v>
      </c>
      <c r="M29" s="277" t="s">
        <v>8</v>
      </c>
      <c r="N29" s="277" t="s">
        <v>4719</v>
      </c>
      <c r="O29" s="277">
        <v>521211</v>
      </c>
      <c r="P29" s="277" t="s">
        <v>4698</v>
      </c>
      <c r="Q29" s="278">
        <v>13900000</v>
      </c>
      <c r="R29" s="292">
        <f>SUM('PER BULAN'!G55:I55)</f>
        <v>0</v>
      </c>
      <c r="S29" s="292">
        <f>SUM('PER BULAN'!J55:L55)</f>
        <v>0</v>
      </c>
      <c r="T29" s="292">
        <f>SUM('PER BULAN'!M55:O55)</f>
        <v>7990750</v>
      </c>
      <c r="U29" s="292">
        <f>SUM('PER BULAN'!P55:R55)</f>
        <v>0</v>
      </c>
      <c r="V29" s="292">
        <f>SUM('PER BULAN'!S55:U55)</f>
        <v>1500000</v>
      </c>
      <c r="W29" s="292">
        <f>SUM('PER BULAN'!V55:X55)</f>
        <v>0</v>
      </c>
      <c r="X29" s="292">
        <f>SUM('PER BULAN'!Y55:AA55)</f>
        <v>0</v>
      </c>
      <c r="Y29" s="292">
        <f>SUM('PER BULAN'!AB55:AD55)</f>
        <v>0</v>
      </c>
      <c r="Z29" s="292">
        <f>SUM('PER BULAN'!AE55:AG55)</f>
        <v>0</v>
      </c>
      <c r="AA29" s="292">
        <f>SUM('PER BULAN'!AH55:AJ55)</f>
        <v>0</v>
      </c>
      <c r="AB29" s="292">
        <f>SUM('PER BULAN'!AK55:AM55)</f>
        <v>0</v>
      </c>
      <c r="AC29" s="292">
        <f>SUM('PER BULAN'!AN55:AP55)</f>
        <v>0</v>
      </c>
      <c r="AD29" s="277" t="s">
        <v>530</v>
      </c>
      <c r="AE29" s="277" t="s">
        <v>535</v>
      </c>
      <c r="AF29" s="277" t="s">
        <v>538</v>
      </c>
      <c r="AG29" s="277" t="s">
        <v>4699</v>
      </c>
      <c r="AH29" s="277" t="s">
        <v>4700</v>
      </c>
      <c r="AI29" s="277">
        <f t="shared" si="0"/>
        <v>9490750</v>
      </c>
      <c r="AJ29" s="291">
        <f t="shared" si="1"/>
        <v>68.27877697841727</v>
      </c>
      <c r="AK29" s="277">
        <f t="shared" si="2"/>
        <v>4409250</v>
      </c>
      <c r="AL29" s="291">
        <f t="shared" si="3"/>
        <v>31.721223021582734</v>
      </c>
      <c r="AM29" s="277" t="s">
        <v>4823</v>
      </c>
      <c r="AN29" s="277" t="s">
        <v>4730</v>
      </c>
      <c r="AO29" s="277" t="s">
        <v>4731</v>
      </c>
      <c r="AP29" s="277" t="s">
        <v>4732</v>
      </c>
      <c r="AQ29" s="292">
        <f>SUM('PER BULAN'!AX55)</f>
        <v>0</v>
      </c>
      <c r="AR29" s="292">
        <f>SUM('PER BULAN'!AY55)</f>
        <v>5497250</v>
      </c>
      <c r="AS29" s="292">
        <f>SUM('PER BULAN'!AZ55)</f>
        <v>2493500</v>
      </c>
      <c r="AT29" s="292">
        <f>SUM('PER BULAN'!BA55)</f>
        <v>0</v>
      </c>
      <c r="AU29" s="292">
        <f>SUM('PER BULAN'!BB55)</f>
        <v>1500000</v>
      </c>
      <c r="AV29" s="292">
        <f>SUM('PER BULAN'!BC55)</f>
        <v>0</v>
      </c>
      <c r="AW29" s="292">
        <f>SUM('PER BULAN'!BD55)</f>
        <v>0</v>
      </c>
      <c r="AX29" s="292">
        <f>SUM('PER BULAN'!BE55)</f>
        <v>0</v>
      </c>
    </row>
    <row r="30" spans="1:50" s="278" customFormat="1" x14ac:dyDescent="0.3">
      <c r="A30" s="277" t="s">
        <v>4693</v>
      </c>
      <c r="B30" s="277" t="s">
        <v>4694</v>
      </c>
      <c r="C30" s="277" t="s">
        <v>4695</v>
      </c>
      <c r="D30" s="277" t="s">
        <v>4696</v>
      </c>
      <c r="E30" s="277" t="s">
        <v>196</v>
      </c>
      <c r="F30" s="277" t="s">
        <v>4706</v>
      </c>
      <c r="G30" s="277" t="s">
        <v>4697</v>
      </c>
      <c r="H30" s="277" t="s">
        <v>4707</v>
      </c>
      <c r="I30" s="277" t="s">
        <v>501</v>
      </c>
      <c r="J30" s="277" t="s">
        <v>4708</v>
      </c>
      <c r="K30" s="277" t="s">
        <v>526</v>
      </c>
      <c r="L30" s="277" t="s">
        <v>4718</v>
      </c>
      <c r="M30" s="277" t="s">
        <v>8</v>
      </c>
      <c r="N30" s="277" t="s">
        <v>4719</v>
      </c>
      <c r="O30" s="277">
        <v>521219</v>
      </c>
      <c r="P30" s="277" t="s">
        <v>4711</v>
      </c>
      <c r="Q30" s="278">
        <v>8784000</v>
      </c>
      <c r="R30" s="292">
        <f>SUM('PER BULAN'!G56:I56)</f>
        <v>0</v>
      </c>
      <c r="S30" s="292">
        <f>SUM('PER BULAN'!J56:L56)</f>
        <v>0</v>
      </c>
      <c r="T30" s="292">
        <f>SUM('PER BULAN'!M56:O56)</f>
        <v>0</v>
      </c>
      <c r="U30" s="292">
        <f>SUM('PER BULAN'!P56:R56)</f>
        <v>0</v>
      </c>
      <c r="V30" s="292">
        <f>SUM('PER BULAN'!S56:U56)</f>
        <v>0</v>
      </c>
      <c r="W30" s="292">
        <f>SUM('PER BULAN'!V56:X56)</f>
        <v>0</v>
      </c>
      <c r="X30" s="292">
        <f>SUM('PER BULAN'!Y56:AA56)</f>
        <v>0</v>
      </c>
      <c r="Y30" s="292">
        <f>SUM('PER BULAN'!AB56:AD56)</f>
        <v>0</v>
      </c>
      <c r="Z30" s="292">
        <f>SUM('PER BULAN'!AE56:AG56)</f>
        <v>0</v>
      </c>
      <c r="AA30" s="292">
        <f>SUM('PER BULAN'!AH56:AJ56)</f>
        <v>0</v>
      </c>
      <c r="AB30" s="292">
        <f>SUM('PER BULAN'!AK56:AM56)</f>
        <v>0</v>
      </c>
      <c r="AC30" s="292">
        <f>SUM('PER BULAN'!AN56:AP56)</f>
        <v>0</v>
      </c>
      <c r="AD30" s="277" t="s">
        <v>530</v>
      </c>
      <c r="AE30" s="277" t="s">
        <v>535</v>
      </c>
      <c r="AF30" s="277" t="s">
        <v>538</v>
      </c>
      <c r="AG30" s="277" t="s">
        <v>4699</v>
      </c>
      <c r="AH30" s="277" t="s">
        <v>4700</v>
      </c>
      <c r="AI30" s="277">
        <f t="shared" si="0"/>
        <v>0</v>
      </c>
      <c r="AJ30" s="291">
        <f t="shared" si="1"/>
        <v>0</v>
      </c>
      <c r="AK30" s="277">
        <f t="shared" si="2"/>
        <v>8784000</v>
      </c>
      <c r="AL30" s="291">
        <f t="shared" si="3"/>
        <v>100</v>
      </c>
      <c r="AM30" s="277" t="s">
        <v>4824</v>
      </c>
      <c r="AN30" s="277" t="s">
        <v>4730</v>
      </c>
      <c r="AO30" s="277" t="s">
        <v>4736</v>
      </c>
      <c r="AP30" s="277" t="s">
        <v>4732</v>
      </c>
      <c r="AQ30" s="292">
        <f>SUM('PER BULAN'!AX56)</f>
        <v>0</v>
      </c>
      <c r="AR30" s="292">
        <f>SUM('PER BULAN'!AY56)</f>
        <v>0</v>
      </c>
      <c r="AS30" s="292">
        <f>SUM('PER BULAN'!AZ56)</f>
        <v>0</v>
      </c>
      <c r="AT30" s="292">
        <f>SUM('PER BULAN'!BA56)</f>
        <v>0</v>
      </c>
      <c r="AU30" s="292">
        <f>SUM('PER BULAN'!BB56)</f>
        <v>0</v>
      </c>
      <c r="AV30" s="292">
        <f>SUM('PER BULAN'!BC56)</f>
        <v>0</v>
      </c>
      <c r="AW30" s="292">
        <f>SUM('PER BULAN'!BD56)</f>
        <v>0</v>
      </c>
      <c r="AX30" s="292">
        <f>SUM('PER BULAN'!BE56)</f>
        <v>0</v>
      </c>
    </row>
    <row r="31" spans="1:50" s="278" customFormat="1" x14ac:dyDescent="0.3">
      <c r="A31" s="277" t="s">
        <v>4693</v>
      </c>
      <c r="B31" s="277" t="s">
        <v>4694</v>
      </c>
      <c r="C31" s="277" t="s">
        <v>4695</v>
      </c>
      <c r="D31" s="277" t="s">
        <v>4696</v>
      </c>
      <c r="E31" s="277" t="s">
        <v>196</v>
      </c>
      <c r="F31" s="277" t="s">
        <v>4706</v>
      </c>
      <c r="G31" s="277" t="s">
        <v>4697</v>
      </c>
      <c r="H31" s="277" t="s">
        <v>4707</v>
      </c>
      <c r="I31" s="277" t="s">
        <v>501</v>
      </c>
      <c r="J31" s="277" t="s">
        <v>4708</v>
      </c>
      <c r="K31" s="277" t="s">
        <v>526</v>
      </c>
      <c r="L31" s="277" t="s">
        <v>4718</v>
      </c>
      <c r="M31" s="277" t="s">
        <v>8</v>
      </c>
      <c r="N31" s="277" t="s">
        <v>4719</v>
      </c>
      <c r="O31" s="277">
        <v>522151</v>
      </c>
      <c r="P31" s="277" t="s">
        <v>4701</v>
      </c>
      <c r="Q31" s="278">
        <v>10000000</v>
      </c>
      <c r="R31" s="292">
        <f>SUM('PER BULAN'!G57:I57)</f>
        <v>0</v>
      </c>
      <c r="S31" s="292">
        <f>SUM('PER BULAN'!J57:L57)</f>
        <v>0</v>
      </c>
      <c r="T31" s="292">
        <f>SUM('PER BULAN'!M57:O57)</f>
        <v>0</v>
      </c>
      <c r="U31" s="292">
        <f>SUM('PER BULAN'!P57:R57)</f>
        <v>7200000</v>
      </c>
      <c r="V31" s="292">
        <f>SUM('PER BULAN'!S57:U57)</f>
        <v>0</v>
      </c>
      <c r="W31" s="292">
        <f>SUM('PER BULAN'!V57:X57)</f>
        <v>0</v>
      </c>
      <c r="X31" s="292">
        <f>SUM('PER BULAN'!Y57:AA57)</f>
        <v>0</v>
      </c>
      <c r="Y31" s="292">
        <f>SUM('PER BULAN'!AB57:AD57)</f>
        <v>0</v>
      </c>
      <c r="Z31" s="292">
        <f>SUM('PER BULAN'!AE57:AG57)</f>
        <v>0</v>
      </c>
      <c r="AA31" s="292">
        <f>SUM('PER BULAN'!AH57:AJ57)</f>
        <v>0</v>
      </c>
      <c r="AB31" s="292">
        <f>SUM('PER BULAN'!AK57:AM57)</f>
        <v>0</v>
      </c>
      <c r="AC31" s="292">
        <f>SUM('PER BULAN'!AN57:AP57)</f>
        <v>0</v>
      </c>
      <c r="AD31" s="277" t="s">
        <v>530</v>
      </c>
      <c r="AE31" s="277" t="s">
        <v>535</v>
      </c>
      <c r="AF31" s="277" t="s">
        <v>538</v>
      </c>
      <c r="AG31" s="277" t="s">
        <v>4699</v>
      </c>
      <c r="AH31" s="277" t="s">
        <v>4700</v>
      </c>
      <c r="AI31" s="277">
        <f t="shared" si="0"/>
        <v>7200000</v>
      </c>
      <c r="AJ31" s="291">
        <f t="shared" si="1"/>
        <v>72</v>
      </c>
      <c r="AK31" s="277">
        <f t="shared" si="2"/>
        <v>2800000</v>
      </c>
      <c r="AL31" s="291">
        <f t="shared" si="3"/>
        <v>28.000000000000004</v>
      </c>
      <c r="AM31" s="277" t="s">
        <v>5260</v>
      </c>
      <c r="AN31" s="277" t="s">
        <v>4730</v>
      </c>
      <c r="AO31" s="277" t="s">
        <v>4731</v>
      </c>
      <c r="AP31" s="277" t="s">
        <v>4732</v>
      </c>
      <c r="AQ31" s="292">
        <f>SUM('PER BULAN'!AX57)</f>
        <v>0</v>
      </c>
      <c r="AR31" s="292">
        <f>SUM('PER BULAN'!AY57)</f>
        <v>0</v>
      </c>
      <c r="AS31" s="292">
        <f>SUM('PER BULAN'!AZ57)</f>
        <v>0</v>
      </c>
      <c r="AT31" s="292">
        <f>SUM('PER BULAN'!BA57)</f>
        <v>0</v>
      </c>
      <c r="AU31" s="292">
        <f>SUM('PER BULAN'!BB57)</f>
        <v>0</v>
      </c>
      <c r="AV31" s="292">
        <f>SUM('PER BULAN'!BC57)</f>
        <v>0</v>
      </c>
      <c r="AW31" s="292">
        <f>SUM('PER BULAN'!BD57)</f>
        <v>0</v>
      </c>
      <c r="AX31" s="292">
        <f>SUM('PER BULAN'!BE57)</f>
        <v>0</v>
      </c>
    </row>
    <row r="32" spans="1:50" s="278" customFormat="1" x14ac:dyDescent="0.3">
      <c r="A32" s="277" t="s">
        <v>4693</v>
      </c>
      <c r="B32" s="277" t="s">
        <v>4694</v>
      </c>
      <c r="C32" s="277" t="s">
        <v>4695</v>
      </c>
      <c r="D32" s="277" t="s">
        <v>4696</v>
      </c>
      <c r="E32" s="277" t="s">
        <v>196</v>
      </c>
      <c r="F32" s="277" t="s">
        <v>4706</v>
      </c>
      <c r="G32" s="277" t="s">
        <v>4697</v>
      </c>
      <c r="H32" s="277" t="s">
        <v>4707</v>
      </c>
      <c r="I32" s="277" t="s">
        <v>501</v>
      </c>
      <c r="J32" s="277" t="s">
        <v>4708</v>
      </c>
      <c r="K32" s="277" t="s">
        <v>526</v>
      </c>
      <c r="L32" s="277" t="s">
        <v>4718</v>
      </c>
      <c r="M32" s="277" t="s">
        <v>8</v>
      </c>
      <c r="N32" s="277" t="s">
        <v>4719</v>
      </c>
      <c r="O32" s="277" t="s">
        <v>518</v>
      </c>
      <c r="P32" s="277" t="s">
        <v>4703</v>
      </c>
      <c r="Q32" s="278">
        <v>5000000</v>
      </c>
      <c r="R32" s="292">
        <f>SUM('PER BULAN'!G58:I58)</f>
        <v>0</v>
      </c>
      <c r="S32" s="292">
        <f>SUM('PER BULAN'!J58:L58)</f>
        <v>0</v>
      </c>
      <c r="T32" s="292">
        <f>SUM('PER BULAN'!M58:O58)</f>
        <v>0</v>
      </c>
      <c r="U32" s="292">
        <f>SUM('PER BULAN'!P58:R58)</f>
        <v>0</v>
      </c>
      <c r="V32" s="292">
        <f>SUM('PER BULAN'!S58:U58)</f>
        <v>0</v>
      </c>
      <c r="W32" s="292">
        <f>SUM('PER BULAN'!V58:X58)</f>
        <v>0</v>
      </c>
      <c r="X32" s="292">
        <f>SUM('PER BULAN'!Y58:AA58)</f>
        <v>0</v>
      </c>
      <c r="Y32" s="292">
        <f>SUM('PER BULAN'!AB58:AD58)</f>
        <v>0</v>
      </c>
      <c r="Z32" s="292">
        <f>SUM('PER BULAN'!AE58:AG58)</f>
        <v>0</v>
      </c>
      <c r="AA32" s="292">
        <f>SUM('PER BULAN'!AH58:AJ58)</f>
        <v>0</v>
      </c>
      <c r="AB32" s="292">
        <f>SUM('PER BULAN'!AK58:AM58)</f>
        <v>0</v>
      </c>
      <c r="AC32" s="292">
        <f>SUM('PER BULAN'!AN58:AP58)</f>
        <v>0</v>
      </c>
      <c r="AD32" s="277" t="s">
        <v>530</v>
      </c>
      <c r="AE32" s="277" t="s">
        <v>535</v>
      </c>
      <c r="AF32" s="277" t="s">
        <v>538</v>
      </c>
      <c r="AG32" s="277" t="s">
        <v>4699</v>
      </c>
      <c r="AH32" s="277" t="s">
        <v>4700</v>
      </c>
      <c r="AI32" s="277">
        <f t="shared" si="0"/>
        <v>0</v>
      </c>
      <c r="AJ32" s="291">
        <f t="shared" si="1"/>
        <v>0</v>
      </c>
      <c r="AK32" s="277">
        <f t="shared" si="2"/>
        <v>5000000</v>
      </c>
      <c r="AL32" s="291">
        <f t="shared" si="3"/>
        <v>100</v>
      </c>
      <c r="AM32" s="277" t="s">
        <v>4822</v>
      </c>
      <c r="AN32" s="277" t="s">
        <v>4734</v>
      </c>
      <c r="AO32" s="277" t="s">
        <v>4735</v>
      </c>
      <c r="AP32" s="277" t="s">
        <v>4732</v>
      </c>
      <c r="AQ32" s="292">
        <f>SUM('PER BULAN'!AX58)</f>
        <v>0</v>
      </c>
      <c r="AR32" s="292">
        <f>SUM('PER BULAN'!AY58)</f>
        <v>0</v>
      </c>
      <c r="AS32" s="292">
        <f>SUM('PER BULAN'!AZ58)</f>
        <v>0</v>
      </c>
      <c r="AT32" s="292">
        <f>SUM('PER BULAN'!BA58)</f>
        <v>0</v>
      </c>
      <c r="AU32" s="292">
        <f>SUM('PER BULAN'!BB58)</f>
        <v>0</v>
      </c>
      <c r="AV32" s="292">
        <f>SUM('PER BULAN'!BC58)</f>
        <v>0</v>
      </c>
      <c r="AW32" s="292">
        <f>SUM('PER BULAN'!BD58)</f>
        <v>0</v>
      </c>
      <c r="AX32" s="292">
        <f>SUM('PER BULAN'!BE58)</f>
        <v>0</v>
      </c>
    </row>
    <row r="33" spans="1:50" s="278" customFormat="1" x14ac:dyDescent="0.3">
      <c r="A33" s="277" t="s">
        <v>4693</v>
      </c>
      <c r="B33" s="277" t="s">
        <v>4694</v>
      </c>
      <c r="C33" s="277" t="s">
        <v>4695</v>
      </c>
      <c r="D33" s="277" t="s">
        <v>4696</v>
      </c>
      <c r="E33" s="277" t="s">
        <v>196</v>
      </c>
      <c r="F33" s="277" t="s">
        <v>4706</v>
      </c>
      <c r="G33" s="277" t="s">
        <v>4697</v>
      </c>
      <c r="H33" s="277" t="s">
        <v>4707</v>
      </c>
      <c r="I33" s="277" t="s">
        <v>501</v>
      </c>
      <c r="J33" s="277" t="s">
        <v>4708</v>
      </c>
      <c r="K33" s="277" t="s">
        <v>526</v>
      </c>
      <c r="L33" s="277" t="s">
        <v>4718</v>
      </c>
      <c r="M33" s="277" t="s">
        <v>8</v>
      </c>
      <c r="N33" s="277" t="s">
        <v>4719</v>
      </c>
      <c r="O33" s="277" t="s">
        <v>513</v>
      </c>
      <c r="P33" s="277" t="s">
        <v>4702</v>
      </c>
      <c r="Q33" s="278">
        <v>97416000</v>
      </c>
      <c r="R33" s="292">
        <f>SUM('PER BULAN'!G59:I59)</f>
        <v>0</v>
      </c>
      <c r="S33" s="292">
        <f>SUM('PER BULAN'!J59:L59)</f>
        <v>0</v>
      </c>
      <c r="T33" s="292">
        <f>SUM('PER BULAN'!M59:O59)</f>
        <v>28850000</v>
      </c>
      <c r="U33" s="292">
        <f>SUM('PER BULAN'!P59:R59)</f>
        <v>6320000</v>
      </c>
      <c r="V33" s="292">
        <f>SUM('PER BULAN'!S59:U59)</f>
        <v>0</v>
      </c>
      <c r="W33" s="292">
        <f>SUM('PER BULAN'!V59:X59)</f>
        <v>22748610</v>
      </c>
      <c r="X33" s="292">
        <f>SUM('PER BULAN'!Y59:AA59)</f>
        <v>0</v>
      </c>
      <c r="Y33" s="292">
        <f>SUM('PER BULAN'!AB59:AD59)</f>
        <v>0</v>
      </c>
      <c r="Z33" s="292">
        <f>SUM('PER BULAN'!AE59:AG59)</f>
        <v>0</v>
      </c>
      <c r="AA33" s="292">
        <f>SUM('PER BULAN'!AH59:AJ59)</f>
        <v>0</v>
      </c>
      <c r="AB33" s="292">
        <f>SUM('PER BULAN'!AK59:AM59)</f>
        <v>0</v>
      </c>
      <c r="AC33" s="292">
        <f>SUM('PER BULAN'!AN59:AP59)</f>
        <v>0</v>
      </c>
      <c r="AD33" s="277" t="s">
        <v>530</v>
      </c>
      <c r="AE33" s="277" t="s">
        <v>535</v>
      </c>
      <c r="AF33" s="277" t="s">
        <v>538</v>
      </c>
      <c r="AG33" s="277" t="s">
        <v>4699</v>
      </c>
      <c r="AH33" s="277" t="s">
        <v>4700</v>
      </c>
      <c r="AI33" s="277">
        <f t="shared" si="0"/>
        <v>57918610</v>
      </c>
      <c r="AJ33" s="291">
        <f t="shared" si="1"/>
        <v>59.454925268949651</v>
      </c>
      <c r="AK33" s="277">
        <f t="shared" si="2"/>
        <v>39497390</v>
      </c>
      <c r="AL33" s="291">
        <f t="shared" si="3"/>
        <v>40.545074731050342</v>
      </c>
      <c r="AM33" s="277" t="s">
        <v>4825</v>
      </c>
      <c r="AN33" s="277" t="s">
        <v>4730</v>
      </c>
      <c r="AO33" s="277" t="s">
        <v>4736</v>
      </c>
      <c r="AP33" s="277" t="s">
        <v>4732</v>
      </c>
      <c r="AQ33" s="292">
        <f>SUM('PER BULAN'!AX59)</f>
        <v>0</v>
      </c>
      <c r="AR33" s="292">
        <f>SUM('PER BULAN'!AY59)</f>
        <v>17010000</v>
      </c>
      <c r="AS33" s="292">
        <f>SUM('PER BULAN'!AZ59)</f>
        <v>11840000</v>
      </c>
      <c r="AT33" s="292">
        <f>SUM('PER BULAN'!BA59)</f>
        <v>0</v>
      </c>
      <c r="AU33" s="292">
        <f>SUM('PER BULAN'!BB59)</f>
        <v>0</v>
      </c>
      <c r="AV33" s="292">
        <f>SUM('PER BULAN'!BC59)</f>
        <v>0</v>
      </c>
      <c r="AW33" s="292">
        <f>SUM('PER BULAN'!BD59)</f>
        <v>0</v>
      </c>
      <c r="AX33" s="292">
        <f>SUM('PER BULAN'!BE59)</f>
        <v>0</v>
      </c>
    </row>
    <row r="34" spans="1:50" s="278" customFormat="1" x14ac:dyDescent="0.3">
      <c r="A34" s="277" t="s">
        <v>4693</v>
      </c>
      <c r="B34" s="277" t="s">
        <v>4694</v>
      </c>
      <c r="C34" s="277" t="s">
        <v>4720</v>
      </c>
      <c r="D34" s="277" t="s">
        <v>4721</v>
      </c>
      <c r="E34" s="277" t="s">
        <v>197</v>
      </c>
      <c r="F34" s="277" t="s">
        <v>4722</v>
      </c>
      <c r="G34" s="277" t="s">
        <v>4743</v>
      </c>
      <c r="H34" s="277" t="s">
        <v>4744</v>
      </c>
      <c r="I34" s="277" t="s">
        <v>501</v>
      </c>
      <c r="J34" s="277" t="s">
        <v>4745</v>
      </c>
      <c r="K34" s="277">
        <v>301</v>
      </c>
      <c r="L34" s="277" t="s">
        <v>4747</v>
      </c>
      <c r="M34" s="277" t="s">
        <v>8</v>
      </c>
      <c r="N34" s="277" t="s">
        <v>4746</v>
      </c>
      <c r="O34" s="277">
        <v>532111</v>
      </c>
      <c r="P34" s="277" t="s">
        <v>4705</v>
      </c>
      <c r="Q34" s="278">
        <v>115000000</v>
      </c>
      <c r="R34" s="292">
        <f>SUM('PER BULAN'!G66:I66)</f>
        <v>0</v>
      </c>
      <c r="S34" s="292">
        <f>SUM('PER BULAN'!J66:L66)</f>
        <v>0</v>
      </c>
      <c r="T34" s="292">
        <f>SUM('PER BULAN'!M66:O66)</f>
        <v>0</v>
      </c>
      <c r="U34" s="292">
        <f>SUM('PER BULAN'!P66:R66)</f>
        <v>0</v>
      </c>
      <c r="V34" s="292">
        <f>SUM('PER BULAN'!S66:U66)</f>
        <v>114200000</v>
      </c>
      <c r="W34" s="292">
        <f>SUM('PER BULAN'!V66:X66)</f>
        <v>0</v>
      </c>
      <c r="X34" s="292">
        <f>SUM('PER BULAN'!Y66:AA66)</f>
        <v>0</v>
      </c>
      <c r="Y34" s="292">
        <f>SUM('PER BULAN'!AB66:AD66)</f>
        <v>0</v>
      </c>
      <c r="Z34" s="292">
        <f>SUM('PER BULAN'!AE66:AG66)</f>
        <v>0</v>
      </c>
      <c r="AA34" s="292">
        <f>SUM('PER BULAN'!AH66:AJ66)</f>
        <v>0</v>
      </c>
      <c r="AB34" s="292">
        <f>SUM('PER BULAN'!AK66:AM66)</f>
        <v>0</v>
      </c>
      <c r="AC34" s="292">
        <f>SUM('PER BULAN'!AN66:AP66)</f>
        <v>0</v>
      </c>
      <c r="AD34" s="277" t="s">
        <v>530</v>
      </c>
      <c r="AE34" s="277" t="s">
        <v>576</v>
      </c>
      <c r="AF34" s="277" t="s">
        <v>560</v>
      </c>
      <c r="AG34" s="277">
        <v>53</v>
      </c>
      <c r="AH34" s="277" t="s">
        <v>4700</v>
      </c>
      <c r="AI34" s="277">
        <f t="shared" si="0"/>
        <v>114200000</v>
      </c>
      <c r="AJ34" s="291">
        <f t="shared" si="1"/>
        <v>99.304347826086953</v>
      </c>
      <c r="AK34" s="277">
        <f t="shared" si="2"/>
        <v>800000</v>
      </c>
      <c r="AL34" s="291">
        <f t="shared" si="3"/>
        <v>0.69565217391304346</v>
      </c>
      <c r="AM34" s="277" t="s">
        <v>837</v>
      </c>
      <c r="AN34" s="277" t="s">
        <v>4730</v>
      </c>
      <c r="AO34" s="277" t="s">
        <v>4814</v>
      </c>
      <c r="AP34" s="277" t="s">
        <v>4732</v>
      </c>
      <c r="AQ34" s="292">
        <f>SUM('PER BULAN'!AX66)</f>
        <v>0</v>
      </c>
      <c r="AR34" s="292">
        <f>SUM('PER BULAN'!AY66)</f>
        <v>0</v>
      </c>
      <c r="AS34" s="292">
        <f>SUM('PER BULAN'!AZ66)</f>
        <v>0</v>
      </c>
      <c r="AT34" s="292">
        <f>SUM('PER BULAN'!BA66)</f>
        <v>0</v>
      </c>
      <c r="AU34" s="292">
        <f>SUM('PER BULAN'!BB66)</f>
        <v>0</v>
      </c>
      <c r="AV34" s="292">
        <f>SUM('PER BULAN'!BC66)</f>
        <v>0</v>
      </c>
      <c r="AW34" s="292">
        <f>SUM('PER BULAN'!BD66)</f>
        <v>0</v>
      </c>
      <c r="AX34" s="292">
        <f>SUM('PER BULAN'!BE66)</f>
        <v>0</v>
      </c>
    </row>
    <row r="35" spans="1:50" s="278" customFormat="1" x14ac:dyDescent="0.3">
      <c r="A35" s="277" t="s">
        <v>4693</v>
      </c>
      <c r="B35" s="277" t="s">
        <v>4694</v>
      </c>
      <c r="C35" s="277" t="s">
        <v>4720</v>
      </c>
      <c r="D35" s="277" t="s">
        <v>4721</v>
      </c>
      <c r="E35" s="277" t="s">
        <v>197</v>
      </c>
      <c r="F35" s="277" t="s">
        <v>4722</v>
      </c>
      <c r="G35" s="277" t="s">
        <v>4748</v>
      </c>
      <c r="H35" s="277" t="s">
        <v>4749</v>
      </c>
      <c r="I35" s="277">
        <v>958</v>
      </c>
      <c r="J35" s="277" t="s">
        <v>4752</v>
      </c>
      <c r="K35" s="277">
        <v>311</v>
      </c>
      <c r="L35" s="277" t="s">
        <v>4751</v>
      </c>
      <c r="M35" s="277" t="s">
        <v>8</v>
      </c>
      <c r="N35" s="277" t="s">
        <v>4750</v>
      </c>
      <c r="O35" s="277">
        <v>521211</v>
      </c>
      <c r="P35" s="277" t="s">
        <v>4698</v>
      </c>
      <c r="Q35" s="278">
        <v>14400000</v>
      </c>
      <c r="R35" s="292">
        <f>SUM('PER BULAN'!G71:I71)</f>
        <v>0</v>
      </c>
      <c r="S35" s="292">
        <f>SUM('PER BULAN'!J71:L71)</f>
        <v>0</v>
      </c>
      <c r="T35" s="292">
        <f>SUM('PER BULAN'!M71:O71)</f>
        <v>2876000</v>
      </c>
      <c r="U35" s="292">
        <f>SUM('PER BULAN'!P71:R71)</f>
        <v>0</v>
      </c>
      <c r="V35" s="292">
        <f>SUM('PER BULAN'!S71:U71)</f>
        <v>3071500</v>
      </c>
      <c r="W35" s="292">
        <f>SUM('PER BULAN'!V71:X71)</f>
        <v>0</v>
      </c>
      <c r="X35" s="292">
        <f>SUM('PER BULAN'!Y71:AA71)</f>
        <v>0</v>
      </c>
      <c r="Y35" s="292">
        <f>SUM('PER BULAN'!AB71:AD71)</f>
        <v>0</v>
      </c>
      <c r="Z35" s="292">
        <f>SUM('PER BULAN'!AE71:AG71)</f>
        <v>0</v>
      </c>
      <c r="AA35" s="292">
        <f>SUM('PER BULAN'!AH71:AJ71)</f>
        <v>0</v>
      </c>
      <c r="AB35" s="292">
        <f>SUM('PER BULAN'!AK71:AM71)</f>
        <v>0</v>
      </c>
      <c r="AC35" s="292">
        <f>SUM('PER BULAN'!AN71:AP71)</f>
        <v>0</v>
      </c>
      <c r="AD35" s="277" t="s">
        <v>530</v>
      </c>
      <c r="AE35" s="277" t="s">
        <v>542</v>
      </c>
      <c r="AF35" s="277" t="s">
        <v>543</v>
      </c>
      <c r="AG35" s="277" t="s">
        <v>4699</v>
      </c>
      <c r="AH35" s="277" t="s">
        <v>4700</v>
      </c>
      <c r="AI35" s="277">
        <f t="shared" si="0"/>
        <v>5947500</v>
      </c>
      <c r="AJ35" s="291">
        <f t="shared" si="1"/>
        <v>41.302083333333336</v>
      </c>
      <c r="AK35" s="277">
        <f t="shared" si="2"/>
        <v>8452500</v>
      </c>
      <c r="AL35" s="291">
        <f t="shared" si="3"/>
        <v>58.697916666666671</v>
      </c>
      <c r="AM35" s="277" t="s">
        <v>1188</v>
      </c>
      <c r="AN35" s="277" t="s">
        <v>4730</v>
      </c>
      <c r="AO35" s="277" t="s">
        <v>4731</v>
      </c>
      <c r="AP35" s="277" t="s">
        <v>4732</v>
      </c>
      <c r="AQ35" s="292">
        <f>SUM('PER BULAN'!AX71)</f>
        <v>0</v>
      </c>
      <c r="AR35" s="292">
        <f>SUM('PER BULAN'!AY71)</f>
        <v>986000</v>
      </c>
      <c r="AS35" s="292">
        <f>SUM('PER BULAN'!AZ71)</f>
        <v>1890000</v>
      </c>
      <c r="AT35" s="292">
        <f>SUM('PER BULAN'!BA71)</f>
        <v>0</v>
      </c>
      <c r="AU35" s="292">
        <f>SUM('PER BULAN'!BB71)</f>
        <v>0</v>
      </c>
      <c r="AV35" s="292">
        <f>SUM('PER BULAN'!BC71)</f>
        <v>0</v>
      </c>
      <c r="AW35" s="292">
        <f>SUM('PER BULAN'!BD71)</f>
        <v>3071500</v>
      </c>
      <c r="AX35" s="292">
        <f>SUM('PER BULAN'!BE71)</f>
        <v>0</v>
      </c>
    </row>
    <row r="36" spans="1:50" s="278" customFormat="1" x14ac:dyDescent="0.3">
      <c r="A36" s="277" t="s">
        <v>4693</v>
      </c>
      <c r="B36" s="277" t="s">
        <v>4694</v>
      </c>
      <c r="C36" s="277" t="s">
        <v>4720</v>
      </c>
      <c r="D36" s="277" t="s">
        <v>4721</v>
      </c>
      <c r="E36" s="277" t="s">
        <v>197</v>
      </c>
      <c r="F36" s="277" t="s">
        <v>4722</v>
      </c>
      <c r="G36" s="277" t="s">
        <v>4748</v>
      </c>
      <c r="H36" s="277" t="s">
        <v>4749</v>
      </c>
      <c r="I36" s="277">
        <v>958</v>
      </c>
      <c r="J36" s="277" t="s">
        <v>4752</v>
      </c>
      <c r="K36" s="277">
        <v>311</v>
      </c>
      <c r="L36" s="277" t="s">
        <v>4751</v>
      </c>
      <c r="M36" s="277" t="s">
        <v>8</v>
      </c>
      <c r="N36" s="277" t="s">
        <v>4750</v>
      </c>
      <c r="O36" s="277">
        <v>521219</v>
      </c>
      <c r="P36" s="277" t="s">
        <v>4711</v>
      </c>
      <c r="Q36" s="278">
        <v>8000000</v>
      </c>
      <c r="R36" s="292">
        <f>SUM('PER BULAN'!G72:I72)</f>
        <v>0</v>
      </c>
      <c r="S36" s="292">
        <f>SUM('PER BULAN'!J72:L72)</f>
        <v>0</v>
      </c>
      <c r="T36" s="292">
        <f>SUM('PER BULAN'!M72:O72)</f>
        <v>0</v>
      </c>
      <c r="U36" s="292">
        <f>SUM('PER BULAN'!P72:R72)</f>
        <v>0</v>
      </c>
      <c r="V36" s="292">
        <f>SUM('PER BULAN'!S72:U72)</f>
        <v>0</v>
      </c>
      <c r="W36" s="292">
        <f>SUM('PER BULAN'!V72:X72)</f>
        <v>0</v>
      </c>
      <c r="X36" s="292">
        <f>SUM('PER BULAN'!Y72:AA72)</f>
        <v>0</v>
      </c>
      <c r="Y36" s="292">
        <f>SUM('PER BULAN'!AB72:AD72)</f>
        <v>0</v>
      </c>
      <c r="Z36" s="292">
        <f>SUM('PER BULAN'!AE72:AG72)</f>
        <v>0</v>
      </c>
      <c r="AA36" s="292">
        <f>SUM('PER BULAN'!AH72:AJ72)</f>
        <v>0</v>
      </c>
      <c r="AB36" s="292">
        <f>SUM('PER BULAN'!AK72:AM72)</f>
        <v>0</v>
      </c>
      <c r="AC36" s="292">
        <f>SUM('PER BULAN'!AN72:AP72)</f>
        <v>0</v>
      </c>
      <c r="AD36" s="277" t="s">
        <v>530</v>
      </c>
      <c r="AE36" s="277" t="s">
        <v>542</v>
      </c>
      <c r="AF36" s="277" t="s">
        <v>543</v>
      </c>
      <c r="AG36" s="277" t="s">
        <v>4699</v>
      </c>
      <c r="AH36" s="277" t="s">
        <v>4700</v>
      </c>
      <c r="AI36" s="277">
        <f t="shared" si="0"/>
        <v>0</v>
      </c>
      <c r="AJ36" s="291">
        <f t="shared" si="1"/>
        <v>0</v>
      </c>
      <c r="AK36" s="277">
        <f t="shared" si="2"/>
        <v>8000000</v>
      </c>
      <c r="AL36" s="291">
        <f t="shared" si="3"/>
        <v>100</v>
      </c>
      <c r="AM36" s="277" t="s">
        <v>1191</v>
      </c>
      <c r="AN36" s="277" t="s">
        <v>4730</v>
      </c>
      <c r="AO36" s="277" t="s">
        <v>4733</v>
      </c>
      <c r="AP36" s="277" t="s">
        <v>4732</v>
      </c>
      <c r="AQ36" s="292">
        <f>SUM('PER BULAN'!AX72)</f>
        <v>0</v>
      </c>
      <c r="AR36" s="292">
        <f>SUM('PER BULAN'!AY72)</f>
        <v>0</v>
      </c>
      <c r="AS36" s="292">
        <f>SUM('PER BULAN'!AZ72)</f>
        <v>0</v>
      </c>
      <c r="AT36" s="292">
        <f>SUM('PER BULAN'!BA72)</f>
        <v>0</v>
      </c>
      <c r="AU36" s="292">
        <f>SUM('PER BULAN'!BB72)</f>
        <v>0</v>
      </c>
      <c r="AV36" s="292">
        <f>SUM('PER BULAN'!BC72)</f>
        <v>0</v>
      </c>
      <c r="AW36" s="292">
        <f>SUM('PER BULAN'!BD72)</f>
        <v>0</v>
      </c>
      <c r="AX36" s="292">
        <f>SUM('PER BULAN'!BE72)</f>
        <v>0</v>
      </c>
    </row>
    <row r="37" spans="1:50" s="278" customFormat="1" x14ac:dyDescent="0.3">
      <c r="A37" s="277" t="s">
        <v>4693</v>
      </c>
      <c r="B37" s="277" t="s">
        <v>4694</v>
      </c>
      <c r="C37" s="277" t="s">
        <v>4720</v>
      </c>
      <c r="D37" s="277" t="s">
        <v>4721</v>
      </c>
      <c r="E37" s="277" t="s">
        <v>197</v>
      </c>
      <c r="F37" s="277" t="s">
        <v>4722</v>
      </c>
      <c r="G37" s="277" t="s">
        <v>4748</v>
      </c>
      <c r="H37" s="277" t="s">
        <v>4749</v>
      </c>
      <c r="I37" s="277">
        <v>958</v>
      </c>
      <c r="J37" s="277" t="s">
        <v>4752</v>
      </c>
      <c r="K37" s="277">
        <v>311</v>
      </c>
      <c r="L37" s="277" t="s">
        <v>4751</v>
      </c>
      <c r="M37" s="277" t="s">
        <v>8</v>
      </c>
      <c r="N37" s="277" t="s">
        <v>4750</v>
      </c>
      <c r="O37" s="277">
        <v>521811</v>
      </c>
      <c r="P37" s="277" t="s">
        <v>4716</v>
      </c>
      <c r="Q37" s="278">
        <v>12000000</v>
      </c>
      <c r="R37" s="292">
        <f>SUM('PER BULAN'!G73:I73)</f>
        <v>0</v>
      </c>
      <c r="S37" s="292">
        <f>SUM('PER BULAN'!J73:L73)</f>
        <v>0</v>
      </c>
      <c r="T37" s="292">
        <f>SUM('PER BULAN'!M73:O73)</f>
        <v>2450750</v>
      </c>
      <c r="U37" s="292">
        <f>SUM('PER BULAN'!P73:R73)</f>
        <v>0</v>
      </c>
      <c r="V37" s="292">
        <f>SUM('PER BULAN'!S73:U73)</f>
        <v>1929000</v>
      </c>
      <c r="W37" s="292">
        <f>SUM('PER BULAN'!V73:X73)</f>
        <v>0</v>
      </c>
      <c r="X37" s="292">
        <f>SUM('PER BULAN'!Y73:AA73)</f>
        <v>0</v>
      </c>
      <c r="Y37" s="292">
        <f>SUM('PER BULAN'!AB73:AD73)</f>
        <v>0</v>
      </c>
      <c r="Z37" s="292">
        <f>SUM('PER BULAN'!AE73:AG73)</f>
        <v>0</v>
      </c>
      <c r="AA37" s="292">
        <f>SUM('PER BULAN'!AH73:AJ73)</f>
        <v>0</v>
      </c>
      <c r="AB37" s="292">
        <f>SUM('PER BULAN'!AK73:AM73)</f>
        <v>0</v>
      </c>
      <c r="AC37" s="292">
        <f>SUM('PER BULAN'!AN73:AP73)</f>
        <v>0</v>
      </c>
      <c r="AD37" s="277" t="s">
        <v>530</v>
      </c>
      <c r="AE37" s="277" t="s">
        <v>542</v>
      </c>
      <c r="AF37" s="277" t="s">
        <v>543</v>
      </c>
      <c r="AG37" s="277" t="s">
        <v>4699</v>
      </c>
      <c r="AH37" s="277" t="s">
        <v>4700</v>
      </c>
      <c r="AI37" s="277">
        <f t="shared" si="0"/>
        <v>4379750</v>
      </c>
      <c r="AJ37" s="291">
        <f t="shared" si="1"/>
        <v>36.497916666666669</v>
      </c>
      <c r="AK37" s="277">
        <f t="shared" si="2"/>
        <v>7620250</v>
      </c>
      <c r="AL37" s="291">
        <f t="shared" si="3"/>
        <v>63.502083333333339</v>
      </c>
      <c r="AM37" s="277" t="s">
        <v>1194</v>
      </c>
      <c r="AN37" s="277" t="s">
        <v>4730</v>
      </c>
      <c r="AO37" s="277" t="s">
        <v>4737</v>
      </c>
      <c r="AP37" s="277" t="s">
        <v>4732</v>
      </c>
      <c r="AQ37" s="292">
        <f>SUM('PER BULAN'!AX73)</f>
        <v>0</v>
      </c>
      <c r="AR37" s="292">
        <f>SUM('PER BULAN'!AY73)</f>
        <v>2450750</v>
      </c>
      <c r="AS37" s="292">
        <f>SUM('PER BULAN'!AZ73)</f>
        <v>0</v>
      </c>
      <c r="AT37" s="292">
        <f>SUM('PER BULAN'!BA73)</f>
        <v>0</v>
      </c>
      <c r="AU37" s="292">
        <f>SUM('PER BULAN'!BB73)</f>
        <v>0</v>
      </c>
      <c r="AV37" s="292">
        <f>SUM('PER BULAN'!BC73)</f>
        <v>0</v>
      </c>
      <c r="AW37" s="292">
        <f>SUM('PER BULAN'!BD73)</f>
        <v>1929000</v>
      </c>
      <c r="AX37" s="292">
        <f>SUM('PER BULAN'!BE73)</f>
        <v>0</v>
      </c>
    </row>
    <row r="38" spans="1:50" s="278" customFormat="1" x14ac:dyDescent="0.3">
      <c r="A38" s="277" t="s">
        <v>4693</v>
      </c>
      <c r="B38" s="277" t="s">
        <v>4694</v>
      </c>
      <c r="C38" s="277" t="s">
        <v>4720</v>
      </c>
      <c r="D38" s="277" t="s">
        <v>4721</v>
      </c>
      <c r="E38" s="277" t="s">
        <v>197</v>
      </c>
      <c r="F38" s="277" t="s">
        <v>4722</v>
      </c>
      <c r="G38" s="277" t="s">
        <v>4748</v>
      </c>
      <c r="H38" s="277" t="s">
        <v>4749</v>
      </c>
      <c r="I38" s="277">
        <v>958</v>
      </c>
      <c r="J38" s="277" t="s">
        <v>4752</v>
      </c>
      <c r="K38" s="277">
        <v>311</v>
      </c>
      <c r="L38" s="277" t="s">
        <v>4751</v>
      </c>
      <c r="M38" s="277" t="s">
        <v>8</v>
      </c>
      <c r="N38" s="277" t="s">
        <v>4750</v>
      </c>
      <c r="O38" s="277">
        <v>522151</v>
      </c>
      <c r="P38" s="277" t="s">
        <v>4701</v>
      </c>
      <c r="Q38" s="278">
        <v>4000000</v>
      </c>
      <c r="R38" s="292">
        <f>SUM('PER BULAN'!G74:I74)</f>
        <v>0</v>
      </c>
      <c r="S38" s="292">
        <f>SUM('PER BULAN'!J74:L74)</f>
        <v>0</v>
      </c>
      <c r="T38" s="292">
        <f>SUM('PER BULAN'!M74:O74)</f>
        <v>0</v>
      </c>
      <c r="U38" s="292">
        <f>SUM('PER BULAN'!P74:R74)</f>
        <v>0</v>
      </c>
      <c r="V38" s="292">
        <f>SUM('PER BULAN'!S74:U74)</f>
        <v>0</v>
      </c>
      <c r="W38" s="292">
        <f>SUM('PER BULAN'!V74:X74)</f>
        <v>0</v>
      </c>
      <c r="X38" s="292">
        <f>SUM('PER BULAN'!Y74:AA74)</f>
        <v>0</v>
      </c>
      <c r="Y38" s="292">
        <f>SUM('PER BULAN'!AB74:AD74)</f>
        <v>0</v>
      </c>
      <c r="Z38" s="292">
        <f>SUM('PER BULAN'!AE74:AG74)</f>
        <v>0</v>
      </c>
      <c r="AA38" s="292">
        <f>SUM('PER BULAN'!AH74:AJ74)</f>
        <v>0</v>
      </c>
      <c r="AB38" s="292">
        <f>SUM('PER BULAN'!AK74:AM74)</f>
        <v>0</v>
      </c>
      <c r="AC38" s="292">
        <f>SUM('PER BULAN'!AN74:AP74)</f>
        <v>0</v>
      </c>
      <c r="AD38" s="277" t="s">
        <v>530</v>
      </c>
      <c r="AE38" s="277" t="s">
        <v>542</v>
      </c>
      <c r="AF38" s="277" t="s">
        <v>543</v>
      </c>
      <c r="AG38" s="277" t="s">
        <v>4699</v>
      </c>
      <c r="AH38" s="277" t="s">
        <v>4700</v>
      </c>
      <c r="AI38" s="277">
        <f t="shared" si="0"/>
        <v>0</v>
      </c>
      <c r="AJ38" s="291">
        <f t="shared" si="1"/>
        <v>0</v>
      </c>
      <c r="AK38" s="277">
        <f t="shared" si="2"/>
        <v>4000000</v>
      </c>
      <c r="AL38" s="291">
        <f t="shared" si="3"/>
        <v>100</v>
      </c>
      <c r="AM38" s="277" t="s">
        <v>1198</v>
      </c>
      <c r="AN38" s="277" t="s">
        <v>4730</v>
      </c>
      <c r="AO38" s="277" t="s">
        <v>4735</v>
      </c>
      <c r="AP38" s="277" t="s">
        <v>4732</v>
      </c>
      <c r="AQ38" s="292">
        <f>SUM('PER BULAN'!AX74)</f>
        <v>0</v>
      </c>
      <c r="AR38" s="292">
        <f>SUM('PER BULAN'!AY74)</f>
        <v>0</v>
      </c>
      <c r="AS38" s="292">
        <f>SUM('PER BULAN'!AZ74)</f>
        <v>0</v>
      </c>
      <c r="AT38" s="292">
        <f>SUM('PER BULAN'!BA74)</f>
        <v>0</v>
      </c>
      <c r="AU38" s="292">
        <f>SUM('PER BULAN'!BB74)</f>
        <v>0</v>
      </c>
      <c r="AV38" s="292">
        <f>SUM('PER BULAN'!BC74)</f>
        <v>0</v>
      </c>
      <c r="AW38" s="292">
        <f>SUM('PER BULAN'!BD74)</f>
        <v>0</v>
      </c>
      <c r="AX38" s="292">
        <f>SUM('PER BULAN'!BE74)</f>
        <v>0</v>
      </c>
    </row>
    <row r="39" spans="1:50" s="278" customFormat="1" x14ac:dyDescent="0.3">
      <c r="A39" s="277" t="s">
        <v>4693</v>
      </c>
      <c r="B39" s="277" t="s">
        <v>4694</v>
      </c>
      <c r="C39" s="277" t="s">
        <v>4720</v>
      </c>
      <c r="D39" s="277" t="s">
        <v>4721</v>
      </c>
      <c r="E39" s="277" t="s">
        <v>197</v>
      </c>
      <c r="F39" s="277" t="s">
        <v>4722</v>
      </c>
      <c r="G39" s="277" t="s">
        <v>4748</v>
      </c>
      <c r="H39" s="277" t="s">
        <v>4749</v>
      </c>
      <c r="I39" s="277">
        <v>958</v>
      </c>
      <c r="J39" s="277" t="s">
        <v>4752</v>
      </c>
      <c r="K39" s="277">
        <v>311</v>
      </c>
      <c r="L39" s="277" t="s">
        <v>4751</v>
      </c>
      <c r="M39" s="277" t="s">
        <v>8</v>
      </c>
      <c r="N39" s="277" t="s">
        <v>4750</v>
      </c>
      <c r="O39" s="277" t="s">
        <v>513</v>
      </c>
      <c r="P39" s="277" t="s">
        <v>4702</v>
      </c>
      <c r="Q39" s="278">
        <v>115380000</v>
      </c>
      <c r="R39" s="292">
        <f>SUM('PER BULAN'!G75:I75)</f>
        <v>0</v>
      </c>
      <c r="S39" s="292">
        <f>SUM('PER BULAN'!J75:L75)</f>
        <v>0</v>
      </c>
      <c r="T39" s="292">
        <f>SUM('PER BULAN'!M75:O75)</f>
        <v>0</v>
      </c>
      <c r="U39" s="292">
        <f>SUM('PER BULAN'!P75:R75)</f>
        <v>3570000</v>
      </c>
      <c r="V39" s="292">
        <f>SUM('PER BULAN'!S75:U75)</f>
        <v>10960600</v>
      </c>
      <c r="W39" s="292">
        <f>SUM('PER BULAN'!V75:X75)</f>
        <v>3840000</v>
      </c>
      <c r="X39" s="292">
        <f>SUM('PER BULAN'!Y75:AA75)</f>
        <v>0</v>
      </c>
      <c r="Y39" s="292">
        <f>SUM('PER BULAN'!AB75:AD75)</f>
        <v>0</v>
      </c>
      <c r="Z39" s="292">
        <f>SUM('PER BULAN'!AE75:AG75)</f>
        <v>0</v>
      </c>
      <c r="AA39" s="292">
        <f>SUM('PER BULAN'!AH75:AJ75)</f>
        <v>0</v>
      </c>
      <c r="AB39" s="292">
        <f>SUM('PER BULAN'!AK75:AM75)</f>
        <v>0</v>
      </c>
      <c r="AC39" s="292">
        <f>SUM('PER BULAN'!AN75:AP75)</f>
        <v>0</v>
      </c>
      <c r="AD39" s="277" t="s">
        <v>530</v>
      </c>
      <c r="AE39" s="277" t="s">
        <v>542</v>
      </c>
      <c r="AF39" s="277" t="s">
        <v>543</v>
      </c>
      <c r="AG39" s="277" t="s">
        <v>4699</v>
      </c>
      <c r="AH39" s="277" t="s">
        <v>4700</v>
      </c>
      <c r="AI39" s="277">
        <f t="shared" si="0"/>
        <v>18370600</v>
      </c>
      <c r="AJ39" s="291">
        <f t="shared" si="1"/>
        <v>15.921823539608251</v>
      </c>
      <c r="AK39" s="277">
        <f t="shared" si="2"/>
        <v>97009400</v>
      </c>
      <c r="AL39" s="291">
        <f t="shared" si="3"/>
        <v>84.078176460391745</v>
      </c>
      <c r="AM39" s="277" t="s">
        <v>1200</v>
      </c>
      <c r="AN39" s="277" t="s">
        <v>4730</v>
      </c>
      <c r="AO39" s="277" t="s">
        <v>4736</v>
      </c>
      <c r="AP39" s="277" t="s">
        <v>4732</v>
      </c>
      <c r="AQ39" s="292">
        <f>SUM('PER BULAN'!AX75)</f>
        <v>0</v>
      </c>
      <c r="AR39" s="292">
        <f>SUM('PER BULAN'!AY75)</f>
        <v>0</v>
      </c>
      <c r="AS39" s="292">
        <f>SUM('PER BULAN'!AZ75)</f>
        <v>0</v>
      </c>
      <c r="AT39" s="292">
        <f>SUM('PER BULAN'!BA75)</f>
        <v>0</v>
      </c>
      <c r="AU39" s="292">
        <f>SUM('PER BULAN'!BB75)</f>
        <v>0</v>
      </c>
      <c r="AV39" s="292">
        <f>SUM('PER BULAN'!BC75)</f>
        <v>0</v>
      </c>
      <c r="AW39" s="292">
        <f>SUM('PER BULAN'!BD75)</f>
        <v>0</v>
      </c>
      <c r="AX39" s="292">
        <f>SUM('PER BULAN'!BE75)</f>
        <v>0</v>
      </c>
    </row>
    <row r="40" spans="1:50" s="278" customFormat="1" x14ac:dyDescent="0.3">
      <c r="A40" s="277" t="s">
        <v>4693</v>
      </c>
      <c r="B40" s="277" t="s">
        <v>4694</v>
      </c>
      <c r="C40" s="277" t="s">
        <v>4720</v>
      </c>
      <c r="D40" s="277" t="s">
        <v>4721</v>
      </c>
      <c r="E40" s="277" t="s">
        <v>197</v>
      </c>
      <c r="F40" s="277" t="s">
        <v>4722</v>
      </c>
      <c r="G40" s="277" t="s">
        <v>4748</v>
      </c>
      <c r="H40" s="277" t="s">
        <v>4749</v>
      </c>
      <c r="I40" s="277">
        <v>301</v>
      </c>
      <c r="J40" s="277" t="s">
        <v>4754</v>
      </c>
      <c r="K40" s="277">
        <v>301</v>
      </c>
      <c r="L40" s="277" t="s">
        <v>4753</v>
      </c>
      <c r="M40" s="277" t="s">
        <v>8</v>
      </c>
      <c r="N40" s="277" t="s">
        <v>4724</v>
      </c>
      <c r="O40" s="277">
        <v>521211</v>
      </c>
      <c r="P40" s="277" t="s">
        <v>4698</v>
      </c>
      <c r="Q40" s="278">
        <v>22000000</v>
      </c>
      <c r="R40" s="292">
        <f>SUM('PER BULAN'!G79:I79)</f>
        <v>0</v>
      </c>
      <c r="S40" s="292">
        <f>SUM('PER BULAN'!J79:L79)</f>
        <v>0</v>
      </c>
      <c r="T40" s="292">
        <f>SUM('PER BULAN'!M79:O79)</f>
        <v>3998800</v>
      </c>
      <c r="U40" s="292">
        <f>SUM('PER BULAN'!P79:R79)</f>
        <v>0</v>
      </c>
      <c r="V40" s="292">
        <f>SUM('PER BULAN'!S79:U79)</f>
        <v>0</v>
      </c>
      <c r="W40" s="292">
        <f>SUM('PER BULAN'!V79:X79)</f>
        <v>0</v>
      </c>
      <c r="X40" s="292">
        <f>SUM('PER BULAN'!Y79:AA79)</f>
        <v>0</v>
      </c>
      <c r="Y40" s="292">
        <f>SUM('PER BULAN'!AB79:AD79)</f>
        <v>0</v>
      </c>
      <c r="Z40" s="292">
        <f>SUM('PER BULAN'!AE79:AG79)</f>
        <v>0</v>
      </c>
      <c r="AA40" s="292">
        <f>SUM('PER BULAN'!AH79:AJ79)</f>
        <v>0</v>
      </c>
      <c r="AB40" s="292">
        <f>SUM('PER BULAN'!AK79:AM79)</f>
        <v>0</v>
      </c>
      <c r="AC40" s="292">
        <f>SUM('PER BULAN'!AN79:AP79)</f>
        <v>0</v>
      </c>
      <c r="AD40" s="277" t="s">
        <v>530</v>
      </c>
      <c r="AE40" s="277" t="s">
        <v>576</v>
      </c>
      <c r="AF40" s="277" t="s">
        <v>560</v>
      </c>
      <c r="AG40" s="277" t="s">
        <v>4699</v>
      </c>
      <c r="AH40" s="277" t="s">
        <v>4700</v>
      </c>
      <c r="AI40" s="277">
        <f t="shared" si="0"/>
        <v>3998800</v>
      </c>
      <c r="AJ40" s="291">
        <f t="shared" si="1"/>
        <v>18.176363636363639</v>
      </c>
      <c r="AK40" s="277">
        <f t="shared" si="2"/>
        <v>18001200</v>
      </c>
      <c r="AL40" s="291">
        <f t="shared" si="3"/>
        <v>81.823636363636368</v>
      </c>
      <c r="AM40" s="277" t="s">
        <v>1391</v>
      </c>
      <c r="AN40" s="277" t="s">
        <v>4730</v>
      </c>
      <c r="AO40" s="277" t="s">
        <v>4731</v>
      </c>
      <c r="AP40" s="277" t="s">
        <v>4732</v>
      </c>
      <c r="AQ40" s="292">
        <f>SUM('PER BULAN'!AX79)</f>
        <v>0</v>
      </c>
      <c r="AR40" s="292">
        <f>SUM('PER BULAN'!AY79)</f>
        <v>3998800</v>
      </c>
      <c r="AS40" s="292">
        <f>SUM('PER BULAN'!AZ79)</f>
        <v>0</v>
      </c>
      <c r="AT40" s="292">
        <f>SUM('PER BULAN'!BA79)</f>
        <v>0</v>
      </c>
      <c r="AU40" s="292">
        <f>SUM('PER BULAN'!BB79)</f>
        <v>0</v>
      </c>
      <c r="AV40" s="292">
        <f>SUM('PER BULAN'!BC79)</f>
        <v>0</v>
      </c>
      <c r="AW40" s="292">
        <f>SUM('PER BULAN'!BD79)</f>
        <v>0</v>
      </c>
      <c r="AX40" s="292">
        <f>SUM('PER BULAN'!BE79)</f>
        <v>0</v>
      </c>
    </row>
    <row r="41" spans="1:50" s="278" customFormat="1" x14ac:dyDescent="0.3">
      <c r="A41" s="277" t="s">
        <v>4693</v>
      </c>
      <c r="B41" s="277" t="s">
        <v>4694</v>
      </c>
      <c r="C41" s="277" t="s">
        <v>4720</v>
      </c>
      <c r="D41" s="277" t="s">
        <v>4721</v>
      </c>
      <c r="E41" s="277" t="s">
        <v>197</v>
      </c>
      <c r="F41" s="277" t="s">
        <v>4722</v>
      </c>
      <c r="G41" s="277" t="s">
        <v>4748</v>
      </c>
      <c r="H41" s="277" t="s">
        <v>4749</v>
      </c>
      <c r="I41" s="277">
        <v>301</v>
      </c>
      <c r="J41" s="277" t="s">
        <v>4754</v>
      </c>
      <c r="K41" s="277">
        <v>301</v>
      </c>
      <c r="L41" s="277" t="s">
        <v>4753</v>
      </c>
      <c r="M41" s="277" t="s">
        <v>8</v>
      </c>
      <c r="N41" s="277" t="s">
        <v>4724</v>
      </c>
      <c r="O41" s="277" t="s">
        <v>513</v>
      </c>
      <c r="P41" s="277" t="s">
        <v>4702</v>
      </c>
      <c r="Q41" s="278">
        <v>27000000</v>
      </c>
      <c r="R41" s="292">
        <f>SUM('PER BULAN'!G80:I80)</f>
        <v>0</v>
      </c>
      <c r="S41" s="292">
        <f>SUM('PER BULAN'!J80:L80)</f>
        <v>0</v>
      </c>
      <c r="T41" s="292">
        <f>SUM('PER BULAN'!M80:O80)</f>
        <v>4335000</v>
      </c>
      <c r="U41" s="292">
        <f>SUM('PER BULAN'!P80:R80)</f>
        <v>3960000</v>
      </c>
      <c r="V41" s="292">
        <f>SUM('PER BULAN'!S80:U80)</f>
        <v>3043500</v>
      </c>
      <c r="W41" s="292">
        <f>SUM('PER BULAN'!V80:X80)</f>
        <v>0</v>
      </c>
      <c r="X41" s="292">
        <f>SUM('PER BULAN'!Y80:AA80)</f>
        <v>0</v>
      </c>
      <c r="Y41" s="292">
        <f>SUM('PER BULAN'!AB80:AD80)</f>
        <v>0</v>
      </c>
      <c r="Z41" s="292">
        <f>SUM('PER BULAN'!AE80:AG80)</f>
        <v>0</v>
      </c>
      <c r="AA41" s="292">
        <f>SUM('PER BULAN'!AH80:AJ80)</f>
        <v>0</v>
      </c>
      <c r="AB41" s="292">
        <f>SUM('PER BULAN'!AK80:AM80)</f>
        <v>0</v>
      </c>
      <c r="AC41" s="292">
        <f>SUM('PER BULAN'!AN80:AP80)</f>
        <v>0</v>
      </c>
      <c r="AD41" s="277" t="s">
        <v>530</v>
      </c>
      <c r="AE41" s="277" t="s">
        <v>576</v>
      </c>
      <c r="AF41" s="277" t="s">
        <v>560</v>
      </c>
      <c r="AG41" s="277" t="s">
        <v>4699</v>
      </c>
      <c r="AH41" s="277" t="s">
        <v>4700</v>
      </c>
      <c r="AI41" s="277">
        <f t="shared" si="0"/>
        <v>11338500</v>
      </c>
      <c r="AJ41" s="291">
        <f t="shared" si="1"/>
        <v>41.994444444444447</v>
      </c>
      <c r="AK41" s="277">
        <f t="shared" si="2"/>
        <v>15661500</v>
      </c>
      <c r="AL41" s="291">
        <f t="shared" si="3"/>
        <v>58.005555555555553</v>
      </c>
      <c r="AM41" s="277" t="s">
        <v>1397</v>
      </c>
      <c r="AN41" s="277" t="s">
        <v>4730</v>
      </c>
      <c r="AO41" s="277" t="s">
        <v>4736</v>
      </c>
      <c r="AP41" s="277" t="s">
        <v>4732</v>
      </c>
      <c r="AQ41" s="292">
        <f>SUM('PER BULAN'!AX80)</f>
        <v>2685000</v>
      </c>
      <c r="AR41" s="292">
        <f>SUM('PER BULAN'!AY80)</f>
        <v>1650000</v>
      </c>
      <c r="AS41" s="292">
        <f>SUM('PER BULAN'!AZ80)</f>
        <v>0</v>
      </c>
      <c r="AT41" s="292">
        <f>SUM('PER BULAN'!BA80)</f>
        <v>3960000</v>
      </c>
      <c r="AU41" s="292">
        <f>SUM('PER BULAN'!BB80)</f>
        <v>0</v>
      </c>
      <c r="AV41" s="292">
        <f>SUM('PER BULAN'!BC80)</f>
        <v>3043500</v>
      </c>
      <c r="AW41" s="292">
        <f>SUM('PER BULAN'!BD80)</f>
        <v>0</v>
      </c>
      <c r="AX41" s="292">
        <f>SUM('PER BULAN'!BE80)</f>
        <v>0</v>
      </c>
    </row>
    <row r="42" spans="1:50" s="278" customFormat="1" x14ac:dyDescent="0.3">
      <c r="A42" s="277" t="s">
        <v>4693</v>
      </c>
      <c r="B42" s="277" t="s">
        <v>4694</v>
      </c>
      <c r="C42" s="277" t="s">
        <v>4720</v>
      </c>
      <c r="D42" s="277" t="s">
        <v>4721</v>
      </c>
      <c r="E42" s="277" t="s">
        <v>197</v>
      </c>
      <c r="F42" s="277" t="s">
        <v>4722</v>
      </c>
      <c r="G42" s="277" t="s">
        <v>4748</v>
      </c>
      <c r="H42" s="277" t="s">
        <v>4749</v>
      </c>
      <c r="I42" s="277">
        <v>301</v>
      </c>
      <c r="J42" s="277" t="s">
        <v>4754</v>
      </c>
      <c r="K42" s="277">
        <v>301</v>
      </c>
      <c r="L42" s="277" t="s">
        <v>4753</v>
      </c>
      <c r="M42" s="277" t="s">
        <v>8</v>
      </c>
      <c r="N42" s="277" t="s">
        <v>4724</v>
      </c>
      <c r="O42" s="277" t="s">
        <v>507</v>
      </c>
      <c r="P42" s="277" t="s">
        <v>508</v>
      </c>
      <c r="Q42" s="278">
        <v>2100000</v>
      </c>
      <c r="R42" s="292">
        <f>SUM('PER BULAN'!G81:I81)</f>
        <v>0</v>
      </c>
      <c r="S42" s="292">
        <f>SUM('PER BULAN'!J81:L81)</f>
        <v>0</v>
      </c>
      <c r="T42" s="292">
        <f>SUM('PER BULAN'!M81:O81)</f>
        <v>750000</v>
      </c>
      <c r="U42" s="292">
        <f>SUM('PER BULAN'!P81:R81)</f>
        <v>0</v>
      </c>
      <c r="V42" s="292">
        <f>SUM('PER BULAN'!S81:U81)</f>
        <v>0</v>
      </c>
      <c r="W42" s="292">
        <f>SUM('PER BULAN'!V81:X81)</f>
        <v>0</v>
      </c>
      <c r="X42" s="292">
        <f>SUM('PER BULAN'!Y81:AA81)</f>
        <v>0</v>
      </c>
      <c r="Y42" s="292">
        <f>SUM('PER BULAN'!AB81:AD81)</f>
        <v>0</v>
      </c>
      <c r="Z42" s="292">
        <f>SUM('PER BULAN'!AE81:AG81)</f>
        <v>0</v>
      </c>
      <c r="AA42" s="292">
        <f>SUM('PER BULAN'!AH81:AJ81)</f>
        <v>0</v>
      </c>
      <c r="AB42" s="292">
        <f>SUM('PER BULAN'!AK81:AM81)</f>
        <v>0</v>
      </c>
      <c r="AC42" s="292">
        <f>SUM('PER BULAN'!AN81:AP81)</f>
        <v>0</v>
      </c>
      <c r="AD42" s="277" t="s">
        <v>530</v>
      </c>
      <c r="AE42" s="277" t="s">
        <v>576</v>
      </c>
      <c r="AF42" s="277" t="s">
        <v>560</v>
      </c>
      <c r="AG42" s="277" t="s">
        <v>4699</v>
      </c>
      <c r="AH42" s="277" t="s">
        <v>4700</v>
      </c>
      <c r="AI42" s="277">
        <f t="shared" si="0"/>
        <v>750000</v>
      </c>
      <c r="AJ42" s="291">
        <f t="shared" si="1"/>
        <v>35.714285714285715</v>
      </c>
      <c r="AK42" s="277">
        <f t="shared" si="2"/>
        <v>1350000</v>
      </c>
      <c r="AL42" s="291">
        <f t="shared" si="3"/>
        <v>64.285714285714292</v>
      </c>
      <c r="AM42" s="277" t="s">
        <v>1400</v>
      </c>
      <c r="AN42" s="277" t="s">
        <v>4730</v>
      </c>
      <c r="AO42" s="277" t="s">
        <v>4738</v>
      </c>
      <c r="AP42" s="277" t="s">
        <v>4732</v>
      </c>
      <c r="AQ42" s="292">
        <f>SUM('PER BULAN'!AX81)</f>
        <v>450000</v>
      </c>
      <c r="AR42" s="292">
        <f>SUM('PER BULAN'!AY81)</f>
        <v>300000</v>
      </c>
      <c r="AS42" s="292">
        <f>SUM('PER BULAN'!AZ81)</f>
        <v>0</v>
      </c>
      <c r="AT42" s="292">
        <f>SUM('PER BULAN'!BA81)</f>
        <v>0</v>
      </c>
      <c r="AU42" s="292">
        <f>SUM('PER BULAN'!BB81)</f>
        <v>0</v>
      </c>
      <c r="AV42" s="292">
        <f>SUM('PER BULAN'!BC81)</f>
        <v>0</v>
      </c>
      <c r="AW42" s="292">
        <f>SUM('PER BULAN'!BD81)</f>
        <v>0</v>
      </c>
      <c r="AX42" s="292">
        <f>SUM('PER BULAN'!BE81)</f>
        <v>0</v>
      </c>
    </row>
    <row r="43" spans="1:50" s="278" customFormat="1" x14ac:dyDescent="0.3">
      <c r="A43" s="277" t="s">
        <v>4693</v>
      </c>
      <c r="B43" s="277" t="s">
        <v>4694</v>
      </c>
      <c r="C43" s="277" t="s">
        <v>4720</v>
      </c>
      <c r="D43" s="277" t="s">
        <v>4721</v>
      </c>
      <c r="E43" s="277" t="s">
        <v>197</v>
      </c>
      <c r="F43" s="277" t="s">
        <v>4722</v>
      </c>
      <c r="G43" s="277" t="s">
        <v>4748</v>
      </c>
      <c r="H43" s="277" t="s">
        <v>4749</v>
      </c>
      <c r="I43" s="277">
        <v>301</v>
      </c>
      <c r="J43" s="277" t="s">
        <v>4754</v>
      </c>
      <c r="K43" s="277">
        <v>301</v>
      </c>
      <c r="L43" s="277" t="s">
        <v>4753</v>
      </c>
      <c r="M43" s="277" t="s">
        <v>511</v>
      </c>
      <c r="N43" s="277" t="s">
        <v>4725</v>
      </c>
      <c r="O43" s="277">
        <v>521211</v>
      </c>
      <c r="P43" s="277" t="s">
        <v>4698</v>
      </c>
      <c r="Q43" s="278">
        <v>10000000</v>
      </c>
      <c r="R43" s="292">
        <f>SUM('PER BULAN'!G83:I83)</f>
        <v>0</v>
      </c>
      <c r="S43" s="292">
        <f>SUM('PER BULAN'!J83:L83)</f>
        <v>0</v>
      </c>
      <c r="T43" s="292">
        <f>SUM('PER BULAN'!M83:O83)</f>
        <v>2485000</v>
      </c>
      <c r="U43" s="292">
        <f>SUM('PER BULAN'!P83:R83)</f>
        <v>0</v>
      </c>
      <c r="V43" s="292">
        <f>SUM('PER BULAN'!S83:U83)</f>
        <v>2485000</v>
      </c>
      <c r="W43" s="292">
        <f>SUM('PER BULAN'!V83:X83)</f>
        <v>0</v>
      </c>
      <c r="X43" s="292">
        <f>SUM('PER BULAN'!Y83:AA83)</f>
        <v>0</v>
      </c>
      <c r="Y43" s="292">
        <f>SUM('PER BULAN'!AB83:AD83)</f>
        <v>0</v>
      </c>
      <c r="Z43" s="292">
        <f>SUM('PER BULAN'!AE83:AG83)</f>
        <v>0</v>
      </c>
      <c r="AA43" s="292">
        <f>SUM('PER BULAN'!AH83:AJ83)</f>
        <v>0</v>
      </c>
      <c r="AB43" s="292">
        <f>SUM('PER BULAN'!AK83:AM83)</f>
        <v>0</v>
      </c>
      <c r="AC43" s="292">
        <f>SUM('PER BULAN'!AN83:AP83)</f>
        <v>0</v>
      </c>
      <c r="AD43" s="277" t="s">
        <v>530</v>
      </c>
      <c r="AE43" s="277" t="s">
        <v>576</v>
      </c>
      <c r="AF43" s="277" t="s">
        <v>560</v>
      </c>
      <c r="AG43" s="277" t="s">
        <v>4699</v>
      </c>
      <c r="AH43" s="277" t="s">
        <v>4700</v>
      </c>
      <c r="AI43" s="277">
        <f t="shared" si="0"/>
        <v>4970000</v>
      </c>
      <c r="AJ43" s="291">
        <f t="shared" si="1"/>
        <v>49.7</v>
      </c>
      <c r="AK43" s="277">
        <f t="shared" si="2"/>
        <v>5030000</v>
      </c>
      <c r="AL43" s="291">
        <f t="shared" si="3"/>
        <v>50.3</v>
      </c>
      <c r="AM43" s="277" t="s">
        <v>1404</v>
      </c>
      <c r="AN43" s="277" t="s">
        <v>4730</v>
      </c>
      <c r="AO43" s="277" t="s">
        <v>4731</v>
      </c>
      <c r="AP43" s="277" t="s">
        <v>4732</v>
      </c>
      <c r="AQ43" s="292">
        <f>SUM('PER BULAN'!AX83)</f>
        <v>2485000</v>
      </c>
      <c r="AR43" s="292">
        <f>SUM('PER BULAN'!AY83)</f>
        <v>0</v>
      </c>
      <c r="AS43" s="292">
        <f>SUM('PER BULAN'!AZ83)</f>
        <v>0</v>
      </c>
      <c r="AT43" s="292">
        <f>SUM('PER BULAN'!BA83)</f>
        <v>0</v>
      </c>
      <c r="AU43" s="292">
        <f>SUM('PER BULAN'!BB83)</f>
        <v>0</v>
      </c>
      <c r="AV43" s="292">
        <f>SUM('PER BULAN'!BC83)</f>
        <v>0</v>
      </c>
      <c r="AW43" s="292">
        <f>SUM('PER BULAN'!BD83)</f>
        <v>2485000</v>
      </c>
      <c r="AX43" s="292">
        <f>SUM('PER BULAN'!BE83)</f>
        <v>0</v>
      </c>
    </row>
    <row r="44" spans="1:50" s="278" customFormat="1" x14ac:dyDescent="0.3">
      <c r="A44" s="277" t="s">
        <v>4693</v>
      </c>
      <c r="B44" s="277" t="s">
        <v>4694</v>
      </c>
      <c r="C44" s="277" t="s">
        <v>4720</v>
      </c>
      <c r="D44" s="277" t="s">
        <v>4721</v>
      </c>
      <c r="E44" s="277" t="s">
        <v>197</v>
      </c>
      <c r="F44" s="277" t="s">
        <v>4722</v>
      </c>
      <c r="G44" s="277" t="s">
        <v>4748</v>
      </c>
      <c r="H44" s="277" t="s">
        <v>4749</v>
      </c>
      <c r="I44" s="277">
        <v>301</v>
      </c>
      <c r="J44" s="277" t="s">
        <v>4754</v>
      </c>
      <c r="K44" s="277">
        <v>301</v>
      </c>
      <c r="L44" s="277" t="s">
        <v>4753</v>
      </c>
      <c r="M44" s="277" t="s">
        <v>511</v>
      </c>
      <c r="N44" s="277" t="s">
        <v>4725</v>
      </c>
      <c r="O44" s="277" t="s">
        <v>518</v>
      </c>
      <c r="P44" s="277" t="s">
        <v>4703</v>
      </c>
      <c r="Q44" s="278">
        <v>23680000</v>
      </c>
      <c r="R44" s="292">
        <f>SUM('PER BULAN'!G84:I84)</f>
        <v>0</v>
      </c>
      <c r="S44" s="292">
        <f>SUM('PER BULAN'!J84:L84)</f>
        <v>0</v>
      </c>
      <c r="T44" s="292">
        <f>SUM('PER BULAN'!M84:O84)</f>
        <v>2031000</v>
      </c>
      <c r="U44" s="292">
        <f>SUM('PER BULAN'!P84:R84)</f>
        <v>0</v>
      </c>
      <c r="V44" s="292">
        <f>SUM('PER BULAN'!S84:U84)</f>
        <v>0</v>
      </c>
      <c r="W44" s="292">
        <f>SUM('PER BULAN'!V84:X84)</f>
        <v>0</v>
      </c>
      <c r="X44" s="292">
        <f>SUM('PER BULAN'!Y84:AA84)</f>
        <v>0</v>
      </c>
      <c r="Y44" s="292">
        <f>SUM('PER BULAN'!AB84:AD84)</f>
        <v>0</v>
      </c>
      <c r="Z44" s="292">
        <f>SUM('PER BULAN'!AE84:AG84)</f>
        <v>0</v>
      </c>
      <c r="AA44" s="292">
        <f>SUM('PER BULAN'!AH84:AJ84)</f>
        <v>0</v>
      </c>
      <c r="AB44" s="292">
        <f>SUM('PER BULAN'!AK84:AM84)</f>
        <v>0</v>
      </c>
      <c r="AC44" s="292">
        <f>SUM('PER BULAN'!AN84:AP84)</f>
        <v>0</v>
      </c>
      <c r="AD44" s="277" t="s">
        <v>530</v>
      </c>
      <c r="AE44" s="277" t="s">
        <v>576</v>
      </c>
      <c r="AF44" s="277" t="s">
        <v>560</v>
      </c>
      <c r="AG44" s="277" t="s">
        <v>4699</v>
      </c>
      <c r="AH44" s="277" t="s">
        <v>4700</v>
      </c>
      <c r="AI44" s="277">
        <f t="shared" si="0"/>
        <v>2031000</v>
      </c>
      <c r="AJ44" s="291">
        <f t="shared" si="1"/>
        <v>8.5768581081081088</v>
      </c>
      <c r="AK44" s="277">
        <f t="shared" si="2"/>
        <v>21649000</v>
      </c>
      <c r="AL44" s="291">
        <f t="shared" si="3"/>
        <v>91.423141891891888</v>
      </c>
      <c r="AM44" s="277" t="s">
        <v>1409</v>
      </c>
      <c r="AN44" s="277" t="s">
        <v>4734</v>
      </c>
      <c r="AO44" s="277" t="s">
        <v>4735</v>
      </c>
      <c r="AP44" s="277" t="s">
        <v>4732</v>
      </c>
      <c r="AQ44" s="292">
        <f>SUM('PER BULAN'!AX84)</f>
        <v>1235000</v>
      </c>
      <c r="AR44" s="292">
        <f>SUM('PER BULAN'!AY84)</f>
        <v>342000</v>
      </c>
      <c r="AS44" s="292">
        <f>SUM('PER BULAN'!AZ84)</f>
        <v>454000</v>
      </c>
      <c r="AT44" s="292">
        <f>SUM('PER BULAN'!BA84)</f>
        <v>0</v>
      </c>
      <c r="AU44" s="292">
        <f>SUM('PER BULAN'!BB84)</f>
        <v>0</v>
      </c>
      <c r="AV44" s="292">
        <f>SUM('PER BULAN'!BC84)</f>
        <v>0</v>
      </c>
      <c r="AW44" s="292">
        <f>SUM('PER BULAN'!BD84)</f>
        <v>0</v>
      </c>
      <c r="AX44" s="292">
        <f>SUM('PER BULAN'!BE84)</f>
        <v>0</v>
      </c>
    </row>
    <row r="45" spans="1:50" s="278" customFormat="1" x14ac:dyDescent="0.3">
      <c r="A45" s="277" t="s">
        <v>4693</v>
      </c>
      <c r="B45" s="277" t="s">
        <v>4694</v>
      </c>
      <c r="C45" s="277" t="s">
        <v>4720</v>
      </c>
      <c r="D45" s="277" t="s">
        <v>4721</v>
      </c>
      <c r="E45" s="277" t="s">
        <v>197</v>
      </c>
      <c r="F45" s="277" t="s">
        <v>4722</v>
      </c>
      <c r="G45" s="277" t="s">
        <v>4748</v>
      </c>
      <c r="H45" s="277" t="s">
        <v>4749</v>
      </c>
      <c r="I45" s="277">
        <v>301</v>
      </c>
      <c r="J45" s="277" t="s">
        <v>4754</v>
      </c>
      <c r="K45" s="277">
        <v>301</v>
      </c>
      <c r="L45" s="277" t="s">
        <v>4753</v>
      </c>
      <c r="M45" s="277" t="s">
        <v>511</v>
      </c>
      <c r="N45" s="277" t="s">
        <v>4725</v>
      </c>
      <c r="O45" s="277" t="s">
        <v>513</v>
      </c>
      <c r="P45" s="277" t="s">
        <v>4702</v>
      </c>
      <c r="Q45" s="278">
        <v>514500000</v>
      </c>
      <c r="R45" s="292">
        <f>SUM('PER BULAN'!G85:I85)</f>
        <v>0</v>
      </c>
      <c r="S45" s="292">
        <f>SUM('PER BULAN'!J85:L85)</f>
        <v>0</v>
      </c>
      <c r="T45" s="292">
        <f>SUM('PER BULAN'!M85:O85)</f>
        <v>68815500</v>
      </c>
      <c r="U45" s="292">
        <f>SUM('PER BULAN'!P85:R85)</f>
        <v>66565460</v>
      </c>
      <c r="V45" s="292">
        <f>SUM('PER BULAN'!S85:U85)</f>
        <v>25199501</v>
      </c>
      <c r="W45" s="292">
        <f>SUM('PER BULAN'!V85:X85)</f>
        <v>0</v>
      </c>
      <c r="X45" s="292">
        <f>SUM('PER BULAN'!Y85:AA85)</f>
        <v>0</v>
      </c>
      <c r="Y45" s="292">
        <f>SUM('PER BULAN'!AB85:AD85)</f>
        <v>0</v>
      </c>
      <c r="Z45" s="292">
        <f>SUM('PER BULAN'!AE85:AG85)</f>
        <v>0</v>
      </c>
      <c r="AA45" s="292">
        <f>SUM('PER BULAN'!AH85:AJ85)</f>
        <v>0</v>
      </c>
      <c r="AB45" s="292">
        <f>SUM('PER BULAN'!AK85:AM85)</f>
        <v>0</v>
      </c>
      <c r="AC45" s="292">
        <f>SUM('PER BULAN'!AN85:AP85)</f>
        <v>0</v>
      </c>
      <c r="AD45" s="277" t="s">
        <v>530</v>
      </c>
      <c r="AE45" s="277" t="s">
        <v>576</v>
      </c>
      <c r="AF45" s="277" t="s">
        <v>560</v>
      </c>
      <c r="AG45" s="277" t="s">
        <v>4699</v>
      </c>
      <c r="AH45" s="277" t="s">
        <v>4700</v>
      </c>
      <c r="AI45" s="277">
        <f t="shared" si="0"/>
        <v>160580461</v>
      </c>
      <c r="AJ45" s="291">
        <f t="shared" si="1"/>
        <v>31.210973955296407</v>
      </c>
      <c r="AK45" s="277">
        <f t="shared" si="2"/>
        <v>353919539</v>
      </c>
      <c r="AL45" s="291">
        <f t="shared" si="3"/>
        <v>68.78902604470359</v>
      </c>
      <c r="AM45" s="277" t="s">
        <v>1412</v>
      </c>
      <c r="AN45" s="277" t="s">
        <v>4730</v>
      </c>
      <c r="AO45" s="277" t="s">
        <v>4736</v>
      </c>
      <c r="AP45" s="277" t="s">
        <v>4732</v>
      </c>
      <c r="AQ45" s="292">
        <f>SUM('PER BULAN'!AX85)</f>
        <v>45385600</v>
      </c>
      <c r="AR45" s="292">
        <f>SUM('PER BULAN'!AY85)</f>
        <v>23429900</v>
      </c>
      <c r="AS45" s="292">
        <f>SUM('PER BULAN'!AZ85)</f>
        <v>0</v>
      </c>
      <c r="AT45" s="292">
        <f>SUM('PER BULAN'!BA85)</f>
        <v>31588000</v>
      </c>
      <c r="AU45" s="292">
        <f>SUM('PER BULAN'!BB85)</f>
        <v>10477701</v>
      </c>
      <c r="AV45" s="292">
        <f>SUM('PER BULAN'!BC85)</f>
        <v>4081050</v>
      </c>
      <c r="AW45" s="292">
        <f>SUM('PER BULAN'!BD85)</f>
        <v>10640750</v>
      </c>
      <c r="AX45" s="292">
        <f>SUM('PER BULAN'!BE85)</f>
        <v>0</v>
      </c>
    </row>
    <row r="46" spans="1:50" s="278" customFormat="1" x14ac:dyDescent="0.3">
      <c r="A46" s="277" t="s">
        <v>4693</v>
      </c>
      <c r="B46" s="277" t="s">
        <v>4694</v>
      </c>
      <c r="C46" s="277" t="s">
        <v>4720</v>
      </c>
      <c r="D46" s="277" t="s">
        <v>4721</v>
      </c>
      <c r="E46" s="277" t="s">
        <v>197</v>
      </c>
      <c r="F46" s="277" t="s">
        <v>4722</v>
      </c>
      <c r="G46" s="277" t="s">
        <v>4748</v>
      </c>
      <c r="H46" s="277" t="s">
        <v>4749</v>
      </c>
      <c r="I46" s="277">
        <v>301</v>
      </c>
      <c r="J46" s="277" t="s">
        <v>4754</v>
      </c>
      <c r="K46" s="277">
        <v>301</v>
      </c>
      <c r="L46" s="277" t="s">
        <v>4753</v>
      </c>
      <c r="M46" s="277" t="s">
        <v>512</v>
      </c>
      <c r="N46" s="277" t="s">
        <v>4755</v>
      </c>
      <c r="O46" s="277">
        <v>521211</v>
      </c>
      <c r="P46" s="277" t="s">
        <v>4698</v>
      </c>
      <c r="Q46" s="278">
        <v>46000000</v>
      </c>
      <c r="R46" s="292">
        <f>SUM('PER BULAN'!G87:I87)</f>
        <v>0</v>
      </c>
      <c r="S46" s="292">
        <f>SUM('PER BULAN'!J87:L87)</f>
        <v>0</v>
      </c>
      <c r="T46" s="292">
        <f>SUM('PER BULAN'!M87:O87)</f>
        <v>3987000</v>
      </c>
      <c r="U46" s="292">
        <f>SUM('PER BULAN'!P87:R87)</f>
        <v>0</v>
      </c>
      <c r="V46" s="292">
        <f>SUM('PER BULAN'!S87:U87)</f>
        <v>29384740</v>
      </c>
      <c r="W46" s="292">
        <f>SUM('PER BULAN'!V87:X87)</f>
        <v>0</v>
      </c>
      <c r="X46" s="292">
        <f>SUM('PER BULAN'!Y87:AA87)</f>
        <v>0</v>
      </c>
      <c r="Y46" s="292">
        <f>SUM('PER BULAN'!AB87:AD87)</f>
        <v>0</v>
      </c>
      <c r="Z46" s="292">
        <f>SUM('PER BULAN'!AE87:AG87)</f>
        <v>0</v>
      </c>
      <c r="AA46" s="292">
        <f>SUM('PER BULAN'!AH87:AJ87)</f>
        <v>0</v>
      </c>
      <c r="AB46" s="292">
        <f>SUM('PER BULAN'!AK87:AM87)</f>
        <v>0</v>
      </c>
      <c r="AC46" s="292">
        <f>SUM('PER BULAN'!AN87:AP87)</f>
        <v>0</v>
      </c>
      <c r="AD46" s="277" t="s">
        <v>530</v>
      </c>
      <c r="AE46" s="277" t="s">
        <v>576</v>
      </c>
      <c r="AF46" s="277" t="s">
        <v>560</v>
      </c>
      <c r="AG46" s="277" t="s">
        <v>4699</v>
      </c>
      <c r="AH46" s="277" t="s">
        <v>4700</v>
      </c>
      <c r="AI46" s="277">
        <f t="shared" si="0"/>
        <v>33371740</v>
      </c>
      <c r="AJ46" s="291">
        <f t="shared" si="1"/>
        <v>72.547260869565221</v>
      </c>
      <c r="AK46" s="277">
        <f t="shared" si="2"/>
        <v>12628260</v>
      </c>
      <c r="AL46" s="291">
        <f t="shared" si="3"/>
        <v>27.452739130434782</v>
      </c>
      <c r="AM46" s="277" t="s">
        <v>1419</v>
      </c>
      <c r="AN46" s="277" t="s">
        <v>4730</v>
      </c>
      <c r="AO46" s="277" t="s">
        <v>4731</v>
      </c>
      <c r="AP46" s="277" t="s">
        <v>4732</v>
      </c>
      <c r="AQ46" s="292">
        <f>SUM('PER BULAN'!AX87)</f>
        <v>0</v>
      </c>
      <c r="AR46" s="292">
        <f>SUM('PER BULAN'!AY87)</f>
        <v>3987000</v>
      </c>
      <c r="AS46" s="292">
        <f>SUM('PER BULAN'!AZ87)</f>
        <v>0</v>
      </c>
      <c r="AT46" s="292">
        <f>SUM('PER BULAN'!BA87)</f>
        <v>0</v>
      </c>
      <c r="AU46" s="292">
        <f>SUM('PER BULAN'!BB87)</f>
        <v>0</v>
      </c>
      <c r="AV46" s="292">
        <f>SUM('PER BULAN'!BC87)</f>
        <v>0</v>
      </c>
      <c r="AW46" s="292">
        <f>SUM('PER BULAN'!BD87)</f>
        <v>29384740</v>
      </c>
      <c r="AX46" s="292">
        <f>SUM('PER BULAN'!BE87)</f>
        <v>0</v>
      </c>
    </row>
    <row r="47" spans="1:50" s="278" customFormat="1" x14ac:dyDescent="0.3">
      <c r="A47" s="277" t="s">
        <v>4693</v>
      </c>
      <c r="B47" s="277" t="s">
        <v>4694</v>
      </c>
      <c r="C47" s="277" t="s">
        <v>4720</v>
      </c>
      <c r="D47" s="277" t="s">
        <v>4721</v>
      </c>
      <c r="E47" s="277" t="s">
        <v>197</v>
      </c>
      <c r="F47" s="277" t="s">
        <v>4722</v>
      </c>
      <c r="G47" s="277" t="s">
        <v>4748</v>
      </c>
      <c r="H47" s="277" t="s">
        <v>4749</v>
      </c>
      <c r="I47" s="277">
        <v>301</v>
      </c>
      <c r="J47" s="277" t="s">
        <v>4754</v>
      </c>
      <c r="K47" s="277">
        <v>301</v>
      </c>
      <c r="L47" s="277" t="s">
        <v>4753</v>
      </c>
      <c r="M47" s="277" t="s">
        <v>512</v>
      </c>
      <c r="N47" s="277" t="s">
        <v>4755</v>
      </c>
      <c r="O47" s="277">
        <v>522141</v>
      </c>
      <c r="P47" s="277" t="s">
        <v>4704</v>
      </c>
      <c r="Q47" s="278">
        <v>6000000</v>
      </c>
      <c r="R47" s="292">
        <f>SUM('PER BULAN'!G88:I88)</f>
        <v>0</v>
      </c>
      <c r="S47" s="292">
        <f>SUM('PER BULAN'!J88:L88)</f>
        <v>0</v>
      </c>
      <c r="T47" s="292">
        <f>SUM('PER BULAN'!M88:O88)</f>
        <v>0</v>
      </c>
      <c r="U47" s="292">
        <f>SUM('PER BULAN'!P88:R88)</f>
        <v>0</v>
      </c>
      <c r="V47" s="292">
        <f>SUM('PER BULAN'!S88:U88)</f>
        <v>0</v>
      </c>
      <c r="W47" s="292">
        <f>SUM('PER BULAN'!V88:X88)</f>
        <v>0</v>
      </c>
      <c r="X47" s="292">
        <f>SUM('PER BULAN'!Y88:AA88)</f>
        <v>0</v>
      </c>
      <c r="Y47" s="292">
        <f>SUM('PER BULAN'!AB88:AD88)</f>
        <v>0</v>
      </c>
      <c r="Z47" s="292">
        <f>SUM('PER BULAN'!AE88:AG88)</f>
        <v>0</v>
      </c>
      <c r="AA47" s="292">
        <f>SUM('PER BULAN'!AH88:AJ88)</f>
        <v>0</v>
      </c>
      <c r="AB47" s="292">
        <f>SUM('PER BULAN'!AK88:AM88)</f>
        <v>0</v>
      </c>
      <c r="AC47" s="292">
        <f>SUM('PER BULAN'!AN88:AP88)</f>
        <v>0</v>
      </c>
      <c r="AD47" s="277" t="s">
        <v>530</v>
      </c>
      <c r="AE47" s="277" t="s">
        <v>576</v>
      </c>
      <c r="AF47" s="277" t="s">
        <v>560</v>
      </c>
      <c r="AG47" s="277" t="s">
        <v>4699</v>
      </c>
      <c r="AH47" s="277" t="s">
        <v>4700</v>
      </c>
      <c r="AI47" s="277">
        <f t="shared" si="0"/>
        <v>0</v>
      </c>
      <c r="AJ47" s="291">
        <f t="shared" si="1"/>
        <v>0</v>
      </c>
      <c r="AK47" s="277">
        <f t="shared" si="2"/>
        <v>6000000</v>
      </c>
      <c r="AL47" s="291">
        <f t="shared" si="3"/>
        <v>100</v>
      </c>
      <c r="AM47" s="277" t="s">
        <v>1428</v>
      </c>
      <c r="AN47" s="277" t="s">
        <v>4730</v>
      </c>
      <c r="AO47" s="277" t="s">
        <v>4740</v>
      </c>
      <c r="AP47" s="277" t="s">
        <v>4732</v>
      </c>
      <c r="AQ47" s="292">
        <f>SUM('PER BULAN'!AX88)</f>
        <v>0</v>
      </c>
      <c r="AR47" s="292">
        <f>SUM('PER BULAN'!AY88)</f>
        <v>0</v>
      </c>
      <c r="AS47" s="292">
        <f>SUM('PER BULAN'!AZ88)</f>
        <v>0</v>
      </c>
      <c r="AT47" s="292">
        <f>SUM('PER BULAN'!BA88)</f>
        <v>0</v>
      </c>
      <c r="AU47" s="292">
        <f>SUM('PER BULAN'!BB88)</f>
        <v>0</v>
      </c>
      <c r="AV47" s="292">
        <f>SUM('PER BULAN'!BC88)</f>
        <v>0</v>
      </c>
      <c r="AW47" s="292">
        <f>SUM('PER BULAN'!BD88)</f>
        <v>0</v>
      </c>
      <c r="AX47" s="292">
        <f>SUM('PER BULAN'!BE88)</f>
        <v>0</v>
      </c>
    </row>
    <row r="48" spans="1:50" s="278" customFormat="1" x14ac:dyDescent="0.3">
      <c r="A48" s="277" t="s">
        <v>4693</v>
      </c>
      <c r="B48" s="277" t="s">
        <v>4694</v>
      </c>
      <c r="C48" s="277" t="s">
        <v>4720</v>
      </c>
      <c r="D48" s="277" t="s">
        <v>4721</v>
      </c>
      <c r="E48" s="277" t="s">
        <v>197</v>
      </c>
      <c r="F48" s="277" t="s">
        <v>4722</v>
      </c>
      <c r="G48" s="277" t="s">
        <v>4748</v>
      </c>
      <c r="H48" s="277" t="s">
        <v>4749</v>
      </c>
      <c r="I48" s="277">
        <v>301</v>
      </c>
      <c r="J48" s="277" t="s">
        <v>4754</v>
      </c>
      <c r="K48" s="277">
        <v>301</v>
      </c>
      <c r="L48" s="277" t="s">
        <v>4753</v>
      </c>
      <c r="M48" s="277" t="s">
        <v>512</v>
      </c>
      <c r="N48" s="277" t="s">
        <v>4755</v>
      </c>
      <c r="O48" s="277" t="s">
        <v>513</v>
      </c>
      <c r="P48" s="277" t="s">
        <v>4702</v>
      </c>
      <c r="Q48" s="278">
        <v>18000000</v>
      </c>
      <c r="R48" s="292">
        <f>SUM('PER BULAN'!G89:I89)</f>
        <v>0</v>
      </c>
      <c r="S48" s="292">
        <f>SUM('PER BULAN'!J89:L89)</f>
        <v>0</v>
      </c>
      <c r="T48" s="292">
        <f>SUM('PER BULAN'!M89:O89)</f>
        <v>1290000</v>
      </c>
      <c r="U48" s="292">
        <f>SUM('PER BULAN'!P89:R89)</f>
        <v>0</v>
      </c>
      <c r="V48" s="292">
        <f>SUM('PER BULAN'!S89:U89)</f>
        <v>7020000</v>
      </c>
      <c r="W48" s="292">
        <f>SUM('PER BULAN'!V89:X89)</f>
        <v>0</v>
      </c>
      <c r="X48" s="292">
        <f>SUM('PER BULAN'!Y89:AA89)</f>
        <v>0</v>
      </c>
      <c r="Y48" s="292">
        <f>SUM('PER BULAN'!AB89:AD89)</f>
        <v>0</v>
      </c>
      <c r="Z48" s="292">
        <f>SUM('PER BULAN'!AE89:AG89)</f>
        <v>0</v>
      </c>
      <c r="AA48" s="292">
        <f>SUM('PER BULAN'!AH89:AJ89)</f>
        <v>0</v>
      </c>
      <c r="AB48" s="292">
        <f>SUM('PER BULAN'!AK89:AM89)</f>
        <v>0</v>
      </c>
      <c r="AC48" s="292">
        <f>SUM('PER BULAN'!AN89:AP89)</f>
        <v>0</v>
      </c>
      <c r="AD48" s="277" t="s">
        <v>530</v>
      </c>
      <c r="AE48" s="277" t="s">
        <v>576</v>
      </c>
      <c r="AF48" s="277" t="s">
        <v>560</v>
      </c>
      <c r="AG48" s="277" t="s">
        <v>4699</v>
      </c>
      <c r="AH48" s="277" t="s">
        <v>4700</v>
      </c>
      <c r="AI48" s="277">
        <f t="shared" si="0"/>
        <v>8310000</v>
      </c>
      <c r="AJ48" s="291">
        <f t="shared" si="1"/>
        <v>46.166666666666664</v>
      </c>
      <c r="AK48" s="277">
        <f t="shared" si="2"/>
        <v>9690000</v>
      </c>
      <c r="AL48" s="291">
        <f t="shared" si="3"/>
        <v>53.833333333333336</v>
      </c>
      <c r="AM48" s="277" t="s">
        <v>1431</v>
      </c>
      <c r="AN48" s="277" t="s">
        <v>4730</v>
      </c>
      <c r="AO48" s="277" t="s">
        <v>4736</v>
      </c>
      <c r="AP48" s="277" t="s">
        <v>4732</v>
      </c>
      <c r="AQ48" s="292">
        <f>SUM('PER BULAN'!AX89)</f>
        <v>0</v>
      </c>
      <c r="AR48" s="292">
        <f>SUM('PER BULAN'!AY89)</f>
        <v>1290000</v>
      </c>
      <c r="AS48" s="292">
        <f>SUM('PER BULAN'!AZ89)</f>
        <v>0</v>
      </c>
      <c r="AT48" s="292">
        <f>SUM('PER BULAN'!BA89)</f>
        <v>0</v>
      </c>
      <c r="AU48" s="292">
        <f>SUM('PER BULAN'!BB89)</f>
        <v>3300000</v>
      </c>
      <c r="AV48" s="292">
        <f>SUM('PER BULAN'!BC89)</f>
        <v>3720000</v>
      </c>
      <c r="AW48" s="292">
        <f>SUM('PER BULAN'!BD89)</f>
        <v>0</v>
      </c>
      <c r="AX48" s="292">
        <f>SUM('PER BULAN'!BE89)</f>
        <v>0</v>
      </c>
    </row>
    <row r="49" spans="1:50" s="278" customFormat="1" x14ac:dyDescent="0.3">
      <c r="A49" s="277" t="s">
        <v>4693</v>
      </c>
      <c r="B49" s="277" t="s">
        <v>4694</v>
      </c>
      <c r="C49" s="277" t="s">
        <v>4720</v>
      </c>
      <c r="D49" s="277" t="s">
        <v>4721</v>
      </c>
      <c r="E49" s="277" t="s">
        <v>197</v>
      </c>
      <c r="F49" s="277" t="s">
        <v>4722</v>
      </c>
      <c r="G49" s="277" t="s">
        <v>4748</v>
      </c>
      <c r="H49" s="277" t="s">
        <v>4749</v>
      </c>
      <c r="I49" s="277">
        <v>301</v>
      </c>
      <c r="J49" s="277" t="s">
        <v>4754</v>
      </c>
      <c r="K49" s="277">
        <v>301</v>
      </c>
      <c r="L49" s="277" t="s">
        <v>4753</v>
      </c>
      <c r="M49" s="277" t="s">
        <v>512</v>
      </c>
      <c r="N49" s="277" t="s">
        <v>4755</v>
      </c>
      <c r="O49" s="277" t="s">
        <v>507</v>
      </c>
      <c r="P49" s="277" t="s">
        <v>508</v>
      </c>
      <c r="Q49" s="278">
        <v>4500000</v>
      </c>
      <c r="R49" s="292">
        <f>SUM('PER BULAN'!G90:I90)</f>
        <v>0</v>
      </c>
      <c r="S49" s="292">
        <f>SUM('PER BULAN'!J90:L90)</f>
        <v>0</v>
      </c>
      <c r="T49" s="292">
        <f>SUM('PER BULAN'!M90:O90)</f>
        <v>600000</v>
      </c>
      <c r="U49" s="292">
        <f>SUM('PER BULAN'!P90:R90)</f>
        <v>0</v>
      </c>
      <c r="V49" s="292">
        <f>SUM('PER BULAN'!S90:U90)</f>
        <v>0</v>
      </c>
      <c r="W49" s="292">
        <f>SUM('PER BULAN'!V90:X90)</f>
        <v>0</v>
      </c>
      <c r="X49" s="292">
        <f>SUM('PER BULAN'!Y90:AA90)</f>
        <v>0</v>
      </c>
      <c r="Y49" s="292">
        <f>SUM('PER BULAN'!AB90:AD90)</f>
        <v>0</v>
      </c>
      <c r="Z49" s="292">
        <f>SUM('PER BULAN'!AE90:AG90)</f>
        <v>0</v>
      </c>
      <c r="AA49" s="292">
        <f>SUM('PER BULAN'!AH90:AJ90)</f>
        <v>0</v>
      </c>
      <c r="AB49" s="292">
        <f>SUM('PER BULAN'!AK90:AM90)</f>
        <v>0</v>
      </c>
      <c r="AC49" s="292">
        <f>SUM('PER BULAN'!AN90:AP90)</f>
        <v>0</v>
      </c>
      <c r="AD49" s="277" t="s">
        <v>530</v>
      </c>
      <c r="AE49" s="277" t="s">
        <v>576</v>
      </c>
      <c r="AF49" s="277" t="s">
        <v>560</v>
      </c>
      <c r="AG49" s="277" t="s">
        <v>4699</v>
      </c>
      <c r="AH49" s="277" t="s">
        <v>4700</v>
      </c>
      <c r="AI49" s="277">
        <f t="shared" si="0"/>
        <v>600000</v>
      </c>
      <c r="AJ49" s="291">
        <f t="shared" si="1"/>
        <v>13.333333333333334</v>
      </c>
      <c r="AK49" s="277">
        <f t="shared" si="2"/>
        <v>3900000</v>
      </c>
      <c r="AL49" s="291">
        <f t="shared" si="3"/>
        <v>86.666666666666671</v>
      </c>
      <c r="AM49" s="277" t="s">
        <v>1434</v>
      </c>
      <c r="AN49" s="277" t="s">
        <v>4730</v>
      </c>
      <c r="AO49" s="277" t="s">
        <v>4738</v>
      </c>
      <c r="AP49" s="277" t="s">
        <v>4732</v>
      </c>
      <c r="AQ49" s="292">
        <f>SUM('PER BULAN'!AX90)</f>
        <v>600000</v>
      </c>
      <c r="AR49" s="292">
        <f>SUM('PER BULAN'!AY90)</f>
        <v>0</v>
      </c>
      <c r="AS49" s="292">
        <f>SUM('PER BULAN'!AZ90)</f>
        <v>0</v>
      </c>
      <c r="AT49" s="292">
        <f>SUM('PER BULAN'!BA90)</f>
        <v>0</v>
      </c>
      <c r="AU49" s="292">
        <f>SUM('PER BULAN'!BB90)</f>
        <v>0</v>
      </c>
      <c r="AV49" s="292">
        <f>SUM('PER BULAN'!BC90)</f>
        <v>0</v>
      </c>
      <c r="AW49" s="292">
        <f>SUM('PER BULAN'!BD90)</f>
        <v>0</v>
      </c>
      <c r="AX49" s="292">
        <f>SUM('PER BULAN'!BE90)</f>
        <v>0</v>
      </c>
    </row>
    <row r="50" spans="1:50" s="278" customFormat="1" x14ac:dyDescent="0.3">
      <c r="A50" s="277" t="s">
        <v>4693</v>
      </c>
      <c r="B50" s="277" t="s">
        <v>4694</v>
      </c>
      <c r="C50" s="277" t="s">
        <v>4720</v>
      </c>
      <c r="D50" s="277" t="s">
        <v>4721</v>
      </c>
      <c r="E50" s="277" t="s">
        <v>197</v>
      </c>
      <c r="F50" s="277" t="s">
        <v>4722</v>
      </c>
      <c r="G50" s="277" t="s">
        <v>4748</v>
      </c>
      <c r="H50" s="277" t="s">
        <v>4749</v>
      </c>
      <c r="I50" s="277">
        <v>301</v>
      </c>
      <c r="J50" s="277" t="s">
        <v>4754</v>
      </c>
      <c r="K50" s="277">
        <v>301</v>
      </c>
      <c r="L50" s="277" t="s">
        <v>4753</v>
      </c>
      <c r="M50" s="277" t="s">
        <v>514</v>
      </c>
      <c r="N50" s="277" t="s">
        <v>4726</v>
      </c>
      <c r="O50" s="277">
        <v>521211</v>
      </c>
      <c r="P50" s="277" t="s">
        <v>4698</v>
      </c>
      <c r="Q50" s="278">
        <v>28000000</v>
      </c>
      <c r="R50" s="292">
        <f>SUM('PER BULAN'!G92:I92)</f>
        <v>0</v>
      </c>
      <c r="S50" s="292">
        <f>SUM('PER BULAN'!J92:L92)</f>
        <v>0</v>
      </c>
      <c r="T50" s="292">
        <f>SUM('PER BULAN'!M92:O92)</f>
        <v>5459000</v>
      </c>
      <c r="U50" s="292">
        <f>SUM('PER BULAN'!P92:R92)</f>
        <v>0</v>
      </c>
      <c r="V50" s="292">
        <f>SUM('PER BULAN'!S92:U92)</f>
        <v>0</v>
      </c>
      <c r="W50" s="292">
        <f>SUM('PER BULAN'!V92:X92)</f>
        <v>0</v>
      </c>
      <c r="X50" s="292">
        <f>SUM('PER BULAN'!Y92:AA92)</f>
        <v>0</v>
      </c>
      <c r="Y50" s="292">
        <f>SUM('PER BULAN'!AB92:AD92)</f>
        <v>0</v>
      </c>
      <c r="Z50" s="292">
        <f>SUM('PER BULAN'!AE92:AG92)</f>
        <v>0</v>
      </c>
      <c r="AA50" s="292">
        <f>SUM('PER BULAN'!AH92:AJ92)</f>
        <v>0</v>
      </c>
      <c r="AB50" s="292">
        <f>SUM('PER BULAN'!AK92:AM92)</f>
        <v>0</v>
      </c>
      <c r="AC50" s="292">
        <f>SUM('PER BULAN'!AN92:AP92)</f>
        <v>0</v>
      </c>
      <c r="AD50" s="277" t="s">
        <v>530</v>
      </c>
      <c r="AE50" s="277" t="s">
        <v>576</v>
      </c>
      <c r="AF50" s="277" t="s">
        <v>560</v>
      </c>
      <c r="AG50" s="277" t="s">
        <v>4699</v>
      </c>
      <c r="AH50" s="277" t="s">
        <v>4700</v>
      </c>
      <c r="AI50" s="277">
        <f t="shared" si="0"/>
        <v>5459000</v>
      </c>
      <c r="AJ50" s="291">
        <f t="shared" si="1"/>
        <v>19.49642857142857</v>
      </c>
      <c r="AK50" s="277">
        <f t="shared" si="2"/>
        <v>22541000</v>
      </c>
      <c r="AL50" s="291">
        <f t="shared" si="3"/>
        <v>80.503571428571433</v>
      </c>
      <c r="AM50" s="277" t="s">
        <v>1438</v>
      </c>
      <c r="AN50" s="277" t="s">
        <v>4730</v>
      </c>
      <c r="AO50" s="277" t="s">
        <v>4731</v>
      </c>
      <c r="AP50" s="277" t="s">
        <v>4732</v>
      </c>
      <c r="AQ50" s="292">
        <f>SUM('PER BULAN'!AX92)</f>
        <v>0</v>
      </c>
      <c r="AR50" s="292">
        <f>SUM('PER BULAN'!AY92)</f>
        <v>5459000</v>
      </c>
      <c r="AS50" s="292">
        <f>SUM('PER BULAN'!AZ92)</f>
        <v>0</v>
      </c>
      <c r="AT50" s="292">
        <f>SUM('PER BULAN'!BA92)</f>
        <v>0</v>
      </c>
      <c r="AU50" s="292">
        <f>SUM('PER BULAN'!BB92)</f>
        <v>0</v>
      </c>
      <c r="AV50" s="292">
        <f>SUM('PER BULAN'!BC92)</f>
        <v>0</v>
      </c>
      <c r="AW50" s="292">
        <f>SUM('PER BULAN'!BD92)</f>
        <v>0</v>
      </c>
      <c r="AX50" s="292">
        <f>SUM('PER BULAN'!BE92)</f>
        <v>0</v>
      </c>
    </row>
    <row r="51" spans="1:50" s="278" customFormat="1" x14ac:dyDescent="0.3">
      <c r="A51" s="277" t="s">
        <v>4693</v>
      </c>
      <c r="B51" s="277" t="s">
        <v>4694</v>
      </c>
      <c r="C51" s="277" t="s">
        <v>4720</v>
      </c>
      <c r="D51" s="277" t="s">
        <v>4721</v>
      </c>
      <c r="E51" s="277" t="s">
        <v>197</v>
      </c>
      <c r="F51" s="277" t="s">
        <v>4722</v>
      </c>
      <c r="G51" s="277" t="s">
        <v>4748</v>
      </c>
      <c r="H51" s="277" t="s">
        <v>4749</v>
      </c>
      <c r="I51" s="277">
        <v>301</v>
      </c>
      <c r="J51" s="277" t="s">
        <v>4754</v>
      </c>
      <c r="K51" s="277">
        <v>301</v>
      </c>
      <c r="L51" s="277" t="s">
        <v>4753</v>
      </c>
      <c r="M51" s="277" t="s">
        <v>514</v>
      </c>
      <c r="N51" s="277" t="s">
        <v>4726</v>
      </c>
      <c r="O51" s="277" t="s">
        <v>513</v>
      </c>
      <c r="P51" s="277" t="s">
        <v>4702</v>
      </c>
      <c r="Q51" s="278">
        <v>71250000</v>
      </c>
      <c r="R51" s="292">
        <f>SUM('PER BULAN'!G93:I93)</f>
        <v>0</v>
      </c>
      <c r="S51" s="292">
        <f>SUM('PER BULAN'!J93:L93)</f>
        <v>0</v>
      </c>
      <c r="T51" s="292">
        <f>SUM('PER BULAN'!M93:O93)</f>
        <v>8227400</v>
      </c>
      <c r="U51" s="292">
        <f>SUM('PER BULAN'!P93:R93)</f>
        <v>15762838</v>
      </c>
      <c r="V51" s="292">
        <f>SUM('PER BULAN'!S93:U93)</f>
        <v>3691500</v>
      </c>
      <c r="W51" s="292">
        <f>SUM('PER BULAN'!V93:X93)</f>
        <v>0</v>
      </c>
      <c r="X51" s="292">
        <f>SUM('PER BULAN'!Y93:AA93)</f>
        <v>0</v>
      </c>
      <c r="Y51" s="292">
        <f>SUM('PER BULAN'!AB93:AD93)</f>
        <v>0</v>
      </c>
      <c r="Z51" s="292">
        <f>SUM('PER BULAN'!AE93:AG93)</f>
        <v>0</v>
      </c>
      <c r="AA51" s="292">
        <f>SUM('PER BULAN'!AH93:AJ93)</f>
        <v>0</v>
      </c>
      <c r="AB51" s="292">
        <f>SUM('PER BULAN'!AK93:AM93)</f>
        <v>0</v>
      </c>
      <c r="AC51" s="292">
        <f>SUM('PER BULAN'!AN93:AP93)</f>
        <v>0</v>
      </c>
      <c r="AD51" s="277" t="s">
        <v>530</v>
      </c>
      <c r="AE51" s="277" t="s">
        <v>576</v>
      </c>
      <c r="AF51" s="277" t="s">
        <v>560</v>
      </c>
      <c r="AG51" s="277" t="s">
        <v>4699</v>
      </c>
      <c r="AH51" s="277" t="s">
        <v>4700</v>
      </c>
      <c r="AI51" s="277">
        <f t="shared" si="0"/>
        <v>27681738</v>
      </c>
      <c r="AJ51" s="291">
        <f t="shared" si="1"/>
        <v>38.851562105263163</v>
      </c>
      <c r="AK51" s="277">
        <f t="shared" si="2"/>
        <v>43568262</v>
      </c>
      <c r="AL51" s="291">
        <f t="shared" si="3"/>
        <v>61.148437894736837</v>
      </c>
      <c r="AM51" s="277" t="s">
        <v>1443</v>
      </c>
      <c r="AN51" s="277" t="s">
        <v>4730</v>
      </c>
      <c r="AO51" s="277" t="s">
        <v>4736</v>
      </c>
      <c r="AP51" s="277" t="s">
        <v>4732</v>
      </c>
      <c r="AQ51" s="292">
        <f>SUM('PER BULAN'!AX93)</f>
        <v>4907400</v>
      </c>
      <c r="AR51" s="292">
        <f>SUM('PER BULAN'!AY93)</f>
        <v>3320000</v>
      </c>
      <c r="AS51" s="292">
        <f>SUM('PER BULAN'!AZ93)</f>
        <v>0</v>
      </c>
      <c r="AT51" s="292">
        <f>SUM('PER BULAN'!BA93)</f>
        <v>1410000</v>
      </c>
      <c r="AU51" s="292">
        <f>SUM('PER BULAN'!BB93)</f>
        <v>0</v>
      </c>
      <c r="AV51" s="292">
        <f>SUM('PER BULAN'!BC93)</f>
        <v>0</v>
      </c>
      <c r="AW51" s="292">
        <f>SUM('PER BULAN'!BD93)</f>
        <v>3691500</v>
      </c>
      <c r="AX51" s="292">
        <f>SUM('PER BULAN'!BE93)</f>
        <v>0</v>
      </c>
    </row>
    <row r="52" spans="1:50" s="278" customFormat="1" x14ac:dyDescent="0.3">
      <c r="A52" s="277" t="s">
        <v>4693</v>
      </c>
      <c r="B52" s="277" t="s">
        <v>4694</v>
      </c>
      <c r="C52" s="277" t="s">
        <v>4720</v>
      </c>
      <c r="D52" s="277" t="s">
        <v>4721</v>
      </c>
      <c r="E52" s="277" t="s">
        <v>197</v>
      </c>
      <c r="F52" s="277" t="s">
        <v>4722</v>
      </c>
      <c r="G52" s="277" t="s">
        <v>4748</v>
      </c>
      <c r="H52" s="277" t="s">
        <v>4749</v>
      </c>
      <c r="I52" s="277">
        <v>301</v>
      </c>
      <c r="J52" s="277" t="s">
        <v>4754</v>
      </c>
      <c r="K52" s="277">
        <v>301</v>
      </c>
      <c r="L52" s="277" t="s">
        <v>4753</v>
      </c>
      <c r="M52" s="277" t="s">
        <v>514</v>
      </c>
      <c r="N52" s="277" t="s">
        <v>4726</v>
      </c>
      <c r="O52" s="277" t="s">
        <v>507</v>
      </c>
      <c r="P52" s="277" t="s">
        <v>508</v>
      </c>
      <c r="Q52" s="278">
        <v>1800000</v>
      </c>
      <c r="R52" s="292">
        <f>SUM('PER BULAN'!G94:I94)</f>
        <v>0</v>
      </c>
      <c r="S52" s="292">
        <f>SUM('PER BULAN'!J94:L94)</f>
        <v>0</v>
      </c>
      <c r="T52" s="292">
        <f>SUM('PER BULAN'!M94:O94)</f>
        <v>0</v>
      </c>
      <c r="U52" s="292">
        <f>SUM('PER BULAN'!P94:R94)</f>
        <v>0</v>
      </c>
      <c r="V52" s="292">
        <f>SUM('PER BULAN'!S94:U94)</f>
        <v>0</v>
      </c>
      <c r="W52" s="292">
        <f>SUM('PER BULAN'!V94:X94)</f>
        <v>0</v>
      </c>
      <c r="X52" s="292">
        <f>SUM('PER BULAN'!Y94:AA94)</f>
        <v>0</v>
      </c>
      <c r="Y52" s="292">
        <f>SUM('PER BULAN'!AB94:AD94)</f>
        <v>0</v>
      </c>
      <c r="Z52" s="292">
        <f>SUM('PER BULAN'!AE94:AG94)</f>
        <v>0</v>
      </c>
      <c r="AA52" s="292">
        <f>SUM('PER BULAN'!AH94:AJ94)</f>
        <v>0</v>
      </c>
      <c r="AB52" s="292">
        <f>SUM('PER BULAN'!AK94:AM94)</f>
        <v>0</v>
      </c>
      <c r="AC52" s="292">
        <f>SUM('PER BULAN'!AN94:AP94)</f>
        <v>0</v>
      </c>
      <c r="AD52" s="277" t="s">
        <v>530</v>
      </c>
      <c r="AE52" s="277" t="s">
        <v>576</v>
      </c>
      <c r="AF52" s="277" t="s">
        <v>560</v>
      </c>
      <c r="AG52" s="277" t="s">
        <v>4699</v>
      </c>
      <c r="AH52" s="277" t="s">
        <v>4700</v>
      </c>
      <c r="AI52" s="277">
        <f t="shared" si="0"/>
        <v>0</v>
      </c>
      <c r="AJ52" s="291">
        <f t="shared" si="1"/>
        <v>0</v>
      </c>
      <c r="AK52" s="277">
        <f t="shared" si="2"/>
        <v>1800000</v>
      </c>
      <c r="AL52" s="291">
        <f t="shared" si="3"/>
        <v>100</v>
      </c>
      <c r="AM52" s="277" t="s">
        <v>1434</v>
      </c>
      <c r="AN52" s="277" t="s">
        <v>4730</v>
      </c>
      <c r="AO52" s="277" t="s">
        <v>4738</v>
      </c>
      <c r="AP52" s="277" t="s">
        <v>4732</v>
      </c>
      <c r="AQ52" s="292">
        <f>SUM('PER BULAN'!AX94)</f>
        <v>0</v>
      </c>
      <c r="AR52" s="292">
        <f>SUM('PER BULAN'!AY94)</f>
        <v>0</v>
      </c>
      <c r="AS52" s="292">
        <f>SUM('PER BULAN'!AZ94)</f>
        <v>0</v>
      </c>
      <c r="AT52" s="292">
        <f>SUM('PER BULAN'!BA94)</f>
        <v>0</v>
      </c>
      <c r="AU52" s="292">
        <f>SUM('PER BULAN'!BB94)</f>
        <v>0</v>
      </c>
      <c r="AV52" s="292">
        <f>SUM('PER BULAN'!BC94)</f>
        <v>0</v>
      </c>
      <c r="AW52" s="292">
        <f>SUM('PER BULAN'!BD94)</f>
        <v>0</v>
      </c>
      <c r="AX52" s="292">
        <f>SUM('PER BULAN'!BE94)</f>
        <v>0</v>
      </c>
    </row>
    <row r="53" spans="1:50" s="278" customFormat="1" x14ac:dyDescent="0.3">
      <c r="A53" s="277" t="s">
        <v>4693</v>
      </c>
      <c r="B53" s="277" t="s">
        <v>4694</v>
      </c>
      <c r="C53" s="277" t="s">
        <v>4720</v>
      </c>
      <c r="D53" s="277" t="s">
        <v>4721</v>
      </c>
      <c r="E53" s="277" t="s">
        <v>197</v>
      </c>
      <c r="F53" s="277" t="s">
        <v>4722</v>
      </c>
      <c r="G53" s="277" t="s">
        <v>4748</v>
      </c>
      <c r="H53" s="277" t="s">
        <v>4749</v>
      </c>
      <c r="I53" s="277">
        <v>301</v>
      </c>
      <c r="J53" s="277" t="s">
        <v>4754</v>
      </c>
      <c r="K53" s="277">
        <v>301</v>
      </c>
      <c r="L53" s="277" t="s">
        <v>4753</v>
      </c>
      <c r="M53" s="277" t="s">
        <v>519</v>
      </c>
      <c r="N53" s="277" t="s">
        <v>4756</v>
      </c>
      <c r="O53" s="277">
        <v>521211</v>
      </c>
      <c r="P53" s="277" t="s">
        <v>4698</v>
      </c>
      <c r="Q53" s="278">
        <v>57600000</v>
      </c>
      <c r="R53" s="292">
        <f>SUM('PER BULAN'!G87:I87)</f>
        <v>0</v>
      </c>
      <c r="S53" s="292">
        <f>SUM('PER BULAN'!J87:L87)</f>
        <v>0</v>
      </c>
      <c r="T53" s="292">
        <f>SUM('PER BULAN'!M96:O96)</f>
        <v>31495000</v>
      </c>
      <c r="U53" s="292">
        <f>SUM('PER BULAN'!P96:R96)</f>
        <v>0</v>
      </c>
      <c r="V53" s="292">
        <f>SUM('PER BULAN'!S96:U96)</f>
        <v>6600000</v>
      </c>
      <c r="W53" s="292">
        <f>SUM('PER BULAN'!V96:X96)</f>
        <v>0</v>
      </c>
      <c r="X53" s="292">
        <f>SUM('PER BULAN'!Y96:AA96)</f>
        <v>0</v>
      </c>
      <c r="Y53" s="292">
        <f>SUM('PER BULAN'!AB96:AD96)</f>
        <v>0</v>
      </c>
      <c r="Z53" s="292">
        <f>SUM('PER BULAN'!AE96:AG96)</f>
        <v>0</v>
      </c>
      <c r="AA53" s="292">
        <f>SUM('PER BULAN'!AH96:AJ96)</f>
        <v>0</v>
      </c>
      <c r="AB53" s="292">
        <f>SUM('PER BULAN'!AK96:AM96)</f>
        <v>0</v>
      </c>
      <c r="AC53" s="292">
        <f>SUM('PER BULAN'!AN96:AP96)</f>
        <v>0</v>
      </c>
      <c r="AD53" s="277" t="s">
        <v>530</v>
      </c>
      <c r="AE53" s="277" t="s">
        <v>576</v>
      </c>
      <c r="AF53" s="277" t="s">
        <v>560</v>
      </c>
      <c r="AG53" s="277" t="s">
        <v>4699</v>
      </c>
      <c r="AH53" s="277" t="s">
        <v>4700</v>
      </c>
      <c r="AI53" s="277">
        <f t="shared" si="0"/>
        <v>38095000</v>
      </c>
      <c r="AJ53" s="291">
        <f t="shared" si="1"/>
        <v>66.137152777777771</v>
      </c>
      <c r="AK53" s="277">
        <f t="shared" si="2"/>
        <v>19505000</v>
      </c>
      <c r="AL53" s="291">
        <f t="shared" si="3"/>
        <v>33.862847222222221</v>
      </c>
      <c r="AM53" s="277" t="s">
        <v>1467</v>
      </c>
      <c r="AN53" s="277" t="s">
        <v>4730</v>
      </c>
      <c r="AO53" s="277" t="s">
        <v>4731</v>
      </c>
      <c r="AP53" s="277" t="s">
        <v>4732</v>
      </c>
      <c r="AQ53" s="292">
        <f>SUM('PER BULAN'!AX96)</f>
        <v>0</v>
      </c>
      <c r="AR53" s="292">
        <f>SUM('PER BULAN'!AY96)</f>
        <v>31495000</v>
      </c>
      <c r="AS53" s="292">
        <f>SUM('PER BULAN'!AZ96)</f>
        <v>0</v>
      </c>
      <c r="AT53" s="292">
        <f>SUM('PER BULAN'!BA96)</f>
        <v>0</v>
      </c>
      <c r="AU53" s="292">
        <f>SUM('PER BULAN'!BB96)</f>
        <v>0</v>
      </c>
      <c r="AV53" s="292">
        <f>SUM('PER BULAN'!BC96)</f>
        <v>0</v>
      </c>
      <c r="AW53" s="292">
        <f>SUM('PER BULAN'!BD96)</f>
        <v>6600000</v>
      </c>
      <c r="AX53" s="292">
        <f>SUM('PER BULAN'!BE96)</f>
        <v>0</v>
      </c>
    </row>
    <row r="54" spans="1:50" s="278" customFormat="1" x14ac:dyDescent="0.3">
      <c r="A54" s="277" t="s">
        <v>4693</v>
      </c>
      <c r="B54" s="277" t="s">
        <v>4694</v>
      </c>
      <c r="C54" s="277" t="s">
        <v>4720</v>
      </c>
      <c r="D54" s="277" t="s">
        <v>4721</v>
      </c>
      <c r="E54" s="277" t="s">
        <v>197</v>
      </c>
      <c r="F54" s="277" t="s">
        <v>4722</v>
      </c>
      <c r="G54" s="277" t="s">
        <v>4748</v>
      </c>
      <c r="H54" s="277" t="s">
        <v>4749</v>
      </c>
      <c r="I54" s="277">
        <v>301</v>
      </c>
      <c r="J54" s="277" t="s">
        <v>4754</v>
      </c>
      <c r="K54" s="277">
        <v>301</v>
      </c>
      <c r="L54" s="277" t="s">
        <v>4753</v>
      </c>
      <c r="M54" s="277" t="s">
        <v>519</v>
      </c>
      <c r="N54" s="277" t="s">
        <v>4756</v>
      </c>
      <c r="O54" s="277">
        <v>521241</v>
      </c>
      <c r="P54" s="277" t="s">
        <v>4757</v>
      </c>
      <c r="Q54" s="278">
        <v>226200000</v>
      </c>
      <c r="R54" s="292">
        <f>SUM('PER BULAN'!G97:I97)</f>
        <v>0</v>
      </c>
      <c r="S54" s="292">
        <f>SUM('PER BULAN'!J97:L97)</f>
        <v>0</v>
      </c>
      <c r="T54" s="292">
        <f>SUM('PER BULAN'!M97:O97)</f>
        <v>47132450</v>
      </c>
      <c r="U54" s="292">
        <f>SUM('PER BULAN'!P97:R97)</f>
        <v>0</v>
      </c>
      <c r="V54" s="292">
        <f>SUM('PER BULAN'!S97:U97)</f>
        <v>20031830</v>
      </c>
      <c r="W54" s="292">
        <f>SUM('PER BULAN'!V97:X97)</f>
        <v>0</v>
      </c>
      <c r="X54" s="292">
        <f>SUM('PER BULAN'!Y97:AA97)</f>
        <v>0</v>
      </c>
      <c r="Y54" s="292">
        <f>SUM('PER BULAN'!AB97:AD97)</f>
        <v>0</v>
      </c>
      <c r="Z54" s="292">
        <f>SUM('PER BULAN'!AE97:AG97)</f>
        <v>0</v>
      </c>
      <c r="AA54" s="292">
        <f>SUM('PER BULAN'!AH97:AJ97)</f>
        <v>0</v>
      </c>
      <c r="AB54" s="292">
        <f>SUM('PER BULAN'!AK97:AM97)</f>
        <v>0</v>
      </c>
      <c r="AC54" s="292">
        <f>SUM('PER BULAN'!AN97:AP97)</f>
        <v>0</v>
      </c>
      <c r="AD54" s="277" t="s">
        <v>530</v>
      </c>
      <c r="AE54" s="277" t="s">
        <v>576</v>
      </c>
      <c r="AF54" s="277" t="s">
        <v>560</v>
      </c>
      <c r="AG54" s="277" t="s">
        <v>4699</v>
      </c>
      <c r="AH54" s="277" t="s">
        <v>4700</v>
      </c>
      <c r="AI54" s="277">
        <f t="shared" si="0"/>
        <v>67164280</v>
      </c>
      <c r="AJ54" s="291">
        <f t="shared" si="1"/>
        <v>29.692431476569407</v>
      </c>
      <c r="AK54" s="277">
        <f t="shared" si="2"/>
        <v>159035720</v>
      </c>
      <c r="AL54" s="291">
        <f t="shared" si="3"/>
        <v>70.307568523430604</v>
      </c>
      <c r="AM54" s="277" t="s">
        <v>1455</v>
      </c>
      <c r="AN54" s="277" t="s">
        <v>4734</v>
      </c>
      <c r="AO54" s="277" t="s">
        <v>4735</v>
      </c>
      <c r="AP54" s="277" t="s">
        <v>4732</v>
      </c>
      <c r="AQ54" s="292">
        <f>SUM('PER BULAN'!AX97)</f>
        <v>0</v>
      </c>
      <c r="AR54" s="292">
        <f>SUM('PER BULAN'!AY97)</f>
        <v>35332450</v>
      </c>
      <c r="AS54" s="292">
        <f>SUM('PER BULAN'!AZ97)</f>
        <v>11800000</v>
      </c>
      <c r="AT54" s="292">
        <f>SUM('PER BULAN'!BA97)</f>
        <v>0</v>
      </c>
      <c r="AU54" s="292">
        <f>SUM('PER BULAN'!BB97)</f>
        <v>0</v>
      </c>
      <c r="AV54" s="292">
        <f>SUM('PER BULAN'!BC97)</f>
        <v>0</v>
      </c>
      <c r="AW54" s="292">
        <f>SUM('PER BULAN'!BD97)</f>
        <v>20031830</v>
      </c>
      <c r="AX54" s="292">
        <f>SUM('PER BULAN'!BE97)</f>
        <v>0</v>
      </c>
    </row>
    <row r="55" spans="1:50" s="278" customFormat="1" x14ac:dyDescent="0.3">
      <c r="A55" s="277" t="s">
        <v>4693</v>
      </c>
      <c r="B55" s="277" t="s">
        <v>4694</v>
      </c>
      <c r="C55" s="277" t="s">
        <v>4720</v>
      </c>
      <c r="D55" s="277" t="s">
        <v>4721</v>
      </c>
      <c r="E55" s="277" t="s">
        <v>197</v>
      </c>
      <c r="F55" s="277" t="s">
        <v>4722</v>
      </c>
      <c r="G55" s="277" t="s">
        <v>4748</v>
      </c>
      <c r="H55" s="277" t="s">
        <v>4749</v>
      </c>
      <c r="I55" s="277">
        <v>301</v>
      </c>
      <c r="J55" s="277" t="s">
        <v>4754</v>
      </c>
      <c r="K55" s="277">
        <v>301</v>
      </c>
      <c r="L55" s="277" t="s">
        <v>4753</v>
      </c>
      <c r="M55" s="277" t="s">
        <v>519</v>
      </c>
      <c r="N55" s="277" t="s">
        <v>4756</v>
      </c>
      <c r="O55" s="277">
        <v>522191</v>
      </c>
      <c r="P55" s="277" t="s">
        <v>4802</v>
      </c>
      <c r="Q55" s="278">
        <v>35000000</v>
      </c>
      <c r="R55" s="292">
        <f>SUM('PER BULAN'!G98:I98)</f>
        <v>0</v>
      </c>
      <c r="S55" s="292">
        <f>SUM('PER BULAN'!J98:L98)</f>
        <v>0</v>
      </c>
      <c r="T55" s="292">
        <f>SUM('PER BULAN'!M98:O98)</f>
        <v>0</v>
      </c>
      <c r="U55" s="292">
        <f>SUM('PER BULAN'!P98:R98)</f>
        <v>0</v>
      </c>
      <c r="V55" s="292">
        <f>SUM('PER BULAN'!S98:U98)</f>
        <v>0</v>
      </c>
      <c r="W55" s="292">
        <f>SUM('PER BULAN'!V98:X98)</f>
        <v>0</v>
      </c>
      <c r="X55" s="292">
        <f>SUM('PER BULAN'!Y98:AA98)</f>
        <v>0</v>
      </c>
      <c r="Y55" s="292">
        <f>SUM('PER BULAN'!AB98:AD98)</f>
        <v>0</v>
      </c>
      <c r="Z55" s="292">
        <f>SUM('PER BULAN'!AE98:AG98)</f>
        <v>0</v>
      </c>
      <c r="AA55" s="292">
        <f>SUM('PER BULAN'!AH98:AJ98)</f>
        <v>0</v>
      </c>
      <c r="AB55" s="292">
        <f>SUM('PER BULAN'!AK98:AM98)</f>
        <v>0</v>
      </c>
      <c r="AC55" s="292">
        <f>SUM('PER BULAN'!AN98:AP98)</f>
        <v>0</v>
      </c>
      <c r="AD55" s="277" t="s">
        <v>530</v>
      </c>
      <c r="AE55" s="277" t="s">
        <v>576</v>
      </c>
      <c r="AF55" s="277" t="s">
        <v>560</v>
      </c>
      <c r="AG55" s="277">
        <v>52</v>
      </c>
      <c r="AH55" s="277" t="s">
        <v>4700</v>
      </c>
      <c r="AI55" s="277">
        <f t="shared" ref="AI55" si="4">SUM(R55:AC55)</f>
        <v>0</v>
      </c>
      <c r="AJ55" s="291">
        <f>AI55/Q55*100</f>
        <v>0</v>
      </c>
      <c r="AK55" s="277">
        <f t="shared" ref="AK55" si="5">Q55-AI55</f>
        <v>35000000</v>
      </c>
      <c r="AL55" s="291">
        <f t="shared" si="3"/>
        <v>100</v>
      </c>
      <c r="AM55" s="277" t="s">
        <v>4861</v>
      </c>
      <c r="AN55" s="277" t="s">
        <v>4730</v>
      </c>
      <c r="AO55" s="277" t="s">
        <v>4735</v>
      </c>
      <c r="AP55" s="277" t="s">
        <v>4732</v>
      </c>
      <c r="AQ55" s="292"/>
      <c r="AR55" s="292"/>
      <c r="AS55" s="292"/>
      <c r="AT55" s="292"/>
      <c r="AU55" s="292"/>
      <c r="AV55" s="292"/>
      <c r="AW55" s="292"/>
      <c r="AX55" s="292"/>
    </row>
    <row r="56" spans="1:50" s="278" customFormat="1" x14ac:dyDescent="0.3">
      <c r="A56" s="277" t="s">
        <v>4693</v>
      </c>
      <c r="B56" s="277" t="s">
        <v>4694</v>
      </c>
      <c r="C56" s="277" t="s">
        <v>4720</v>
      </c>
      <c r="D56" s="277" t="s">
        <v>4721</v>
      </c>
      <c r="E56" s="277" t="s">
        <v>197</v>
      </c>
      <c r="F56" s="277" t="s">
        <v>4722</v>
      </c>
      <c r="G56" s="277" t="s">
        <v>4748</v>
      </c>
      <c r="H56" s="277" t="s">
        <v>4749</v>
      </c>
      <c r="I56" s="277">
        <v>301</v>
      </c>
      <c r="J56" s="277" t="s">
        <v>4754</v>
      </c>
      <c r="K56" s="277">
        <v>301</v>
      </c>
      <c r="L56" s="277" t="s">
        <v>4753</v>
      </c>
      <c r="M56" s="277" t="s">
        <v>519</v>
      </c>
      <c r="N56" s="277" t="s">
        <v>4756</v>
      </c>
      <c r="O56" s="277" t="s">
        <v>518</v>
      </c>
      <c r="P56" s="277" t="s">
        <v>4703</v>
      </c>
      <c r="Q56" s="278">
        <v>48000000</v>
      </c>
      <c r="R56" s="292">
        <f>SUM('PER BULAN'!G99:I99)</f>
        <v>0</v>
      </c>
      <c r="S56" s="292">
        <f>SUM('PER BULAN'!J89:L89)</f>
        <v>0</v>
      </c>
      <c r="T56" s="292">
        <f>SUM('PER BULAN'!M99:O99)</f>
        <v>802000</v>
      </c>
      <c r="U56" s="292">
        <f>SUM('PER BULAN'!P99:R99)</f>
        <v>3229000</v>
      </c>
      <c r="V56" s="292">
        <f>SUM('PER BULAN'!S99:U99)</f>
        <v>215000</v>
      </c>
      <c r="W56" s="292">
        <f>SUM('PER BULAN'!V99:X99)</f>
        <v>0</v>
      </c>
      <c r="X56" s="292">
        <f>SUM('PER BULAN'!Y99:AA99)</f>
        <v>0</v>
      </c>
      <c r="Y56" s="292">
        <f>SUM('PER BULAN'!AB99:AD99)</f>
        <v>0</v>
      </c>
      <c r="Z56" s="292">
        <f>SUM('PER BULAN'!AE99:AG99)</f>
        <v>0</v>
      </c>
      <c r="AA56" s="292">
        <f>SUM('PER BULAN'!AH99:AJ99)</f>
        <v>0</v>
      </c>
      <c r="AB56" s="292">
        <f>SUM('PER BULAN'!AK99:AM99)</f>
        <v>0</v>
      </c>
      <c r="AC56" s="292">
        <f>SUM('PER BULAN'!AN99:AP99)</f>
        <v>0</v>
      </c>
      <c r="AD56" s="277" t="s">
        <v>530</v>
      </c>
      <c r="AE56" s="277" t="s">
        <v>576</v>
      </c>
      <c r="AF56" s="277" t="s">
        <v>560</v>
      </c>
      <c r="AG56" s="277" t="s">
        <v>4699</v>
      </c>
      <c r="AH56" s="277" t="s">
        <v>4700</v>
      </c>
      <c r="AI56" s="277">
        <f t="shared" si="0"/>
        <v>4246000</v>
      </c>
      <c r="AJ56" s="291">
        <f t="shared" si="1"/>
        <v>8.8458333333333332</v>
      </c>
      <c r="AK56" s="277">
        <f t="shared" si="2"/>
        <v>43754000</v>
      </c>
      <c r="AL56" s="291">
        <f t="shared" si="3"/>
        <v>91.154166666666669</v>
      </c>
      <c r="AM56" s="277" t="s">
        <v>1462</v>
      </c>
      <c r="AN56" s="277" t="s">
        <v>4734</v>
      </c>
      <c r="AO56" s="277" t="s">
        <v>4735</v>
      </c>
      <c r="AP56" s="277" t="s">
        <v>4732</v>
      </c>
      <c r="AQ56" s="292">
        <f>SUM('PER BULAN'!AX99)</f>
        <v>0</v>
      </c>
      <c r="AR56" s="292">
        <f>SUM('PER BULAN'!AY99)</f>
        <v>802000</v>
      </c>
      <c r="AS56" s="292">
        <f>SUM('PER BULAN'!AZ99)</f>
        <v>0</v>
      </c>
      <c r="AT56" s="292">
        <f>SUM('PER BULAN'!BA99)</f>
        <v>3229000</v>
      </c>
      <c r="AU56" s="292">
        <f>SUM('PER BULAN'!BB99)</f>
        <v>0</v>
      </c>
      <c r="AV56" s="292">
        <f>SUM('PER BULAN'!BC99)</f>
        <v>0</v>
      </c>
      <c r="AW56" s="292">
        <f>SUM('PER BULAN'!BD99)</f>
        <v>215000</v>
      </c>
      <c r="AX56" s="292">
        <f>SUM('PER BULAN'!BE99)</f>
        <v>0</v>
      </c>
    </row>
    <row r="57" spans="1:50" s="278" customFormat="1" x14ac:dyDescent="0.3">
      <c r="A57" s="277" t="s">
        <v>4693</v>
      </c>
      <c r="B57" s="277" t="s">
        <v>4694</v>
      </c>
      <c r="C57" s="277" t="s">
        <v>4720</v>
      </c>
      <c r="D57" s="277" t="s">
        <v>4721</v>
      </c>
      <c r="E57" s="277" t="s">
        <v>197</v>
      </c>
      <c r="F57" s="277" t="s">
        <v>4722</v>
      </c>
      <c r="G57" s="277" t="s">
        <v>4748</v>
      </c>
      <c r="H57" s="277" t="s">
        <v>4749</v>
      </c>
      <c r="I57" s="277">
        <v>301</v>
      </c>
      <c r="J57" s="277" t="s">
        <v>4754</v>
      </c>
      <c r="K57" s="277">
        <v>301</v>
      </c>
      <c r="L57" s="277" t="s">
        <v>4753</v>
      </c>
      <c r="M57" s="277" t="s">
        <v>519</v>
      </c>
      <c r="N57" s="277" t="s">
        <v>4756</v>
      </c>
      <c r="O57" s="277" t="s">
        <v>513</v>
      </c>
      <c r="P57" s="277" t="s">
        <v>4702</v>
      </c>
      <c r="Q57" s="278">
        <v>42772000</v>
      </c>
      <c r="R57" s="292">
        <f>SUM('PER BULAN'!G101:I101)</f>
        <v>0</v>
      </c>
      <c r="S57" s="292">
        <f>SUM('PER BULAN'!J100:L100)</f>
        <v>0</v>
      </c>
      <c r="T57" s="292">
        <f>SUM('PER BULAN'!M100:O100)</f>
        <v>8250000</v>
      </c>
      <c r="U57" s="292">
        <f>SUM('PER BULAN'!P100:R100)</f>
        <v>3712700</v>
      </c>
      <c r="V57" s="292">
        <f>SUM('PER BULAN'!S100:U100)</f>
        <v>9888000</v>
      </c>
      <c r="W57" s="292">
        <f>SUM('PER BULAN'!V100:X100)</f>
        <v>0</v>
      </c>
      <c r="X57" s="292">
        <f>SUM('PER BULAN'!Y100:AA100)</f>
        <v>0</v>
      </c>
      <c r="Y57" s="292">
        <f>SUM('PER BULAN'!AB100:AD100)</f>
        <v>0</v>
      </c>
      <c r="Z57" s="292">
        <f>SUM('PER BULAN'!AE100:AG100)</f>
        <v>0</v>
      </c>
      <c r="AA57" s="292">
        <f>SUM('PER BULAN'!AH100:AJ100)</f>
        <v>0</v>
      </c>
      <c r="AB57" s="292">
        <f>SUM('PER BULAN'!AK100:AM100)</f>
        <v>0</v>
      </c>
      <c r="AC57" s="292">
        <f>SUM('PER BULAN'!AN100:AP100)</f>
        <v>0</v>
      </c>
      <c r="AD57" s="277" t="s">
        <v>530</v>
      </c>
      <c r="AE57" s="277" t="s">
        <v>576</v>
      </c>
      <c r="AF57" s="277" t="s">
        <v>560</v>
      </c>
      <c r="AG57" s="277" t="s">
        <v>4699</v>
      </c>
      <c r="AH57" s="277" t="s">
        <v>4700</v>
      </c>
      <c r="AI57" s="277">
        <f t="shared" si="0"/>
        <v>21850700</v>
      </c>
      <c r="AJ57" s="291">
        <f t="shared" si="1"/>
        <v>51.08645843074909</v>
      </c>
      <c r="AK57" s="277">
        <f t="shared" si="2"/>
        <v>20921300</v>
      </c>
      <c r="AL57" s="291">
        <f t="shared" si="3"/>
        <v>48.91354156925091</v>
      </c>
      <c r="AM57" s="277" t="s">
        <v>1464</v>
      </c>
      <c r="AN57" s="277" t="s">
        <v>4730</v>
      </c>
      <c r="AO57" s="277" t="s">
        <v>4736</v>
      </c>
      <c r="AP57" s="277" t="s">
        <v>4732</v>
      </c>
      <c r="AQ57" s="292">
        <f>SUM('PER BULAN'!AX100)</f>
        <v>1560000</v>
      </c>
      <c r="AR57" s="292">
        <f>SUM('PER BULAN'!AY100)</f>
        <v>6690000</v>
      </c>
      <c r="AS57" s="292">
        <f>SUM('PER BULAN'!AZ100)</f>
        <v>0</v>
      </c>
      <c r="AT57" s="292">
        <f>SUM('PER BULAN'!BA100)</f>
        <v>0</v>
      </c>
      <c r="AU57" s="292">
        <f>SUM('PER BULAN'!BB100)</f>
        <v>1860000</v>
      </c>
      <c r="AV57" s="292">
        <f>SUM('PER BULAN'!BC100)</f>
        <v>3748000</v>
      </c>
      <c r="AW57" s="292">
        <f>SUM('PER BULAN'!BD100)</f>
        <v>4280000</v>
      </c>
      <c r="AX57" s="292">
        <f>SUM('PER BULAN'!BE100)</f>
        <v>0</v>
      </c>
    </row>
    <row r="58" spans="1:50" s="278" customFormat="1" x14ac:dyDescent="0.3">
      <c r="A58" s="277" t="s">
        <v>4693</v>
      </c>
      <c r="B58" s="277" t="s">
        <v>4694</v>
      </c>
      <c r="C58" s="277" t="s">
        <v>4720</v>
      </c>
      <c r="D58" s="277" t="s">
        <v>4721</v>
      </c>
      <c r="E58" s="277" t="s">
        <v>197</v>
      </c>
      <c r="F58" s="277" t="s">
        <v>4722</v>
      </c>
      <c r="G58" s="277" t="s">
        <v>4748</v>
      </c>
      <c r="H58" s="277" t="s">
        <v>4749</v>
      </c>
      <c r="I58" s="277">
        <v>301</v>
      </c>
      <c r="J58" s="277" t="s">
        <v>4754</v>
      </c>
      <c r="K58" s="277">
        <v>301</v>
      </c>
      <c r="L58" s="277" t="s">
        <v>4753</v>
      </c>
      <c r="M58" s="277" t="s">
        <v>519</v>
      </c>
      <c r="N58" s="277" t="s">
        <v>4756</v>
      </c>
      <c r="O58" s="277" t="s">
        <v>507</v>
      </c>
      <c r="P58" s="277" t="s">
        <v>508</v>
      </c>
      <c r="Q58" s="278">
        <v>2100000</v>
      </c>
      <c r="R58" s="292">
        <f>SUM('PER BULAN'!G102:I102)</f>
        <v>0</v>
      </c>
      <c r="S58" s="292">
        <f>SUM('PER BULAN'!J102:L102)</f>
        <v>0</v>
      </c>
      <c r="T58" s="292">
        <f>SUM('PER BULAN'!M101:O101)</f>
        <v>0</v>
      </c>
      <c r="U58" s="292">
        <f>SUM('PER BULAN'!P101:R101)</f>
        <v>0</v>
      </c>
      <c r="V58" s="292">
        <f>SUM('PER BULAN'!S101:U101)</f>
        <v>0</v>
      </c>
      <c r="W58" s="292">
        <f>SUM('PER BULAN'!V101:X101)</f>
        <v>0</v>
      </c>
      <c r="X58" s="292">
        <f>SUM('PER BULAN'!Y101:AA101)</f>
        <v>0</v>
      </c>
      <c r="Y58" s="292">
        <f>SUM('PER BULAN'!AB101:AD101)</f>
        <v>0</v>
      </c>
      <c r="Z58" s="292">
        <f>SUM('PER BULAN'!AE101:AG101)</f>
        <v>0</v>
      </c>
      <c r="AA58" s="292">
        <f>SUM('PER BULAN'!AH101:AJ101)</f>
        <v>0</v>
      </c>
      <c r="AB58" s="292">
        <f>SUM('PER BULAN'!AK101:AM101)</f>
        <v>0</v>
      </c>
      <c r="AC58" s="292">
        <f>SUM('PER BULAN'!AN101:AP101)</f>
        <v>0</v>
      </c>
      <c r="AD58" s="277" t="s">
        <v>530</v>
      </c>
      <c r="AE58" s="277" t="s">
        <v>576</v>
      </c>
      <c r="AF58" s="277" t="s">
        <v>560</v>
      </c>
      <c r="AG58" s="277" t="s">
        <v>4699</v>
      </c>
      <c r="AH58" s="277" t="s">
        <v>4700</v>
      </c>
      <c r="AI58" s="277">
        <f t="shared" si="0"/>
        <v>0</v>
      </c>
      <c r="AJ58" s="291">
        <f t="shared" si="1"/>
        <v>0</v>
      </c>
      <c r="AK58" s="277">
        <f t="shared" si="2"/>
        <v>2100000</v>
      </c>
      <c r="AL58" s="291">
        <f t="shared" si="3"/>
        <v>100</v>
      </c>
      <c r="AM58" s="277" t="s">
        <v>1467</v>
      </c>
      <c r="AN58" s="277" t="s">
        <v>4730</v>
      </c>
      <c r="AO58" s="277" t="s">
        <v>4738</v>
      </c>
      <c r="AP58" s="277" t="s">
        <v>4732</v>
      </c>
      <c r="AQ58" s="292">
        <f>SUM('PER BULAN'!AX101)</f>
        <v>0</v>
      </c>
      <c r="AR58" s="292">
        <f>SUM('PER BULAN'!AY101)</f>
        <v>0</v>
      </c>
      <c r="AS58" s="292">
        <f>SUM('PER BULAN'!AZ101)</f>
        <v>0</v>
      </c>
      <c r="AT58" s="292">
        <f>SUM('PER BULAN'!BA101)</f>
        <v>0</v>
      </c>
      <c r="AU58" s="292">
        <f>SUM('PER BULAN'!BB101)</f>
        <v>0</v>
      </c>
      <c r="AV58" s="292">
        <f>SUM('PER BULAN'!BC101)</f>
        <v>0</v>
      </c>
      <c r="AW58" s="292">
        <f>SUM('PER BULAN'!BD101)</f>
        <v>0</v>
      </c>
      <c r="AX58" s="292">
        <f>SUM('PER BULAN'!BE101)</f>
        <v>0</v>
      </c>
    </row>
    <row r="59" spans="1:50" s="278" customFormat="1" x14ac:dyDescent="0.3">
      <c r="A59" s="277" t="s">
        <v>4693</v>
      </c>
      <c r="B59" s="277" t="s">
        <v>4694</v>
      </c>
      <c r="C59" s="277" t="s">
        <v>4720</v>
      </c>
      <c r="D59" s="277" t="s">
        <v>4721</v>
      </c>
      <c r="E59" s="277" t="s">
        <v>197</v>
      </c>
      <c r="F59" s="277" t="s">
        <v>4722</v>
      </c>
      <c r="G59" s="277" t="s">
        <v>4748</v>
      </c>
      <c r="H59" s="277" t="s">
        <v>4749</v>
      </c>
      <c r="I59" s="277">
        <v>301</v>
      </c>
      <c r="J59" s="277" t="s">
        <v>4754</v>
      </c>
      <c r="K59" s="277">
        <v>301</v>
      </c>
      <c r="L59" s="277" t="s">
        <v>4753</v>
      </c>
      <c r="M59" s="277" t="s">
        <v>578</v>
      </c>
      <c r="N59" s="277" t="s">
        <v>4758</v>
      </c>
      <c r="O59" s="277">
        <v>521211</v>
      </c>
      <c r="P59" s="277" t="s">
        <v>4698</v>
      </c>
      <c r="Q59" s="278">
        <v>32000000</v>
      </c>
      <c r="R59" s="292">
        <f>SUM('PER BULAN'!G103:I103)</f>
        <v>0</v>
      </c>
      <c r="S59" s="292">
        <f>SUM('PER BULAN'!J103:L103)</f>
        <v>0</v>
      </c>
      <c r="T59" s="292">
        <f>SUM('PER BULAN'!M103:O103)</f>
        <v>3999200</v>
      </c>
      <c r="U59" s="292">
        <f>SUM('PER BULAN'!P103:R103)</f>
        <v>0</v>
      </c>
      <c r="V59" s="292">
        <f>SUM('PER BULAN'!S103:U103)</f>
        <v>0</v>
      </c>
      <c r="W59" s="292">
        <f>SUM('PER BULAN'!V103:X103)</f>
        <v>0</v>
      </c>
      <c r="X59" s="292">
        <f>SUM('PER BULAN'!Y103:AA103)</f>
        <v>0</v>
      </c>
      <c r="Y59" s="292">
        <f>SUM('PER BULAN'!AB103:AD103)</f>
        <v>0</v>
      </c>
      <c r="Z59" s="292">
        <f>SUM('PER BULAN'!AE103:AG103)</f>
        <v>0</v>
      </c>
      <c r="AA59" s="292">
        <f>SUM('PER BULAN'!AH103:AJ103)</f>
        <v>0</v>
      </c>
      <c r="AB59" s="292">
        <f>SUM('PER BULAN'!AK103:AM103)</f>
        <v>0</v>
      </c>
      <c r="AC59" s="292">
        <f>SUM('PER BULAN'!AN103:AP103)</f>
        <v>0</v>
      </c>
      <c r="AD59" s="277" t="s">
        <v>530</v>
      </c>
      <c r="AE59" s="277" t="s">
        <v>535</v>
      </c>
      <c r="AF59" s="277" t="s">
        <v>538</v>
      </c>
      <c r="AG59" s="277" t="s">
        <v>4699</v>
      </c>
      <c r="AH59" s="277" t="s">
        <v>4700</v>
      </c>
      <c r="AI59" s="277">
        <f t="shared" si="0"/>
        <v>3999200</v>
      </c>
      <c r="AJ59" s="291">
        <f t="shared" si="1"/>
        <v>12.4975</v>
      </c>
      <c r="AK59" s="277">
        <f t="shared" si="2"/>
        <v>28000800</v>
      </c>
      <c r="AL59" s="291">
        <f t="shared" si="3"/>
        <v>87.502500000000012</v>
      </c>
      <c r="AM59" s="277" t="s">
        <v>1470</v>
      </c>
      <c r="AN59" s="277" t="s">
        <v>4730</v>
      </c>
      <c r="AO59" s="277" t="s">
        <v>4731</v>
      </c>
      <c r="AP59" s="277" t="s">
        <v>4732</v>
      </c>
      <c r="AQ59" s="292">
        <f>SUM('PER BULAN'!AX103)</f>
        <v>0</v>
      </c>
      <c r="AR59" s="292">
        <f>SUM('PER BULAN'!AY103)</f>
        <v>2499500</v>
      </c>
      <c r="AS59" s="292">
        <f>SUM('PER BULAN'!AZ103)</f>
        <v>1499700</v>
      </c>
      <c r="AT59" s="292">
        <f>SUM('PER BULAN'!BA103)</f>
        <v>0</v>
      </c>
      <c r="AU59" s="292">
        <f>SUM('PER BULAN'!BB103)</f>
        <v>0</v>
      </c>
      <c r="AV59" s="292">
        <f>SUM('PER BULAN'!BC103)</f>
        <v>0</v>
      </c>
      <c r="AW59" s="292">
        <f>SUM('PER BULAN'!BD103)</f>
        <v>0</v>
      </c>
      <c r="AX59" s="292">
        <f>SUM('PER BULAN'!BE103)</f>
        <v>0</v>
      </c>
    </row>
    <row r="60" spans="1:50" s="278" customFormat="1" x14ac:dyDescent="0.3">
      <c r="A60" s="277" t="s">
        <v>4693</v>
      </c>
      <c r="B60" s="277" t="s">
        <v>4694</v>
      </c>
      <c r="C60" s="277" t="s">
        <v>4720</v>
      </c>
      <c r="D60" s="277" t="s">
        <v>4721</v>
      </c>
      <c r="E60" s="277" t="s">
        <v>197</v>
      </c>
      <c r="F60" s="277" t="s">
        <v>4722</v>
      </c>
      <c r="G60" s="277" t="s">
        <v>4748</v>
      </c>
      <c r="H60" s="277" t="s">
        <v>4749</v>
      </c>
      <c r="I60" s="277">
        <v>301</v>
      </c>
      <c r="J60" s="277" t="s">
        <v>4754</v>
      </c>
      <c r="K60" s="277">
        <v>301</v>
      </c>
      <c r="L60" s="277" t="s">
        <v>4753</v>
      </c>
      <c r="M60" s="277" t="s">
        <v>578</v>
      </c>
      <c r="N60" s="277" t="s">
        <v>4758</v>
      </c>
      <c r="O60" s="277">
        <v>521219</v>
      </c>
      <c r="P60" s="277" t="s">
        <v>4711</v>
      </c>
      <c r="Q60" s="278">
        <v>298141000</v>
      </c>
      <c r="R60" s="292">
        <f>SUM('PER BULAN'!G104:I104)</f>
        <v>0</v>
      </c>
      <c r="S60" s="292">
        <f>SUM('PER BULAN'!J104:L104)</f>
        <v>0</v>
      </c>
      <c r="T60" s="292">
        <f>SUM('PER BULAN'!M104:O104)</f>
        <v>694240</v>
      </c>
      <c r="U60" s="292">
        <f>SUM('PER BULAN'!P104:R104)</f>
        <v>0</v>
      </c>
      <c r="V60" s="292">
        <f>SUM('PER BULAN'!S104:U104)</f>
        <v>3603218</v>
      </c>
      <c r="W60" s="292">
        <f>SUM('PER BULAN'!V104:X104)</f>
        <v>0</v>
      </c>
      <c r="X60" s="292">
        <f>SUM('PER BULAN'!Y104:AA104)</f>
        <v>0</v>
      </c>
      <c r="Y60" s="292">
        <f>SUM('PER BULAN'!AB104:AD104)</f>
        <v>0</v>
      </c>
      <c r="Z60" s="292">
        <f>SUM('PER BULAN'!AE104:AG104)</f>
        <v>0</v>
      </c>
      <c r="AA60" s="292">
        <f>SUM('PER BULAN'!AH104:AJ104)</f>
        <v>0</v>
      </c>
      <c r="AB60" s="292">
        <f>SUM('PER BULAN'!AK104:AM104)</f>
        <v>0</v>
      </c>
      <c r="AC60" s="292">
        <f>SUM('PER BULAN'!AN104:AP104)</f>
        <v>0</v>
      </c>
      <c r="AD60" s="277" t="s">
        <v>530</v>
      </c>
      <c r="AE60" s="277" t="s">
        <v>535</v>
      </c>
      <c r="AF60" s="277" t="s">
        <v>538</v>
      </c>
      <c r="AG60" s="277" t="s">
        <v>4699</v>
      </c>
      <c r="AH60" s="277" t="s">
        <v>4700</v>
      </c>
      <c r="AI60" s="277">
        <f t="shared" si="0"/>
        <v>4297458</v>
      </c>
      <c r="AJ60" s="291">
        <f t="shared" si="1"/>
        <v>1.4414179867914845</v>
      </c>
      <c r="AK60" s="277">
        <f t="shared" si="2"/>
        <v>293843542</v>
      </c>
      <c r="AL60" s="291">
        <f t="shared" si="3"/>
        <v>98.558582013208522</v>
      </c>
      <c r="AM60" s="277" t="s">
        <v>1474</v>
      </c>
      <c r="AN60" s="277" t="s">
        <v>4730</v>
      </c>
      <c r="AO60" s="277" t="s">
        <v>4733</v>
      </c>
      <c r="AP60" s="277" t="s">
        <v>4732</v>
      </c>
      <c r="AQ60" s="292">
        <f>SUM('PER BULAN'!AX104)</f>
        <v>0</v>
      </c>
      <c r="AR60" s="292">
        <f>SUM('PER BULAN'!AY104)</f>
        <v>450000</v>
      </c>
      <c r="AS60" s="292">
        <f>SUM('PER BULAN'!AZ104)</f>
        <v>244240</v>
      </c>
      <c r="AT60" s="292">
        <f>SUM('PER BULAN'!BA104)</f>
        <v>0</v>
      </c>
      <c r="AU60" s="292">
        <f>SUM('PER BULAN'!BB104)</f>
        <v>3351204</v>
      </c>
      <c r="AV60" s="292">
        <f>SUM('PER BULAN'!BC104)</f>
        <v>252014</v>
      </c>
      <c r="AW60" s="292">
        <f>SUM('PER BULAN'!BD104)</f>
        <v>0</v>
      </c>
      <c r="AX60" s="292">
        <f>SUM('PER BULAN'!BE104)</f>
        <v>0</v>
      </c>
    </row>
    <row r="61" spans="1:50" s="278" customFormat="1" x14ac:dyDescent="0.3">
      <c r="A61" s="277" t="s">
        <v>4693</v>
      </c>
      <c r="B61" s="277" t="s">
        <v>4694</v>
      </c>
      <c r="C61" s="277" t="s">
        <v>4720</v>
      </c>
      <c r="D61" s="277" t="s">
        <v>4721</v>
      </c>
      <c r="E61" s="277" t="s">
        <v>197</v>
      </c>
      <c r="F61" s="277" t="s">
        <v>4722</v>
      </c>
      <c r="G61" s="277" t="s">
        <v>4748</v>
      </c>
      <c r="H61" s="277" t="s">
        <v>4749</v>
      </c>
      <c r="I61" s="277">
        <v>301</v>
      </c>
      <c r="J61" s="277" t="s">
        <v>4754</v>
      </c>
      <c r="K61" s="277">
        <v>301</v>
      </c>
      <c r="L61" s="277" t="s">
        <v>4753</v>
      </c>
      <c r="M61" s="277" t="s">
        <v>578</v>
      </c>
      <c r="N61" s="277" t="s">
        <v>4758</v>
      </c>
      <c r="O61" s="277">
        <v>522151</v>
      </c>
      <c r="P61" s="277" t="s">
        <v>4701</v>
      </c>
      <c r="Q61" s="278">
        <v>30000000</v>
      </c>
      <c r="R61" s="292">
        <f>SUM('PER BULAN'!G105:I105)</f>
        <v>0</v>
      </c>
      <c r="S61" s="292">
        <f>SUM('PER BULAN'!J105:L105)</f>
        <v>0</v>
      </c>
      <c r="T61" s="292">
        <f>SUM('PER BULAN'!M105:O105)</f>
        <v>0</v>
      </c>
      <c r="U61" s="292">
        <f>SUM('PER BULAN'!P105:R105)</f>
        <v>0</v>
      </c>
      <c r="V61" s="292">
        <f>SUM('PER BULAN'!S105:U105)</f>
        <v>0</v>
      </c>
      <c r="W61" s="292">
        <f>SUM('PER BULAN'!V105:X105)</f>
        <v>0</v>
      </c>
      <c r="X61" s="292">
        <f>SUM('PER BULAN'!Y105:AA105)</f>
        <v>0</v>
      </c>
      <c r="Y61" s="292">
        <f>SUM('PER BULAN'!AB105:AD105)</f>
        <v>0</v>
      </c>
      <c r="Z61" s="292">
        <f>SUM('PER BULAN'!AE105:AG105)</f>
        <v>0</v>
      </c>
      <c r="AA61" s="292">
        <f>SUM('PER BULAN'!AH105:AJ105)</f>
        <v>0</v>
      </c>
      <c r="AB61" s="292">
        <f>SUM('PER BULAN'!AK105:AM105)</f>
        <v>0</v>
      </c>
      <c r="AC61" s="292">
        <f>SUM('PER BULAN'!AN105:AP105)</f>
        <v>0</v>
      </c>
      <c r="AD61" s="277" t="s">
        <v>530</v>
      </c>
      <c r="AE61" s="277" t="s">
        <v>535</v>
      </c>
      <c r="AF61" s="277" t="s">
        <v>538</v>
      </c>
      <c r="AG61" s="277" t="s">
        <v>4699</v>
      </c>
      <c r="AH61" s="277" t="s">
        <v>4700</v>
      </c>
      <c r="AI61" s="277">
        <f t="shared" si="0"/>
        <v>0</v>
      </c>
      <c r="AJ61" s="291">
        <f t="shared" si="1"/>
        <v>0</v>
      </c>
      <c r="AK61" s="277">
        <f t="shared" si="2"/>
        <v>30000000</v>
      </c>
      <c r="AL61" s="291">
        <f t="shared" si="3"/>
        <v>100</v>
      </c>
      <c r="AM61" s="277" t="s">
        <v>1483</v>
      </c>
      <c r="AN61" s="277" t="s">
        <v>4730</v>
      </c>
      <c r="AO61" s="277" t="s">
        <v>4735</v>
      </c>
      <c r="AP61" s="277" t="s">
        <v>4732</v>
      </c>
      <c r="AQ61" s="292">
        <f>SUM('PER BULAN'!AX105)</f>
        <v>0</v>
      </c>
      <c r="AR61" s="292">
        <f>SUM('PER BULAN'!AY105)</f>
        <v>0</v>
      </c>
      <c r="AS61" s="292">
        <f>SUM('PER BULAN'!AZ105)</f>
        <v>0</v>
      </c>
      <c r="AT61" s="292">
        <f>SUM('PER BULAN'!BA105)</f>
        <v>0</v>
      </c>
      <c r="AU61" s="292">
        <f>SUM('PER BULAN'!BB105)</f>
        <v>0</v>
      </c>
      <c r="AV61" s="292">
        <f>SUM('PER BULAN'!BC105)</f>
        <v>0</v>
      </c>
      <c r="AW61" s="292">
        <f>SUM('PER BULAN'!BD105)</f>
        <v>0</v>
      </c>
      <c r="AX61" s="292">
        <f>SUM('PER BULAN'!BE105)</f>
        <v>0</v>
      </c>
    </row>
    <row r="62" spans="1:50" s="278" customFormat="1" x14ac:dyDescent="0.3">
      <c r="A62" s="277" t="s">
        <v>4693</v>
      </c>
      <c r="B62" s="277" t="s">
        <v>4694</v>
      </c>
      <c r="C62" s="277" t="s">
        <v>4720</v>
      </c>
      <c r="D62" s="277" t="s">
        <v>4721</v>
      </c>
      <c r="E62" s="277" t="s">
        <v>197</v>
      </c>
      <c r="F62" s="277" t="s">
        <v>4722</v>
      </c>
      <c r="G62" s="277" t="s">
        <v>4748</v>
      </c>
      <c r="H62" s="277" t="s">
        <v>4749</v>
      </c>
      <c r="I62" s="277">
        <v>301</v>
      </c>
      <c r="J62" s="277" t="s">
        <v>4754</v>
      </c>
      <c r="K62" s="277">
        <v>301</v>
      </c>
      <c r="L62" s="277" t="s">
        <v>4753</v>
      </c>
      <c r="M62" s="277" t="s">
        <v>578</v>
      </c>
      <c r="N62" s="277" t="s">
        <v>4758</v>
      </c>
      <c r="O62" s="277" t="s">
        <v>518</v>
      </c>
      <c r="P62" s="277" t="s">
        <v>4703</v>
      </c>
      <c r="Q62" s="278">
        <v>8000000</v>
      </c>
      <c r="R62" s="292">
        <f>SUM('PER BULAN'!G106:I106)</f>
        <v>0</v>
      </c>
      <c r="S62" s="292">
        <f>SUM('PER BULAN'!J106:L106)</f>
        <v>0</v>
      </c>
      <c r="T62" s="292">
        <f>SUM('PER BULAN'!M106:O106)</f>
        <v>0</v>
      </c>
      <c r="U62" s="292">
        <f>SUM('PER BULAN'!P106:R106)</f>
        <v>0</v>
      </c>
      <c r="V62" s="292">
        <f>SUM('PER BULAN'!S106:U106)</f>
        <v>0</v>
      </c>
      <c r="W62" s="292">
        <f>SUM('PER BULAN'!V106:X106)</f>
        <v>0</v>
      </c>
      <c r="X62" s="292">
        <f>SUM('PER BULAN'!Y106:AA106)</f>
        <v>0</v>
      </c>
      <c r="Y62" s="292">
        <f>SUM('PER BULAN'!AB106:AD106)</f>
        <v>0</v>
      </c>
      <c r="Z62" s="292">
        <f>SUM('PER BULAN'!AE106:AG106)</f>
        <v>0</v>
      </c>
      <c r="AA62" s="292">
        <f>SUM('PER BULAN'!AH106:AJ106)</f>
        <v>0</v>
      </c>
      <c r="AB62" s="292">
        <f>SUM('PER BULAN'!AK106:AM106)</f>
        <v>0</v>
      </c>
      <c r="AC62" s="292">
        <f>SUM('PER BULAN'!AN106:AP106)</f>
        <v>0</v>
      </c>
      <c r="AD62" s="277" t="s">
        <v>530</v>
      </c>
      <c r="AE62" s="277" t="s">
        <v>535</v>
      </c>
      <c r="AF62" s="277" t="s">
        <v>538</v>
      </c>
      <c r="AG62" s="277" t="s">
        <v>4699</v>
      </c>
      <c r="AH62" s="277" t="s">
        <v>4700</v>
      </c>
      <c r="AI62" s="277">
        <f t="shared" si="0"/>
        <v>0</v>
      </c>
      <c r="AJ62" s="291">
        <f t="shared" si="1"/>
        <v>0</v>
      </c>
      <c r="AK62" s="277">
        <f t="shared" si="2"/>
        <v>8000000</v>
      </c>
      <c r="AL62" s="291">
        <f t="shared" si="3"/>
        <v>100</v>
      </c>
      <c r="AM62" s="277" t="s">
        <v>1485</v>
      </c>
      <c r="AN62" s="277" t="s">
        <v>4734</v>
      </c>
      <c r="AO62" s="277" t="s">
        <v>4735</v>
      </c>
      <c r="AP62" s="277" t="s">
        <v>4732</v>
      </c>
      <c r="AQ62" s="292">
        <f>SUM('PER BULAN'!AX106)</f>
        <v>0</v>
      </c>
      <c r="AR62" s="292">
        <f>SUM('PER BULAN'!AY106)</f>
        <v>0</v>
      </c>
      <c r="AS62" s="292">
        <f>SUM('PER BULAN'!AZ106)</f>
        <v>0</v>
      </c>
      <c r="AT62" s="292">
        <f>SUM('PER BULAN'!BA106)</f>
        <v>0</v>
      </c>
      <c r="AU62" s="292">
        <f>SUM('PER BULAN'!BB106)</f>
        <v>0</v>
      </c>
      <c r="AV62" s="292">
        <f>SUM('PER BULAN'!BC106)</f>
        <v>0</v>
      </c>
      <c r="AW62" s="292">
        <f>SUM('PER BULAN'!BD106)</f>
        <v>0</v>
      </c>
      <c r="AX62" s="292">
        <f>SUM('PER BULAN'!BE106)</f>
        <v>0</v>
      </c>
    </row>
    <row r="63" spans="1:50" s="278" customFormat="1" x14ac:dyDescent="0.3">
      <c r="A63" s="277" t="s">
        <v>4693</v>
      </c>
      <c r="B63" s="277" t="s">
        <v>4694</v>
      </c>
      <c r="C63" s="277" t="s">
        <v>4720</v>
      </c>
      <c r="D63" s="277" t="s">
        <v>4721</v>
      </c>
      <c r="E63" s="277" t="s">
        <v>197</v>
      </c>
      <c r="F63" s="277" t="s">
        <v>4722</v>
      </c>
      <c r="G63" s="277" t="s">
        <v>4748</v>
      </c>
      <c r="H63" s="277" t="s">
        <v>4749</v>
      </c>
      <c r="I63" s="277">
        <v>301</v>
      </c>
      <c r="J63" s="277" t="s">
        <v>4754</v>
      </c>
      <c r="K63" s="277">
        <v>301</v>
      </c>
      <c r="L63" s="277" t="s">
        <v>4753</v>
      </c>
      <c r="M63" s="277" t="s">
        <v>578</v>
      </c>
      <c r="N63" s="277" t="s">
        <v>4758</v>
      </c>
      <c r="O63" s="277" t="s">
        <v>513</v>
      </c>
      <c r="P63" s="277" t="s">
        <v>4702</v>
      </c>
      <c r="Q63" s="278">
        <v>81859000</v>
      </c>
      <c r="R63" s="292">
        <f>SUM('PER BULAN'!G108:I108)</f>
        <v>0</v>
      </c>
      <c r="S63" s="292">
        <f>SUM('PER BULAN'!J107:L107)</f>
        <v>0</v>
      </c>
      <c r="T63" s="292">
        <f>SUM('PER BULAN'!M107:O107)</f>
        <v>0</v>
      </c>
      <c r="U63" s="292">
        <f>SUM('PER BULAN'!P107:R107)</f>
        <v>0</v>
      </c>
      <c r="V63" s="292">
        <f>SUM('PER BULAN'!S107:U107)</f>
        <v>0</v>
      </c>
      <c r="W63" s="292">
        <f>SUM('PER BULAN'!V107:X107)</f>
        <v>5350700</v>
      </c>
      <c r="X63" s="292">
        <f>SUM('PER BULAN'!Y107:AA107)</f>
        <v>0</v>
      </c>
      <c r="Y63" s="292">
        <f>SUM('PER BULAN'!AB107:AD107)</f>
        <v>0</v>
      </c>
      <c r="Z63" s="292">
        <f>SUM('PER BULAN'!AE107:AG107)</f>
        <v>0</v>
      </c>
      <c r="AA63" s="292">
        <f>SUM('PER BULAN'!AH107:AJ107)</f>
        <v>0</v>
      </c>
      <c r="AB63" s="292">
        <f>SUM('PER BULAN'!AK107:AM107)</f>
        <v>0</v>
      </c>
      <c r="AC63" s="292">
        <f>SUM('PER BULAN'!AN107:AP107)</f>
        <v>0</v>
      </c>
      <c r="AD63" s="277" t="s">
        <v>530</v>
      </c>
      <c r="AE63" s="277" t="s">
        <v>535</v>
      </c>
      <c r="AF63" s="277" t="s">
        <v>538</v>
      </c>
      <c r="AG63" s="277" t="s">
        <v>4699</v>
      </c>
      <c r="AH63" s="277" t="s">
        <v>4700</v>
      </c>
      <c r="AI63" s="277">
        <f t="shared" si="0"/>
        <v>5350700</v>
      </c>
      <c r="AJ63" s="291">
        <f t="shared" si="1"/>
        <v>6.5364834654711146</v>
      </c>
      <c r="AK63" s="277">
        <f t="shared" si="2"/>
        <v>76508300</v>
      </c>
      <c r="AL63" s="291">
        <f t="shared" si="3"/>
        <v>93.463516534528893</v>
      </c>
      <c r="AM63" s="277" t="s">
        <v>1487</v>
      </c>
      <c r="AN63" s="277" t="s">
        <v>4730</v>
      </c>
      <c r="AO63" s="277" t="s">
        <v>4736</v>
      </c>
      <c r="AP63" s="277" t="s">
        <v>4732</v>
      </c>
      <c r="AQ63" s="292">
        <f>SUM('PER BULAN'!AX107)</f>
        <v>0</v>
      </c>
      <c r="AR63" s="292">
        <f>SUM('PER BULAN'!AY107)</f>
        <v>0</v>
      </c>
      <c r="AS63" s="292">
        <f>SUM('PER BULAN'!AZ107)</f>
        <v>0</v>
      </c>
      <c r="AT63" s="292">
        <f>SUM('PER BULAN'!BA107)</f>
        <v>0</v>
      </c>
      <c r="AU63" s="292">
        <f>SUM('PER BULAN'!BB107)</f>
        <v>0</v>
      </c>
      <c r="AV63" s="292">
        <f>SUM('PER BULAN'!BC107)</f>
        <v>0</v>
      </c>
      <c r="AW63" s="292">
        <f>SUM('PER BULAN'!BD107)</f>
        <v>0</v>
      </c>
      <c r="AX63" s="292">
        <f>SUM('PER BULAN'!BE107)</f>
        <v>0</v>
      </c>
    </row>
    <row r="64" spans="1:50" s="278" customFormat="1" x14ac:dyDescent="0.3">
      <c r="A64" s="277" t="s">
        <v>4693</v>
      </c>
      <c r="B64" s="277" t="s">
        <v>4694</v>
      </c>
      <c r="C64" s="277" t="s">
        <v>4720</v>
      </c>
      <c r="D64" s="277" t="s">
        <v>4721</v>
      </c>
      <c r="E64" s="277" t="s">
        <v>197</v>
      </c>
      <c r="F64" s="277" t="s">
        <v>4722</v>
      </c>
      <c r="G64" s="277" t="s">
        <v>4748</v>
      </c>
      <c r="H64" s="277" t="s">
        <v>4749</v>
      </c>
      <c r="I64" s="277">
        <v>301</v>
      </c>
      <c r="J64" s="277" t="s">
        <v>4754</v>
      </c>
      <c r="K64" s="277">
        <v>301</v>
      </c>
      <c r="L64" s="277" t="s">
        <v>4753</v>
      </c>
      <c r="M64" s="277" t="s">
        <v>579</v>
      </c>
      <c r="N64" s="277" t="s">
        <v>4759</v>
      </c>
      <c r="O64" s="277">
        <v>521211</v>
      </c>
      <c r="P64" s="277" t="s">
        <v>4698</v>
      </c>
      <c r="Q64" s="278">
        <v>31000000</v>
      </c>
      <c r="R64" s="292">
        <f>SUM('PER BULAN'!G109:I109)</f>
        <v>0</v>
      </c>
      <c r="S64" s="292">
        <f>SUM('PER BULAN'!J109:L109)</f>
        <v>0</v>
      </c>
      <c r="T64" s="292">
        <f>SUM('PER BULAN'!M109:O109)</f>
        <v>1200000</v>
      </c>
      <c r="U64" s="292">
        <f>SUM('PER BULAN'!P109:R109)</f>
        <v>0</v>
      </c>
      <c r="V64" s="292">
        <f>SUM('PER BULAN'!S109:U109)</f>
        <v>10342500</v>
      </c>
      <c r="W64" s="292">
        <f>SUM('PER BULAN'!V109:X109)</f>
        <v>0</v>
      </c>
      <c r="X64" s="292">
        <f>SUM('PER BULAN'!Y109:AA109)</f>
        <v>0</v>
      </c>
      <c r="Y64" s="292">
        <f>SUM('PER BULAN'!AB109:AD109)</f>
        <v>0</v>
      </c>
      <c r="Z64" s="292">
        <f>SUM('PER BULAN'!AE109:AG109)</f>
        <v>0</v>
      </c>
      <c r="AA64" s="292">
        <f>SUM('PER BULAN'!AH109:AJ109)</f>
        <v>0</v>
      </c>
      <c r="AB64" s="292">
        <f>SUM('PER BULAN'!AK109:AM109)</f>
        <v>0</v>
      </c>
      <c r="AC64" s="292">
        <f>SUM('PER BULAN'!AN109:AP109)</f>
        <v>0</v>
      </c>
      <c r="AD64" s="277" t="s">
        <v>530</v>
      </c>
      <c r="AE64" s="277" t="s">
        <v>531</v>
      </c>
      <c r="AF64" s="277" t="s">
        <v>532</v>
      </c>
      <c r="AG64" s="277" t="s">
        <v>4699</v>
      </c>
      <c r="AH64" s="277" t="s">
        <v>4700</v>
      </c>
      <c r="AI64" s="277">
        <f t="shared" si="0"/>
        <v>11542500</v>
      </c>
      <c r="AJ64" s="291">
        <f t="shared" si="1"/>
        <v>37.233870967741936</v>
      </c>
      <c r="AK64" s="277">
        <f t="shared" si="2"/>
        <v>19457500</v>
      </c>
      <c r="AL64" s="291">
        <f t="shared" si="3"/>
        <v>62.766129032258064</v>
      </c>
      <c r="AM64" s="277" t="s">
        <v>1491</v>
      </c>
      <c r="AN64" s="277" t="s">
        <v>4730</v>
      </c>
      <c r="AO64" s="277" t="s">
        <v>4731</v>
      </c>
      <c r="AP64" s="277" t="s">
        <v>4732</v>
      </c>
      <c r="AQ64" s="292">
        <f>SUM('PER BULAN'!AX109)</f>
        <v>0</v>
      </c>
      <c r="AR64" s="292">
        <f>SUM('PER BULAN'!AY109)</f>
        <v>1200000</v>
      </c>
      <c r="AS64" s="292">
        <f>SUM('PER BULAN'!AZ109)</f>
        <v>0</v>
      </c>
      <c r="AT64" s="292">
        <f>SUM('PER BULAN'!BA109)</f>
        <v>0</v>
      </c>
      <c r="AU64" s="292">
        <f>SUM('PER BULAN'!BB109)</f>
        <v>0</v>
      </c>
      <c r="AV64" s="292">
        <f>SUM('PER BULAN'!BC109)</f>
        <v>7854000</v>
      </c>
      <c r="AW64" s="292">
        <f>SUM('PER BULAN'!BD109)</f>
        <v>2488500</v>
      </c>
      <c r="AX64" s="292">
        <f>SUM('PER BULAN'!BE109)</f>
        <v>0</v>
      </c>
    </row>
    <row r="65" spans="1:50" s="278" customFormat="1" x14ac:dyDescent="0.3">
      <c r="A65" s="277" t="s">
        <v>4693</v>
      </c>
      <c r="B65" s="277" t="s">
        <v>4694</v>
      </c>
      <c r="C65" s="277" t="s">
        <v>4720</v>
      </c>
      <c r="D65" s="277" t="s">
        <v>4721</v>
      </c>
      <c r="E65" s="277" t="s">
        <v>197</v>
      </c>
      <c r="F65" s="277" t="s">
        <v>4722</v>
      </c>
      <c r="G65" s="277" t="s">
        <v>4748</v>
      </c>
      <c r="H65" s="277" t="s">
        <v>4749</v>
      </c>
      <c r="I65" s="277">
        <v>301</v>
      </c>
      <c r="J65" s="277" t="s">
        <v>4754</v>
      </c>
      <c r="K65" s="277">
        <v>301</v>
      </c>
      <c r="L65" s="277" t="s">
        <v>4753</v>
      </c>
      <c r="M65" s="277" t="s">
        <v>579</v>
      </c>
      <c r="N65" s="277" t="s">
        <v>4759</v>
      </c>
      <c r="O65" s="277">
        <v>521219</v>
      </c>
      <c r="P65" s="277" t="s">
        <v>4711</v>
      </c>
      <c r="Q65" s="278">
        <v>3000000</v>
      </c>
      <c r="R65" s="292">
        <f>SUM('PER BULAN'!G110:I110)</f>
        <v>0</v>
      </c>
      <c r="S65" s="292">
        <f>SUM('PER BULAN'!J110:L110)</f>
        <v>0</v>
      </c>
      <c r="T65" s="292">
        <f>SUM('PER BULAN'!M110:O110)</f>
        <v>710207</v>
      </c>
      <c r="U65" s="292">
        <f>SUM('PER BULAN'!P110:R110)</f>
        <v>0</v>
      </c>
      <c r="V65" s="292">
        <f>SUM('PER BULAN'!S110:U110)</f>
        <v>481211</v>
      </c>
      <c r="W65" s="292">
        <f>SUM('PER BULAN'!V110:X110)</f>
        <v>0</v>
      </c>
      <c r="X65" s="292">
        <f>SUM('PER BULAN'!Y110:AA110)</f>
        <v>0</v>
      </c>
      <c r="Y65" s="292">
        <f>SUM('PER BULAN'!AB110:AD110)</f>
        <v>0</v>
      </c>
      <c r="Z65" s="292">
        <f>SUM('PER BULAN'!AE110:AG110)</f>
        <v>0</v>
      </c>
      <c r="AA65" s="292">
        <f>SUM('PER BULAN'!AH110:AJ110)</f>
        <v>0</v>
      </c>
      <c r="AB65" s="292">
        <f>SUM('PER BULAN'!AK110:AM110)</f>
        <v>0</v>
      </c>
      <c r="AC65" s="292">
        <f>SUM('PER BULAN'!AN110:AP110)</f>
        <v>0</v>
      </c>
      <c r="AD65" s="277" t="s">
        <v>530</v>
      </c>
      <c r="AE65" s="277" t="s">
        <v>531</v>
      </c>
      <c r="AF65" s="277" t="s">
        <v>532</v>
      </c>
      <c r="AG65" s="277" t="s">
        <v>4699</v>
      </c>
      <c r="AH65" s="277" t="s">
        <v>4700</v>
      </c>
      <c r="AI65" s="277">
        <f t="shared" si="0"/>
        <v>1191418</v>
      </c>
      <c r="AJ65" s="291">
        <f t="shared" si="1"/>
        <v>39.713933333333337</v>
      </c>
      <c r="AK65" s="277">
        <f t="shared" si="2"/>
        <v>1808582</v>
      </c>
      <c r="AL65" s="291">
        <f t="shared" si="3"/>
        <v>60.28606666666667</v>
      </c>
      <c r="AM65" s="277" t="s">
        <v>1496</v>
      </c>
      <c r="AN65" s="277" t="s">
        <v>4730</v>
      </c>
      <c r="AO65" s="277" t="s">
        <v>4733</v>
      </c>
      <c r="AP65" s="277" t="s">
        <v>4732</v>
      </c>
      <c r="AQ65" s="292">
        <f>SUM('PER BULAN'!AX110)</f>
        <v>0</v>
      </c>
      <c r="AR65" s="292">
        <f>SUM('PER BULAN'!AY110)</f>
        <v>236994</v>
      </c>
      <c r="AS65" s="292">
        <f>SUM('PER BULAN'!AZ110)</f>
        <v>473213</v>
      </c>
      <c r="AT65" s="292">
        <f>SUM('PER BULAN'!BA110)</f>
        <v>0</v>
      </c>
      <c r="AU65" s="292">
        <f>SUM('PER BULAN'!BB110)</f>
        <v>0</v>
      </c>
      <c r="AV65" s="292">
        <f>SUM('PER BULAN'!BC110)</f>
        <v>238833</v>
      </c>
      <c r="AW65" s="292">
        <f>SUM('PER BULAN'!BD110)</f>
        <v>242378</v>
      </c>
      <c r="AX65" s="292">
        <f>SUM('PER BULAN'!BE110)</f>
        <v>0</v>
      </c>
    </row>
    <row r="66" spans="1:50" s="278" customFormat="1" x14ac:dyDescent="0.3">
      <c r="A66" s="277" t="s">
        <v>4693</v>
      </c>
      <c r="B66" s="277" t="s">
        <v>4694</v>
      </c>
      <c r="C66" s="277" t="s">
        <v>4720</v>
      </c>
      <c r="D66" s="277" t="s">
        <v>4721</v>
      </c>
      <c r="E66" s="277" t="s">
        <v>197</v>
      </c>
      <c r="F66" s="277" t="s">
        <v>4722</v>
      </c>
      <c r="G66" s="277" t="s">
        <v>4748</v>
      </c>
      <c r="H66" s="277" t="s">
        <v>4749</v>
      </c>
      <c r="I66" s="277">
        <v>301</v>
      </c>
      <c r="J66" s="277" t="s">
        <v>4754</v>
      </c>
      <c r="K66" s="277">
        <v>301</v>
      </c>
      <c r="L66" s="277" t="s">
        <v>4753</v>
      </c>
      <c r="M66" s="277" t="s">
        <v>579</v>
      </c>
      <c r="N66" s="277" t="s">
        <v>4759</v>
      </c>
      <c r="O66" s="277">
        <v>522151</v>
      </c>
      <c r="P66" s="277" t="s">
        <v>4701</v>
      </c>
      <c r="Q66" s="278">
        <v>70000000</v>
      </c>
      <c r="R66" s="292">
        <f>SUM('PER BULAN'!G111:I111)</f>
        <v>0</v>
      </c>
      <c r="S66" s="292">
        <f>SUM('PER BULAN'!J111:L111)</f>
        <v>0</v>
      </c>
      <c r="T66" s="292">
        <f>SUM('PER BULAN'!M111:O111)</f>
        <v>1800000</v>
      </c>
      <c r="U66" s="292">
        <f>SUM('PER BULAN'!P111:R111)</f>
        <v>1000000</v>
      </c>
      <c r="V66" s="292">
        <f>SUM('PER BULAN'!S111:U111)</f>
        <v>2000000</v>
      </c>
      <c r="W66" s="292">
        <f>SUM('PER BULAN'!V111:X111)</f>
        <v>0</v>
      </c>
      <c r="X66" s="292">
        <f>SUM('PER BULAN'!Y111:AA111)</f>
        <v>0</v>
      </c>
      <c r="Y66" s="292">
        <f>SUM('PER BULAN'!AB111:AD111)</f>
        <v>0</v>
      </c>
      <c r="Z66" s="292">
        <f>SUM('PER BULAN'!AE111:AG111)</f>
        <v>0</v>
      </c>
      <c r="AA66" s="292">
        <f>SUM('PER BULAN'!AH111:AJ111)</f>
        <v>0</v>
      </c>
      <c r="AB66" s="292">
        <f>SUM('PER BULAN'!AK111:AM111)</f>
        <v>0</v>
      </c>
      <c r="AC66" s="292">
        <f>SUM('PER BULAN'!AN111:AP111)</f>
        <v>0</v>
      </c>
      <c r="AD66" s="277" t="s">
        <v>530</v>
      </c>
      <c r="AE66" s="277" t="s">
        <v>531</v>
      </c>
      <c r="AF66" s="277" t="s">
        <v>532</v>
      </c>
      <c r="AG66" s="277" t="s">
        <v>4699</v>
      </c>
      <c r="AH66" s="277" t="s">
        <v>4700</v>
      </c>
      <c r="AI66" s="277">
        <f t="shared" si="0"/>
        <v>4800000</v>
      </c>
      <c r="AJ66" s="291">
        <f t="shared" si="1"/>
        <v>6.8571428571428577</v>
      </c>
      <c r="AK66" s="277">
        <f t="shared" si="2"/>
        <v>65200000</v>
      </c>
      <c r="AL66" s="291">
        <f t="shared" si="3"/>
        <v>93.142857142857139</v>
      </c>
      <c r="AM66" s="277" t="s">
        <v>1498</v>
      </c>
      <c r="AN66" s="277" t="s">
        <v>4730</v>
      </c>
      <c r="AO66" s="277" t="s">
        <v>4735</v>
      </c>
      <c r="AP66" s="277" t="s">
        <v>4732</v>
      </c>
      <c r="AQ66" s="292">
        <f>SUM('PER BULAN'!AX111)</f>
        <v>0</v>
      </c>
      <c r="AR66" s="292">
        <f>SUM('PER BULAN'!AY111)</f>
        <v>1800000</v>
      </c>
      <c r="AS66" s="292">
        <f>SUM('PER BULAN'!AZ111)</f>
        <v>0</v>
      </c>
      <c r="AT66" s="292">
        <f>SUM('PER BULAN'!BA111)</f>
        <v>0</v>
      </c>
      <c r="AU66" s="292">
        <f>SUM('PER BULAN'!BB111)</f>
        <v>0</v>
      </c>
      <c r="AV66" s="292">
        <f>SUM('PER BULAN'!BC111)</f>
        <v>0</v>
      </c>
      <c r="AW66" s="292">
        <f>SUM('PER BULAN'!BD111)</f>
        <v>2000000</v>
      </c>
      <c r="AX66" s="292">
        <f>SUM('PER BULAN'!BE111)</f>
        <v>0</v>
      </c>
    </row>
    <row r="67" spans="1:50" s="278" customFormat="1" x14ac:dyDescent="0.3">
      <c r="A67" s="277" t="s">
        <v>4693</v>
      </c>
      <c r="B67" s="277" t="s">
        <v>4694</v>
      </c>
      <c r="C67" s="277" t="s">
        <v>4720</v>
      </c>
      <c r="D67" s="277" t="s">
        <v>4721</v>
      </c>
      <c r="E67" s="277" t="s">
        <v>197</v>
      </c>
      <c r="F67" s="277" t="s">
        <v>4722</v>
      </c>
      <c r="G67" s="277" t="s">
        <v>4748</v>
      </c>
      <c r="H67" s="277" t="s">
        <v>4749</v>
      </c>
      <c r="I67" s="277">
        <v>301</v>
      </c>
      <c r="J67" s="277" t="s">
        <v>4754</v>
      </c>
      <c r="K67" s="277">
        <v>301</v>
      </c>
      <c r="L67" s="277" t="s">
        <v>4753</v>
      </c>
      <c r="M67" s="277" t="s">
        <v>579</v>
      </c>
      <c r="N67" s="277" t="s">
        <v>4759</v>
      </c>
      <c r="O67" s="277" t="s">
        <v>513</v>
      </c>
      <c r="P67" s="277" t="s">
        <v>4702</v>
      </c>
      <c r="Q67" s="278">
        <v>246000000</v>
      </c>
      <c r="R67" s="292">
        <f>SUM('PER BULAN'!G113:I113)</f>
        <v>0</v>
      </c>
      <c r="S67" s="292">
        <f>SUM('PER BULAN'!J112:L112)</f>
        <v>0</v>
      </c>
      <c r="T67" s="292">
        <f>SUM('PER BULAN'!M112:O112)</f>
        <v>2700000</v>
      </c>
      <c r="U67" s="292">
        <f>SUM('PER BULAN'!P112:R112)</f>
        <v>0</v>
      </c>
      <c r="V67" s="292">
        <f>SUM('PER BULAN'!S112:U112)</f>
        <v>27528345</v>
      </c>
      <c r="W67" s="292">
        <f>SUM('PER BULAN'!V112:X112)</f>
        <v>30535327</v>
      </c>
      <c r="X67" s="292">
        <f>SUM('PER BULAN'!Y112:AA112)</f>
        <v>0</v>
      </c>
      <c r="Y67" s="292">
        <f>SUM('PER BULAN'!AB112:AD112)</f>
        <v>0</v>
      </c>
      <c r="Z67" s="292">
        <f>SUM('PER BULAN'!AE112:AG112)</f>
        <v>0</v>
      </c>
      <c r="AA67" s="292">
        <f>SUM('PER BULAN'!AH112:AJ112)</f>
        <v>0</v>
      </c>
      <c r="AB67" s="292">
        <f>SUM('PER BULAN'!AK112:AM112)</f>
        <v>0</v>
      </c>
      <c r="AC67" s="292">
        <f>SUM('PER BULAN'!AN112:AP112)</f>
        <v>0</v>
      </c>
      <c r="AD67" s="277" t="s">
        <v>530</v>
      </c>
      <c r="AE67" s="277" t="s">
        <v>531</v>
      </c>
      <c r="AF67" s="277" t="s">
        <v>532</v>
      </c>
      <c r="AG67" s="277" t="s">
        <v>4699</v>
      </c>
      <c r="AH67" s="277" t="s">
        <v>4700</v>
      </c>
      <c r="AI67" s="277">
        <f t="shared" si="0"/>
        <v>60763672</v>
      </c>
      <c r="AJ67" s="291">
        <f t="shared" si="1"/>
        <v>24.700679674796746</v>
      </c>
      <c r="AK67" s="277">
        <f t="shared" si="2"/>
        <v>185236328</v>
      </c>
      <c r="AL67" s="291">
        <f t="shared" si="3"/>
        <v>75.299320325203254</v>
      </c>
      <c r="AM67" s="277" t="s">
        <v>1501</v>
      </c>
      <c r="AN67" s="277" t="s">
        <v>4730</v>
      </c>
      <c r="AO67" s="277" t="s">
        <v>4736</v>
      </c>
      <c r="AP67" s="277" t="s">
        <v>4732</v>
      </c>
      <c r="AQ67" s="292">
        <f>SUM('PER BULAN'!AX112)</f>
        <v>0</v>
      </c>
      <c r="AR67" s="292">
        <f>SUM('PER BULAN'!AY112)</f>
        <v>0</v>
      </c>
      <c r="AS67" s="292">
        <f>SUM('PER BULAN'!AZ112)</f>
        <v>2700000</v>
      </c>
      <c r="AT67" s="292">
        <f>SUM('PER BULAN'!BA112)</f>
        <v>0</v>
      </c>
      <c r="AU67" s="292">
        <f>SUM('PER BULAN'!BB112)</f>
        <v>0</v>
      </c>
      <c r="AV67" s="292">
        <f>SUM('PER BULAN'!BC112)</f>
        <v>0</v>
      </c>
      <c r="AW67" s="292">
        <f>SUM('PER BULAN'!BD112)</f>
        <v>8114345</v>
      </c>
      <c r="AX67" s="292">
        <f>SUM('PER BULAN'!BE112)</f>
        <v>0</v>
      </c>
    </row>
    <row r="68" spans="1:50" s="278" customFormat="1" x14ac:dyDescent="0.3">
      <c r="A68" s="277" t="s">
        <v>4693</v>
      </c>
      <c r="B68" s="277" t="s">
        <v>4694</v>
      </c>
      <c r="C68" s="277" t="s">
        <v>4720</v>
      </c>
      <c r="D68" s="277" t="s">
        <v>4721</v>
      </c>
      <c r="E68" s="277" t="s">
        <v>197</v>
      </c>
      <c r="F68" s="277" t="s">
        <v>4722</v>
      </c>
      <c r="G68" s="277" t="s">
        <v>4748</v>
      </c>
      <c r="H68" s="277" t="s">
        <v>4749</v>
      </c>
      <c r="I68" s="277">
        <v>301</v>
      </c>
      <c r="J68" s="277" t="s">
        <v>4754</v>
      </c>
      <c r="K68" s="277">
        <v>301</v>
      </c>
      <c r="L68" s="277" t="s">
        <v>4753</v>
      </c>
      <c r="M68" s="277" t="s">
        <v>580</v>
      </c>
      <c r="N68" s="277" t="s">
        <v>4760</v>
      </c>
      <c r="O68" s="277">
        <v>521211</v>
      </c>
      <c r="P68" s="277" t="s">
        <v>4698</v>
      </c>
      <c r="Q68" s="278">
        <v>118575000</v>
      </c>
      <c r="R68" s="292">
        <f>SUM('PER BULAN'!G114:I114)</f>
        <v>0</v>
      </c>
      <c r="S68" s="292">
        <f>SUM('PER BULAN'!J114:L114)</f>
        <v>0</v>
      </c>
      <c r="T68" s="292">
        <f>SUM('PER BULAN'!M114:O114)</f>
        <v>0</v>
      </c>
      <c r="U68" s="292">
        <f>SUM('PER BULAN'!P114:R114)</f>
        <v>0</v>
      </c>
      <c r="V68" s="292">
        <f>SUM('PER BULAN'!S114:U114)</f>
        <v>0</v>
      </c>
      <c r="W68" s="292">
        <f>SUM('PER BULAN'!V114:X114)</f>
        <v>0</v>
      </c>
      <c r="X68" s="292">
        <f>SUM('PER BULAN'!Y114:AA114)</f>
        <v>0</v>
      </c>
      <c r="Y68" s="292">
        <f>SUM('PER BULAN'!AB114:AD114)</f>
        <v>0</v>
      </c>
      <c r="Z68" s="292">
        <f>SUM('PER BULAN'!AE114:AG114)</f>
        <v>0</v>
      </c>
      <c r="AA68" s="292">
        <f>SUM('PER BULAN'!AH114:AJ114)</f>
        <v>0</v>
      </c>
      <c r="AB68" s="292">
        <f>SUM('PER BULAN'!AK114:AM114)</f>
        <v>0</v>
      </c>
      <c r="AC68" s="292">
        <f>SUM('PER BULAN'!AN114:AP114)</f>
        <v>0</v>
      </c>
      <c r="AD68" s="277" t="s">
        <v>530</v>
      </c>
      <c r="AE68" s="277" t="s">
        <v>531</v>
      </c>
      <c r="AF68" s="277" t="s">
        <v>534</v>
      </c>
      <c r="AG68" s="277" t="s">
        <v>4699</v>
      </c>
      <c r="AH68" s="277" t="s">
        <v>4700</v>
      </c>
      <c r="AI68" s="277">
        <f t="shared" si="0"/>
        <v>0</v>
      </c>
      <c r="AJ68" s="291">
        <f t="shared" si="1"/>
        <v>0</v>
      </c>
      <c r="AK68" s="277">
        <f t="shared" si="2"/>
        <v>118575000</v>
      </c>
      <c r="AL68" s="291">
        <f t="shared" si="3"/>
        <v>100</v>
      </c>
      <c r="AM68" s="277" t="s">
        <v>1506</v>
      </c>
      <c r="AN68" s="277" t="s">
        <v>4730</v>
      </c>
      <c r="AO68" s="277" t="s">
        <v>4731</v>
      </c>
      <c r="AP68" s="277" t="s">
        <v>4732</v>
      </c>
      <c r="AQ68" s="292">
        <f>SUM('PER BULAN'!AX114)</f>
        <v>0</v>
      </c>
      <c r="AR68" s="292">
        <f>SUM('PER BULAN'!AY114)</f>
        <v>0</v>
      </c>
      <c r="AS68" s="292">
        <f>SUM('PER BULAN'!AZ114)</f>
        <v>0</v>
      </c>
      <c r="AT68" s="292">
        <f>SUM('PER BULAN'!BA114)</f>
        <v>0</v>
      </c>
      <c r="AU68" s="292">
        <f>SUM('PER BULAN'!BB114)</f>
        <v>0</v>
      </c>
      <c r="AV68" s="292">
        <f>SUM('PER BULAN'!BC114)</f>
        <v>0</v>
      </c>
      <c r="AW68" s="292">
        <f>SUM('PER BULAN'!BD114)</f>
        <v>0</v>
      </c>
      <c r="AX68" s="292">
        <f>SUM('PER BULAN'!BE114)</f>
        <v>0</v>
      </c>
    </row>
    <row r="69" spans="1:50" s="278" customFormat="1" x14ac:dyDescent="0.3">
      <c r="A69" s="277" t="s">
        <v>4693</v>
      </c>
      <c r="B69" s="277" t="s">
        <v>4694</v>
      </c>
      <c r="C69" s="277" t="s">
        <v>4720</v>
      </c>
      <c r="D69" s="277" t="s">
        <v>4721</v>
      </c>
      <c r="E69" s="277" t="s">
        <v>197</v>
      </c>
      <c r="F69" s="277" t="s">
        <v>4722</v>
      </c>
      <c r="G69" s="277" t="s">
        <v>4748</v>
      </c>
      <c r="H69" s="277" t="s">
        <v>4749</v>
      </c>
      <c r="I69" s="277">
        <v>301</v>
      </c>
      <c r="J69" s="277" t="s">
        <v>4754</v>
      </c>
      <c r="K69" s="277">
        <v>301</v>
      </c>
      <c r="L69" s="277" t="s">
        <v>4753</v>
      </c>
      <c r="M69" s="277" t="s">
        <v>580</v>
      </c>
      <c r="N69" s="277" t="s">
        <v>4760</v>
      </c>
      <c r="O69" s="277">
        <v>521219</v>
      </c>
      <c r="P69" s="277" t="s">
        <v>4711</v>
      </c>
      <c r="Q69" s="278">
        <v>393200000</v>
      </c>
      <c r="R69" s="292">
        <f>SUM('PER BULAN'!G115:I115)</f>
        <v>0</v>
      </c>
      <c r="S69" s="292">
        <f>SUM('PER BULAN'!J115:L115)</f>
        <v>0</v>
      </c>
      <c r="T69" s="292">
        <f>SUM('PER BULAN'!M115:O115)</f>
        <v>0</v>
      </c>
      <c r="U69" s="292">
        <f>SUM('PER BULAN'!P115:R115)</f>
        <v>0</v>
      </c>
      <c r="V69" s="292">
        <f>SUM('PER BULAN'!S115:U115)</f>
        <v>0</v>
      </c>
      <c r="W69" s="292">
        <f>SUM('PER BULAN'!V115:X115)</f>
        <v>0</v>
      </c>
      <c r="X69" s="292">
        <f>SUM('PER BULAN'!Y115:AA115)</f>
        <v>0</v>
      </c>
      <c r="Y69" s="292">
        <f>SUM('PER BULAN'!AB115:AD115)</f>
        <v>0</v>
      </c>
      <c r="Z69" s="292">
        <f>SUM('PER BULAN'!AE115:AG115)</f>
        <v>0</v>
      </c>
      <c r="AA69" s="292">
        <f>SUM('PER BULAN'!AH115:AJ115)</f>
        <v>0</v>
      </c>
      <c r="AB69" s="292">
        <f>SUM('PER BULAN'!AK115:AM115)</f>
        <v>0</v>
      </c>
      <c r="AC69" s="292">
        <f>SUM('PER BULAN'!AN115:AP115)</f>
        <v>0</v>
      </c>
      <c r="AD69" s="277" t="s">
        <v>530</v>
      </c>
      <c r="AE69" s="277" t="s">
        <v>531</v>
      </c>
      <c r="AF69" s="277" t="s">
        <v>534</v>
      </c>
      <c r="AG69" s="277" t="s">
        <v>4699</v>
      </c>
      <c r="AH69" s="277" t="s">
        <v>4700</v>
      </c>
      <c r="AI69" s="277">
        <f t="shared" ref="AI69:AI126" si="6">SUM(R69:AC69)</f>
        <v>0</v>
      </c>
      <c r="AJ69" s="291">
        <f t="shared" ref="AJ69:AJ126" si="7">AI69/Q69*100</f>
        <v>0</v>
      </c>
      <c r="AK69" s="277">
        <f t="shared" ref="AK69:AK126" si="8">Q69-AI69</f>
        <v>393200000</v>
      </c>
      <c r="AL69" s="291">
        <f t="shared" ref="AL69:AL126" si="9">AK69/Q69*100</f>
        <v>100</v>
      </c>
      <c r="AM69" s="277" t="s">
        <v>1521</v>
      </c>
      <c r="AN69" s="277" t="s">
        <v>4730</v>
      </c>
      <c r="AO69" s="277" t="s">
        <v>4733</v>
      </c>
      <c r="AP69" s="277" t="s">
        <v>4732</v>
      </c>
      <c r="AQ69" s="292">
        <f>SUM('PER BULAN'!AX115)</f>
        <v>0</v>
      </c>
      <c r="AR69" s="292">
        <f>SUM('PER BULAN'!AY115)</f>
        <v>0</v>
      </c>
      <c r="AS69" s="292">
        <f>SUM('PER BULAN'!AZ115)</f>
        <v>0</v>
      </c>
      <c r="AT69" s="292">
        <f>SUM('PER BULAN'!BA115)</f>
        <v>0</v>
      </c>
      <c r="AU69" s="292">
        <f>SUM('PER BULAN'!BB115)</f>
        <v>0</v>
      </c>
      <c r="AV69" s="292">
        <f>SUM('PER BULAN'!BC115)</f>
        <v>0</v>
      </c>
      <c r="AW69" s="292">
        <f>SUM('PER BULAN'!BD115)</f>
        <v>0</v>
      </c>
      <c r="AX69" s="292">
        <f>SUM('PER BULAN'!BE115)</f>
        <v>0</v>
      </c>
    </row>
    <row r="70" spans="1:50" s="278" customFormat="1" x14ac:dyDescent="0.3">
      <c r="A70" s="277" t="s">
        <v>4693</v>
      </c>
      <c r="B70" s="277" t="s">
        <v>4694</v>
      </c>
      <c r="C70" s="277" t="s">
        <v>4720</v>
      </c>
      <c r="D70" s="277" t="s">
        <v>4721</v>
      </c>
      <c r="E70" s="277" t="s">
        <v>197</v>
      </c>
      <c r="F70" s="277" t="s">
        <v>4722</v>
      </c>
      <c r="G70" s="277" t="s">
        <v>4748</v>
      </c>
      <c r="H70" s="277" t="s">
        <v>4749</v>
      </c>
      <c r="I70" s="277">
        <v>301</v>
      </c>
      <c r="J70" s="277" t="s">
        <v>4754</v>
      </c>
      <c r="K70" s="277">
        <v>301</v>
      </c>
      <c r="L70" s="277" t="s">
        <v>4753</v>
      </c>
      <c r="M70" s="277" t="s">
        <v>580</v>
      </c>
      <c r="N70" s="277" t="s">
        <v>4760</v>
      </c>
      <c r="O70" s="277">
        <v>522141</v>
      </c>
      <c r="P70" s="277" t="s">
        <v>4704</v>
      </c>
      <c r="Q70" s="278">
        <v>120000000</v>
      </c>
      <c r="R70" s="292">
        <f>SUM('PER BULAN'!G116:I116)</f>
        <v>0</v>
      </c>
      <c r="S70" s="292">
        <f>SUM('PER BULAN'!J116:L116)</f>
        <v>0</v>
      </c>
      <c r="T70" s="292">
        <f>SUM('PER BULAN'!M116:O116)</f>
        <v>0</v>
      </c>
      <c r="U70" s="292">
        <f>SUM('PER BULAN'!P116:R116)</f>
        <v>0</v>
      </c>
      <c r="V70" s="292">
        <f>SUM('PER BULAN'!S116:U116)</f>
        <v>0</v>
      </c>
      <c r="W70" s="292">
        <f>SUM('PER BULAN'!V116:X116)</f>
        <v>0</v>
      </c>
      <c r="X70" s="292">
        <f>SUM('PER BULAN'!Y116:AA116)</f>
        <v>0</v>
      </c>
      <c r="Y70" s="292">
        <f>SUM('PER BULAN'!AB116:AD116)</f>
        <v>0</v>
      </c>
      <c r="Z70" s="292">
        <f>SUM('PER BULAN'!AE116:AG116)</f>
        <v>0</v>
      </c>
      <c r="AA70" s="292">
        <f>SUM('PER BULAN'!AH116:AJ116)</f>
        <v>0</v>
      </c>
      <c r="AB70" s="292">
        <f>SUM('PER BULAN'!AK116:AM116)</f>
        <v>0</v>
      </c>
      <c r="AC70" s="292">
        <f>SUM('PER BULAN'!AN116:AP116)</f>
        <v>0</v>
      </c>
      <c r="AD70" s="277" t="s">
        <v>530</v>
      </c>
      <c r="AE70" s="277" t="s">
        <v>531</v>
      </c>
      <c r="AF70" s="277" t="s">
        <v>534</v>
      </c>
      <c r="AG70" s="277" t="s">
        <v>4699</v>
      </c>
      <c r="AH70" s="277" t="s">
        <v>4700</v>
      </c>
      <c r="AI70" s="277">
        <f t="shared" si="6"/>
        <v>0</v>
      </c>
      <c r="AJ70" s="291">
        <f t="shared" si="7"/>
        <v>0</v>
      </c>
      <c r="AK70" s="277">
        <f t="shared" si="8"/>
        <v>120000000</v>
      </c>
      <c r="AL70" s="291">
        <f t="shared" si="9"/>
        <v>100</v>
      </c>
      <c r="AM70" s="277" t="s">
        <v>1526</v>
      </c>
      <c r="AN70" s="277" t="s">
        <v>4730</v>
      </c>
      <c r="AO70" s="277" t="s">
        <v>4740</v>
      </c>
      <c r="AP70" s="277" t="s">
        <v>4732</v>
      </c>
      <c r="AQ70" s="292">
        <f>SUM('PER BULAN'!AX116)</f>
        <v>0</v>
      </c>
      <c r="AR70" s="292">
        <f>SUM('PER BULAN'!AY116)</f>
        <v>0</v>
      </c>
      <c r="AS70" s="292">
        <f>SUM('PER BULAN'!AZ116)</f>
        <v>0</v>
      </c>
      <c r="AT70" s="292">
        <f>SUM('PER BULAN'!BA116)</f>
        <v>0</v>
      </c>
      <c r="AU70" s="292">
        <f>SUM('PER BULAN'!BB116)</f>
        <v>0</v>
      </c>
      <c r="AV70" s="292">
        <f>SUM('PER BULAN'!BC116)</f>
        <v>0</v>
      </c>
      <c r="AW70" s="292">
        <f>SUM('PER BULAN'!BD116)</f>
        <v>0</v>
      </c>
      <c r="AX70" s="292">
        <f>SUM('PER BULAN'!BE116)</f>
        <v>0</v>
      </c>
    </row>
    <row r="71" spans="1:50" s="278" customFormat="1" x14ac:dyDescent="0.3">
      <c r="A71" s="277" t="s">
        <v>4693</v>
      </c>
      <c r="B71" s="277" t="s">
        <v>4694</v>
      </c>
      <c r="C71" s="277" t="s">
        <v>4720</v>
      </c>
      <c r="D71" s="277" t="s">
        <v>4721</v>
      </c>
      <c r="E71" s="277" t="s">
        <v>197</v>
      </c>
      <c r="F71" s="277" t="s">
        <v>4722</v>
      </c>
      <c r="G71" s="277" t="s">
        <v>4748</v>
      </c>
      <c r="H71" s="277" t="s">
        <v>4749</v>
      </c>
      <c r="I71" s="277">
        <v>301</v>
      </c>
      <c r="J71" s="277" t="s">
        <v>4754</v>
      </c>
      <c r="K71" s="277">
        <v>301</v>
      </c>
      <c r="L71" s="277" t="s">
        <v>4753</v>
      </c>
      <c r="M71" s="277" t="s">
        <v>580</v>
      </c>
      <c r="N71" s="277" t="s">
        <v>4760</v>
      </c>
      <c r="O71" s="277" t="s">
        <v>513</v>
      </c>
      <c r="P71" s="277" t="s">
        <v>4702</v>
      </c>
      <c r="Q71" s="278">
        <v>7962000</v>
      </c>
      <c r="R71" s="292">
        <f>SUM('PER BULAN'!G118:I118)</f>
        <v>0</v>
      </c>
      <c r="S71" s="292">
        <f>SUM('PER BULAN'!J117:L117)</f>
        <v>0</v>
      </c>
      <c r="T71" s="292">
        <f>SUM('PER BULAN'!M117:O117)</f>
        <v>0</v>
      </c>
      <c r="U71" s="292">
        <f>SUM('PER BULAN'!P117:R117)</f>
        <v>0</v>
      </c>
      <c r="V71" s="292">
        <f>SUM('PER BULAN'!S117:U117)</f>
        <v>0</v>
      </c>
      <c r="W71" s="292">
        <f>SUM('PER BULAN'!V117:X117)</f>
        <v>0</v>
      </c>
      <c r="X71" s="292">
        <f>SUM('PER BULAN'!Y117:AA117)</f>
        <v>0</v>
      </c>
      <c r="Y71" s="292">
        <f>SUM('PER BULAN'!AB117:AD117)</f>
        <v>0</v>
      </c>
      <c r="Z71" s="292">
        <f>SUM('PER BULAN'!AE117:AG117)</f>
        <v>0</v>
      </c>
      <c r="AA71" s="292">
        <f>SUM('PER BULAN'!AH117:AJ117)</f>
        <v>0</v>
      </c>
      <c r="AB71" s="292">
        <f>SUM('PER BULAN'!AK117:AM117)</f>
        <v>0</v>
      </c>
      <c r="AC71" s="292">
        <f>SUM('PER BULAN'!AN117:AP117)</f>
        <v>0</v>
      </c>
      <c r="AD71" s="277" t="s">
        <v>530</v>
      </c>
      <c r="AE71" s="277" t="s">
        <v>531</v>
      </c>
      <c r="AF71" s="277" t="s">
        <v>534</v>
      </c>
      <c r="AG71" s="277" t="s">
        <v>4699</v>
      </c>
      <c r="AH71" s="277" t="s">
        <v>4700</v>
      </c>
      <c r="AI71" s="277">
        <f t="shared" si="6"/>
        <v>0</v>
      </c>
      <c r="AJ71" s="291">
        <f t="shared" si="7"/>
        <v>0</v>
      </c>
      <c r="AK71" s="277">
        <f t="shared" si="8"/>
        <v>7962000</v>
      </c>
      <c r="AL71" s="291">
        <f t="shared" si="9"/>
        <v>100</v>
      </c>
      <c r="AM71" s="277" t="s">
        <v>1533</v>
      </c>
      <c r="AN71" s="277" t="s">
        <v>4730</v>
      </c>
      <c r="AO71" s="277" t="s">
        <v>4736</v>
      </c>
      <c r="AP71" s="277" t="s">
        <v>4732</v>
      </c>
      <c r="AQ71" s="292">
        <f>SUM('PER BULAN'!AX117)</f>
        <v>0</v>
      </c>
      <c r="AR71" s="292">
        <f>SUM('PER BULAN'!AY117)</f>
        <v>0</v>
      </c>
      <c r="AS71" s="292">
        <f>SUM('PER BULAN'!AZ117)</f>
        <v>0</v>
      </c>
      <c r="AT71" s="292">
        <f>SUM('PER BULAN'!BA117)</f>
        <v>0</v>
      </c>
      <c r="AU71" s="292">
        <f>SUM('PER BULAN'!BB117)</f>
        <v>0</v>
      </c>
      <c r="AV71" s="292">
        <f>SUM('PER BULAN'!BC117)</f>
        <v>0</v>
      </c>
      <c r="AW71" s="292">
        <f>SUM('PER BULAN'!BD117)</f>
        <v>0</v>
      </c>
      <c r="AX71" s="292">
        <f>SUM('PER BULAN'!BE117)</f>
        <v>0</v>
      </c>
    </row>
    <row r="72" spans="1:50" s="278" customFormat="1" x14ac:dyDescent="0.3">
      <c r="A72" s="277" t="s">
        <v>4693</v>
      </c>
      <c r="B72" s="277" t="s">
        <v>4694</v>
      </c>
      <c r="C72" s="277" t="s">
        <v>4720</v>
      </c>
      <c r="D72" s="277" t="s">
        <v>4721</v>
      </c>
      <c r="E72" s="277" t="s">
        <v>197</v>
      </c>
      <c r="F72" s="277" t="s">
        <v>4722</v>
      </c>
      <c r="G72" s="277" t="s">
        <v>4748</v>
      </c>
      <c r="H72" s="277" t="s">
        <v>4749</v>
      </c>
      <c r="I72" s="277">
        <v>301</v>
      </c>
      <c r="J72" s="277" t="s">
        <v>4754</v>
      </c>
      <c r="K72" s="277">
        <v>301</v>
      </c>
      <c r="L72" s="277" t="s">
        <v>4753</v>
      </c>
      <c r="M72" s="277" t="s">
        <v>581</v>
      </c>
      <c r="N72" s="277" t="s">
        <v>4761</v>
      </c>
      <c r="O72" s="277">
        <v>521211</v>
      </c>
      <c r="P72" s="277" t="s">
        <v>4698</v>
      </c>
      <c r="Q72" s="278">
        <v>17550000</v>
      </c>
      <c r="R72" s="292">
        <f>SUM('PER BULAN'!G119:I119)</f>
        <v>0</v>
      </c>
      <c r="S72" s="292">
        <f>SUM('PER BULAN'!J119:L119)</f>
        <v>0</v>
      </c>
      <c r="T72" s="292">
        <f>SUM('PER BULAN'!M119:O119)</f>
        <v>2444000</v>
      </c>
      <c r="U72" s="292">
        <f>SUM('PER BULAN'!P119:R119)</f>
        <v>0</v>
      </c>
      <c r="V72" s="292">
        <f>SUM('PER BULAN'!S119:U119)</f>
        <v>7025000</v>
      </c>
      <c r="W72" s="292">
        <f>SUM('PER BULAN'!V119:X119)</f>
        <v>0</v>
      </c>
      <c r="X72" s="292">
        <f>SUM('PER BULAN'!Y119:AA119)</f>
        <v>0</v>
      </c>
      <c r="Y72" s="292">
        <f>SUM('PER BULAN'!AB119:AD119)</f>
        <v>0</v>
      </c>
      <c r="Z72" s="292">
        <f>SUM('PER BULAN'!AE119:AG119)</f>
        <v>0</v>
      </c>
      <c r="AA72" s="292">
        <f>SUM('PER BULAN'!AH119:AJ119)</f>
        <v>0</v>
      </c>
      <c r="AB72" s="292">
        <f>SUM('PER BULAN'!AK119:AM119)</f>
        <v>0</v>
      </c>
      <c r="AC72" s="292">
        <f>SUM('PER BULAN'!AN119:AP119)</f>
        <v>0</v>
      </c>
      <c r="AD72" s="277" t="s">
        <v>530</v>
      </c>
      <c r="AE72" s="277" t="s">
        <v>531</v>
      </c>
      <c r="AF72" s="277" t="s">
        <v>534</v>
      </c>
      <c r="AG72" s="277" t="s">
        <v>4699</v>
      </c>
      <c r="AH72" s="277" t="s">
        <v>4700</v>
      </c>
      <c r="AI72" s="277">
        <f t="shared" si="6"/>
        <v>9469000</v>
      </c>
      <c r="AJ72" s="291">
        <f t="shared" si="7"/>
        <v>53.954415954415957</v>
      </c>
      <c r="AK72" s="277">
        <f t="shared" si="8"/>
        <v>8081000</v>
      </c>
      <c r="AL72" s="291">
        <f t="shared" si="9"/>
        <v>46.04558404558405</v>
      </c>
      <c r="AM72" s="277" t="s">
        <v>1538</v>
      </c>
      <c r="AN72" s="277" t="s">
        <v>4730</v>
      </c>
      <c r="AO72" s="277" t="s">
        <v>4731</v>
      </c>
      <c r="AP72" s="277" t="s">
        <v>4732</v>
      </c>
      <c r="AQ72" s="292">
        <f>SUM('PER BULAN'!AX119)</f>
        <v>0</v>
      </c>
      <c r="AR72" s="292">
        <f>SUM('PER BULAN'!AY119)</f>
        <v>2444000</v>
      </c>
      <c r="AS72" s="292">
        <f>SUM('PER BULAN'!AZ119)</f>
        <v>0</v>
      </c>
      <c r="AT72" s="292">
        <f>SUM('PER BULAN'!BA119)</f>
        <v>0</v>
      </c>
      <c r="AU72" s="292">
        <f>SUM('PER BULAN'!BB119)</f>
        <v>0</v>
      </c>
      <c r="AV72" s="292">
        <f>SUM('PER BULAN'!BC119)</f>
        <v>528000</v>
      </c>
      <c r="AW72" s="292">
        <f>SUM('PER BULAN'!BD119)</f>
        <v>6497000</v>
      </c>
      <c r="AX72" s="292">
        <f>SUM('PER BULAN'!BE119)</f>
        <v>0</v>
      </c>
    </row>
    <row r="73" spans="1:50" s="278" customFormat="1" x14ac:dyDescent="0.3">
      <c r="A73" s="277" t="s">
        <v>4693</v>
      </c>
      <c r="B73" s="277" t="s">
        <v>4694</v>
      </c>
      <c r="C73" s="277" t="s">
        <v>4720</v>
      </c>
      <c r="D73" s="277" t="s">
        <v>4721</v>
      </c>
      <c r="E73" s="277" t="s">
        <v>197</v>
      </c>
      <c r="F73" s="277" t="s">
        <v>4722</v>
      </c>
      <c r="G73" s="277" t="s">
        <v>4748</v>
      </c>
      <c r="H73" s="277" t="s">
        <v>4749</v>
      </c>
      <c r="I73" s="277">
        <v>301</v>
      </c>
      <c r="J73" s="277" t="s">
        <v>4754</v>
      </c>
      <c r="K73" s="277">
        <v>301</v>
      </c>
      <c r="L73" s="277" t="s">
        <v>4753</v>
      </c>
      <c r="M73" s="277" t="s">
        <v>581</v>
      </c>
      <c r="N73" s="277" t="s">
        <v>4761</v>
      </c>
      <c r="O73" s="277">
        <v>521219</v>
      </c>
      <c r="P73" s="277" t="s">
        <v>4711</v>
      </c>
      <c r="Q73" s="278">
        <v>27651000</v>
      </c>
      <c r="R73" s="292">
        <f>SUM('PER BULAN'!G120:I120)</f>
        <v>0</v>
      </c>
      <c r="S73" s="292">
        <f>SUM('PER BULAN'!J120:L120)</f>
        <v>0</v>
      </c>
      <c r="T73" s="292">
        <f>SUM('PER BULAN'!M120:O120)</f>
        <v>370000</v>
      </c>
      <c r="U73" s="292">
        <f>SUM('PER BULAN'!P120:R120)</f>
        <v>0</v>
      </c>
      <c r="V73" s="292">
        <f>SUM('PER BULAN'!S120:U120)</f>
        <v>250000</v>
      </c>
      <c r="W73" s="292">
        <f>SUM('PER BULAN'!V120:X120)</f>
        <v>0</v>
      </c>
      <c r="X73" s="292">
        <f>SUM('PER BULAN'!Y120:AA120)</f>
        <v>0</v>
      </c>
      <c r="Y73" s="292">
        <f>SUM('PER BULAN'!AB120:AD120)</f>
        <v>0</v>
      </c>
      <c r="Z73" s="292">
        <f>SUM('PER BULAN'!AE120:AG120)</f>
        <v>0</v>
      </c>
      <c r="AA73" s="292">
        <f>SUM('PER BULAN'!AH120:AJ120)</f>
        <v>0</v>
      </c>
      <c r="AB73" s="292">
        <f>SUM('PER BULAN'!AK120:AM120)</f>
        <v>0</v>
      </c>
      <c r="AC73" s="292">
        <f>SUM('PER BULAN'!AN120:AP120)</f>
        <v>0</v>
      </c>
      <c r="AD73" s="277" t="s">
        <v>530</v>
      </c>
      <c r="AE73" s="277" t="s">
        <v>531</v>
      </c>
      <c r="AF73" s="277" t="s">
        <v>534</v>
      </c>
      <c r="AG73" s="277" t="s">
        <v>4699</v>
      </c>
      <c r="AH73" s="277" t="s">
        <v>4700</v>
      </c>
      <c r="AI73" s="277">
        <f t="shared" si="6"/>
        <v>620000</v>
      </c>
      <c r="AJ73" s="291">
        <f t="shared" si="7"/>
        <v>2.2422335539401832</v>
      </c>
      <c r="AK73" s="277">
        <f t="shared" si="8"/>
        <v>27031000</v>
      </c>
      <c r="AL73" s="291">
        <f t="shared" si="9"/>
        <v>97.757766446059819</v>
      </c>
      <c r="AM73" s="277" t="s">
        <v>1549</v>
      </c>
      <c r="AN73" s="277" t="s">
        <v>4730</v>
      </c>
      <c r="AO73" s="277" t="s">
        <v>4733</v>
      </c>
      <c r="AP73" s="277" t="s">
        <v>4732</v>
      </c>
      <c r="AQ73" s="292">
        <f>SUM('PER BULAN'!AX120)</f>
        <v>0</v>
      </c>
      <c r="AR73" s="292">
        <f>SUM('PER BULAN'!AY120)</f>
        <v>250000</v>
      </c>
      <c r="AS73" s="292">
        <f>SUM('PER BULAN'!AZ120)</f>
        <v>120000</v>
      </c>
      <c r="AT73" s="292">
        <f>SUM('PER BULAN'!BA120)</f>
        <v>0</v>
      </c>
      <c r="AU73" s="292">
        <f>SUM('PER BULAN'!BB120)</f>
        <v>0</v>
      </c>
      <c r="AV73" s="292">
        <f>SUM('PER BULAN'!BC120)</f>
        <v>0</v>
      </c>
      <c r="AW73" s="292">
        <f>SUM('PER BULAN'!BD120)</f>
        <v>250000</v>
      </c>
      <c r="AX73" s="292">
        <f>SUM('PER BULAN'!BE120)</f>
        <v>0</v>
      </c>
    </row>
    <row r="74" spans="1:50" s="278" customFormat="1" x14ac:dyDescent="0.3">
      <c r="A74" s="277" t="s">
        <v>4693</v>
      </c>
      <c r="B74" s="277" t="s">
        <v>4694</v>
      </c>
      <c r="C74" s="277" t="s">
        <v>4720</v>
      </c>
      <c r="D74" s="277" t="s">
        <v>4721</v>
      </c>
      <c r="E74" s="277" t="s">
        <v>197</v>
      </c>
      <c r="F74" s="277" t="s">
        <v>4722</v>
      </c>
      <c r="G74" s="277" t="s">
        <v>4748</v>
      </c>
      <c r="H74" s="277" t="s">
        <v>4749</v>
      </c>
      <c r="I74" s="277">
        <v>301</v>
      </c>
      <c r="J74" s="277" t="s">
        <v>4754</v>
      </c>
      <c r="K74" s="277">
        <v>301</v>
      </c>
      <c r="L74" s="277" t="s">
        <v>4753</v>
      </c>
      <c r="M74" s="277" t="s">
        <v>581</v>
      </c>
      <c r="N74" s="277" t="s">
        <v>4761</v>
      </c>
      <c r="O74" s="277">
        <v>522151</v>
      </c>
      <c r="P74" s="277" t="s">
        <v>4701</v>
      </c>
      <c r="Q74" s="278">
        <v>40000000</v>
      </c>
      <c r="R74" s="292">
        <f>SUM('PER BULAN'!G121:I121)</f>
        <v>0</v>
      </c>
      <c r="S74" s="292">
        <f>SUM('PER BULAN'!J121:L121)</f>
        <v>0</v>
      </c>
      <c r="T74" s="292">
        <f>SUM('PER BULAN'!M121:O121)</f>
        <v>0</v>
      </c>
      <c r="U74" s="292">
        <f>SUM('PER BULAN'!P121:R121)</f>
        <v>0</v>
      </c>
      <c r="V74" s="292">
        <f>SUM('PER BULAN'!S121:U121)</f>
        <v>14000000</v>
      </c>
      <c r="W74" s="292">
        <f>SUM('PER BULAN'!V121:X121)</f>
        <v>0</v>
      </c>
      <c r="X74" s="292">
        <f>SUM('PER BULAN'!Y121:AA121)</f>
        <v>0</v>
      </c>
      <c r="Y74" s="292">
        <f>SUM('PER BULAN'!AB121:AD121)</f>
        <v>0</v>
      </c>
      <c r="Z74" s="292">
        <f>SUM('PER BULAN'!AE121:AG121)</f>
        <v>0</v>
      </c>
      <c r="AA74" s="292">
        <f>SUM('PER BULAN'!AH121:AJ121)</f>
        <v>0</v>
      </c>
      <c r="AB74" s="292">
        <f>SUM('PER BULAN'!AK121:AM121)</f>
        <v>0</v>
      </c>
      <c r="AC74" s="292">
        <f>SUM('PER BULAN'!AN121:AP121)</f>
        <v>0</v>
      </c>
      <c r="AD74" s="277" t="s">
        <v>530</v>
      </c>
      <c r="AE74" s="277" t="s">
        <v>531</v>
      </c>
      <c r="AF74" s="277" t="s">
        <v>534</v>
      </c>
      <c r="AG74" s="277" t="s">
        <v>4699</v>
      </c>
      <c r="AH74" s="277" t="s">
        <v>4700</v>
      </c>
      <c r="AI74" s="277">
        <f t="shared" si="6"/>
        <v>14000000</v>
      </c>
      <c r="AJ74" s="291">
        <f t="shared" si="7"/>
        <v>35</v>
      </c>
      <c r="AK74" s="277">
        <f t="shared" si="8"/>
        <v>26000000</v>
      </c>
      <c r="AL74" s="291">
        <f t="shared" si="9"/>
        <v>65</v>
      </c>
      <c r="AM74" s="277" t="s">
        <v>1551</v>
      </c>
      <c r="AN74" s="277" t="s">
        <v>4730</v>
      </c>
      <c r="AO74" s="277" t="s">
        <v>4735</v>
      </c>
      <c r="AP74" s="277" t="s">
        <v>4732</v>
      </c>
      <c r="AQ74" s="292">
        <f>SUM('PER BULAN'!AX121)</f>
        <v>0</v>
      </c>
      <c r="AR74" s="292">
        <f>SUM('PER BULAN'!AY121)</f>
        <v>0</v>
      </c>
      <c r="AS74" s="292">
        <f>SUM('PER BULAN'!AZ121)</f>
        <v>0</v>
      </c>
      <c r="AT74" s="292">
        <f>SUM('PER BULAN'!BA121)</f>
        <v>0</v>
      </c>
      <c r="AU74" s="292">
        <f>SUM('PER BULAN'!BB121)</f>
        <v>0</v>
      </c>
      <c r="AV74" s="292">
        <f>SUM('PER BULAN'!BC121)</f>
        <v>0</v>
      </c>
      <c r="AW74" s="292">
        <f>SUM('PER BULAN'!BD121)</f>
        <v>14000000</v>
      </c>
      <c r="AX74" s="292">
        <f>SUM('PER BULAN'!BE121)</f>
        <v>0</v>
      </c>
    </row>
    <row r="75" spans="1:50" s="278" customFormat="1" x14ac:dyDescent="0.3">
      <c r="A75" s="277" t="s">
        <v>4693</v>
      </c>
      <c r="B75" s="277" t="s">
        <v>4694</v>
      </c>
      <c r="C75" s="277" t="s">
        <v>4720</v>
      </c>
      <c r="D75" s="277" t="s">
        <v>4721</v>
      </c>
      <c r="E75" s="277" t="s">
        <v>197</v>
      </c>
      <c r="F75" s="277" t="s">
        <v>4722</v>
      </c>
      <c r="G75" s="277" t="s">
        <v>4748</v>
      </c>
      <c r="H75" s="277" t="s">
        <v>4749</v>
      </c>
      <c r="I75" s="277">
        <v>301</v>
      </c>
      <c r="J75" s="277" t="s">
        <v>4754</v>
      </c>
      <c r="K75" s="277">
        <v>301</v>
      </c>
      <c r="L75" s="277" t="s">
        <v>4753</v>
      </c>
      <c r="M75" s="277" t="s">
        <v>581</v>
      </c>
      <c r="N75" s="277" t="s">
        <v>4761</v>
      </c>
      <c r="O75" s="277" t="s">
        <v>513</v>
      </c>
      <c r="P75" s="277" t="s">
        <v>4702</v>
      </c>
      <c r="Q75" s="278">
        <v>25062000</v>
      </c>
      <c r="R75" s="292">
        <f>SUM('PER BULAN'!G125:I125)</f>
        <v>0</v>
      </c>
      <c r="S75" s="292">
        <f>SUM('PER BULAN'!J122:L122)</f>
        <v>0</v>
      </c>
      <c r="T75" s="292">
        <f>SUM('PER BULAN'!M122:O122)</f>
        <v>25062000</v>
      </c>
      <c r="U75" s="292">
        <f>SUM('PER BULAN'!P122:R122)</f>
        <v>0</v>
      </c>
      <c r="V75" s="292">
        <f>SUM('PER BULAN'!S122:U122)</f>
        <v>0</v>
      </c>
      <c r="W75" s="292">
        <f>SUM('PER BULAN'!V122:X122)</f>
        <v>0</v>
      </c>
      <c r="X75" s="292">
        <f>SUM('PER BULAN'!Y122:AA122)</f>
        <v>0</v>
      </c>
      <c r="Y75" s="292">
        <f>SUM('PER BULAN'!AB122:AD122)</f>
        <v>0</v>
      </c>
      <c r="Z75" s="292">
        <f>SUM('PER BULAN'!AE122:AG122)</f>
        <v>0</v>
      </c>
      <c r="AA75" s="292">
        <f>SUM('PER BULAN'!AH122:AJ122)</f>
        <v>0</v>
      </c>
      <c r="AB75" s="292">
        <f>SUM('PER BULAN'!AK122:AM122)</f>
        <v>0</v>
      </c>
      <c r="AC75" s="292">
        <f>SUM('PER BULAN'!AN122:AP122)</f>
        <v>0</v>
      </c>
      <c r="AD75" s="277" t="s">
        <v>530</v>
      </c>
      <c r="AE75" s="277" t="s">
        <v>531</v>
      </c>
      <c r="AF75" s="277" t="s">
        <v>534</v>
      </c>
      <c r="AG75" s="277" t="s">
        <v>4699</v>
      </c>
      <c r="AH75" s="277" t="s">
        <v>4700</v>
      </c>
      <c r="AI75" s="277">
        <f t="shared" si="6"/>
        <v>25062000</v>
      </c>
      <c r="AJ75" s="291">
        <f t="shared" si="7"/>
        <v>100</v>
      </c>
      <c r="AK75" s="277">
        <f t="shared" si="8"/>
        <v>0</v>
      </c>
      <c r="AL75" s="291">
        <f t="shared" si="9"/>
        <v>0</v>
      </c>
      <c r="AM75" s="277" t="s">
        <v>1553</v>
      </c>
      <c r="AN75" s="277" t="s">
        <v>4730</v>
      </c>
      <c r="AO75" s="277" t="s">
        <v>4736</v>
      </c>
      <c r="AP75" s="277" t="s">
        <v>4732</v>
      </c>
      <c r="AQ75" s="292">
        <f>SUM('PER BULAN'!AX122)</f>
        <v>0</v>
      </c>
      <c r="AR75" s="292">
        <f>SUM('PER BULAN'!AY122)</f>
        <v>15982000</v>
      </c>
      <c r="AS75" s="292">
        <f>SUM('PER BULAN'!AZ122)</f>
        <v>9080000</v>
      </c>
      <c r="AT75" s="292">
        <f>SUM('PER BULAN'!BA122)</f>
        <v>0</v>
      </c>
      <c r="AU75" s="292">
        <f>SUM('PER BULAN'!BB122)</f>
        <v>0</v>
      </c>
      <c r="AV75" s="292">
        <f>SUM('PER BULAN'!BC122)</f>
        <v>0</v>
      </c>
      <c r="AW75" s="292">
        <f>SUM('PER BULAN'!BD122)</f>
        <v>0</v>
      </c>
      <c r="AX75" s="292">
        <f>SUM('PER BULAN'!BE122)</f>
        <v>0</v>
      </c>
    </row>
    <row r="76" spans="1:50" s="278" customFormat="1" x14ac:dyDescent="0.3">
      <c r="A76" s="277" t="s">
        <v>4693</v>
      </c>
      <c r="B76" s="277" t="s">
        <v>4694</v>
      </c>
      <c r="C76" s="277" t="s">
        <v>4720</v>
      </c>
      <c r="D76" s="277" t="s">
        <v>4721</v>
      </c>
      <c r="E76" s="277" t="s">
        <v>197</v>
      </c>
      <c r="F76" s="277" t="s">
        <v>4722</v>
      </c>
      <c r="G76" s="277" t="s">
        <v>4748</v>
      </c>
      <c r="H76" s="277" t="s">
        <v>4749</v>
      </c>
      <c r="I76" s="277" t="s">
        <v>557</v>
      </c>
      <c r="J76" s="277" t="s">
        <v>4762</v>
      </c>
      <c r="K76" s="277" t="s">
        <v>501</v>
      </c>
      <c r="L76" s="277" t="s">
        <v>4654</v>
      </c>
      <c r="M76" s="277" t="s">
        <v>1807</v>
      </c>
      <c r="N76" s="277" t="s">
        <v>4763</v>
      </c>
      <c r="O76" s="277">
        <v>521111</v>
      </c>
      <c r="P76" s="277" t="s">
        <v>4764</v>
      </c>
      <c r="Q76" s="278">
        <v>1076220000</v>
      </c>
      <c r="R76" s="292">
        <f>SUM('PER BULAN'!G126:I126)</f>
        <v>0</v>
      </c>
      <c r="S76" s="292">
        <f>SUM('PER BULAN'!J126:L126)</f>
        <v>63640000</v>
      </c>
      <c r="T76" s="292">
        <f>SUM('PER BULAN'!M126:O126)</f>
        <v>80776487</v>
      </c>
      <c r="U76" s="292">
        <f>SUM('PER BULAN'!P126:R126)</f>
        <v>135515096</v>
      </c>
      <c r="V76" s="292">
        <f>SUM('PER BULAN'!S126:U126)</f>
        <v>79486568</v>
      </c>
      <c r="W76" s="292">
        <f>SUM('PER BULAN'!V126:X126)</f>
        <v>63640000</v>
      </c>
      <c r="X76" s="292">
        <f>SUM('PER BULAN'!Y126:AA126)</f>
        <v>0</v>
      </c>
      <c r="Y76" s="292">
        <f>SUM('PER BULAN'!AB126:AD126)</f>
        <v>0</v>
      </c>
      <c r="Z76" s="292">
        <f>SUM('PER BULAN'!AE126:AG126)</f>
        <v>0</v>
      </c>
      <c r="AA76" s="292">
        <f>SUM('PER BULAN'!AH126:AJ126)</f>
        <v>0</v>
      </c>
      <c r="AB76" s="292">
        <f>SUM('PER BULAN'!AK126:AM126)</f>
        <v>0</v>
      </c>
      <c r="AC76" s="292">
        <f>SUM('PER BULAN'!AN126:AP126)</f>
        <v>0</v>
      </c>
      <c r="AD76" s="277" t="s">
        <v>530</v>
      </c>
      <c r="AE76" s="277" t="s">
        <v>576</v>
      </c>
      <c r="AF76" s="277" t="s">
        <v>560</v>
      </c>
      <c r="AG76" s="277" t="s">
        <v>4699</v>
      </c>
      <c r="AH76" s="277" t="s">
        <v>4700</v>
      </c>
      <c r="AI76" s="277">
        <f t="shared" si="6"/>
        <v>423058151</v>
      </c>
      <c r="AJ76" s="291">
        <f t="shared" si="7"/>
        <v>39.309634740108898</v>
      </c>
      <c r="AK76" s="277">
        <f t="shared" si="8"/>
        <v>653161849</v>
      </c>
      <c r="AL76" s="291">
        <f t="shared" si="9"/>
        <v>60.690365259891102</v>
      </c>
      <c r="AM76" s="277" t="s">
        <v>2172</v>
      </c>
      <c r="AN76" s="277" t="s">
        <v>4730</v>
      </c>
      <c r="AO76" s="277" t="s">
        <v>4731</v>
      </c>
      <c r="AP76" s="277" t="s">
        <v>4739</v>
      </c>
      <c r="AQ76" s="292">
        <f>SUM('PER BULAN'!AX126)</f>
        <v>2178865</v>
      </c>
      <c r="AR76" s="292">
        <f>SUM('PER BULAN'!AY126)</f>
        <v>8107900</v>
      </c>
      <c r="AS76" s="292">
        <f>SUM('PER BULAN'!AZ126)</f>
        <v>6849722</v>
      </c>
      <c r="AT76" s="292">
        <f>SUM('PER BULAN'!BA126)</f>
        <v>8235096</v>
      </c>
      <c r="AU76" s="292">
        <f>SUM('PER BULAN'!BB126)</f>
        <v>8616711</v>
      </c>
      <c r="AV76" s="292">
        <f>SUM('PER BULAN'!BC126)</f>
        <v>7229857</v>
      </c>
      <c r="AW76" s="292">
        <f>SUM('PER BULAN'!BD126)</f>
        <v>0</v>
      </c>
      <c r="AX76" s="292">
        <f>SUM('PER BULAN'!BE126)</f>
        <v>0</v>
      </c>
    </row>
    <row r="77" spans="1:50" s="278" customFormat="1" x14ac:dyDescent="0.3">
      <c r="A77" s="277" t="s">
        <v>4693</v>
      </c>
      <c r="B77" s="277" t="s">
        <v>4694</v>
      </c>
      <c r="C77" s="277" t="s">
        <v>4720</v>
      </c>
      <c r="D77" s="277" t="s">
        <v>4721</v>
      </c>
      <c r="E77" s="277" t="s">
        <v>197</v>
      </c>
      <c r="F77" s="277" t="s">
        <v>4722</v>
      </c>
      <c r="G77" s="277" t="s">
        <v>4748</v>
      </c>
      <c r="H77" s="277" t="s">
        <v>4749</v>
      </c>
      <c r="I77" s="277" t="s">
        <v>557</v>
      </c>
      <c r="J77" s="277" t="s">
        <v>4762</v>
      </c>
      <c r="K77" s="277" t="s">
        <v>501</v>
      </c>
      <c r="L77" s="277" t="s">
        <v>4654</v>
      </c>
      <c r="M77" s="277" t="s">
        <v>1807</v>
      </c>
      <c r="N77" s="277" t="s">
        <v>4763</v>
      </c>
      <c r="O77" s="277">
        <v>521811</v>
      </c>
      <c r="P77" s="277" t="s">
        <v>4716</v>
      </c>
      <c r="Q77" s="278">
        <v>178160000</v>
      </c>
      <c r="R77" s="292">
        <f>SUM('PER BULAN'!G128:I128)</f>
        <v>0</v>
      </c>
      <c r="S77" s="292">
        <f>SUM('PER BULAN'!J127:L127)</f>
        <v>0</v>
      </c>
      <c r="T77" s="292">
        <f>SUM('PER BULAN'!M127:O127)</f>
        <v>32474000</v>
      </c>
      <c r="U77" s="292">
        <f>SUM('PER BULAN'!P127:R127)</f>
        <v>8952000</v>
      </c>
      <c r="V77" s="292">
        <f>SUM('PER BULAN'!S127:U127)</f>
        <v>23282000</v>
      </c>
      <c r="W77" s="292">
        <f>SUM('PER BULAN'!V127:X127)</f>
        <v>0</v>
      </c>
      <c r="X77" s="292">
        <f>SUM('PER BULAN'!Y127:AA127)</f>
        <v>0</v>
      </c>
      <c r="Y77" s="292">
        <f>SUM('PER BULAN'!AB127:AD127)</f>
        <v>0</v>
      </c>
      <c r="Z77" s="292">
        <f>SUM('PER BULAN'!AE127:AG127)</f>
        <v>0</v>
      </c>
      <c r="AA77" s="292">
        <f>SUM('PER BULAN'!AH127:AJ127)</f>
        <v>0</v>
      </c>
      <c r="AB77" s="292">
        <f>SUM('PER BULAN'!AK127:AM127)</f>
        <v>0</v>
      </c>
      <c r="AC77" s="292">
        <f>SUM('PER BULAN'!AN127:AP127)</f>
        <v>0</v>
      </c>
      <c r="AD77" s="277" t="s">
        <v>530</v>
      </c>
      <c r="AE77" s="277" t="s">
        <v>576</v>
      </c>
      <c r="AF77" s="277" t="s">
        <v>560</v>
      </c>
      <c r="AG77" s="277" t="s">
        <v>4699</v>
      </c>
      <c r="AH77" s="277" t="s">
        <v>4700</v>
      </c>
      <c r="AI77" s="277">
        <f t="shared" si="6"/>
        <v>64708000</v>
      </c>
      <c r="AJ77" s="291">
        <f t="shared" si="7"/>
        <v>36.320161652447233</v>
      </c>
      <c r="AK77" s="277">
        <f t="shared" si="8"/>
        <v>113452000</v>
      </c>
      <c r="AL77" s="291">
        <f t="shared" si="9"/>
        <v>63.679838347552767</v>
      </c>
      <c r="AM77" s="277" t="s">
        <v>2189</v>
      </c>
      <c r="AN77" s="277" t="s">
        <v>4730</v>
      </c>
      <c r="AO77" s="277" t="s">
        <v>4826</v>
      </c>
      <c r="AP77" s="277" t="s">
        <v>4739</v>
      </c>
      <c r="AQ77" s="292">
        <f>SUM('PER BULAN'!AX127)</f>
        <v>13175000</v>
      </c>
      <c r="AR77" s="292">
        <f>SUM('PER BULAN'!AY127)</f>
        <v>19299000</v>
      </c>
      <c r="AS77" s="292">
        <f>SUM('PER BULAN'!AZ127)</f>
        <v>0</v>
      </c>
      <c r="AT77" s="292">
        <f>SUM('PER BULAN'!BA127)</f>
        <v>8952000</v>
      </c>
      <c r="AU77" s="292">
        <f>SUM('PER BULAN'!BB127)</f>
        <v>1680000</v>
      </c>
      <c r="AV77" s="292">
        <f>SUM('PER BULAN'!BC127)</f>
        <v>21602000</v>
      </c>
      <c r="AW77" s="292">
        <f>SUM('PER BULAN'!BD127)</f>
        <v>0</v>
      </c>
      <c r="AX77" s="292">
        <f>SUM('PER BULAN'!BE127)</f>
        <v>0</v>
      </c>
    </row>
    <row r="78" spans="1:50" s="278" customFormat="1" x14ac:dyDescent="0.3">
      <c r="A78" s="277" t="s">
        <v>4693</v>
      </c>
      <c r="B78" s="277" t="s">
        <v>4694</v>
      </c>
      <c r="C78" s="277" t="s">
        <v>4720</v>
      </c>
      <c r="D78" s="277" t="s">
        <v>4721</v>
      </c>
      <c r="E78" s="277" t="s">
        <v>197</v>
      </c>
      <c r="F78" s="277" t="s">
        <v>4722</v>
      </c>
      <c r="G78" s="277" t="s">
        <v>4723</v>
      </c>
      <c r="H78" s="277" t="s">
        <v>4749</v>
      </c>
      <c r="I78" s="277" t="s">
        <v>557</v>
      </c>
      <c r="J78" s="277" t="s">
        <v>4762</v>
      </c>
      <c r="K78" s="277" t="s">
        <v>501</v>
      </c>
      <c r="L78" s="277" t="s">
        <v>4654</v>
      </c>
      <c r="M78" s="277" t="s">
        <v>2208</v>
      </c>
      <c r="N78" s="277" t="s">
        <v>4765</v>
      </c>
      <c r="O78" s="277">
        <v>521114</v>
      </c>
      <c r="P78" s="277" t="s">
        <v>4766</v>
      </c>
      <c r="Q78" s="278">
        <v>30000000</v>
      </c>
      <c r="R78" s="292">
        <f>SUM('PER BULAN'!G129:I129)</f>
        <v>0</v>
      </c>
      <c r="S78" s="292">
        <f>SUM('PER BULAN'!J129:L129)</f>
        <v>0</v>
      </c>
      <c r="T78" s="292">
        <f>SUM('PER BULAN'!M129:O129)</f>
        <v>354050</v>
      </c>
      <c r="U78" s="292">
        <f>SUM('PER BULAN'!P129:R129)</f>
        <v>603000</v>
      </c>
      <c r="V78" s="292">
        <f>SUM('PER BULAN'!S129:U129)</f>
        <v>1329000</v>
      </c>
      <c r="W78" s="292">
        <f>SUM('PER BULAN'!V129:X129)</f>
        <v>0</v>
      </c>
      <c r="X78" s="292">
        <f>SUM('PER BULAN'!Y129:AA129)</f>
        <v>0</v>
      </c>
      <c r="Y78" s="292">
        <f>SUM('PER BULAN'!AB129:AD129)</f>
        <v>0</v>
      </c>
      <c r="Z78" s="292">
        <f>SUM('PER BULAN'!AE129:AG129)</f>
        <v>0</v>
      </c>
      <c r="AA78" s="292">
        <f>SUM('PER BULAN'!AH129:AJ129)</f>
        <v>0</v>
      </c>
      <c r="AB78" s="292">
        <f>SUM('PER BULAN'!AK129:AM129)</f>
        <v>0</v>
      </c>
      <c r="AC78" s="292">
        <f>SUM('PER BULAN'!AN129:AP129)</f>
        <v>0</v>
      </c>
      <c r="AD78" s="277" t="s">
        <v>530</v>
      </c>
      <c r="AE78" s="277" t="s">
        <v>576</v>
      </c>
      <c r="AF78" s="277" t="s">
        <v>560</v>
      </c>
      <c r="AG78" s="277" t="s">
        <v>4699</v>
      </c>
      <c r="AH78" s="277" t="s">
        <v>4700</v>
      </c>
      <c r="AI78" s="277">
        <f t="shared" si="6"/>
        <v>2286050</v>
      </c>
      <c r="AJ78" s="291">
        <f t="shared" si="7"/>
        <v>7.620166666666667</v>
      </c>
      <c r="AK78" s="277">
        <f t="shared" si="8"/>
        <v>27713950</v>
      </c>
      <c r="AL78" s="291">
        <f t="shared" si="9"/>
        <v>92.379833333333337</v>
      </c>
      <c r="AM78" s="277" t="s">
        <v>2210</v>
      </c>
      <c r="AN78" s="277" t="s">
        <v>4730</v>
      </c>
      <c r="AO78" s="277" t="s">
        <v>4827</v>
      </c>
      <c r="AP78" s="277" t="s">
        <v>4739</v>
      </c>
      <c r="AQ78" s="292">
        <f>SUM('PER BULAN'!AX129)</f>
        <v>295050</v>
      </c>
      <c r="AR78" s="292">
        <f>SUM('PER BULAN'!AY129)</f>
        <v>0</v>
      </c>
      <c r="AS78" s="292">
        <f>SUM('PER BULAN'!AZ129)</f>
        <v>59000</v>
      </c>
      <c r="AT78" s="292">
        <f>SUM('PER BULAN'!BA129)</f>
        <v>603000</v>
      </c>
      <c r="AU78" s="292">
        <f>SUM('PER BULAN'!BB129)</f>
        <v>276000</v>
      </c>
      <c r="AV78" s="292">
        <f>SUM('PER BULAN'!BC129)</f>
        <v>1053000</v>
      </c>
      <c r="AW78" s="292">
        <f>SUM('PER BULAN'!BD129)</f>
        <v>0</v>
      </c>
      <c r="AX78" s="292">
        <f>SUM('PER BULAN'!BE129)</f>
        <v>0</v>
      </c>
    </row>
    <row r="79" spans="1:50" s="278" customFormat="1" x14ac:dyDescent="0.3">
      <c r="A79" s="277" t="s">
        <v>4693</v>
      </c>
      <c r="B79" s="277" t="s">
        <v>4694</v>
      </c>
      <c r="C79" s="277" t="s">
        <v>4720</v>
      </c>
      <c r="D79" s="277" t="s">
        <v>4721</v>
      </c>
      <c r="E79" s="277" t="s">
        <v>197</v>
      </c>
      <c r="F79" s="277" t="s">
        <v>4722</v>
      </c>
      <c r="G79" s="277" t="s">
        <v>4723</v>
      </c>
      <c r="H79" s="277" t="s">
        <v>4749</v>
      </c>
      <c r="I79" s="277" t="s">
        <v>557</v>
      </c>
      <c r="J79" s="277" t="s">
        <v>4762</v>
      </c>
      <c r="K79" s="277" t="s">
        <v>501</v>
      </c>
      <c r="L79" s="277" t="s">
        <v>4654</v>
      </c>
      <c r="M79" s="277" t="s">
        <v>2208</v>
      </c>
      <c r="N79" s="277" t="s">
        <v>4765</v>
      </c>
      <c r="O79" s="277">
        <v>522141</v>
      </c>
      <c r="P79" s="277" t="s">
        <v>4704</v>
      </c>
      <c r="Q79" s="278">
        <v>118852000</v>
      </c>
      <c r="R79" s="292">
        <f>SUM('PER BULAN'!G131:I131)</f>
        <v>0</v>
      </c>
      <c r="S79" s="292">
        <f>SUM('PER BULAN'!J130:L130)</f>
        <v>0</v>
      </c>
      <c r="T79" s="292">
        <f>SUM('PER BULAN'!M130:O130)</f>
        <v>4950000</v>
      </c>
      <c r="U79" s="292">
        <f>SUM('PER BULAN'!P130:R130)</f>
        <v>9900000</v>
      </c>
      <c r="V79" s="292">
        <f>SUM('PER BULAN'!S130:U130)</f>
        <v>4950000</v>
      </c>
      <c r="W79" s="292">
        <f>SUM('PER BULAN'!V130:X130)</f>
        <v>0</v>
      </c>
      <c r="X79" s="292">
        <f>SUM('PER BULAN'!Y130:AA130)</f>
        <v>0</v>
      </c>
      <c r="Y79" s="292">
        <f>SUM('PER BULAN'!AB130:AD130)</f>
        <v>0</v>
      </c>
      <c r="Z79" s="292">
        <f>SUM('PER BULAN'!AE130:AG130)</f>
        <v>0</v>
      </c>
      <c r="AA79" s="292">
        <f>SUM('PER BULAN'!AH130:AJ130)</f>
        <v>0</v>
      </c>
      <c r="AB79" s="292">
        <f>SUM('PER BULAN'!AK130:AM130)</f>
        <v>0</v>
      </c>
      <c r="AC79" s="292">
        <f>SUM('PER BULAN'!AN130:AP130)</f>
        <v>0</v>
      </c>
      <c r="AD79" s="277" t="s">
        <v>530</v>
      </c>
      <c r="AE79" s="277" t="s">
        <v>576</v>
      </c>
      <c r="AF79" s="277" t="s">
        <v>560</v>
      </c>
      <c r="AG79" s="277" t="s">
        <v>4699</v>
      </c>
      <c r="AH79" s="277" t="s">
        <v>4700</v>
      </c>
      <c r="AI79" s="277">
        <f t="shared" si="6"/>
        <v>19800000</v>
      </c>
      <c r="AJ79" s="291">
        <f t="shared" si="7"/>
        <v>16.659374684481541</v>
      </c>
      <c r="AK79" s="277">
        <f t="shared" si="8"/>
        <v>99052000</v>
      </c>
      <c r="AL79" s="291">
        <f t="shared" si="9"/>
        <v>83.340625315518452</v>
      </c>
      <c r="AM79" s="277" t="s">
        <v>2213</v>
      </c>
      <c r="AN79" s="277" t="s">
        <v>4730</v>
      </c>
      <c r="AO79" s="277" t="s">
        <v>4740</v>
      </c>
      <c r="AP79" s="277" t="s">
        <v>4739</v>
      </c>
      <c r="AQ79" s="292">
        <f>SUM('PER BULAN'!AX130)</f>
        <v>0</v>
      </c>
      <c r="AR79" s="292">
        <f>SUM('PER BULAN'!AY130)</f>
        <v>4950000</v>
      </c>
      <c r="AS79" s="292">
        <f>SUM('PER BULAN'!AZ130)</f>
        <v>0</v>
      </c>
      <c r="AT79" s="292">
        <f>SUM('PER BULAN'!BA130)</f>
        <v>9900000</v>
      </c>
      <c r="AU79" s="292">
        <f>SUM('PER BULAN'!BB130)</f>
        <v>0</v>
      </c>
      <c r="AV79" s="292">
        <f>SUM('PER BULAN'!BC130)</f>
        <v>4950000</v>
      </c>
      <c r="AW79" s="292">
        <f>SUM('PER BULAN'!BD130)</f>
        <v>0</v>
      </c>
      <c r="AX79" s="292">
        <f>SUM('PER BULAN'!BE130)</f>
        <v>0</v>
      </c>
    </row>
    <row r="80" spans="1:50" s="278" customFormat="1" x14ac:dyDescent="0.3">
      <c r="A80" s="277" t="s">
        <v>4693</v>
      </c>
      <c r="B80" s="277" t="s">
        <v>4694</v>
      </c>
      <c r="C80" s="277" t="s">
        <v>4720</v>
      </c>
      <c r="D80" s="277" t="s">
        <v>4721</v>
      </c>
      <c r="E80" s="277" t="s">
        <v>197</v>
      </c>
      <c r="F80" s="277" t="s">
        <v>4722</v>
      </c>
      <c r="G80" s="277" t="s">
        <v>4723</v>
      </c>
      <c r="H80" s="277" t="s">
        <v>4749</v>
      </c>
      <c r="I80" s="277" t="s">
        <v>557</v>
      </c>
      <c r="J80" s="277" t="s">
        <v>4762</v>
      </c>
      <c r="K80" s="277" t="s">
        <v>501</v>
      </c>
      <c r="L80" s="277" t="s">
        <v>4654</v>
      </c>
      <c r="M80" s="277" t="s">
        <v>2219</v>
      </c>
      <c r="N80" s="277" t="s">
        <v>4767</v>
      </c>
      <c r="O80" s="277">
        <v>523121</v>
      </c>
      <c r="P80" s="277" t="s">
        <v>4768</v>
      </c>
      <c r="Q80" s="278">
        <v>497050000</v>
      </c>
      <c r="R80" s="292">
        <f>SUM('PER BULAN'!G132:I132)</f>
        <v>0</v>
      </c>
      <c r="S80" s="292">
        <f>SUM('PER BULAN'!J132:L132)</f>
        <v>0</v>
      </c>
      <c r="T80" s="292">
        <f>SUM('PER BULAN'!M132:O132)</f>
        <v>59591400</v>
      </c>
      <c r="U80" s="292">
        <f>SUM('PER BULAN'!P132:R132)</f>
        <v>7448700</v>
      </c>
      <c r="V80" s="292">
        <f>SUM('PER BULAN'!S132:U132)</f>
        <v>18835340</v>
      </c>
      <c r="W80" s="292">
        <f>SUM('PER BULAN'!V132:X132)</f>
        <v>0</v>
      </c>
      <c r="X80" s="292">
        <f>SUM('PER BULAN'!Y132:AA132)</f>
        <v>0</v>
      </c>
      <c r="Y80" s="292">
        <f>SUM('PER BULAN'!AB132:AD132)</f>
        <v>0</v>
      </c>
      <c r="Z80" s="292">
        <f>SUM('PER BULAN'!AE132:AG132)</f>
        <v>0</v>
      </c>
      <c r="AA80" s="292">
        <f>SUM('PER BULAN'!AH132:AJ132)</f>
        <v>0</v>
      </c>
      <c r="AB80" s="292">
        <f>SUM('PER BULAN'!AK132:AM132)</f>
        <v>0</v>
      </c>
      <c r="AC80" s="292">
        <f>SUM('PER BULAN'!AN132:AP132)</f>
        <v>0</v>
      </c>
      <c r="AD80" s="277" t="s">
        <v>530</v>
      </c>
      <c r="AE80" s="277" t="s">
        <v>576</v>
      </c>
      <c r="AF80" s="277" t="s">
        <v>560</v>
      </c>
      <c r="AG80" s="277" t="s">
        <v>4699</v>
      </c>
      <c r="AH80" s="277" t="s">
        <v>4700</v>
      </c>
      <c r="AI80" s="277">
        <f t="shared" si="6"/>
        <v>85875440</v>
      </c>
      <c r="AJ80" s="291">
        <f t="shared" si="7"/>
        <v>17.277022432350869</v>
      </c>
      <c r="AK80" s="277">
        <f t="shared" si="8"/>
        <v>411174560</v>
      </c>
      <c r="AL80" s="291">
        <f t="shared" si="9"/>
        <v>82.722977567649124</v>
      </c>
      <c r="AM80" s="277" t="s">
        <v>2221</v>
      </c>
      <c r="AN80" s="277" t="s">
        <v>4730</v>
      </c>
      <c r="AO80" s="277" t="s">
        <v>4828</v>
      </c>
      <c r="AP80" s="277" t="s">
        <v>4739</v>
      </c>
      <c r="AQ80" s="292">
        <f>SUM('PER BULAN'!AX132)</f>
        <v>25004200</v>
      </c>
      <c r="AR80" s="292">
        <f>SUM('PER BULAN'!AY132)</f>
        <v>32727500</v>
      </c>
      <c r="AS80" s="292">
        <f>SUM('PER BULAN'!AZ132)</f>
        <v>1859700</v>
      </c>
      <c r="AT80" s="292">
        <f>SUM('PER BULAN'!BA132)</f>
        <v>7448700</v>
      </c>
      <c r="AU80" s="292">
        <f>SUM('PER BULAN'!BB132)</f>
        <v>6968000</v>
      </c>
      <c r="AV80" s="292">
        <f>SUM('PER BULAN'!BC132)</f>
        <v>11867340</v>
      </c>
      <c r="AW80" s="292">
        <f>SUM('PER BULAN'!BD132)</f>
        <v>0</v>
      </c>
      <c r="AX80" s="292">
        <f>SUM('PER BULAN'!BE132)</f>
        <v>0</v>
      </c>
    </row>
    <row r="81" spans="1:50" s="278" customFormat="1" x14ac:dyDescent="0.3">
      <c r="A81" s="277" t="s">
        <v>4693</v>
      </c>
      <c r="B81" s="277" t="s">
        <v>4694</v>
      </c>
      <c r="C81" s="277" t="s">
        <v>4720</v>
      </c>
      <c r="D81" s="277" t="s">
        <v>4721</v>
      </c>
      <c r="E81" s="277" t="s">
        <v>197</v>
      </c>
      <c r="F81" s="277" t="s">
        <v>4722</v>
      </c>
      <c r="G81" s="277" t="s">
        <v>4723</v>
      </c>
      <c r="H81" s="277" t="s">
        <v>4749</v>
      </c>
      <c r="I81" s="277" t="s">
        <v>557</v>
      </c>
      <c r="J81" s="277" t="s">
        <v>4762</v>
      </c>
      <c r="K81" s="277" t="s">
        <v>501</v>
      </c>
      <c r="L81" s="277" t="s">
        <v>4654</v>
      </c>
      <c r="M81" s="277" t="s">
        <v>2219</v>
      </c>
      <c r="N81" s="277" t="s">
        <v>4767</v>
      </c>
      <c r="O81" s="277">
        <v>523199</v>
      </c>
      <c r="P81" s="277" t="s">
        <v>4769</v>
      </c>
      <c r="Q81" s="278">
        <v>36000000</v>
      </c>
      <c r="R81" s="292">
        <f>SUM('PER BULAN'!G134:I134)</f>
        <v>0</v>
      </c>
      <c r="S81" s="292">
        <f>SUM('PER BULAN'!J133:L133)</f>
        <v>0</v>
      </c>
      <c r="T81" s="292">
        <f>SUM('PER BULAN'!M133:O133)</f>
        <v>6000000</v>
      </c>
      <c r="U81" s="292">
        <f>SUM('PER BULAN'!P133:R133)</f>
        <v>0</v>
      </c>
      <c r="V81" s="292">
        <f>SUM('PER BULAN'!S133:U133)</f>
        <v>3000000</v>
      </c>
      <c r="W81" s="292">
        <f>SUM('PER BULAN'!V133:X133)</f>
        <v>0</v>
      </c>
      <c r="X81" s="292">
        <f>SUM('PER BULAN'!Y133:AA133)</f>
        <v>0</v>
      </c>
      <c r="Y81" s="292">
        <f>SUM('PER BULAN'!AB133:AD133)</f>
        <v>0</v>
      </c>
      <c r="Z81" s="292">
        <f>SUM('PER BULAN'!AE133:AG133)</f>
        <v>0</v>
      </c>
      <c r="AA81" s="292">
        <f>SUM('PER BULAN'!AH133:AJ133)</f>
        <v>0</v>
      </c>
      <c r="AB81" s="292">
        <f>SUM('PER BULAN'!AK133:AM133)</f>
        <v>0</v>
      </c>
      <c r="AC81" s="292">
        <f>SUM('PER BULAN'!AN133:AP133)</f>
        <v>0</v>
      </c>
      <c r="AD81" s="277" t="s">
        <v>530</v>
      </c>
      <c r="AE81" s="277" t="s">
        <v>576</v>
      </c>
      <c r="AF81" s="277" t="s">
        <v>560</v>
      </c>
      <c r="AG81" s="277" t="s">
        <v>4699</v>
      </c>
      <c r="AH81" s="277" t="s">
        <v>4700</v>
      </c>
      <c r="AI81" s="277">
        <f t="shared" si="6"/>
        <v>9000000</v>
      </c>
      <c r="AJ81" s="291">
        <f t="shared" si="7"/>
        <v>25</v>
      </c>
      <c r="AK81" s="277">
        <f t="shared" si="8"/>
        <v>27000000</v>
      </c>
      <c r="AL81" s="291">
        <f t="shared" si="9"/>
        <v>75</v>
      </c>
      <c r="AM81" s="277" t="s">
        <v>2235</v>
      </c>
      <c r="AN81" s="277" t="s">
        <v>4730</v>
      </c>
      <c r="AO81" s="277" t="s">
        <v>4828</v>
      </c>
      <c r="AP81" s="277" t="s">
        <v>4739</v>
      </c>
      <c r="AQ81" s="292">
        <f>SUM('PER BULAN'!AX133)</f>
        <v>0</v>
      </c>
      <c r="AR81" s="292">
        <f>SUM('PER BULAN'!AY133)</f>
        <v>6000000</v>
      </c>
      <c r="AS81" s="292">
        <f>SUM('PER BULAN'!AZ133)</f>
        <v>0</v>
      </c>
      <c r="AT81" s="292">
        <f>SUM('PER BULAN'!BA133)</f>
        <v>0</v>
      </c>
      <c r="AU81" s="292">
        <f>SUM('PER BULAN'!BB133)</f>
        <v>3000000</v>
      </c>
      <c r="AV81" s="292">
        <f>SUM('PER BULAN'!BC133)</f>
        <v>0</v>
      </c>
      <c r="AW81" s="292">
        <f>SUM('PER BULAN'!BD133)</f>
        <v>0</v>
      </c>
      <c r="AX81" s="292">
        <f>SUM('PER BULAN'!BE133)</f>
        <v>0</v>
      </c>
    </row>
    <row r="82" spans="1:50" s="278" customFormat="1" x14ac:dyDescent="0.3">
      <c r="A82" s="277" t="s">
        <v>4693</v>
      </c>
      <c r="B82" s="277" t="s">
        <v>4694</v>
      </c>
      <c r="C82" s="277" t="s">
        <v>4720</v>
      </c>
      <c r="D82" s="277" t="s">
        <v>4721</v>
      </c>
      <c r="E82" s="277" t="s">
        <v>197</v>
      </c>
      <c r="F82" s="277" t="s">
        <v>4722</v>
      </c>
      <c r="G82" s="277" t="s">
        <v>4723</v>
      </c>
      <c r="H82" s="277" t="s">
        <v>4749</v>
      </c>
      <c r="I82" s="277" t="s">
        <v>557</v>
      </c>
      <c r="J82" s="277" t="s">
        <v>4762</v>
      </c>
      <c r="K82" s="277" t="s">
        <v>501</v>
      </c>
      <c r="L82" s="277" t="s">
        <v>4654</v>
      </c>
      <c r="M82" s="277" t="s">
        <v>2239</v>
      </c>
      <c r="N82" s="277" t="s">
        <v>4770</v>
      </c>
      <c r="O82" s="277">
        <v>521111</v>
      </c>
      <c r="P82" s="277" t="s">
        <v>4764</v>
      </c>
      <c r="Q82" s="278">
        <v>101040000</v>
      </c>
      <c r="R82" s="292">
        <f>SUM('PER BULAN'!G135:I135)</f>
        <v>0</v>
      </c>
      <c r="S82" s="292">
        <f>SUM('PER BULAN'!J135:L135)</f>
        <v>0</v>
      </c>
      <c r="T82" s="292">
        <f>SUM('PER BULAN'!M135:O135)</f>
        <v>0</v>
      </c>
      <c r="U82" s="292">
        <f>SUM('PER BULAN'!P135:R135)</f>
        <v>0</v>
      </c>
      <c r="V82" s="292">
        <f>SUM('PER BULAN'!S135:U135)</f>
        <v>44410000</v>
      </c>
      <c r="W82" s="292">
        <f>SUM('PER BULAN'!V135:X135)</f>
        <v>0</v>
      </c>
      <c r="X82" s="292">
        <f>SUM('PER BULAN'!Y135:AA135)</f>
        <v>0</v>
      </c>
      <c r="Y82" s="292">
        <f>SUM('PER BULAN'!AB135:AD135)</f>
        <v>0</v>
      </c>
      <c r="Z82" s="292">
        <f>SUM('PER BULAN'!AE135:AG135)</f>
        <v>0</v>
      </c>
      <c r="AA82" s="292">
        <f>SUM('PER BULAN'!AH135:AJ135)</f>
        <v>0</v>
      </c>
      <c r="AB82" s="292">
        <f>SUM('PER BULAN'!AK135:AM135)</f>
        <v>0</v>
      </c>
      <c r="AC82" s="292">
        <f>SUM('PER BULAN'!AN135:AP135)</f>
        <v>0</v>
      </c>
      <c r="AD82" s="277" t="s">
        <v>530</v>
      </c>
      <c r="AE82" s="277" t="s">
        <v>576</v>
      </c>
      <c r="AF82" s="277" t="s">
        <v>560</v>
      </c>
      <c r="AG82" s="277" t="s">
        <v>4699</v>
      </c>
      <c r="AH82" s="277" t="s">
        <v>4700</v>
      </c>
      <c r="AI82" s="277">
        <f t="shared" si="6"/>
        <v>44410000</v>
      </c>
      <c r="AJ82" s="291">
        <f t="shared" si="7"/>
        <v>43.952889944576405</v>
      </c>
      <c r="AK82" s="277">
        <f t="shared" si="8"/>
        <v>56630000</v>
      </c>
      <c r="AL82" s="291">
        <f t="shared" si="9"/>
        <v>56.047110055423602</v>
      </c>
      <c r="AM82" s="277" t="s">
        <v>2241</v>
      </c>
      <c r="AN82" s="277" t="s">
        <v>4730</v>
      </c>
      <c r="AO82" s="277" t="s">
        <v>4736</v>
      </c>
      <c r="AP82" s="277" t="s">
        <v>4739</v>
      </c>
      <c r="AQ82" s="292">
        <f>SUM('PER BULAN'!AX135)</f>
        <v>0</v>
      </c>
      <c r="AR82" s="292">
        <f>SUM('PER BULAN'!AY135)</f>
        <v>0</v>
      </c>
      <c r="AS82" s="292">
        <f>SUM('PER BULAN'!AZ135)</f>
        <v>0</v>
      </c>
      <c r="AT82" s="292">
        <f>SUM('PER BULAN'!BA135)</f>
        <v>0</v>
      </c>
      <c r="AU82" s="292">
        <f>SUM('PER BULAN'!BB135)</f>
        <v>44410000</v>
      </c>
      <c r="AV82" s="292">
        <f>SUM('PER BULAN'!BC135)</f>
        <v>0</v>
      </c>
      <c r="AW82" s="292">
        <f>SUM('PER BULAN'!BD135)</f>
        <v>0</v>
      </c>
      <c r="AX82" s="292">
        <f>SUM('PER BULAN'!BE135)</f>
        <v>0</v>
      </c>
    </row>
    <row r="83" spans="1:50" s="278" customFormat="1" x14ac:dyDescent="0.3">
      <c r="A83" s="277" t="s">
        <v>4693</v>
      </c>
      <c r="B83" s="277" t="s">
        <v>4694</v>
      </c>
      <c r="C83" s="277" t="s">
        <v>4720</v>
      </c>
      <c r="D83" s="277" t="s">
        <v>4721</v>
      </c>
      <c r="E83" s="277" t="s">
        <v>197</v>
      </c>
      <c r="F83" s="277" t="s">
        <v>4722</v>
      </c>
      <c r="G83" s="277" t="s">
        <v>4723</v>
      </c>
      <c r="H83" s="277" t="s">
        <v>4749</v>
      </c>
      <c r="I83" s="277" t="s">
        <v>557</v>
      </c>
      <c r="J83" s="277" t="s">
        <v>4762</v>
      </c>
      <c r="K83" s="277" t="s">
        <v>501</v>
      </c>
      <c r="L83" s="277" t="s">
        <v>4654</v>
      </c>
      <c r="M83" s="277" t="s">
        <v>2239</v>
      </c>
      <c r="N83" s="277" t="s">
        <v>4770</v>
      </c>
      <c r="O83" s="277">
        <v>521115</v>
      </c>
      <c r="P83" s="277" t="s">
        <v>4771</v>
      </c>
      <c r="Q83" s="278">
        <v>58336000</v>
      </c>
      <c r="R83" s="292">
        <f>SUM('PER BULAN'!G137:I137)</f>
        <v>0</v>
      </c>
      <c r="S83" s="292">
        <f>SUM('PER BULAN'!J136:L136)</f>
        <v>0</v>
      </c>
      <c r="T83" s="292">
        <f>SUM('PER BULAN'!M136:O136)</f>
        <v>9456000</v>
      </c>
      <c r="U83" s="292">
        <f>SUM('PER BULAN'!P136:R136)</f>
        <v>0</v>
      </c>
      <c r="V83" s="292">
        <f>SUM('PER BULAN'!S136:U136)</f>
        <v>4728000</v>
      </c>
      <c r="W83" s="292">
        <f>SUM('PER BULAN'!V136:X136)</f>
        <v>0</v>
      </c>
      <c r="X83" s="292">
        <f>SUM('PER BULAN'!Y136:AA136)</f>
        <v>0</v>
      </c>
      <c r="Y83" s="292">
        <f>SUM('PER BULAN'!AB136:AD136)</f>
        <v>0</v>
      </c>
      <c r="Z83" s="292">
        <f>SUM('PER BULAN'!AE136:AG136)</f>
        <v>0</v>
      </c>
      <c r="AA83" s="292">
        <f>SUM('PER BULAN'!AH136:AJ136)</f>
        <v>0</v>
      </c>
      <c r="AB83" s="292">
        <f>SUM('PER BULAN'!AK136:AM136)</f>
        <v>0</v>
      </c>
      <c r="AC83" s="292">
        <f>SUM('PER BULAN'!AN136:AP136)</f>
        <v>0</v>
      </c>
      <c r="AD83" s="277" t="s">
        <v>530</v>
      </c>
      <c r="AE83" s="277" t="s">
        <v>576</v>
      </c>
      <c r="AF83" s="277" t="s">
        <v>560</v>
      </c>
      <c r="AG83" s="277" t="s">
        <v>4699</v>
      </c>
      <c r="AH83" s="277" t="s">
        <v>4700</v>
      </c>
      <c r="AI83" s="277">
        <f t="shared" si="6"/>
        <v>14184000</v>
      </c>
      <c r="AJ83" s="291">
        <f t="shared" si="7"/>
        <v>24.314317059791552</v>
      </c>
      <c r="AK83" s="277">
        <f t="shared" si="8"/>
        <v>44152000</v>
      </c>
      <c r="AL83" s="291">
        <f t="shared" si="9"/>
        <v>75.685682940208437</v>
      </c>
      <c r="AM83" s="277" t="s">
        <v>2247</v>
      </c>
      <c r="AN83" s="277" t="s">
        <v>4730</v>
      </c>
      <c r="AO83" s="277" t="s">
        <v>4829</v>
      </c>
      <c r="AP83" s="277" t="s">
        <v>4739</v>
      </c>
      <c r="AQ83" s="292">
        <f>SUM('PER BULAN'!AX136)</f>
        <v>0</v>
      </c>
      <c r="AR83" s="292">
        <f>SUM('PER BULAN'!AY136)</f>
        <v>9456000</v>
      </c>
      <c r="AS83" s="292">
        <f>SUM('PER BULAN'!AZ136)</f>
        <v>0</v>
      </c>
      <c r="AT83" s="292">
        <f>SUM('PER BULAN'!BA136)</f>
        <v>0</v>
      </c>
      <c r="AU83" s="292">
        <f>SUM('PER BULAN'!BB136)</f>
        <v>0</v>
      </c>
      <c r="AV83" s="292">
        <f>SUM('PER BULAN'!BC136)</f>
        <v>4728000</v>
      </c>
      <c r="AW83" s="292">
        <f>SUM('PER BULAN'!BD136)</f>
        <v>0</v>
      </c>
      <c r="AX83" s="292">
        <f>SUM('PER BULAN'!BE136)</f>
        <v>0</v>
      </c>
    </row>
    <row r="84" spans="1:50" s="278" customFormat="1" x14ac:dyDescent="0.3">
      <c r="A84" s="277" t="s">
        <v>4693</v>
      </c>
      <c r="B84" s="277" t="s">
        <v>4694</v>
      </c>
      <c r="C84" s="277" t="s">
        <v>4720</v>
      </c>
      <c r="D84" s="277" t="s">
        <v>4721</v>
      </c>
      <c r="E84" s="277" t="s">
        <v>197</v>
      </c>
      <c r="F84" s="277" t="s">
        <v>4722</v>
      </c>
      <c r="G84" s="277" t="s">
        <v>4723</v>
      </c>
      <c r="H84" s="277" t="s">
        <v>4749</v>
      </c>
      <c r="I84" s="277" t="s">
        <v>557</v>
      </c>
      <c r="J84" s="277" t="s">
        <v>4762</v>
      </c>
      <c r="K84" s="277" t="s">
        <v>501</v>
      </c>
      <c r="L84" s="277" t="s">
        <v>4654</v>
      </c>
      <c r="M84" s="277" t="s">
        <v>4224</v>
      </c>
      <c r="N84" s="277" t="s">
        <v>4772</v>
      </c>
      <c r="O84" s="277">
        <v>521111</v>
      </c>
      <c r="P84" s="277" t="s">
        <v>4764</v>
      </c>
      <c r="Q84" s="278">
        <v>45000000</v>
      </c>
      <c r="R84" s="292">
        <f>SUM('PER BULAN'!G138:I138)</f>
        <v>0</v>
      </c>
      <c r="S84" s="292">
        <f>SUM('PER BULAN'!J138:L138)</f>
        <v>0</v>
      </c>
      <c r="T84" s="292">
        <f>SUM('PER BULAN'!M138:O138)</f>
        <v>0</v>
      </c>
      <c r="U84" s="292">
        <f>SUM('PER BULAN'!P138:R138)</f>
        <v>0</v>
      </c>
      <c r="V84" s="292">
        <f>SUM('PER BULAN'!S138:U138)</f>
        <v>0</v>
      </c>
      <c r="W84" s="292">
        <f>SUM('PER BULAN'!V138:X138)</f>
        <v>0</v>
      </c>
      <c r="X84" s="292">
        <f>SUM('PER BULAN'!Y138:AA138)</f>
        <v>0</v>
      </c>
      <c r="Y84" s="292">
        <f>SUM('PER BULAN'!AB138:AD138)</f>
        <v>0</v>
      </c>
      <c r="Z84" s="292">
        <f>SUM('PER BULAN'!AE138:AG138)</f>
        <v>0</v>
      </c>
      <c r="AA84" s="292">
        <f>SUM('PER BULAN'!AH138:AJ138)</f>
        <v>0</v>
      </c>
      <c r="AB84" s="292">
        <f>SUM('PER BULAN'!AK138:AM138)</f>
        <v>0</v>
      </c>
      <c r="AC84" s="292">
        <f>SUM('PER BULAN'!AN138:AP138)</f>
        <v>0</v>
      </c>
      <c r="AD84" s="277" t="s">
        <v>530</v>
      </c>
      <c r="AE84" s="277" t="s">
        <v>576</v>
      </c>
      <c r="AF84" s="277" t="s">
        <v>560</v>
      </c>
      <c r="AG84" s="277" t="s">
        <v>4699</v>
      </c>
      <c r="AH84" s="277" t="s">
        <v>4700</v>
      </c>
      <c r="AI84" s="277">
        <f t="shared" si="6"/>
        <v>0</v>
      </c>
      <c r="AJ84" s="291">
        <f t="shared" si="7"/>
        <v>0</v>
      </c>
      <c r="AK84" s="277">
        <f t="shared" si="8"/>
        <v>45000000</v>
      </c>
      <c r="AL84" s="291">
        <f t="shared" si="9"/>
        <v>100</v>
      </c>
      <c r="AM84" s="277" t="s">
        <v>2241</v>
      </c>
      <c r="AN84" s="277" t="s">
        <v>4730</v>
      </c>
      <c r="AO84" s="277" t="s">
        <v>4832</v>
      </c>
      <c r="AP84" s="277" t="s">
        <v>4739</v>
      </c>
      <c r="AQ84" s="292">
        <f>SUM('PER BULAN'!AX138)</f>
        <v>0</v>
      </c>
      <c r="AR84" s="292">
        <f>SUM('PER BULAN'!AY138)</f>
        <v>0</v>
      </c>
      <c r="AS84" s="292">
        <f>SUM('PER BULAN'!AZ138)</f>
        <v>0</v>
      </c>
      <c r="AT84" s="292">
        <f>SUM('PER BULAN'!BA138)</f>
        <v>0</v>
      </c>
      <c r="AU84" s="292">
        <f>SUM('PER BULAN'!BB138)</f>
        <v>0</v>
      </c>
      <c r="AV84" s="292">
        <f>SUM('PER BULAN'!BC138)</f>
        <v>0</v>
      </c>
      <c r="AW84" s="292">
        <f>SUM('PER BULAN'!BD138)</f>
        <v>0</v>
      </c>
      <c r="AX84" s="292">
        <f>SUM('PER BULAN'!BE138)</f>
        <v>0</v>
      </c>
    </row>
    <row r="85" spans="1:50" s="278" customFormat="1" x14ac:dyDescent="0.3">
      <c r="A85" s="277" t="s">
        <v>4693</v>
      </c>
      <c r="B85" s="277" t="s">
        <v>4694</v>
      </c>
      <c r="C85" s="277" t="s">
        <v>4720</v>
      </c>
      <c r="D85" s="277" t="s">
        <v>4721</v>
      </c>
      <c r="E85" s="277" t="s">
        <v>197</v>
      </c>
      <c r="F85" s="277" t="s">
        <v>4722</v>
      </c>
      <c r="G85" s="277" t="s">
        <v>4723</v>
      </c>
      <c r="H85" s="277" t="s">
        <v>4749</v>
      </c>
      <c r="I85" s="277" t="s">
        <v>557</v>
      </c>
      <c r="J85" s="277" t="s">
        <v>4762</v>
      </c>
      <c r="K85" s="277" t="s">
        <v>501</v>
      </c>
      <c r="L85" s="277" t="s">
        <v>4654</v>
      </c>
      <c r="M85" s="277" t="s">
        <v>4224</v>
      </c>
      <c r="N85" s="277" t="s">
        <v>4772</v>
      </c>
      <c r="O85" s="277">
        <v>521811</v>
      </c>
      <c r="P85" s="277" t="s">
        <v>4716</v>
      </c>
      <c r="Q85" s="278">
        <v>26000000</v>
      </c>
      <c r="R85" s="292">
        <f>SUM('PER BULAN'!G139:I139)</f>
        <v>0</v>
      </c>
      <c r="S85" s="292">
        <f>SUM('PER BULAN'!J139:L139)</f>
        <v>0</v>
      </c>
      <c r="T85" s="292">
        <f>SUM('PER BULAN'!M139:O139)</f>
        <v>0</v>
      </c>
      <c r="U85" s="292">
        <f>SUM('PER BULAN'!P139:R139)</f>
        <v>0</v>
      </c>
      <c r="V85" s="292">
        <f>SUM('PER BULAN'!S139:U139)</f>
        <v>0</v>
      </c>
      <c r="W85" s="292">
        <f>SUM('PER BULAN'!V139:X139)</f>
        <v>0</v>
      </c>
      <c r="X85" s="292">
        <f>SUM('PER BULAN'!Y139:AA139)</f>
        <v>0</v>
      </c>
      <c r="Y85" s="292">
        <f>SUM('PER BULAN'!AB139:AD139)</f>
        <v>0</v>
      </c>
      <c r="Z85" s="292">
        <f>SUM('PER BULAN'!AE139:AG139)</f>
        <v>0</v>
      </c>
      <c r="AA85" s="292">
        <f>SUM('PER BULAN'!AH139:AJ139)</f>
        <v>0</v>
      </c>
      <c r="AB85" s="292">
        <f>SUM('PER BULAN'!AK139:AM139)</f>
        <v>0</v>
      </c>
      <c r="AC85" s="292">
        <f>SUM('PER BULAN'!AN139:AP139)</f>
        <v>0</v>
      </c>
      <c r="AD85" s="277" t="s">
        <v>530</v>
      </c>
      <c r="AE85" s="277" t="s">
        <v>576</v>
      </c>
      <c r="AF85" s="277" t="s">
        <v>560</v>
      </c>
      <c r="AG85" s="277" t="s">
        <v>4699</v>
      </c>
      <c r="AH85" s="277" t="s">
        <v>4700</v>
      </c>
      <c r="AI85" s="277">
        <f t="shared" si="6"/>
        <v>0</v>
      </c>
      <c r="AJ85" s="291">
        <f t="shared" si="7"/>
        <v>0</v>
      </c>
      <c r="AK85" s="277">
        <f t="shared" si="8"/>
        <v>26000000</v>
      </c>
      <c r="AL85" s="291">
        <f t="shared" si="9"/>
        <v>100</v>
      </c>
      <c r="AM85" s="277" t="s">
        <v>4830</v>
      </c>
      <c r="AN85" s="277" t="s">
        <v>4730</v>
      </c>
      <c r="AO85" s="277" t="s">
        <v>4826</v>
      </c>
      <c r="AP85" s="277" t="s">
        <v>4739</v>
      </c>
      <c r="AQ85" s="292">
        <f>SUM('PER BULAN'!AX139)</f>
        <v>0</v>
      </c>
      <c r="AR85" s="292">
        <f>SUM('PER BULAN'!AY139)</f>
        <v>0</v>
      </c>
      <c r="AS85" s="292">
        <f>SUM('PER BULAN'!AZ139)</f>
        <v>0</v>
      </c>
      <c r="AT85" s="292">
        <f>SUM('PER BULAN'!BA139)</f>
        <v>0</v>
      </c>
      <c r="AU85" s="292">
        <f>SUM('PER BULAN'!BB139)</f>
        <v>0</v>
      </c>
      <c r="AV85" s="292">
        <f>SUM('PER BULAN'!BC139)</f>
        <v>0</v>
      </c>
      <c r="AW85" s="292">
        <f>SUM('PER BULAN'!BD139)</f>
        <v>0</v>
      </c>
      <c r="AX85" s="292">
        <f>SUM('PER BULAN'!BE139)</f>
        <v>0</v>
      </c>
    </row>
    <row r="86" spans="1:50" s="278" customFormat="1" x14ac:dyDescent="0.3">
      <c r="A86" s="277" t="s">
        <v>4693</v>
      </c>
      <c r="B86" s="277" t="s">
        <v>4694</v>
      </c>
      <c r="C86" s="277" t="s">
        <v>4720</v>
      </c>
      <c r="D86" s="277" t="s">
        <v>4721</v>
      </c>
      <c r="E86" s="277" t="s">
        <v>197</v>
      </c>
      <c r="F86" s="277" t="s">
        <v>4722</v>
      </c>
      <c r="G86" s="277" t="s">
        <v>4723</v>
      </c>
      <c r="H86" s="277" t="s">
        <v>4749</v>
      </c>
      <c r="I86" s="277" t="s">
        <v>557</v>
      </c>
      <c r="J86" s="277" t="s">
        <v>4762</v>
      </c>
      <c r="K86" s="277" t="s">
        <v>501</v>
      </c>
      <c r="L86" s="277" t="s">
        <v>4654</v>
      </c>
      <c r="M86" s="277" t="s">
        <v>4224</v>
      </c>
      <c r="N86" s="277" t="s">
        <v>4772</v>
      </c>
      <c r="O86" s="277">
        <v>523121</v>
      </c>
      <c r="P86" s="277" t="s">
        <v>4768</v>
      </c>
      <c r="Q86" s="278">
        <v>29000000</v>
      </c>
      <c r="R86" s="292">
        <f>SUM('PER BULAN'!G144:I144)</f>
        <v>0</v>
      </c>
      <c r="S86" s="292">
        <f>SUM('PER BULAN'!J140:L140)</f>
        <v>0</v>
      </c>
      <c r="T86" s="292">
        <f>SUM('PER BULAN'!M140:O140)</f>
        <v>0</v>
      </c>
      <c r="U86" s="292">
        <f>SUM('PER BULAN'!P140:R140)</f>
        <v>0</v>
      </c>
      <c r="V86" s="292">
        <f>SUM('PER BULAN'!S140:U140)</f>
        <v>0</v>
      </c>
      <c r="W86" s="292">
        <f>SUM('PER BULAN'!V140:X140)</f>
        <v>0</v>
      </c>
      <c r="X86" s="292">
        <f>SUM('PER BULAN'!Y140:AA140)</f>
        <v>0</v>
      </c>
      <c r="Y86" s="292">
        <f>SUM('PER BULAN'!AB140:AD140)</f>
        <v>0</v>
      </c>
      <c r="Z86" s="292">
        <f>SUM('PER BULAN'!AE140:AG140)</f>
        <v>0</v>
      </c>
      <c r="AA86" s="292">
        <f>SUM('PER BULAN'!AH140:AJ140)</f>
        <v>0</v>
      </c>
      <c r="AB86" s="292">
        <f>SUM('PER BULAN'!AK140:AM140)</f>
        <v>0</v>
      </c>
      <c r="AC86" s="292">
        <f>SUM('PER BULAN'!AN140:AP140)</f>
        <v>0</v>
      </c>
      <c r="AD86" s="277" t="s">
        <v>530</v>
      </c>
      <c r="AE86" s="277" t="s">
        <v>576</v>
      </c>
      <c r="AF86" s="277" t="s">
        <v>560</v>
      </c>
      <c r="AG86" s="277" t="s">
        <v>4699</v>
      </c>
      <c r="AH86" s="277" t="s">
        <v>4700</v>
      </c>
      <c r="AI86" s="277">
        <f t="shared" si="6"/>
        <v>0</v>
      </c>
      <c r="AJ86" s="291">
        <f t="shared" si="7"/>
        <v>0</v>
      </c>
      <c r="AK86" s="277">
        <f t="shared" si="8"/>
        <v>29000000</v>
      </c>
      <c r="AL86" s="291">
        <f t="shared" si="9"/>
        <v>100</v>
      </c>
      <c r="AM86" s="277" t="s">
        <v>4831</v>
      </c>
      <c r="AN86" s="277" t="s">
        <v>4730</v>
      </c>
      <c r="AO86" s="277" t="s">
        <v>4828</v>
      </c>
      <c r="AP86" s="277" t="s">
        <v>4739</v>
      </c>
      <c r="AQ86" s="292">
        <f>SUM('PER BULAN'!AX140)</f>
        <v>0</v>
      </c>
      <c r="AR86" s="292">
        <f>SUM('PER BULAN'!AY140)</f>
        <v>0</v>
      </c>
      <c r="AS86" s="292">
        <f>SUM('PER BULAN'!AZ140)</f>
        <v>0</v>
      </c>
      <c r="AT86" s="292">
        <f>SUM('PER BULAN'!BA140)</f>
        <v>0</v>
      </c>
      <c r="AU86" s="292">
        <f>SUM('PER BULAN'!BB140)</f>
        <v>0</v>
      </c>
      <c r="AV86" s="292">
        <f>SUM('PER BULAN'!BC140)</f>
        <v>0</v>
      </c>
      <c r="AW86" s="292">
        <f>SUM('PER BULAN'!BD140)</f>
        <v>0</v>
      </c>
      <c r="AX86" s="292">
        <f>SUM('PER BULAN'!BE140)</f>
        <v>0</v>
      </c>
    </row>
    <row r="87" spans="1:50" s="278" customFormat="1" x14ac:dyDescent="0.3">
      <c r="A87" s="277" t="s">
        <v>4693</v>
      </c>
      <c r="B87" s="277" t="s">
        <v>4694</v>
      </c>
      <c r="C87" s="277" t="s">
        <v>4720</v>
      </c>
      <c r="D87" s="277" t="s">
        <v>4721</v>
      </c>
      <c r="E87" s="277" t="s">
        <v>197</v>
      </c>
      <c r="F87" s="277" t="s">
        <v>4722</v>
      </c>
      <c r="G87" s="277" t="s">
        <v>4773</v>
      </c>
      <c r="H87" s="277" t="s">
        <v>4774</v>
      </c>
      <c r="I87" s="277">
        <v>951</v>
      </c>
      <c r="J87" s="277" t="s">
        <v>4775</v>
      </c>
      <c r="K87" s="277">
        <v>301</v>
      </c>
      <c r="L87" s="277" t="s">
        <v>4776</v>
      </c>
      <c r="M87" s="277" t="s">
        <v>8</v>
      </c>
      <c r="N87" s="277" t="s">
        <v>4777</v>
      </c>
      <c r="O87" s="277">
        <v>532111</v>
      </c>
      <c r="P87" s="277" t="s">
        <v>4705</v>
      </c>
      <c r="Q87" s="278">
        <v>540934000</v>
      </c>
      <c r="R87" s="292">
        <f>SUM('PER BULAN'!G149:I149)</f>
        <v>0</v>
      </c>
      <c r="S87" s="292">
        <f>SUM('PER BULAN'!J145:L145)</f>
        <v>0</v>
      </c>
      <c r="T87" s="292">
        <f>SUM('PER BULAN'!M145:O145)</f>
        <v>0</v>
      </c>
      <c r="U87" s="292">
        <f>SUM('PER BULAN'!P145:R145)</f>
        <v>0</v>
      </c>
      <c r="V87" s="292">
        <f>SUM('PER BULAN'!S145:U145)</f>
        <v>540000000</v>
      </c>
      <c r="W87" s="292">
        <f>SUM('PER BULAN'!V145:X145)</f>
        <v>0</v>
      </c>
      <c r="X87" s="292">
        <f>SUM('PER BULAN'!Y145:AA145)</f>
        <v>0</v>
      </c>
      <c r="Y87" s="292">
        <f>SUM('PER BULAN'!AB145:AD145)</f>
        <v>0</v>
      </c>
      <c r="Z87" s="292">
        <f>SUM('PER BULAN'!AE145:AG145)</f>
        <v>0</v>
      </c>
      <c r="AA87" s="292">
        <f>SUM('PER BULAN'!AH145:AJ145)</f>
        <v>0</v>
      </c>
      <c r="AB87" s="292">
        <f>SUM('PER BULAN'!AK145:AM145)</f>
        <v>0</v>
      </c>
      <c r="AC87" s="292">
        <f>SUM('PER BULAN'!AN145:AP145)</f>
        <v>0</v>
      </c>
      <c r="AD87" s="277" t="s">
        <v>530</v>
      </c>
      <c r="AE87" s="277" t="s">
        <v>576</v>
      </c>
      <c r="AF87" s="277" t="s">
        <v>560</v>
      </c>
      <c r="AG87" s="277">
        <v>53</v>
      </c>
      <c r="AH87" s="277" t="s">
        <v>4700</v>
      </c>
      <c r="AI87" s="277">
        <f t="shared" si="6"/>
        <v>540000000</v>
      </c>
      <c r="AJ87" s="291">
        <f t="shared" si="7"/>
        <v>99.827335682356804</v>
      </c>
      <c r="AK87" s="277">
        <f t="shared" si="8"/>
        <v>934000</v>
      </c>
      <c r="AL87" s="291">
        <f t="shared" si="9"/>
        <v>0.17266431764318754</v>
      </c>
      <c r="AM87" s="277" t="s">
        <v>2293</v>
      </c>
      <c r="AN87" s="277" t="s">
        <v>4730</v>
      </c>
      <c r="AO87" s="277" t="s">
        <v>4814</v>
      </c>
      <c r="AP87" s="277" t="s">
        <v>4732</v>
      </c>
      <c r="AQ87" s="292">
        <f>SUM('PER BULAN'!AX145)</f>
        <v>0</v>
      </c>
      <c r="AR87" s="292">
        <f>SUM('PER BULAN'!AY145)</f>
        <v>0</v>
      </c>
      <c r="AS87" s="292">
        <f>SUM('PER BULAN'!AZ145)</f>
        <v>0</v>
      </c>
      <c r="AT87" s="292">
        <f>SUM('PER BULAN'!BA145)</f>
        <v>0</v>
      </c>
      <c r="AU87" s="292">
        <f>SUM('PER BULAN'!BB145)</f>
        <v>0</v>
      </c>
      <c r="AV87" s="292">
        <f>SUM('PER BULAN'!BC145)</f>
        <v>0</v>
      </c>
      <c r="AW87" s="292">
        <f>SUM('PER BULAN'!BD145)</f>
        <v>0</v>
      </c>
      <c r="AX87" s="292">
        <f>SUM('PER BULAN'!BE145)</f>
        <v>0</v>
      </c>
    </row>
    <row r="88" spans="1:50" s="278" customFormat="1" x14ac:dyDescent="0.3">
      <c r="A88" s="277" t="s">
        <v>4693</v>
      </c>
      <c r="B88" s="277" t="s">
        <v>4694</v>
      </c>
      <c r="C88" s="277" t="s">
        <v>4720</v>
      </c>
      <c r="D88" s="277" t="s">
        <v>4721</v>
      </c>
      <c r="E88" s="277" t="s">
        <v>197</v>
      </c>
      <c r="F88" s="277" t="s">
        <v>4722</v>
      </c>
      <c r="G88" s="277" t="s">
        <v>4778</v>
      </c>
      <c r="H88" s="277" t="s">
        <v>4779</v>
      </c>
      <c r="I88" s="277">
        <v>952</v>
      </c>
      <c r="J88" s="277" t="s">
        <v>4780</v>
      </c>
      <c r="K88" s="277">
        <v>301</v>
      </c>
      <c r="L88" s="277" t="s">
        <v>4781</v>
      </c>
      <c r="M88" s="277" t="s">
        <v>8</v>
      </c>
      <c r="N88" s="277" t="s">
        <v>4782</v>
      </c>
      <c r="O88" s="277">
        <v>521211</v>
      </c>
      <c r="P88" s="277" t="s">
        <v>4698</v>
      </c>
      <c r="Q88" s="278">
        <v>22650000</v>
      </c>
      <c r="R88" s="292">
        <f>SUM('PER BULAN'!G150:I150)</f>
        <v>0</v>
      </c>
      <c r="S88" s="292">
        <f>SUM('PER BULAN'!J150:L150)</f>
        <v>0</v>
      </c>
      <c r="T88" s="292">
        <f>SUM('PER BULAN'!M150:O150)</f>
        <v>1498000</v>
      </c>
      <c r="U88" s="292">
        <f>SUM('PER BULAN'!P150:R150)</f>
        <v>0</v>
      </c>
      <c r="V88" s="292">
        <f>SUM('PER BULAN'!S150:U150)</f>
        <v>1493000</v>
      </c>
      <c r="W88" s="292">
        <f>SUM('PER BULAN'!V150:X150)</f>
        <v>0</v>
      </c>
      <c r="X88" s="292">
        <f>SUM('PER BULAN'!Y150:AA150)</f>
        <v>0</v>
      </c>
      <c r="Y88" s="292">
        <f>SUM('PER BULAN'!AB150:AD150)</f>
        <v>0</v>
      </c>
      <c r="Z88" s="292">
        <f>SUM('PER BULAN'!AE150:AG150)</f>
        <v>0</v>
      </c>
      <c r="AA88" s="292">
        <f>SUM('PER BULAN'!AH150:AJ150)</f>
        <v>0</v>
      </c>
      <c r="AB88" s="292">
        <f>SUM('PER BULAN'!AK150:AM150)</f>
        <v>0</v>
      </c>
      <c r="AC88" s="292">
        <f>SUM('PER BULAN'!AN150:AP150)</f>
        <v>0</v>
      </c>
      <c r="AD88" s="277" t="s">
        <v>530</v>
      </c>
      <c r="AE88" s="277" t="s">
        <v>542</v>
      </c>
      <c r="AF88" s="277" t="s">
        <v>543</v>
      </c>
      <c r="AG88" s="277" t="s">
        <v>4699</v>
      </c>
      <c r="AH88" s="277" t="s">
        <v>4700</v>
      </c>
      <c r="AI88" s="277">
        <f t="shared" si="6"/>
        <v>2991000</v>
      </c>
      <c r="AJ88" s="291">
        <f t="shared" si="7"/>
        <v>13.205298013245034</v>
      </c>
      <c r="AK88" s="277">
        <f t="shared" si="8"/>
        <v>19659000</v>
      </c>
      <c r="AL88" s="291">
        <f t="shared" si="9"/>
        <v>86.794701986754959</v>
      </c>
      <c r="AM88" s="277" t="s">
        <v>2742</v>
      </c>
      <c r="AN88" s="277" t="s">
        <v>4730</v>
      </c>
      <c r="AO88" s="277" t="s">
        <v>4731</v>
      </c>
      <c r="AP88" s="277" t="s">
        <v>4732</v>
      </c>
      <c r="AQ88" s="292">
        <f>SUM('PER BULAN'!AX150)</f>
        <v>0</v>
      </c>
      <c r="AR88" s="292">
        <f>SUM('PER BULAN'!AY150)</f>
        <v>1498000</v>
      </c>
      <c r="AS88" s="292">
        <f>SUM('PER BULAN'!AZ150)</f>
        <v>0</v>
      </c>
      <c r="AT88" s="292">
        <f>SUM('PER BULAN'!BA150)</f>
        <v>0</v>
      </c>
      <c r="AU88" s="292">
        <f>SUM('PER BULAN'!BB150)</f>
        <v>0</v>
      </c>
      <c r="AV88" s="292">
        <f>SUM('PER BULAN'!BC150)</f>
        <v>0</v>
      </c>
      <c r="AW88" s="292">
        <f>SUM('PER BULAN'!BD150)</f>
        <v>1493000</v>
      </c>
      <c r="AX88" s="292">
        <f>SUM('PER BULAN'!BE150)</f>
        <v>0</v>
      </c>
    </row>
    <row r="89" spans="1:50" s="278" customFormat="1" x14ac:dyDescent="0.3">
      <c r="A89" s="277" t="s">
        <v>4693</v>
      </c>
      <c r="B89" s="277" t="s">
        <v>4694</v>
      </c>
      <c r="C89" s="277" t="s">
        <v>4720</v>
      </c>
      <c r="D89" s="277" t="s">
        <v>4721</v>
      </c>
      <c r="E89" s="277" t="s">
        <v>197</v>
      </c>
      <c r="F89" s="277" t="s">
        <v>4722</v>
      </c>
      <c r="G89" s="277" t="s">
        <v>4778</v>
      </c>
      <c r="H89" s="277" t="s">
        <v>4779</v>
      </c>
      <c r="I89" s="277">
        <v>952</v>
      </c>
      <c r="J89" s="277" t="s">
        <v>4780</v>
      </c>
      <c r="K89" s="277">
        <v>301</v>
      </c>
      <c r="L89" s="277" t="s">
        <v>4781</v>
      </c>
      <c r="M89" s="277" t="s">
        <v>8</v>
      </c>
      <c r="N89" s="277" t="s">
        <v>4782</v>
      </c>
      <c r="O89" s="277">
        <v>521219</v>
      </c>
      <c r="P89" s="277" t="s">
        <v>4711</v>
      </c>
      <c r="Q89" s="278">
        <v>1000000</v>
      </c>
      <c r="R89" s="292">
        <f>SUM('PER BULAN'!G151:I151)</f>
        <v>0</v>
      </c>
      <c r="S89" s="292">
        <f>SUM('PER BULAN'!J151:L151)</f>
        <v>0</v>
      </c>
      <c r="T89" s="292">
        <f>SUM('PER BULAN'!M151:O151)</f>
        <v>346915</v>
      </c>
      <c r="U89" s="292">
        <f>SUM('PER BULAN'!P151:R151)</f>
        <v>0</v>
      </c>
      <c r="V89" s="292">
        <f>SUM('PER BULAN'!S151:U151)</f>
        <v>355980</v>
      </c>
      <c r="W89" s="292">
        <f>SUM('PER BULAN'!V151:X151)</f>
        <v>0</v>
      </c>
      <c r="X89" s="292">
        <f>SUM('PER BULAN'!Y151:AA151)</f>
        <v>0</v>
      </c>
      <c r="Y89" s="292">
        <f>SUM('PER BULAN'!AB151:AD151)</f>
        <v>0</v>
      </c>
      <c r="Z89" s="292">
        <f>SUM('PER BULAN'!AE151:AG151)</f>
        <v>0</v>
      </c>
      <c r="AA89" s="292">
        <f>SUM('PER BULAN'!AH151:AJ151)</f>
        <v>0</v>
      </c>
      <c r="AB89" s="292">
        <f>SUM('PER BULAN'!AK151:AM151)</f>
        <v>0</v>
      </c>
      <c r="AC89" s="292">
        <f>SUM('PER BULAN'!AN151:AP151)</f>
        <v>0</v>
      </c>
      <c r="AD89" s="277" t="s">
        <v>530</v>
      </c>
      <c r="AE89" s="277" t="s">
        <v>542</v>
      </c>
      <c r="AF89" s="277" t="s">
        <v>543</v>
      </c>
      <c r="AG89" s="277" t="s">
        <v>4699</v>
      </c>
      <c r="AH89" s="277" t="s">
        <v>4700</v>
      </c>
      <c r="AI89" s="277">
        <f t="shared" si="6"/>
        <v>702895</v>
      </c>
      <c r="AJ89" s="291">
        <f t="shared" si="7"/>
        <v>70.289500000000004</v>
      </c>
      <c r="AK89" s="277">
        <f t="shared" si="8"/>
        <v>297105</v>
      </c>
      <c r="AL89" s="291">
        <f t="shared" si="9"/>
        <v>29.7105</v>
      </c>
      <c r="AM89" s="277" t="s">
        <v>2747</v>
      </c>
      <c r="AN89" s="277" t="s">
        <v>4730</v>
      </c>
      <c r="AO89" s="277" t="s">
        <v>4733</v>
      </c>
      <c r="AP89" s="277" t="s">
        <v>4732</v>
      </c>
      <c r="AQ89" s="292">
        <f>SUM('PER BULAN'!AX151)</f>
        <v>0</v>
      </c>
      <c r="AR89" s="292">
        <f>SUM('PER BULAN'!AY151)</f>
        <v>346915</v>
      </c>
      <c r="AS89" s="292">
        <f>SUM('PER BULAN'!AZ151)</f>
        <v>0</v>
      </c>
      <c r="AT89" s="292">
        <f>SUM('PER BULAN'!BA151)</f>
        <v>0</v>
      </c>
      <c r="AU89" s="292">
        <f>SUM('PER BULAN'!BB151)</f>
        <v>0</v>
      </c>
      <c r="AV89" s="292">
        <f>SUM('PER BULAN'!BC151)</f>
        <v>0</v>
      </c>
      <c r="AW89" s="292">
        <f>SUM('PER BULAN'!BD151)</f>
        <v>355980</v>
      </c>
      <c r="AX89" s="292">
        <f>SUM('PER BULAN'!BE151)</f>
        <v>0</v>
      </c>
    </row>
    <row r="90" spans="1:50" s="278" customFormat="1" x14ac:dyDescent="0.3">
      <c r="A90" s="277" t="s">
        <v>4693</v>
      </c>
      <c r="B90" s="277" t="s">
        <v>4694</v>
      </c>
      <c r="C90" s="277" t="s">
        <v>4720</v>
      </c>
      <c r="D90" s="277" t="s">
        <v>4721</v>
      </c>
      <c r="E90" s="277" t="s">
        <v>197</v>
      </c>
      <c r="F90" s="277" t="s">
        <v>4722</v>
      </c>
      <c r="G90" s="277" t="s">
        <v>4778</v>
      </c>
      <c r="H90" s="277" t="s">
        <v>4779</v>
      </c>
      <c r="I90" s="277">
        <v>952</v>
      </c>
      <c r="J90" s="277" t="s">
        <v>4780</v>
      </c>
      <c r="K90" s="277">
        <v>301</v>
      </c>
      <c r="L90" s="277" t="s">
        <v>4781</v>
      </c>
      <c r="M90" s="277" t="s">
        <v>8</v>
      </c>
      <c r="N90" s="277" t="s">
        <v>4782</v>
      </c>
      <c r="O90" s="277">
        <v>521811</v>
      </c>
      <c r="P90" s="277" t="s">
        <v>4716</v>
      </c>
      <c r="Q90" s="278">
        <v>15000000</v>
      </c>
      <c r="R90" s="292">
        <f>SUM('PER BULAN'!G152:I152)</f>
        <v>0</v>
      </c>
      <c r="S90" s="292">
        <f>SUM('PER BULAN'!J152:L152)</f>
        <v>0</v>
      </c>
      <c r="T90" s="292">
        <f>SUM('PER BULAN'!M152:O152)</f>
        <v>2459000</v>
      </c>
      <c r="U90" s="292">
        <f>SUM('PER BULAN'!P152:R152)</f>
        <v>0</v>
      </c>
      <c r="V90" s="292">
        <f>SUM('PER BULAN'!S152:U152)</f>
        <v>2390000</v>
      </c>
      <c r="W90" s="292">
        <f>SUM('PER BULAN'!V152:X152)</f>
        <v>0</v>
      </c>
      <c r="X90" s="292">
        <f>SUM('PER BULAN'!Y152:AA152)</f>
        <v>0</v>
      </c>
      <c r="Y90" s="292">
        <f>SUM('PER BULAN'!AB152:AD152)</f>
        <v>0</v>
      </c>
      <c r="Z90" s="292">
        <f>SUM('PER BULAN'!AE152:AG152)</f>
        <v>0</v>
      </c>
      <c r="AA90" s="292">
        <f>SUM('PER BULAN'!AH152:AJ152)</f>
        <v>0</v>
      </c>
      <c r="AB90" s="292">
        <f>SUM('PER BULAN'!AK152:AM152)</f>
        <v>0</v>
      </c>
      <c r="AC90" s="292">
        <f>SUM('PER BULAN'!AN152:AP152)</f>
        <v>0</v>
      </c>
      <c r="AD90" s="277" t="s">
        <v>530</v>
      </c>
      <c r="AE90" s="277" t="s">
        <v>542</v>
      </c>
      <c r="AF90" s="277" t="s">
        <v>543</v>
      </c>
      <c r="AG90" s="277" t="s">
        <v>4699</v>
      </c>
      <c r="AH90" s="277" t="s">
        <v>4700</v>
      </c>
      <c r="AI90" s="277">
        <f t="shared" si="6"/>
        <v>4849000</v>
      </c>
      <c r="AJ90" s="291">
        <f t="shared" si="7"/>
        <v>32.326666666666668</v>
      </c>
      <c r="AK90" s="277">
        <f t="shared" si="8"/>
        <v>10151000</v>
      </c>
      <c r="AL90" s="291">
        <f t="shared" si="9"/>
        <v>67.673333333333332</v>
      </c>
      <c r="AM90" s="277" t="s">
        <v>2750</v>
      </c>
      <c r="AN90" s="277" t="s">
        <v>4730</v>
      </c>
      <c r="AO90" s="277" t="s">
        <v>4826</v>
      </c>
      <c r="AP90" s="277" t="s">
        <v>4732</v>
      </c>
      <c r="AQ90" s="292">
        <f>SUM('PER BULAN'!AX152)</f>
        <v>0</v>
      </c>
      <c r="AR90" s="292">
        <f>SUM('PER BULAN'!AY152)</f>
        <v>2459000</v>
      </c>
      <c r="AS90" s="292">
        <f>SUM('PER BULAN'!AZ152)</f>
        <v>0</v>
      </c>
      <c r="AT90" s="292">
        <f>SUM('PER BULAN'!BA152)</f>
        <v>0</v>
      </c>
      <c r="AU90" s="292">
        <f>SUM('PER BULAN'!BB152)</f>
        <v>0</v>
      </c>
      <c r="AV90" s="292">
        <f>SUM('PER BULAN'!BC152)</f>
        <v>0</v>
      </c>
      <c r="AW90" s="292">
        <f>SUM('PER BULAN'!BD152)</f>
        <v>2390000</v>
      </c>
      <c r="AX90" s="292">
        <f>SUM('PER BULAN'!BE152)</f>
        <v>0</v>
      </c>
    </row>
    <row r="91" spans="1:50" s="278" customFormat="1" x14ac:dyDescent="0.3">
      <c r="A91" s="277" t="s">
        <v>4693</v>
      </c>
      <c r="B91" s="277" t="s">
        <v>4694</v>
      </c>
      <c r="C91" s="277" t="s">
        <v>4720</v>
      </c>
      <c r="D91" s="277" t="s">
        <v>4721</v>
      </c>
      <c r="E91" s="277" t="s">
        <v>197</v>
      </c>
      <c r="F91" s="277" t="s">
        <v>4722</v>
      </c>
      <c r="G91" s="277" t="s">
        <v>4778</v>
      </c>
      <c r="H91" s="277" t="s">
        <v>4779</v>
      </c>
      <c r="I91" s="277">
        <v>952</v>
      </c>
      <c r="J91" s="277" t="s">
        <v>4780</v>
      </c>
      <c r="K91" s="277">
        <v>301</v>
      </c>
      <c r="L91" s="277" t="s">
        <v>4781</v>
      </c>
      <c r="M91" s="277" t="s">
        <v>8</v>
      </c>
      <c r="N91" s="277" t="s">
        <v>4782</v>
      </c>
      <c r="O91" s="277">
        <v>524111</v>
      </c>
      <c r="P91" s="277" t="s">
        <v>4702</v>
      </c>
      <c r="Q91" s="278">
        <v>62400000</v>
      </c>
      <c r="R91" s="292">
        <f>SUM('PER BULAN'!G154:I154)</f>
        <v>0</v>
      </c>
      <c r="S91" s="292">
        <f>SUM('PER BULAN'!J153:L153)</f>
        <v>1010000</v>
      </c>
      <c r="T91" s="292">
        <f>SUM('PER BULAN'!M153:O153)</f>
        <v>2805000</v>
      </c>
      <c r="U91" s="292">
        <f>SUM('PER BULAN'!P153:R153)</f>
        <v>0</v>
      </c>
      <c r="V91" s="292">
        <f>SUM('PER BULAN'!S153:U153)</f>
        <v>1348500</v>
      </c>
      <c r="W91" s="292">
        <f>SUM('PER BULAN'!V153:X153)</f>
        <v>0</v>
      </c>
      <c r="X91" s="292">
        <f>SUM('PER BULAN'!Y153:AA153)</f>
        <v>0</v>
      </c>
      <c r="Y91" s="292">
        <f>SUM('PER BULAN'!AB153:AD153)</f>
        <v>0</v>
      </c>
      <c r="Z91" s="292">
        <f>SUM('PER BULAN'!AE153:AG153)</f>
        <v>0</v>
      </c>
      <c r="AA91" s="292">
        <f>SUM('PER BULAN'!AH153:AJ153)</f>
        <v>0</v>
      </c>
      <c r="AB91" s="292">
        <f>SUM('PER BULAN'!AK153:AM153)</f>
        <v>0</v>
      </c>
      <c r="AC91" s="292">
        <f>SUM('PER BULAN'!AN153:AP153)</f>
        <v>0</v>
      </c>
      <c r="AD91" s="277" t="s">
        <v>530</v>
      </c>
      <c r="AE91" s="277" t="s">
        <v>542</v>
      </c>
      <c r="AF91" s="277" t="s">
        <v>543</v>
      </c>
      <c r="AG91" s="277" t="s">
        <v>4699</v>
      </c>
      <c r="AH91" s="277" t="s">
        <v>4700</v>
      </c>
      <c r="AI91" s="277">
        <f t="shared" si="6"/>
        <v>5163500</v>
      </c>
      <c r="AJ91" s="291">
        <f t="shared" si="7"/>
        <v>8.2748397435897427</v>
      </c>
      <c r="AK91" s="277">
        <f t="shared" si="8"/>
        <v>57236500</v>
      </c>
      <c r="AL91" s="291">
        <f t="shared" si="9"/>
        <v>91.725160256410248</v>
      </c>
      <c r="AM91" s="277" t="s">
        <v>2753</v>
      </c>
      <c r="AN91" s="277" t="s">
        <v>4730</v>
      </c>
      <c r="AO91" s="277" t="s">
        <v>4736</v>
      </c>
      <c r="AP91" s="277" t="s">
        <v>4732</v>
      </c>
      <c r="AQ91" s="292">
        <f>SUM('PER BULAN'!AX153)</f>
        <v>0</v>
      </c>
      <c r="AR91" s="292">
        <f>SUM('PER BULAN'!AY153)</f>
        <v>0</v>
      </c>
      <c r="AS91" s="292">
        <f>SUM('PER BULAN'!AZ153)</f>
        <v>2805000</v>
      </c>
      <c r="AT91" s="292">
        <f>SUM('PER BULAN'!BA153)</f>
        <v>0</v>
      </c>
      <c r="AU91" s="292">
        <f>SUM('PER BULAN'!BB153)</f>
        <v>0</v>
      </c>
      <c r="AV91" s="292">
        <f>SUM('PER BULAN'!BC153)</f>
        <v>0</v>
      </c>
      <c r="AW91" s="292">
        <f>SUM('PER BULAN'!BD153)</f>
        <v>0</v>
      </c>
      <c r="AX91" s="292">
        <f>SUM('PER BULAN'!BE153)</f>
        <v>0</v>
      </c>
    </row>
    <row r="92" spans="1:50" s="278" customFormat="1" x14ac:dyDescent="0.3">
      <c r="A92" s="277" t="s">
        <v>4693</v>
      </c>
      <c r="B92" s="277" t="s">
        <v>4694</v>
      </c>
      <c r="C92" s="277" t="s">
        <v>4720</v>
      </c>
      <c r="D92" s="277" t="s">
        <v>4721</v>
      </c>
      <c r="E92" s="277" t="s">
        <v>197</v>
      </c>
      <c r="F92" s="277" t="s">
        <v>4722</v>
      </c>
      <c r="G92" s="277" t="s">
        <v>4778</v>
      </c>
      <c r="H92" s="277" t="s">
        <v>4779</v>
      </c>
      <c r="I92" s="277">
        <v>952</v>
      </c>
      <c r="J92" s="277" t="s">
        <v>4780</v>
      </c>
      <c r="K92" s="277">
        <v>301</v>
      </c>
      <c r="L92" s="277" t="s">
        <v>4781</v>
      </c>
      <c r="M92" s="277" t="s">
        <v>511</v>
      </c>
      <c r="N92" s="277" t="s">
        <v>4783</v>
      </c>
      <c r="O92" s="277">
        <v>521211</v>
      </c>
      <c r="P92" s="277" t="s">
        <v>4698</v>
      </c>
      <c r="Q92" s="278">
        <v>49300000</v>
      </c>
      <c r="R92" s="292">
        <f>SUM('PER BULAN'!G155:I155)</f>
        <v>0</v>
      </c>
      <c r="S92" s="292">
        <f>SUM('PER BULAN'!J155:L155)</f>
        <v>0</v>
      </c>
      <c r="T92" s="292">
        <f>SUM('PER BULAN'!M155:O155)</f>
        <v>2964000</v>
      </c>
      <c r="U92" s="292">
        <f>SUM('PER BULAN'!P155:R155)</f>
        <v>0</v>
      </c>
      <c r="V92" s="292">
        <f>SUM('PER BULAN'!S155:U155)</f>
        <v>2975000</v>
      </c>
      <c r="W92" s="292">
        <f>SUM('PER BULAN'!V155:X155)</f>
        <v>0</v>
      </c>
      <c r="X92" s="292">
        <f>SUM('PER BULAN'!Y155:AA155)</f>
        <v>0</v>
      </c>
      <c r="Y92" s="292">
        <f>SUM('PER BULAN'!AB155:AD155)</f>
        <v>0</v>
      </c>
      <c r="Z92" s="292">
        <f>SUM('PER BULAN'!AE155:AG155)</f>
        <v>0</v>
      </c>
      <c r="AA92" s="292">
        <f>SUM('PER BULAN'!AH155:AJ155)</f>
        <v>0</v>
      </c>
      <c r="AB92" s="292">
        <f>SUM('PER BULAN'!AK155:AM155)</f>
        <v>0</v>
      </c>
      <c r="AC92" s="292">
        <f>SUM('PER BULAN'!AN155:AP155)</f>
        <v>0</v>
      </c>
      <c r="AD92" s="277" t="s">
        <v>530</v>
      </c>
      <c r="AE92" s="277" t="s">
        <v>542</v>
      </c>
      <c r="AF92" s="277" t="s">
        <v>543</v>
      </c>
      <c r="AG92" s="277" t="s">
        <v>4699</v>
      </c>
      <c r="AH92" s="277" t="s">
        <v>4700</v>
      </c>
      <c r="AI92" s="277">
        <f t="shared" si="6"/>
        <v>5939000</v>
      </c>
      <c r="AJ92" s="291">
        <f t="shared" si="7"/>
        <v>12.046653144016227</v>
      </c>
      <c r="AK92" s="277">
        <f t="shared" si="8"/>
        <v>43361000</v>
      </c>
      <c r="AL92" s="291">
        <f t="shared" si="9"/>
        <v>87.953346855983767</v>
      </c>
      <c r="AM92" s="277" t="s">
        <v>2757</v>
      </c>
      <c r="AN92" s="277" t="s">
        <v>4730</v>
      </c>
      <c r="AO92" s="277" t="s">
        <v>4731</v>
      </c>
      <c r="AP92" s="277" t="s">
        <v>4732</v>
      </c>
      <c r="AQ92" s="292">
        <f>SUM('PER BULAN'!AX155)</f>
        <v>0</v>
      </c>
      <c r="AR92" s="292">
        <f>SUM('PER BULAN'!AY155)</f>
        <v>2964000</v>
      </c>
      <c r="AS92" s="292">
        <f>SUM('PER BULAN'!AZ155)</f>
        <v>0</v>
      </c>
      <c r="AT92" s="292">
        <f>SUM('PER BULAN'!BA155)</f>
        <v>0</v>
      </c>
      <c r="AU92" s="292">
        <f>SUM('PER BULAN'!BB155)</f>
        <v>0</v>
      </c>
      <c r="AV92" s="292">
        <f>SUM('PER BULAN'!BC155)</f>
        <v>0</v>
      </c>
      <c r="AW92" s="292">
        <f>SUM('PER BULAN'!BD155)</f>
        <v>2975000</v>
      </c>
      <c r="AX92" s="292">
        <f>SUM('PER BULAN'!BE155)</f>
        <v>0</v>
      </c>
    </row>
    <row r="93" spans="1:50" s="278" customFormat="1" x14ac:dyDescent="0.3">
      <c r="A93" s="277" t="s">
        <v>4693</v>
      </c>
      <c r="B93" s="277" t="s">
        <v>4694</v>
      </c>
      <c r="C93" s="277" t="s">
        <v>4720</v>
      </c>
      <c r="D93" s="277" t="s">
        <v>4721</v>
      </c>
      <c r="E93" s="277" t="s">
        <v>197</v>
      </c>
      <c r="F93" s="277" t="s">
        <v>4722</v>
      </c>
      <c r="G93" s="277" t="s">
        <v>4778</v>
      </c>
      <c r="H93" s="277" t="s">
        <v>4779</v>
      </c>
      <c r="I93" s="277">
        <v>952</v>
      </c>
      <c r="J93" s="277" t="s">
        <v>4780</v>
      </c>
      <c r="K93" s="277">
        <v>301</v>
      </c>
      <c r="L93" s="277" t="s">
        <v>4781</v>
      </c>
      <c r="M93" s="277" t="s">
        <v>511</v>
      </c>
      <c r="N93" s="277" t="s">
        <v>4783</v>
      </c>
      <c r="O93" s="277">
        <v>521219</v>
      </c>
      <c r="P93" s="277" t="s">
        <v>4711</v>
      </c>
      <c r="Q93" s="278">
        <v>1000000</v>
      </c>
      <c r="R93" s="292">
        <f>SUM('PER BULAN'!G156:I156)</f>
        <v>0</v>
      </c>
      <c r="S93" s="292">
        <f>SUM('PER BULAN'!J156:L156)</f>
        <v>0</v>
      </c>
      <c r="T93" s="292">
        <f>SUM('PER BULAN'!M156:O156)</f>
        <v>0</v>
      </c>
      <c r="U93" s="292">
        <f>SUM('PER BULAN'!P156:R156)</f>
        <v>0</v>
      </c>
      <c r="V93" s="292">
        <f>SUM('PER BULAN'!S156:U156)</f>
        <v>0</v>
      </c>
      <c r="W93" s="292">
        <f>SUM('PER BULAN'!V156:X156)</f>
        <v>0</v>
      </c>
      <c r="X93" s="292">
        <f>SUM('PER BULAN'!Y156:AA156)</f>
        <v>0</v>
      </c>
      <c r="Y93" s="292">
        <f>SUM('PER BULAN'!AB156:AD156)</f>
        <v>0</v>
      </c>
      <c r="Z93" s="292">
        <f>SUM('PER BULAN'!AE156:AG156)</f>
        <v>0</v>
      </c>
      <c r="AA93" s="292">
        <f>SUM('PER BULAN'!AH156:AJ156)</f>
        <v>0</v>
      </c>
      <c r="AB93" s="292">
        <f>SUM('PER BULAN'!AK156:AM156)</f>
        <v>0</v>
      </c>
      <c r="AC93" s="292">
        <f>SUM('PER BULAN'!AN156:AP156)</f>
        <v>0</v>
      </c>
      <c r="AD93" s="277" t="s">
        <v>530</v>
      </c>
      <c r="AE93" s="277" t="s">
        <v>542</v>
      </c>
      <c r="AF93" s="277" t="s">
        <v>543</v>
      </c>
      <c r="AG93" s="277" t="s">
        <v>4699</v>
      </c>
      <c r="AH93" s="277" t="s">
        <v>4700</v>
      </c>
      <c r="AI93" s="277">
        <f t="shared" si="6"/>
        <v>0</v>
      </c>
      <c r="AJ93" s="291">
        <f t="shared" si="7"/>
        <v>0</v>
      </c>
      <c r="AK93" s="277">
        <f t="shared" si="8"/>
        <v>1000000</v>
      </c>
      <c r="AL93" s="291">
        <f t="shared" si="9"/>
        <v>100</v>
      </c>
      <c r="AM93" s="277" t="s">
        <v>2761</v>
      </c>
      <c r="AN93" s="277" t="s">
        <v>4730</v>
      </c>
      <c r="AO93" s="277" t="s">
        <v>4733</v>
      </c>
      <c r="AP93" s="277" t="s">
        <v>4732</v>
      </c>
      <c r="AQ93" s="292">
        <f>SUM('PER BULAN'!AX156)</f>
        <v>0</v>
      </c>
      <c r="AR93" s="292">
        <f>SUM('PER BULAN'!AY156)</f>
        <v>0</v>
      </c>
      <c r="AS93" s="292">
        <f>SUM('PER BULAN'!AZ156)</f>
        <v>0</v>
      </c>
      <c r="AT93" s="292">
        <f>SUM('PER BULAN'!BA156)</f>
        <v>0</v>
      </c>
      <c r="AU93" s="292">
        <f>SUM('PER BULAN'!BB156)</f>
        <v>0</v>
      </c>
      <c r="AV93" s="292">
        <f>SUM('PER BULAN'!BC156)</f>
        <v>0</v>
      </c>
      <c r="AW93" s="292">
        <f>SUM('PER BULAN'!BD156)</f>
        <v>0</v>
      </c>
      <c r="AX93" s="292">
        <f>SUM('PER BULAN'!BE156)</f>
        <v>0</v>
      </c>
    </row>
    <row r="94" spans="1:50" s="278" customFormat="1" x14ac:dyDescent="0.3">
      <c r="A94" s="277" t="s">
        <v>4693</v>
      </c>
      <c r="B94" s="277" t="s">
        <v>4694</v>
      </c>
      <c r="C94" s="277" t="s">
        <v>4720</v>
      </c>
      <c r="D94" s="277" t="s">
        <v>4721</v>
      </c>
      <c r="E94" s="277" t="s">
        <v>197</v>
      </c>
      <c r="F94" s="277" t="s">
        <v>4722</v>
      </c>
      <c r="G94" s="277" t="s">
        <v>4778</v>
      </c>
      <c r="H94" s="277" t="s">
        <v>4779</v>
      </c>
      <c r="I94" s="277">
        <v>952</v>
      </c>
      <c r="J94" s="277" t="s">
        <v>4780</v>
      </c>
      <c r="K94" s="277">
        <v>301</v>
      </c>
      <c r="L94" s="277" t="s">
        <v>4781</v>
      </c>
      <c r="M94" s="277" t="s">
        <v>511</v>
      </c>
      <c r="N94" s="277" t="s">
        <v>4783</v>
      </c>
      <c r="O94" s="277">
        <v>521811</v>
      </c>
      <c r="P94" s="277" t="s">
        <v>4716</v>
      </c>
      <c r="Q94" s="278">
        <v>25000000</v>
      </c>
      <c r="R94" s="292">
        <f>SUM('PER BULAN'!G157:I157)</f>
        <v>0</v>
      </c>
      <c r="S94" s="292">
        <f>SUM('PER BULAN'!J157:L157)</f>
        <v>0</v>
      </c>
      <c r="T94" s="292">
        <f>SUM('PER BULAN'!M157:O157)</f>
        <v>4910000</v>
      </c>
      <c r="U94" s="292">
        <f>SUM('PER BULAN'!P157:R157)</f>
        <v>0</v>
      </c>
      <c r="V94" s="292">
        <f>SUM('PER BULAN'!S157:U157)</f>
        <v>4873000</v>
      </c>
      <c r="W94" s="292">
        <f>SUM('PER BULAN'!V157:X157)</f>
        <v>0</v>
      </c>
      <c r="X94" s="292">
        <f>SUM('PER BULAN'!Y157:AA157)</f>
        <v>0</v>
      </c>
      <c r="Y94" s="292">
        <f>SUM('PER BULAN'!AB157:AD157)</f>
        <v>0</v>
      </c>
      <c r="Z94" s="292">
        <f>SUM('PER BULAN'!AE157:AG157)</f>
        <v>0</v>
      </c>
      <c r="AA94" s="292">
        <f>SUM('PER BULAN'!AH157:AJ157)</f>
        <v>0</v>
      </c>
      <c r="AB94" s="292">
        <f>SUM('PER BULAN'!AK157:AM157)</f>
        <v>0</v>
      </c>
      <c r="AC94" s="292">
        <f>SUM('PER BULAN'!AN157:AP157)</f>
        <v>0</v>
      </c>
      <c r="AD94" s="277" t="s">
        <v>530</v>
      </c>
      <c r="AE94" s="277" t="s">
        <v>542</v>
      </c>
      <c r="AF94" s="277" t="s">
        <v>543</v>
      </c>
      <c r="AG94" s="277" t="s">
        <v>4699</v>
      </c>
      <c r="AH94" s="277" t="s">
        <v>4700</v>
      </c>
      <c r="AI94" s="277">
        <f t="shared" si="6"/>
        <v>9783000</v>
      </c>
      <c r="AJ94" s="291">
        <f t="shared" si="7"/>
        <v>39.131999999999998</v>
      </c>
      <c r="AK94" s="277">
        <f t="shared" si="8"/>
        <v>15217000</v>
      </c>
      <c r="AL94" s="291">
        <f t="shared" si="9"/>
        <v>60.868000000000002</v>
      </c>
      <c r="AM94" s="277" t="s">
        <v>2763</v>
      </c>
      <c r="AN94" s="277" t="s">
        <v>4730</v>
      </c>
      <c r="AO94" s="277" t="s">
        <v>4826</v>
      </c>
      <c r="AP94" s="277" t="s">
        <v>4732</v>
      </c>
      <c r="AQ94" s="292">
        <f>SUM('PER BULAN'!AX157)</f>
        <v>0</v>
      </c>
      <c r="AR94" s="292">
        <f>SUM('PER BULAN'!AY157)</f>
        <v>4910000</v>
      </c>
      <c r="AS94" s="292">
        <f>SUM('PER BULAN'!AZ157)</f>
        <v>0</v>
      </c>
      <c r="AT94" s="292">
        <f>SUM('PER BULAN'!BA157)</f>
        <v>0</v>
      </c>
      <c r="AU94" s="292">
        <f>SUM('PER BULAN'!BB157)</f>
        <v>0</v>
      </c>
      <c r="AV94" s="292">
        <f>SUM('PER BULAN'!BC157)</f>
        <v>0</v>
      </c>
      <c r="AW94" s="292">
        <f>SUM('PER BULAN'!BD157)</f>
        <v>4873000</v>
      </c>
      <c r="AX94" s="292">
        <f>SUM('PER BULAN'!BE157)</f>
        <v>0</v>
      </c>
    </row>
    <row r="95" spans="1:50" s="278" customFormat="1" x14ac:dyDescent="0.3">
      <c r="A95" s="277" t="s">
        <v>4693</v>
      </c>
      <c r="B95" s="277" t="s">
        <v>4694</v>
      </c>
      <c r="C95" s="277" t="s">
        <v>4720</v>
      </c>
      <c r="D95" s="277" t="s">
        <v>4721</v>
      </c>
      <c r="E95" s="277" t="s">
        <v>197</v>
      </c>
      <c r="F95" s="277" t="s">
        <v>4722</v>
      </c>
      <c r="G95" s="277" t="s">
        <v>4778</v>
      </c>
      <c r="H95" s="277" t="s">
        <v>4779</v>
      </c>
      <c r="I95" s="277">
        <v>952</v>
      </c>
      <c r="J95" s="277" t="s">
        <v>4780</v>
      </c>
      <c r="K95" s="277">
        <v>301</v>
      </c>
      <c r="L95" s="277" t="s">
        <v>4781</v>
      </c>
      <c r="M95" s="277" t="s">
        <v>511</v>
      </c>
      <c r="N95" s="277" t="s">
        <v>4783</v>
      </c>
      <c r="O95" s="277">
        <v>522151</v>
      </c>
      <c r="P95" s="277" t="s">
        <v>4701</v>
      </c>
      <c r="Q95" s="278">
        <v>12000000</v>
      </c>
      <c r="R95" s="292">
        <f>SUM('PER BULAN'!G158:I158)</f>
        <v>0</v>
      </c>
      <c r="S95" s="292">
        <f>SUM('PER BULAN'!J158:L158)</f>
        <v>0</v>
      </c>
      <c r="T95" s="292">
        <f>SUM('PER BULAN'!M158:O158)</f>
        <v>0</v>
      </c>
      <c r="U95" s="292">
        <f>SUM('PER BULAN'!P158:R158)</f>
        <v>0</v>
      </c>
      <c r="V95" s="292">
        <f>SUM('PER BULAN'!S158:U158)</f>
        <v>0</v>
      </c>
      <c r="W95" s="292">
        <f>SUM('PER BULAN'!V158:X158)</f>
        <v>0</v>
      </c>
      <c r="X95" s="292">
        <f>SUM('PER BULAN'!Y158:AA158)</f>
        <v>0</v>
      </c>
      <c r="Y95" s="292">
        <f>SUM('PER BULAN'!AB158:AD158)</f>
        <v>0</v>
      </c>
      <c r="Z95" s="292">
        <f>SUM('PER BULAN'!AE158:AG158)</f>
        <v>0</v>
      </c>
      <c r="AA95" s="292">
        <f>SUM('PER BULAN'!AH158:AJ158)</f>
        <v>0</v>
      </c>
      <c r="AB95" s="292">
        <f>SUM('PER BULAN'!AK158:AM158)</f>
        <v>0</v>
      </c>
      <c r="AC95" s="292">
        <f>SUM('PER BULAN'!AN158:AP158)</f>
        <v>0</v>
      </c>
      <c r="AD95" s="277" t="s">
        <v>530</v>
      </c>
      <c r="AE95" s="277" t="s">
        <v>542</v>
      </c>
      <c r="AF95" s="277" t="s">
        <v>543</v>
      </c>
      <c r="AG95" s="277" t="s">
        <v>4699</v>
      </c>
      <c r="AH95" s="277" t="s">
        <v>4700</v>
      </c>
      <c r="AI95" s="277">
        <f t="shared" si="6"/>
        <v>0</v>
      </c>
      <c r="AJ95" s="291">
        <f t="shared" si="7"/>
        <v>0</v>
      </c>
      <c r="AK95" s="277">
        <f t="shared" si="8"/>
        <v>12000000</v>
      </c>
      <c r="AL95" s="291">
        <f t="shared" si="9"/>
        <v>100</v>
      </c>
      <c r="AM95" s="277" t="s">
        <v>2766</v>
      </c>
      <c r="AN95" s="277" t="s">
        <v>4730</v>
      </c>
      <c r="AO95" s="277" t="s">
        <v>4735</v>
      </c>
      <c r="AP95" s="277" t="s">
        <v>4732</v>
      </c>
      <c r="AQ95" s="292">
        <f>SUM('PER BULAN'!AX158)</f>
        <v>0</v>
      </c>
      <c r="AR95" s="292">
        <f>SUM('PER BULAN'!AY158)</f>
        <v>0</v>
      </c>
      <c r="AS95" s="292">
        <f>SUM('PER BULAN'!AZ158)</f>
        <v>0</v>
      </c>
      <c r="AT95" s="292">
        <f>SUM('PER BULAN'!BA158)</f>
        <v>0</v>
      </c>
      <c r="AU95" s="292">
        <f>SUM('PER BULAN'!BB158)</f>
        <v>0</v>
      </c>
      <c r="AV95" s="292">
        <f>SUM('PER BULAN'!BC158)</f>
        <v>0</v>
      </c>
      <c r="AW95" s="292">
        <f>SUM('PER BULAN'!BD158)</f>
        <v>0</v>
      </c>
      <c r="AX95" s="292">
        <f>SUM('PER BULAN'!BE158)</f>
        <v>0</v>
      </c>
    </row>
    <row r="96" spans="1:50" s="278" customFormat="1" x14ac:dyDescent="0.3">
      <c r="A96" s="277" t="s">
        <v>4693</v>
      </c>
      <c r="B96" s="277" t="s">
        <v>4694</v>
      </c>
      <c r="C96" s="277" t="s">
        <v>4720</v>
      </c>
      <c r="D96" s="277" t="s">
        <v>4721</v>
      </c>
      <c r="E96" s="277" t="s">
        <v>197</v>
      </c>
      <c r="F96" s="277" t="s">
        <v>4722</v>
      </c>
      <c r="G96" s="277" t="s">
        <v>4778</v>
      </c>
      <c r="H96" s="277" t="s">
        <v>4779</v>
      </c>
      <c r="I96" s="277">
        <v>952</v>
      </c>
      <c r="J96" s="277" t="s">
        <v>4780</v>
      </c>
      <c r="K96" s="277">
        <v>301</v>
      </c>
      <c r="L96" s="277" t="s">
        <v>4781</v>
      </c>
      <c r="M96" s="277" t="s">
        <v>511</v>
      </c>
      <c r="N96" s="277" t="s">
        <v>4783</v>
      </c>
      <c r="O96" s="277">
        <v>524111</v>
      </c>
      <c r="P96" s="277" t="s">
        <v>4702</v>
      </c>
      <c r="Q96" s="278">
        <v>258688000</v>
      </c>
      <c r="R96" s="292">
        <f>SUM('PER BULAN'!G160:I160)</f>
        <v>0</v>
      </c>
      <c r="S96" s="292">
        <f>SUM('PER BULAN'!J159:L159)</f>
        <v>0</v>
      </c>
      <c r="T96" s="292">
        <f>SUM('PER BULAN'!M159:O159)</f>
        <v>0</v>
      </c>
      <c r="U96" s="292">
        <f>SUM('PER BULAN'!P159:R159)</f>
        <v>205000</v>
      </c>
      <c r="V96" s="292">
        <f>SUM('PER BULAN'!S159:U159)</f>
        <v>4224000</v>
      </c>
      <c r="W96" s="292">
        <f>SUM('PER BULAN'!V159:X159)</f>
        <v>0</v>
      </c>
      <c r="X96" s="292">
        <f>SUM('PER BULAN'!Y159:AA159)</f>
        <v>0</v>
      </c>
      <c r="Y96" s="292">
        <f>SUM('PER BULAN'!AB159:AD159)</f>
        <v>0</v>
      </c>
      <c r="Z96" s="292">
        <f>SUM('PER BULAN'!AE159:AG159)</f>
        <v>0</v>
      </c>
      <c r="AA96" s="292">
        <f>SUM('PER BULAN'!AH159:AJ159)</f>
        <v>0</v>
      </c>
      <c r="AB96" s="292">
        <f>SUM('PER BULAN'!AK159:AM159)</f>
        <v>0</v>
      </c>
      <c r="AC96" s="292">
        <f>SUM('PER BULAN'!AN159:AP159)</f>
        <v>0</v>
      </c>
      <c r="AD96" s="277" t="s">
        <v>530</v>
      </c>
      <c r="AE96" s="277" t="s">
        <v>542</v>
      </c>
      <c r="AF96" s="277" t="s">
        <v>543</v>
      </c>
      <c r="AG96" s="277" t="s">
        <v>4699</v>
      </c>
      <c r="AH96" s="277" t="s">
        <v>4700</v>
      </c>
      <c r="AI96" s="277">
        <f t="shared" si="6"/>
        <v>4429000</v>
      </c>
      <c r="AJ96" s="291">
        <f t="shared" si="7"/>
        <v>1.7121010638297871</v>
      </c>
      <c r="AK96" s="277">
        <f t="shared" si="8"/>
        <v>254259000</v>
      </c>
      <c r="AL96" s="291">
        <f t="shared" si="9"/>
        <v>98.287898936170208</v>
      </c>
      <c r="AM96" s="277" t="s">
        <v>2768</v>
      </c>
      <c r="AN96" s="277" t="s">
        <v>4730</v>
      </c>
      <c r="AO96" s="277" t="s">
        <v>4736</v>
      </c>
      <c r="AP96" s="277" t="s">
        <v>4732</v>
      </c>
      <c r="AQ96" s="292">
        <f>SUM('PER BULAN'!AX159)</f>
        <v>0</v>
      </c>
      <c r="AR96" s="292">
        <f>SUM('PER BULAN'!AY159)</f>
        <v>0</v>
      </c>
      <c r="AS96" s="292">
        <f>SUM('PER BULAN'!AZ159)</f>
        <v>0</v>
      </c>
      <c r="AT96" s="292">
        <f>SUM('PER BULAN'!BA159)</f>
        <v>0</v>
      </c>
      <c r="AU96" s="292">
        <f>SUM('PER BULAN'!BB159)</f>
        <v>0</v>
      </c>
      <c r="AV96" s="292">
        <f>SUM('PER BULAN'!BC159)</f>
        <v>0</v>
      </c>
      <c r="AW96" s="292">
        <f>SUM('PER BULAN'!BD159)</f>
        <v>0</v>
      </c>
      <c r="AX96" s="292">
        <f>SUM('PER BULAN'!BE159)</f>
        <v>0</v>
      </c>
    </row>
    <row r="97" spans="1:50" s="278" customFormat="1" x14ac:dyDescent="0.3">
      <c r="A97" s="277" t="s">
        <v>4693</v>
      </c>
      <c r="B97" s="277" t="s">
        <v>4694</v>
      </c>
      <c r="C97" s="277" t="s">
        <v>4720</v>
      </c>
      <c r="D97" s="277" t="s">
        <v>4721</v>
      </c>
      <c r="E97" s="277" t="s">
        <v>197</v>
      </c>
      <c r="F97" s="277" t="s">
        <v>4722</v>
      </c>
      <c r="G97" s="277" t="s">
        <v>4778</v>
      </c>
      <c r="H97" s="277" t="s">
        <v>4779</v>
      </c>
      <c r="I97" s="277">
        <v>952</v>
      </c>
      <c r="J97" s="277" t="s">
        <v>4780</v>
      </c>
      <c r="K97" s="277">
        <v>301</v>
      </c>
      <c r="L97" s="277" t="s">
        <v>4781</v>
      </c>
      <c r="M97" s="277" t="s">
        <v>512</v>
      </c>
      <c r="N97" s="277" t="s">
        <v>4784</v>
      </c>
      <c r="O97" s="277">
        <v>521211</v>
      </c>
      <c r="P97" s="277" t="s">
        <v>4698</v>
      </c>
      <c r="Q97" s="278">
        <v>39500000</v>
      </c>
      <c r="R97" s="292">
        <f>SUM('PER BULAN'!G161:I161)</f>
        <v>0</v>
      </c>
      <c r="S97" s="292">
        <f>SUM('PER BULAN'!J161:L161)</f>
        <v>0</v>
      </c>
      <c r="T97" s="292">
        <f>SUM('PER BULAN'!M161:O161)</f>
        <v>2955000</v>
      </c>
      <c r="U97" s="292">
        <f>SUM('PER BULAN'!P161:R161)</f>
        <v>0</v>
      </c>
      <c r="V97" s="292">
        <f>SUM('PER BULAN'!S161:U161)</f>
        <v>2933500</v>
      </c>
      <c r="W97" s="292">
        <f>SUM('PER BULAN'!V161:X161)</f>
        <v>10500000</v>
      </c>
      <c r="X97" s="292">
        <f>SUM('PER BULAN'!Y161:AA161)</f>
        <v>0</v>
      </c>
      <c r="Y97" s="292">
        <f>SUM('PER BULAN'!AB161:AD161)</f>
        <v>0</v>
      </c>
      <c r="Z97" s="292">
        <f>SUM('PER BULAN'!AE161:AG161)</f>
        <v>0</v>
      </c>
      <c r="AA97" s="292">
        <f>SUM('PER BULAN'!AH161:AJ161)</f>
        <v>0</v>
      </c>
      <c r="AB97" s="292">
        <f>SUM('PER BULAN'!AK161:AM161)</f>
        <v>0</v>
      </c>
      <c r="AC97" s="292">
        <f>SUM('PER BULAN'!AN161:AP161)</f>
        <v>0</v>
      </c>
      <c r="AD97" s="277" t="s">
        <v>530</v>
      </c>
      <c r="AE97" s="277" t="s">
        <v>542</v>
      </c>
      <c r="AF97" s="277" t="s">
        <v>543</v>
      </c>
      <c r="AG97" s="277" t="s">
        <v>4699</v>
      </c>
      <c r="AH97" s="277" t="s">
        <v>4700</v>
      </c>
      <c r="AI97" s="277">
        <f t="shared" si="6"/>
        <v>16388500</v>
      </c>
      <c r="AJ97" s="291">
        <f t="shared" si="7"/>
        <v>41.489873417721519</v>
      </c>
      <c r="AK97" s="277">
        <f t="shared" si="8"/>
        <v>23111500</v>
      </c>
      <c r="AL97" s="291">
        <f t="shared" si="9"/>
        <v>58.510126582278474</v>
      </c>
      <c r="AM97" s="277" t="s">
        <v>2772</v>
      </c>
      <c r="AN97" s="277" t="s">
        <v>4730</v>
      </c>
      <c r="AO97" s="277" t="s">
        <v>4731</v>
      </c>
      <c r="AP97" s="277" t="s">
        <v>4732</v>
      </c>
      <c r="AQ97" s="292">
        <f>SUM('PER BULAN'!AX161)</f>
        <v>0</v>
      </c>
      <c r="AR97" s="292">
        <f>SUM('PER BULAN'!AY161)</f>
        <v>2955000</v>
      </c>
      <c r="AS97" s="292">
        <f>SUM('PER BULAN'!AZ161)</f>
        <v>0</v>
      </c>
      <c r="AT97" s="292">
        <f>SUM('PER BULAN'!BA161)</f>
        <v>0</v>
      </c>
      <c r="AU97" s="292">
        <f>SUM('PER BULAN'!BB161)</f>
        <v>0</v>
      </c>
      <c r="AV97" s="292">
        <f>SUM('PER BULAN'!BC161)</f>
        <v>0</v>
      </c>
      <c r="AW97" s="292">
        <f>SUM('PER BULAN'!BD161)</f>
        <v>2933500</v>
      </c>
      <c r="AX97" s="292">
        <f>SUM('PER BULAN'!BE161)</f>
        <v>0</v>
      </c>
    </row>
    <row r="98" spans="1:50" s="278" customFormat="1" x14ac:dyDescent="0.3">
      <c r="A98" s="277" t="s">
        <v>4693</v>
      </c>
      <c r="B98" s="277" t="s">
        <v>4694</v>
      </c>
      <c r="C98" s="277" t="s">
        <v>4720</v>
      </c>
      <c r="D98" s="277" t="s">
        <v>4721</v>
      </c>
      <c r="E98" s="277" t="s">
        <v>197</v>
      </c>
      <c r="F98" s="277" t="s">
        <v>4722</v>
      </c>
      <c r="G98" s="277" t="s">
        <v>4778</v>
      </c>
      <c r="H98" s="277" t="s">
        <v>4779</v>
      </c>
      <c r="I98" s="277">
        <v>952</v>
      </c>
      <c r="J98" s="277" t="s">
        <v>4780</v>
      </c>
      <c r="K98" s="277">
        <v>301</v>
      </c>
      <c r="L98" s="277" t="s">
        <v>4781</v>
      </c>
      <c r="M98" s="277" t="s">
        <v>512</v>
      </c>
      <c r="N98" s="277" t="s">
        <v>4784</v>
      </c>
      <c r="O98" s="277">
        <v>521811</v>
      </c>
      <c r="P98" s="277" t="s">
        <v>4716</v>
      </c>
      <c r="Q98" s="278">
        <v>25000000</v>
      </c>
      <c r="R98" s="292">
        <f>SUM('PER BULAN'!G162:I162)</f>
        <v>0</v>
      </c>
      <c r="S98" s="292">
        <f>SUM('PER BULAN'!J162:L162)</f>
        <v>0</v>
      </c>
      <c r="T98" s="292">
        <f>SUM('PER BULAN'!M162:O162)</f>
        <v>4947750</v>
      </c>
      <c r="U98" s="292">
        <f>SUM('PER BULAN'!P162:R162)</f>
        <v>0</v>
      </c>
      <c r="V98" s="292">
        <f>SUM('PER BULAN'!S162:U162)</f>
        <v>4878000</v>
      </c>
      <c r="W98" s="292">
        <f>SUM('PER BULAN'!V162:X162)</f>
        <v>0</v>
      </c>
      <c r="X98" s="292">
        <f>SUM('PER BULAN'!Y162:AA162)</f>
        <v>0</v>
      </c>
      <c r="Y98" s="292">
        <f>SUM('PER BULAN'!AB162:AD162)</f>
        <v>0</v>
      </c>
      <c r="Z98" s="292">
        <f>SUM('PER BULAN'!AE162:AG162)</f>
        <v>0</v>
      </c>
      <c r="AA98" s="292">
        <f>SUM('PER BULAN'!AH162:AJ162)</f>
        <v>0</v>
      </c>
      <c r="AB98" s="292">
        <f>SUM('PER BULAN'!AK162:AM162)</f>
        <v>0</v>
      </c>
      <c r="AC98" s="292">
        <f>SUM('PER BULAN'!AN162:AP162)</f>
        <v>0</v>
      </c>
      <c r="AD98" s="277" t="s">
        <v>530</v>
      </c>
      <c r="AE98" s="277" t="s">
        <v>542</v>
      </c>
      <c r="AF98" s="277" t="s">
        <v>543</v>
      </c>
      <c r="AG98" s="277" t="s">
        <v>4699</v>
      </c>
      <c r="AH98" s="277" t="s">
        <v>4700</v>
      </c>
      <c r="AI98" s="277">
        <f t="shared" si="6"/>
        <v>9825750</v>
      </c>
      <c r="AJ98" s="291">
        <f t="shared" si="7"/>
        <v>39.302999999999997</v>
      </c>
      <c r="AK98" s="277">
        <f t="shared" si="8"/>
        <v>15174250</v>
      </c>
      <c r="AL98" s="291">
        <f t="shared" si="9"/>
        <v>60.697000000000003</v>
      </c>
      <c r="AM98" s="277" t="s">
        <v>2776</v>
      </c>
      <c r="AN98" s="277" t="s">
        <v>4730</v>
      </c>
      <c r="AO98" s="277" t="s">
        <v>4826</v>
      </c>
      <c r="AP98" s="277" t="s">
        <v>4732</v>
      </c>
      <c r="AQ98" s="292">
        <f>SUM('PER BULAN'!AX162)</f>
        <v>0</v>
      </c>
      <c r="AR98" s="292">
        <f>SUM('PER BULAN'!AY162)</f>
        <v>4947750</v>
      </c>
      <c r="AS98" s="292">
        <f>SUM('PER BULAN'!AZ162)</f>
        <v>0</v>
      </c>
      <c r="AT98" s="292">
        <f>SUM('PER BULAN'!BA162)</f>
        <v>0</v>
      </c>
      <c r="AU98" s="292">
        <f>SUM('PER BULAN'!BB162)</f>
        <v>0</v>
      </c>
      <c r="AV98" s="292">
        <f>SUM('PER BULAN'!BC162)</f>
        <v>0</v>
      </c>
      <c r="AW98" s="292">
        <f>SUM('PER BULAN'!BD162)</f>
        <v>4878000</v>
      </c>
      <c r="AX98" s="292">
        <f>SUM('PER BULAN'!BE162)</f>
        <v>0</v>
      </c>
    </row>
    <row r="99" spans="1:50" s="278" customFormat="1" x14ac:dyDescent="0.3">
      <c r="A99" s="277" t="s">
        <v>4693</v>
      </c>
      <c r="B99" s="277" t="s">
        <v>4694</v>
      </c>
      <c r="C99" s="277" t="s">
        <v>4720</v>
      </c>
      <c r="D99" s="277" t="s">
        <v>4721</v>
      </c>
      <c r="E99" s="277" t="s">
        <v>197</v>
      </c>
      <c r="F99" s="277" t="s">
        <v>4722</v>
      </c>
      <c r="G99" s="277" t="s">
        <v>4778</v>
      </c>
      <c r="H99" s="277" t="s">
        <v>4779</v>
      </c>
      <c r="I99" s="277">
        <v>952</v>
      </c>
      <c r="J99" s="277" t="s">
        <v>4780</v>
      </c>
      <c r="K99" s="277">
        <v>301</v>
      </c>
      <c r="L99" s="277" t="s">
        <v>4781</v>
      </c>
      <c r="M99" s="277" t="s">
        <v>512</v>
      </c>
      <c r="N99" s="277" t="s">
        <v>4784</v>
      </c>
      <c r="O99" s="277">
        <v>522151</v>
      </c>
      <c r="P99" s="277" t="s">
        <v>4701</v>
      </c>
      <c r="Q99" s="278">
        <v>10000000</v>
      </c>
      <c r="R99" s="292">
        <f>SUM('PER BULAN'!G163:I163)</f>
        <v>0</v>
      </c>
      <c r="S99" s="292">
        <f>SUM('PER BULAN'!J163:L163)</f>
        <v>0</v>
      </c>
      <c r="T99" s="292">
        <f>SUM('PER BULAN'!M163:O163)</f>
        <v>0</v>
      </c>
      <c r="U99" s="292">
        <f>SUM('PER BULAN'!P163:R163)</f>
        <v>0</v>
      </c>
      <c r="V99" s="292">
        <f>SUM('PER BULAN'!S163:U163)</f>
        <v>0</v>
      </c>
      <c r="W99" s="292">
        <f>SUM('PER BULAN'!V163:X163)</f>
        <v>0</v>
      </c>
      <c r="X99" s="292">
        <f>SUM('PER BULAN'!Y163:AA163)</f>
        <v>0</v>
      </c>
      <c r="Y99" s="292">
        <f>SUM('PER BULAN'!AB163:AD163)</f>
        <v>0</v>
      </c>
      <c r="Z99" s="292">
        <f>SUM('PER BULAN'!AE163:AG163)</f>
        <v>0</v>
      </c>
      <c r="AA99" s="292">
        <f>SUM('PER BULAN'!AH163:AJ163)</f>
        <v>0</v>
      </c>
      <c r="AB99" s="292">
        <f>SUM('PER BULAN'!AK163:AM163)</f>
        <v>0</v>
      </c>
      <c r="AC99" s="292">
        <f>SUM('PER BULAN'!AN163:AP163)</f>
        <v>0</v>
      </c>
      <c r="AD99" s="277" t="s">
        <v>530</v>
      </c>
      <c r="AE99" s="277" t="s">
        <v>542</v>
      </c>
      <c r="AF99" s="277" t="s">
        <v>543</v>
      </c>
      <c r="AG99" s="277" t="s">
        <v>4699</v>
      </c>
      <c r="AH99" s="277" t="s">
        <v>4700</v>
      </c>
      <c r="AI99" s="277">
        <f t="shared" si="6"/>
        <v>0</v>
      </c>
      <c r="AJ99" s="291">
        <f t="shared" si="7"/>
        <v>0</v>
      </c>
      <c r="AK99" s="277">
        <f t="shared" si="8"/>
        <v>10000000</v>
      </c>
      <c r="AL99" s="291">
        <f t="shared" si="9"/>
        <v>100</v>
      </c>
      <c r="AM99" s="277" t="s">
        <v>2779</v>
      </c>
      <c r="AN99" s="277" t="s">
        <v>4730</v>
      </c>
      <c r="AO99" s="277" t="s">
        <v>4735</v>
      </c>
      <c r="AP99" s="277" t="s">
        <v>4732</v>
      </c>
      <c r="AQ99" s="292">
        <f>SUM('PER BULAN'!AX163)</f>
        <v>0</v>
      </c>
      <c r="AR99" s="292">
        <f>SUM('PER BULAN'!AY163)</f>
        <v>0</v>
      </c>
      <c r="AS99" s="292">
        <f>SUM('PER BULAN'!AZ163)</f>
        <v>0</v>
      </c>
      <c r="AT99" s="292">
        <f>SUM('PER BULAN'!BA163)</f>
        <v>0</v>
      </c>
      <c r="AU99" s="292">
        <f>SUM('PER BULAN'!BB163)</f>
        <v>0</v>
      </c>
      <c r="AV99" s="292">
        <f>SUM('PER BULAN'!BC163)</f>
        <v>0</v>
      </c>
      <c r="AW99" s="292">
        <f>SUM('PER BULAN'!BD163)</f>
        <v>0</v>
      </c>
      <c r="AX99" s="292">
        <f>SUM('PER BULAN'!BE163)</f>
        <v>0</v>
      </c>
    </row>
    <row r="100" spans="1:50" s="278" customFormat="1" x14ac:dyDescent="0.3">
      <c r="A100" s="277" t="s">
        <v>4693</v>
      </c>
      <c r="B100" s="277" t="s">
        <v>4694</v>
      </c>
      <c r="C100" s="277" t="s">
        <v>4720</v>
      </c>
      <c r="D100" s="277" t="s">
        <v>4721</v>
      </c>
      <c r="E100" s="277" t="s">
        <v>197</v>
      </c>
      <c r="F100" s="277" t="s">
        <v>4722</v>
      </c>
      <c r="G100" s="277" t="s">
        <v>4778</v>
      </c>
      <c r="H100" s="277" t="s">
        <v>4779</v>
      </c>
      <c r="I100" s="277">
        <v>952</v>
      </c>
      <c r="J100" s="277" t="s">
        <v>4780</v>
      </c>
      <c r="K100" s="277">
        <v>301</v>
      </c>
      <c r="L100" s="277" t="s">
        <v>4781</v>
      </c>
      <c r="M100" s="277" t="s">
        <v>512</v>
      </c>
      <c r="N100" s="277" t="s">
        <v>4784</v>
      </c>
      <c r="O100" s="277">
        <v>524111</v>
      </c>
      <c r="P100" s="277" t="s">
        <v>4702</v>
      </c>
      <c r="Q100" s="278">
        <v>93600000</v>
      </c>
      <c r="R100" s="292">
        <f>SUM('PER BULAN'!G167:I167)</f>
        <v>0</v>
      </c>
      <c r="S100" s="292">
        <f>SUM('PER BULAN'!J164:L164)</f>
        <v>9587800</v>
      </c>
      <c r="T100" s="292">
        <f>SUM('PER BULAN'!M164:O164)</f>
        <v>22390000</v>
      </c>
      <c r="U100" s="292">
        <f>SUM('PER BULAN'!P164:R164)</f>
        <v>6330000</v>
      </c>
      <c r="V100" s="292">
        <f>SUM('PER BULAN'!S164:U164)</f>
        <v>3600000</v>
      </c>
      <c r="W100" s="292">
        <f>SUM('PER BULAN'!V164:X164)</f>
        <v>0</v>
      </c>
      <c r="X100" s="292">
        <f>SUM('PER BULAN'!Y164:AA164)</f>
        <v>0</v>
      </c>
      <c r="Y100" s="292">
        <f>SUM('PER BULAN'!AB164:AD164)</f>
        <v>0</v>
      </c>
      <c r="Z100" s="292">
        <f>SUM('PER BULAN'!AE164:AG164)</f>
        <v>0</v>
      </c>
      <c r="AA100" s="292">
        <f>SUM('PER BULAN'!AH164:AJ164)</f>
        <v>0</v>
      </c>
      <c r="AB100" s="292">
        <f>SUM('PER BULAN'!AK164:AM164)</f>
        <v>0</v>
      </c>
      <c r="AC100" s="292">
        <f>SUM('PER BULAN'!AN164:AP164)</f>
        <v>0</v>
      </c>
      <c r="AD100" s="277" t="s">
        <v>530</v>
      </c>
      <c r="AE100" s="277" t="s">
        <v>542</v>
      </c>
      <c r="AF100" s="277" t="s">
        <v>543</v>
      </c>
      <c r="AG100" s="277" t="s">
        <v>4699</v>
      </c>
      <c r="AH100" s="277" t="s">
        <v>4700</v>
      </c>
      <c r="AI100" s="277">
        <f t="shared" si="6"/>
        <v>41907800</v>
      </c>
      <c r="AJ100" s="291">
        <f t="shared" si="7"/>
        <v>44.7732905982906</v>
      </c>
      <c r="AK100" s="277">
        <f t="shared" si="8"/>
        <v>51692200</v>
      </c>
      <c r="AL100" s="291">
        <f t="shared" si="9"/>
        <v>55.226709401709407</v>
      </c>
      <c r="AM100" s="277" t="s">
        <v>2781</v>
      </c>
      <c r="AN100" s="277" t="s">
        <v>4730</v>
      </c>
      <c r="AO100" s="277" t="s">
        <v>4736</v>
      </c>
      <c r="AP100" s="277" t="s">
        <v>4732</v>
      </c>
      <c r="AQ100" s="292">
        <f>SUM('PER BULAN'!AX164)</f>
        <v>0</v>
      </c>
      <c r="AR100" s="292">
        <f>SUM('PER BULAN'!AY164)</f>
        <v>17350000</v>
      </c>
      <c r="AS100" s="292">
        <f>SUM('PER BULAN'!AZ164)</f>
        <v>5040000</v>
      </c>
      <c r="AT100" s="292">
        <f>SUM('PER BULAN'!BA164)</f>
        <v>0</v>
      </c>
      <c r="AU100" s="292">
        <f>SUM('PER BULAN'!BB164)</f>
        <v>0</v>
      </c>
      <c r="AV100" s="292">
        <f>SUM('PER BULAN'!BC164)</f>
        <v>0</v>
      </c>
      <c r="AW100" s="292">
        <f>SUM('PER BULAN'!BD164)</f>
        <v>0</v>
      </c>
      <c r="AX100" s="292">
        <f>SUM('PER BULAN'!BE164)</f>
        <v>0</v>
      </c>
    </row>
    <row r="101" spans="1:50" s="278" customFormat="1" x14ac:dyDescent="0.3">
      <c r="A101" s="277" t="s">
        <v>4693</v>
      </c>
      <c r="B101" s="277" t="s">
        <v>4694</v>
      </c>
      <c r="C101" s="277" t="s">
        <v>4720</v>
      </c>
      <c r="D101" s="277" t="s">
        <v>4721</v>
      </c>
      <c r="E101" s="277" t="s">
        <v>197</v>
      </c>
      <c r="F101" s="277" t="s">
        <v>4722</v>
      </c>
      <c r="G101" s="277" t="s">
        <v>4778</v>
      </c>
      <c r="H101" s="277" t="s">
        <v>4779</v>
      </c>
      <c r="I101" s="277">
        <v>953</v>
      </c>
      <c r="J101" s="277" t="s">
        <v>4786</v>
      </c>
      <c r="K101" s="277">
        <v>301</v>
      </c>
      <c r="L101" s="277" t="s">
        <v>4785</v>
      </c>
      <c r="M101" s="277" t="s">
        <v>8</v>
      </c>
      <c r="N101" s="277" t="s">
        <v>4727</v>
      </c>
      <c r="O101" s="277">
        <v>521211</v>
      </c>
      <c r="P101" s="277" t="s">
        <v>4698</v>
      </c>
      <c r="Q101" s="278">
        <v>46000000</v>
      </c>
      <c r="R101" s="292">
        <f>SUM('PER BULAN'!G168:I168)</f>
        <v>0</v>
      </c>
      <c r="S101" s="292">
        <f>SUM('PER BULAN'!J168:L168)</f>
        <v>0</v>
      </c>
      <c r="T101" s="292">
        <f>SUM('PER BULAN'!M168:O168)</f>
        <v>0</v>
      </c>
      <c r="U101" s="292">
        <f>SUM('PER BULAN'!P168:R168)</f>
        <v>0</v>
      </c>
      <c r="V101" s="292">
        <f>SUM('PER BULAN'!S168:U168)</f>
        <v>6278500</v>
      </c>
      <c r="W101" s="292">
        <f>SUM('PER BULAN'!V168:X168)</f>
        <v>0</v>
      </c>
      <c r="X101" s="292">
        <f>SUM('PER BULAN'!Y168:AA168)</f>
        <v>0</v>
      </c>
      <c r="Y101" s="292">
        <f>SUM('PER BULAN'!AB168:AD168)</f>
        <v>0</v>
      </c>
      <c r="Z101" s="292">
        <f>SUM('PER BULAN'!AE168:AG168)</f>
        <v>0</v>
      </c>
      <c r="AA101" s="292">
        <f>SUM('PER BULAN'!AH168:AJ168)</f>
        <v>0</v>
      </c>
      <c r="AB101" s="292">
        <f>SUM('PER BULAN'!AK168:AM168)</f>
        <v>0</v>
      </c>
      <c r="AC101" s="292">
        <f>SUM('PER BULAN'!AN168:AP168)</f>
        <v>0</v>
      </c>
      <c r="AD101" s="277" t="s">
        <v>530</v>
      </c>
      <c r="AE101" s="277" t="s">
        <v>542</v>
      </c>
      <c r="AF101" s="277" t="s">
        <v>591</v>
      </c>
      <c r="AG101" s="277" t="s">
        <v>4699</v>
      </c>
      <c r="AH101" s="277" t="s">
        <v>4700</v>
      </c>
      <c r="AI101" s="277">
        <f t="shared" si="6"/>
        <v>6278500</v>
      </c>
      <c r="AJ101" s="291">
        <f t="shared" si="7"/>
        <v>13.648913043478261</v>
      </c>
      <c r="AK101" s="277">
        <f t="shared" si="8"/>
        <v>39721500</v>
      </c>
      <c r="AL101" s="291">
        <f t="shared" si="9"/>
        <v>86.35108695652174</v>
      </c>
      <c r="AM101" s="277" t="s">
        <v>3055</v>
      </c>
      <c r="AN101" s="277" t="s">
        <v>4730</v>
      </c>
      <c r="AO101" s="277" t="s">
        <v>4731</v>
      </c>
      <c r="AP101" s="277" t="s">
        <v>4732</v>
      </c>
      <c r="AQ101" s="292">
        <f>SUM('PER BULAN'!AX168)</f>
        <v>0</v>
      </c>
      <c r="AR101" s="292">
        <f>SUM('PER BULAN'!AY168)</f>
        <v>0</v>
      </c>
      <c r="AS101" s="292">
        <f>SUM('PER BULAN'!AZ168)</f>
        <v>0</v>
      </c>
      <c r="AT101" s="292">
        <f>SUM('PER BULAN'!BA168)</f>
        <v>0</v>
      </c>
      <c r="AU101" s="292">
        <f>SUM('PER BULAN'!BB168)</f>
        <v>0</v>
      </c>
      <c r="AV101" s="292">
        <f>SUM('PER BULAN'!BC168)</f>
        <v>0</v>
      </c>
      <c r="AW101" s="292">
        <f>SUM('PER BULAN'!BD168)</f>
        <v>6278500</v>
      </c>
      <c r="AX101" s="292">
        <f>SUM('PER BULAN'!BE168)</f>
        <v>0</v>
      </c>
    </row>
    <row r="102" spans="1:50" s="278" customFormat="1" x14ac:dyDescent="0.3">
      <c r="A102" s="277" t="s">
        <v>4693</v>
      </c>
      <c r="B102" s="277" t="s">
        <v>4694</v>
      </c>
      <c r="C102" s="277" t="s">
        <v>4720</v>
      </c>
      <c r="D102" s="277" t="s">
        <v>4721</v>
      </c>
      <c r="E102" s="277" t="s">
        <v>197</v>
      </c>
      <c r="F102" s="277" t="s">
        <v>4722</v>
      </c>
      <c r="G102" s="277" t="s">
        <v>4778</v>
      </c>
      <c r="H102" s="277" t="s">
        <v>4779</v>
      </c>
      <c r="I102" s="277">
        <v>953</v>
      </c>
      <c r="J102" s="277" t="s">
        <v>4786</v>
      </c>
      <c r="K102" s="277">
        <v>301</v>
      </c>
      <c r="L102" s="277" t="s">
        <v>4785</v>
      </c>
      <c r="M102" s="277" t="s">
        <v>8</v>
      </c>
      <c r="N102" s="277" t="s">
        <v>4727</v>
      </c>
      <c r="O102" s="277">
        <v>521219</v>
      </c>
      <c r="P102" s="277" t="s">
        <v>4711</v>
      </c>
      <c r="Q102" s="278">
        <v>2000000</v>
      </c>
      <c r="R102" s="292">
        <f>SUM('PER BULAN'!G169:I169)</f>
        <v>0</v>
      </c>
      <c r="S102" s="292">
        <f>SUM('PER BULAN'!J169:L169)</f>
        <v>0</v>
      </c>
      <c r="T102" s="292">
        <f>SUM('PER BULAN'!M169:O169)</f>
        <v>499528</v>
      </c>
      <c r="U102" s="292">
        <f>SUM('PER BULAN'!P169:R169)</f>
        <v>0</v>
      </c>
      <c r="V102" s="292">
        <f>SUM('PER BULAN'!S169:U169)</f>
        <v>0</v>
      </c>
      <c r="W102" s="292">
        <f>SUM('PER BULAN'!V169:X169)</f>
        <v>0</v>
      </c>
      <c r="X102" s="292">
        <f>SUM('PER BULAN'!Y169:AA169)</f>
        <v>0</v>
      </c>
      <c r="Y102" s="292">
        <f>SUM('PER BULAN'!AB169:AD169)</f>
        <v>0</v>
      </c>
      <c r="Z102" s="292">
        <f>SUM('PER BULAN'!AE169:AG169)</f>
        <v>0</v>
      </c>
      <c r="AA102" s="292">
        <f>SUM('PER BULAN'!AH169:AJ169)</f>
        <v>0</v>
      </c>
      <c r="AB102" s="292">
        <f>SUM('PER BULAN'!AK169:AM169)</f>
        <v>0</v>
      </c>
      <c r="AC102" s="292">
        <f>SUM('PER BULAN'!AN169:AP169)</f>
        <v>0</v>
      </c>
      <c r="AD102" s="277" t="s">
        <v>530</v>
      </c>
      <c r="AE102" s="277" t="s">
        <v>542</v>
      </c>
      <c r="AF102" s="277" t="s">
        <v>591</v>
      </c>
      <c r="AG102" s="277" t="s">
        <v>4699</v>
      </c>
      <c r="AH102" s="277" t="s">
        <v>4700</v>
      </c>
      <c r="AI102" s="277">
        <f t="shared" si="6"/>
        <v>499528</v>
      </c>
      <c r="AJ102" s="291">
        <f t="shared" si="7"/>
        <v>24.976400000000002</v>
      </c>
      <c r="AK102" s="277">
        <f t="shared" si="8"/>
        <v>1500472</v>
      </c>
      <c r="AL102" s="291">
        <f t="shared" si="9"/>
        <v>75.023600000000002</v>
      </c>
      <c r="AM102" s="277" t="s">
        <v>3061</v>
      </c>
      <c r="AN102" s="277" t="s">
        <v>4730</v>
      </c>
      <c r="AO102" s="277" t="s">
        <v>4733</v>
      </c>
      <c r="AP102" s="277" t="s">
        <v>4732</v>
      </c>
      <c r="AQ102" s="292">
        <f>SUM('PER BULAN'!AX169)</f>
        <v>0</v>
      </c>
      <c r="AR102" s="292">
        <f>SUM('PER BULAN'!AY169)</f>
        <v>499528</v>
      </c>
      <c r="AS102" s="292">
        <f>SUM('PER BULAN'!AZ169)</f>
        <v>0</v>
      </c>
      <c r="AT102" s="292">
        <f>SUM('PER BULAN'!BA169)</f>
        <v>0</v>
      </c>
      <c r="AU102" s="292">
        <f>SUM('PER BULAN'!BB169)</f>
        <v>0</v>
      </c>
      <c r="AV102" s="292">
        <f>SUM('PER BULAN'!BC169)</f>
        <v>0</v>
      </c>
      <c r="AW102" s="292">
        <f>SUM('PER BULAN'!BD169)</f>
        <v>0</v>
      </c>
      <c r="AX102" s="292">
        <f>SUM('PER BULAN'!BE169)</f>
        <v>0</v>
      </c>
    </row>
    <row r="103" spans="1:50" s="278" customFormat="1" x14ac:dyDescent="0.3">
      <c r="A103" s="277" t="s">
        <v>4693</v>
      </c>
      <c r="B103" s="277" t="s">
        <v>4694</v>
      </c>
      <c r="C103" s="277" t="s">
        <v>4720</v>
      </c>
      <c r="D103" s="277" t="s">
        <v>4721</v>
      </c>
      <c r="E103" s="277" t="s">
        <v>197</v>
      </c>
      <c r="F103" s="277" t="s">
        <v>4722</v>
      </c>
      <c r="G103" s="277" t="s">
        <v>4778</v>
      </c>
      <c r="H103" s="277" t="s">
        <v>4779</v>
      </c>
      <c r="I103" s="277">
        <v>953</v>
      </c>
      <c r="J103" s="277" t="s">
        <v>4786</v>
      </c>
      <c r="K103" s="277">
        <v>301</v>
      </c>
      <c r="L103" s="277" t="s">
        <v>4785</v>
      </c>
      <c r="M103" s="277" t="s">
        <v>8</v>
      </c>
      <c r="N103" s="277" t="s">
        <v>4727</v>
      </c>
      <c r="O103" s="277">
        <v>524111</v>
      </c>
      <c r="P103" s="277" t="s">
        <v>4702</v>
      </c>
      <c r="Q103" s="278">
        <v>247200000</v>
      </c>
      <c r="R103" s="292">
        <f>SUM('PER BULAN'!G171:I171)</f>
        <v>0</v>
      </c>
      <c r="S103" s="292">
        <f>SUM('PER BULAN'!J170:L170)</f>
        <v>0</v>
      </c>
      <c r="T103" s="292">
        <f>SUM('PER BULAN'!M170:O170)</f>
        <v>0</v>
      </c>
      <c r="U103" s="292">
        <f>SUM('PER BULAN'!P170:R170)</f>
        <v>0</v>
      </c>
      <c r="V103" s="292">
        <f>SUM('PER BULAN'!S170:U170)</f>
        <v>0</v>
      </c>
      <c r="W103" s="292">
        <f>SUM('PER BULAN'!V170:X170)</f>
        <v>0</v>
      </c>
      <c r="X103" s="292">
        <f>SUM('PER BULAN'!Y170:AA170)</f>
        <v>0</v>
      </c>
      <c r="Y103" s="292">
        <f>SUM('PER BULAN'!AB170:AD170)</f>
        <v>0</v>
      </c>
      <c r="Z103" s="292">
        <f>SUM('PER BULAN'!AE170:AG170)</f>
        <v>0</v>
      </c>
      <c r="AA103" s="292">
        <f>SUM('PER BULAN'!AH170:AJ170)</f>
        <v>0</v>
      </c>
      <c r="AB103" s="292">
        <f>SUM('PER BULAN'!AK170:AM170)</f>
        <v>0</v>
      </c>
      <c r="AC103" s="292">
        <f>SUM('PER BULAN'!AN170:AP170)</f>
        <v>0</v>
      </c>
      <c r="AD103" s="277" t="s">
        <v>530</v>
      </c>
      <c r="AE103" s="277" t="s">
        <v>542</v>
      </c>
      <c r="AF103" s="277" t="s">
        <v>591</v>
      </c>
      <c r="AG103" s="277" t="s">
        <v>4699</v>
      </c>
      <c r="AH103" s="277" t="s">
        <v>4700</v>
      </c>
      <c r="AI103" s="277">
        <f t="shared" si="6"/>
        <v>0</v>
      </c>
      <c r="AJ103" s="291">
        <f t="shared" si="7"/>
        <v>0</v>
      </c>
      <c r="AK103" s="277">
        <f t="shared" si="8"/>
        <v>247200000</v>
      </c>
      <c r="AL103" s="291">
        <f t="shared" si="9"/>
        <v>100</v>
      </c>
      <c r="AM103" s="277" t="s">
        <v>3064</v>
      </c>
      <c r="AN103" s="277" t="s">
        <v>4730</v>
      </c>
      <c r="AO103" s="277" t="s">
        <v>4736</v>
      </c>
      <c r="AP103" s="277" t="s">
        <v>4732</v>
      </c>
      <c r="AQ103" s="292">
        <f>SUM('PER BULAN'!AX170)</f>
        <v>0</v>
      </c>
      <c r="AR103" s="292">
        <f>SUM('PER BULAN'!AY170)</f>
        <v>0</v>
      </c>
      <c r="AS103" s="292">
        <f>SUM('PER BULAN'!AZ170)</f>
        <v>0</v>
      </c>
      <c r="AT103" s="292">
        <f>SUM('PER BULAN'!BA170)</f>
        <v>0</v>
      </c>
      <c r="AU103" s="292">
        <f>SUM('PER BULAN'!BB170)</f>
        <v>0</v>
      </c>
      <c r="AV103" s="292">
        <f>SUM('PER BULAN'!BC170)</f>
        <v>0</v>
      </c>
      <c r="AW103" s="292">
        <f>SUM('PER BULAN'!BD170)</f>
        <v>0</v>
      </c>
      <c r="AX103" s="292">
        <f>SUM('PER BULAN'!BE170)</f>
        <v>0</v>
      </c>
    </row>
    <row r="104" spans="1:50" s="278" customFormat="1" x14ac:dyDescent="0.3">
      <c r="A104" s="277" t="s">
        <v>4693</v>
      </c>
      <c r="B104" s="277" t="s">
        <v>4694</v>
      </c>
      <c r="C104" s="277" t="s">
        <v>4720</v>
      </c>
      <c r="D104" s="277" t="s">
        <v>4721</v>
      </c>
      <c r="E104" s="277" t="s">
        <v>197</v>
      </c>
      <c r="F104" s="277" t="s">
        <v>4722</v>
      </c>
      <c r="G104" s="277" t="s">
        <v>4778</v>
      </c>
      <c r="H104" s="277" t="s">
        <v>4779</v>
      </c>
      <c r="I104" s="277">
        <v>953</v>
      </c>
      <c r="J104" s="277" t="s">
        <v>4786</v>
      </c>
      <c r="K104" s="277">
        <v>301</v>
      </c>
      <c r="L104" s="277" t="s">
        <v>4785</v>
      </c>
      <c r="M104" s="277" t="s">
        <v>511</v>
      </c>
      <c r="N104" s="277" t="s">
        <v>4728</v>
      </c>
      <c r="O104" s="277">
        <v>521211</v>
      </c>
      <c r="P104" s="277" t="s">
        <v>4698</v>
      </c>
      <c r="Q104" s="278">
        <v>41000000</v>
      </c>
      <c r="R104" s="292">
        <f>SUM('PER BULAN'!G172:I172)</f>
        <v>0</v>
      </c>
      <c r="S104" s="292">
        <f>SUM('PER BULAN'!J172:L172)</f>
        <v>0</v>
      </c>
      <c r="T104" s="292">
        <f>SUM('PER BULAN'!M172:O172)</f>
        <v>3379000</v>
      </c>
      <c r="U104" s="292">
        <f>SUM('PER BULAN'!P172:R172)</f>
        <v>0</v>
      </c>
      <c r="V104" s="292">
        <f>SUM('PER BULAN'!S172:U172)</f>
        <v>3500000</v>
      </c>
      <c r="W104" s="292">
        <f>SUM('PER BULAN'!V172:X172)</f>
        <v>2640000</v>
      </c>
      <c r="X104" s="292">
        <f>SUM('PER BULAN'!Y172:AA172)</f>
        <v>0</v>
      </c>
      <c r="Y104" s="292">
        <f>SUM('PER BULAN'!AB172:AD172)</f>
        <v>0</v>
      </c>
      <c r="Z104" s="292">
        <f>SUM('PER BULAN'!AE172:AG172)</f>
        <v>0</v>
      </c>
      <c r="AA104" s="292">
        <f>SUM('PER BULAN'!AH172:AJ172)</f>
        <v>0</v>
      </c>
      <c r="AB104" s="292">
        <f>SUM('PER BULAN'!AK172:AM172)</f>
        <v>0</v>
      </c>
      <c r="AC104" s="292">
        <f>SUM('PER BULAN'!AN172:AP172)</f>
        <v>0</v>
      </c>
      <c r="AD104" s="277" t="s">
        <v>530</v>
      </c>
      <c r="AE104" s="277" t="s">
        <v>542</v>
      </c>
      <c r="AF104" s="277" t="s">
        <v>591</v>
      </c>
      <c r="AG104" s="277" t="s">
        <v>4699</v>
      </c>
      <c r="AH104" s="277" t="s">
        <v>4700</v>
      </c>
      <c r="AI104" s="277">
        <f t="shared" si="6"/>
        <v>9519000</v>
      </c>
      <c r="AJ104" s="291">
        <f t="shared" si="7"/>
        <v>23.217073170731709</v>
      </c>
      <c r="AK104" s="277">
        <f t="shared" si="8"/>
        <v>31481000</v>
      </c>
      <c r="AL104" s="291">
        <f t="shared" si="9"/>
        <v>76.782926829268291</v>
      </c>
      <c r="AM104" s="277" t="s">
        <v>3068</v>
      </c>
      <c r="AN104" s="277" t="s">
        <v>4730</v>
      </c>
      <c r="AO104" s="277" t="s">
        <v>4731</v>
      </c>
      <c r="AP104" s="277" t="s">
        <v>4732</v>
      </c>
      <c r="AQ104" s="292">
        <f>SUM('PER BULAN'!AX172)</f>
        <v>0</v>
      </c>
      <c r="AR104" s="292">
        <f>SUM('PER BULAN'!AY172)</f>
        <v>2499000</v>
      </c>
      <c r="AS104" s="292">
        <f>SUM('PER BULAN'!AZ172)</f>
        <v>880000</v>
      </c>
      <c r="AT104" s="292">
        <f>SUM('PER BULAN'!BA172)</f>
        <v>0</v>
      </c>
      <c r="AU104" s="292">
        <f>SUM('PER BULAN'!BB172)</f>
        <v>0</v>
      </c>
      <c r="AV104" s="292">
        <f>SUM('PER BULAN'!BC172)</f>
        <v>0</v>
      </c>
      <c r="AW104" s="292">
        <f>SUM('PER BULAN'!BD172)</f>
        <v>3500000</v>
      </c>
      <c r="AX104" s="292">
        <f>SUM('PER BULAN'!BE172)</f>
        <v>2640000</v>
      </c>
    </row>
    <row r="105" spans="1:50" s="278" customFormat="1" x14ac:dyDescent="0.3">
      <c r="A105" s="277" t="s">
        <v>4693</v>
      </c>
      <c r="B105" s="277" t="s">
        <v>4694</v>
      </c>
      <c r="C105" s="277" t="s">
        <v>4720</v>
      </c>
      <c r="D105" s="277" t="s">
        <v>4721</v>
      </c>
      <c r="E105" s="277" t="s">
        <v>197</v>
      </c>
      <c r="F105" s="277" t="s">
        <v>4722</v>
      </c>
      <c r="G105" s="277" t="s">
        <v>4778</v>
      </c>
      <c r="H105" s="277" t="s">
        <v>4779</v>
      </c>
      <c r="I105" s="277">
        <v>953</v>
      </c>
      <c r="J105" s="277" t="s">
        <v>4786</v>
      </c>
      <c r="K105" s="277">
        <v>301</v>
      </c>
      <c r="L105" s="277" t="s">
        <v>4785</v>
      </c>
      <c r="M105" s="277" t="s">
        <v>511</v>
      </c>
      <c r="N105" s="277" t="s">
        <v>4728</v>
      </c>
      <c r="O105" s="277">
        <v>521219</v>
      </c>
      <c r="P105" s="277" t="s">
        <v>4711</v>
      </c>
      <c r="Q105" s="278">
        <v>32000000</v>
      </c>
      <c r="R105" s="292">
        <f>SUM('PER BULAN'!G173:I173)</f>
        <v>0</v>
      </c>
      <c r="S105" s="292">
        <f>SUM('PER BULAN'!J173:L173)</f>
        <v>0</v>
      </c>
      <c r="T105" s="292">
        <f>SUM('PER BULAN'!M173:O173)</f>
        <v>0</v>
      </c>
      <c r="U105" s="292">
        <f>SUM('PER BULAN'!P173:R173)</f>
        <v>0</v>
      </c>
      <c r="V105" s="292">
        <f>SUM('PER BULAN'!S173:U173)</f>
        <v>603014</v>
      </c>
      <c r="W105" s="292">
        <f>SUM('PER BULAN'!V173:X173)</f>
        <v>0</v>
      </c>
      <c r="X105" s="292">
        <f>SUM('PER BULAN'!Y173:AA173)</f>
        <v>0</v>
      </c>
      <c r="Y105" s="292">
        <f>SUM('PER BULAN'!AB173:AD173)</f>
        <v>0</v>
      </c>
      <c r="Z105" s="292">
        <f>SUM('PER BULAN'!AE173:AG173)</f>
        <v>0</v>
      </c>
      <c r="AA105" s="292">
        <f>SUM('PER BULAN'!AH173:AJ173)</f>
        <v>0</v>
      </c>
      <c r="AB105" s="292">
        <f>SUM('PER BULAN'!AK173:AM173)</f>
        <v>0</v>
      </c>
      <c r="AC105" s="292">
        <f>SUM('PER BULAN'!AN173:AP173)</f>
        <v>0</v>
      </c>
      <c r="AD105" s="277" t="s">
        <v>530</v>
      </c>
      <c r="AE105" s="277" t="s">
        <v>542</v>
      </c>
      <c r="AF105" s="277" t="s">
        <v>591</v>
      </c>
      <c r="AG105" s="277" t="s">
        <v>4699</v>
      </c>
      <c r="AH105" s="277" t="s">
        <v>4700</v>
      </c>
      <c r="AI105" s="277">
        <f t="shared" si="6"/>
        <v>603014</v>
      </c>
      <c r="AJ105" s="291">
        <f t="shared" si="7"/>
        <v>1.8844187500000003</v>
      </c>
      <c r="AK105" s="277">
        <f t="shared" si="8"/>
        <v>31396986</v>
      </c>
      <c r="AL105" s="291">
        <f t="shared" si="9"/>
        <v>98.115581249999991</v>
      </c>
      <c r="AM105" s="277" t="s">
        <v>3077</v>
      </c>
      <c r="AN105" s="277" t="s">
        <v>4730</v>
      </c>
      <c r="AO105" s="277" t="s">
        <v>4733</v>
      </c>
      <c r="AP105" s="277" t="s">
        <v>4732</v>
      </c>
      <c r="AQ105" s="292">
        <f>SUM('PER BULAN'!AX173)</f>
        <v>0</v>
      </c>
      <c r="AR105" s="292">
        <f>SUM('PER BULAN'!AY173)</f>
        <v>0</v>
      </c>
      <c r="AS105" s="292">
        <f>SUM('PER BULAN'!AZ173)</f>
        <v>0</v>
      </c>
      <c r="AT105" s="292">
        <f>SUM('PER BULAN'!BA173)</f>
        <v>0</v>
      </c>
      <c r="AU105" s="292">
        <f>SUM('PER BULAN'!BB173)</f>
        <v>0</v>
      </c>
      <c r="AV105" s="292">
        <f>SUM('PER BULAN'!BC173)</f>
        <v>300383</v>
      </c>
      <c r="AW105" s="292">
        <f>SUM('PER BULAN'!BD173)</f>
        <v>302631</v>
      </c>
      <c r="AX105" s="292">
        <f>SUM('PER BULAN'!BE173)</f>
        <v>0</v>
      </c>
    </row>
    <row r="106" spans="1:50" s="278" customFormat="1" x14ac:dyDescent="0.3">
      <c r="A106" s="277" t="s">
        <v>4693</v>
      </c>
      <c r="B106" s="277" t="s">
        <v>4694</v>
      </c>
      <c r="C106" s="277" t="s">
        <v>4720</v>
      </c>
      <c r="D106" s="277" t="s">
        <v>4721</v>
      </c>
      <c r="E106" s="277" t="s">
        <v>197</v>
      </c>
      <c r="F106" s="277" t="s">
        <v>4722</v>
      </c>
      <c r="G106" s="277" t="s">
        <v>4778</v>
      </c>
      <c r="H106" s="277" t="s">
        <v>4779</v>
      </c>
      <c r="I106" s="277">
        <v>953</v>
      </c>
      <c r="J106" s="277" t="s">
        <v>4786</v>
      </c>
      <c r="K106" s="277">
        <v>301</v>
      </c>
      <c r="L106" s="277" t="s">
        <v>4785</v>
      </c>
      <c r="M106" s="277" t="s">
        <v>511</v>
      </c>
      <c r="N106" s="277" t="s">
        <v>4728</v>
      </c>
      <c r="O106" s="277">
        <v>522151</v>
      </c>
      <c r="P106" s="277" t="s">
        <v>4701</v>
      </c>
      <c r="Q106" s="278">
        <v>10000000</v>
      </c>
      <c r="R106" s="292">
        <f>SUM('PER BULAN'!G174:I174)</f>
        <v>0</v>
      </c>
      <c r="S106" s="292">
        <f>SUM('PER BULAN'!J174:L174)</f>
        <v>0</v>
      </c>
      <c r="T106" s="292">
        <f>SUM('PER BULAN'!M174:O174)</f>
        <v>0</v>
      </c>
      <c r="U106" s="292">
        <f>SUM('PER BULAN'!P174:R174)</f>
        <v>0</v>
      </c>
      <c r="V106" s="292">
        <f>SUM('PER BULAN'!S174:U174)</f>
        <v>0</v>
      </c>
      <c r="W106" s="292">
        <f>SUM('PER BULAN'!V174:X174)</f>
        <v>0</v>
      </c>
      <c r="X106" s="292">
        <f>SUM('PER BULAN'!Y174:AA174)</f>
        <v>0</v>
      </c>
      <c r="Y106" s="292">
        <f>SUM('PER BULAN'!AB174:AD174)</f>
        <v>0</v>
      </c>
      <c r="Z106" s="292">
        <f>SUM('PER BULAN'!AE174:AG174)</f>
        <v>0</v>
      </c>
      <c r="AA106" s="292">
        <f>SUM('PER BULAN'!AH174:AJ174)</f>
        <v>0</v>
      </c>
      <c r="AB106" s="292">
        <f>SUM('PER BULAN'!AK174:AM174)</f>
        <v>0</v>
      </c>
      <c r="AC106" s="292">
        <f>SUM('PER BULAN'!AN174:AP174)</f>
        <v>0</v>
      </c>
      <c r="AD106" s="277" t="s">
        <v>530</v>
      </c>
      <c r="AE106" s="277" t="s">
        <v>542</v>
      </c>
      <c r="AF106" s="277" t="s">
        <v>591</v>
      </c>
      <c r="AG106" s="277" t="s">
        <v>4699</v>
      </c>
      <c r="AH106" s="277" t="s">
        <v>4700</v>
      </c>
      <c r="AI106" s="277">
        <f t="shared" si="6"/>
        <v>0</v>
      </c>
      <c r="AJ106" s="291">
        <f t="shared" si="7"/>
        <v>0</v>
      </c>
      <c r="AK106" s="277">
        <f t="shared" si="8"/>
        <v>10000000</v>
      </c>
      <c r="AL106" s="291">
        <f t="shared" si="9"/>
        <v>100</v>
      </c>
      <c r="AM106" s="277" t="s">
        <v>3082</v>
      </c>
      <c r="AN106" s="277" t="s">
        <v>4730</v>
      </c>
      <c r="AO106" s="277" t="s">
        <v>4735</v>
      </c>
      <c r="AP106" s="277" t="s">
        <v>4732</v>
      </c>
      <c r="AQ106" s="292">
        <f>SUM('PER BULAN'!AX174)</f>
        <v>0</v>
      </c>
      <c r="AR106" s="292">
        <f>SUM('PER BULAN'!AY174)</f>
        <v>0</v>
      </c>
      <c r="AS106" s="292">
        <f>SUM('PER BULAN'!AZ174)</f>
        <v>0</v>
      </c>
      <c r="AT106" s="292">
        <f>SUM('PER BULAN'!BA174)</f>
        <v>0</v>
      </c>
      <c r="AU106" s="292">
        <f>SUM('PER BULAN'!BB174)</f>
        <v>0</v>
      </c>
      <c r="AV106" s="292">
        <f>SUM('PER BULAN'!BC174)</f>
        <v>0</v>
      </c>
      <c r="AW106" s="292">
        <f>SUM('PER BULAN'!BD174)</f>
        <v>0</v>
      </c>
      <c r="AX106" s="292">
        <f>SUM('PER BULAN'!BE174)</f>
        <v>0</v>
      </c>
    </row>
    <row r="107" spans="1:50" s="278" customFormat="1" x14ac:dyDescent="0.3">
      <c r="A107" s="277" t="s">
        <v>4693</v>
      </c>
      <c r="B107" s="277" t="s">
        <v>4694</v>
      </c>
      <c r="C107" s="277" t="s">
        <v>4720</v>
      </c>
      <c r="D107" s="277" t="s">
        <v>4721</v>
      </c>
      <c r="E107" s="277" t="s">
        <v>197</v>
      </c>
      <c r="F107" s="277" t="s">
        <v>4722</v>
      </c>
      <c r="G107" s="277" t="s">
        <v>4778</v>
      </c>
      <c r="H107" s="277" t="s">
        <v>4779</v>
      </c>
      <c r="I107" s="277">
        <v>953</v>
      </c>
      <c r="J107" s="277" t="s">
        <v>4786</v>
      </c>
      <c r="K107" s="277">
        <v>301</v>
      </c>
      <c r="L107" s="277" t="s">
        <v>4785</v>
      </c>
      <c r="M107" s="277" t="s">
        <v>511</v>
      </c>
      <c r="N107" s="277" t="s">
        <v>4728</v>
      </c>
      <c r="O107" s="277">
        <v>524111</v>
      </c>
      <c r="P107" s="277" t="s">
        <v>4702</v>
      </c>
      <c r="Q107" s="278">
        <v>120000000</v>
      </c>
      <c r="R107" s="292">
        <f>SUM('PER BULAN'!G175:I175)</f>
        <v>0</v>
      </c>
      <c r="S107" s="292">
        <f>SUM('PER BULAN'!J175:L175)</f>
        <v>0</v>
      </c>
      <c r="T107" s="292">
        <f>SUM('PER BULAN'!M175:O175)</f>
        <v>0</v>
      </c>
      <c r="U107" s="292">
        <f>SUM('PER BULAN'!P175:R175)</f>
        <v>524500</v>
      </c>
      <c r="V107" s="292">
        <f>SUM('PER BULAN'!S175:U175)</f>
        <v>21422224</v>
      </c>
      <c r="W107" s="292">
        <f>SUM('PER BULAN'!V175:X175)</f>
        <v>0</v>
      </c>
      <c r="X107" s="292">
        <f>SUM('PER BULAN'!Y175:AA175)</f>
        <v>0</v>
      </c>
      <c r="Y107" s="292">
        <f>SUM('PER BULAN'!AB175:AD175)</f>
        <v>0</v>
      </c>
      <c r="Z107" s="292">
        <f>SUM('PER BULAN'!AE175:AG175)</f>
        <v>0</v>
      </c>
      <c r="AA107" s="292">
        <f>SUM('PER BULAN'!AH175:AJ175)</f>
        <v>0</v>
      </c>
      <c r="AB107" s="292">
        <f>SUM('PER BULAN'!AK175:AM175)</f>
        <v>0</v>
      </c>
      <c r="AC107" s="292">
        <f>SUM('PER BULAN'!AN175:AP175)</f>
        <v>0</v>
      </c>
      <c r="AD107" s="277" t="s">
        <v>530</v>
      </c>
      <c r="AE107" s="277" t="s">
        <v>542</v>
      </c>
      <c r="AF107" s="277" t="s">
        <v>591</v>
      </c>
      <c r="AG107" s="277" t="s">
        <v>4699</v>
      </c>
      <c r="AH107" s="277" t="s">
        <v>4700</v>
      </c>
      <c r="AI107" s="277">
        <f t="shared" si="6"/>
        <v>21946724</v>
      </c>
      <c r="AJ107" s="291">
        <f t="shared" si="7"/>
        <v>18.288936666666665</v>
      </c>
      <c r="AK107" s="277">
        <f t="shared" si="8"/>
        <v>98053276</v>
      </c>
      <c r="AL107" s="291">
        <f t="shared" si="9"/>
        <v>81.711063333333328</v>
      </c>
      <c r="AM107" s="277" t="s">
        <v>3084</v>
      </c>
      <c r="AN107" s="277" t="s">
        <v>4730</v>
      </c>
      <c r="AO107" s="277" t="s">
        <v>4736</v>
      </c>
      <c r="AP107" s="277" t="s">
        <v>4732</v>
      </c>
      <c r="AQ107" s="292">
        <f>SUM('PER BULAN'!AX175)</f>
        <v>0</v>
      </c>
      <c r="AR107" s="292">
        <f>SUM('PER BULAN'!AY175)</f>
        <v>0</v>
      </c>
      <c r="AS107" s="292">
        <f>SUM('PER BULAN'!AZ175)</f>
        <v>0</v>
      </c>
      <c r="AT107" s="292">
        <f>SUM('PER BULAN'!BA175)</f>
        <v>0</v>
      </c>
      <c r="AU107" s="292">
        <f>SUM('PER BULAN'!BB175)</f>
        <v>0</v>
      </c>
      <c r="AV107" s="292">
        <f>SUM('PER BULAN'!BC175)</f>
        <v>0</v>
      </c>
      <c r="AW107" s="292">
        <f>SUM('PER BULAN'!BD175)</f>
        <v>21422224</v>
      </c>
      <c r="AX107" s="292">
        <f>SUM('PER BULAN'!BE175)</f>
        <v>0</v>
      </c>
    </row>
    <row r="108" spans="1:50" s="278" customFormat="1" x14ac:dyDescent="0.3">
      <c r="A108" s="277" t="s">
        <v>4693</v>
      </c>
      <c r="B108" s="277" t="s">
        <v>4694</v>
      </c>
      <c r="C108" s="277" t="s">
        <v>4720</v>
      </c>
      <c r="D108" s="277" t="s">
        <v>4721</v>
      </c>
      <c r="E108" s="277" t="s">
        <v>197</v>
      </c>
      <c r="F108" s="277" t="s">
        <v>4722</v>
      </c>
      <c r="G108" s="277" t="s">
        <v>4778</v>
      </c>
      <c r="H108" s="277" t="s">
        <v>4779</v>
      </c>
      <c r="I108" s="277">
        <v>953</v>
      </c>
      <c r="J108" s="277" t="s">
        <v>4786</v>
      </c>
      <c r="K108" s="277">
        <v>301</v>
      </c>
      <c r="L108" s="277" t="s">
        <v>4785</v>
      </c>
      <c r="M108" s="277" t="s">
        <v>511</v>
      </c>
      <c r="N108" s="277" t="s">
        <v>4728</v>
      </c>
      <c r="O108" s="277">
        <v>524113</v>
      </c>
      <c r="P108" s="277" t="s">
        <v>508</v>
      </c>
      <c r="Q108" s="278">
        <v>9000000</v>
      </c>
      <c r="R108" s="292">
        <f>SUM('PER BULAN'!G178:I178)</f>
        <v>0</v>
      </c>
      <c r="S108" s="292">
        <f>SUM('PER BULAN'!J176:L176)</f>
        <v>0</v>
      </c>
      <c r="T108" s="292">
        <f>SUM('PER BULAN'!M176:O176)</f>
        <v>0</v>
      </c>
      <c r="U108" s="292">
        <f>SUM('PER BULAN'!P176:R176)</f>
        <v>0</v>
      </c>
      <c r="V108" s="292">
        <f>SUM('PER BULAN'!S176:U176)</f>
        <v>0</v>
      </c>
      <c r="W108" s="292">
        <f>SUM('PER BULAN'!V176:X176)</f>
        <v>38467531</v>
      </c>
      <c r="X108" s="292">
        <f>SUM('PER BULAN'!Y176:AA176)</f>
        <v>0</v>
      </c>
      <c r="Y108" s="292">
        <f>SUM('PER BULAN'!AB176:AD176)</f>
        <v>0</v>
      </c>
      <c r="Z108" s="292">
        <f>SUM('PER BULAN'!AE176:AG176)</f>
        <v>0</v>
      </c>
      <c r="AA108" s="292">
        <f>SUM('PER BULAN'!AH176:AJ176)</f>
        <v>0</v>
      </c>
      <c r="AB108" s="292">
        <f>SUM('PER BULAN'!AK176:AM176)</f>
        <v>0</v>
      </c>
      <c r="AC108" s="292">
        <f>SUM('PER BULAN'!AN176:AP176)</f>
        <v>0</v>
      </c>
      <c r="AD108" s="277" t="s">
        <v>530</v>
      </c>
      <c r="AE108" s="277" t="s">
        <v>542</v>
      </c>
      <c r="AF108" s="277" t="s">
        <v>591</v>
      </c>
      <c r="AG108" s="277" t="s">
        <v>4699</v>
      </c>
      <c r="AH108" s="277" t="s">
        <v>4700</v>
      </c>
      <c r="AI108" s="277">
        <f t="shared" si="6"/>
        <v>38467531</v>
      </c>
      <c r="AJ108" s="291">
        <f t="shared" si="7"/>
        <v>427.41701111111115</v>
      </c>
      <c r="AK108" s="277">
        <f t="shared" si="8"/>
        <v>-29467531</v>
      </c>
      <c r="AL108" s="291">
        <f t="shared" si="9"/>
        <v>-327.41701111111115</v>
      </c>
      <c r="AM108" s="277" t="s">
        <v>3087</v>
      </c>
      <c r="AN108" s="277" t="s">
        <v>4730</v>
      </c>
      <c r="AO108" s="277" t="s">
        <v>4738</v>
      </c>
      <c r="AP108" s="277" t="s">
        <v>4732</v>
      </c>
      <c r="AQ108" s="292">
        <f>SUM('PER BULAN'!AX176)</f>
        <v>0</v>
      </c>
      <c r="AR108" s="292">
        <f>SUM('PER BULAN'!AY176)</f>
        <v>0</v>
      </c>
      <c r="AS108" s="292">
        <f>SUM('PER BULAN'!AZ176)</f>
        <v>0</v>
      </c>
      <c r="AT108" s="292">
        <f>SUM('PER BULAN'!BA176)</f>
        <v>0</v>
      </c>
      <c r="AU108" s="292">
        <f>SUM('PER BULAN'!BB176)</f>
        <v>0</v>
      </c>
      <c r="AV108" s="292">
        <f>SUM('PER BULAN'!BC176)</f>
        <v>0</v>
      </c>
      <c r="AW108" s="292">
        <f>SUM('PER BULAN'!BD176)</f>
        <v>0</v>
      </c>
      <c r="AX108" s="292">
        <f>SUM('PER BULAN'!BE176)</f>
        <v>0</v>
      </c>
    </row>
    <row r="109" spans="1:50" s="278" customFormat="1" x14ac:dyDescent="0.3">
      <c r="A109" s="277" t="s">
        <v>4693</v>
      </c>
      <c r="B109" s="277" t="s">
        <v>4694</v>
      </c>
      <c r="C109" s="277" t="s">
        <v>4720</v>
      </c>
      <c r="D109" s="277" t="s">
        <v>4721</v>
      </c>
      <c r="E109" s="277" t="s">
        <v>197</v>
      </c>
      <c r="F109" s="277" t="s">
        <v>4722</v>
      </c>
      <c r="G109" s="277" t="s">
        <v>4778</v>
      </c>
      <c r="H109" s="277" t="s">
        <v>4779</v>
      </c>
      <c r="I109" s="277">
        <v>953</v>
      </c>
      <c r="J109" s="277" t="s">
        <v>4786</v>
      </c>
      <c r="K109" s="277">
        <v>302</v>
      </c>
      <c r="L109" s="277" t="s">
        <v>4787</v>
      </c>
      <c r="M109" s="277" t="s">
        <v>8</v>
      </c>
      <c r="N109" s="277" t="s">
        <v>4788</v>
      </c>
      <c r="O109" s="277">
        <v>521211</v>
      </c>
      <c r="P109" s="277" t="s">
        <v>4698</v>
      </c>
      <c r="Q109" s="278">
        <v>35500000</v>
      </c>
      <c r="R109" s="292">
        <f>SUM('PER BULAN'!G179:I179)</f>
        <v>0</v>
      </c>
      <c r="S109" s="292">
        <f>SUM('PER BULAN'!J179:L179)</f>
        <v>0</v>
      </c>
      <c r="T109" s="292">
        <f>SUM('PER BULAN'!M179:O179)</f>
        <v>3358000</v>
      </c>
      <c r="U109" s="292">
        <f>SUM('PER BULAN'!P179:R179)</f>
        <v>0</v>
      </c>
      <c r="V109" s="292">
        <f>SUM('PER BULAN'!S179:U179)</f>
        <v>4986000</v>
      </c>
      <c r="W109" s="292">
        <f>SUM('PER BULAN'!V179:X179)</f>
        <v>0</v>
      </c>
      <c r="X109" s="292">
        <f>SUM('PER BULAN'!Y179:AA179)</f>
        <v>0</v>
      </c>
      <c r="Y109" s="292">
        <f>SUM('PER BULAN'!AB179:AD179)</f>
        <v>0</v>
      </c>
      <c r="Z109" s="292">
        <f>SUM('PER BULAN'!AE179:AG179)</f>
        <v>0</v>
      </c>
      <c r="AA109" s="292">
        <f>SUM('PER BULAN'!AH179:AJ179)</f>
        <v>0</v>
      </c>
      <c r="AB109" s="292">
        <f>SUM('PER BULAN'!AK179:AM179)</f>
        <v>0</v>
      </c>
      <c r="AC109" s="292">
        <f>SUM('PER BULAN'!AN179:AP179)</f>
        <v>0</v>
      </c>
      <c r="AD109" s="277" t="s">
        <v>530</v>
      </c>
      <c r="AE109" s="277" t="s">
        <v>542</v>
      </c>
      <c r="AF109" s="277" t="s">
        <v>591</v>
      </c>
      <c r="AG109" s="277" t="s">
        <v>4699</v>
      </c>
      <c r="AH109" s="277" t="s">
        <v>4700</v>
      </c>
      <c r="AI109" s="277">
        <f t="shared" si="6"/>
        <v>8344000</v>
      </c>
      <c r="AJ109" s="291">
        <f t="shared" si="7"/>
        <v>23.504225352112677</v>
      </c>
      <c r="AK109" s="277">
        <f t="shared" si="8"/>
        <v>27156000</v>
      </c>
      <c r="AL109" s="291">
        <f t="shared" si="9"/>
        <v>76.49577464788733</v>
      </c>
      <c r="AM109" s="277" t="s">
        <v>4833</v>
      </c>
      <c r="AN109" s="277" t="s">
        <v>4730</v>
      </c>
      <c r="AO109" s="277" t="s">
        <v>4731</v>
      </c>
      <c r="AP109" s="277" t="s">
        <v>4732</v>
      </c>
      <c r="AQ109" s="292">
        <f>SUM('PER BULAN'!AX179)</f>
        <v>0</v>
      </c>
      <c r="AR109" s="292">
        <f>SUM('PER BULAN'!AY179)</f>
        <v>2498000</v>
      </c>
      <c r="AS109" s="292">
        <f>SUM('PER BULAN'!AZ179)</f>
        <v>860000</v>
      </c>
      <c r="AT109" s="292">
        <f>SUM('PER BULAN'!BA179)</f>
        <v>0</v>
      </c>
      <c r="AU109" s="292">
        <f>SUM('PER BULAN'!BB179)</f>
        <v>0</v>
      </c>
      <c r="AV109" s="292">
        <f>SUM('PER BULAN'!BC179)</f>
        <v>0</v>
      </c>
      <c r="AW109" s="292">
        <f>SUM('PER BULAN'!BD179)</f>
        <v>4986000</v>
      </c>
      <c r="AX109" s="292">
        <f>SUM('PER BULAN'!BE179)</f>
        <v>0</v>
      </c>
    </row>
    <row r="110" spans="1:50" s="278" customFormat="1" x14ac:dyDescent="0.3">
      <c r="A110" s="277" t="s">
        <v>4693</v>
      </c>
      <c r="B110" s="277" t="s">
        <v>4694</v>
      </c>
      <c r="C110" s="277" t="s">
        <v>4720</v>
      </c>
      <c r="D110" s="277" t="s">
        <v>4721</v>
      </c>
      <c r="E110" s="277" t="s">
        <v>197</v>
      </c>
      <c r="F110" s="277" t="s">
        <v>4722</v>
      </c>
      <c r="G110" s="277" t="s">
        <v>4778</v>
      </c>
      <c r="H110" s="277" t="s">
        <v>4779</v>
      </c>
      <c r="I110" s="277">
        <v>953</v>
      </c>
      <c r="J110" s="277" t="s">
        <v>4786</v>
      </c>
      <c r="K110" s="277">
        <v>302</v>
      </c>
      <c r="L110" s="277" t="s">
        <v>4787</v>
      </c>
      <c r="M110" s="277" t="s">
        <v>8</v>
      </c>
      <c r="N110" s="277" t="s">
        <v>4788</v>
      </c>
      <c r="O110" s="277">
        <v>521219</v>
      </c>
      <c r="P110" s="277" t="s">
        <v>4711</v>
      </c>
      <c r="Q110" s="278">
        <v>2000000</v>
      </c>
      <c r="R110" s="292">
        <f>SUM('PER BULAN'!G180:I180)</f>
        <v>0</v>
      </c>
      <c r="S110" s="292">
        <f>SUM('PER BULAN'!J180:L180)</f>
        <v>0</v>
      </c>
      <c r="T110" s="292">
        <f>SUM('PER BULAN'!M180:O180)</f>
        <v>0</v>
      </c>
      <c r="U110" s="292">
        <f>SUM('PER BULAN'!P180:R180)</f>
        <v>0</v>
      </c>
      <c r="V110" s="292">
        <f>SUM('PER BULAN'!S180:U180)</f>
        <v>0</v>
      </c>
      <c r="W110" s="292">
        <f>SUM('PER BULAN'!V180:X180)</f>
        <v>0</v>
      </c>
      <c r="X110" s="292">
        <f>SUM('PER BULAN'!Y180:AA180)</f>
        <v>0</v>
      </c>
      <c r="Y110" s="292">
        <f>SUM('PER BULAN'!AB180:AD180)</f>
        <v>0</v>
      </c>
      <c r="Z110" s="292">
        <f>SUM('PER BULAN'!AE180:AG180)</f>
        <v>0</v>
      </c>
      <c r="AA110" s="292">
        <f>SUM('PER BULAN'!AH180:AJ180)</f>
        <v>0</v>
      </c>
      <c r="AB110" s="292">
        <f>SUM('PER BULAN'!AK180:AM180)</f>
        <v>0</v>
      </c>
      <c r="AC110" s="292">
        <f>SUM('PER BULAN'!AN180:AP180)</f>
        <v>0</v>
      </c>
      <c r="AD110" s="277" t="s">
        <v>530</v>
      </c>
      <c r="AE110" s="277" t="s">
        <v>542</v>
      </c>
      <c r="AF110" s="277" t="s">
        <v>591</v>
      </c>
      <c r="AG110" s="277" t="s">
        <v>4699</v>
      </c>
      <c r="AH110" s="277" t="s">
        <v>4700</v>
      </c>
      <c r="AI110" s="277">
        <f t="shared" si="6"/>
        <v>0</v>
      </c>
      <c r="AJ110" s="291">
        <f t="shared" si="7"/>
        <v>0</v>
      </c>
      <c r="AK110" s="277">
        <f t="shared" si="8"/>
        <v>2000000</v>
      </c>
      <c r="AL110" s="291">
        <f t="shared" si="9"/>
        <v>100</v>
      </c>
      <c r="AM110" s="277" t="s">
        <v>4834</v>
      </c>
      <c r="AN110" s="277" t="s">
        <v>4730</v>
      </c>
      <c r="AO110" s="277" t="s">
        <v>4733</v>
      </c>
      <c r="AP110" s="277" t="s">
        <v>4732</v>
      </c>
      <c r="AQ110" s="292">
        <f>SUM('PER BULAN'!AX180)</f>
        <v>0</v>
      </c>
      <c r="AR110" s="292">
        <f>SUM('PER BULAN'!AY180)</f>
        <v>0</v>
      </c>
      <c r="AS110" s="292">
        <f>SUM('PER BULAN'!AZ180)</f>
        <v>0</v>
      </c>
      <c r="AT110" s="292">
        <f>SUM('PER BULAN'!BA180)</f>
        <v>0</v>
      </c>
      <c r="AU110" s="292">
        <f>SUM('PER BULAN'!BB180)</f>
        <v>0</v>
      </c>
      <c r="AV110" s="292">
        <f>SUM('PER BULAN'!BC180)</f>
        <v>0</v>
      </c>
      <c r="AW110" s="292">
        <f>SUM('PER BULAN'!BD180)</f>
        <v>0</v>
      </c>
      <c r="AX110" s="292">
        <f>SUM('PER BULAN'!BE180)</f>
        <v>0</v>
      </c>
    </row>
    <row r="111" spans="1:50" s="278" customFormat="1" x14ac:dyDescent="0.3">
      <c r="A111" s="277" t="s">
        <v>4693</v>
      </c>
      <c r="B111" s="277" t="s">
        <v>4694</v>
      </c>
      <c r="C111" s="277" t="s">
        <v>4720</v>
      </c>
      <c r="D111" s="277" t="s">
        <v>4721</v>
      </c>
      <c r="E111" s="277" t="s">
        <v>197</v>
      </c>
      <c r="F111" s="277" t="s">
        <v>4722</v>
      </c>
      <c r="G111" s="277" t="s">
        <v>4778</v>
      </c>
      <c r="H111" s="277" t="s">
        <v>4779</v>
      </c>
      <c r="I111" s="277">
        <v>953</v>
      </c>
      <c r="J111" s="277" t="s">
        <v>4786</v>
      </c>
      <c r="K111" s="277">
        <v>302</v>
      </c>
      <c r="L111" s="277" t="s">
        <v>4787</v>
      </c>
      <c r="M111" s="277" t="s">
        <v>8</v>
      </c>
      <c r="N111" s="277" t="s">
        <v>4788</v>
      </c>
      <c r="O111" s="277">
        <v>524111</v>
      </c>
      <c r="P111" s="277" t="s">
        <v>4702</v>
      </c>
      <c r="Q111" s="278">
        <v>89032000</v>
      </c>
      <c r="R111" s="292">
        <f>SUM('PER BULAN'!G184:I184)</f>
        <v>0</v>
      </c>
      <c r="S111" s="292">
        <f>SUM('PER BULAN'!J181:L181)</f>
        <v>0</v>
      </c>
      <c r="T111" s="292">
        <f>SUM('PER BULAN'!M181:O181)</f>
        <v>2490000</v>
      </c>
      <c r="U111" s="292">
        <f>SUM('PER BULAN'!P181:R181)</f>
        <v>15530000</v>
      </c>
      <c r="V111" s="292">
        <f>SUM('PER BULAN'!S181:U181)</f>
        <v>0</v>
      </c>
      <c r="W111" s="292">
        <f>SUM('PER BULAN'!V181:X181)</f>
        <v>2118000</v>
      </c>
      <c r="X111" s="292">
        <f>SUM('PER BULAN'!Y181:AA181)</f>
        <v>0</v>
      </c>
      <c r="Y111" s="292">
        <f>SUM('PER BULAN'!AB181:AD181)</f>
        <v>0</v>
      </c>
      <c r="Z111" s="292">
        <f>SUM('PER BULAN'!AE181:AG181)</f>
        <v>0</v>
      </c>
      <c r="AA111" s="292">
        <f>SUM('PER BULAN'!AH181:AJ181)</f>
        <v>0</v>
      </c>
      <c r="AB111" s="292">
        <f>SUM('PER BULAN'!AK181:AM181)</f>
        <v>0</v>
      </c>
      <c r="AC111" s="292">
        <f>SUM('PER BULAN'!AN181:AP181)</f>
        <v>0</v>
      </c>
      <c r="AD111" s="277" t="s">
        <v>530</v>
      </c>
      <c r="AE111" s="277" t="s">
        <v>542</v>
      </c>
      <c r="AF111" s="277" t="s">
        <v>591</v>
      </c>
      <c r="AG111" s="277" t="s">
        <v>4699</v>
      </c>
      <c r="AH111" s="277" t="s">
        <v>4700</v>
      </c>
      <c r="AI111" s="277">
        <f t="shared" si="6"/>
        <v>20138000</v>
      </c>
      <c r="AJ111" s="291">
        <f t="shared" si="7"/>
        <v>22.618833677778778</v>
      </c>
      <c r="AK111" s="277">
        <f t="shared" si="8"/>
        <v>68894000</v>
      </c>
      <c r="AL111" s="291">
        <f t="shared" si="9"/>
        <v>77.381166322221233</v>
      </c>
      <c r="AM111" s="277" t="s">
        <v>4835</v>
      </c>
      <c r="AN111" s="277" t="s">
        <v>4730</v>
      </c>
      <c r="AO111" s="277" t="s">
        <v>4736</v>
      </c>
      <c r="AP111" s="277" t="s">
        <v>4732</v>
      </c>
      <c r="AQ111" s="292">
        <f>SUM('PER BULAN'!AX181)</f>
        <v>0</v>
      </c>
      <c r="AR111" s="292">
        <f>SUM('PER BULAN'!AY181)</f>
        <v>0</v>
      </c>
      <c r="AS111" s="292">
        <f>SUM('PER BULAN'!AZ181)</f>
        <v>2490000</v>
      </c>
      <c r="AT111" s="292">
        <f>SUM('PER BULAN'!BA181)</f>
        <v>0</v>
      </c>
      <c r="AU111" s="292">
        <f>SUM('PER BULAN'!BB181)</f>
        <v>0</v>
      </c>
      <c r="AV111" s="292">
        <f>SUM('PER BULAN'!BC181)</f>
        <v>0</v>
      </c>
      <c r="AW111" s="292">
        <f>SUM('PER BULAN'!BD181)</f>
        <v>0</v>
      </c>
      <c r="AX111" s="292">
        <f>SUM('PER BULAN'!BE181)</f>
        <v>0</v>
      </c>
    </row>
    <row r="112" spans="1:50" s="278" customFormat="1" x14ac:dyDescent="0.3">
      <c r="A112" s="277" t="s">
        <v>4693</v>
      </c>
      <c r="B112" s="277" t="s">
        <v>4694</v>
      </c>
      <c r="C112" s="277" t="s">
        <v>4720</v>
      </c>
      <c r="D112" s="277" t="s">
        <v>4721</v>
      </c>
      <c r="E112" s="277" t="s">
        <v>197</v>
      </c>
      <c r="F112" s="277" t="s">
        <v>4722</v>
      </c>
      <c r="G112" s="277" t="s">
        <v>4778</v>
      </c>
      <c r="H112" s="277" t="s">
        <v>4779</v>
      </c>
      <c r="I112" s="277">
        <v>955</v>
      </c>
      <c r="J112" s="277" t="s">
        <v>4789</v>
      </c>
      <c r="K112" s="277">
        <v>301</v>
      </c>
      <c r="L112" s="277" t="s">
        <v>4790</v>
      </c>
      <c r="M112" s="277" t="s">
        <v>8</v>
      </c>
      <c r="N112" s="277" t="s">
        <v>4791</v>
      </c>
      <c r="O112" s="277">
        <v>521211</v>
      </c>
      <c r="P112" s="277" t="s">
        <v>4698</v>
      </c>
      <c r="Q112" s="278">
        <v>23900000</v>
      </c>
      <c r="R112" s="292">
        <f>SUM('PER BULAN'!G185:I185)</f>
        <v>0</v>
      </c>
      <c r="S112" s="292">
        <f>SUM('PER BULAN'!J185:L185)</f>
        <v>0</v>
      </c>
      <c r="T112" s="292">
        <f>SUM('PER BULAN'!M185:O185)</f>
        <v>5725000</v>
      </c>
      <c r="U112" s="292">
        <f>SUM('PER BULAN'!P185:R185)</f>
        <v>2446000</v>
      </c>
      <c r="V112" s="292">
        <f>SUM('PER BULAN'!S185:U185)</f>
        <v>5660000</v>
      </c>
      <c r="W112" s="292">
        <f>SUM('PER BULAN'!V185:X185)</f>
        <v>0</v>
      </c>
      <c r="X112" s="292">
        <f>SUM('PER BULAN'!Y185:AA185)</f>
        <v>0</v>
      </c>
      <c r="Y112" s="292">
        <f>SUM('PER BULAN'!AB185:AD185)</f>
        <v>0</v>
      </c>
      <c r="Z112" s="292">
        <f>SUM('PER BULAN'!AE185:AG185)</f>
        <v>0</v>
      </c>
      <c r="AA112" s="292">
        <f>SUM('PER BULAN'!AH185:AJ185)</f>
        <v>0</v>
      </c>
      <c r="AB112" s="292">
        <f>SUM('PER BULAN'!AK185:AM185)</f>
        <v>0</v>
      </c>
      <c r="AC112" s="292">
        <f>SUM('PER BULAN'!AN185:AP185)</f>
        <v>0</v>
      </c>
      <c r="AD112" s="277" t="s">
        <v>530</v>
      </c>
      <c r="AE112" s="277" t="s">
        <v>576</v>
      </c>
      <c r="AF112" s="277" t="s">
        <v>546</v>
      </c>
      <c r="AG112" s="277" t="s">
        <v>4699</v>
      </c>
      <c r="AH112" s="277" t="s">
        <v>4700</v>
      </c>
      <c r="AI112" s="277">
        <f t="shared" si="6"/>
        <v>13831000</v>
      </c>
      <c r="AJ112" s="291">
        <f t="shared" si="7"/>
        <v>57.870292887029287</v>
      </c>
      <c r="AK112" s="277">
        <f t="shared" si="8"/>
        <v>10069000</v>
      </c>
      <c r="AL112" s="291">
        <f t="shared" si="9"/>
        <v>42.129707112970713</v>
      </c>
      <c r="AM112" s="277" t="s">
        <v>3321</v>
      </c>
      <c r="AN112" s="277" t="s">
        <v>4730</v>
      </c>
      <c r="AO112" s="277" t="s">
        <v>4731</v>
      </c>
      <c r="AP112" s="277" t="s">
        <v>4732</v>
      </c>
      <c r="AQ112" s="292">
        <f>SUM('PER BULAN'!AX185)</f>
        <v>0</v>
      </c>
      <c r="AR112" s="292">
        <f>SUM('PER BULAN'!AY185)</f>
        <v>3275000</v>
      </c>
      <c r="AS112" s="292">
        <f>SUM('PER BULAN'!AZ185)</f>
        <v>2450000</v>
      </c>
      <c r="AT112" s="292">
        <f>SUM('PER BULAN'!BA185)</f>
        <v>2446000</v>
      </c>
      <c r="AU112" s="292">
        <f>SUM('PER BULAN'!BB185)</f>
        <v>1810000</v>
      </c>
      <c r="AV112" s="292">
        <f>SUM('PER BULAN'!BC185)</f>
        <v>0</v>
      </c>
      <c r="AW112" s="292">
        <f>SUM('PER BULAN'!BD185)</f>
        <v>3850000</v>
      </c>
      <c r="AX112" s="292">
        <f>SUM('PER BULAN'!BE185)</f>
        <v>0</v>
      </c>
    </row>
    <row r="113" spans="1:50" s="278" customFormat="1" x14ac:dyDescent="0.3">
      <c r="A113" s="277" t="s">
        <v>4693</v>
      </c>
      <c r="B113" s="277" t="s">
        <v>4694</v>
      </c>
      <c r="C113" s="277" t="s">
        <v>4720</v>
      </c>
      <c r="D113" s="277" t="s">
        <v>4721</v>
      </c>
      <c r="E113" s="277" t="s">
        <v>197</v>
      </c>
      <c r="F113" s="277" t="s">
        <v>4722</v>
      </c>
      <c r="G113" s="277" t="s">
        <v>4778</v>
      </c>
      <c r="H113" s="277" t="s">
        <v>4779</v>
      </c>
      <c r="I113" s="277">
        <v>955</v>
      </c>
      <c r="J113" s="277" t="s">
        <v>4789</v>
      </c>
      <c r="K113" s="277">
        <v>301</v>
      </c>
      <c r="L113" s="277" t="s">
        <v>4790</v>
      </c>
      <c r="M113" s="277" t="s">
        <v>8</v>
      </c>
      <c r="N113" s="277" t="s">
        <v>4791</v>
      </c>
      <c r="O113" s="277">
        <v>524111</v>
      </c>
      <c r="P113" s="277" t="s">
        <v>4702</v>
      </c>
      <c r="Q113" s="278">
        <v>15000000</v>
      </c>
      <c r="R113" s="292">
        <f>SUM('PER BULAN'!G187:I187)</f>
        <v>0</v>
      </c>
      <c r="S113" s="292">
        <f>SUM('PER BULAN'!J186:L186)</f>
        <v>0</v>
      </c>
      <c r="T113" s="292">
        <f>SUM('PER BULAN'!M186:O186)</f>
        <v>0</v>
      </c>
      <c r="U113" s="292">
        <f>SUM('PER BULAN'!P186:R186)</f>
        <v>0</v>
      </c>
      <c r="V113" s="292">
        <f>SUM('PER BULAN'!S186:U186)</f>
        <v>8701552</v>
      </c>
      <c r="W113" s="292">
        <f>SUM('PER BULAN'!V186:X186)</f>
        <v>0</v>
      </c>
      <c r="X113" s="292">
        <f>SUM('PER BULAN'!Y186:AA186)</f>
        <v>0</v>
      </c>
      <c r="Y113" s="292">
        <f>SUM('PER BULAN'!AB186:AD186)</f>
        <v>0</v>
      </c>
      <c r="Z113" s="292">
        <f>SUM('PER BULAN'!AE186:AG186)</f>
        <v>0</v>
      </c>
      <c r="AA113" s="292">
        <f>SUM('PER BULAN'!AH186:AJ186)</f>
        <v>0</v>
      </c>
      <c r="AB113" s="292">
        <f>SUM('PER BULAN'!AK186:AM186)</f>
        <v>0</v>
      </c>
      <c r="AC113" s="292">
        <f>SUM('PER BULAN'!AN186:AP186)</f>
        <v>0</v>
      </c>
      <c r="AD113" s="277" t="s">
        <v>530</v>
      </c>
      <c r="AE113" s="277" t="s">
        <v>576</v>
      </c>
      <c r="AF113" s="277" t="s">
        <v>546</v>
      </c>
      <c r="AG113" s="277" t="s">
        <v>4699</v>
      </c>
      <c r="AH113" s="277" t="s">
        <v>4700</v>
      </c>
      <c r="AI113" s="277">
        <f t="shared" si="6"/>
        <v>8701552</v>
      </c>
      <c r="AJ113" s="291">
        <f t="shared" si="7"/>
        <v>58.010346666666671</v>
      </c>
      <c r="AK113" s="277">
        <f t="shared" si="8"/>
        <v>6298448</v>
      </c>
      <c r="AL113" s="291">
        <f t="shared" si="9"/>
        <v>41.989653333333329</v>
      </c>
      <c r="AM113" s="277" t="s">
        <v>3326</v>
      </c>
      <c r="AN113" s="277" t="s">
        <v>4730</v>
      </c>
      <c r="AO113" s="277" t="s">
        <v>4736</v>
      </c>
      <c r="AP113" s="277" t="s">
        <v>4732</v>
      </c>
      <c r="AQ113" s="292">
        <f>SUM('PER BULAN'!AX186)</f>
        <v>0</v>
      </c>
      <c r="AR113" s="292">
        <f>SUM('PER BULAN'!AY186)</f>
        <v>0</v>
      </c>
      <c r="AS113" s="292">
        <f>SUM('PER BULAN'!AZ186)</f>
        <v>0</v>
      </c>
      <c r="AT113" s="292">
        <f>SUM('PER BULAN'!BA186)</f>
        <v>0</v>
      </c>
      <c r="AU113" s="292">
        <f>SUM('PER BULAN'!BB186)</f>
        <v>0</v>
      </c>
      <c r="AV113" s="292">
        <f>SUM('PER BULAN'!BC186)</f>
        <v>0</v>
      </c>
      <c r="AW113" s="292">
        <f>SUM('PER BULAN'!BD186)</f>
        <v>8701552</v>
      </c>
      <c r="AX113" s="292">
        <f>SUM('PER BULAN'!BE186)</f>
        <v>0</v>
      </c>
    </row>
    <row r="114" spans="1:50" s="278" customFormat="1" x14ac:dyDescent="0.3">
      <c r="A114" s="277" t="s">
        <v>4693</v>
      </c>
      <c r="B114" s="277" t="s">
        <v>4694</v>
      </c>
      <c r="C114" s="277" t="s">
        <v>4720</v>
      </c>
      <c r="D114" s="277" t="s">
        <v>4721</v>
      </c>
      <c r="E114" s="277" t="s">
        <v>197</v>
      </c>
      <c r="F114" s="277" t="s">
        <v>4722</v>
      </c>
      <c r="G114" s="277" t="s">
        <v>4778</v>
      </c>
      <c r="H114" s="277" t="s">
        <v>4779</v>
      </c>
      <c r="I114" s="277">
        <v>955</v>
      </c>
      <c r="J114" s="277" t="s">
        <v>4789</v>
      </c>
      <c r="K114" s="277">
        <v>301</v>
      </c>
      <c r="L114" s="277" t="s">
        <v>4790</v>
      </c>
      <c r="M114" s="277" t="s">
        <v>511</v>
      </c>
      <c r="N114" s="277" t="s">
        <v>4792</v>
      </c>
      <c r="O114" s="277">
        <v>521211</v>
      </c>
      <c r="P114" s="277" t="s">
        <v>4698</v>
      </c>
      <c r="Q114" s="278">
        <v>11400000</v>
      </c>
      <c r="R114" s="292">
        <f>SUM('PER BULAN'!G188:I188)</f>
        <v>0</v>
      </c>
      <c r="S114" s="292">
        <f>SUM('PER BULAN'!J188:L188)</f>
        <v>0</v>
      </c>
      <c r="T114" s="292">
        <f>SUM('PER BULAN'!M188:O188)</f>
        <v>2500000</v>
      </c>
      <c r="U114" s="292">
        <f>SUM('PER BULAN'!P188:R188)</f>
        <v>0</v>
      </c>
      <c r="V114" s="292">
        <f>SUM('PER BULAN'!S188:U188)</f>
        <v>2444000</v>
      </c>
      <c r="W114" s="292">
        <f>SUM('PER BULAN'!V188:X188)</f>
        <v>0</v>
      </c>
      <c r="X114" s="292">
        <f>SUM('PER BULAN'!Y188:AA188)</f>
        <v>0</v>
      </c>
      <c r="Y114" s="292">
        <f>SUM('PER BULAN'!AB188:AD188)</f>
        <v>0</v>
      </c>
      <c r="Z114" s="292">
        <f>SUM('PER BULAN'!AE188:AG188)</f>
        <v>0</v>
      </c>
      <c r="AA114" s="292">
        <f>SUM('PER BULAN'!AH188:AJ188)</f>
        <v>0</v>
      </c>
      <c r="AB114" s="292">
        <f>SUM('PER BULAN'!AK188:AM188)</f>
        <v>0</v>
      </c>
      <c r="AC114" s="292">
        <f>SUM('PER BULAN'!AN188:AP188)</f>
        <v>0</v>
      </c>
      <c r="AD114" s="277" t="s">
        <v>530</v>
      </c>
      <c r="AE114" s="277" t="s">
        <v>576</v>
      </c>
      <c r="AF114" s="277" t="s">
        <v>546</v>
      </c>
      <c r="AG114" s="277" t="s">
        <v>4699</v>
      </c>
      <c r="AH114" s="277" t="s">
        <v>4700</v>
      </c>
      <c r="AI114" s="277">
        <f t="shared" si="6"/>
        <v>4944000</v>
      </c>
      <c r="AJ114" s="291">
        <f t="shared" si="7"/>
        <v>43.368421052631575</v>
      </c>
      <c r="AK114" s="277">
        <f t="shared" si="8"/>
        <v>6456000</v>
      </c>
      <c r="AL114" s="291">
        <f t="shared" si="9"/>
        <v>56.631578947368425</v>
      </c>
      <c r="AM114" s="277" t="s">
        <v>3332</v>
      </c>
      <c r="AN114" s="277" t="s">
        <v>4730</v>
      </c>
      <c r="AO114" s="277" t="s">
        <v>4731</v>
      </c>
      <c r="AP114" s="277" t="s">
        <v>4732</v>
      </c>
      <c r="AQ114" s="292">
        <f>SUM('PER BULAN'!AX188)</f>
        <v>0</v>
      </c>
      <c r="AR114" s="292">
        <f>SUM('PER BULAN'!AY188)</f>
        <v>2500000</v>
      </c>
      <c r="AS114" s="292">
        <f>SUM('PER BULAN'!AZ188)</f>
        <v>0</v>
      </c>
      <c r="AT114" s="292">
        <f>SUM('PER BULAN'!BA188)</f>
        <v>0</v>
      </c>
      <c r="AU114" s="292">
        <f>SUM('PER BULAN'!BB188)</f>
        <v>0</v>
      </c>
      <c r="AV114" s="292">
        <f>SUM('PER BULAN'!BC188)</f>
        <v>2444000</v>
      </c>
      <c r="AW114" s="292">
        <f>SUM('PER BULAN'!BD188)</f>
        <v>0</v>
      </c>
      <c r="AX114" s="292">
        <f>SUM('PER BULAN'!BE188)</f>
        <v>0</v>
      </c>
    </row>
    <row r="115" spans="1:50" s="278" customFormat="1" x14ac:dyDescent="0.3">
      <c r="A115" s="277" t="s">
        <v>4693</v>
      </c>
      <c r="B115" s="277" t="s">
        <v>4694</v>
      </c>
      <c r="C115" s="277" t="s">
        <v>4720</v>
      </c>
      <c r="D115" s="277" t="s">
        <v>4721</v>
      </c>
      <c r="E115" s="277" t="s">
        <v>197</v>
      </c>
      <c r="F115" s="277" t="s">
        <v>4722</v>
      </c>
      <c r="G115" s="277" t="s">
        <v>4778</v>
      </c>
      <c r="H115" s="277" t="s">
        <v>4779</v>
      </c>
      <c r="I115" s="277">
        <v>955</v>
      </c>
      <c r="J115" s="277" t="s">
        <v>4789</v>
      </c>
      <c r="K115" s="277">
        <v>301</v>
      </c>
      <c r="L115" s="277" t="s">
        <v>4790</v>
      </c>
      <c r="M115" s="277" t="s">
        <v>511</v>
      </c>
      <c r="N115" s="277" t="s">
        <v>4792</v>
      </c>
      <c r="O115" s="277">
        <v>524111</v>
      </c>
      <c r="P115" s="277" t="s">
        <v>4702</v>
      </c>
      <c r="Q115" s="278">
        <v>18000000</v>
      </c>
      <c r="R115" s="292">
        <f>SUM('PER BULAN'!G190:I190)</f>
        <v>0</v>
      </c>
      <c r="S115" s="292">
        <f>SUM('PER BULAN'!J189:L189)</f>
        <v>0</v>
      </c>
      <c r="T115" s="292">
        <f>SUM('PER BULAN'!M189:O189)</f>
        <v>2850000</v>
      </c>
      <c r="U115" s="292">
        <f>SUM('PER BULAN'!P189:R189)</f>
        <v>0</v>
      </c>
      <c r="V115" s="292">
        <f>SUM('PER BULAN'!S189:U189)</f>
        <v>0</v>
      </c>
      <c r="W115" s="292">
        <f>SUM('PER BULAN'!V189:X189)</f>
        <v>0</v>
      </c>
      <c r="X115" s="292">
        <f>SUM('PER BULAN'!Y189:AA189)</f>
        <v>0</v>
      </c>
      <c r="Y115" s="292">
        <f>SUM('PER BULAN'!AB189:AD189)</f>
        <v>0</v>
      </c>
      <c r="Z115" s="292">
        <f>SUM('PER BULAN'!AE189:AG189)</f>
        <v>0</v>
      </c>
      <c r="AA115" s="292">
        <f>SUM('PER BULAN'!AH189:AJ189)</f>
        <v>0</v>
      </c>
      <c r="AB115" s="292">
        <f>SUM('PER BULAN'!AK189:AM189)</f>
        <v>0</v>
      </c>
      <c r="AC115" s="292">
        <f>SUM('PER BULAN'!AN189:AP189)</f>
        <v>0</v>
      </c>
      <c r="AD115" s="277" t="s">
        <v>530</v>
      </c>
      <c r="AE115" s="277" t="s">
        <v>576</v>
      </c>
      <c r="AF115" s="277" t="s">
        <v>546</v>
      </c>
      <c r="AG115" s="277" t="s">
        <v>4699</v>
      </c>
      <c r="AH115" s="277" t="s">
        <v>4700</v>
      </c>
      <c r="AI115" s="277">
        <f t="shared" si="6"/>
        <v>2850000</v>
      </c>
      <c r="AJ115" s="291">
        <f t="shared" si="7"/>
        <v>15.833333333333332</v>
      </c>
      <c r="AK115" s="277">
        <f t="shared" si="8"/>
        <v>15150000</v>
      </c>
      <c r="AL115" s="291">
        <f t="shared" si="9"/>
        <v>84.166666666666671</v>
      </c>
      <c r="AM115" s="277" t="s">
        <v>3336</v>
      </c>
      <c r="AN115" s="277" t="s">
        <v>4730</v>
      </c>
      <c r="AO115" s="277" t="s">
        <v>4736</v>
      </c>
      <c r="AP115" s="277" t="s">
        <v>4732</v>
      </c>
      <c r="AQ115" s="292">
        <f>SUM('PER BULAN'!AX189)</f>
        <v>0</v>
      </c>
      <c r="AR115" s="292">
        <f>SUM('PER BULAN'!AY189)</f>
        <v>2850000</v>
      </c>
      <c r="AS115" s="292">
        <f>SUM('PER BULAN'!AZ189)</f>
        <v>0</v>
      </c>
      <c r="AT115" s="292">
        <f>SUM('PER BULAN'!BA189)</f>
        <v>0</v>
      </c>
      <c r="AU115" s="292">
        <f>SUM('PER BULAN'!BB189)</f>
        <v>0</v>
      </c>
      <c r="AV115" s="292">
        <f>SUM('PER BULAN'!BC189)</f>
        <v>0</v>
      </c>
      <c r="AW115" s="292">
        <f>SUM('PER BULAN'!BD189)</f>
        <v>0</v>
      </c>
      <c r="AX115" s="292">
        <f>SUM('PER BULAN'!BE189)</f>
        <v>0</v>
      </c>
    </row>
    <row r="116" spans="1:50" s="278" customFormat="1" x14ac:dyDescent="0.3">
      <c r="A116" s="277" t="s">
        <v>4693</v>
      </c>
      <c r="B116" s="277" t="s">
        <v>4694</v>
      </c>
      <c r="C116" s="277" t="s">
        <v>4720</v>
      </c>
      <c r="D116" s="277" t="s">
        <v>4721</v>
      </c>
      <c r="E116" s="277" t="s">
        <v>197</v>
      </c>
      <c r="F116" s="277" t="s">
        <v>4722</v>
      </c>
      <c r="G116" s="277" t="s">
        <v>4778</v>
      </c>
      <c r="H116" s="277" t="s">
        <v>4779</v>
      </c>
      <c r="I116" s="277">
        <v>955</v>
      </c>
      <c r="J116" s="277" t="s">
        <v>4789</v>
      </c>
      <c r="K116" s="277">
        <v>301</v>
      </c>
      <c r="L116" s="277" t="s">
        <v>4790</v>
      </c>
      <c r="M116" s="277" t="s">
        <v>512</v>
      </c>
      <c r="N116" s="277" t="s">
        <v>4793</v>
      </c>
      <c r="O116" s="277">
        <v>521211</v>
      </c>
      <c r="P116" s="277" t="s">
        <v>4698</v>
      </c>
      <c r="Q116" s="278">
        <v>10000000</v>
      </c>
      <c r="R116" s="292">
        <f>SUM('PER BULAN'!G191:I191)</f>
        <v>0</v>
      </c>
      <c r="S116" s="292">
        <f>SUM('PER BULAN'!J191:L191)</f>
        <v>0</v>
      </c>
      <c r="T116" s="292">
        <f>SUM('PER BULAN'!M191:O191)</f>
        <v>2469500</v>
      </c>
      <c r="U116" s="292">
        <f>SUM('PER BULAN'!P191:R191)</f>
        <v>0</v>
      </c>
      <c r="V116" s="292">
        <f>SUM('PER BULAN'!S191:U191)</f>
        <v>2499000</v>
      </c>
      <c r="W116" s="292">
        <f>SUM('PER BULAN'!V191:X191)</f>
        <v>0</v>
      </c>
      <c r="X116" s="292">
        <f>SUM('PER BULAN'!Y191:AA191)</f>
        <v>0</v>
      </c>
      <c r="Y116" s="292">
        <f>SUM('PER BULAN'!AB191:AD191)</f>
        <v>0</v>
      </c>
      <c r="Z116" s="292">
        <f>SUM('PER BULAN'!AE191:AG191)</f>
        <v>0</v>
      </c>
      <c r="AA116" s="292">
        <f>SUM('PER BULAN'!AH191:AJ191)</f>
        <v>0</v>
      </c>
      <c r="AB116" s="292">
        <f>SUM('PER BULAN'!AK191:AM191)</f>
        <v>0</v>
      </c>
      <c r="AC116" s="292">
        <f>SUM('PER BULAN'!AN191:AP191)</f>
        <v>0</v>
      </c>
      <c r="AD116" s="277" t="s">
        <v>530</v>
      </c>
      <c r="AE116" s="277" t="s">
        <v>576</v>
      </c>
      <c r="AF116" s="277" t="s">
        <v>546</v>
      </c>
      <c r="AG116" s="277" t="s">
        <v>4699</v>
      </c>
      <c r="AH116" s="277" t="s">
        <v>4700</v>
      </c>
      <c r="AI116" s="277">
        <f t="shared" si="6"/>
        <v>4968500</v>
      </c>
      <c r="AJ116" s="291">
        <f t="shared" si="7"/>
        <v>49.685000000000002</v>
      </c>
      <c r="AK116" s="277">
        <f t="shared" si="8"/>
        <v>5031500</v>
      </c>
      <c r="AL116" s="291">
        <f t="shared" si="9"/>
        <v>50.314999999999998</v>
      </c>
      <c r="AM116" s="277" t="s">
        <v>3341</v>
      </c>
      <c r="AN116" s="277" t="s">
        <v>4730</v>
      </c>
      <c r="AO116" s="277" t="s">
        <v>4731</v>
      </c>
      <c r="AP116" s="277" t="s">
        <v>4732</v>
      </c>
      <c r="AQ116" s="292">
        <f>SUM('PER BULAN'!AX191)</f>
        <v>0</v>
      </c>
      <c r="AR116" s="292">
        <f>SUM('PER BULAN'!AY191)</f>
        <v>0</v>
      </c>
      <c r="AS116" s="292">
        <f>SUM('PER BULAN'!AZ191)</f>
        <v>2469500</v>
      </c>
      <c r="AT116" s="292">
        <f>SUM('PER BULAN'!BA191)</f>
        <v>0</v>
      </c>
      <c r="AU116" s="292">
        <f>SUM('PER BULAN'!BB191)</f>
        <v>0</v>
      </c>
      <c r="AV116" s="292">
        <f>SUM('PER BULAN'!BC191)</f>
        <v>2499000</v>
      </c>
      <c r="AW116" s="292">
        <f>SUM('PER BULAN'!BD191)</f>
        <v>0</v>
      </c>
      <c r="AX116" s="292">
        <f>SUM('PER BULAN'!BE191)</f>
        <v>0</v>
      </c>
    </row>
    <row r="117" spans="1:50" s="278" customFormat="1" x14ac:dyDescent="0.3">
      <c r="A117" s="277" t="s">
        <v>4693</v>
      </c>
      <c r="B117" s="277" t="s">
        <v>4694</v>
      </c>
      <c r="C117" s="277" t="s">
        <v>4720</v>
      </c>
      <c r="D117" s="277" t="s">
        <v>4721</v>
      </c>
      <c r="E117" s="277" t="s">
        <v>197</v>
      </c>
      <c r="F117" s="277" t="s">
        <v>4722</v>
      </c>
      <c r="G117" s="277" t="s">
        <v>4778</v>
      </c>
      <c r="H117" s="277" t="s">
        <v>4779</v>
      </c>
      <c r="I117" s="277">
        <v>955</v>
      </c>
      <c r="J117" s="277" t="s">
        <v>4789</v>
      </c>
      <c r="K117" s="277">
        <v>301</v>
      </c>
      <c r="L117" s="277" t="s">
        <v>4790</v>
      </c>
      <c r="M117" s="277" t="s">
        <v>512</v>
      </c>
      <c r="N117" s="277" t="s">
        <v>4793</v>
      </c>
      <c r="O117" s="277">
        <v>524111</v>
      </c>
      <c r="P117" s="277" t="s">
        <v>4702</v>
      </c>
      <c r="Q117" s="278">
        <v>15000000</v>
      </c>
      <c r="R117" s="292">
        <f>SUM('PER BULAN'!G193:I193)</f>
        <v>0</v>
      </c>
      <c r="S117" s="292">
        <f>SUM('PER BULAN'!J192:L192)</f>
        <v>0</v>
      </c>
      <c r="T117" s="292">
        <f>SUM('PER BULAN'!M192:O192)</f>
        <v>0</v>
      </c>
      <c r="U117" s="292">
        <f>SUM('PER BULAN'!P192:R192)</f>
        <v>0</v>
      </c>
      <c r="V117" s="292">
        <f>SUM('PER BULAN'!S192:U192)</f>
        <v>0</v>
      </c>
      <c r="W117" s="292">
        <f>SUM('PER BULAN'!V192:X192)</f>
        <v>0</v>
      </c>
      <c r="X117" s="292">
        <f>SUM('PER BULAN'!Y192:AA192)</f>
        <v>0</v>
      </c>
      <c r="Y117" s="292">
        <f>SUM('PER BULAN'!AB192:AD192)</f>
        <v>0</v>
      </c>
      <c r="Z117" s="292">
        <f>SUM('PER BULAN'!AE192:AG192)</f>
        <v>0</v>
      </c>
      <c r="AA117" s="292">
        <f>SUM('PER BULAN'!AH192:AJ192)</f>
        <v>0</v>
      </c>
      <c r="AB117" s="292">
        <f>SUM('PER BULAN'!AK192:AM192)</f>
        <v>0</v>
      </c>
      <c r="AC117" s="292">
        <f>SUM('PER BULAN'!AN192:AP192)</f>
        <v>0</v>
      </c>
      <c r="AD117" s="277" t="s">
        <v>530</v>
      </c>
      <c r="AE117" s="277" t="s">
        <v>576</v>
      </c>
      <c r="AF117" s="277" t="s">
        <v>546</v>
      </c>
      <c r="AG117" s="277" t="s">
        <v>4699</v>
      </c>
      <c r="AH117" s="277" t="s">
        <v>4700</v>
      </c>
      <c r="AI117" s="277">
        <f t="shared" si="6"/>
        <v>0</v>
      </c>
      <c r="AJ117" s="291">
        <f t="shared" si="7"/>
        <v>0</v>
      </c>
      <c r="AK117" s="277">
        <f t="shared" si="8"/>
        <v>15000000</v>
      </c>
      <c r="AL117" s="291">
        <f t="shared" si="9"/>
        <v>100</v>
      </c>
      <c r="AM117" s="277" t="s">
        <v>3344</v>
      </c>
      <c r="AN117" s="277" t="s">
        <v>4730</v>
      </c>
      <c r="AO117" s="277" t="s">
        <v>4736</v>
      </c>
      <c r="AP117" s="277" t="s">
        <v>4732</v>
      </c>
      <c r="AQ117" s="292">
        <f>SUM('PER BULAN'!AX192)</f>
        <v>0</v>
      </c>
      <c r="AR117" s="292">
        <f>SUM('PER BULAN'!AY192)</f>
        <v>0</v>
      </c>
      <c r="AS117" s="292">
        <f>SUM('PER BULAN'!AZ192)</f>
        <v>0</v>
      </c>
      <c r="AT117" s="292">
        <f>SUM('PER BULAN'!BA192)</f>
        <v>0</v>
      </c>
      <c r="AU117" s="292">
        <f>SUM('PER BULAN'!BB192)</f>
        <v>0</v>
      </c>
      <c r="AV117" s="292">
        <f>SUM('PER BULAN'!BC192)</f>
        <v>0</v>
      </c>
      <c r="AW117" s="292">
        <f>SUM('PER BULAN'!BD192)</f>
        <v>0</v>
      </c>
      <c r="AX117" s="292">
        <f>SUM('PER BULAN'!BE192)</f>
        <v>0</v>
      </c>
    </row>
    <row r="118" spans="1:50" s="278" customFormat="1" x14ac:dyDescent="0.3">
      <c r="A118" s="277" t="s">
        <v>4693</v>
      </c>
      <c r="B118" s="277" t="s">
        <v>4694</v>
      </c>
      <c r="C118" s="277" t="s">
        <v>4720</v>
      </c>
      <c r="D118" s="277" t="s">
        <v>4721</v>
      </c>
      <c r="E118" s="277" t="s">
        <v>197</v>
      </c>
      <c r="F118" s="277" t="s">
        <v>4722</v>
      </c>
      <c r="G118" s="277" t="s">
        <v>4778</v>
      </c>
      <c r="H118" s="277" t="s">
        <v>4779</v>
      </c>
      <c r="I118" s="277">
        <v>955</v>
      </c>
      <c r="J118" s="277" t="s">
        <v>4789</v>
      </c>
      <c r="K118" s="277">
        <v>301</v>
      </c>
      <c r="L118" s="277" t="s">
        <v>4790</v>
      </c>
      <c r="M118" s="277" t="s">
        <v>514</v>
      </c>
      <c r="N118" s="277" t="s">
        <v>4794</v>
      </c>
      <c r="O118" s="277">
        <v>521211</v>
      </c>
      <c r="P118" s="277" t="s">
        <v>4698</v>
      </c>
      <c r="Q118" s="278">
        <v>35340000</v>
      </c>
      <c r="R118" s="292">
        <f>SUM('PER BULAN'!G194:I194)</f>
        <v>0</v>
      </c>
      <c r="S118" s="292">
        <f>SUM('PER BULAN'!J194:L194)</f>
        <v>0</v>
      </c>
      <c r="T118" s="292">
        <f>SUM('PER BULAN'!M194:O194)</f>
        <v>2500000</v>
      </c>
      <c r="U118" s="292">
        <f>SUM('PER BULAN'!P194:R194)</f>
        <v>3400000</v>
      </c>
      <c r="V118" s="292">
        <f>SUM('PER BULAN'!S194:U194)</f>
        <v>5085000</v>
      </c>
      <c r="W118" s="292">
        <f>SUM('PER BULAN'!V194:X194)</f>
        <v>0</v>
      </c>
      <c r="X118" s="292">
        <f>SUM('PER BULAN'!Y194:AA194)</f>
        <v>0</v>
      </c>
      <c r="Y118" s="292">
        <f>SUM('PER BULAN'!AB194:AD194)</f>
        <v>0</v>
      </c>
      <c r="Z118" s="292">
        <f>SUM('PER BULAN'!AE194:AG194)</f>
        <v>0</v>
      </c>
      <c r="AA118" s="292">
        <f>SUM('PER BULAN'!AH194:AJ194)</f>
        <v>0</v>
      </c>
      <c r="AB118" s="292">
        <f>SUM('PER BULAN'!AK194:AM194)</f>
        <v>0</v>
      </c>
      <c r="AC118" s="292">
        <f>SUM('PER BULAN'!AN194:AP194)</f>
        <v>0</v>
      </c>
      <c r="AD118" s="277" t="s">
        <v>530</v>
      </c>
      <c r="AE118" s="277" t="s">
        <v>576</v>
      </c>
      <c r="AF118" s="277" t="s">
        <v>546</v>
      </c>
      <c r="AG118" s="277" t="s">
        <v>4699</v>
      </c>
      <c r="AH118" s="277" t="s">
        <v>4700</v>
      </c>
      <c r="AI118" s="277">
        <f t="shared" si="6"/>
        <v>10985000</v>
      </c>
      <c r="AJ118" s="291">
        <f t="shared" si="7"/>
        <v>31.083757781550652</v>
      </c>
      <c r="AK118" s="277">
        <f t="shared" si="8"/>
        <v>24355000</v>
      </c>
      <c r="AL118" s="291">
        <f t="shared" si="9"/>
        <v>68.916242218449355</v>
      </c>
      <c r="AM118" s="277" t="s">
        <v>3351</v>
      </c>
      <c r="AN118" s="277" t="s">
        <v>4730</v>
      </c>
      <c r="AO118" s="277" t="s">
        <v>4731</v>
      </c>
      <c r="AP118" s="277" t="s">
        <v>4732</v>
      </c>
      <c r="AQ118" s="292">
        <f>SUM('PER BULAN'!AX194)</f>
        <v>0</v>
      </c>
      <c r="AR118" s="292">
        <f>SUM('PER BULAN'!AY194)</f>
        <v>2500000</v>
      </c>
      <c r="AS118" s="292">
        <f>SUM('PER BULAN'!AZ194)</f>
        <v>0</v>
      </c>
      <c r="AT118" s="292">
        <f>SUM('PER BULAN'!BA194)</f>
        <v>3400000</v>
      </c>
      <c r="AU118" s="292">
        <f>SUM('PER BULAN'!BB194)</f>
        <v>2590000</v>
      </c>
      <c r="AV118" s="292">
        <f>SUM('PER BULAN'!BC194)</f>
        <v>2495000</v>
      </c>
      <c r="AW118" s="292">
        <f>SUM('PER BULAN'!BD194)</f>
        <v>0</v>
      </c>
      <c r="AX118" s="292">
        <f>SUM('PER BULAN'!BE194)</f>
        <v>0</v>
      </c>
    </row>
    <row r="119" spans="1:50" s="278" customFormat="1" x14ac:dyDescent="0.3">
      <c r="A119" s="277" t="s">
        <v>4693</v>
      </c>
      <c r="B119" s="277" t="s">
        <v>4694</v>
      </c>
      <c r="C119" s="277" t="s">
        <v>4720</v>
      </c>
      <c r="D119" s="277" t="s">
        <v>4721</v>
      </c>
      <c r="E119" s="277" t="s">
        <v>197</v>
      </c>
      <c r="F119" s="277" t="s">
        <v>4722</v>
      </c>
      <c r="G119" s="277" t="s">
        <v>4778</v>
      </c>
      <c r="H119" s="277" t="s">
        <v>4779</v>
      </c>
      <c r="I119" s="277">
        <v>955</v>
      </c>
      <c r="J119" s="277" t="s">
        <v>4789</v>
      </c>
      <c r="K119" s="277">
        <v>301</v>
      </c>
      <c r="L119" s="277" t="s">
        <v>4790</v>
      </c>
      <c r="M119" s="277" t="s">
        <v>514</v>
      </c>
      <c r="N119" s="277" t="s">
        <v>4794</v>
      </c>
      <c r="O119" s="277">
        <v>522151</v>
      </c>
      <c r="P119" s="277" t="s">
        <v>4701</v>
      </c>
      <c r="Q119" s="278">
        <v>3600000</v>
      </c>
      <c r="R119" s="292">
        <f>SUM('PER BULAN'!G195:I195)</f>
        <v>0</v>
      </c>
      <c r="S119" s="292">
        <f>SUM('PER BULAN'!J195:L195)</f>
        <v>0</v>
      </c>
      <c r="T119" s="292">
        <f>SUM('PER BULAN'!M195:O195)</f>
        <v>0</v>
      </c>
      <c r="U119" s="292">
        <f>SUM('PER BULAN'!P195:R195)</f>
        <v>0</v>
      </c>
      <c r="V119" s="292">
        <f>SUM('PER BULAN'!S195:U195)</f>
        <v>0</v>
      </c>
      <c r="W119" s="292">
        <f>SUM('PER BULAN'!V195:X195)</f>
        <v>0</v>
      </c>
      <c r="X119" s="292">
        <f>SUM('PER BULAN'!Y195:AA195)</f>
        <v>0</v>
      </c>
      <c r="Y119" s="292">
        <f>SUM('PER BULAN'!AB195:AD195)</f>
        <v>0</v>
      </c>
      <c r="Z119" s="292">
        <f>SUM('PER BULAN'!AE195:AG195)</f>
        <v>0</v>
      </c>
      <c r="AA119" s="292">
        <f>SUM('PER BULAN'!AH195:AJ195)</f>
        <v>0</v>
      </c>
      <c r="AB119" s="292">
        <f>SUM('PER BULAN'!AK195:AM195)</f>
        <v>0</v>
      </c>
      <c r="AC119" s="292">
        <f>SUM('PER BULAN'!AN195:AP195)</f>
        <v>0</v>
      </c>
      <c r="AD119" s="277" t="s">
        <v>530</v>
      </c>
      <c r="AE119" s="277" t="s">
        <v>576</v>
      </c>
      <c r="AF119" s="277" t="s">
        <v>546</v>
      </c>
      <c r="AG119" s="277" t="s">
        <v>4699</v>
      </c>
      <c r="AH119" s="277" t="s">
        <v>4700</v>
      </c>
      <c r="AI119" s="277">
        <f t="shared" si="6"/>
        <v>0</v>
      </c>
      <c r="AJ119" s="291">
        <f t="shared" si="7"/>
        <v>0</v>
      </c>
      <c r="AK119" s="277">
        <f t="shared" si="8"/>
        <v>3600000</v>
      </c>
      <c r="AL119" s="291">
        <f t="shared" si="9"/>
        <v>100</v>
      </c>
      <c r="AM119" s="277" t="s">
        <v>3359</v>
      </c>
      <c r="AN119" s="277" t="s">
        <v>4730</v>
      </c>
      <c r="AO119" s="277" t="s">
        <v>4735</v>
      </c>
      <c r="AP119" s="277" t="s">
        <v>4732</v>
      </c>
      <c r="AQ119" s="292">
        <f>SUM('PER BULAN'!AX195)</f>
        <v>0</v>
      </c>
      <c r="AR119" s="292">
        <f>SUM('PER BULAN'!AY195)</f>
        <v>0</v>
      </c>
      <c r="AS119" s="292">
        <f>SUM('PER BULAN'!AZ195)</f>
        <v>0</v>
      </c>
      <c r="AT119" s="292">
        <f>SUM('PER BULAN'!BA195)</f>
        <v>0</v>
      </c>
      <c r="AU119" s="292">
        <f>SUM('PER BULAN'!BB195)</f>
        <v>0</v>
      </c>
      <c r="AV119" s="292">
        <f>SUM('PER BULAN'!BC195)</f>
        <v>0</v>
      </c>
      <c r="AW119" s="292">
        <f>SUM('PER BULAN'!BD195)</f>
        <v>0</v>
      </c>
      <c r="AX119" s="292">
        <f>SUM('PER BULAN'!BE195)</f>
        <v>0</v>
      </c>
    </row>
    <row r="120" spans="1:50" s="278" customFormat="1" x14ac:dyDescent="0.3">
      <c r="A120" s="277" t="s">
        <v>4693</v>
      </c>
      <c r="B120" s="277" t="s">
        <v>4694</v>
      </c>
      <c r="C120" s="277" t="s">
        <v>4720</v>
      </c>
      <c r="D120" s="277" t="s">
        <v>4721</v>
      </c>
      <c r="E120" s="277" t="s">
        <v>197</v>
      </c>
      <c r="F120" s="277" t="s">
        <v>4722</v>
      </c>
      <c r="G120" s="277" t="s">
        <v>4778</v>
      </c>
      <c r="H120" s="277" t="s">
        <v>4779</v>
      </c>
      <c r="I120" s="277">
        <v>955</v>
      </c>
      <c r="J120" s="277" t="s">
        <v>4789</v>
      </c>
      <c r="K120" s="277">
        <v>301</v>
      </c>
      <c r="L120" s="277" t="s">
        <v>4790</v>
      </c>
      <c r="M120" s="277" t="s">
        <v>514</v>
      </c>
      <c r="N120" s="277" t="s">
        <v>4794</v>
      </c>
      <c r="O120" s="277">
        <v>524111</v>
      </c>
      <c r="P120" s="277" t="s">
        <v>4702</v>
      </c>
      <c r="Q120" s="278">
        <v>42000000</v>
      </c>
      <c r="R120" s="292">
        <f>SUM('PER BULAN'!G197:I197)</f>
        <v>0</v>
      </c>
      <c r="S120" s="292">
        <f>SUM('PER BULAN'!J196:L196)</f>
        <v>0</v>
      </c>
      <c r="T120" s="292">
        <f>SUM('PER BULAN'!M196:O196)</f>
        <v>0</v>
      </c>
      <c r="U120" s="292">
        <f>SUM('PER BULAN'!P196:R196)</f>
        <v>11593200</v>
      </c>
      <c r="V120" s="292">
        <f>SUM('PER BULAN'!S196:U196)</f>
        <v>9041268</v>
      </c>
      <c r="W120" s="292">
        <f>SUM('PER BULAN'!V196:X196)</f>
        <v>0</v>
      </c>
      <c r="X120" s="292">
        <f>SUM('PER BULAN'!Y196:AA196)</f>
        <v>0</v>
      </c>
      <c r="Y120" s="292">
        <f>SUM('PER BULAN'!AB196:AD196)</f>
        <v>0</v>
      </c>
      <c r="Z120" s="292">
        <f>SUM('PER BULAN'!AE196:AG196)</f>
        <v>0</v>
      </c>
      <c r="AA120" s="292">
        <f>SUM('PER BULAN'!AH196:AJ196)</f>
        <v>0</v>
      </c>
      <c r="AB120" s="292">
        <f>SUM('PER BULAN'!AK196:AM196)</f>
        <v>0</v>
      </c>
      <c r="AC120" s="292">
        <f>SUM('PER BULAN'!AN196:AP196)</f>
        <v>0</v>
      </c>
      <c r="AD120" s="277" t="s">
        <v>530</v>
      </c>
      <c r="AE120" s="277" t="s">
        <v>576</v>
      </c>
      <c r="AF120" s="277" t="s">
        <v>546</v>
      </c>
      <c r="AG120" s="277" t="s">
        <v>4699</v>
      </c>
      <c r="AH120" s="277" t="s">
        <v>4700</v>
      </c>
      <c r="AI120" s="277">
        <f t="shared" si="6"/>
        <v>20634468</v>
      </c>
      <c r="AJ120" s="291">
        <f t="shared" si="7"/>
        <v>49.129685714285714</v>
      </c>
      <c r="AK120" s="277">
        <f t="shared" si="8"/>
        <v>21365532</v>
      </c>
      <c r="AL120" s="291">
        <f t="shared" si="9"/>
        <v>50.870314285714294</v>
      </c>
      <c r="AM120" s="277" t="s">
        <v>3361</v>
      </c>
      <c r="AN120" s="277" t="s">
        <v>4730</v>
      </c>
      <c r="AO120" s="277" t="s">
        <v>4736</v>
      </c>
      <c r="AP120" s="277" t="s">
        <v>4732</v>
      </c>
      <c r="AQ120" s="292">
        <f>SUM('PER BULAN'!AX196)</f>
        <v>0</v>
      </c>
      <c r="AR120" s="292">
        <f>SUM('PER BULAN'!AY196)</f>
        <v>0</v>
      </c>
      <c r="AS120" s="292">
        <f>SUM('PER BULAN'!AZ196)</f>
        <v>0</v>
      </c>
      <c r="AT120" s="292">
        <f>SUM('PER BULAN'!BA196)</f>
        <v>11593200</v>
      </c>
      <c r="AU120" s="292">
        <f>SUM('PER BULAN'!BB196)</f>
        <v>0</v>
      </c>
      <c r="AV120" s="292">
        <f>SUM('PER BULAN'!BC196)</f>
        <v>0</v>
      </c>
      <c r="AW120" s="292">
        <f>SUM('PER BULAN'!BD196)</f>
        <v>9041268</v>
      </c>
      <c r="AX120" s="292">
        <f>SUM('PER BULAN'!BE196)</f>
        <v>0</v>
      </c>
    </row>
    <row r="121" spans="1:50" s="278" customFormat="1" x14ac:dyDescent="0.3">
      <c r="A121" s="277" t="s">
        <v>4693</v>
      </c>
      <c r="B121" s="277" t="s">
        <v>4694</v>
      </c>
      <c r="C121" s="277" t="s">
        <v>4720</v>
      </c>
      <c r="D121" s="277" t="s">
        <v>4721</v>
      </c>
      <c r="E121" s="277" t="s">
        <v>197</v>
      </c>
      <c r="F121" s="277" t="s">
        <v>4722</v>
      </c>
      <c r="G121" s="277" t="s">
        <v>4778</v>
      </c>
      <c r="H121" s="277" t="s">
        <v>4779</v>
      </c>
      <c r="I121" s="277">
        <v>955</v>
      </c>
      <c r="J121" s="277" t="s">
        <v>4789</v>
      </c>
      <c r="K121" s="277">
        <v>301</v>
      </c>
      <c r="L121" s="277" t="s">
        <v>4790</v>
      </c>
      <c r="M121" s="277" t="s">
        <v>519</v>
      </c>
      <c r="N121" s="277" t="s">
        <v>4795</v>
      </c>
      <c r="O121" s="277">
        <v>521211</v>
      </c>
      <c r="P121" s="277" t="s">
        <v>4698</v>
      </c>
      <c r="Q121" s="278">
        <v>15000000</v>
      </c>
      <c r="R121" s="292">
        <f>SUM('PER BULAN'!G198:I198)</f>
        <v>0</v>
      </c>
      <c r="S121" s="292">
        <f>SUM('PER BULAN'!J198:L198)</f>
        <v>0</v>
      </c>
      <c r="T121" s="292">
        <f>SUM('PER BULAN'!M198:O198)</f>
        <v>2499500</v>
      </c>
      <c r="U121" s="292">
        <f>SUM('PER BULAN'!P198:R198)</f>
        <v>0</v>
      </c>
      <c r="V121" s="292">
        <f>SUM('PER BULAN'!S198:U198)</f>
        <v>2444500</v>
      </c>
      <c r="W121" s="292">
        <f>SUM('PER BULAN'!V198:X198)</f>
        <v>0</v>
      </c>
      <c r="X121" s="292">
        <f>SUM('PER BULAN'!Y198:AA198)</f>
        <v>0</v>
      </c>
      <c r="Y121" s="292">
        <f>SUM('PER BULAN'!AB198:AD198)</f>
        <v>0</v>
      </c>
      <c r="Z121" s="292">
        <f>SUM('PER BULAN'!AE198:AG198)</f>
        <v>0</v>
      </c>
      <c r="AA121" s="292">
        <f>SUM('PER BULAN'!AH198:AJ198)</f>
        <v>0</v>
      </c>
      <c r="AB121" s="292">
        <f>SUM('PER BULAN'!AK198:AM198)</f>
        <v>0</v>
      </c>
      <c r="AC121" s="292">
        <f>SUM('PER BULAN'!AN198:AP198)</f>
        <v>0</v>
      </c>
      <c r="AD121" s="277" t="s">
        <v>530</v>
      </c>
      <c r="AE121" s="277" t="s">
        <v>576</v>
      </c>
      <c r="AF121" s="277" t="s">
        <v>546</v>
      </c>
      <c r="AG121" s="277" t="s">
        <v>4699</v>
      </c>
      <c r="AH121" s="277" t="s">
        <v>4700</v>
      </c>
      <c r="AI121" s="277">
        <f t="shared" si="6"/>
        <v>4944000</v>
      </c>
      <c r="AJ121" s="291">
        <f t="shared" si="7"/>
        <v>32.96</v>
      </c>
      <c r="AK121" s="277">
        <f t="shared" si="8"/>
        <v>10056000</v>
      </c>
      <c r="AL121" s="291">
        <f t="shared" si="9"/>
        <v>67.040000000000006</v>
      </c>
      <c r="AM121" s="277" t="s">
        <v>3368</v>
      </c>
      <c r="AN121" s="277" t="s">
        <v>4730</v>
      </c>
      <c r="AO121" s="277" t="s">
        <v>4731</v>
      </c>
      <c r="AP121" s="277" t="s">
        <v>4732</v>
      </c>
      <c r="AQ121" s="292">
        <f>SUM('PER BULAN'!AX198)</f>
        <v>0</v>
      </c>
      <c r="AR121" s="292">
        <f>SUM('PER BULAN'!AY198)</f>
        <v>2499500</v>
      </c>
      <c r="AS121" s="292">
        <f>SUM('PER BULAN'!AZ198)</f>
        <v>0</v>
      </c>
      <c r="AT121" s="292">
        <f>SUM('PER BULAN'!BA198)</f>
        <v>0</v>
      </c>
      <c r="AU121" s="292">
        <f>SUM('PER BULAN'!BB198)</f>
        <v>0</v>
      </c>
      <c r="AV121" s="292">
        <f>SUM('PER BULAN'!BC198)</f>
        <v>2444500</v>
      </c>
      <c r="AW121" s="292">
        <f>SUM('PER BULAN'!BD198)</f>
        <v>0</v>
      </c>
      <c r="AX121" s="292">
        <f>SUM('PER BULAN'!BE198)</f>
        <v>0</v>
      </c>
    </row>
    <row r="122" spans="1:50" s="278" customFormat="1" x14ac:dyDescent="0.3">
      <c r="A122" s="277" t="s">
        <v>4693</v>
      </c>
      <c r="B122" s="277" t="s">
        <v>4694</v>
      </c>
      <c r="C122" s="277" t="s">
        <v>4720</v>
      </c>
      <c r="D122" s="277" t="s">
        <v>4721</v>
      </c>
      <c r="E122" s="277" t="s">
        <v>197</v>
      </c>
      <c r="F122" s="277" t="s">
        <v>4722</v>
      </c>
      <c r="G122" s="277" t="s">
        <v>4778</v>
      </c>
      <c r="H122" s="277" t="s">
        <v>4779</v>
      </c>
      <c r="I122" s="277">
        <v>955</v>
      </c>
      <c r="J122" s="277" t="s">
        <v>4789</v>
      </c>
      <c r="K122" s="277">
        <v>301</v>
      </c>
      <c r="L122" s="277" t="s">
        <v>4790</v>
      </c>
      <c r="M122" s="277" t="s">
        <v>519</v>
      </c>
      <c r="N122" s="277" t="s">
        <v>4795</v>
      </c>
      <c r="O122" s="277">
        <v>524111</v>
      </c>
      <c r="P122" s="277" t="s">
        <v>4702</v>
      </c>
      <c r="Q122" s="278">
        <v>12000000</v>
      </c>
      <c r="R122" s="292">
        <f>SUM('PER BULAN'!G200:I200)</f>
        <v>0</v>
      </c>
      <c r="S122" s="292">
        <f>SUM('PER BULAN'!J199:L199)</f>
        <v>0</v>
      </c>
      <c r="T122" s="292">
        <f>SUM('PER BULAN'!M199:O199)</f>
        <v>0</v>
      </c>
      <c r="U122" s="292">
        <f>SUM('PER BULAN'!P199:R199)</f>
        <v>0</v>
      </c>
      <c r="V122" s="292">
        <f>SUM('PER BULAN'!S199:U199)</f>
        <v>0</v>
      </c>
      <c r="W122" s="292">
        <f>SUM('PER BULAN'!V199:X199)</f>
        <v>0</v>
      </c>
      <c r="X122" s="292">
        <f>SUM('PER BULAN'!Y199:AA199)</f>
        <v>0</v>
      </c>
      <c r="Y122" s="292">
        <f>SUM('PER BULAN'!AB199:AD199)</f>
        <v>0</v>
      </c>
      <c r="Z122" s="292">
        <f>SUM('PER BULAN'!AE199:AG199)</f>
        <v>0</v>
      </c>
      <c r="AA122" s="292">
        <f>SUM('PER BULAN'!AH199:AJ199)</f>
        <v>0</v>
      </c>
      <c r="AB122" s="292">
        <f>SUM('PER BULAN'!AK199:AM199)</f>
        <v>0</v>
      </c>
      <c r="AC122" s="292">
        <f>SUM('PER BULAN'!AN199:AP199)</f>
        <v>0</v>
      </c>
      <c r="AD122" s="277" t="s">
        <v>530</v>
      </c>
      <c r="AE122" s="277" t="s">
        <v>576</v>
      </c>
      <c r="AF122" s="277" t="s">
        <v>546</v>
      </c>
      <c r="AG122" s="277" t="s">
        <v>4699</v>
      </c>
      <c r="AH122" s="277" t="s">
        <v>4700</v>
      </c>
      <c r="AI122" s="277">
        <f t="shared" si="6"/>
        <v>0</v>
      </c>
      <c r="AJ122" s="291">
        <f t="shared" si="7"/>
        <v>0</v>
      </c>
      <c r="AK122" s="277">
        <f t="shared" si="8"/>
        <v>12000000</v>
      </c>
      <c r="AL122" s="291">
        <f t="shared" si="9"/>
        <v>100</v>
      </c>
      <c r="AM122" s="277" t="s">
        <v>3371</v>
      </c>
      <c r="AN122" s="277" t="s">
        <v>4730</v>
      </c>
      <c r="AO122" s="277" t="s">
        <v>4736</v>
      </c>
      <c r="AP122" s="277" t="s">
        <v>4732</v>
      </c>
      <c r="AQ122" s="292">
        <f>SUM('PER BULAN'!AX199)</f>
        <v>0</v>
      </c>
      <c r="AR122" s="292">
        <f>SUM('PER BULAN'!AY199)</f>
        <v>0</v>
      </c>
      <c r="AS122" s="292">
        <f>SUM('PER BULAN'!AZ199)</f>
        <v>0</v>
      </c>
      <c r="AT122" s="292">
        <f>SUM('PER BULAN'!BA199)</f>
        <v>0</v>
      </c>
      <c r="AU122" s="292">
        <f>SUM('PER BULAN'!BB199)</f>
        <v>0</v>
      </c>
      <c r="AV122" s="292">
        <f>SUM('PER BULAN'!BC199)</f>
        <v>0</v>
      </c>
      <c r="AW122" s="292">
        <f>SUM('PER BULAN'!BD199)</f>
        <v>0</v>
      </c>
      <c r="AX122" s="292">
        <f>SUM('PER BULAN'!BE199)</f>
        <v>0</v>
      </c>
    </row>
    <row r="123" spans="1:50" s="278" customFormat="1" x14ac:dyDescent="0.3">
      <c r="A123" s="277" t="s">
        <v>4693</v>
      </c>
      <c r="B123" s="277" t="s">
        <v>4694</v>
      </c>
      <c r="C123" s="277" t="s">
        <v>4720</v>
      </c>
      <c r="D123" s="277" t="s">
        <v>4721</v>
      </c>
      <c r="E123" s="277" t="s">
        <v>197</v>
      </c>
      <c r="F123" s="277" t="s">
        <v>4722</v>
      </c>
      <c r="G123" s="277" t="s">
        <v>4778</v>
      </c>
      <c r="H123" s="277" t="s">
        <v>4779</v>
      </c>
      <c r="I123" s="277">
        <v>955</v>
      </c>
      <c r="J123" s="277" t="s">
        <v>4789</v>
      </c>
      <c r="K123" s="277">
        <v>301</v>
      </c>
      <c r="L123" s="277" t="s">
        <v>4790</v>
      </c>
      <c r="M123" s="277" t="s">
        <v>578</v>
      </c>
      <c r="N123" s="277" t="s">
        <v>4796</v>
      </c>
      <c r="O123" s="277">
        <v>521211</v>
      </c>
      <c r="P123" s="277" t="s">
        <v>4698</v>
      </c>
      <c r="Q123" s="278">
        <v>4800000</v>
      </c>
      <c r="R123" s="292">
        <f>SUM('PER BULAN'!G201:I201)</f>
        <v>0</v>
      </c>
      <c r="S123" s="292">
        <f>SUM('PER BULAN'!J201:L201)</f>
        <v>0</v>
      </c>
      <c r="T123" s="292">
        <f>SUM('PER BULAN'!M201:O201)</f>
        <v>0</v>
      </c>
      <c r="U123" s="292">
        <f>SUM('PER BULAN'!P201:R201)</f>
        <v>0</v>
      </c>
      <c r="V123" s="292">
        <f>SUM('PER BULAN'!S201:U201)</f>
        <v>0</v>
      </c>
      <c r="W123" s="292">
        <f>SUM('PER BULAN'!V201:X201)</f>
        <v>0</v>
      </c>
      <c r="X123" s="292">
        <f>SUM('PER BULAN'!Y201:AA201)</f>
        <v>0</v>
      </c>
      <c r="Y123" s="292">
        <f>SUM('PER BULAN'!AB201:AD201)</f>
        <v>0</v>
      </c>
      <c r="Z123" s="292">
        <f>SUM('PER BULAN'!AE201:AG201)</f>
        <v>0</v>
      </c>
      <c r="AA123" s="292">
        <f>SUM('PER BULAN'!AH201:AJ201)</f>
        <v>0</v>
      </c>
      <c r="AB123" s="292">
        <f>SUM('PER BULAN'!AK201:AM201)</f>
        <v>0</v>
      </c>
      <c r="AC123" s="292">
        <f>SUM('PER BULAN'!AN201:AP201)</f>
        <v>0</v>
      </c>
      <c r="AD123" s="277" t="s">
        <v>530</v>
      </c>
      <c r="AE123" s="277" t="s">
        <v>576</v>
      </c>
      <c r="AF123" s="277" t="s">
        <v>546</v>
      </c>
      <c r="AG123" s="277" t="s">
        <v>4699</v>
      </c>
      <c r="AH123" s="277" t="s">
        <v>4700</v>
      </c>
      <c r="AI123" s="277">
        <f t="shared" si="6"/>
        <v>0</v>
      </c>
      <c r="AJ123" s="291">
        <f t="shared" si="7"/>
        <v>0</v>
      </c>
      <c r="AK123" s="277">
        <f t="shared" si="8"/>
        <v>4800000</v>
      </c>
      <c r="AL123" s="291">
        <f t="shared" si="9"/>
        <v>100</v>
      </c>
      <c r="AM123" s="277" t="s">
        <v>3378</v>
      </c>
      <c r="AN123" s="277" t="s">
        <v>4730</v>
      </c>
      <c r="AO123" s="277" t="s">
        <v>4731</v>
      </c>
      <c r="AP123" s="277" t="s">
        <v>4732</v>
      </c>
      <c r="AQ123" s="292">
        <f>SUM('PER BULAN'!AX201)</f>
        <v>0</v>
      </c>
      <c r="AR123" s="292">
        <f>SUM('PER BULAN'!AY201)</f>
        <v>0</v>
      </c>
      <c r="AS123" s="292">
        <f>SUM('PER BULAN'!AZ201)</f>
        <v>0</v>
      </c>
      <c r="AT123" s="292">
        <f>SUM('PER BULAN'!BA201)</f>
        <v>0</v>
      </c>
      <c r="AU123" s="292">
        <f>SUM('PER BULAN'!BB201)</f>
        <v>0</v>
      </c>
      <c r="AV123" s="292">
        <f>SUM('PER BULAN'!BC201)</f>
        <v>0</v>
      </c>
      <c r="AW123" s="292">
        <f>SUM('PER BULAN'!BD201)</f>
        <v>0</v>
      </c>
      <c r="AX123" s="292">
        <f>SUM('PER BULAN'!BE201)</f>
        <v>0</v>
      </c>
    </row>
    <row r="124" spans="1:50" s="278" customFormat="1" x14ac:dyDescent="0.3">
      <c r="A124" s="277" t="s">
        <v>4693</v>
      </c>
      <c r="B124" s="277" t="s">
        <v>4694</v>
      </c>
      <c r="C124" s="277" t="s">
        <v>4720</v>
      </c>
      <c r="D124" s="277" t="s">
        <v>4721</v>
      </c>
      <c r="E124" s="277" t="s">
        <v>197</v>
      </c>
      <c r="F124" s="277" t="s">
        <v>4722</v>
      </c>
      <c r="G124" s="277" t="s">
        <v>4778</v>
      </c>
      <c r="H124" s="277" t="s">
        <v>4779</v>
      </c>
      <c r="I124" s="277">
        <v>955</v>
      </c>
      <c r="J124" s="277" t="s">
        <v>4789</v>
      </c>
      <c r="K124" s="277">
        <v>301</v>
      </c>
      <c r="L124" s="277" t="s">
        <v>4790</v>
      </c>
      <c r="M124" s="277" t="s">
        <v>578</v>
      </c>
      <c r="N124" s="277" t="s">
        <v>4796</v>
      </c>
      <c r="O124" s="277">
        <v>521811</v>
      </c>
      <c r="P124" s="277" t="s">
        <v>4716</v>
      </c>
      <c r="Q124" s="278">
        <v>27500000</v>
      </c>
      <c r="R124" s="292">
        <f>SUM('PER BULAN'!G202:I202)</f>
        <v>0</v>
      </c>
      <c r="S124" s="292">
        <f>SUM('PER BULAN'!J202:L202)</f>
        <v>0</v>
      </c>
      <c r="T124" s="292">
        <f>SUM('PER BULAN'!M202:O202)</f>
        <v>4980000</v>
      </c>
      <c r="U124" s="292">
        <f>SUM('PER BULAN'!P202:R202)</f>
        <v>2490000</v>
      </c>
      <c r="V124" s="292">
        <f>SUM('PER BULAN'!S202:U202)</f>
        <v>2490000</v>
      </c>
      <c r="W124" s="292">
        <f>SUM('PER BULAN'!V202:X202)</f>
        <v>0</v>
      </c>
      <c r="X124" s="292">
        <f>SUM('PER BULAN'!Y202:AA202)</f>
        <v>0</v>
      </c>
      <c r="Y124" s="292">
        <f>SUM('PER BULAN'!AB202:AD202)</f>
        <v>0</v>
      </c>
      <c r="Z124" s="292">
        <f>SUM('PER BULAN'!AE202:AG202)</f>
        <v>0</v>
      </c>
      <c r="AA124" s="292">
        <f>SUM('PER BULAN'!AH202:AJ202)</f>
        <v>0</v>
      </c>
      <c r="AB124" s="292">
        <f>SUM('PER BULAN'!AK202:AM202)</f>
        <v>0</v>
      </c>
      <c r="AC124" s="292">
        <f>SUM('PER BULAN'!AN202:AP202)</f>
        <v>0</v>
      </c>
      <c r="AD124" s="277" t="s">
        <v>530</v>
      </c>
      <c r="AE124" s="277" t="s">
        <v>576</v>
      </c>
      <c r="AF124" s="277" t="s">
        <v>546</v>
      </c>
      <c r="AG124" s="277" t="s">
        <v>4699</v>
      </c>
      <c r="AH124" s="277" t="s">
        <v>4700</v>
      </c>
      <c r="AI124" s="277">
        <f t="shared" si="6"/>
        <v>9960000</v>
      </c>
      <c r="AJ124" s="291">
        <f t="shared" si="7"/>
        <v>36.218181818181819</v>
      </c>
      <c r="AK124" s="277">
        <f t="shared" si="8"/>
        <v>17540000</v>
      </c>
      <c r="AL124" s="291">
        <f t="shared" si="9"/>
        <v>63.781818181818181</v>
      </c>
      <c r="AM124" s="277" t="s">
        <v>3381</v>
      </c>
      <c r="AN124" s="277" t="s">
        <v>4730</v>
      </c>
      <c r="AO124" s="277" t="s">
        <v>4826</v>
      </c>
      <c r="AP124" s="277" t="s">
        <v>4732</v>
      </c>
      <c r="AQ124" s="292">
        <f>SUM('PER BULAN'!AX202)</f>
        <v>0</v>
      </c>
      <c r="AR124" s="292">
        <f>SUM('PER BULAN'!AY202)</f>
        <v>2490000</v>
      </c>
      <c r="AS124" s="292">
        <f>SUM('PER BULAN'!AZ202)</f>
        <v>2490000</v>
      </c>
      <c r="AT124" s="292">
        <f>SUM('PER BULAN'!BA202)</f>
        <v>2490000</v>
      </c>
      <c r="AU124" s="292">
        <f>SUM('PER BULAN'!BB202)</f>
        <v>0</v>
      </c>
      <c r="AV124" s="292">
        <f>SUM('PER BULAN'!BC202)</f>
        <v>0</v>
      </c>
      <c r="AW124" s="292">
        <f>SUM('PER BULAN'!BD202)</f>
        <v>2490000</v>
      </c>
      <c r="AX124" s="292">
        <f>SUM('PER BULAN'!BE202)</f>
        <v>0</v>
      </c>
    </row>
    <row r="125" spans="1:50" s="278" customFormat="1" x14ac:dyDescent="0.3">
      <c r="A125" s="277" t="s">
        <v>4693</v>
      </c>
      <c r="B125" s="277" t="s">
        <v>4694</v>
      </c>
      <c r="C125" s="277" t="s">
        <v>4720</v>
      </c>
      <c r="D125" s="277" t="s">
        <v>4721</v>
      </c>
      <c r="E125" s="277" t="s">
        <v>197</v>
      </c>
      <c r="F125" s="277" t="s">
        <v>4722</v>
      </c>
      <c r="G125" s="277" t="s">
        <v>4778</v>
      </c>
      <c r="H125" s="277" t="s">
        <v>4779</v>
      </c>
      <c r="I125" s="277">
        <v>955</v>
      </c>
      <c r="J125" s="277" t="s">
        <v>4789</v>
      </c>
      <c r="K125" s="277">
        <v>301</v>
      </c>
      <c r="L125" s="277" t="s">
        <v>4790</v>
      </c>
      <c r="M125" s="277" t="s">
        <v>578</v>
      </c>
      <c r="N125" s="277" t="s">
        <v>4796</v>
      </c>
      <c r="O125" s="277">
        <v>524111</v>
      </c>
      <c r="P125" s="277" t="s">
        <v>4702</v>
      </c>
      <c r="Q125" s="278">
        <v>56380000</v>
      </c>
      <c r="R125" s="292">
        <f>SUM('PER BULAN'!G208:I208)</f>
        <v>0</v>
      </c>
      <c r="S125" s="292">
        <f>SUM('PER BULAN'!J203:L203)</f>
        <v>0</v>
      </c>
      <c r="T125" s="292">
        <f>SUM('PER BULAN'!M203:O203)</f>
        <v>45420000</v>
      </c>
      <c r="U125" s="292">
        <f>SUM('PER BULAN'!P203:R203)</f>
        <v>0</v>
      </c>
      <c r="V125" s="292">
        <f>SUM('PER BULAN'!S203:U203)</f>
        <v>7280000</v>
      </c>
      <c r="W125" s="292">
        <f>SUM('PER BULAN'!V203:X203)</f>
        <v>2030000</v>
      </c>
      <c r="X125" s="292">
        <f>SUM('PER BULAN'!Y203:AA203)</f>
        <v>0</v>
      </c>
      <c r="Y125" s="292">
        <f>SUM('PER BULAN'!AB203:AD203)</f>
        <v>0</v>
      </c>
      <c r="Z125" s="292">
        <f>SUM('PER BULAN'!AE203:AG203)</f>
        <v>0</v>
      </c>
      <c r="AA125" s="292">
        <f>SUM('PER BULAN'!AH203:AJ203)</f>
        <v>0</v>
      </c>
      <c r="AB125" s="292">
        <f>SUM('PER BULAN'!AK203:AM203)</f>
        <v>0</v>
      </c>
      <c r="AC125" s="292">
        <f>SUM('PER BULAN'!AN203:AP203)</f>
        <v>0</v>
      </c>
      <c r="AD125" s="277" t="s">
        <v>530</v>
      </c>
      <c r="AE125" s="277" t="s">
        <v>576</v>
      </c>
      <c r="AF125" s="277" t="s">
        <v>546</v>
      </c>
      <c r="AG125" s="277" t="s">
        <v>4699</v>
      </c>
      <c r="AH125" s="277" t="s">
        <v>4700</v>
      </c>
      <c r="AI125" s="277">
        <f t="shared" si="6"/>
        <v>54730000</v>
      </c>
      <c r="AJ125" s="291">
        <f>AI125/Q125*100</f>
        <v>97.073430294430651</v>
      </c>
      <c r="AK125" s="277">
        <f t="shared" si="8"/>
        <v>1650000</v>
      </c>
      <c r="AL125" s="291">
        <f t="shared" si="9"/>
        <v>2.9265697055693507</v>
      </c>
      <c r="AM125" s="277" t="s">
        <v>3384</v>
      </c>
      <c r="AN125" s="277" t="s">
        <v>4730</v>
      </c>
      <c r="AO125" s="277" t="s">
        <v>4736</v>
      </c>
      <c r="AP125" s="277" t="s">
        <v>4732</v>
      </c>
      <c r="AQ125" s="292">
        <f>SUM('PER BULAN'!AX203)</f>
        <v>0</v>
      </c>
      <c r="AR125" s="292">
        <f>SUM('PER BULAN'!AY203)</f>
        <v>34560000</v>
      </c>
      <c r="AS125" s="292">
        <f>SUM('PER BULAN'!AZ203)</f>
        <v>10860000</v>
      </c>
      <c r="AT125" s="292">
        <f>SUM('PER BULAN'!BA203)</f>
        <v>0</v>
      </c>
      <c r="AU125" s="292">
        <f>SUM('PER BULAN'!BB203)</f>
        <v>5600000</v>
      </c>
      <c r="AV125" s="292">
        <f>SUM('PER BULAN'!BC203)</f>
        <v>0</v>
      </c>
      <c r="AW125" s="292">
        <f>SUM('PER BULAN'!BD203)</f>
        <v>1680000</v>
      </c>
      <c r="AX125" s="292">
        <f>SUM('PER BULAN'!BE203)</f>
        <v>2030000</v>
      </c>
    </row>
    <row r="126" spans="1:50" s="278" customFormat="1" x14ac:dyDescent="0.3">
      <c r="A126" s="277" t="s">
        <v>4693</v>
      </c>
      <c r="B126" s="277" t="s">
        <v>4694</v>
      </c>
      <c r="C126" s="277" t="s">
        <v>4720</v>
      </c>
      <c r="D126" s="277" t="s">
        <v>4721</v>
      </c>
      <c r="E126" s="277" t="s">
        <v>198</v>
      </c>
      <c r="F126" s="277" t="s">
        <v>4729</v>
      </c>
      <c r="G126" s="277" t="s">
        <v>4797</v>
      </c>
      <c r="H126" s="277" t="s">
        <v>4798</v>
      </c>
      <c r="I126" s="277">
        <v>996</v>
      </c>
      <c r="J126" s="277" t="s">
        <v>4799</v>
      </c>
      <c r="K126" s="277">
        <v>301</v>
      </c>
      <c r="L126" s="277" t="s">
        <v>4800</v>
      </c>
      <c r="M126" s="277" t="s">
        <v>8</v>
      </c>
      <c r="N126" s="277" t="s">
        <v>4801</v>
      </c>
      <c r="O126" s="277">
        <v>521211</v>
      </c>
      <c r="P126" s="277" t="s">
        <v>4698</v>
      </c>
      <c r="Q126" s="278">
        <v>99100000</v>
      </c>
      <c r="R126" s="292">
        <f>SUM('PER BULAN'!G209:I209)</f>
        <v>0</v>
      </c>
      <c r="S126" s="292">
        <f>SUM('PER BULAN'!J209:L209)</f>
        <v>0</v>
      </c>
      <c r="T126" s="292">
        <f>SUM('PER BULAN'!M209:O209)</f>
        <v>0</v>
      </c>
      <c r="U126" s="292">
        <f>SUM('PER BULAN'!P209:R209)</f>
        <v>0</v>
      </c>
      <c r="V126" s="292">
        <f>SUM('PER BULAN'!S209:U209)</f>
        <v>0</v>
      </c>
      <c r="W126" s="292">
        <f>SUM('PER BULAN'!V209:X209)</f>
        <v>0</v>
      </c>
      <c r="X126" s="292">
        <f>SUM('PER BULAN'!Y209:AA209)</f>
        <v>0</v>
      </c>
      <c r="Y126" s="292">
        <f>SUM('PER BULAN'!AB209:AD209)</f>
        <v>0</v>
      </c>
      <c r="Z126" s="292">
        <f>SUM('PER BULAN'!AE209:AG209)</f>
        <v>0</v>
      </c>
      <c r="AA126" s="292">
        <f>SUM('PER BULAN'!AH209:AJ209)</f>
        <v>0</v>
      </c>
      <c r="AB126" s="292">
        <f>SUM('PER BULAN'!AK209:AM209)</f>
        <v>0</v>
      </c>
      <c r="AC126" s="292">
        <f>SUM('PER BULAN'!AN209:AP209)</f>
        <v>0</v>
      </c>
      <c r="AD126" s="277" t="s">
        <v>530</v>
      </c>
      <c r="AE126" s="277" t="s">
        <v>542</v>
      </c>
      <c r="AF126" s="277" t="s">
        <v>543</v>
      </c>
      <c r="AG126" s="277" t="s">
        <v>4699</v>
      </c>
      <c r="AH126" s="277" t="s">
        <v>4700</v>
      </c>
      <c r="AI126" s="277">
        <f t="shared" si="6"/>
        <v>0</v>
      </c>
      <c r="AJ126" s="291">
        <f t="shared" si="7"/>
        <v>0</v>
      </c>
      <c r="AK126" s="277">
        <f t="shared" si="8"/>
        <v>99100000</v>
      </c>
      <c r="AL126" s="291">
        <f t="shared" si="9"/>
        <v>100</v>
      </c>
      <c r="AM126" s="277" t="s">
        <v>3480</v>
      </c>
      <c r="AN126" s="277" t="s">
        <v>4730</v>
      </c>
      <c r="AO126" s="277" t="s">
        <v>4731</v>
      </c>
      <c r="AP126" s="277" t="s">
        <v>4732</v>
      </c>
      <c r="AQ126" s="292">
        <f>SUM('PER BULAN'!AX209)</f>
        <v>0</v>
      </c>
      <c r="AR126" s="292">
        <f>SUM('PER BULAN'!AY209)</f>
        <v>0</v>
      </c>
      <c r="AS126" s="292">
        <f>SUM('PER BULAN'!AZ209)</f>
        <v>0</v>
      </c>
      <c r="AT126" s="292">
        <f>SUM('PER BULAN'!BA209)</f>
        <v>0</v>
      </c>
      <c r="AU126" s="292">
        <f>SUM('PER BULAN'!BB209)</f>
        <v>0</v>
      </c>
      <c r="AV126" s="292">
        <f>SUM('PER BULAN'!BC209)</f>
        <v>0</v>
      </c>
      <c r="AW126" s="292">
        <f>SUM('PER BULAN'!BD209)</f>
        <v>0</v>
      </c>
      <c r="AX126" s="292">
        <f>SUM('PER BULAN'!BE209)</f>
        <v>0</v>
      </c>
    </row>
    <row r="127" spans="1:50" s="278" customFormat="1" x14ac:dyDescent="0.3">
      <c r="A127" s="277" t="s">
        <v>4693</v>
      </c>
      <c r="B127" s="277" t="s">
        <v>4694</v>
      </c>
      <c r="C127" s="277" t="s">
        <v>4720</v>
      </c>
      <c r="D127" s="277" t="s">
        <v>4721</v>
      </c>
      <c r="E127" s="277" t="s">
        <v>198</v>
      </c>
      <c r="F127" s="277" t="s">
        <v>4729</v>
      </c>
      <c r="G127" s="277" t="s">
        <v>4797</v>
      </c>
      <c r="H127" s="277" t="s">
        <v>4798</v>
      </c>
      <c r="I127" s="277">
        <v>996</v>
      </c>
      <c r="J127" s="277" t="s">
        <v>4799</v>
      </c>
      <c r="K127" s="277">
        <v>301</v>
      </c>
      <c r="L127" s="277" t="s">
        <v>4800</v>
      </c>
      <c r="M127" s="277" t="s">
        <v>8</v>
      </c>
      <c r="N127" s="277" t="s">
        <v>4801</v>
      </c>
      <c r="O127" s="277">
        <v>521219</v>
      </c>
      <c r="P127" s="277" t="s">
        <v>4711</v>
      </c>
      <c r="Q127" s="278">
        <v>1333864000</v>
      </c>
      <c r="R127" s="292">
        <f>SUM('PER BULAN'!G210:I210)</f>
        <v>0</v>
      </c>
      <c r="S127" s="292">
        <f>SUM('PER BULAN'!J210:L210)</f>
        <v>0</v>
      </c>
      <c r="T127" s="292">
        <f>SUM('PER BULAN'!M210:O210)</f>
        <v>0</v>
      </c>
      <c r="U127" s="292">
        <f>SUM('PER BULAN'!P210:R210)</f>
        <v>0</v>
      </c>
      <c r="V127" s="292">
        <f>SUM('PER BULAN'!S210:U210)</f>
        <v>0</v>
      </c>
      <c r="W127" s="292">
        <f>SUM('PER BULAN'!V210:X210)</f>
        <v>0</v>
      </c>
      <c r="X127" s="292">
        <f>SUM('PER BULAN'!Y210:AA210)</f>
        <v>0</v>
      </c>
      <c r="Y127" s="292">
        <f>SUM('PER BULAN'!AB210:AD210)</f>
        <v>0</v>
      </c>
      <c r="Z127" s="292">
        <f>SUM('PER BULAN'!AE210:AG210)</f>
        <v>0</v>
      </c>
      <c r="AA127" s="292">
        <f>SUM('PER BULAN'!AH210:AJ210)</f>
        <v>0</v>
      </c>
      <c r="AB127" s="292">
        <f>SUM('PER BULAN'!AK210:AM210)</f>
        <v>0</v>
      </c>
      <c r="AC127" s="292">
        <f>SUM('PER BULAN'!AN210:AP210)</f>
        <v>0</v>
      </c>
      <c r="AD127" s="277" t="s">
        <v>530</v>
      </c>
      <c r="AE127" s="277" t="s">
        <v>542</v>
      </c>
      <c r="AF127" s="277" t="s">
        <v>543</v>
      </c>
      <c r="AG127" s="277" t="s">
        <v>4699</v>
      </c>
      <c r="AH127" s="277" t="s">
        <v>4700</v>
      </c>
      <c r="AI127" s="277">
        <f t="shared" ref="AI127:AI143" si="10">SUM(R127:AC127)</f>
        <v>0</v>
      </c>
      <c r="AJ127" s="291">
        <f t="shared" ref="AJ127:AJ143" si="11">AI127/Q127*100</f>
        <v>0</v>
      </c>
      <c r="AK127" s="277">
        <f t="shared" ref="AK127:AK143" si="12">Q127-AI127</f>
        <v>1333864000</v>
      </c>
      <c r="AL127" s="291">
        <f t="shared" ref="AL127:AL143" si="13">AK127/Q127*100</f>
        <v>100</v>
      </c>
      <c r="AM127" s="277" t="s">
        <v>3488</v>
      </c>
      <c r="AN127" s="277" t="s">
        <v>4730</v>
      </c>
      <c r="AO127" s="277" t="s">
        <v>4733</v>
      </c>
      <c r="AP127" s="277" t="s">
        <v>4732</v>
      </c>
      <c r="AQ127" s="292">
        <f>SUM('PER BULAN'!AX210)</f>
        <v>0</v>
      </c>
      <c r="AR127" s="292">
        <f>SUM('PER BULAN'!AY210)</f>
        <v>0</v>
      </c>
      <c r="AS127" s="292">
        <f>SUM('PER BULAN'!AZ210)</f>
        <v>0</v>
      </c>
      <c r="AT127" s="292">
        <f>SUM('PER BULAN'!BA210)</f>
        <v>0</v>
      </c>
      <c r="AU127" s="292">
        <f>SUM('PER BULAN'!BB210)</f>
        <v>0</v>
      </c>
      <c r="AV127" s="292">
        <f>SUM('PER BULAN'!BC210)</f>
        <v>0</v>
      </c>
      <c r="AW127" s="292">
        <f>SUM('PER BULAN'!BD210)</f>
        <v>0</v>
      </c>
      <c r="AX127" s="292">
        <f>SUM('PER BULAN'!BE210)</f>
        <v>0</v>
      </c>
    </row>
    <row r="128" spans="1:50" s="278" customFormat="1" x14ac:dyDescent="0.3">
      <c r="A128" s="277" t="s">
        <v>4693</v>
      </c>
      <c r="B128" s="277" t="s">
        <v>4694</v>
      </c>
      <c r="C128" s="277" t="s">
        <v>4720</v>
      </c>
      <c r="D128" s="277" t="s">
        <v>4721</v>
      </c>
      <c r="E128" s="277" t="s">
        <v>198</v>
      </c>
      <c r="F128" s="277" t="s">
        <v>4729</v>
      </c>
      <c r="G128" s="277" t="s">
        <v>4797</v>
      </c>
      <c r="H128" s="277" t="s">
        <v>4798</v>
      </c>
      <c r="I128" s="277">
        <v>996</v>
      </c>
      <c r="J128" s="277" t="s">
        <v>4799</v>
      </c>
      <c r="K128" s="277">
        <v>301</v>
      </c>
      <c r="L128" s="277" t="s">
        <v>4800</v>
      </c>
      <c r="M128" s="277" t="s">
        <v>8</v>
      </c>
      <c r="N128" s="277" t="s">
        <v>4801</v>
      </c>
      <c r="O128" s="277">
        <v>521811</v>
      </c>
      <c r="P128" s="277" t="s">
        <v>4716</v>
      </c>
      <c r="Q128" s="278">
        <v>25000000</v>
      </c>
      <c r="R128" s="292">
        <f>SUM('PER BULAN'!G211:I211)</f>
        <v>0</v>
      </c>
      <c r="S128" s="292">
        <f>SUM('PER BULAN'!J211:L211)</f>
        <v>0</v>
      </c>
      <c r="T128" s="292">
        <f>SUM('PER BULAN'!M211:O211)</f>
        <v>0</v>
      </c>
      <c r="U128" s="292">
        <f>SUM('PER BULAN'!P211:R211)</f>
        <v>0</v>
      </c>
      <c r="V128" s="292">
        <f>SUM('PER BULAN'!S211:U211)</f>
        <v>4855000</v>
      </c>
      <c r="W128" s="292">
        <f>SUM('PER BULAN'!V211:X211)</f>
        <v>0</v>
      </c>
      <c r="X128" s="292">
        <f>SUM('PER BULAN'!Y211:AA211)</f>
        <v>0</v>
      </c>
      <c r="Y128" s="292">
        <f>SUM('PER BULAN'!AB211:AD211)</f>
        <v>0</v>
      </c>
      <c r="Z128" s="292">
        <f>SUM('PER BULAN'!AE211:AG211)</f>
        <v>0</v>
      </c>
      <c r="AA128" s="292">
        <f>SUM('PER BULAN'!AH211:AJ211)</f>
        <v>0</v>
      </c>
      <c r="AB128" s="292">
        <f>SUM('PER BULAN'!AK211:AM211)</f>
        <v>0</v>
      </c>
      <c r="AC128" s="292">
        <f>SUM('PER BULAN'!AN211:AP211)</f>
        <v>0</v>
      </c>
      <c r="AD128" s="277" t="s">
        <v>530</v>
      </c>
      <c r="AE128" s="277" t="s">
        <v>542</v>
      </c>
      <c r="AF128" s="277" t="s">
        <v>543</v>
      </c>
      <c r="AG128" s="277" t="s">
        <v>4699</v>
      </c>
      <c r="AH128" s="277" t="s">
        <v>4700</v>
      </c>
      <c r="AI128" s="277">
        <f t="shared" si="10"/>
        <v>4855000</v>
      </c>
      <c r="AJ128" s="291">
        <f t="shared" si="11"/>
        <v>19.420000000000002</v>
      </c>
      <c r="AK128" s="277">
        <f t="shared" si="12"/>
        <v>20145000</v>
      </c>
      <c r="AL128" s="291">
        <f t="shared" si="13"/>
        <v>80.58</v>
      </c>
      <c r="AM128" s="277" t="s">
        <v>3492</v>
      </c>
      <c r="AN128" s="277" t="s">
        <v>4730</v>
      </c>
      <c r="AO128" s="277" t="s">
        <v>4826</v>
      </c>
      <c r="AP128" s="277" t="s">
        <v>4732</v>
      </c>
      <c r="AQ128" s="292">
        <f>SUM('PER BULAN'!AX211)</f>
        <v>0</v>
      </c>
      <c r="AR128" s="292">
        <f>SUM('PER BULAN'!AY211)</f>
        <v>0</v>
      </c>
      <c r="AS128" s="292">
        <f>SUM('PER BULAN'!AZ211)</f>
        <v>0</v>
      </c>
      <c r="AT128" s="292">
        <f>SUM('PER BULAN'!BA211)</f>
        <v>0</v>
      </c>
      <c r="AU128" s="292">
        <f>SUM('PER BULAN'!BB211)</f>
        <v>0</v>
      </c>
      <c r="AV128" s="292">
        <f>SUM('PER BULAN'!BC211)</f>
        <v>0</v>
      </c>
      <c r="AW128" s="292">
        <f>SUM('PER BULAN'!BD211)</f>
        <v>4855000</v>
      </c>
      <c r="AX128" s="292">
        <f>SUM('PER BULAN'!BE211)</f>
        <v>0</v>
      </c>
    </row>
    <row r="129" spans="1:50" s="278" customFormat="1" x14ac:dyDescent="0.3">
      <c r="A129" s="277" t="s">
        <v>4693</v>
      </c>
      <c r="B129" s="277" t="s">
        <v>4694</v>
      </c>
      <c r="C129" s="277" t="s">
        <v>4720</v>
      </c>
      <c r="D129" s="277" t="s">
        <v>4721</v>
      </c>
      <c r="E129" s="277" t="s">
        <v>198</v>
      </c>
      <c r="F129" s="277" t="s">
        <v>4729</v>
      </c>
      <c r="G129" s="277" t="s">
        <v>4797</v>
      </c>
      <c r="H129" s="277" t="s">
        <v>4798</v>
      </c>
      <c r="I129" s="277">
        <v>996</v>
      </c>
      <c r="J129" s="277" t="s">
        <v>4799</v>
      </c>
      <c r="K129" s="277">
        <v>301</v>
      </c>
      <c r="L129" s="277" t="s">
        <v>4800</v>
      </c>
      <c r="M129" s="277" t="s">
        <v>8</v>
      </c>
      <c r="N129" s="277" t="s">
        <v>4801</v>
      </c>
      <c r="O129" s="277">
        <v>522151</v>
      </c>
      <c r="P129" s="277" t="s">
        <v>4701</v>
      </c>
      <c r="Q129" s="278">
        <v>15000000</v>
      </c>
      <c r="R129" s="292">
        <f>SUM('PER BULAN'!G212:I212)</f>
        <v>0</v>
      </c>
      <c r="S129" s="292">
        <f>SUM('PER BULAN'!J212:L212)</f>
        <v>0</v>
      </c>
      <c r="T129" s="292">
        <f>SUM('PER BULAN'!M212:O212)</f>
        <v>0</v>
      </c>
      <c r="U129" s="292">
        <f>SUM('PER BULAN'!P212:R212)</f>
        <v>0</v>
      </c>
      <c r="V129" s="292">
        <f>SUM('PER BULAN'!S212:U212)</f>
        <v>0</v>
      </c>
      <c r="W129" s="292">
        <f>SUM('PER BULAN'!V212:X212)</f>
        <v>0</v>
      </c>
      <c r="X129" s="292">
        <f>SUM('PER BULAN'!Y212:AA212)</f>
        <v>0</v>
      </c>
      <c r="Y129" s="292">
        <f>SUM('PER BULAN'!AB212:AD212)</f>
        <v>0</v>
      </c>
      <c r="Z129" s="292">
        <f>SUM('PER BULAN'!AE212:AG212)</f>
        <v>0</v>
      </c>
      <c r="AA129" s="292">
        <f>SUM('PER BULAN'!AH212:AJ212)</f>
        <v>0</v>
      </c>
      <c r="AB129" s="292">
        <f>SUM('PER BULAN'!AK212:AM212)</f>
        <v>0</v>
      </c>
      <c r="AC129" s="292">
        <f>SUM('PER BULAN'!AN212:AP212)</f>
        <v>0</v>
      </c>
      <c r="AD129" s="277" t="s">
        <v>530</v>
      </c>
      <c r="AE129" s="277" t="s">
        <v>542</v>
      </c>
      <c r="AF129" s="277" t="s">
        <v>543</v>
      </c>
      <c r="AG129" s="277" t="s">
        <v>4699</v>
      </c>
      <c r="AH129" s="277" t="s">
        <v>4700</v>
      </c>
      <c r="AI129" s="277">
        <f t="shared" si="10"/>
        <v>0</v>
      </c>
      <c r="AJ129" s="291">
        <f t="shared" si="11"/>
        <v>0</v>
      </c>
      <c r="AK129" s="277">
        <f t="shared" si="12"/>
        <v>15000000</v>
      </c>
      <c r="AL129" s="291">
        <f t="shared" si="13"/>
        <v>100</v>
      </c>
      <c r="AM129" s="277" t="s">
        <v>3495</v>
      </c>
      <c r="AN129" s="277" t="s">
        <v>4730</v>
      </c>
      <c r="AO129" s="277" t="s">
        <v>4735</v>
      </c>
      <c r="AP129" s="277" t="s">
        <v>4732</v>
      </c>
      <c r="AQ129" s="292">
        <f>SUM('PER BULAN'!AX212)</f>
        <v>0</v>
      </c>
      <c r="AR129" s="292">
        <f>SUM('PER BULAN'!AY212)</f>
        <v>0</v>
      </c>
      <c r="AS129" s="292">
        <f>SUM('PER BULAN'!AZ212)</f>
        <v>0</v>
      </c>
      <c r="AT129" s="292">
        <f>SUM('PER BULAN'!BA212)</f>
        <v>0</v>
      </c>
      <c r="AU129" s="292">
        <f>SUM('PER BULAN'!BB212)</f>
        <v>0</v>
      </c>
      <c r="AV129" s="292">
        <f>SUM('PER BULAN'!BC212)</f>
        <v>0</v>
      </c>
      <c r="AW129" s="292">
        <f>SUM('PER BULAN'!BD212)</f>
        <v>0</v>
      </c>
      <c r="AX129" s="292">
        <f>SUM('PER BULAN'!BE212)</f>
        <v>0</v>
      </c>
    </row>
    <row r="130" spans="1:50" s="278" customFormat="1" x14ac:dyDescent="0.3">
      <c r="A130" s="277" t="s">
        <v>4693</v>
      </c>
      <c r="B130" s="277" t="s">
        <v>4694</v>
      </c>
      <c r="C130" s="277" t="s">
        <v>4720</v>
      </c>
      <c r="D130" s="277" t="s">
        <v>4721</v>
      </c>
      <c r="E130" s="277" t="s">
        <v>198</v>
      </c>
      <c r="F130" s="277" t="s">
        <v>4729</v>
      </c>
      <c r="G130" s="277" t="s">
        <v>4797</v>
      </c>
      <c r="H130" s="277" t="s">
        <v>4798</v>
      </c>
      <c r="I130" s="277">
        <v>996</v>
      </c>
      <c r="J130" s="277" t="s">
        <v>4799</v>
      </c>
      <c r="K130" s="277">
        <v>301</v>
      </c>
      <c r="L130" s="277" t="s">
        <v>4800</v>
      </c>
      <c r="M130" s="277" t="s">
        <v>8</v>
      </c>
      <c r="N130" s="277" t="s">
        <v>4801</v>
      </c>
      <c r="O130" s="277">
        <v>522191</v>
      </c>
      <c r="P130" s="277" t="s">
        <v>4802</v>
      </c>
      <c r="Q130" s="278">
        <v>102600000</v>
      </c>
      <c r="R130" s="292">
        <f>SUM('PER BULAN'!G213:I213)</f>
        <v>0</v>
      </c>
      <c r="S130" s="292">
        <f>SUM('PER BULAN'!J213:L213)</f>
        <v>0</v>
      </c>
      <c r="T130" s="292">
        <f>SUM('PER BULAN'!M213:O213)</f>
        <v>0</v>
      </c>
      <c r="U130" s="292">
        <f>SUM('PER BULAN'!P213:R213)</f>
        <v>0</v>
      </c>
      <c r="V130" s="292">
        <f>SUM('PER BULAN'!S213:U213)</f>
        <v>0</v>
      </c>
      <c r="W130" s="292">
        <f>SUM('PER BULAN'!V213:X213)</f>
        <v>0</v>
      </c>
      <c r="X130" s="292">
        <f>SUM('PER BULAN'!Y213:AA213)</f>
        <v>0</v>
      </c>
      <c r="Y130" s="292">
        <f>SUM('PER BULAN'!AB213:AD213)</f>
        <v>0</v>
      </c>
      <c r="Z130" s="292">
        <f>SUM('PER BULAN'!AE213:AG213)</f>
        <v>0</v>
      </c>
      <c r="AA130" s="292">
        <f>SUM('PER BULAN'!AH213:AJ213)</f>
        <v>0</v>
      </c>
      <c r="AB130" s="292">
        <f>SUM('PER BULAN'!AK213:AM213)</f>
        <v>0</v>
      </c>
      <c r="AC130" s="292">
        <f>SUM('PER BULAN'!AN213:AP213)</f>
        <v>0</v>
      </c>
      <c r="AD130" s="277" t="s">
        <v>530</v>
      </c>
      <c r="AE130" s="277" t="s">
        <v>542</v>
      </c>
      <c r="AF130" s="277" t="s">
        <v>543</v>
      </c>
      <c r="AG130" s="277" t="s">
        <v>4699</v>
      </c>
      <c r="AH130" s="277" t="s">
        <v>4700</v>
      </c>
      <c r="AI130" s="277">
        <f t="shared" si="10"/>
        <v>0</v>
      </c>
      <c r="AJ130" s="291">
        <f t="shared" si="11"/>
        <v>0</v>
      </c>
      <c r="AK130" s="277">
        <f t="shared" si="12"/>
        <v>102600000</v>
      </c>
      <c r="AL130" s="291">
        <f t="shared" si="13"/>
        <v>100</v>
      </c>
      <c r="AM130" s="277" t="s">
        <v>3497</v>
      </c>
      <c r="AN130" s="277" t="s">
        <v>4730</v>
      </c>
      <c r="AO130" s="277" t="s">
        <v>4735</v>
      </c>
      <c r="AP130" s="277" t="s">
        <v>4732</v>
      </c>
      <c r="AQ130" s="292">
        <f>SUM('PER BULAN'!AX213)</f>
        <v>0</v>
      </c>
      <c r="AR130" s="292">
        <f>SUM('PER BULAN'!AY213)</f>
        <v>0</v>
      </c>
      <c r="AS130" s="292">
        <f>SUM('PER BULAN'!AZ213)</f>
        <v>0</v>
      </c>
      <c r="AT130" s="292">
        <f>SUM('PER BULAN'!BA213)</f>
        <v>0</v>
      </c>
      <c r="AU130" s="292">
        <f>SUM('PER BULAN'!BB213)</f>
        <v>0</v>
      </c>
      <c r="AV130" s="292">
        <f>SUM('PER BULAN'!BC213)</f>
        <v>0</v>
      </c>
      <c r="AW130" s="292">
        <f>SUM('PER BULAN'!BD213)</f>
        <v>0</v>
      </c>
      <c r="AX130" s="292">
        <f>SUM('PER BULAN'!BE213)</f>
        <v>0</v>
      </c>
    </row>
    <row r="131" spans="1:50" s="278" customFormat="1" x14ac:dyDescent="0.3">
      <c r="A131" s="277" t="s">
        <v>4693</v>
      </c>
      <c r="B131" s="277" t="s">
        <v>4694</v>
      </c>
      <c r="C131" s="277" t="s">
        <v>4720</v>
      </c>
      <c r="D131" s="277" t="s">
        <v>4721</v>
      </c>
      <c r="E131" s="277" t="s">
        <v>198</v>
      </c>
      <c r="F131" s="277" t="s">
        <v>4729</v>
      </c>
      <c r="G131" s="277" t="s">
        <v>4797</v>
      </c>
      <c r="H131" s="277" t="s">
        <v>4798</v>
      </c>
      <c r="I131" s="277">
        <v>996</v>
      </c>
      <c r="J131" s="277" t="s">
        <v>4799</v>
      </c>
      <c r="K131" s="277">
        <v>301</v>
      </c>
      <c r="L131" s="277" t="s">
        <v>4800</v>
      </c>
      <c r="M131" s="277" t="s">
        <v>8</v>
      </c>
      <c r="N131" s="277" t="s">
        <v>4801</v>
      </c>
      <c r="O131" s="277">
        <v>524111</v>
      </c>
      <c r="P131" s="277" t="s">
        <v>4702</v>
      </c>
      <c r="Q131" s="278">
        <v>138000000</v>
      </c>
      <c r="R131" s="292">
        <f>SUM('PER BULAN'!G215:I215)</f>
        <v>0</v>
      </c>
      <c r="S131" s="292">
        <f>SUM('PER BULAN'!J214:L214)</f>
        <v>0</v>
      </c>
      <c r="T131" s="292">
        <f>SUM('PER BULAN'!M214:O214)</f>
        <v>0</v>
      </c>
      <c r="U131" s="292">
        <f>SUM('PER BULAN'!P214:R214)</f>
        <v>5900000</v>
      </c>
      <c r="V131" s="292">
        <f>SUM('PER BULAN'!S214:U214)</f>
        <v>0</v>
      </c>
      <c r="W131" s="292">
        <f>SUM('PER BULAN'!V214:X214)</f>
        <v>14635000</v>
      </c>
      <c r="X131" s="292">
        <f>SUM('PER BULAN'!Y214:AA214)</f>
        <v>0</v>
      </c>
      <c r="Y131" s="292">
        <f>SUM('PER BULAN'!AB214:AD214)</f>
        <v>0</v>
      </c>
      <c r="Z131" s="292">
        <f>SUM('PER BULAN'!AE214:AG214)</f>
        <v>0</v>
      </c>
      <c r="AA131" s="292">
        <f>SUM('PER BULAN'!AH214:AJ214)</f>
        <v>0</v>
      </c>
      <c r="AB131" s="292">
        <f>SUM('PER BULAN'!AK214:AM214)</f>
        <v>0</v>
      </c>
      <c r="AC131" s="292">
        <f>SUM('PER BULAN'!AN214:AP214)</f>
        <v>0</v>
      </c>
      <c r="AD131" s="277" t="s">
        <v>530</v>
      </c>
      <c r="AE131" s="277" t="s">
        <v>542</v>
      </c>
      <c r="AF131" s="277" t="s">
        <v>543</v>
      </c>
      <c r="AG131" s="277" t="s">
        <v>4699</v>
      </c>
      <c r="AH131" s="277" t="s">
        <v>4700</v>
      </c>
      <c r="AI131" s="277">
        <f t="shared" si="10"/>
        <v>20535000</v>
      </c>
      <c r="AJ131" s="291">
        <f t="shared" si="11"/>
        <v>14.880434782608695</v>
      </c>
      <c r="AK131" s="277">
        <f t="shared" si="12"/>
        <v>117465000</v>
      </c>
      <c r="AL131" s="291">
        <f t="shared" si="13"/>
        <v>85.119565217391298</v>
      </c>
      <c r="AM131" s="277" t="s">
        <v>3500</v>
      </c>
      <c r="AN131" s="277" t="s">
        <v>4730</v>
      </c>
      <c r="AO131" s="277" t="s">
        <v>4736</v>
      </c>
      <c r="AP131" s="277" t="s">
        <v>4732</v>
      </c>
      <c r="AQ131" s="292">
        <f>SUM('PER BULAN'!AX214)</f>
        <v>0</v>
      </c>
      <c r="AR131" s="292">
        <f>SUM('PER BULAN'!AY214)</f>
        <v>0</v>
      </c>
      <c r="AS131" s="292">
        <f>SUM('PER BULAN'!AZ214)</f>
        <v>0</v>
      </c>
      <c r="AT131" s="292">
        <f>SUM('PER BULAN'!BA214)</f>
        <v>0</v>
      </c>
      <c r="AU131" s="292">
        <f>SUM('PER BULAN'!BB214)</f>
        <v>0</v>
      </c>
      <c r="AV131" s="292">
        <f>SUM('PER BULAN'!BC214)</f>
        <v>0</v>
      </c>
      <c r="AW131" s="292">
        <f>SUM('PER BULAN'!BD214)</f>
        <v>0</v>
      </c>
      <c r="AX131" s="292">
        <f>SUM('PER BULAN'!BE214)</f>
        <v>0</v>
      </c>
    </row>
    <row r="132" spans="1:50" s="278" customFormat="1" x14ac:dyDescent="0.3">
      <c r="A132" s="277" t="s">
        <v>4693</v>
      </c>
      <c r="B132" s="277" t="s">
        <v>4694</v>
      </c>
      <c r="C132" s="277" t="s">
        <v>4720</v>
      </c>
      <c r="D132" s="277" t="s">
        <v>4721</v>
      </c>
      <c r="E132" s="277" t="s">
        <v>198</v>
      </c>
      <c r="F132" s="277" t="s">
        <v>4729</v>
      </c>
      <c r="G132" s="277" t="s">
        <v>4797</v>
      </c>
      <c r="H132" s="277" t="s">
        <v>4798</v>
      </c>
      <c r="I132" s="277">
        <v>996</v>
      </c>
      <c r="J132" s="277" t="s">
        <v>4799</v>
      </c>
      <c r="K132" s="277">
        <v>301</v>
      </c>
      <c r="L132" s="277" t="s">
        <v>4800</v>
      </c>
      <c r="M132" s="277" t="s">
        <v>511</v>
      </c>
      <c r="N132" s="277" t="s">
        <v>4803</v>
      </c>
      <c r="O132" s="277">
        <v>521211</v>
      </c>
      <c r="P132" s="277" t="s">
        <v>4698</v>
      </c>
      <c r="Q132" s="278">
        <v>25000000</v>
      </c>
      <c r="R132" s="292">
        <f>SUM('PER BULAN'!G216:I216)</f>
        <v>0</v>
      </c>
      <c r="S132" s="292">
        <f>SUM('PER BULAN'!J216:L216)</f>
        <v>0</v>
      </c>
      <c r="T132" s="292">
        <f>SUM('PER BULAN'!M216:O216)</f>
        <v>0</v>
      </c>
      <c r="U132" s="292">
        <f>SUM('PER BULAN'!P216:R216)</f>
        <v>0</v>
      </c>
      <c r="V132" s="292">
        <f>SUM('PER BULAN'!S216:U216)</f>
        <v>1475000</v>
      </c>
      <c r="W132" s="292">
        <f>SUM('PER BULAN'!V216:X216)</f>
        <v>1442500</v>
      </c>
      <c r="X132" s="292">
        <f>SUM('PER BULAN'!Y216:AA216)</f>
        <v>0</v>
      </c>
      <c r="Y132" s="292">
        <f>SUM('PER BULAN'!AB216:AD216)</f>
        <v>0</v>
      </c>
      <c r="Z132" s="292">
        <f>SUM('PER BULAN'!AE216:AG216)</f>
        <v>0</v>
      </c>
      <c r="AA132" s="292">
        <f>SUM('PER BULAN'!AH216:AJ216)</f>
        <v>0</v>
      </c>
      <c r="AB132" s="292">
        <f>SUM('PER BULAN'!AK216:AM216)</f>
        <v>0</v>
      </c>
      <c r="AC132" s="292">
        <f>SUM('PER BULAN'!AN216:AP216)</f>
        <v>0</v>
      </c>
      <c r="AD132" s="277" t="s">
        <v>530</v>
      </c>
      <c r="AE132" s="277" t="s">
        <v>542</v>
      </c>
      <c r="AF132" s="277" t="s">
        <v>543</v>
      </c>
      <c r="AG132" s="277" t="s">
        <v>4699</v>
      </c>
      <c r="AH132" s="277" t="s">
        <v>4700</v>
      </c>
      <c r="AI132" s="277">
        <f t="shared" si="10"/>
        <v>2917500</v>
      </c>
      <c r="AJ132" s="291">
        <f t="shared" si="11"/>
        <v>11.67</v>
      </c>
      <c r="AK132" s="277">
        <f t="shared" si="12"/>
        <v>22082500</v>
      </c>
      <c r="AL132" s="291">
        <f t="shared" si="13"/>
        <v>88.33</v>
      </c>
      <c r="AM132" s="277" t="s">
        <v>3506</v>
      </c>
      <c r="AN132" s="277" t="s">
        <v>4730</v>
      </c>
      <c r="AO132" s="277" t="s">
        <v>4731</v>
      </c>
      <c r="AP132" s="277" t="s">
        <v>4732</v>
      </c>
      <c r="AQ132" s="292">
        <f>SUM('PER BULAN'!AX216)</f>
        <v>0</v>
      </c>
      <c r="AR132" s="292">
        <f>SUM('PER BULAN'!AY216)</f>
        <v>0</v>
      </c>
      <c r="AS132" s="292">
        <f>SUM('PER BULAN'!AZ216)</f>
        <v>0</v>
      </c>
      <c r="AT132" s="292">
        <f>SUM('PER BULAN'!BA216)</f>
        <v>0</v>
      </c>
      <c r="AU132" s="292">
        <f>SUM('PER BULAN'!BB216)</f>
        <v>0</v>
      </c>
      <c r="AV132" s="292">
        <f>SUM('PER BULAN'!BC216)</f>
        <v>0</v>
      </c>
      <c r="AW132" s="292">
        <f>SUM('PER BULAN'!BD216)</f>
        <v>1475000</v>
      </c>
      <c r="AX132" s="292">
        <f>SUM('PER BULAN'!BE216)</f>
        <v>1442500</v>
      </c>
    </row>
    <row r="133" spans="1:50" s="278" customFormat="1" x14ac:dyDescent="0.3">
      <c r="A133" s="277" t="s">
        <v>4693</v>
      </c>
      <c r="B133" s="277" t="s">
        <v>4694</v>
      </c>
      <c r="C133" s="277" t="s">
        <v>4720</v>
      </c>
      <c r="D133" s="277" t="s">
        <v>4721</v>
      </c>
      <c r="E133" s="277" t="s">
        <v>198</v>
      </c>
      <c r="F133" s="277" t="s">
        <v>4729</v>
      </c>
      <c r="G133" s="277" t="s">
        <v>4797</v>
      </c>
      <c r="H133" s="277" t="s">
        <v>4798</v>
      </c>
      <c r="I133" s="277">
        <v>996</v>
      </c>
      <c r="J133" s="277" t="s">
        <v>4799</v>
      </c>
      <c r="K133" s="277">
        <v>301</v>
      </c>
      <c r="L133" s="277" t="s">
        <v>4800</v>
      </c>
      <c r="M133" s="277" t="s">
        <v>511</v>
      </c>
      <c r="N133" s="277" t="s">
        <v>4803</v>
      </c>
      <c r="O133" s="277">
        <v>521219</v>
      </c>
      <c r="P133" s="277" t="s">
        <v>4711</v>
      </c>
      <c r="Q133" s="278">
        <v>6308695000</v>
      </c>
      <c r="R133" s="292">
        <f>SUM('PER BULAN'!G217:I217)</f>
        <v>0</v>
      </c>
      <c r="S133" s="292">
        <f>SUM('PER BULAN'!J217:L217)</f>
        <v>0</v>
      </c>
      <c r="T133" s="292">
        <f>SUM('PER BULAN'!M217:O217)</f>
        <v>0</v>
      </c>
      <c r="U133" s="292">
        <f>SUM('PER BULAN'!P217:R217)</f>
        <v>1549795356</v>
      </c>
      <c r="V133" s="292">
        <f>SUM('PER BULAN'!S217:U217)</f>
        <v>0</v>
      </c>
      <c r="W133" s="292">
        <f>SUM('PER BULAN'!V217:X217)</f>
        <v>1843270850</v>
      </c>
      <c r="X133" s="292">
        <f>SUM('PER BULAN'!Y217:AA217)</f>
        <v>0</v>
      </c>
      <c r="Y133" s="292">
        <f>SUM('PER BULAN'!AB217:AD217)</f>
        <v>0</v>
      </c>
      <c r="Z133" s="292">
        <f>SUM('PER BULAN'!AE217:AG217)</f>
        <v>0</v>
      </c>
      <c r="AA133" s="292">
        <f>SUM('PER BULAN'!AH217:AJ217)</f>
        <v>0</v>
      </c>
      <c r="AB133" s="292">
        <f>SUM('PER BULAN'!AK217:AM217)</f>
        <v>0</v>
      </c>
      <c r="AC133" s="292">
        <f>SUM('PER BULAN'!AN217:AP217)</f>
        <v>0</v>
      </c>
      <c r="AD133" s="277" t="s">
        <v>530</v>
      </c>
      <c r="AE133" s="277" t="s">
        <v>542</v>
      </c>
      <c r="AF133" s="277" t="s">
        <v>543</v>
      </c>
      <c r="AG133" s="277" t="s">
        <v>4699</v>
      </c>
      <c r="AH133" s="277" t="s">
        <v>4700</v>
      </c>
      <c r="AI133" s="277">
        <f t="shared" si="10"/>
        <v>3393066206</v>
      </c>
      <c r="AJ133" s="291">
        <f t="shared" si="11"/>
        <v>53.78396333948622</v>
      </c>
      <c r="AK133" s="277">
        <f t="shared" si="12"/>
        <v>2915628794</v>
      </c>
      <c r="AL133" s="291">
        <f t="shared" si="13"/>
        <v>46.21603666051378</v>
      </c>
      <c r="AM133" s="277" t="s">
        <v>3509</v>
      </c>
      <c r="AN133" s="277" t="s">
        <v>4730</v>
      </c>
      <c r="AO133" s="277" t="s">
        <v>4733</v>
      </c>
      <c r="AP133" s="277" t="s">
        <v>4732</v>
      </c>
      <c r="AQ133" s="292">
        <f>SUM('PER BULAN'!AX217)</f>
        <v>0</v>
      </c>
      <c r="AR133" s="292">
        <f>SUM('PER BULAN'!AY217)</f>
        <v>0</v>
      </c>
      <c r="AS133" s="292">
        <f>SUM('PER BULAN'!AZ217)</f>
        <v>0</v>
      </c>
      <c r="AT133" s="292">
        <f>SUM('PER BULAN'!BA217)</f>
        <v>0</v>
      </c>
      <c r="AU133" s="292">
        <f>SUM('PER BULAN'!BB217)</f>
        <v>0</v>
      </c>
      <c r="AV133" s="292">
        <f>SUM('PER BULAN'!BC217)</f>
        <v>0</v>
      </c>
      <c r="AW133" s="292">
        <f>SUM('PER BULAN'!BD217)</f>
        <v>0</v>
      </c>
      <c r="AX133" s="292">
        <f>SUM('PER BULAN'!BE217)</f>
        <v>0</v>
      </c>
    </row>
    <row r="134" spans="1:50" s="278" customFormat="1" x14ac:dyDescent="0.3">
      <c r="A134" s="277" t="s">
        <v>4693</v>
      </c>
      <c r="B134" s="277" t="s">
        <v>4694</v>
      </c>
      <c r="C134" s="277" t="s">
        <v>4720</v>
      </c>
      <c r="D134" s="277" t="s">
        <v>4721</v>
      </c>
      <c r="E134" s="277" t="s">
        <v>198</v>
      </c>
      <c r="F134" s="277" t="s">
        <v>4729</v>
      </c>
      <c r="G134" s="277" t="s">
        <v>4797</v>
      </c>
      <c r="H134" s="277" t="s">
        <v>4798</v>
      </c>
      <c r="I134" s="277">
        <v>996</v>
      </c>
      <c r="J134" s="277" t="s">
        <v>4799</v>
      </c>
      <c r="K134" s="277">
        <v>301</v>
      </c>
      <c r="L134" s="277" t="s">
        <v>4800</v>
      </c>
      <c r="M134" s="277" t="s">
        <v>511</v>
      </c>
      <c r="N134" s="277" t="s">
        <v>4803</v>
      </c>
      <c r="O134" s="277">
        <v>521811</v>
      </c>
      <c r="P134" s="277" t="s">
        <v>4716</v>
      </c>
      <c r="Q134" s="278">
        <v>30000000</v>
      </c>
      <c r="R134" s="292">
        <f>SUM('PER BULAN'!G218:I218)</f>
        <v>0</v>
      </c>
      <c r="S134" s="292">
        <f>SUM('PER BULAN'!J218:L218)</f>
        <v>0</v>
      </c>
      <c r="T134" s="292">
        <f>SUM('PER BULAN'!M218:O218)</f>
        <v>0</v>
      </c>
      <c r="U134" s="292">
        <f>SUM('PER BULAN'!P218:R218)</f>
        <v>0</v>
      </c>
      <c r="V134" s="292">
        <f>SUM('PER BULAN'!S218:U218)</f>
        <v>3364000</v>
      </c>
      <c r="W134" s="292">
        <f>SUM('PER BULAN'!V218:X218)</f>
        <v>1447000</v>
      </c>
      <c r="X134" s="292">
        <f>SUM('PER BULAN'!Y218:AA218)</f>
        <v>0</v>
      </c>
      <c r="Y134" s="292">
        <f>SUM('PER BULAN'!AB218:AD218)</f>
        <v>0</v>
      </c>
      <c r="Z134" s="292">
        <f>SUM('PER BULAN'!AE218:AG218)</f>
        <v>0</v>
      </c>
      <c r="AA134" s="292">
        <f>SUM('PER BULAN'!AH218:AJ218)</f>
        <v>0</v>
      </c>
      <c r="AB134" s="292">
        <f>SUM('PER BULAN'!AK218:AM218)</f>
        <v>0</v>
      </c>
      <c r="AC134" s="292">
        <f>SUM('PER BULAN'!AN218:AP218)</f>
        <v>0</v>
      </c>
      <c r="AD134" s="277" t="s">
        <v>530</v>
      </c>
      <c r="AE134" s="277" t="s">
        <v>542</v>
      </c>
      <c r="AF134" s="277" t="s">
        <v>543</v>
      </c>
      <c r="AG134" s="277" t="s">
        <v>4699</v>
      </c>
      <c r="AH134" s="277" t="s">
        <v>4700</v>
      </c>
      <c r="AI134" s="277">
        <f t="shared" si="10"/>
        <v>4811000</v>
      </c>
      <c r="AJ134" s="291">
        <f t="shared" si="11"/>
        <v>16.036666666666665</v>
      </c>
      <c r="AK134" s="277">
        <f t="shared" si="12"/>
        <v>25189000</v>
      </c>
      <c r="AL134" s="291">
        <f t="shared" si="13"/>
        <v>83.963333333333338</v>
      </c>
      <c r="AM134" s="277" t="s">
        <v>3514</v>
      </c>
      <c r="AN134" s="277" t="s">
        <v>4730</v>
      </c>
      <c r="AO134" s="277" t="s">
        <v>4826</v>
      </c>
      <c r="AP134" s="277" t="s">
        <v>4732</v>
      </c>
      <c r="AQ134" s="292">
        <f>SUM('PER BULAN'!AX218)</f>
        <v>0</v>
      </c>
      <c r="AR134" s="292">
        <f>SUM('PER BULAN'!AY218)</f>
        <v>0</v>
      </c>
      <c r="AS134" s="292">
        <f>SUM('PER BULAN'!AZ218)</f>
        <v>0</v>
      </c>
      <c r="AT134" s="292">
        <f>SUM('PER BULAN'!BA218)</f>
        <v>0</v>
      </c>
      <c r="AU134" s="292">
        <f>SUM('PER BULAN'!BB218)</f>
        <v>0</v>
      </c>
      <c r="AV134" s="292">
        <f>SUM('PER BULAN'!BC218)</f>
        <v>0</v>
      </c>
      <c r="AW134" s="292">
        <f>SUM('PER BULAN'!BD218)</f>
        <v>3364000</v>
      </c>
      <c r="AX134" s="292">
        <f>SUM('PER BULAN'!BE218)</f>
        <v>1447000</v>
      </c>
    </row>
    <row r="135" spans="1:50" s="278" customFormat="1" x14ac:dyDescent="0.3">
      <c r="A135" s="277" t="s">
        <v>4693</v>
      </c>
      <c r="B135" s="277" t="s">
        <v>4694</v>
      </c>
      <c r="C135" s="277" t="s">
        <v>4720</v>
      </c>
      <c r="D135" s="277" t="s">
        <v>4721</v>
      </c>
      <c r="E135" s="277" t="s">
        <v>198</v>
      </c>
      <c r="F135" s="277" t="s">
        <v>4729</v>
      </c>
      <c r="G135" s="277" t="s">
        <v>4797</v>
      </c>
      <c r="H135" s="277" t="s">
        <v>4798</v>
      </c>
      <c r="I135" s="277">
        <v>996</v>
      </c>
      <c r="J135" s="277" t="s">
        <v>4799</v>
      </c>
      <c r="K135" s="277">
        <v>301</v>
      </c>
      <c r="L135" s="277" t="s">
        <v>4800</v>
      </c>
      <c r="M135" s="277" t="s">
        <v>511</v>
      </c>
      <c r="N135" s="277" t="s">
        <v>4803</v>
      </c>
      <c r="O135" s="277">
        <v>522151</v>
      </c>
      <c r="P135" s="277" t="s">
        <v>4701</v>
      </c>
      <c r="Q135" s="278">
        <v>6000000</v>
      </c>
      <c r="R135" s="292">
        <f>SUM('PER BULAN'!G219:I219)</f>
        <v>0</v>
      </c>
      <c r="S135" s="292">
        <f>SUM('PER BULAN'!J219:L219)</f>
        <v>0</v>
      </c>
      <c r="T135" s="292">
        <f>SUM('PER BULAN'!M219:O219)</f>
        <v>0</v>
      </c>
      <c r="U135" s="292">
        <f>SUM('PER BULAN'!P219:R219)</f>
        <v>0</v>
      </c>
      <c r="V135" s="292">
        <f>SUM('PER BULAN'!S219:U219)</f>
        <v>0</v>
      </c>
      <c r="W135" s="292">
        <f>SUM('PER BULAN'!V219:X219)</f>
        <v>0</v>
      </c>
      <c r="X135" s="292">
        <f>SUM('PER BULAN'!Y219:AA219)</f>
        <v>0</v>
      </c>
      <c r="Y135" s="292">
        <f>SUM('PER BULAN'!AB219:AD219)</f>
        <v>0</v>
      </c>
      <c r="Z135" s="292">
        <f>SUM('PER BULAN'!AE219:AG219)</f>
        <v>0</v>
      </c>
      <c r="AA135" s="292">
        <f>SUM('PER BULAN'!AH219:AJ219)</f>
        <v>0</v>
      </c>
      <c r="AB135" s="292">
        <f>SUM('PER BULAN'!AK219:AM219)</f>
        <v>0</v>
      </c>
      <c r="AC135" s="292">
        <f>SUM('PER BULAN'!AN219:AP219)</f>
        <v>0</v>
      </c>
      <c r="AD135" s="277" t="s">
        <v>530</v>
      </c>
      <c r="AE135" s="277" t="s">
        <v>542</v>
      </c>
      <c r="AF135" s="277" t="s">
        <v>543</v>
      </c>
      <c r="AG135" s="277" t="s">
        <v>4699</v>
      </c>
      <c r="AH135" s="277" t="s">
        <v>4700</v>
      </c>
      <c r="AI135" s="277">
        <f t="shared" si="10"/>
        <v>0</v>
      </c>
      <c r="AJ135" s="291">
        <f t="shared" si="11"/>
        <v>0</v>
      </c>
      <c r="AK135" s="277">
        <f t="shared" si="12"/>
        <v>6000000</v>
      </c>
      <c r="AL135" s="291">
        <f t="shared" si="13"/>
        <v>100</v>
      </c>
      <c r="AM135" s="277" t="s">
        <v>3517</v>
      </c>
      <c r="AN135" s="277" t="s">
        <v>4730</v>
      </c>
      <c r="AO135" s="277" t="s">
        <v>4735</v>
      </c>
      <c r="AP135" s="277" t="s">
        <v>4732</v>
      </c>
      <c r="AQ135" s="292">
        <f>SUM('PER BULAN'!AX219)</f>
        <v>0</v>
      </c>
      <c r="AR135" s="292">
        <f>SUM('PER BULAN'!AY219)</f>
        <v>0</v>
      </c>
      <c r="AS135" s="292">
        <f>SUM('PER BULAN'!AZ219)</f>
        <v>0</v>
      </c>
      <c r="AT135" s="292">
        <f>SUM('PER BULAN'!BA219)</f>
        <v>0</v>
      </c>
      <c r="AU135" s="292">
        <f>SUM('PER BULAN'!BB219)</f>
        <v>0</v>
      </c>
      <c r="AV135" s="292">
        <f>SUM('PER BULAN'!BC219)</f>
        <v>0</v>
      </c>
      <c r="AW135" s="292">
        <f>SUM('PER BULAN'!BD219)</f>
        <v>0</v>
      </c>
      <c r="AX135" s="292">
        <f>SUM('PER BULAN'!BE219)</f>
        <v>0</v>
      </c>
    </row>
    <row r="136" spans="1:50" s="278" customFormat="1" x14ac:dyDescent="0.3">
      <c r="A136" s="277" t="s">
        <v>4693</v>
      </c>
      <c r="B136" s="277" t="s">
        <v>4694</v>
      </c>
      <c r="C136" s="277" t="s">
        <v>4720</v>
      </c>
      <c r="D136" s="277" t="s">
        <v>4721</v>
      </c>
      <c r="E136" s="277" t="s">
        <v>198</v>
      </c>
      <c r="F136" s="277" t="s">
        <v>4729</v>
      </c>
      <c r="G136" s="277" t="s">
        <v>4797</v>
      </c>
      <c r="H136" s="277" t="s">
        <v>4798</v>
      </c>
      <c r="I136" s="277">
        <v>996</v>
      </c>
      <c r="J136" s="277" t="s">
        <v>4799</v>
      </c>
      <c r="K136" s="277">
        <v>301</v>
      </c>
      <c r="L136" s="277" t="s">
        <v>4800</v>
      </c>
      <c r="M136" s="277" t="s">
        <v>511</v>
      </c>
      <c r="N136" s="277" t="s">
        <v>4803</v>
      </c>
      <c r="O136" s="277">
        <v>524111</v>
      </c>
      <c r="P136" s="277" t="s">
        <v>4702</v>
      </c>
      <c r="Q136" s="278">
        <v>186000000</v>
      </c>
      <c r="R136" s="292">
        <f>SUM('PER BULAN'!G221:I221)</f>
        <v>0</v>
      </c>
      <c r="S136" s="292">
        <f>SUM('PER BULAN'!J220:L220)</f>
        <v>0</v>
      </c>
      <c r="T136" s="292">
        <f>SUM('PER BULAN'!M220:O220)</f>
        <v>0</v>
      </c>
      <c r="U136" s="292">
        <f>SUM('PER BULAN'!P220:R220)</f>
        <v>0</v>
      </c>
      <c r="V136" s="292">
        <f>SUM('PER BULAN'!S220:U220)</f>
        <v>20392633</v>
      </c>
      <c r="W136" s="292">
        <f>SUM('PER BULAN'!V220:X220)</f>
        <v>22330573</v>
      </c>
      <c r="X136" s="292">
        <f>SUM('PER BULAN'!Y220:AA220)</f>
        <v>0</v>
      </c>
      <c r="Y136" s="292">
        <f>SUM('PER BULAN'!AB220:AD220)</f>
        <v>0</v>
      </c>
      <c r="Z136" s="292">
        <f>SUM('PER BULAN'!AE220:AG220)</f>
        <v>0</v>
      </c>
      <c r="AA136" s="292">
        <f>SUM('PER BULAN'!AH220:AJ220)</f>
        <v>0</v>
      </c>
      <c r="AB136" s="292">
        <f>SUM('PER BULAN'!AK220:AM220)</f>
        <v>0</v>
      </c>
      <c r="AC136" s="292">
        <f>SUM('PER BULAN'!AN220:AP220)</f>
        <v>0</v>
      </c>
      <c r="AD136" s="277" t="s">
        <v>530</v>
      </c>
      <c r="AE136" s="277" t="s">
        <v>542</v>
      </c>
      <c r="AF136" s="277" t="s">
        <v>543</v>
      </c>
      <c r="AG136" s="277" t="s">
        <v>4699</v>
      </c>
      <c r="AH136" s="277" t="s">
        <v>4700</v>
      </c>
      <c r="AI136" s="277">
        <f t="shared" si="10"/>
        <v>42723206</v>
      </c>
      <c r="AJ136" s="291">
        <f t="shared" si="11"/>
        <v>22.969465591397849</v>
      </c>
      <c r="AK136" s="277">
        <f t="shared" si="12"/>
        <v>143276794</v>
      </c>
      <c r="AL136" s="291">
        <f t="shared" si="13"/>
        <v>77.030534408602151</v>
      </c>
      <c r="AM136" s="277" t="s">
        <v>3519</v>
      </c>
      <c r="AN136" s="277" t="s">
        <v>4730</v>
      </c>
      <c r="AO136" s="277" t="s">
        <v>4736</v>
      </c>
      <c r="AP136" s="277" t="s">
        <v>4732</v>
      </c>
      <c r="AQ136" s="292">
        <f>SUM('PER BULAN'!AX220)</f>
        <v>0</v>
      </c>
      <c r="AR136" s="292">
        <f>SUM('PER BULAN'!AY220)</f>
        <v>0</v>
      </c>
      <c r="AS136" s="292">
        <f>SUM('PER BULAN'!AZ220)</f>
        <v>0</v>
      </c>
      <c r="AT136" s="292">
        <f>SUM('PER BULAN'!BA220)</f>
        <v>0</v>
      </c>
      <c r="AU136" s="292">
        <f>SUM('PER BULAN'!BB220)</f>
        <v>0</v>
      </c>
      <c r="AV136" s="292">
        <f>SUM('PER BULAN'!BC220)</f>
        <v>0</v>
      </c>
      <c r="AW136" s="292">
        <f>SUM('PER BULAN'!BD220)</f>
        <v>20392633</v>
      </c>
      <c r="AX136" s="292">
        <f>SUM('PER BULAN'!BE220)</f>
        <v>0</v>
      </c>
    </row>
    <row r="137" spans="1:50" s="278" customFormat="1" x14ac:dyDescent="0.3">
      <c r="A137" s="277" t="s">
        <v>4693</v>
      </c>
      <c r="B137" s="277" t="s">
        <v>4694</v>
      </c>
      <c r="C137" s="277" t="s">
        <v>4720</v>
      </c>
      <c r="D137" s="277" t="s">
        <v>4721</v>
      </c>
      <c r="E137" s="277" t="s">
        <v>198</v>
      </c>
      <c r="F137" s="277" t="s">
        <v>4729</v>
      </c>
      <c r="G137" s="277" t="s">
        <v>4797</v>
      </c>
      <c r="H137" s="277" t="s">
        <v>4798</v>
      </c>
      <c r="I137" s="277">
        <v>996</v>
      </c>
      <c r="J137" s="277" t="s">
        <v>4799</v>
      </c>
      <c r="K137" s="277">
        <v>301</v>
      </c>
      <c r="L137" s="277" t="s">
        <v>4800</v>
      </c>
      <c r="M137" s="277" t="s">
        <v>512</v>
      </c>
      <c r="N137" s="277" t="s">
        <v>4804</v>
      </c>
      <c r="O137" s="277">
        <v>521211</v>
      </c>
      <c r="P137" s="277" t="s">
        <v>4698</v>
      </c>
      <c r="Q137" s="278">
        <v>12000000</v>
      </c>
      <c r="R137" s="292">
        <f>SUM('PER BULAN'!G222:I222)</f>
        <v>0</v>
      </c>
      <c r="S137" s="292">
        <f>SUM('PER BULAN'!J222:L222)</f>
        <v>0</v>
      </c>
      <c r="T137" s="292">
        <f>SUM('PER BULAN'!M222:O222)</f>
        <v>0</v>
      </c>
      <c r="U137" s="292">
        <f>SUM('PER BULAN'!P222:R222)</f>
        <v>0</v>
      </c>
      <c r="V137" s="292">
        <f>SUM('PER BULAN'!S222:U222)</f>
        <v>0</v>
      </c>
      <c r="W137" s="292">
        <f>SUM('PER BULAN'!V222:X222)</f>
        <v>0</v>
      </c>
      <c r="X137" s="292">
        <f>SUM('PER BULAN'!Y222:AA222)</f>
        <v>0</v>
      </c>
      <c r="Y137" s="292">
        <f>SUM('PER BULAN'!AB222:AD222)</f>
        <v>0</v>
      </c>
      <c r="Z137" s="292">
        <f>SUM('PER BULAN'!AE222:AG222)</f>
        <v>0</v>
      </c>
      <c r="AA137" s="292">
        <f>SUM('PER BULAN'!AH222:AJ222)</f>
        <v>0</v>
      </c>
      <c r="AB137" s="292">
        <f>SUM('PER BULAN'!AK222:AM222)</f>
        <v>0</v>
      </c>
      <c r="AC137" s="292">
        <f>SUM('PER BULAN'!AN222:AP222)</f>
        <v>0</v>
      </c>
      <c r="AD137" s="277" t="s">
        <v>530</v>
      </c>
      <c r="AE137" s="277" t="s">
        <v>542</v>
      </c>
      <c r="AF137" s="277" t="s">
        <v>543</v>
      </c>
      <c r="AG137" s="277" t="s">
        <v>4699</v>
      </c>
      <c r="AH137" s="277" t="s">
        <v>4700</v>
      </c>
      <c r="AI137" s="277">
        <f t="shared" si="10"/>
        <v>0</v>
      </c>
      <c r="AJ137" s="291">
        <f t="shared" si="11"/>
        <v>0</v>
      </c>
      <c r="AK137" s="277">
        <f t="shared" si="12"/>
        <v>12000000</v>
      </c>
      <c r="AL137" s="291">
        <f t="shared" si="13"/>
        <v>100</v>
      </c>
      <c r="AM137" s="277" t="s">
        <v>3523</v>
      </c>
      <c r="AN137" s="277" t="s">
        <v>4730</v>
      </c>
      <c r="AO137" s="277" t="s">
        <v>4731</v>
      </c>
      <c r="AP137" s="277" t="s">
        <v>4732</v>
      </c>
      <c r="AQ137" s="292">
        <f>SUM('PER BULAN'!AX222)</f>
        <v>0</v>
      </c>
      <c r="AR137" s="292">
        <f>SUM('PER BULAN'!AY222)</f>
        <v>0</v>
      </c>
      <c r="AS137" s="292">
        <f>SUM('PER BULAN'!AZ222)</f>
        <v>0</v>
      </c>
      <c r="AT137" s="292">
        <f>SUM('PER BULAN'!BA222)</f>
        <v>0</v>
      </c>
      <c r="AU137" s="292">
        <f>SUM('PER BULAN'!BB222)</f>
        <v>0</v>
      </c>
      <c r="AV137" s="292">
        <f>SUM('PER BULAN'!BC222)</f>
        <v>0</v>
      </c>
      <c r="AW137" s="292">
        <f>SUM('PER BULAN'!BD222)</f>
        <v>0</v>
      </c>
      <c r="AX137" s="292">
        <f>SUM('PER BULAN'!BE222)</f>
        <v>0</v>
      </c>
    </row>
    <row r="138" spans="1:50" s="278" customFormat="1" x14ac:dyDescent="0.3">
      <c r="A138" s="277" t="s">
        <v>4693</v>
      </c>
      <c r="B138" s="277" t="s">
        <v>4694</v>
      </c>
      <c r="C138" s="277" t="s">
        <v>4720</v>
      </c>
      <c r="D138" s="277" t="s">
        <v>4721</v>
      </c>
      <c r="E138" s="277" t="s">
        <v>198</v>
      </c>
      <c r="F138" s="277" t="s">
        <v>4729</v>
      </c>
      <c r="G138" s="277" t="s">
        <v>4797</v>
      </c>
      <c r="H138" s="277" t="s">
        <v>4798</v>
      </c>
      <c r="I138" s="277">
        <v>996</v>
      </c>
      <c r="J138" s="277" t="s">
        <v>4799</v>
      </c>
      <c r="K138" s="277">
        <v>301</v>
      </c>
      <c r="L138" s="277" t="s">
        <v>4800</v>
      </c>
      <c r="M138" s="277" t="s">
        <v>512</v>
      </c>
      <c r="N138" s="277" t="s">
        <v>4804</v>
      </c>
      <c r="O138" s="277">
        <v>521219</v>
      </c>
      <c r="P138" s="277" t="s">
        <v>4711</v>
      </c>
      <c r="Q138" s="278">
        <v>20000000</v>
      </c>
      <c r="R138" s="292">
        <f>SUM('PER BULAN'!G223:I223)</f>
        <v>0</v>
      </c>
      <c r="S138" s="292">
        <f>SUM('PER BULAN'!J223:L223)</f>
        <v>0</v>
      </c>
      <c r="T138" s="292">
        <f>SUM('PER BULAN'!M223:O223)</f>
        <v>0</v>
      </c>
      <c r="U138" s="292">
        <f>SUM('PER BULAN'!P223:R223)</f>
        <v>0</v>
      </c>
      <c r="V138" s="292">
        <f>SUM('PER BULAN'!S223:U223)</f>
        <v>0</v>
      </c>
      <c r="W138" s="292">
        <f>SUM('PER BULAN'!V223:X223)</f>
        <v>0</v>
      </c>
      <c r="X138" s="292">
        <f>SUM('PER BULAN'!Y223:AA223)</f>
        <v>0</v>
      </c>
      <c r="Y138" s="292">
        <f>SUM('PER BULAN'!AB223:AD223)</f>
        <v>0</v>
      </c>
      <c r="Z138" s="292">
        <f>SUM('PER BULAN'!AE223:AG223)</f>
        <v>0</v>
      </c>
      <c r="AA138" s="292">
        <f>SUM('PER BULAN'!AH223:AJ223)</f>
        <v>0</v>
      </c>
      <c r="AB138" s="292">
        <f>SUM('PER BULAN'!AK223:AM223)</f>
        <v>0</v>
      </c>
      <c r="AC138" s="292">
        <f>SUM('PER BULAN'!AN223:AP223)</f>
        <v>0</v>
      </c>
      <c r="AD138" s="277" t="s">
        <v>530</v>
      </c>
      <c r="AE138" s="277" t="s">
        <v>542</v>
      </c>
      <c r="AF138" s="277" t="s">
        <v>543</v>
      </c>
      <c r="AG138" s="277" t="s">
        <v>4699</v>
      </c>
      <c r="AH138" s="277" t="s">
        <v>4700</v>
      </c>
      <c r="AI138" s="277">
        <f t="shared" si="10"/>
        <v>0</v>
      </c>
      <c r="AJ138" s="291">
        <f t="shared" si="11"/>
        <v>0</v>
      </c>
      <c r="AK138" s="277">
        <f t="shared" si="12"/>
        <v>20000000</v>
      </c>
      <c r="AL138" s="291">
        <f t="shared" si="13"/>
        <v>100</v>
      </c>
      <c r="AM138" s="277" t="s">
        <v>3527</v>
      </c>
      <c r="AN138" s="277" t="s">
        <v>4730</v>
      </c>
      <c r="AO138" s="277" t="s">
        <v>4733</v>
      </c>
      <c r="AP138" s="277" t="s">
        <v>4732</v>
      </c>
      <c r="AQ138" s="292">
        <f>SUM('PER BULAN'!AX223)</f>
        <v>0</v>
      </c>
      <c r="AR138" s="292">
        <f>SUM('PER BULAN'!AY223)</f>
        <v>0</v>
      </c>
      <c r="AS138" s="292">
        <f>SUM('PER BULAN'!AZ223)</f>
        <v>0</v>
      </c>
      <c r="AT138" s="292">
        <f>SUM('PER BULAN'!BA223)</f>
        <v>0</v>
      </c>
      <c r="AU138" s="292">
        <f>SUM('PER BULAN'!BB223)</f>
        <v>0</v>
      </c>
      <c r="AV138" s="292">
        <f>SUM('PER BULAN'!BC223)</f>
        <v>0</v>
      </c>
      <c r="AW138" s="292">
        <f>SUM('PER BULAN'!BD223)</f>
        <v>0</v>
      </c>
      <c r="AX138" s="292">
        <f>SUM('PER BULAN'!BE223)</f>
        <v>0</v>
      </c>
    </row>
    <row r="139" spans="1:50" s="278" customFormat="1" x14ac:dyDescent="0.3">
      <c r="A139" s="277" t="s">
        <v>4693</v>
      </c>
      <c r="B139" s="277" t="s">
        <v>4694</v>
      </c>
      <c r="C139" s="277" t="s">
        <v>4720</v>
      </c>
      <c r="D139" s="277" t="s">
        <v>4721</v>
      </c>
      <c r="E139" s="277" t="s">
        <v>198</v>
      </c>
      <c r="F139" s="277" t="s">
        <v>4729</v>
      </c>
      <c r="G139" s="277" t="s">
        <v>4797</v>
      </c>
      <c r="H139" s="277" t="s">
        <v>4798</v>
      </c>
      <c r="I139" s="277">
        <v>996</v>
      </c>
      <c r="J139" s="277" t="s">
        <v>4799</v>
      </c>
      <c r="K139" s="277">
        <v>301</v>
      </c>
      <c r="L139" s="277" t="s">
        <v>4800</v>
      </c>
      <c r="M139" s="277" t="s">
        <v>512</v>
      </c>
      <c r="N139" s="277" t="s">
        <v>4804</v>
      </c>
      <c r="O139" s="277">
        <v>524211</v>
      </c>
      <c r="P139" s="277" t="s">
        <v>4806</v>
      </c>
      <c r="Q139" s="278">
        <v>142041000</v>
      </c>
      <c r="R139" s="292">
        <f>SUM('PER BULAN'!G225:I225)</f>
        <v>0</v>
      </c>
      <c r="S139" s="292">
        <f>SUM('PER BULAN'!J224:L224)</f>
        <v>0</v>
      </c>
      <c r="T139" s="292">
        <f>SUM('PER BULAN'!M224:O224)</f>
        <v>0</v>
      </c>
      <c r="U139" s="292">
        <f>SUM('PER BULAN'!P224:R224)</f>
        <v>0</v>
      </c>
      <c r="V139" s="292">
        <f>SUM('PER BULAN'!S224:U224)</f>
        <v>0</v>
      </c>
      <c r="W139" s="292">
        <f>SUM('PER BULAN'!V224:X224)</f>
        <v>0</v>
      </c>
      <c r="X139" s="292">
        <f>SUM('PER BULAN'!Y224:AA224)</f>
        <v>0</v>
      </c>
      <c r="Y139" s="292">
        <f>SUM('PER BULAN'!AB224:AD224)</f>
        <v>0</v>
      </c>
      <c r="Z139" s="292">
        <f>SUM('PER BULAN'!AE224:AG224)</f>
        <v>0</v>
      </c>
      <c r="AA139" s="292">
        <f>SUM('PER BULAN'!AH224:AJ224)</f>
        <v>0</v>
      </c>
      <c r="AB139" s="292">
        <f>SUM('PER BULAN'!AK224:AM224)</f>
        <v>0</v>
      </c>
      <c r="AC139" s="292">
        <f>SUM('PER BULAN'!AN224:AP224)</f>
        <v>0</v>
      </c>
      <c r="AD139" s="277" t="s">
        <v>530</v>
      </c>
      <c r="AE139" s="277" t="s">
        <v>542</v>
      </c>
      <c r="AF139" s="277" t="s">
        <v>543</v>
      </c>
      <c r="AG139" s="277" t="s">
        <v>4699</v>
      </c>
      <c r="AH139" s="277" t="s">
        <v>4700</v>
      </c>
      <c r="AI139" s="277">
        <f t="shared" si="10"/>
        <v>0</v>
      </c>
      <c r="AJ139" s="291">
        <f t="shared" si="11"/>
        <v>0</v>
      </c>
      <c r="AK139" s="277">
        <f t="shared" si="12"/>
        <v>142041000</v>
      </c>
      <c r="AL139" s="291">
        <f t="shared" si="13"/>
        <v>100</v>
      </c>
      <c r="AM139" s="277" t="s">
        <v>3530</v>
      </c>
      <c r="AN139" s="277" t="s">
        <v>4730</v>
      </c>
      <c r="AO139" s="277" t="s">
        <v>4736</v>
      </c>
      <c r="AP139" s="277" t="s">
        <v>4732</v>
      </c>
      <c r="AQ139" s="292">
        <f>SUM('PER BULAN'!AX224)</f>
        <v>0</v>
      </c>
      <c r="AR139" s="292">
        <f>SUM('PER BULAN'!AY224)</f>
        <v>0</v>
      </c>
      <c r="AS139" s="292">
        <f>SUM('PER BULAN'!AZ224)</f>
        <v>0</v>
      </c>
      <c r="AT139" s="292">
        <f>SUM('PER BULAN'!BA224)</f>
        <v>0</v>
      </c>
      <c r="AU139" s="292">
        <f>SUM('PER BULAN'!BB224)</f>
        <v>0</v>
      </c>
      <c r="AV139" s="292">
        <f>SUM('PER BULAN'!BC224)</f>
        <v>0</v>
      </c>
      <c r="AW139" s="292">
        <f>SUM('PER BULAN'!BD224)</f>
        <v>0</v>
      </c>
      <c r="AX139" s="292">
        <f>SUM('PER BULAN'!BE224)</f>
        <v>0</v>
      </c>
    </row>
    <row r="140" spans="1:50" s="278" customFormat="1" x14ac:dyDescent="0.3">
      <c r="A140" s="277" t="s">
        <v>4693</v>
      </c>
      <c r="B140" s="277" t="s">
        <v>4694</v>
      </c>
      <c r="C140" s="277" t="s">
        <v>4720</v>
      </c>
      <c r="D140" s="277" t="s">
        <v>4721</v>
      </c>
      <c r="E140" s="277" t="s">
        <v>198</v>
      </c>
      <c r="F140" s="277" t="s">
        <v>4729</v>
      </c>
      <c r="G140" s="277" t="s">
        <v>4797</v>
      </c>
      <c r="H140" s="277" t="s">
        <v>4798</v>
      </c>
      <c r="I140" s="277">
        <v>996</v>
      </c>
      <c r="J140" s="277" t="s">
        <v>4799</v>
      </c>
      <c r="K140" s="277">
        <v>301</v>
      </c>
      <c r="L140" s="277" t="s">
        <v>4800</v>
      </c>
      <c r="M140" s="277" t="s">
        <v>514</v>
      </c>
      <c r="N140" s="277" t="s">
        <v>4805</v>
      </c>
      <c r="O140" s="277">
        <v>522192</v>
      </c>
      <c r="P140" s="277" t="s">
        <v>4703</v>
      </c>
      <c r="Q140" s="278">
        <v>30000000</v>
      </c>
      <c r="R140" s="292">
        <f>SUM('PER BULAN'!G228:I228)</f>
        <v>0</v>
      </c>
      <c r="S140" s="292">
        <f>SUM('PER BULAN'!J226:L226)</f>
        <v>0</v>
      </c>
      <c r="T140" s="292">
        <f>SUM('PER BULAN'!M226:O226)</f>
        <v>0</v>
      </c>
      <c r="U140" s="292">
        <f>SUM('PER BULAN'!P226:R226)</f>
        <v>0</v>
      </c>
      <c r="V140" s="292">
        <f>SUM('PER BULAN'!S226:U226)</f>
        <v>0</v>
      </c>
      <c r="W140" s="292">
        <f>SUM('PER BULAN'!V226:X226)</f>
        <v>0</v>
      </c>
      <c r="X140" s="292">
        <f>SUM('PER BULAN'!Y226:AA226)</f>
        <v>0</v>
      </c>
      <c r="Y140" s="292">
        <f>SUM('PER BULAN'!AB226:AD226)</f>
        <v>0</v>
      </c>
      <c r="Z140" s="292">
        <f>SUM('PER BULAN'!AE226:AG226)</f>
        <v>0</v>
      </c>
      <c r="AA140" s="292">
        <f>SUM('PER BULAN'!AH226:AJ226)</f>
        <v>0</v>
      </c>
      <c r="AB140" s="292">
        <f>SUM('PER BULAN'!AK226:AM226)</f>
        <v>0</v>
      </c>
      <c r="AC140" s="292">
        <f>SUM('PER BULAN'!AN226:AP226)</f>
        <v>0</v>
      </c>
      <c r="AD140" s="277" t="s">
        <v>530</v>
      </c>
      <c r="AE140" s="277" t="s">
        <v>542</v>
      </c>
      <c r="AF140" s="277" t="s">
        <v>543</v>
      </c>
      <c r="AG140" s="277" t="s">
        <v>4699</v>
      </c>
      <c r="AH140" s="277" t="s">
        <v>4700</v>
      </c>
      <c r="AI140" s="277">
        <f t="shared" si="10"/>
        <v>0</v>
      </c>
      <c r="AJ140" s="291">
        <f t="shared" si="11"/>
        <v>0</v>
      </c>
      <c r="AK140" s="277">
        <f t="shared" si="12"/>
        <v>30000000</v>
      </c>
      <c r="AL140" s="291">
        <f t="shared" si="13"/>
        <v>100</v>
      </c>
      <c r="AM140" s="277" t="s">
        <v>3535</v>
      </c>
      <c r="AN140" s="277" t="s">
        <v>4734</v>
      </c>
      <c r="AO140" s="277" t="s">
        <v>4735</v>
      </c>
      <c r="AP140" s="277" t="s">
        <v>4732</v>
      </c>
      <c r="AQ140" s="292">
        <f>SUM('PER BULAN'!AX226)</f>
        <v>0</v>
      </c>
      <c r="AR140" s="292">
        <f>SUM('PER BULAN'!AY226)</f>
        <v>0</v>
      </c>
      <c r="AS140" s="292">
        <f>SUM('PER BULAN'!AZ226)</f>
        <v>0</v>
      </c>
      <c r="AT140" s="292">
        <f>SUM('PER BULAN'!BA226)</f>
        <v>0</v>
      </c>
      <c r="AU140" s="292">
        <f>SUM('PER BULAN'!BB226)</f>
        <v>0</v>
      </c>
      <c r="AV140" s="292">
        <f>SUM('PER BULAN'!BC226)</f>
        <v>0</v>
      </c>
      <c r="AW140" s="292">
        <f>SUM('PER BULAN'!BD226)</f>
        <v>0</v>
      </c>
      <c r="AX140" s="292">
        <f>SUM('PER BULAN'!BE226)</f>
        <v>0</v>
      </c>
    </row>
    <row r="141" spans="1:50" s="278" customFormat="1" x14ac:dyDescent="0.3">
      <c r="A141" s="277" t="s">
        <v>4693</v>
      </c>
      <c r="B141" s="277" t="s">
        <v>4694</v>
      </c>
      <c r="C141" s="277" t="s">
        <v>4720</v>
      </c>
      <c r="D141" s="277" t="s">
        <v>4721</v>
      </c>
      <c r="E141" s="277" t="s">
        <v>198</v>
      </c>
      <c r="F141" s="277" t="s">
        <v>4729</v>
      </c>
      <c r="G141" s="277" t="s">
        <v>4797</v>
      </c>
      <c r="H141" s="277" t="s">
        <v>4798</v>
      </c>
      <c r="I141" s="277">
        <v>996</v>
      </c>
      <c r="J141" s="277" t="s">
        <v>4799</v>
      </c>
      <c r="K141" s="277">
        <v>302</v>
      </c>
      <c r="L141" s="277" t="s">
        <v>4820</v>
      </c>
      <c r="M141" s="277" t="s">
        <v>8</v>
      </c>
      <c r="N141" s="277" t="s">
        <v>4821</v>
      </c>
      <c r="O141" s="277">
        <v>521211</v>
      </c>
      <c r="P141" s="277" t="s">
        <v>4698</v>
      </c>
      <c r="Q141" s="278">
        <v>25000000</v>
      </c>
      <c r="R141" s="292">
        <f>SUM('PER BULAN'!G229:I229)</f>
        <v>0</v>
      </c>
      <c r="S141" s="292">
        <f>SUM('PER BULAN'!J229:L229)</f>
        <v>0</v>
      </c>
      <c r="T141" s="292">
        <f>SUM('PER BULAN'!M229:O229)</f>
        <v>0</v>
      </c>
      <c r="U141" s="292">
        <f>SUM('PER BULAN'!P229:R229)</f>
        <v>0</v>
      </c>
      <c r="V141" s="292">
        <f>SUM('PER BULAN'!S229:U229)</f>
        <v>2961000</v>
      </c>
      <c r="W141" s="292">
        <f>SUM('PER BULAN'!V229:X229)</f>
        <v>0</v>
      </c>
      <c r="X141" s="292">
        <f>SUM('PER BULAN'!Y229:AA229)</f>
        <v>0</v>
      </c>
      <c r="Y141" s="292">
        <f>SUM('PER BULAN'!AB229:AD229)</f>
        <v>0</v>
      </c>
      <c r="Z141" s="292">
        <f>SUM('PER BULAN'!AE229:AG229)</f>
        <v>0</v>
      </c>
      <c r="AA141" s="292">
        <f>SUM('PER BULAN'!AH229:AJ229)</f>
        <v>0</v>
      </c>
      <c r="AB141" s="292">
        <f>SUM('PER BULAN'!AK229:AM229)</f>
        <v>0</v>
      </c>
      <c r="AC141" s="292">
        <f>SUM('PER BULAN'!AN229:AP229)</f>
        <v>0</v>
      </c>
      <c r="AD141" s="277" t="s">
        <v>530</v>
      </c>
      <c r="AE141" s="277" t="s">
        <v>542</v>
      </c>
      <c r="AF141" s="277" t="s">
        <v>543</v>
      </c>
      <c r="AG141" s="277" t="s">
        <v>4699</v>
      </c>
      <c r="AH141" s="277" t="s">
        <v>4700</v>
      </c>
      <c r="AI141" s="277">
        <f t="shared" si="10"/>
        <v>2961000</v>
      </c>
      <c r="AJ141" s="291">
        <f t="shared" si="11"/>
        <v>11.844000000000001</v>
      </c>
      <c r="AK141" s="277">
        <f t="shared" si="12"/>
        <v>22039000</v>
      </c>
      <c r="AL141" s="291">
        <f t="shared" si="13"/>
        <v>88.156000000000006</v>
      </c>
      <c r="AM141" s="277" t="s">
        <v>3480</v>
      </c>
      <c r="AN141" s="277" t="s">
        <v>4730</v>
      </c>
      <c r="AO141" s="277" t="s">
        <v>4731</v>
      </c>
      <c r="AP141" s="277" t="s">
        <v>4732</v>
      </c>
      <c r="AQ141" s="292">
        <f>SUM('PER BULAN'!AX229)</f>
        <v>0</v>
      </c>
      <c r="AR141" s="292">
        <f>SUM('PER BULAN'!AY229)</f>
        <v>0</v>
      </c>
      <c r="AS141" s="292">
        <f>SUM('PER BULAN'!AZ229)</f>
        <v>0</v>
      </c>
      <c r="AT141" s="292">
        <f>SUM('PER BULAN'!BA229)</f>
        <v>0</v>
      </c>
      <c r="AU141" s="292">
        <f>SUM('PER BULAN'!BB229)</f>
        <v>0</v>
      </c>
      <c r="AV141" s="292">
        <f>SUM('PER BULAN'!BC229)</f>
        <v>0</v>
      </c>
      <c r="AW141" s="292">
        <f>SUM('PER BULAN'!BD229)</f>
        <v>2961000</v>
      </c>
      <c r="AX141" s="292">
        <f>SUM('PER BULAN'!BE229)</f>
        <v>0</v>
      </c>
    </row>
    <row r="142" spans="1:50" s="278" customFormat="1" x14ac:dyDescent="0.3">
      <c r="A142" s="277" t="s">
        <v>4693</v>
      </c>
      <c r="B142" s="277" t="s">
        <v>4694</v>
      </c>
      <c r="C142" s="277" t="s">
        <v>4720</v>
      </c>
      <c r="D142" s="277" t="s">
        <v>4721</v>
      </c>
      <c r="E142" s="277" t="s">
        <v>198</v>
      </c>
      <c r="F142" s="277" t="s">
        <v>4729</v>
      </c>
      <c r="G142" s="277" t="s">
        <v>4797</v>
      </c>
      <c r="H142" s="277" t="s">
        <v>4798</v>
      </c>
      <c r="I142" s="277">
        <v>996</v>
      </c>
      <c r="J142" s="277" t="s">
        <v>4799</v>
      </c>
      <c r="K142" s="277">
        <v>302</v>
      </c>
      <c r="L142" s="277" t="s">
        <v>4820</v>
      </c>
      <c r="M142" s="277" t="s">
        <v>8</v>
      </c>
      <c r="N142" s="277" t="s">
        <v>4821</v>
      </c>
      <c r="O142" s="277">
        <v>521811</v>
      </c>
      <c r="P142" s="277" t="s">
        <v>4716</v>
      </c>
      <c r="Q142" s="278">
        <v>30000000</v>
      </c>
      <c r="R142" s="292">
        <f>SUM('PER BULAN'!G230:I230)</f>
        <v>0</v>
      </c>
      <c r="S142" s="292">
        <f>SUM('PER BULAN'!J230:L230)</f>
        <v>0</v>
      </c>
      <c r="T142" s="292">
        <f>SUM('PER BULAN'!M230:O230)</f>
        <v>0</v>
      </c>
      <c r="U142" s="292">
        <f>SUM('PER BULAN'!P230:R230)</f>
        <v>0</v>
      </c>
      <c r="V142" s="292">
        <f>SUM('PER BULAN'!S230:U230)</f>
        <v>4845000</v>
      </c>
      <c r="W142" s="292">
        <f>SUM('PER BULAN'!V230:X230)</f>
        <v>0</v>
      </c>
      <c r="X142" s="292">
        <f>SUM('PER BULAN'!Y230:AA230)</f>
        <v>0</v>
      </c>
      <c r="Y142" s="292">
        <f>SUM('PER BULAN'!AB230:AD230)</f>
        <v>0</v>
      </c>
      <c r="Z142" s="292">
        <f>SUM('PER BULAN'!AE230:AG230)</f>
        <v>0</v>
      </c>
      <c r="AA142" s="292">
        <f>SUM('PER BULAN'!AH230:AJ230)</f>
        <v>0</v>
      </c>
      <c r="AB142" s="292">
        <f>SUM('PER BULAN'!AK230:AM230)</f>
        <v>0</v>
      </c>
      <c r="AC142" s="292">
        <f>SUM('PER BULAN'!AN230:AP230)</f>
        <v>0</v>
      </c>
      <c r="AD142" s="277" t="s">
        <v>530</v>
      </c>
      <c r="AE142" s="277" t="s">
        <v>542</v>
      </c>
      <c r="AF142" s="277" t="s">
        <v>543</v>
      </c>
      <c r="AG142" s="277" t="s">
        <v>4699</v>
      </c>
      <c r="AH142" s="277" t="s">
        <v>4700</v>
      </c>
      <c r="AI142" s="277">
        <f t="shared" si="10"/>
        <v>4845000</v>
      </c>
      <c r="AJ142" s="291">
        <f t="shared" si="11"/>
        <v>16.150000000000002</v>
      </c>
      <c r="AK142" s="277">
        <f t="shared" si="12"/>
        <v>25155000</v>
      </c>
      <c r="AL142" s="291">
        <f t="shared" si="13"/>
        <v>83.850000000000009</v>
      </c>
      <c r="AM142" s="277" t="s">
        <v>3492</v>
      </c>
      <c r="AN142" s="277" t="s">
        <v>4730</v>
      </c>
      <c r="AO142" s="277" t="s">
        <v>4826</v>
      </c>
      <c r="AP142" s="277" t="s">
        <v>4732</v>
      </c>
      <c r="AQ142" s="292">
        <f>SUM('PER BULAN'!AX230)</f>
        <v>0</v>
      </c>
      <c r="AR142" s="292">
        <f>SUM('PER BULAN'!AY230)</f>
        <v>0</v>
      </c>
      <c r="AS142" s="292">
        <f>SUM('PER BULAN'!AZ230)</f>
        <v>0</v>
      </c>
      <c r="AT142" s="292">
        <f>SUM('PER BULAN'!BA230)</f>
        <v>0</v>
      </c>
      <c r="AU142" s="292">
        <f>SUM('PER BULAN'!BB230)</f>
        <v>0</v>
      </c>
      <c r="AV142" s="292">
        <f>SUM('PER BULAN'!BC230)</f>
        <v>0</v>
      </c>
      <c r="AW142" s="292">
        <f>SUM('PER BULAN'!BD230)</f>
        <v>4845000</v>
      </c>
      <c r="AX142" s="292">
        <f>SUM('PER BULAN'!BE230)</f>
        <v>0</v>
      </c>
    </row>
    <row r="143" spans="1:50" s="278" customFormat="1" x14ac:dyDescent="0.3">
      <c r="A143" s="277" t="s">
        <v>4693</v>
      </c>
      <c r="B143" s="277" t="s">
        <v>4694</v>
      </c>
      <c r="C143" s="277" t="s">
        <v>4720</v>
      </c>
      <c r="D143" s="277" t="s">
        <v>4721</v>
      </c>
      <c r="E143" s="277" t="s">
        <v>198</v>
      </c>
      <c r="F143" s="277" t="s">
        <v>4729</v>
      </c>
      <c r="G143" s="277" t="s">
        <v>4797</v>
      </c>
      <c r="H143" s="277" t="s">
        <v>4798</v>
      </c>
      <c r="I143" s="277">
        <v>996</v>
      </c>
      <c r="J143" s="277" t="s">
        <v>4799</v>
      </c>
      <c r="K143" s="277">
        <v>302</v>
      </c>
      <c r="L143" s="277" t="s">
        <v>4820</v>
      </c>
      <c r="M143" s="277" t="s">
        <v>8</v>
      </c>
      <c r="N143" s="277" t="s">
        <v>4821</v>
      </c>
      <c r="O143" s="277">
        <v>524111</v>
      </c>
      <c r="P143" s="277" t="s">
        <v>4702</v>
      </c>
      <c r="Q143" s="278">
        <v>54200000</v>
      </c>
      <c r="R143" s="292">
        <f>SUM('PER BULAN'!G231:I231)</f>
        <v>0</v>
      </c>
      <c r="S143" s="292">
        <f>SUM('PER BULAN'!J231:L231)</f>
        <v>0</v>
      </c>
      <c r="T143" s="292">
        <f>SUM('PER BULAN'!M231:O231)</f>
        <v>0</v>
      </c>
      <c r="U143" s="292">
        <f>SUM('PER BULAN'!P231:R231)</f>
        <v>0</v>
      </c>
      <c r="V143" s="292">
        <f>SUM('PER BULAN'!S231:U231)</f>
        <v>0</v>
      </c>
      <c r="W143" s="292">
        <f>SUM('PER BULAN'!V231:X231)</f>
        <v>0</v>
      </c>
      <c r="X143" s="292">
        <f>SUM('PER BULAN'!Y231:AA231)</f>
        <v>0</v>
      </c>
      <c r="Y143" s="292">
        <f>SUM('PER BULAN'!AB231:AD231)</f>
        <v>0</v>
      </c>
      <c r="Z143" s="292">
        <f>SUM('PER BULAN'!AE231:AG231)</f>
        <v>0</v>
      </c>
      <c r="AA143" s="292">
        <f>SUM('PER BULAN'!AH231:AJ231)</f>
        <v>0</v>
      </c>
      <c r="AB143" s="292">
        <f>SUM('PER BULAN'!AK231:AM231)</f>
        <v>0</v>
      </c>
      <c r="AC143" s="292">
        <f>SUM('PER BULAN'!AN231:AP231)</f>
        <v>0</v>
      </c>
      <c r="AD143" s="277" t="s">
        <v>530</v>
      </c>
      <c r="AE143" s="277" t="s">
        <v>542</v>
      </c>
      <c r="AF143" s="277" t="s">
        <v>543</v>
      </c>
      <c r="AG143" s="277" t="s">
        <v>4699</v>
      </c>
      <c r="AH143" s="277" t="s">
        <v>4700</v>
      </c>
      <c r="AI143" s="277">
        <f t="shared" si="10"/>
        <v>0</v>
      </c>
      <c r="AJ143" s="291">
        <f t="shared" si="11"/>
        <v>0</v>
      </c>
      <c r="AK143" s="277">
        <f t="shared" si="12"/>
        <v>54200000</v>
      </c>
      <c r="AL143" s="291">
        <f t="shared" si="13"/>
        <v>100</v>
      </c>
      <c r="AM143" s="277" t="s">
        <v>3500</v>
      </c>
      <c r="AN143" s="277" t="s">
        <v>4730</v>
      </c>
      <c r="AO143" s="277" t="s">
        <v>4736</v>
      </c>
      <c r="AP143" s="277" t="s">
        <v>4732</v>
      </c>
      <c r="AQ143" s="292">
        <f>SUM('PER BULAN'!AX231)</f>
        <v>0</v>
      </c>
      <c r="AR143" s="292">
        <f>SUM('PER BULAN'!AY231)</f>
        <v>0</v>
      </c>
      <c r="AS143" s="292">
        <f>SUM('PER BULAN'!AZ231)</f>
        <v>0</v>
      </c>
      <c r="AT143" s="292">
        <f>SUM('PER BULAN'!BA231)</f>
        <v>0</v>
      </c>
      <c r="AU143" s="292">
        <f>SUM('PER BULAN'!BB231)</f>
        <v>0</v>
      </c>
      <c r="AV143" s="292">
        <f>SUM('PER BULAN'!BC231)</f>
        <v>0</v>
      </c>
      <c r="AW143" s="292">
        <f>SUM('PER BULAN'!BD231)</f>
        <v>0</v>
      </c>
      <c r="AX143" s="292">
        <f>SUM('PER BULAN'!BE231)</f>
        <v>0</v>
      </c>
    </row>
    <row r="144" spans="1:50" x14ac:dyDescent="0.3">
      <c r="Q144" s="297">
        <f t="shared" ref="Q144:AC144" si="14">SUM(Q4:Q143)</f>
        <v>16863164000</v>
      </c>
      <c r="R144" s="297">
        <f t="shared" si="14"/>
        <v>0</v>
      </c>
      <c r="S144" s="297">
        <f t="shared" si="14"/>
        <v>74237800</v>
      </c>
      <c r="T144" s="297">
        <f t="shared" si="14"/>
        <v>672277677</v>
      </c>
      <c r="U144" s="297">
        <f t="shared" si="14"/>
        <v>1892688850</v>
      </c>
      <c r="V144" s="297">
        <f t="shared" si="14"/>
        <v>1260934024</v>
      </c>
      <c r="W144" s="297">
        <f t="shared" si="14"/>
        <v>2167184581</v>
      </c>
      <c r="X144" s="297">
        <f t="shared" si="14"/>
        <v>0</v>
      </c>
      <c r="Y144" s="297">
        <f t="shared" si="14"/>
        <v>0</v>
      </c>
      <c r="Z144" s="297">
        <f t="shared" si="14"/>
        <v>0</v>
      </c>
      <c r="AA144" s="297">
        <f t="shared" si="14"/>
        <v>0</v>
      </c>
      <c r="AB144" s="297">
        <f t="shared" si="14"/>
        <v>0</v>
      </c>
      <c r="AC144" s="297">
        <f t="shared" si="14"/>
        <v>0</v>
      </c>
      <c r="AI144" s="297">
        <f>SUM(AI4:AI143)</f>
        <v>6067322932</v>
      </c>
      <c r="AJ144" s="298">
        <f>AI144/Q144*100</f>
        <v>35.97974218835801</v>
      </c>
      <c r="AK144" s="297">
        <f>SUM(AK4:AK143)</f>
        <v>10795841068</v>
      </c>
      <c r="AL144" s="298">
        <f>AK144/Q144*100</f>
        <v>64.020257811641983</v>
      </c>
      <c r="AQ144" s="297">
        <f>SUM(AQ4:AQ143)</f>
        <v>99961115</v>
      </c>
      <c r="AR144" s="297">
        <f>SUM(AR4:AR143)</f>
        <v>410500187</v>
      </c>
      <c r="AS144" s="297">
        <f t="shared" ref="AS144:AU144" si="15">SUM(AS4:AS143)</f>
        <v>98176375</v>
      </c>
      <c r="AT144" s="297">
        <f t="shared" si="15"/>
        <v>95254996</v>
      </c>
      <c r="AU144" s="297">
        <f t="shared" si="15"/>
        <v>95439616</v>
      </c>
      <c r="AV144" s="297">
        <f t="shared" ref="AV144:AW144" si="16">SUM(AV4:AV143)</f>
        <v>93838577</v>
      </c>
      <c r="AW144" s="297">
        <f t="shared" si="16"/>
        <v>312088731</v>
      </c>
      <c r="AX144" s="297">
        <f t="shared" ref="AX144" si="17">SUM(AX4:AX143)</f>
        <v>7559500</v>
      </c>
    </row>
    <row r="145" spans="17:45" x14ac:dyDescent="0.3">
      <c r="T145" s="276"/>
    </row>
    <row r="146" spans="17:45" x14ac:dyDescent="0.3">
      <c r="Q146" s="276">
        <f>Q144-'PER BULAN'!F14</f>
        <v>0</v>
      </c>
      <c r="T146" s="276"/>
    </row>
    <row r="147" spans="17:45" x14ac:dyDescent="0.3">
      <c r="T147" s="276"/>
      <c r="AS147" s="275" t="s">
        <v>4644</v>
      </c>
    </row>
  </sheetData>
  <autoFilter ref="A3:AT144" xr:uid="{9FDCFFFA-2DEA-42B1-9446-C51DC417CDBE}"/>
  <phoneticPr fontId="27" type="noConversion"/>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I233"/>
  <sheetViews>
    <sheetView showGridLines="0" zoomScale="70" zoomScaleNormal="70" workbookViewId="0">
      <pane xSplit="3" ySplit="14" topLeftCell="D204" activePane="bottomRight" state="frozen"/>
      <selection pane="topRight" activeCell="D1" sqref="D1"/>
      <selection pane="bottomLeft" activeCell="A15" sqref="A15"/>
      <selection pane="bottomRight" activeCell="V218" sqref="V218"/>
    </sheetView>
  </sheetViews>
  <sheetFormatPr defaultRowHeight="14.4" x14ac:dyDescent="0.3"/>
  <cols>
    <col min="1" max="1" width="8.6640625" customWidth="1"/>
    <col min="2" max="2" width="16.33203125" customWidth="1"/>
    <col min="3" max="3" width="62.44140625" customWidth="1"/>
    <col min="4" max="5" width="9.109375" customWidth="1"/>
    <col min="6" max="6" width="17.44140625" customWidth="1"/>
    <col min="7" max="7" width="13.44140625" hidden="1" customWidth="1"/>
    <col min="8" max="8" width="15.44140625" hidden="1" customWidth="1"/>
    <col min="9" max="9" width="16.44140625" hidden="1" customWidth="1"/>
    <col min="10" max="10" width="13.44140625" hidden="1" customWidth="1"/>
    <col min="11" max="12" width="9.109375" hidden="1" customWidth="1"/>
    <col min="13" max="13" width="13" hidden="1" customWidth="1"/>
    <col min="14" max="15" width="15.6640625" hidden="1" customWidth="1"/>
    <col min="16" max="16" width="14.33203125" hidden="1" customWidth="1"/>
    <col min="17" max="17" width="11.5546875" hidden="1" customWidth="1"/>
    <col min="18" max="18" width="9.109375" hidden="1" customWidth="1"/>
    <col min="19" max="19" width="13" hidden="1" customWidth="1"/>
    <col min="20" max="20" width="15.109375" hidden="1" customWidth="1"/>
    <col min="21" max="21" width="15.88671875" hidden="1" customWidth="1"/>
    <col min="22" max="22" width="14.88671875" bestFit="1" customWidth="1"/>
    <col min="23" max="23" width="9.109375" customWidth="1"/>
    <col min="24" max="24" width="12.109375" customWidth="1"/>
    <col min="25" max="42" width="9.109375" hidden="1" customWidth="1"/>
    <col min="43" max="43" width="15.88671875" customWidth="1"/>
    <col min="44" max="44" width="7.6640625" customWidth="1"/>
    <col min="45" max="45" width="18.44140625" customWidth="1"/>
    <col min="46" max="46" width="8.5546875" customWidth="1"/>
    <col min="47" max="47" width="28.109375" customWidth="1"/>
    <col min="48" max="48" width="33" customWidth="1"/>
    <col min="49" max="49" width="34.109375" customWidth="1"/>
    <col min="50" max="50" width="11.5546875" customWidth="1"/>
    <col min="51" max="51" width="12.5546875" style="274" customWidth="1"/>
    <col min="52" max="52" width="11.5546875" customWidth="1"/>
    <col min="53" max="53" width="11.5546875" style="274" customWidth="1"/>
    <col min="54" max="54" width="12.6640625" customWidth="1"/>
    <col min="55" max="55" width="15.88671875" customWidth="1"/>
    <col min="56" max="56" width="13.5546875" customWidth="1"/>
    <col min="57" max="57" width="17.88671875" customWidth="1"/>
  </cols>
  <sheetData>
    <row r="4" spans="2:57" x14ac:dyDescent="0.3">
      <c r="B4" s="245" t="s">
        <v>598</v>
      </c>
      <c r="C4" s="245"/>
    </row>
    <row r="5" spans="2:57" x14ac:dyDescent="0.3">
      <c r="B5" s="245" t="s">
        <v>4860</v>
      </c>
      <c r="C5" s="245"/>
    </row>
    <row r="6" spans="2:57" x14ac:dyDescent="0.3">
      <c r="B6" s="245"/>
      <c r="C6" s="245"/>
    </row>
    <row r="7" spans="2:57" x14ac:dyDescent="0.3">
      <c r="B7" s="245" t="s">
        <v>599</v>
      </c>
      <c r="C7" s="245" t="s">
        <v>600</v>
      </c>
    </row>
    <row r="8" spans="2:57" x14ac:dyDescent="0.3">
      <c r="B8" s="245" t="s">
        <v>601</v>
      </c>
      <c r="C8" s="245" t="s">
        <v>602</v>
      </c>
    </row>
    <row r="9" spans="2:57" x14ac:dyDescent="0.3">
      <c r="B9" s="245" t="s">
        <v>603</v>
      </c>
      <c r="C9" s="245" t="s">
        <v>604</v>
      </c>
    </row>
    <row r="10" spans="2:57" x14ac:dyDescent="0.3">
      <c r="B10" s="245" t="s">
        <v>605</v>
      </c>
      <c r="C10" s="245" t="s">
        <v>4841</v>
      </c>
    </row>
    <row r="12" spans="2:57" s="219" customFormat="1" x14ac:dyDescent="0.3">
      <c r="B12" s="307" t="s">
        <v>606</v>
      </c>
      <c r="C12" s="307" t="s">
        <v>607</v>
      </c>
      <c r="D12" s="307" t="s">
        <v>608</v>
      </c>
      <c r="E12" s="307" t="s">
        <v>609</v>
      </c>
      <c r="F12" s="307" t="s">
        <v>611</v>
      </c>
      <c r="G12" s="445" t="s">
        <v>4629</v>
      </c>
      <c r="H12" s="445"/>
      <c r="I12" s="445"/>
      <c r="J12" s="445" t="s">
        <v>4630</v>
      </c>
      <c r="K12" s="445"/>
      <c r="L12" s="445"/>
      <c r="M12" s="445" t="s">
        <v>4631</v>
      </c>
      <c r="N12" s="445"/>
      <c r="O12" s="445"/>
      <c r="P12" s="445" t="s">
        <v>4632</v>
      </c>
      <c r="Q12" s="445"/>
      <c r="R12" s="445"/>
      <c r="S12" s="445" t="s">
        <v>4633</v>
      </c>
      <c r="T12" s="445"/>
      <c r="U12" s="445"/>
      <c r="V12" s="445" t="s">
        <v>4634</v>
      </c>
      <c r="W12" s="445"/>
      <c r="X12" s="445"/>
      <c r="Y12" s="445" t="s">
        <v>4635</v>
      </c>
      <c r="Z12" s="445"/>
      <c r="AA12" s="445"/>
      <c r="AB12" s="445" t="s">
        <v>4636</v>
      </c>
      <c r="AC12" s="445"/>
      <c r="AD12" s="445"/>
      <c r="AE12" s="445" t="s">
        <v>4637</v>
      </c>
      <c r="AF12" s="445"/>
      <c r="AG12" s="445"/>
      <c r="AH12" s="445" t="s">
        <v>4638</v>
      </c>
      <c r="AI12" s="445"/>
      <c r="AJ12" s="445"/>
      <c r="AK12" s="445" t="s">
        <v>4639</v>
      </c>
      <c r="AL12" s="445"/>
      <c r="AM12" s="445"/>
      <c r="AN12" s="445" t="s">
        <v>4640</v>
      </c>
      <c r="AO12" s="445"/>
      <c r="AP12" s="445"/>
      <c r="AQ12" s="447" t="s">
        <v>4647</v>
      </c>
      <c r="AR12" s="448" t="s">
        <v>4648</v>
      </c>
      <c r="AS12" s="446" t="s">
        <v>4649</v>
      </c>
      <c r="AT12" s="446" t="s">
        <v>4648</v>
      </c>
      <c r="AU12" s="306" t="s">
        <v>4855</v>
      </c>
      <c r="AV12" s="306" t="s">
        <v>500</v>
      </c>
      <c r="AW12" s="306" t="s">
        <v>4839</v>
      </c>
      <c r="AX12" s="305" t="s">
        <v>4854</v>
      </c>
      <c r="AY12" s="305"/>
      <c r="AZ12" s="305"/>
      <c r="BA12" s="305"/>
      <c r="BB12" s="305"/>
      <c r="BC12" s="305"/>
      <c r="BD12" s="305"/>
      <c r="BE12" s="305"/>
    </row>
    <row r="13" spans="2:57" x14ac:dyDescent="0.3">
      <c r="B13" s="307"/>
      <c r="C13" s="307"/>
      <c r="D13" s="307"/>
      <c r="E13" s="307"/>
      <c r="F13" s="307"/>
      <c r="G13" s="308" t="s">
        <v>4643</v>
      </c>
      <c r="H13" s="308" t="s">
        <v>4641</v>
      </c>
      <c r="I13" s="308" t="s">
        <v>4642</v>
      </c>
      <c r="J13" s="308" t="s">
        <v>4643</v>
      </c>
      <c r="K13" s="308" t="s">
        <v>4641</v>
      </c>
      <c r="L13" s="308" t="s">
        <v>4642</v>
      </c>
      <c r="M13" s="308" t="s">
        <v>4643</v>
      </c>
      <c r="N13" s="308" t="s">
        <v>4641</v>
      </c>
      <c r="O13" s="308" t="s">
        <v>4642</v>
      </c>
      <c r="P13" s="308" t="s">
        <v>4643</v>
      </c>
      <c r="Q13" s="308" t="s">
        <v>4641</v>
      </c>
      <c r="R13" s="308" t="s">
        <v>4642</v>
      </c>
      <c r="S13" s="308" t="s">
        <v>4643</v>
      </c>
      <c r="T13" s="308" t="s">
        <v>4641</v>
      </c>
      <c r="U13" s="308" t="s">
        <v>4642</v>
      </c>
      <c r="V13" s="308" t="s">
        <v>4643</v>
      </c>
      <c r="W13" s="308" t="s">
        <v>4641</v>
      </c>
      <c r="X13" s="308" t="s">
        <v>4642</v>
      </c>
      <c r="Y13" s="308" t="s">
        <v>4643</v>
      </c>
      <c r="Z13" s="308" t="s">
        <v>4641</v>
      </c>
      <c r="AA13" s="308" t="s">
        <v>4642</v>
      </c>
      <c r="AB13" s="308" t="s">
        <v>4643</v>
      </c>
      <c r="AC13" s="308" t="s">
        <v>4641</v>
      </c>
      <c r="AD13" s="308" t="s">
        <v>4642</v>
      </c>
      <c r="AE13" s="308" t="s">
        <v>4643</v>
      </c>
      <c r="AF13" s="308" t="s">
        <v>4641</v>
      </c>
      <c r="AG13" s="308" t="s">
        <v>4642</v>
      </c>
      <c r="AH13" s="308" t="s">
        <v>4643</v>
      </c>
      <c r="AI13" s="308" t="s">
        <v>4641</v>
      </c>
      <c r="AJ13" s="308" t="s">
        <v>4642</v>
      </c>
      <c r="AK13" s="308" t="s">
        <v>4643</v>
      </c>
      <c r="AL13" s="308" t="s">
        <v>4641</v>
      </c>
      <c r="AM13" s="308" t="s">
        <v>4642</v>
      </c>
      <c r="AN13" s="308" t="s">
        <v>4643</v>
      </c>
      <c r="AO13" s="308" t="s">
        <v>4641</v>
      </c>
      <c r="AP13" s="308" t="s">
        <v>4642</v>
      </c>
      <c r="AQ13" s="447"/>
      <c r="AR13" s="448"/>
      <c r="AS13" s="446"/>
      <c r="AT13" s="446"/>
      <c r="AU13" s="306"/>
      <c r="AV13" s="306"/>
      <c r="AW13" s="306"/>
      <c r="AX13" s="304" t="s">
        <v>4851</v>
      </c>
      <c r="AY13" s="303" t="s">
        <v>4852</v>
      </c>
      <c r="AZ13" s="304" t="s">
        <v>4853</v>
      </c>
      <c r="BA13" s="303" t="s">
        <v>4862</v>
      </c>
      <c r="BB13" s="360" t="s">
        <v>5186</v>
      </c>
      <c r="BC13" s="360" t="s">
        <v>5222</v>
      </c>
      <c r="BD13" s="360" t="s">
        <v>5223</v>
      </c>
      <c r="BE13" s="360" t="s">
        <v>5379</v>
      </c>
    </row>
    <row r="14" spans="2:57" x14ac:dyDescent="0.3">
      <c r="B14" s="310" t="s">
        <v>4646</v>
      </c>
      <c r="C14" s="311" t="s">
        <v>613</v>
      </c>
      <c r="D14" s="311"/>
      <c r="E14" s="311"/>
      <c r="F14" s="312">
        <f>F15+F60</f>
        <v>16863164000</v>
      </c>
      <c r="G14" s="312">
        <f>G15+G60</f>
        <v>0</v>
      </c>
      <c r="H14" s="312">
        <f>H15+H60</f>
        <v>0</v>
      </c>
      <c r="I14" s="312">
        <f t="shared" ref="I14:AP14" si="0">I15+I60</f>
        <v>0</v>
      </c>
      <c r="J14" s="312">
        <f t="shared" si="0"/>
        <v>74237800</v>
      </c>
      <c r="K14" s="312">
        <f t="shared" si="0"/>
        <v>0</v>
      </c>
      <c r="L14" s="312">
        <f t="shared" si="0"/>
        <v>0</v>
      </c>
      <c r="M14" s="312">
        <f t="shared" si="0"/>
        <v>63640000</v>
      </c>
      <c r="N14" s="312">
        <f t="shared" si="0"/>
        <v>198137490</v>
      </c>
      <c r="O14" s="312">
        <f t="shared" si="0"/>
        <v>410500187</v>
      </c>
      <c r="P14" s="312">
        <f>P15+P60</f>
        <v>1797433854</v>
      </c>
      <c r="Q14" s="312">
        <f t="shared" si="0"/>
        <v>95254996</v>
      </c>
      <c r="R14" s="312">
        <f t="shared" si="0"/>
        <v>0</v>
      </c>
      <c r="S14" s="312">
        <f t="shared" si="0"/>
        <v>759567100</v>
      </c>
      <c r="T14" s="312">
        <f t="shared" si="0"/>
        <v>189278193</v>
      </c>
      <c r="U14" s="312">
        <f t="shared" si="0"/>
        <v>312088731</v>
      </c>
      <c r="V14" s="312">
        <f t="shared" si="0"/>
        <v>2159625081</v>
      </c>
      <c r="W14" s="312">
        <f t="shared" si="0"/>
        <v>0</v>
      </c>
      <c r="X14" s="312">
        <f t="shared" si="0"/>
        <v>7559500</v>
      </c>
      <c r="Y14" s="312">
        <f t="shared" si="0"/>
        <v>0</v>
      </c>
      <c r="Z14" s="312">
        <f t="shared" si="0"/>
        <v>0</v>
      </c>
      <c r="AA14" s="312">
        <f t="shared" si="0"/>
        <v>0</v>
      </c>
      <c r="AB14" s="312">
        <f t="shared" si="0"/>
        <v>0</v>
      </c>
      <c r="AC14" s="312">
        <f t="shared" si="0"/>
        <v>0</v>
      </c>
      <c r="AD14" s="312">
        <f t="shared" si="0"/>
        <v>0</v>
      </c>
      <c r="AE14" s="312">
        <f t="shared" si="0"/>
        <v>0</v>
      </c>
      <c r="AF14" s="312">
        <f t="shared" si="0"/>
        <v>0</v>
      </c>
      <c r="AG14" s="312">
        <f t="shared" si="0"/>
        <v>0</v>
      </c>
      <c r="AH14" s="312">
        <f t="shared" si="0"/>
        <v>0</v>
      </c>
      <c r="AI14" s="312">
        <f t="shared" si="0"/>
        <v>0</v>
      </c>
      <c r="AJ14" s="312">
        <f t="shared" si="0"/>
        <v>0</v>
      </c>
      <c r="AK14" s="312">
        <f t="shared" si="0"/>
        <v>0</v>
      </c>
      <c r="AL14" s="312">
        <f t="shared" si="0"/>
        <v>0</v>
      </c>
      <c r="AM14" s="312">
        <f t="shared" si="0"/>
        <v>0</v>
      </c>
      <c r="AN14" s="312">
        <f>AN15+AN60</f>
        <v>0</v>
      </c>
      <c r="AO14" s="312">
        <f>AO15+AO60</f>
        <v>0</v>
      </c>
      <c r="AP14" s="312">
        <f t="shared" si="0"/>
        <v>0</v>
      </c>
      <c r="AQ14" s="312">
        <f>SUM(G14:AP14)</f>
        <v>6067322932</v>
      </c>
      <c r="AR14" s="313">
        <f>AQ14/F14*100</f>
        <v>35.97974218835801</v>
      </c>
      <c r="AS14" s="314">
        <f>F14-AQ14</f>
        <v>10795841068</v>
      </c>
      <c r="AT14" s="313">
        <f>AS14/F14*100</f>
        <v>64.020257811641983</v>
      </c>
      <c r="AU14" s="220"/>
      <c r="AV14" s="220"/>
      <c r="AW14" s="220" t="s">
        <v>4732</v>
      </c>
      <c r="AX14" s="312">
        <f>AX15+AX60</f>
        <v>99961115</v>
      </c>
      <c r="AY14" s="312">
        <f>AY15+AY60</f>
        <v>410500187</v>
      </c>
      <c r="AZ14" s="312">
        <f>AZ15+AZ60</f>
        <v>98176375</v>
      </c>
      <c r="BA14" s="312">
        <f>BA15+BA60</f>
        <v>95254996</v>
      </c>
      <c r="BB14" s="312">
        <f t="shared" ref="BB14" si="1">BB15+BB60</f>
        <v>95439616</v>
      </c>
      <c r="BC14" s="312">
        <f t="shared" ref="BC14:BD14" si="2">BC15+BC60</f>
        <v>93838577</v>
      </c>
      <c r="BD14" s="312">
        <f t="shared" si="2"/>
        <v>312088731</v>
      </c>
      <c r="BE14" s="312">
        <f t="shared" ref="BE14" si="3">BE15+BE60</f>
        <v>7559500</v>
      </c>
    </row>
    <row r="15" spans="2:57" x14ac:dyDescent="0.3">
      <c r="B15" s="246" t="s">
        <v>0</v>
      </c>
      <c r="C15" s="247" t="s">
        <v>1</v>
      </c>
      <c r="D15" s="247"/>
      <c r="E15" s="247"/>
      <c r="F15" s="248">
        <f>F16</f>
        <v>1000000000</v>
      </c>
      <c r="G15" s="248">
        <f t="shared" ref="G15:AP17" si="4">G16</f>
        <v>0</v>
      </c>
      <c r="H15" s="248">
        <f t="shared" si="4"/>
        <v>0</v>
      </c>
      <c r="I15" s="248">
        <f t="shared" si="4"/>
        <v>0</v>
      </c>
      <c r="J15" s="248">
        <f t="shared" si="4"/>
        <v>0</v>
      </c>
      <c r="K15" s="248">
        <f t="shared" si="4"/>
        <v>0</v>
      </c>
      <c r="L15" s="248">
        <f t="shared" si="4"/>
        <v>0</v>
      </c>
      <c r="M15" s="248">
        <f t="shared" si="4"/>
        <v>0</v>
      </c>
      <c r="N15" s="248">
        <f t="shared" si="4"/>
        <v>30802300</v>
      </c>
      <c r="O15" s="248">
        <f t="shared" si="4"/>
        <v>89962700</v>
      </c>
      <c r="P15" s="248">
        <f t="shared" si="4"/>
        <v>34256000</v>
      </c>
      <c r="Q15" s="248">
        <f t="shared" si="4"/>
        <v>0</v>
      </c>
      <c r="R15" s="248">
        <f t="shared" si="4"/>
        <v>0</v>
      </c>
      <c r="S15" s="248">
        <f t="shared" si="4"/>
        <v>2180000</v>
      </c>
      <c r="T15" s="248">
        <f t="shared" si="4"/>
        <v>10260100</v>
      </c>
      <c r="U15" s="248">
        <f t="shared" si="4"/>
        <v>76123900</v>
      </c>
      <c r="V15" s="248">
        <f t="shared" si="4"/>
        <v>124937100</v>
      </c>
      <c r="W15" s="248">
        <f t="shared" si="4"/>
        <v>0</v>
      </c>
      <c r="X15" s="248">
        <f t="shared" si="4"/>
        <v>0</v>
      </c>
      <c r="Y15" s="248">
        <f t="shared" si="4"/>
        <v>0</v>
      </c>
      <c r="Z15" s="248">
        <f t="shared" si="4"/>
        <v>0</v>
      </c>
      <c r="AA15" s="248">
        <f t="shared" si="4"/>
        <v>0</v>
      </c>
      <c r="AB15" s="248">
        <f t="shared" si="4"/>
        <v>0</v>
      </c>
      <c r="AC15" s="248">
        <f t="shared" si="4"/>
        <v>0</v>
      </c>
      <c r="AD15" s="248">
        <f t="shared" si="4"/>
        <v>0</v>
      </c>
      <c r="AE15" s="248">
        <f t="shared" si="4"/>
        <v>0</v>
      </c>
      <c r="AF15" s="248">
        <f t="shared" si="4"/>
        <v>0</v>
      </c>
      <c r="AG15" s="248">
        <f t="shared" si="4"/>
        <v>0</v>
      </c>
      <c r="AH15" s="248">
        <f t="shared" si="4"/>
        <v>0</v>
      </c>
      <c r="AI15" s="248">
        <f t="shared" si="4"/>
        <v>0</v>
      </c>
      <c r="AJ15" s="248">
        <f t="shared" si="4"/>
        <v>0</v>
      </c>
      <c r="AK15" s="248">
        <f t="shared" si="4"/>
        <v>0</v>
      </c>
      <c r="AL15" s="248">
        <f t="shared" si="4"/>
        <v>0</v>
      </c>
      <c r="AM15" s="248">
        <f t="shared" si="4"/>
        <v>0</v>
      </c>
      <c r="AN15" s="248">
        <f t="shared" si="4"/>
        <v>0</v>
      </c>
      <c r="AO15" s="248">
        <f t="shared" si="4"/>
        <v>0</v>
      </c>
      <c r="AP15" s="248">
        <f t="shared" si="4"/>
        <v>0</v>
      </c>
      <c r="AQ15" s="248">
        <f>SUM(G15:AP15)</f>
        <v>368522100</v>
      </c>
      <c r="AR15" s="249">
        <f t="shared" ref="AR15:AR46" si="5">AQ15/F15/100</f>
        <v>3.6852210000000002E-3</v>
      </c>
      <c r="AS15" s="250">
        <f t="shared" ref="AS15:AS78" si="6">F15-AQ15</f>
        <v>631477900</v>
      </c>
      <c r="AT15" s="249">
        <f>AS15/F15*100</f>
        <v>63.147790000000001</v>
      </c>
      <c r="AU15" s="220"/>
      <c r="AV15" s="220"/>
      <c r="AW15" s="220" t="s">
        <v>4732</v>
      </c>
      <c r="AX15" s="248">
        <f t="shared" ref="AX15:BE17" si="7">AX16</f>
        <v>0</v>
      </c>
      <c r="AY15" s="248">
        <f t="shared" si="7"/>
        <v>89962700</v>
      </c>
      <c r="AZ15" s="248">
        <f t="shared" si="7"/>
        <v>30802300</v>
      </c>
      <c r="BA15" s="248">
        <f t="shared" si="7"/>
        <v>0</v>
      </c>
      <c r="BB15" s="248">
        <f t="shared" si="7"/>
        <v>1500000</v>
      </c>
      <c r="BC15" s="248">
        <f t="shared" si="7"/>
        <v>8760100</v>
      </c>
      <c r="BD15" s="248">
        <f t="shared" si="7"/>
        <v>76123900</v>
      </c>
      <c r="BE15" s="248">
        <f t="shared" si="7"/>
        <v>0</v>
      </c>
    </row>
    <row r="16" spans="2:57" x14ac:dyDescent="0.3">
      <c r="B16" s="240">
        <v>2376</v>
      </c>
      <c r="C16" s="241" t="s">
        <v>47</v>
      </c>
      <c r="D16" s="241"/>
      <c r="E16" s="241"/>
      <c r="F16" s="242">
        <f t="shared" ref="F16:U17" si="8">F17</f>
        <v>1000000000</v>
      </c>
      <c r="G16" s="242">
        <f t="shared" si="8"/>
        <v>0</v>
      </c>
      <c r="H16" s="242">
        <f t="shared" si="8"/>
        <v>0</v>
      </c>
      <c r="I16" s="242">
        <f t="shared" si="8"/>
        <v>0</v>
      </c>
      <c r="J16" s="242">
        <f t="shared" si="8"/>
        <v>0</v>
      </c>
      <c r="K16" s="242">
        <f t="shared" si="8"/>
        <v>0</v>
      </c>
      <c r="L16" s="242">
        <f t="shared" si="8"/>
        <v>0</v>
      </c>
      <c r="M16" s="242">
        <f t="shared" si="8"/>
        <v>0</v>
      </c>
      <c r="N16" s="242">
        <f t="shared" si="8"/>
        <v>30802300</v>
      </c>
      <c r="O16" s="242">
        <f t="shared" si="8"/>
        <v>89962700</v>
      </c>
      <c r="P16" s="242">
        <f t="shared" si="8"/>
        <v>34256000</v>
      </c>
      <c r="Q16" s="242">
        <f t="shared" si="8"/>
        <v>0</v>
      </c>
      <c r="R16" s="242">
        <f t="shared" si="8"/>
        <v>0</v>
      </c>
      <c r="S16" s="242">
        <f t="shared" si="8"/>
        <v>2180000</v>
      </c>
      <c r="T16" s="242">
        <f t="shared" si="8"/>
        <v>10260100</v>
      </c>
      <c r="U16" s="242">
        <f t="shared" si="8"/>
        <v>76123900</v>
      </c>
      <c r="V16" s="242">
        <f t="shared" si="4"/>
        <v>124937100</v>
      </c>
      <c r="W16" s="242">
        <f t="shared" si="4"/>
        <v>0</v>
      </c>
      <c r="X16" s="242">
        <f t="shared" si="4"/>
        <v>0</v>
      </c>
      <c r="Y16" s="242">
        <f t="shared" si="4"/>
        <v>0</v>
      </c>
      <c r="Z16" s="242">
        <f t="shared" si="4"/>
        <v>0</v>
      </c>
      <c r="AA16" s="242">
        <f t="shared" si="4"/>
        <v>0</v>
      </c>
      <c r="AB16" s="242">
        <f t="shared" si="4"/>
        <v>0</v>
      </c>
      <c r="AC16" s="242">
        <f t="shared" si="4"/>
        <v>0</v>
      </c>
      <c r="AD16" s="242">
        <f t="shared" si="4"/>
        <v>0</v>
      </c>
      <c r="AE16" s="242">
        <f t="shared" si="4"/>
        <v>0</v>
      </c>
      <c r="AF16" s="242">
        <f t="shared" si="4"/>
        <v>0</v>
      </c>
      <c r="AG16" s="242">
        <f t="shared" si="4"/>
        <v>0</v>
      </c>
      <c r="AH16" s="242">
        <f t="shared" si="4"/>
        <v>0</v>
      </c>
      <c r="AI16" s="242">
        <f t="shared" si="4"/>
        <v>0</v>
      </c>
      <c r="AJ16" s="242">
        <f t="shared" si="4"/>
        <v>0</v>
      </c>
      <c r="AK16" s="242">
        <f t="shared" si="4"/>
        <v>0</v>
      </c>
      <c r="AL16" s="242">
        <f t="shared" si="4"/>
        <v>0</v>
      </c>
      <c r="AM16" s="242">
        <f t="shared" si="4"/>
        <v>0</v>
      </c>
      <c r="AN16" s="242">
        <f t="shared" si="4"/>
        <v>0</v>
      </c>
      <c r="AO16" s="242">
        <f t="shared" si="4"/>
        <v>0</v>
      </c>
      <c r="AP16" s="242">
        <f t="shared" si="4"/>
        <v>0</v>
      </c>
      <c r="AQ16" s="242">
        <f>SUM(G16:AP16)</f>
        <v>368522100</v>
      </c>
      <c r="AR16" s="243">
        <f t="shared" si="5"/>
        <v>3.6852210000000002E-3</v>
      </c>
      <c r="AS16" s="244">
        <f t="shared" si="6"/>
        <v>631477900</v>
      </c>
      <c r="AT16" s="243">
        <f t="shared" ref="AT16:AT78" si="9">AS16/F16*100</f>
        <v>63.147790000000001</v>
      </c>
      <c r="AU16" s="220"/>
      <c r="AV16" s="220"/>
      <c r="AW16" s="220" t="s">
        <v>4732</v>
      </c>
      <c r="AX16" s="242">
        <f t="shared" si="7"/>
        <v>0</v>
      </c>
      <c r="AY16" s="242">
        <f t="shared" si="7"/>
        <v>89962700</v>
      </c>
      <c r="AZ16" s="242">
        <f t="shared" si="7"/>
        <v>30802300</v>
      </c>
      <c r="BA16" s="242">
        <f t="shared" si="7"/>
        <v>0</v>
      </c>
      <c r="BB16" s="242">
        <f t="shared" si="7"/>
        <v>1500000</v>
      </c>
      <c r="BC16" s="242">
        <f t="shared" si="7"/>
        <v>8760100</v>
      </c>
      <c r="BD16" s="242">
        <f t="shared" si="7"/>
        <v>76123900</v>
      </c>
      <c r="BE16" s="242">
        <f t="shared" si="7"/>
        <v>0</v>
      </c>
    </row>
    <row r="17" spans="2:57" x14ac:dyDescent="0.3">
      <c r="B17" s="236" t="s">
        <v>48</v>
      </c>
      <c r="C17" s="237" t="s">
        <v>615</v>
      </c>
      <c r="D17" s="237">
        <v>4</v>
      </c>
      <c r="E17" s="237" t="s">
        <v>3596</v>
      </c>
      <c r="F17" s="235">
        <f t="shared" si="8"/>
        <v>1000000000</v>
      </c>
      <c r="G17" s="235">
        <f t="shared" si="4"/>
        <v>0</v>
      </c>
      <c r="H17" s="235">
        <f t="shared" si="4"/>
        <v>0</v>
      </c>
      <c r="I17" s="235">
        <f t="shared" si="4"/>
        <v>0</v>
      </c>
      <c r="J17" s="235">
        <f t="shared" si="4"/>
        <v>0</v>
      </c>
      <c r="K17" s="235">
        <f t="shared" si="4"/>
        <v>0</v>
      </c>
      <c r="L17" s="235">
        <f t="shared" si="4"/>
        <v>0</v>
      </c>
      <c r="M17" s="235">
        <f t="shared" si="4"/>
        <v>0</v>
      </c>
      <c r="N17" s="235">
        <f t="shared" si="4"/>
        <v>30802300</v>
      </c>
      <c r="O17" s="235">
        <f t="shared" si="4"/>
        <v>89962700</v>
      </c>
      <c r="P17" s="235">
        <f t="shared" si="4"/>
        <v>34256000</v>
      </c>
      <c r="Q17" s="235">
        <f t="shared" si="4"/>
        <v>0</v>
      </c>
      <c r="R17" s="235">
        <f t="shared" si="4"/>
        <v>0</v>
      </c>
      <c r="S17" s="235">
        <f t="shared" si="4"/>
        <v>2180000</v>
      </c>
      <c r="T17" s="235">
        <f t="shared" si="4"/>
        <v>10260100</v>
      </c>
      <c r="U17" s="235">
        <f t="shared" si="4"/>
        <v>76123900</v>
      </c>
      <c r="V17" s="235">
        <f t="shared" si="4"/>
        <v>124937100</v>
      </c>
      <c r="W17" s="235">
        <f t="shared" si="4"/>
        <v>0</v>
      </c>
      <c r="X17" s="235">
        <f t="shared" si="4"/>
        <v>0</v>
      </c>
      <c r="Y17" s="235">
        <f t="shared" si="4"/>
        <v>0</v>
      </c>
      <c r="Z17" s="235">
        <f t="shared" si="4"/>
        <v>0</v>
      </c>
      <c r="AA17" s="235">
        <f t="shared" si="4"/>
        <v>0</v>
      </c>
      <c r="AB17" s="235">
        <f t="shared" si="4"/>
        <v>0</v>
      </c>
      <c r="AC17" s="235">
        <f t="shared" si="4"/>
        <v>0</v>
      </c>
      <c r="AD17" s="235">
        <f t="shared" si="4"/>
        <v>0</v>
      </c>
      <c r="AE17" s="235">
        <f t="shared" si="4"/>
        <v>0</v>
      </c>
      <c r="AF17" s="235">
        <f t="shared" si="4"/>
        <v>0</v>
      </c>
      <c r="AG17" s="235">
        <f t="shared" si="4"/>
        <v>0</v>
      </c>
      <c r="AH17" s="235">
        <f t="shared" si="4"/>
        <v>0</v>
      </c>
      <c r="AI17" s="235">
        <f t="shared" si="4"/>
        <v>0</v>
      </c>
      <c r="AJ17" s="235">
        <f t="shared" si="4"/>
        <v>0</v>
      </c>
      <c r="AK17" s="235">
        <f t="shared" si="4"/>
        <v>0</v>
      </c>
      <c r="AL17" s="235">
        <f t="shared" si="4"/>
        <v>0</v>
      </c>
      <c r="AM17" s="235">
        <f t="shared" si="4"/>
        <v>0</v>
      </c>
      <c r="AN17" s="235">
        <f t="shared" si="4"/>
        <v>0</v>
      </c>
      <c r="AO17" s="235">
        <f t="shared" si="4"/>
        <v>0</v>
      </c>
      <c r="AP17" s="235">
        <f t="shared" si="4"/>
        <v>0</v>
      </c>
      <c r="AQ17" s="235">
        <f>SUM(G17:AP17)</f>
        <v>368522100</v>
      </c>
      <c r="AR17" s="238">
        <f t="shared" si="5"/>
        <v>3.6852210000000002E-3</v>
      </c>
      <c r="AS17" s="239">
        <f t="shared" si="6"/>
        <v>631477900</v>
      </c>
      <c r="AT17" s="238">
        <f>AS17/F17*100</f>
        <v>63.147790000000001</v>
      </c>
      <c r="AU17" s="220"/>
      <c r="AV17" s="220"/>
      <c r="AW17" s="220" t="s">
        <v>4732</v>
      </c>
      <c r="AX17" s="235">
        <f t="shared" si="7"/>
        <v>0</v>
      </c>
      <c r="AY17" s="235">
        <f t="shared" si="7"/>
        <v>89962700</v>
      </c>
      <c r="AZ17" s="235">
        <f t="shared" si="7"/>
        <v>30802300</v>
      </c>
      <c r="BA17" s="235">
        <f t="shared" si="7"/>
        <v>0</v>
      </c>
      <c r="BB17" s="235">
        <f t="shared" si="7"/>
        <v>1500000</v>
      </c>
      <c r="BC17" s="235">
        <f t="shared" si="7"/>
        <v>8760100</v>
      </c>
      <c r="BD17" s="235">
        <f t="shared" si="7"/>
        <v>76123900</v>
      </c>
      <c r="BE17" s="235">
        <f t="shared" si="7"/>
        <v>0</v>
      </c>
    </row>
    <row r="18" spans="2:57" x14ac:dyDescent="0.3">
      <c r="B18" s="226" t="s">
        <v>3712</v>
      </c>
      <c r="C18" s="227" t="s">
        <v>49</v>
      </c>
      <c r="D18" s="227">
        <v>4</v>
      </c>
      <c r="E18" s="227" t="s">
        <v>3596</v>
      </c>
      <c r="F18" s="228">
        <f>F19+F28+F32+F53</f>
        <v>1000000000</v>
      </c>
      <c r="G18" s="228">
        <f t="shared" ref="G18:AP18" si="10">G19+G28+G32+G53</f>
        <v>0</v>
      </c>
      <c r="H18" s="228">
        <f t="shared" si="10"/>
        <v>0</v>
      </c>
      <c r="I18" s="228">
        <f t="shared" si="10"/>
        <v>0</v>
      </c>
      <c r="J18" s="228">
        <f t="shared" si="10"/>
        <v>0</v>
      </c>
      <c r="K18" s="228">
        <f t="shared" si="10"/>
        <v>0</v>
      </c>
      <c r="L18" s="228">
        <f t="shared" si="10"/>
        <v>0</v>
      </c>
      <c r="M18" s="228">
        <f t="shared" si="10"/>
        <v>0</v>
      </c>
      <c r="N18" s="228">
        <f t="shared" si="10"/>
        <v>30802300</v>
      </c>
      <c r="O18" s="228">
        <f t="shared" si="10"/>
        <v>89962700</v>
      </c>
      <c r="P18" s="228">
        <f t="shared" si="10"/>
        <v>34256000</v>
      </c>
      <c r="Q18" s="228">
        <f t="shared" si="10"/>
        <v>0</v>
      </c>
      <c r="R18" s="228">
        <f t="shared" si="10"/>
        <v>0</v>
      </c>
      <c r="S18" s="228">
        <f t="shared" si="10"/>
        <v>2180000</v>
      </c>
      <c r="T18" s="228">
        <f t="shared" si="10"/>
        <v>10260100</v>
      </c>
      <c r="U18" s="228">
        <f t="shared" si="10"/>
        <v>76123900</v>
      </c>
      <c r="V18" s="228">
        <f t="shared" si="10"/>
        <v>124937100</v>
      </c>
      <c r="W18" s="228">
        <f t="shared" si="10"/>
        <v>0</v>
      </c>
      <c r="X18" s="228">
        <f t="shared" si="10"/>
        <v>0</v>
      </c>
      <c r="Y18" s="228">
        <f t="shared" si="10"/>
        <v>0</v>
      </c>
      <c r="Z18" s="228">
        <f t="shared" si="10"/>
        <v>0</v>
      </c>
      <c r="AA18" s="228">
        <f t="shared" si="10"/>
        <v>0</v>
      </c>
      <c r="AB18" s="228">
        <f t="shared" si="10"/>
        <v>0</v>
      </c>
      <c r="AC18" s="228">
        <f t="shared" si="10"/>
        <v>0</v>
      </c>
      <c r="AD18" s="228">
        <f t="shared" si="10"/>
        <v>0</v>
      </c>
      <c r="AE18" s="228">
        <f t="shared" si="10"/>
        <v>0</v>
      </c>
      <c r="AF18" s="228">
        <f t="shared" si="10"/>
        <v>0</v>
      </c>
      <c r="AG18" s="228">
        <f t="shared" si="10"/>
        <v>0</v>
      </c>
      <c r="AH18" s="228">
        <f t="shared" si="10"/>
        <v>0</v>
      </c>
      <c r="AI18" s="228">
        <f t="shared" si="10"/>
        <v>0</v>
      </c>
      <c r="AJ18" s="228">
        <f t="shared" si="10"/>
        <v>0</v>
      </c>
      <c r="AK18" s="228">
        <f t="shared" si="10"/>
        <v>0</v>
      </c>
      <c r="AL18" s="228">
        <f t="shared" si="10"/>
        <v>0</v>
      </c>
      <c r="AM18" s="228">
        <f t="shared" si="10"/>
        <v>0</v>
      </c>
      <c r="AN18" s="228">
        <f t="shared" si="10"/>
        <v>0</v>
      </c>
      <c r="AO18" s="228">
        <f t="shared" si="10"/>
        <v>0</v>
      </c>
      <c r="AP18" s="228">
        <f t="shared" si="10"/>
        <v>0</v>
      </c>
      <c r="AQ18" s="228">
        <f>SUM(G18:AP18)</f>
        <v>368522100</v>
      </c>
      <c r="AR18" s="229">
        <f t="shared" si="5"/>
        <v>3.6852210000000002E-3</v>
      </c>
      <c r="AS18" s="230">
        <f t="shared" si="6"/>
        <v>631477900</v>
      </c>
      <c r="AT18" s="229">
        <f t="shared" si="9"/>
        <v>63.147790000000001</v>
      </c>
      <c r="AU18" s="220"/>
      <c r="AV18" s="220"/>
      <c r="AW18" s="220" t="s">
        <v>4732</v>
      </c>
      <c r="AX18" s="228">
        <f>AX19+AX28+AX32+AX53</f>
        <v>0</v>
      </c>
      <c r="AY18" s="228">
        <f>AY19+AY28+AY32+AY53</f>
        <v>89962700</v>
      </c>
      <c r="AZ18" s="228">
        <f>AZ19+AZ28+AZ32+AZ53</f>
        <v>30802300</v>
      </c>
      <c r="BA18" s="228">
        <f>BA19+BA28+BA32+BA53</f>
        <v>0</v>
      </c>
      <c r="BB18" s="228">
        <f t="shared" ref="BB18" si="11">BB19+BB28+BB32+BB53</f>
        <v>1500000</v>
      </c>
      <c r="BC18" s="228">
        <f t="shared" ref="BC18:BD18" si="12">BC19+BC28+BC32+BC53</f>
        <v>8760100</v>
      </c>
      <c r="BD18" s="228">
        <f t="shared" si="12"/>
        <v>76123900</v>
      </c>
      <c r="BE18" s="228">
        <f t="shared" ref="BE18" si="13">BE19+BE28+BE32+BE53</f>
        <v>0</v>
      </c>
    </row>
    <row r="19" spans="2:57" x14ac:dyDescent="0.3">
      <c r="B19" s="254" t="s">
        <v>502</v>
      </c>
      <c r="C19" s="255" t="s">
        <v>50</v>
      </c>
      <c r="D19" s="255"/>
      <c r="E19" s="255"/>
      <c r="F19" s="256">
        <f>F20+F24</f>
        <v>124100000</v>
      </c>
      <c r="G19" s="256">
        <f t="shared" ref="G19:AP19" si="14">G20+G24</f>
        <v>0</v>
      </c>
      <c r="H19" s="256">
        <f t="shared" si="14"/>
        <v>0</v>
      </c>
      <c r="I19" s="256">
        <f t="shared" si="14"/>
        <v>0</v>
      </c>
      <c r="J19" s="256">
        <f t="shared" si="14"/>
        <v>0</v>
      </c>
      <c r="K19" s="256">
        <f t="shared" si="14"/>
        <v>0</v>
      </c>
      <c r="L19" s="256">
        <f t="shared" si="14"/>
        <v>0</v>
      </c>
      <c r="M19" s="256">
        <f t="shared" si="14"/>
        <v>0</v>
      </c>
      <c r="N19" s="256">
        <f t="shared" si="14"/>
        <v>6196000</v>
      </c>
      <c r="O19" s="256">
        <f t="shared" si="14"/>
        <v>28225000</v>
      </c>
      <c r="P19" s="256">
        <f t="shared" si="14"/>
        <v>11716000</v>
      </c>
      <c r="Q19" s="256">
        <f t="shared" si="14"/>
        <v>0</v>
      </c>
      <c r="R19" s="256">
        <f t="shared" si="14"/>
        <v>0</v>
      </c>
      <c r="S19" s="256">
        <f t="shared" si="14"/>
        <v>0</v>
      </c>
      <c r="T19" s="256">
        <f t="shared" si="14"/>
        <v>3406000</v>
      </c>
      <c r="U19" s="256">
        <f t="shared" si="14"/>
        <v>2965000</v>
      </c>
      <c r="V19" s="256">
        <f t="shared" si="14"/>
        <v>3010000</v>
      </c>
      <c r="W19" s="256">
        <f t="shared" si="14"/>
        <v>0</v>
      </c>
      <c r="X19" s="256">
        <f t="shared" si="14"/>
        <v>0</v>
      </c>
      <c r="Y19" s="256">
        <f t="shared" si="14"/>
        <v>0</v>
      </c>
      <c r="Z19" s="256">
        <f t="shared" si="14"/>
        <v>0</v>
      </c>
      <c r="AA19" s="256">
        <f t="shared" si="14"/>
        <v>0</v>
      </c>
      <c r="AB19" s="256">
        <f t="shared" si="14"/>
        <v>0</v>
      </c>
      <c r="AC19" s="256">
        <f t="shared" si="14"/>
        <v>0</v>
      </c>
      <c r="AD19" s="256">
        <f t="shared" si="14"/>
        <v>0</v>
      </c>
      <c r="AE19" s="256">
        <f t="shared" si="14"/>
        <v>0</v>
      </c>
      <c r="AF19" s="256">
        <f t="shared" si="14"/>
        <v>0</v>
      </c>
      <c r="AG19" s="256">
        <f t="shared" si="14"/>
        <v>0</v>
      </c>
      <c r="AH19" s="256">
        <f t="shared" si="14"/>
        <v>0</v>
      </c>
      <c r="AI19" s="256">
        <f t="shared" si="14"/>
        <v>0</v>
      </c>
      <c r="AJ19" s="256">
        <f t="shared" si="14"/>
        <v>0</v>
      </c>
      <c r="AK19" s="256">
        <f t="shared" si="14"/>
        <v>0</v>
      </c>
      <c r="AL19" s="256">
        <f t="shared" si="14"/>
        <v>0</v>
      </c>
      <c r="AM19" s="256">
        <f t="shared" si="14"/>
        <v>0</v>
      </c>
      <c r="AN19" s="256">
        <f t="shared" si="14"/>
        <v>0</v>
      </c>
      <c r="AO19" s="256">
        <f t="shared" si="14"/>
        <v>0</v>
      </c>
      <c r="AP19" s="256">
        <f t="shared" si="14"/>
        <v>0</v>
      </c>
      <c r="AQ19" s="256">
        <f t="shared" ref="AQ19:AQ23" si="15">SUM(G19:AP19)</f>
        <v>55518000</v>
      </c>
      <c r="AR19" s="257">
        <f t="shared" si="5"/>
        <v>4.4736502820306202E-3</v>
      </c>
      <c r="AS19" s="258">
        <f t="shared" si="6"/>
        <v>68582000</v>
      </c>
      <c r="AT19" s="257">
        <f t="shared" si="9"/>
        <v>55.2634971796938</v>
      </c>
      <c r="AU19" s="220" t="s">
        <v>531</v>
      </c>
      <c r="AV19" s="220" t="s">
        <v>532</v>
      </c>
      <c r="AW19" s="220" t="s">
        <v>4732</v>
      </c>
      <c r="AX19" s="256">
        <f t="shared" ref="AX19:AY19" si="16">AX20+AX24</f>
        <v>0</v>
      </c>
      <c r="AY19" s="256">
        <f t="shared" si="16"/>
        <v>28225000</v>
      </c>
      <c r="AZ19" s="256">
        <f t="shared" ref="AZ19:BA19" si="17">AZ20+AZ24</f>
        <v>6196000</v>
      </c>
      <c r="BA19" s="256">
        <f t="shared" si="17"/>
        <v>0</v>
      </c>
      <c r="BB19" s="256">
        <f t="shared" ref="BB19" si="18">BB20+BB24</f>
        <v>0</v>
      </c>
      <c r="BC19" s="256">
        <f t="shared" ref="BC19:BD19" si="19">BC20+BC24</f>
        <v>3406000</v>
      </c>
      <c r="BD19" s="256">
        <f t="shared" si="19"/>
        <v>2965000</v>
      </c>
      <c r="BE19" s="256">
        <f t="shared" ref="BE19" si="20">BE20+BE24</f>
        <v>0</v>
      </c>
    </row>
    <row r="20" spans="2:57" x14ac:dyDescent="0.3">
      <c r="B20" s="290" t="s">
        <v>8</v>
      </c>
      <c r="C20" s="222" t="s">
        <v>51</v>
      </c>
      <c r="D20" s="222"/>
      <c r="E20" s="222"/>
      <c r="F20" s="223">
        <f>SUM(F21:F23)</f>
        <v>83135000</v>
      </c>
      <c r="G20" s="223">
        <f>SUM(G21:G23)</f>
        <v>0</v>
      </c>
      <c r="H20" s="223">
        <f t="shared" ref="H20:AP20" si="21">SUM(H21:H23)</f>
        <v>0</v>
      </c>
      <c r="I20" s="223">
        <f t="shared" si="21"/>
        <v>0</v>
      </c>
      <c r="J20" s="223">
        <f t="shared" si="21"/>
        <v>0</v>
      </c>
      <c r="K20" s="223">
        <f t="shared" si="21"/>
        <v>0</v>
      </c>
      <c r="L20" s="223">
        <f t="shared" si="21"/>
        <v>0</v>
      </c>
      <c r="M20" s="223">
        <f t="shared" si="21"/>
        <v>0</v>
      </c>
      <c r="N20" s="223">
        <f t="shared" si="21"/>
        <v>1500000</v>
      </c>
      <c r="O20" s="223">
        <f t="shared" si="21"/>
        <v>12840000</v>
      </c>
      <c r="P20" s="223">
        <f t="shared" si="21"/>
        <v>11716000</v>
      </c>
      <c r="Q20" s="223">
        <f t="shared" si="21"/>
        <v>0</v>
      </c>
      <c r="R20" s="223">
        <f t="shared" si="21"/>
        <v>0</v>
      </c>
      <c r="S20" s="223">
        <f t="shared" si="21"/>
        <v>0</v>
      </c>
      <c r="T20" s="223">
        <f t="shared" si="21"/>
        <v>3406000</v>
      </c>
      <c r="U20" s="223">
        <f t="shared" si="21"/>
        <v>1485000</v>
      </c>
      <c r="V20" s="223">
        <f t="shared" si="21"/>
        <v>3010000</v>
      </c>
      <c r="W20" s="223">
        <f t="shared" si="21"/>
        <v>0</v>
      </c>
      <c r="X20" s="223">
        <f t="shared" si="21"/>
        <v>0</v>
      </c>
      <c r="Y20" s="223">
        <f t="shared" si="21"/>
        <v>0</v>
      </c>
      <c r="Z20" s="223">
        <f t="shared" si="21"/>
        <v>0</v>
      </c>
      <c r="AA20" s="223">
        <f t="shared" si="21"/>
        <v>0</v>
      </c>
      <c r="AB20" s="223">
        <f t="shared" si="21"/>
        <v>0</v>
      </c>
      <c r="AC20" s="223">
        <f t="shared" si="21"/>
        <v>0</v>
      </c>
      <c r="AD20" s="223">
        <f t="shared" si="21"/>
        <v>0</v>
      </c>
      <c r="AE20" s="223">
        <f t="shared" si="21"/>
        <v>0</v>
      </c>
      <c r="AF20" s="223">
        <f t="shared" si="21"/>
        <v>0</v>
      </c>
      <c r="AG20" s="223">
        <f t="shared" si="21"/>
        <v>0</v>
      </c>
      <c r="AH20" s="223">
        <f t="shared" si="21"/>
        <v>0</v>
      </c>
      <c r="AI20" s="223">
        <f t="shared" si="21"/>
        <v>0</v>
      </c>
      <c r="AJ20" s="223">
        <f t="shared" si="21"/>
        <v>0</v>
      </c>
      <c r="AK20" s="223">
        <f t="shared" si="21"/>
        <v>0</v>
      </c>
      <c r="AL20" s="223">
        <f t="shared" si="21"/>
        <v>0</v>
      </c>
      <c r="AM20" s="223">
        <f t="shared" si="21"/>
        <v>0</v>
      </c>
      <c r="AN20" s="223">
        <f t="shared" si="21"/>
        <v>0</v>
      </c>
      <c r="AO20" s="223">
        <f t="shared" si="21"/>
        <v>0</v>
      </c>
      <c r="AP20" s="223">
        <f t="shared" si="21"/>
        <v>0</v>
      </c>
      <c r="AQ20" s="223">
        <f>SUM(G20:AP20)</f>
        <v>33957000</v>
      </c>
      <c r="AR20" s="231">
        <f t="shared" si="5"/>
        <v>4.0845612557887769E-3</v>
      </c>
      <c r="AS20" s="232">
        <f t="shared" si="6"/>
        <v>49178000</v>
      </c>
      <c r="AT20" s="231">
        <f t="shared" si="9"/>
        <v>59.154387442112224</v>
      </c>
      <c r="AU20" s="220" t="s">
        <v>531</v>
      </c>
      <c r="AV20" s="220" t="s">
        <v>532</v>
      </c>
      <c r="AW20" s="220" t="s">
        <v>4732</v>
      </c>
      <c r="AX20" s="223">
        <f>SUM(AX21:AX23)</f>
        <v>0</v>
      </c>
      <c r="AY20" s="223">
        <f>SUM(AY21:AY23)</f>
        <v>12840000</v>
      </c>
      <c r="AZ20" s="223">
        <f>SUM(AZ21:AZ23)</f>
        <v>1500000</v>
      </c>
      <c r="BA20" s="223">
        <f>SUM(BA21:BA23)</f>
        <v>0</v>
      </c>
      <c r="BB20" s="223">
        <f t="shared" ref="BB20" si="22">SUM(BB21:BB23)</f>
        <v>0</v>
      </c>
      <c r="BC20" s="223">
        <f t="shared" ref="BC20:BD20" si="23">SUM(BC21:BC23)</f>
        <v>3406000</v>
      </c>
      <c r="BD20" s="223">
        <f t="shared" si="23"/>
        <v>1485000</v>
      </c>
      <c r="BE20" s="223">
        <f t="shared" ref="BE20" si="24">SUM(BE21:BE23)</f>
        <v>0</v>
      </c>
    </row>
    <row r="21" spans="2:57" x14ac:dyDescent="0.3">
      <c r="B21" s="288">
        <v>521211</v>
      </c>
      <c r="C21" s="220" t="s">
        <v>7</v>
      </c>
      <c r="D21" s="220"/>
      <c r="E21" s="220"/>
      <c r="F21" s="221">
        <v>19875000</v>
      </c>
      <c r="G21" s="221"/>
      <c r="H21" s="221"/>
      <c r="I21" s="221"/>
      <c r="J21" s="221"/>
      <c r="K21" s="221"/>
      <c r="L21" s="221"/>
      <c r="M21" s="221"/>
      <c r="N21" s="302">
        <v>1500000</v>
      </c>
      <c r="O21" s="302">
        <v>990000</v>
      </c>
      <c r="P21" s="221"/>
      <c r="Q21" s="221"/>
      <c r="R21" s="221"/>
      <c r="S21" s="221"/>
      <c r="T21" s="221">
        <v>1606000</v>
      </c>
      <c r="U21" s="221">
        <v>1485000</v>
      </c>
      <c r="V21" s="221"/>
      <c r="W21" s="221"/>
      <c r="X21" s="221"/>
      <c r="Y21" s="221"/>
      <c r="Z21" s="221"/>
      <c r="AA21" s="221"/>
      <c r="AB21" s="221"/>
      <c r="AC21" s="221"/>
      <c r="AD21" s="221"/>
      <c r="AE21" s="221"/>
      <c r="AF21" s="221"/>
      <c r="AG21" s="221"/>
      <c r="AH21" s="221"/>
      <c r="AI21" s="221"/>
      <c r="AJ21" s="221"/>
      <c r="AK21" s="221"/>
      <c r="AL21" s="221"/>
      <c r="AM21" s="221"/>
      <c r="AN21" s="221"/>
      <c r="AO21" s="221"/>
      <c r="AP21" s="221"/>
      <c r="AQ21" s="221">
        <f t="shared" si="15"/>
        <v>5581000</v>
      </c>
      <c r="AR21" s="224">
        <f t="shared" si="5"/>
        <v>2.8080503144654089E-3</v>
      </c>
      <c r="AS21" s="225">
        <f t="shared" si="6"/>
        <v>14294000</v>
      </c>
      <c r="AT21" s="224">
        <f t="shared" si="9"/>
        <v>71.919496855345912</v>
      </c>
      <c r="AU21" s="220" t="s">
        <v>531</v>
      </c>
      <c r="AV21" s="220" t="s">
        <v>532</v>
      </c>
      <c r="AW21" s="220" t="s">
        <v>4732</v>
      </c>
      <c r="AX21" s="221"/>
      <c r="AY21" s="302">
        <v>990000</v>
      </c>
      <c r="AZ21" s="302">
        <v>1500000</v>
      </c>
      <c r="BA21" s="221"/>
      <c r="BB21" s="221"/>
      <c r="BC21" s="221">
        <v>1606000</v>
      </c>
      <c r="BD21" s="221">
        <v>1485000</v>
      </c>
      <c r="BE21" s="221"/>
    </row>
    <row r="22" spans="2:57" x14ac:dyDescent="0.3">
      <c r="B22" s="288">
        <v>522151</v>
      </c>
      <c r="C22" s="220" t="s">
        <v>11</v>
      </c>
      <c r="D22" s="220"/>
      <c r="E22" s="220"/>
      <c r="F22" s="221">
        <v>20000000</v>
      </c>
      <c r="G22" s="221"/>
      <c r="H22" s="221"/>
      <c r="I22" s="221"/>
      <c r="J22" s="221"/>
      <c r="K22" s="221"/>
      <c r="L22" s="221"/>
      <c r="M22" s="221"/>
      <c r="N22" s="221"/>
      <c r="O22" s="302">
        <v>900000</v>
      </c>
      <c r="P22" s="221"/>
      <c r="Q22" s="221"/>
      <c r="R22" s="221"/>
      <c r="S22" s="221"/>
      <c r="T22" s="221"/>
      <c r="U22" s="221"/>
      <c r="V22" s="221">
        <v>1200000</v>
      </c>
      <c r="W22" s="221"/>
      <c r="X22" s="221"/>
      <c r="Y22" s="221"/>
      <c r="Z22" s="221"/>
      <c r="AA22" s="221"/>
      <c r="AB22" s="221"/>
      <c r="AC22" s="221"/>
      <c r="AD22" s="221"/>
      <c r="AE22" s="221"/>
      <c r="AF22" s="221"/>
      <c r="AG22" s="221"/>
      <c r="AH22" s="221"/>
      <c r="AI22" s="221"/>
      <c r="AJ22" s="221"/>
      <c r="AK22" s="221"/>
      <c r="AL22" s="221"/>
      <c r="AM22" s="221"/>
      <c r="AN22" s="221"/>
      <c r="AO22" s="221"/>
      <c r="AP22" s="221"/>
      <c r="AQ22" s="221">
        <f t="shared" si="15"/>
        <v>2100000</v>
      </c>
      <c r="AR22" s="224">
        <f t="shared" si="5"/>
        <v>1.0499999999999999E-3</v>
      </c>
      <c r="AS22" s="225">
        <f t="shared" si="6"/>
        <v>17900000</v>
      </c>
      <c r="AT22" s="224">
        <f t="shared" si="9"/>
        <v>89.5</v>
      </c>
      <c r="AU22" s="220" t="s">
        <v>531</v>
      </c>
      <c r="AV22" s="220" t="s">
        <v>532</v>
      </c>
      <c r="AW22" s="220" t="s">
        <v>4732</v>
      </c>
      <c r="AX22" s="221"/>
      <c r="AY22" s="302">
        <v>900000</v>
      </c>
      <c r="AZ22" s="302"/>
      <c r="BA22" s="221"/>
      <c r="BB22" s="221"/>
      <c r="BC22" s="221"/>
      <c r="BD22" s="221"/>
      <c r="BE22" s="221"/>
    </row>
    <row r="23" spans="2:57" x14ac:dyDescent="0.3">
      <c r="B23" s="288">
        <v>524111</v>
      </c>
      <c r="C23" s="220" t="s">
        <v>19</v>
      </c>
      <c r="D23" s="220"/>
      <c r="E23" s="220"/>
      <c r="F23" s="221">
        <v>43260000</v>
      </c>
      <c r="G23" s="221"/>
      <c r="H23" s="221"/>
      <c r="I23" s="221"/>
      <c r="J23" s="221"/>
      <c r="K23" s="221"/>
      <c r="L23" s="221"/>
      <c r="M23" s="221"/>
      <c r="N23" s="221"/>
      <c r="O23" s="302">
        <v>10950000</v>
      </c>
      <c r="P23" s="221">
        <f>6060000+5656000</f>
        <v>11716000</v>
      </c>
      <c r="Q23" s="221"/>
      <c r="R23" s="221"/>
      <c r="S23" s="221"/>
      <c r="T23" s="221">
        <v>1800000</v>
      </c>
      <c r="U23" s="221"/>
      <c r="V23" s="221">
        <v>1810000</v>
      </c>
      <c r="W23" s="221"/>
      <c r="X23" s="221"/>
      <c r="Y23" s="221"/>
      <c r="Z23" s="221"/>
      <c r="AA23" s="221"/>
      <c r="AB23" s="221"/>
      <c r="AC23" s="221"/>
      <c r="AD23" s="221"/>
      <c r="AE23" s="221"/>
      <c r="AF23" s="221"/>
      <c r="AG23" s="221"/>
      <c r="AH23" s="221"/>
      <c r="AI23" s="221"/>
      <c r="AJ23" s="221"/>
      <c r="AK23" s="221"/>
      <c r="AL23" s="221"/>
      <c r="AM23" s="221"/>
      <c r="AN23" s="221"/>
      <c r="AO23" s="221"/>
      <c r="AP23" s="221"/>
      <c r="AQ23" s="221">
        <f t="shared" si="15"/>
        <v>26276000</v>
      </c>
      <c r="AR23" s="224">
        <f t="shared" si="5"/>
        <v>6.0739713361072593E-3</v>
      </c>
      <c r="AS23" s="225">
        <f t="shared" si="6"/>
        <v>16984000</v>
      </c>
      <c r="AT23" s="224">
        <f t="shared" si="9"/>
        <v>39.260286638927418</v>
      </c>
      <c r="AU23" s="220" t="s">
        <v>531</v>
      </c>
      <c r="AV23" s="220" t="s">
        <v>532</v>
      </c>
      <c r="AW23" s="220" t="s">
        <v>4732</v>
      </c>
      <c r="AX23" s="221"/>
      <c r="AY23" s="302">
        <v>10950000</v>
      </c>
      <c r="AZ23" s="302"/>
      <c r="BA23" s="221"/>
      <c r="BB23" s="221"/>
      <c r="BC23" s="221">
        <v>1800000</v>
      </c>
      <c r="BD23" s="221"/>
      <c r="BE23" s="221"/>
    </row>
    <row r="24" spans="2:57" x14ac:dyDescent="0.3">
      <c r="B24" s="290" t="s">
        <v>511</v>
      </c>
      <c r="C24" s="222" t="s">
        <v>55</v>
      </c>
      <c r="D24" s="222"/>
      <c r="E24" s="222"/>
      <c r="F24" s="223">
        <f>SUM(F25:F27)</f>
        <v>40965000</v>
      </c>
      <c r="G24" s="223">
        <f t="shared" ref="G24:AP24" si="25">SUM(G25:G27)</f>
        <v>0</v>
      </c>
      <c r="H24" s="223">
        <f t="shared" si="25"/>
        <v>0</v>
      </c>
      <c r="I24" s="223">
        <f t="shared" si="25"/>
        <v>0</v>
      </c>
      <c r="J24" s="223">
        <f t="shared" si="25"/>
        <v>0</v>
      </c>
      <c r="K24" s="223">
        <f t="shared" si="25"/>
        <v>0</v>
      </c>
      <c r="L24" s="223">
        <f t="shared" si="25"/>
        <v>0</v>
      </c>
      <c r="M24" s="223">
        <f t="shared" si="25"/>
        <v>0</v>
      </c>
      <c r="N24" s="223">
        <f t="shared" si="25"/>
        <v>4696000</v>
      </c>
      <c r="O24" s="223">
        <f t="shared" si="25"/>
        <v>15385000</v>
      </c>
      <c r="P24" s="223">
        <f t="shared" si="25"/>
        <v>0</v>
      </c>
      <c r="Q24" s="223">
        <f t="shared" si="25"/>
        <v>0</v>
      </c>
      <c r="R24" s="223">
        <f t="shared" si="25"/>
        <v>0</v>
      </c>
      <c r="S24" s="223">
        <f t="shared" si="25"/>
        <v>0</v>
      </c>
      <c r="T24" s="223">
        <f t="shared" si="25"/>
        <v>0</v>
      </c>
      <c r="U24" s="223">
        <f t="shared" si="25"/>
        <v>1480000</v>
      </c>
      <c r="V24" s="223">
        <f t="shared" si="25"/>
        <v>0</v>
      </c>
      <c r="W24" s="223">
        <f t="shared" si="25"/>
        <v>0</v>
      </c>
      <c r="X24" s="223">
        <f t="shared" si="25"/>
        <v>0</v>
      </c>
      <c r="Y24" s="223">
        <f t="shared" si="25"/>
        <v>0</v>
      </c>
      <c r="Z24" s="223">
        <f t="shared" si="25"/>
        <v>0</v>
      </c>
      <c r="AA24" s="223">
        <f t="shared" si="25"/>
        <v>0</v>
      </c>
      <c r="AB24" s="223">
        <f t="shared" si="25"/>
        <v>0</v>
      </c>
      <c r="AC24" s="223">
        <f t="shared" si="25"/>
        <v>0</v>
      </c>
      <c r="AD24" s="223">
        <f t="shared" si="25"/>
        <v>0</v>
      </c>
      <c r="AE24" s="223">
        <f t="shared" si="25"/>
        <v>0</v>
      </c>
      <c r="AF24" s="223">
        <f t="shared" si="25"/>
        <v>0</v>
      </c>
      <c r="AG24" s="223">
        <f t="shared" si="25"/>
        <v>0</v>
      </c>
      <c r="AH24" s="223">
        <f t="shared" si="25"/>
        <v>0</v>
      </c>
      <c r="AI24" s="223">
        <f t="shared" si="25"/>
        <v>0</v>
      </c>
      <c r="AJ24" s="223">
        <f t="shared" si="25"/>
        <v>0</v>
      </c>
      <c r="AK24" s="223">
        <f t="shared" si="25"/>
        <v>0</v>
      </c>
      <c r="AL24" s="223">
        <f t="shared" si="25"/>
        <v>0</v>
      </c>
      <c r="AM24" s="223">
        <f t="shared" si="25"/>
        <v>0</v>
      </c>
      <c r="AN24" s="223">
        <f t="shared" si="25"/>
        <v>0</v>
      </c>
      <c r="AO24" s="223">
        <f t="shared" si="25"/>
        <v>0</v>
      </c>
      <c r="AP24" s="223">
        <f t="shared" si="25"/>
        <v>0</v>
      </c>
      <c r="AQ24" s="223">
        <f>SUM(G24:AP24)</f>
        <v>21561000</v>
      </c>
      <c r="AR24" s="231">
        <f t="shared" si="5"/>
        <v>5.2632735261808859E-3</v>
      </c>
      <c r="AS24" s="232">
        <f t="shared" si="6"/>
        <v>19404000</v>
      </c>
      <c r="AT24" s="231">
        <f t="shared" si="9"/>
        <v>47.367264738191139</v>
      </c>
      <c r="AU24" s="220" t="s">
        <v>531</v>
      </c>
      <c r="AV24" s="220" t="s">
        <v>532</v>
      </c>
      <c r="AW24" s="220" t="s">
        <v>4732</v>
      </c>
      <c r="AX24" s="223">
        <f t="shared" ref="AX24:BA24" si="26">SUM(AX25:AX27)</f>
        <v>0</v>
      </c>
      <c r="AY24" s="223">
        <f t="shared" si="26"/>
        <v>15385000</v>
      </c>
      <c r="AZ24" s="223">
        <f t="shared" si="26"/>
        <v>4696000</v>
      </c>
      <c r="BA24" s="223">
        <f t="shared" si="26"/>
        <v>0</v>
      </c>
      <c r="BB24" s="223">
        <f t="shared" ref="BB24" si="27">SUM(BB25:BB27)</f>
        <v>0</v>
      </c>
      <c r="BC24" s="223">
        <f t="shared" ref="BC24:BD24" si="28">SUM(BC25:BC27)</f>
        <v>0</v>
      </c>
      <c r="BD24" s="223">
        <f t="shared" si="28"/>
        <v>1480000</v>
      </c>
      <c r="BE24" s="223">
        <f t="shared" ref="BE24" si="29">SUM(BE25:BE27)</f>
        <v>0</v>
      </c>
    </row>
    <row r="25" spans="2:57" x14ac:dyDescent="0.3">
      <c r="B25" s="288">
        <v>521211</v>
      </c>
      <c r="C25" s="220" t="s">
        <v>7</v>
      </c>
      <c r="D25" s="220"/>
      <c r="E25" s="220"/>
      <c r="F25" s="221">
        <v>19500000</v>
      </c>
      <c r="G25" s="221"/>
      <c r="H25" s="221"/>
      <c r="I25" s="221"/>
      <c r="J25" s="221"/>
      <c r="K25" s="221"/>
      <c r="L25" s="221"/>
      <c r="M25" s="221"/>
      <c r="N25" s="302">
        <v>1036000</v>
      </c>
      <c r="O25" s="302">
        <v>1525000</v>
      </c>
      <c r="P25" s="221"/>
      <c r="Q25" s="221"/>
      <c r="R25" s="221"/>
      <c r="S25" s="221"/>
      <c r="T25" s="221"/>
      <c r="U25" s="221">
        <v>1480000</v>
      </c>
      <c r="V25" s="221"/>
      <c r="W25" s="221"/>
      <c r="X25" s="221"/>
      <c r="Y25" s="221"/>
      <c r="Z25" s="221"/>
      <c r="AA25" s="221"/>
      <c r="AB25" s="221"/>
      <c r="AC25" s="221"/>
      <c r="AD25" s="221"/>
      <c r="AE25" s="221"/>
      <c r="AF25" s="221"/>
      <c r="AG25" s="221"/>
      <c r="AH25" s="221"/>
      <c r="AI25" s="221"/>
      <c r="AJ25" s="221"/>
      <c r="AK25" s="221"/>
      <c r="AL25" s="221"/>
      <c r="AM25" s="221"/>
      <c r="AN25" s="221"/>
      <c r="AO25" s="221"/>
      <c r="AP25" s="221"/>
      <c r="AQ25" s="221">
        <f t="shared" ref="AQ25:AQ78" si="30">SUM(G25:AP25)</f>
        <v>4041000</v>
      </c>
      <c r="AR25" s="224">
        <f t="shared" si="5"/>
        <v>2.0723076923076923E-3</v>
      </c>
      <c r="AS25" s="225">
        <f t="shared" si="6"/>
        <v>15459000</v>
      </c>
      <c r="AT25" s="224">
        <f t="shared" si="9"/>
        <v>79.276923076923083</v>
      </c>
      <c r="AU25" s="220" t="s">
        <v>531</v>
      </c>
      <c r="AV25" s="220" t="s">
        <v>532</v>
      </c>
      <c r="AW25" s="220" t="s">
        <v>4732</v>
      </c>
      <c r="AX25" s="221"/>
      <c r="AY25" s="302">
        <v>1525000</v>
      </c>
      <c r="AZ25" s="302">
        <v>1036000</v>
      </c>
      <c r="BA25" s="221"/>
      <c r="BB25" s="221"/>
      <c r="BC25" s="221"/>
      <c r="BD25" s="221">
        <v>1480000</v>
      </c>
      <c r="BE25" s="221"/>
    </row>
    <row r="26" spans="2:57" x14ac:dyDescent="0.3">
      <c r="B26" s="288">
        <v>522151</v>
      </c>
      <c r="C26" s="220" t="s">
        <v>11</v>
      </c>
      <c r="D26" s="220"/>
      <c r="E26" s="220"/>
      <c r="F26" s="221">
        <v>4000000</v>
      </c>
      <c r="G26" s="221"/>
      <c r="H26" s="221"/>
      <c r="I26" s="221"/>
      <c r="J26" s="221"/>
      <c r="K26" s="221"/>
      <c r="L26" s="221"/>
      <c r="M26" s="221"/>
      <c r="N26" s="302"/>
      <c r="O26" s="302">
        <v>900000</v>
      </c>
      <c r="P26" s="221"/>
      <c r="Q26" s="221"/>
      <c r="R26" s="221"/>
      <c r="S26" s="221"/>
      <c r="T26" s="221"/>
      <c r="U26" s="221"/>
      <c r="V26" s="221"/>
      <c r="W26" s="221"/>
      <c r="X26" s="221"/>
      <c r="Y26" s="221"/>
      <c r="Z26" s="221"/>
      <c r="AA26" s="221"/>
      <c r="AB26" s="221"/>
      <c r="AC26" s="221"/>
      <c r="AD26" s="221"/>
      <c r="AE26" s="221"/>
      <c r="AF26" s="221"/>
      <c r="AG26" s="221"/>
      <c r="AH26" s="221"/>
      <c r="AI26" s="221"/>
      <c r="AJ26" s="221"/>
      <c r="AK26" s="221"/>
      <c r="AL26" s="221"/>
      <c r="AM26" s="221"/>
      <c r="AN26" s="221"/>
      <c r="AO26" s="221"/>
      <c r="AP26" s="221"/>
      <c r="AQ26" s="221">
        <f t="shared" si="30"/>
        <v>900000</v>
      </c>
      <c r="AR26" s="224">
        <f t="shared" si="5"/>
        <v>2.2500000000000003E-3</v>
      </c>
      <c r="AS26" s="225">
        <f t="shared" si="6"/>
        <v>3100000</v>
      </c>
      <c r="AT26" s="224">
        <f t="shared" si="9"/>
        <v>77.5</v>
      </c>
      <c r="AU26" s="220" t="s">
        <v>531</v>
      </c>
      <c r="AV26" s="220" t="s">
        <v>532</v>
      </c>
      <c r="AW26" s="220" t="s">
        <v>4732</v>
      </c>
      <c r="AX26" s="221"/>
      <c r="AY26" s="302">
        <v>900000</v>
      </c>
      <c r="AZ26" s="302"/>
      <c r="BA26" s="221"/>
      <c r="BB26" s="221"/>
      <c r="BC26" s="221"/>
      <c r="BD26" s="221"/>
      <c r="BE26" s="221"/>
    </row>
    <row r="27" spans="2:57" x14ac:dyDescent="0.3">
      <c r="B27" s="288">
        <v>524111</v>
      </c>
      <c r="C27" s="220" t="s">
        <v>19</v>
      </c>
      <c r="D27" s="220"/>
      <c r="E27" s="220"/>
      <c r="F27" s="221">
        <v>17465000</v>
      </c>
      <c r="G27" s="221"/>
      <c r="H27" s="221"/>
      <c r="I27" s="221"/>
      <c r="J27" s="221"/>
      <c r="K27" s="221"/>
      <c r="L27" s="221"/>
      <c r="M27" s="221"/>
      <c r="N27" s="302">
        <v>3660000</v>
      </c>
      <c r="O27" s="302">
        <v>12960000</v>
      </c>
      <c r="P27" s="221"/>
      <c r="Q27" s="221"/>
      <c r="R27" s="221"/>
      <c r="S27" s="221"/>
      <c r="T27" s="221"/>
      <c r="U27" s="221"/>
      <c r="V27" s="221"/>
      <c r="W27" s="221"/>
      <c r="X27" s="221"/>
      <c r="Y27" s="221"/>
      <c r="Z27" s="221"/>
      <c r="AA27" s="221"/>
      <c r="AB27" s="221"/>
      <c r="AC27" s="221"/>
      <c r="AD27" s="221"/>
      <c r="AE27" s="221"/>
      <c r="AF27" s="221"/>
      <c r="AG27" s="221"/>
      <c r="AH27" s="221"/>
      <c r="AI27" s="221"/>
      <c r="AJ27" s="221"/>
      <c r="AK27" s="221"/>
      <c r="AL27" s="221"/>
      <c r="AM27" s="221"/>
      <c r="AN27" s="221"/>
      <c r="AO27" s="221"/>
      <c r="AP27" s="221"/>
      <c r="AQ27" s="221">
        <f t="shared" si="30"/>
        <v>16620000</v>
      </c>
      <c r="AR27" s="224">
        <f t="shared" si="5"/>
        <v>9.5161752075579725E-3</v>
      </c>
      <c r="AS27" s="225">
        <f t="shared" si="6"/>
        <v>845000</v>
      </c>
      <c r="AT27" s="224">
        <f t="shared" si="9"/>
        <v>4.8382479244202692</v>
      </c>
      <c r="AU27" s="220" t="s">
        <v>531</v>
      </c>
      <c r="AV27" s="220" t="s">
        <v>532</v>
      </c>
      <c r="AW27" s="220" t="s">
        <v>4732</v>
      </c>
      <c r="AX27" s="221"/>
      <c r="AY27" s="302">
        <v>12960000</v>
      </c>
      <c r="AZ27" s="302">
        <v>3660000</v>
      </c>
      <c r="BA27" s="221"/>
      <c r="BB27" s="221"/>
      <c r="BC27" s="221"/>
      <c r="BD27" s="221"/>
      <c r="BE27" s="221"/>
    </row>
    <row r="28" spans="2:57" x14ac:dyDescent="0.3">
      <c r="B28" s="254" t="s">
        <v>520</v>
      </c>
      <c r="C28" s="255" t="s">
        <v>57</v>
      </c>
      <c r="D28" s="255"/>
      <c r="E28" s="255"/>
      <c r="F28" s="256">
        <f>F29</f>
        <v>54500000</v>
      </c>
      <c r="G28" s="256">
        <f t="shared" ref="G28:AO28" si="31">G29</f>
        <v>0</v>
      </c>
      <c r="H28" s="256">
        <f t="shared" si="31"/>
        <v>0</v>
      </c>
      <c r="I28" s="256">
        <f t="shared" si="31"/>
        <v>0</v>
      </c>
      <c r="J28" s="256">
        <f t="shared" si="31"/>
        <v>0</v>
      </c>
      <c r="K28" s="256">
        <f t="shared" si="31"/>
        <v>0</v>
      </c>
      <c r="L28" s="256">
        <f t="shared" si="31"/>
        <v>0</v>
      </c>
      <c r="M28" s="256">
        <f t="shared" si="31"/>
        <v>0</v>
      </c>
      <c r="N28" s="256">
        <f t="shared" si="31"/>
        <v>2700000</v>
      </c>
      <c r="O28" s="256">
        <f t="shared" si="31"/>
        <v>3540000</v>
      </c>
      <c r="P28" s="256">
        <f t="shared" si="31"/>
        <v>2840000</v>
      </c>
      <c r="Q28" s="256">
        <f t="shared" si="31"/>
        <v>0</v>
      </c>
      <c r="R28" s="256">
        <f t="shared" si="31"/>
        <v>0</v>
      </c>
      <c r="S28" s="256">
        <f t="shared" si="31"/>
        <v>1250000</v>
      </c>
      <c r="T28" s="256">
        <f t="shared" si="31"/>
        <v>4280000</v>
      </c>
      <c r="U28" s="256">
        <f t="shared" si="31"/>
        <v>9244500</v>
      </c>
      <c r="V28" s="256">
        <f t="shared" si="31"/>
        <v>360000</v>
      </c>
      <c r="W28" s="256">
        <f t="shared" si="31"/>
        <v>0</v>
      </c>
      <c r="X28" s="256">
        <f t="shared" si="31"/>
        <v>0</v>
      </c>
      <c r="Y28" s="256">
        <f t="shared" si="31"/>
        <v>0</v>
      </c>
      <c r="Z28" s="256">
        <f t="shared" si="31"/>
        <v>0</v>
      </c>
      <c r="AA28" s="256">
        <f t="shared" si="31"/>
        <v>0</v>
      </c>
      <c r="AB28" s="256">
        <f t="shared" si="31"/>
        <v>0</v>
      </c>
      <c r="AC28" s="256">
        <f t="shared" si="31"/>
        <v>0</v>
      </c>
      <c r="AD28" s="256">
        <f t="shared" si="31"/>
        <v>0</v>
      </c>
      <c r="AE28" s="256">
        <f t="shared" si="31"/>
        <v>0</v>
      </c>
      <c r="AF28" s="256">
        <f t="shared" si="31"/>
        <v>0</v>
      </c>
      <c r="AG28" s="256">
        <f t="shared" si="31"/>
        <v>0</v>
      </c>
      <c r="AH28" s="256">
        <f t="shared" si="31"/>
        <v>0</v>
      </c>
      <c r="AI28" s="256">
        <f t="shared" si="31"/>
        <v>0</v>
      </c>
      <c r="AJ28" s="256">
        <f t="shared" si="31"/>
        <v>0</v>
      </c>
      <c r="AK28" s="256">
        <f t="shared" si="31"/>
        <v>0</v>
      </c>
      <c r="AL28" s="256">
        <f t="shared" si="31"/>
        <v>0</v>
      </c>
      <c r="AM28" s="256">
        <f t="shared" si="31"/>
        <v>0</v>
      </c>
      <c r="AN28" s="256">
        <f t="shared" si="31"/>
        <v>0</v>
      </c>
      <c r="AO28" s="256">
        <f t="shared" si="31"/>
        <v>0</v>
      </c>
      <c r="AP28" s="256">
        <f>AP29</f>
        <v>0</v>
      </c>
      <c r="AQ28" s="256">
        <f>SUM(G28:AP28)</f>
        <v>24214500</v>
      </c>
      <c r="AR28" s="257">
        <f t="shared" si="5"/>
        <v>4.4430275229357793E-3</v>
      </c>
      <c r="AS28" s="258">
        <f>F28-AQ28</f>
        <v>30285500</v>
      </c>
      <c r="AT28" s="257">
        <f t="shared" si="9"/>
        <v>55.569724770642203</v>
      </c>
      <c r="AU28" s="220" t="s">
        <v>531</v>
      </c>
      <c r="AV28" s="220" t="s">
        <v>534</v>
      </c>
      <c r="AW28" s="220" t="s">
        <v>4732</v>
      </c>
      <c r="AX28" s="256">
        <f t="shared" ref="AX28:BE28" si="32">AX29</f>
        <v>0</v>
      </c>
      <c r="AY28" s="256">
        <f t="shared" si="32"/>
        <v>3540000</v>
      </c>
      <c r="AZ28" s="256">
        <f t="shared" si="32"/>
        <v>2700000</v>
      </c>
      <c r="BA28" s="256">
        <f t="shared" si="32"/>
        <v>0</v>
      </c>
      <c r="BB28" s="256">
        <f t="shared" si="32"/>
        <v>0</v>
      </c>
      <c r="BC28" s="256">
        <f t="shared" si="32"/>
        <v>4280000</v>
      </c>
      <c r="BD28" s="256">
        <f t="shared" si="32"/>
        <v>9244500</v>
      </c>
      <c r="BE28" s="256">
        <f t="shared" si="32"/>
        <v>0</v>
      </c>
    </row>
    <row r="29" spans="2:57" x14ac:dyDescent="0.3">
      <c r="B29" s="290" t="s">
        <v>8</v>
      </c>
      <c r="C29" s="222" t="s">
        <v>59</v>
      </c>
      <c r="D29" s="222"/>
      <c r="E29" s="222"/>
      <c r="F29" s="223">
        <f>SUM(F30:F31)</f>
        <v>54500000</v>
      </c>
      <c r="G29" s="223">
        <f t="shared" ref="G29:AP29" si="33">SUM(G30:G31)</f>
        <v>0</v>
      </c>
      <c r="H29" s="223">
        <f t="shared" si="33"/>
        <v>0</v>
      </c>
      <c r="I29" s="223">
        <f t="shared" si="33"/>
        <v>0</v>
      </c>
      <c r="J29" s="223">
        <f t="shared" si="33"/>
        <v>0</v>
      </c>
      <c r="K29" s="223">
        <f t="shared" si="33"/>
        <v>0</v>
      </c>
      <c r="L29" s="223">
        <f t="shared" si="33"/>
        <v>0</v>
      </c>
      <c r="M29" s="223">
        <f t="shared" si="33"/>
        <v>0</v>
      </c>
      <c r="N29" s="223">
        <f t="shared" si="33"/>
        <v>2700000</v>
      </c>
      <c r="O29" s="223">
        <f t="shared" si="33"/>
        <v>3540000</v>
      </c>
      <c r="P29" s="223">
        <f t="shared" si="33"/>
        <v>2840000</v>
      </c>
      <c r="Q29" s="223">
        <f t="shared" si="33"/>
        <v>0</v>
      </c>
      <c r="R29" s="223">
        <f t="shared" si="33"/>
        <v>0</v>
      </c>
      <c r="S29" s="223">
        <f t="shared" si="33"/>
        <v>1250000</v>
      </c>
      <c r="T29" s="223">
        <f t="shared" si="33"/>
        <v>4280000</v>
      </c>
      <c r="U29" s="223">
        <f t="shared" si="33"/>
        <v>9244500</v>
      </c>
      <c r="V29" s="223">
        <f t="shared" si="33"/>
        <v>360000</v>
      </c>
      <c r="W29" s="223">
        <f t="shared" si="33"/>
        <v>0</v>
      </c>
      <c r="X29" s="223">
        <f t="shared" si="33"/>
        <v>0</v>
      </c>
      <c r="Y29" s="223">
        <f t="shared" si="33"/>
        <v>0</v>
      </c>
      <c r="Z29" s="223">
        <f t="shared" si="33"/>
        <v>0</v>
      </c>
      <c r="AA29" s="223">
        <f t="shared" si="33"/>
        <v>0</v>
      </c>
      <c r="AB29" s="223">
        <f t="shared" si="33"/>
        <v>0</v>
      </c>
      <c r="AC29" s="223">
        <f t="shared" si="33"/>
        <v>0</v>
      </c>
      <c r="AD29" s="223">
        <f t="shared" si="33"/>
        <v>0</v>
      </c>
      <c r="AE29" s="223">
        <f t="shared" si="33"/>
        <v>0</v>
      </c>
      <c r="AF29" s="223">
        <f t="shared" si="33"/>
        <v>0</v>
      </c>
      <c r="AG29" s="223">
        <f t="shared" si="33"/>
        <v>0</v>
      </c>
      <c r="AH29" s="223">
        <f t="shared" si="33"/>
        <v>0</v>
      </c>
      <c r="AI29" s="223">
        <f t="shared" si="33"/>
        <v>0</v>
      </c>
      <c r="AJ29" s="223">
        <f t="shared" si="33"/>
        <v>0</v>
      </c>
      <c r="AK29" s="223">
        <f t="shared" si="33"/>
        <v>0</v>
      </c>
      <c r="AL29" s="223">
        <f t="shared" si="33"/>
        <v>0</v>
      </c>
      <c r="AM29" s="223">
        <f t="shared" si="33"/>
        <v>0</v>
      </c>
      <c r="AN29" s="223">
        <f t="shared" si="33"/>
        <v>0</v>
      </c>
      <c r="AO29" s="223">
        <f t="shared" si="33"/>
        <v>0</v>
      </c>
      <c r="AP29" s="223">
        <f t="shared" si="33"/>
        <v>0</v>
      </c>
      <c r="AQ29" s="223">
        <f t="shared" si="30"/>
        <v>24214500</v>
      </c>
      <c r="AR29" s="231">
        <f t="shared" si="5"/>
        <v>4.4430275229357793E-3</v>
      </c>
      <c r="AS29" s="232">
        <f t="shared" si="6"/>
        <v>30285500</v>
      </c>
      <c r="AT29" s="231">
        <f t="shared" si="9"/>
        <v>55.569724770642203</v>
      </c>
      <c r="AU29" s="220" t="s">
        <v>531</v>
      </c>
      <c r="AV29" s="220" t="s">
        <v>534</v>
      </c>
      <c r="AW29" s="220" t="s">
        <v>4732</v>
      </c>
      <c r="AX29" s="223">
        <f t="shared" ref="AX29" si="34">SUM(AX30:AX31)</f>
        <v>0</v>
      </c>
      <c r="AY29" s="223">
        <f t="shared" ref="AY29:AZ29" si="35">SUM(AY30:AY31)</f>
        <v>3540000</v>
      </c>
      <c r="AZ29" s="223">
        <f t="shared" si="35"/>
        <v>2700000</v>
      </c>
      <c r="BA29" s="223">
        <f t="shared" ref="BA29" si="36">SUM(BA30:BA31)</f>
        <v>0</v>
      </c>
      <c r="BB29" s="223">
        <f t="shared" ref="BB29" si="37">SUM(BB30:BB31)</f>
        <v>0</v>
      </c>
      <c r="BC29" s="223">
        <f t="shared" ref="BC29:BD29" si="38">SUM(BC30:BC31)</f>
        <v>4280000</v>
      </c>
      <c r="BD29" s="223">
        <f t="shared" si="38"/>
        <v>9244500</v>
      </c>
      <c r="BE29" s="223">
        <f t="shared" ref="BE29" si="39">SUM(BE30:BE31)</f>
        <v>0</v>
      </c>
    </row>
    <row r="30" spans="2:57" x14ac:dyDescent="0.3">
      <c r="B30" s="288">
        <v>521211</v>
      </c>
      <c r="C30" s="220" t="s">
        <v>7</v>
      </c>
      <c r="D30" s="220"/>
      <c r="E30" s="220"/>
      <c r="F30" s="221">
        <v>21250000</v>
      </c>
      <c r="G30" s="221"/>
      <c r="H30" s="221"/>
      <c r="I30" s="221"/>
      <c r="J30" s="221"/>
      <c r="K30" s="221"/>
      <c r="L30" s="221"/>
      <c r="M30" s="221"/>
      <c r="N30" s="221"/>
      <c r="O30" s="302">
        <v>2460000</v>
      </c>
      <c r="P30" s="221"/>
      <c r="Q30" s="221"/>
      <c r="R30" s="221"/>
      <c r="S30" s="221"/>
      <c r="T30" s="221">
        <v>660000</v>
      </c>
      <c r="U30" s="221"/>
      <c r="V30" s="221"/>
      <c r="W30" s="221"/>
      <c r="X30" s="221"/>
      <c r="Y30" s="221"/>
      <c r="Z30" s="221"/>
      <c r="AA30" s="221"/>
      <c r="AB30" s="221"/>
      <c r="AC30" s="221"/>
      <c r="AD30" s="221"/>
      <c r="AE30" s="221"/>
      <c r="AF30" s="221"/>
      <c r="AG30" s="221"/>
      <c r="AH30" s="221"/>
      <c r="AI30" s="221"/>
      <c r="AJ30" s="221"/>
      <c r="AK30" s="221"/>
      <c r="AL30" s="221"/>
      <c r="AM30" s="221"/>
      <c r="AN30" s="221"/>
      <c r="AO30" s="221"/>
      <c r="AP30" s="221"/>
      <c r="AQ30" s="221">
        <f t="shared" si="30"/>
        <v>3120000</v>
      </c>
      <c r="AR30" s="224">
        <f t="shared" si="5"/>
        <v>1.4682352941176471E-3</v>
      </c>
      <c r="AS30" s="225">
        <f>F30-AQ30</f>
        <v>18130000</v>
      </c>
      <c r="AT30" s="224">
        <f t="shared" si="9"/>
        <v>85.317647058823525</v>
      </c>
      <c r="AU30" s="220" t="s">
        <v>531</v>
      </c>
      <c r="AV30" s="220" t="s">
        <v>534</v>
      </c>
      <c r="AW30" s="220" t="s">
        <v>4732</v>
      </c>
      <c r="AX30" s="221"/>
      <c r="AY30" s="302">
        <v>2460000</v>
      </c>
      <c r="AZ30" s="302"/>
      <c r="BA30" s="221"/>
      <c r="BB30" s="221"/>
      <c r="BC30" s="221">
        <v>660000</v>
      </c>
      <c r="BD30" s="221"/>
      <c r="BE30" s="221"/>
    </row>
    <row r="31" spans="2:57" x14ac:dyDescent="0.3">
      <c r="B31" s="288">
        <v>524111</v>
      </c>
      <c r="C31" s="220" t="s">
        <v>19</v>
      </c>
      <c r="D31" s="220"/>
      <c r="E31" s="220"/>
      <c r="F31" s="221">
        <v>33250000</v>
      </c>
      <c r="G31" s="221"/>
      <c r="H31" s="221"/>
      <c r="I31" s="221"/>
      <c r="J31" s="221"/>
      <c r="K31" s="221"/>
      <c r="L31" s="221"/>
      <c r="M31" s="221"/>
      <c r="N31" s="302">
        <v>2700000</v>
      </c>
      <c r="O31" s="302">
        <v>1080000</v>
      </c>
      <c r="P31" s="221">
        <f>1800000+1040000</f>
        <v>2840000</v>
      </c>
      <c r="Q31" s="221"/>
      <c r="R31" s="221"/>
      <c r="S31" s="221">
        <v>1250000</v>
      </c>
      <c r="T31" s="221">
        <v>3620000</v>
      </c>
      <c r="U31" s="221">
        <v>9244500</v>
      </c>
      <c r="V31" s="221">
        <v>360000</v>
      </c>
      <c r="W31" s="221"/>
      <c r="X31" s="221"/>
      <c r="Y31" s="221"/>
      <c r="Z31" s="221"/>
      <c r="AA31" s="221"/>
      <c r="AB31" s="221"/>
      <c r="AC31" s="221"/>
      <c r="AD31" s="221"/>
      <c r="AE31" s="221"/>
      <c r="AF31" s="221"/>
      <c r="AG31" s="221"/>
      <c r="AH31" s="221"/>
      <c r="AI31" s="221"/>
      <c r="AJ31" s="221"/>
      <c r="AK31" s="221"/>
      <c r="AL31" s="221"/>
      <c r="AM31" s="221"/>
      <c r="AN31" s="221"/>
      <c r="AO31" s="221"/>
      <c r="AP31" s="221"/>
      <c r="AQ31" s="221">
        <f t="shared" si="30"/>
        <v>21094500</v>
      </c>
      <c r="AR31" s="224">
        <f t="shared" si="5"/>
        <v>6.3442105263157899E-3</v>
      </c>
      <c r="AS31" s="225">
        <f t="shared" si="6"/>
        <v>12155500</v>
      </c>
      <c r="AT31" s="224">
        <f t="shared" si="9"/>
        <v>36.557894736842108</v>
      </c>
      <c r="AU31" s="220" t="s">
        <v>531</v>
      </c>
      <c r="AV31" s="220" t="s">
        <v>534</v>
      </c>
      <c r="AW31" s="220" t="s">
        <v>4732</v>
      </c>
      <c r="AX31" s="221"/>
      <c r="AY31" s="302">
        <v>1080000</v>
      </c>
      <c r="AZ31" s="302">
        <v>2700000</v>
      </c>
      <c r="BA31" s="221"/>
      <c r="BB31" s="221"/>
      <c r="BC31" s="221">
        <v>3620000</v>
      </c>
      <c r="BD31" s="221">
        <v>9244500</v>
      </c>
      <c r="BE31" s="221"/>
    </row>
    <row r="32" spans="2:57" x14ac:dyDescent="0.3">
      <c r="B32" s="254" t="s">
        <v>523</v>
      </c>
      <c r="C32" s="255" t="s">
        <v>61</v>
      </c>
      <c r="D32" s="255"/>
      <c r="E32" s="255"/>
      <c r="F32" s="256">
        <f>F33+F41+F48</f>
        <v>686300000</v>
      </c>
      <c r="G32" s="256">
        <f t="shared" ref="G32:AP32" si="40">G33+G41+G48</f>
        <v>0</v>
      </c>
      <c r="H32" s="256">
        <f t="shared" si="40"/>
        <v>0</v>
      </c>
      <c r="I32" s="256">
        <f t="shared" si="40"/>
        <v>0</v>
      </c>
      <c r="J32" s="256">
        <f t="shared" si="40"/>
        <v>0</v>
      </c>
      <c r="K32" s="256">
        <f t="shared" si="40"/>
        <v>0</v>
      </c>
      <c r="L32" s="256">
        <f t="shared" si="40"/>
        <v>0</v>
      </c>
      <c r="M32" s="256">
        <f t="shared" si="40"/>
        <v>0</v>
      </c>
      <c r="N32" s="256">
        <f t="shared" si="40"/>
        <v>7572800</v>
      </c>
      <c r="O32" s="256">
        <f t="shared" si="40"/>
        <v>35690450</v>
      </c>
      <c r="P32" s="256">
        <f t="shared" si="40"/>
        <v>6180000</v>
      </c>
      <c r="Q32" s="256">
        <f t="shared" si="40"/>
        <v>0</v>
      </c>
      <c r="R32" s="256">
        <f t="shared" si="40"/>
        <v>0</v>
      </c>
      <c r="S32" s="256">
        <f t="shared" si="40"/>
        <v>930000</v>
      </c>
      <c r="T32" s="256">
        <f t="shared" si="40"/>
        <v>1074100</v>
      </c>
      <c r="U32" s="256">
        <f t="shared" si="40"/>
        <v>63914400</v>
      </c>
      <c r="V32" s="256">
        <f t="shared" si="40"/>
        <v>98818490</v>
      </c>
      <c r="W32" s="256">
        <f t="shared" si="40"/>
        <v>0</v>
      </c>
      <c r="X32" s="256">
        <f t="shared" si="40"/>
        <v>0</v>
      </c>
      <c r="Y32" s="256">
        <f t="shared" si="40"/>
        <v>0</v>
      </c>
      <c r="Z32" s="256">
        <f t="shared" si="40"/>
        <v>0</v>
      </c>
      <c r="AA32" s="256">
        <f t="shared" si="40"/>
        <v>0</v>
      </c>
      <c r="AB32" s="256">
        <f t="shared" si="40"/>
        <v>0</v>
      </c>
      <c r="AC32" s="256">
        <f t="shared" si="40"/>
        <v>0</v>
      </c>
      <c r="AD32" s="256">
        <f t="shared" si="40"/>
        <v>0</v>
      </c>
      <c r="AE32" s="256">
        <f t="shared" si="40"/>
        <v>0</v>
      </c>
      <c r="AF32" s="256">
        <f t="shared" si="40"/>
        <v>0</v>
      </c>
      <c r="AG32" s="256">
        <f t="shared" si="40"/>
        <v>0</v>
      </c>
      <c r="AH32" s="256">
        <f t="shared" si="40"/>
        <v>0</v>
      </c>
      <c r="AI32" s="256">
        <f t="shared" si="40"/>
        <v>0</v>
      </c>
      <c r="AJ32" s="256">
        <f t="shared" si="40"/>
        <v>0</v>
      </c>
      <c r="AK32" s="256">
        <f t="shared" si="40"/>
        <v>0</v>
      </c>
      <c r="AL32" s="256">
        <f t="shared" si="40"/>
        <v>0</v>
      </c>
      <c r="AM32" s="256">
        <f t="shared" si="40"/>
        <v>0</v>
      </c>
      <c r="AN32" s="256">
        <f t="shared" si="40"/>
        <v>0</v>
      </c>
      <c r="AO32" s="256">
        <f t="shared" si="40"/>
        <v>0</v>
      </c>
      <c r="AP32" s="256">
        <f t="shared" si="40"/>
        <v>0</v>
      </c>
      <c r="AQ32" s="256">
        <f>SUM(G32:AP32)</f>
        <v>214180240</v>
      </c>
      <c r="AR32" s="257">
        <f t="shared" si="5"/>
        <v>3.1207961532857351E-3</v>
      </c>
      <c r="AS32" s="258">
        <f t="shared" si="6"/>
        <v>472119760</v>
      </c>
      <c r="AT32" s="257">
        <f t="shared" si="9"/>
        <v>68.792038467142646</v>
      </c>
      <c r="AU32" s="220" t="s">
        <v>535</v>
      </c>
      <c r="AV32" s="220" t="s">
        <v>536</v>
      </c>
      <c r="AW32" s="220" t="s">
        <v>4732</v>
      </c>
      <c r="AX32" s="256">
        <f t="shared" ref="AX32" si="41">AX33+AX41+AX48</f>
        <v>0</v>
      </c>
      <c r="AY32" s="256">
        <f t="shared" ref="AY32:AZ32" si="42">AY33+AY41+AY48</f>
        <v>35690450</v>
      </c>
      <c r="AZ32" s="256">
        <f t="shared" si="42"/>
        <v>7572800</v>
      </c>
      <c r="BA32" s="256">
        <f t="shared" ref="BA32" si="43">BA33+BA41+BA48</f>
        <v>0</v>
      </c>
      <c r="BB32" s="256">
        <f t="shared" ref="BB32" si="44">BB33+BB41+BB48</f>
        <v>0</v>
      </c>
      <c r="BC32" s="256">
        <f t="shared" ref="BC32:BD32" si="45">BC33+BC41+BC48</f>
        <v>1074100</v>
      </c>
      <c r="BD32" s="256">
        <f t="shared" si="45"/>
        <v>63914400</v>
      </c>
      <c r="BE32" s="256">
        <f t="shared" ref="BE32" si="46">BE33+BE41+BE48</f>
        <v>0</v>
      </c>
    </row>
    <row r="33" spans="2:57" x14ac:dyDescent="0.3">
      <c r="B33" s="290" t="s">
        <v>8</v>
      </c>
      <c r="C33" s="222" t="s">
        <v>62</v>
      </c>
      <c r="D33" s="222"/>
      <c r="E33" s="222"/>
      <c r="F33" s="223">
        <f>SUM(F34:F40)</f>
        <v>386924000</v>
      </c>
      <c r="G33" s="223">
        <f t="shared" ref="G33:AP33" si="47">SUM(G34:G40)</f>
        <v>0</v>
      </c>
      <c r="H33" s="223">
        <f t="shared" si="47"/>
        <v>0</v>
      </c>
      <c r="I33" s="223">
        <f t="shared" si="47"/>
        <v>0</v>
      </c>
      <c r="J33" s="223">
        <f t="shared" si="47"/>
        <v>0</v>
      </c>
      <c r="K33" s="223">
        <f t="shared" si="47"/>
        <v>0</v>
      </c>
      <c r="L33" s="223">
        <f t="shared" si="47"/>
        <v>0</v>
      </c>
      <c r="M33" s="223">
        <f t="shared" si="47"/>
        <v>0</v>
      </c>
      <c r="N33" s="223">
        <f t="shared" si="47"/>
        <v>7572800</v>
      </c>
      <c r="O33" s="223">
        <f t="shared" si="47"/>
        <v>16947450</v>
      </c>
      <c r="P33" s="223">
        <f t="shared" si="47"/>
        <v>6180000</v>
      </c>
      <c r="Q33" s="223">
        <f t="shared" si="47"/>
        <v>0</v>
      </c>
      <c r="R33" s="223">
        <f t="shared" si="47"/>
        <v>0</v>
      </c>
      <c r="S33" s="223">
        <f t="shared" si="47"/>
        <v>930000</v>
      </c>
      <c r="T33" s="223">
        <f t="shared" si="47"/>
        <v>771250</v>
      </c>
      <c r="U33" s="223">
        <f t="shared" si="47"/>
        <v>3813500</v>
      </c>
      <c r="V33" s="223">
        <f t="shared" si="47"/>
        <v>22708650</v>
      </c>
      <c r="W33" s="223">
        <f t="shared" si="47"/>
        <v>0</v>
      </c>
      <c r="X33" s="223">
        <f t="shared" si="47"/>
        <v>0</v>
      </c>
      <c r="Y33" s="223">
        <f t="shared" si="47"/>
        <v>0</v>
      </c>
      <c r="Z33" s="223">
        <f t="shared" si="47"/>
        <v>0</v>
      </c>
      <c r="AA33" s="223">
        <f t="shared" si="47"/>
        <v>0</v>
      </c>
      <c r="AB33" s="223">
        <f t="shared" si="47"/>
        <v>0</v>
      </c>
      <c r="AC33" s="223">
        <f t="shared" si="47"/>
        <v>0</v>
      </c>
      <c r="AD33" s="223">
        <f t="shared" si="47"/>
        <v>0</v>
      </c>
      <c r="AE33" s="223">
        <f t="shared" si="47"/>
        <v>0</v>
      </c>
      <c r="AF33" s="223">
        <f t="shared" si="47"/>
        <v>0</v>
      </c>
      <c r="AG33" s="223">
        <f t="shared" si="47"/>
        <v>0</v>
      </c>
      <c r="AH33" s="223">
        <f t="shared" si="47"/>
        <v>0</v>
      </c>
      <c r="AI33" s="223">
        <f t="shared" si="47"/>
        <v>0</v>
      </c>
      <c r="AJ33" s="223">
        <f t="shared" si="47"/>
        <v>0</v>
      </c>
      <c r="AK33" s="223">
        <f t="shared" si="47"/>
        <v>0</v>
      </c>
      <c r="AL33" s="223">
        <f t="shared" si="47"/>
        <v>0</v>
      </c>
      <c r="AM33" s="223">
        <f t="shared" si="47"/>
        <v>0</v>
      </c>
      <c r="AN33" s="223">
        <f t="shared" si="47"/>
        <v>0</v>
      </c>
      <c r="AO33" s="223">
        <f t="shared" si="47"/>
        <v>0</v>
      </c>
      <c r="AP33" s="223">
        <f t="shared" si="47"/>
        <v>0</v>
      </c>
      <c r="AQ33" s="223">
        <f t="shared" si="30"/>
        <v>58923650</v>
      </c>
      <c r="AR33" s="231">
        <f t="shared" si="5"/>
        <v>1.5228740010958225E-3</v>
      </c>
      <c r="AS33" s="232">
        <f t="shared" si="6"/>
        <v>328000350</v>
      </c>
      <c r="AT33" s="231">
        <f t="shared" si="9"/>
        <v>84.771259989041781</v>
      </c>
      <c r="AU33" s="220" t="s">
        <v>535</v>
      </c>
      <c r="AV33" s="220" t="s">
        <v>536</v>
      </c>
      <c r="AW33" s="220" t="s">
        <v>4732</v>
      </c>
      <c r="AX33" s="223">
        <f t="shared" ref="AX33" si="48">SUM(AX34:AX40)</f>
        <v>0</v>
      </c>
      <c r="AY33" s="223">
        <f t="shared" ref="AY33:AZ33" si="49">SUM(AY34:AY40)</f>
        <v>16947450</v>
      </c>
      <c r="AZ33" s="223">
        <f t="shared" si="49"/>
        <v>7572800</v>
      </c>
      <c r="BA33" s="223">
        <f t="shared" ref="BA33" si="50">SUM(BA34:BA40)</f>
        <v>0</v>
      </c>
      <c r="BB33" s="223">
        <f t="shared" ref="BB33" si="51">SUM(BB34:BB40)</f>
        <v>0</v>
      </c>
      <c r="BC33" s="223">
        <f t="shared" ref="BC33:BD33" si="52">SUM(BC34:BC40)</f>
        <v>771250</v>
      </c>
      <c r="BD33" s="223">
        <f t="shared" si="52"/>
        <v>3813500</v>
      </c>
      <c r="BE33" s="223">
        <f t="shared" ref="BE33" si="53">SUM(BE34:BE40)</f>
        <v>0</v>
      </c>
    </row>
    <row r="34" spans="2:57" x14ac:dyDescent="0.3">
      <c r="B34" s="288">
        <v>521211</v>
      </c>
      <c r="C34" s="220" t="s">
        <v>7</v>
      </c>
      <c r="D34" s="220"/>
      <c r="E34" s="220"/>
      <c r="F34" s="221">
        <v>64900000</v>
      </c>
      <c r="G34" s="221"/>
      <c r="H34" s="221"/>
      <c r="I34" s="221"/>
      <c r="J34" s="221"/>
      <c r="K34" s="221"/>
      <c r="L34" s="221"/>
      <c r="M34" s="221"/>
      <c r="N34" s="302">
        <v>1461500</v>
      </c>
      <c r="O34" s="302">
        <v>2871000</v>
      </c>
      <c r="P34" s="221"/>
      <c r="Q34" s="221"/>
      <c r="R34" s="221"/>
      <c r="S34" s="221"/>
      <c r="T34" s="221">
        <v>440000</v>
      </c>
      <c r="U34" s="221">
        <v>1422500</v>
      </c>
      <c r="V34" s="221"/>
      <c r="W34" s="221"/>
      <c r="X34" s="221"/>
      <c r="Y34" s="221"/>
      <c r="Z34" s="221"/>
      <c r="AA34" s="221"/>
      <c r="AB34" s="221"/>
      <c r="AC34" s="221"/>
      <c r="AD34" s="221"/>
      <c r="AE34" s="221"/>
      <c r="AF34" s="221"/>
      <c r="AG34" s="221"/>
      <c r="AH34" s="221"/>
      <c r="AI34" s="221"/>
      <c r="AJ34" s="221"/>
      <c r="AK34" s="221"/>
      <c r="AL34" s="221"/>
      <c r="AM34" s="221"/>
      <c r="AN34" s="221"/>
      <c r="AO34" s="221"/>
      <c r="AP34" s="221"/>
      <c r="AQ34" s="221">
        <f t="shared" si="30"/>
        <v>6195000</v>
      </c>
      <c r="AR34" s="224">
        <f t="shared" si="5"/>
        <v>9.5454545454545456E-4</v>
      </c>
      <c r="AS34" s="225">
        <f>F34-AQ34</f>
        <v>58705000</v>
      </c>
      <c r="AT34" s="224">
        <f t="shared" si="9"/>
        <v>90.454545454545453</v>
      </c>
      <c r="AU34" s="220" t="s">
        <v>535</v>
      </c>
      <c r="AV34" s="220" t="s">
        <v>536</v>
      </c>
      <c r="AW34" s="220" t="s">
        <v>4732</v>
      </c>
      <c r="AX34" s="221"/>
      <c r="AY34" s="302">
        <v>2871000</v>
      </c>
      <c r="AZ34" s="302">
        <v>1461500</v>
      </c>
      <c r="BA34" s="221"/>
      <c r="BB34" s="221"/>
      <c r="BC34" s="221">
        <v>440000</v>
      </c>
      <c r="BD34" s="221">
        <v>1422500</v>
      </c>
      <c r="BE34" s="221"/>
    </row>
    <row r="35" spans="2:57" x14ac:dyDescent="0.3">
      <c r="B35" s="288">
        <v>521219</v>
      </c>
      <c r="C35" s="220" t="s">
        <v>53</v>
      </c>
      <c r="D35" s="220"/>
      <c r="E35" s="220"/>
      <c r="F35" s="221">
        <v>6000000</v>
      </c>
      <c r="G35" s="221"/>
      <c r="H35" s="221"/>
      <c r="I35" s="221"/>
      <c r="J35" s="221"/>
      <c r="K35" s="221"/>
      <c r="L35" s="221"/>
      <c r="M35" s="221"/>
      <c r="N35" s="302">
        <v>331300</v>
      </c>
      <c r="O35" s="302">
        <v>300450</v>
      </c>
      <c r="P35" s="221"/>
      <c r="Q35" s="221"/>
      <c r="R35" s="221"/>
      <c r="S35" s="221"/>
      <c r="T35" s="221">
        <v>331250</v>
      </c>
      <c r="U35" s="221"/>
      <c r="V35" s="221"/>
      <c r="W35" s="221"/>
      <c r="X35" s="221"/>
      <c r="Y35" s="221"/>
      <c r="Z35" s="221"/>
      <c r="AA35" s="221"/>
      <c r="AB35" s="221"/>
      <c r="AC35" s="221"/>
      <c r="AD35" s="221"/>
      <c r="AE35" s="221"/>
      <c r="AF35" s="221"/>
      <c r="AG35" s="221"/>
      <c r="AH35" s="221"/>
      <c r="AI35" s="221"/>
      <c r="AJ35" s="221"/>
      <c r="AK35" s="221"/>
      <c r="AL35" s="221"/>
      <c r="AM35" s="221"/>
      <c r="AN35" s="221"/>
      <c r="AO35" s="221"/>
      <c r="AP35" s="221"/>
      <c r="AQ35" s="221">
        <f t="shared" si="30"/>
        <v>963000</v>
      </c>
      <c r="AR35" s="224">
        <f t="shared" si="5"/>
        <v>1.6050000000000001E-3</v>
      </c>
      <c r="AS35" s="225">
        <f t="shared" si="6"/>
        <v>5037000</v>
      </c>
      <c r="AT35" s="224">
        <f t="shared" si="9"/>
        <v>83.95</v>
      </c>
      <c r="AU35" s="220" t="s">
        <v>535</v>
      </c>
      <c r="AV35" s="220" t="s">
        <v>536</v>
      </c>
      <c r="AW35" s="220" t="s">
        <v>4732</v>
      </c>
      <c r="AX35" s="221"/>
      <c r="AY35" s="302">
        <v>300450</v>
      </c>
      <c r="AZ35" s="302">
        <v>331300</v>
      </c>
      <c r="BA35" s="221"/>
      <c r="BB35" s="221"/>
      <c r="BC35" s="221">
        <v>331250</v>
      </c>
      <c r="BD35" s="221"/>
      <c r="BE35" s="221"/>
    </row>
    <row r="36" spans="2:57" x14ac:dyDescent="0.3">
      <c r="B36" s="288">
        <v>521811</v>
      </c>
      <c r="C36" s="220" t="s">
        <v>64</v>
      </c>
      <c r="D36" s="220"/>
      <c r="E36" s="220"/>
      <c r="F36" s="221">
        <v>30000000</v>
      </c>
      <c r="G36" s="221"/>
      <c r="H36" s="221"/>
      <c r="I36" s="221"/>
      <c r="J36" s="221"/>
      <c r="K36" s="221"/>
      <c r="L36" s="221"/>
      <c r="M36" s="221"/>
      <c r="N36" s="302">
        <v>2300000</v>
      </c>
      <c r="O36" s="302">
        <v>4846000</v>
      </c>
      <c r="P36" s="221"/>
      <c r="Q36" s="221"/>
      <c r="R36" s="221"/>
      <c r="S36" s="221"/>
      <c r="T36" s="221"/>
      <c r="U36" s="221">
        <v>2391000</v>
      </c>
      <c r="V36" s="221"/>
      <c r="W36" s="221"/>
      <c r="X36" s="221"/>
      <c r="Y36" s="221"/>
      <c r="Z36" s="221"/>
      <c r="AA36" s="221"/>
      <c r="AB36" s="221"/>
      <c r="AC36" s="221"/>
      <c r="AD36" s="221"/>
      <c r="AE36" s="221"/>
      <c r="AF36" s="221"/>
      <c r="AG36" s="221"/>
      <c r="AH36" s="221"/>
      <c r="AI36" s="221"/>
      <c r="AJ36" s="221"/>
      <c r="AK36" s="221"/>
      <c r="AL36" s="221"/>
      <c r="AM36" s="221"/>
      <c r="AN36" s="221"/>
      <c r="AO36" s="221"/>
      <c r="AP36" s="221"/>
      <c r="AQ36" s="221">
        <f t="shared" si="30"/>
        <v>9537000</v>
      </c>
      <c r="AR36" s="224">
        <f t="shared" si="5"/>
        <v>3.179E-3</v>
      </c>
      <c r="AS36" s="225">
        <f t="shared" si="6"/>
        <v>20463000</v>
      </c>
      <c r="AT36" s="224">
        <f t="shared" si="9"/>
        <v>68.210000000000008</v>
      </c>
      <c r="AU36" s="220" t="s">
        <v>535</v>
      </c>
      <c r="AV36" s="220" t="s">
        <v>536</v>
      </c>
      <c r="AW36" s="220" t="s">
        <v>4732</v>
      </c>
      <c r="AX36" s="221"/>
      <c r="AY36" s="302">
        <v>4846000</v>
      </c>
      <c r="AZ36" s="302">
        <v>2300000</v>
      </c>
      <c r="BA36" s="221"/>
      <c r="BB36" s="221"/>
      <c r="BC36" s="221"/>
      <c r="BD36" s="221">
        <v>2391000</v>
      </c>
      <c r="BE36" s="221"/>
    </row>
    <row r="37" spans="2:57" x14ac:dyDescent="0.3">
      <c r="B37" s="289">
        <v>522151</v>
      </c>
      <c r="C37" s="220" t="s">
        <v>11</v>
      </c>
      <c r="D37" s="220"/>
      <c r="E37" s="220"/>
      <c r="F37" s="221">
        <v>25200000</v>
      </c>
      <c r="G37" s="221"/>
      <c r="H37" s="221"/>
      <c r="I37" s="221"/>
      <c r="J37" s="221"/>
      <c r="K37" s="221"/>
      <c r="L37" s="221"/>
      <c r="M37" s="221"/>
      <c r="N37" s="221"/>
      <c r="O37" s="302">
        <v>1800000</v>
      </c>
      <c r="P37" s="221"/>
      <c r="Q37" s="221"/>
      <c r="R37" s="221"/>
      <c r="S37" s="221"/>
      <c r="T37" s="221"/>
      <c r="U37" s="221"/>
      <c r="V37" s="221">
        <v>7200000</v>
      </c>
      <c r="W37" s="221"/>
      <c r="X37" s="221"/>
      <c r="Y37" s="221"/>
      <c r="Z37" s="221"/>
      <c r="AA37" s="221"/>
      <c r="AB37" s="221"/>
      <c r="AC37" s="221"/>
      <c r="AD37" s="221"/>
      <c r="AE37" s="221"/>
      <c r="AF37" s="221"/>
      <c r="AG37" s="221"/>
      <c r="AH37" s="221"/>
      <c r="AI37" s="221"/>
      <c r="AJ37" s="221"/>
      <c r="AK37" s="221"/>
      <c r="AL37" s="221"/>
      <c r="AM37" s="221"/>
      <c r="AN37" s="221"/>
      <c r="AO37" s="221"/>
      <c r="AP37" s="221"/>
      <c r="AQ37" s="221">
        <f t="shared" si="30"/>
        <v>9000000</v>
      </c>
      <c r="AR37" s="224">
        <f t="shared" si="5"/>
        <v>3.5714285714285713E-3</v>
      </c>
      <c r="AS37" s="225">
        <f t="shared" si="6"/>
        <v>16200000</v>
      </c>
      <c r="AT37" s="224">
        <f t="shared" si="9"/>
        <v>64.285714285714292</v>
      </c>
      <c r="AU37" s="220" t="s">
        <v>535</v>
      </c>
      <c r="AV37" s="220" t="s">
        <v>536</v>
      </c>
      <c r="AW37" s="220" t="s">
        <v>4732</v>
      </c>
      <c r="AX37" s="221"/>
      <c r="AY37" s="302">
        <v>1800000</v>
      </c>
      <c r="AZ37" s="302"/>
      <c r="BA37" s="221"/>
      <c r="BB37" s="221"/>
      <c r="BC37" s="221"/>
      <c r="BD37" s="221"/>
      <c r="BE37" s="221"/>
    </row>
    <row r="38" spans="2:57" x14ac:dyDescent="0.3">
      <c r="B38" s="288">
        <v>522192</v>
      </c>
      <c r="C38" s="220" t="s">
        <v>24</v>
      </c>
      <c r="D38" s="220"/>
      <c r="E38" s="220"/>
      <c r="F38" s="221">
        <v>6000000</v>
      </c>
      <c r="G38" s="221"/>
      <c r="H38" s="221"/>
      <c r="I38" s="221"/>
      <c r="J38" s="221"/>
      <c r="K38" s="221"/>
      <c r="L38" s="221"/>
      <c r="M38" s="221"/>
      <c r="N38" s="221"/>
      <c r="O38" s="302"/>
      <c r="P38" s="221"/>
      <c r="Q38" s="221"/>
      <c r="R38" s="221"/>
      <c r="S38" s="221"/>
      <c r="T38" s="221"/>
      <c r="U38" s="221"/>
      <c r="V38" s="221"/>
      <c r="W38" s="221"/>
      <c r="X38" s="221"/>
      <c r="Y38" s="221"/>
      <c r="Z38" s="221"/>
      <c r="AA38" s="221"/>
      <c r="AB38" s="221"/>
      <c r="AC38" s="221"/>
      <c r="AD38" s="221"/>
      <c r="AE38" s="221"/>
      <c r="AF38" s="221"/>
      <c r="AG38" s="221"/>
      <c r="AH38" s="221"/>
      <c r="AI38" s="221"/>
      <c r="AJ38" s="221"/>
      <c r="AK38" s="221"/>
      <c r="AL38" s="221"/>
      <c r="AM38" s="221"/>
      <c r="AN38" s="221"/>
      <c r="AO38" s="221"/>
      <c r="AP38" s="221"/>
      <c r="AQ38" s="221">
        <f t="shared" si="30"/>
        <v>0</v>
      </c>
      <c r="AR38" s="224">
        <f t="shared" si="5"/>
        <v>0</v>
      </c>
      <c r="AS38" s="225">
        <f t="shared" si="6"/>
        <v>6000000</v>
      </c>
      <c r="AT38" s="224">
        <f t="shared" si="9"/>
        <v>100</v>
      </c>
      <c r="AU38" s="220" t="s">
        <v>535</v>
      </c>
      <c r="AV38" s="220" t="s">
        <v>536</v>
      </c>
      <c r="AW38" s="220" t="s">
        <v>4732</v>
      </c>
      <c r="AX38" s="221"/>
      <c r="AY38" s="302"/>
      <c r="AZ38" s="302"/>
      <c r="BA38" s="221"/>
      <c r="BB38" s="221"/>
      <c r="BC38" s="221"/>
      <c r="BD38" s="221"/>
      <c r="BE38" s="221"/>
    </row>
    <row r="39" spans="2:57" x14ac:dyDescent="0.3">
      <c r="B39" s="288">
        <v>524111</v>
      </c>
      <c r="C39" s="220" t="s">
        <v>19</v>
      </c>
      <c r="D39" s="220"/>
      <c r="E39" s="220"/>
      <c r="F39" s="221">
        <v>253324000</v>
      </c>
      <c r="G39" s="221"/>
      <c r="H39" s="221"/>
      <c r="I39" s="221"/>
      <c r="J39" s="221"/>
      <c r="K39" s="221"/>
      <c r="L39" s="221"/>
      <c r="M39" s="221"/>
      <c r="N39" s="302">
        <v>3480000</v>
      </c>
      <c r="O39" s="302">
        <v>7130000</v>
      </c>
      <c r="P39" s="221">
        <v>6180000</v>
      </c>
      <c r="Q39" s="221"/>
      <c r="R39" s="221"/>
      <c r="S39" s="221">
        <v>930000</v>
      </c>
      <c r="T39" s="221"/>
      <c r="U39" s="221"/>
      <c r="V39" s="221">
        <v>15508650</v>
      </c>
      <c r="W39" s="221"/>
      <c r="X39" s="221"/>
      <c r="Y39" s="221"/>
      <c r="Z39" s="221"/>
      <c r="AA39" s="221"/>
      <c r="AB39" s="221"/>
      <c r="AC39" s="221"/>
      <c r="AD39" s="221"/>
      <c r="AE39" s="221"/>
      <c r="AF39" s="221"/>
      <c r="AG39" s="221"/>
      <c r="AH39" s="221"/>
      <c r="AI39" s="221"/>
      <c r="AJ39" s="221"/>
      <c r="AK39" s="221"/>
      <c r="AL39" s="221"/>
      <c r="AM39" s="221"/>
      <c r="AN39" s="221"/>
      <c r="AO39" s="221"/>
      <c r="AP39" s="221"/>
      <c r="AQ39" s="221">
        <f t="shared" si="30"/>
        <v>33228650</v>
      </c>
      <c r="AR39" s="224">
        <f t="shared" si="5"/>
        <v>1.3117055628365257E-3</v>
      </c>
      <c r="AS39" s="225">
        <f>F39-AQ39</f>
        <v>220095350</v>
      </c>
      <c r="AT39" s="224">
        <f t="shared" si="9"/>
        <v>86.882944371634736</v>
      </c>
      <c r="AU39" s="220" t="s">
        <v>535</v>
      </c>
      <c r="AV39" s="220" t="s">
        <v>536</v>
      </c>
      <c r="AW39" s="220" t="s">
        <v>4732</v>
      </c>
      <c r="AX39" s="221"/>
      <c r="AY39" s="302">
        <v>7130000</v>
      </c>
      <c r="AZ39" s="302">
        <v>3480000</v>
      </c>
      <c r="BA39" s="221"/>
      <c r="BB39" s="221"/>
      <c r="BC39" s="221"/>
      <c r="BD39" s="221"/>
      <c r="BE39" s="221"/>
    </row>
    <row r="40" spans="2:57" x14ac:dyDescent="0.3">
      <c r="B40" s="288">
        <v>524113</v>
      </c>
      <c r="C40" s="220" t="s">
        <v>13</v>
      </c>
      <c r="D40" s="220"/>
      <c r="E40" s="220"/>
      <c r="F40" s="221">
        <v>1500000</v>
      </c>
      <c r="G40" s="221"/>
      <c r="H40" s="221"/>
      <c r="I40" s="221"/>
      <c r="J40" s="221"/>
      <c r="K40" s="221"/>
      <c r="L40" s="221"/>
      <c r="M40" s="221"/>
      <c r="N40" s="221"/>
      <c r="O40" s="302"/>
      <c r="P40" s="221"/>
      <c r="Q40" s="221"/>
      <c r="R40" s="221"/>
      <c r="S40" s="221"/>
      <c r="T40" s="221"/>
      <c r="U40" s="221"/>
      <c r="V40" s="221"/>
      <c r="W40" s="221"/>
      <c r="X40" s="221"/>
      <c r="Y40" s="221"/>
      <c r="Z40" s="221"/>
      <c r="AA40" s="221"/>
      <c r="AB40" s="221"/>
      <c r="AC40" s="221"/>
      <c r="AD40" s="221"/>
      <c r="AE40" s="221"/>
      <c r="AF40" s="221"/>
      <c r="AG40" s="221"/>
      <c r="AH40" s="221"/>
      <c r="AI40" s="221"/>
      <c r="AJ40" s="221"/>
      <c r="AK40" s="221"/>
      <c r="AL40" s="221"/>
      <c r="AM40" s="221"/>
      <c r="AN40" s="221"/>
      <c r="AO40" s="221"/>
      <c r="AP40" s="221"/>
      <c r="AQ40" s="221">
        <f t="shared" si="30"/>
        <v>0</v>
      </c>
      <c r="AR40" s="224">
        <f t="shared" si="5"/>
        <v>0</v>
      </c>
      <c r="AS40" s="225">
        <f t="shared" si="6"/>
        <v>1500000</v>
      </c>
      <c r="AT40" s="224">
        <f t="shared" si="9"/>
        <v>100</v>
      </c>
      <c r="AU40" s="220" t="s">
        <v>535</v>
      </c>
      <c r="AV40" s="220" t="s">
        <v>536</v>
      </c>
      <c r="AW40" s="220" t="s">
        <v>4732</v>
      </c>
      <c r="AX40" s="221"/>
      <c r="AY40" s="302"/>
      <c r="AZ40" s="302"/>
      <c r="BA40" s="221"/>
      <c r="BB40" s="221"/>
      <c r="BC40" s="221"/>
      <c r="BD40" s="221"/>
      <c r="BE40" s="221"/>
    </row>
    <row r="41" spans="2:57" x14ac:dyDescent="0.3">
      <c r="B41" s="290" t="s">
        <v>511</v>
      </c>
      <c r="C41" s="222" t="s">
        <v>65</v>
      </c>
      <c r="D41" s="222"/>
      <c r="E41" s="222"/>
      <c r="F41" s="223">
        <f>SUM(F42:F47)</f>
        <v>247816000</v>
      </c>
      <c r="G41" s="223">
        <f t="shared" ref="G41:AP41" si="54">SUM(G42:G47)</f>
        <v>0</v>
      </c>
      <c r="H41" s="223">
        <f t="shared" si="54"/>
        <v>0</v>
      </c>
      <c r="I41" s="223">
        <f t="shared" si="54"/>
        <v>0</v>
      </c>
      <c r="J41" s="223">
        <f t="shared" si="54"/>
        <v>0</v>
      </c>
      <c r="K41" s="223">
        <f t="shared" si="54"/>
        <v>0</v>
      </c>
      <c r="L41" s="223">
        <f t="shared" si="54"/>
        <v>0</v>
      </c>
      <c r="M41" s="223">
        <f t="shared" si="54"/>
        <v>0</v>
      </c>
      <c r="N41" s="223">
        <f t="shared" si="54"/>
        <v>0</v>
      </c>
      <c r="O41" s="223">
        <f t="shared" si="54"/>
        <v>18743000</v>
      </c>
      <c r="P41" s="223">
        <f t="shared" si="54"/>
        <v>0</v>
      </c>
      <c r="Q41" s="223">
        <f t="shared" si="54"/>
        <v>0</v>
      </c>
      <c r="R41" s="223">
        <f t="shared" si="54"/>
        <v>0</v>
      </c>
      <c r="S41" s="223">
        <f t="shared" si="54"/>
        <v>0</v>
      </c>
      <c r="T41" s="223">
        <f t="shared" si="54"/>
        <v>302850</v>
      </c>
      <c r="U41" s="223">
        <f t="shared" si="54"/>
        <v>60100900</v>
      </c>
      <c r="V41" s="223">
        <f t="shared" si="54"/>
        <v>76109840</v>
      </c>
      <c r="W41" s="223">
        <f t="shared" si="54"/>
        <v>0</v>
      </c>
      <c r="X41" s="223">
        <f t="shared" si="54"/>
        <v>0</v>
      </c>
      <c r="Y41" s="223">
        <f t="shared" si="54"/>
        <v>0</v>
      </c>
      <c r="Z41" s="223">
        <f t="shared" si="54"/>
        <v>0</v>
      </c>
      <c r="AA41" s="223">
        <f t="shared" si="54"/>
        <v>0</v>
      </c>
      <c r="AB41" s="223">
        <f t="shared" si="54"/>
        <v>0</v>
      </c>
      <c r="AC41" s="223">
        <f t="shared" si="54"/>
        <v>0</v>
      </c>
      <c r="AD41" s="223">
        <f t="shared" si="54"/>
        <v>0</v>
      </c>
      <c r="AE41" s="223">
        <f t="shared" si="54"/>
        <v>0</v>
      </c>
      <c r="AF41" s="223">
        <f t="shared" si="54"/>
        <v>0</v>
      </c>
      <c r="AG41" s="223">
        <f t="shared" si="54"/>
        <v>0</v>
      </c>
      <c r="AH41" s="223">
        <f t="shared" si="54"/>
        <v>0</v>
      </c>
      <c r="AI41" s="223">
        <f t="shared" si="54"/>
        <v>0</v>
      </c>
      <c r="AJ41" s="223">
        <f t="shared" si="54"/>
        <v>0</v>
      </c>
      <c r="AK41" s="223">
        <f t="shared" si="54"/>
        <v>0</v>
      </c>
      <c r="AL41" s="223">
        <f t="shared" si="54"/>
        <v>0</v>
      </c>
      <c r="AM41" s="223">
        <f t="shared" si="54"/>
        <v>0</v>
      </c>
      <c r="AN41" s="223">
        <f t="shared" si="54"/>
        <v>0</v>
      </c>
      <c r="AO41" s="223">
        <f t="shared" si="54"/>
        <v>0</v>
      </c>
      <c r="AP41" s="223">
        <f t="shared" si="54"/>
        <v>0</v>
      </c>
      <c r="AQ41" s="223">
        <f>SUM(G41:AP41)</f>
        <v>155256590</v>
      </c>
      <c r="AR41" s="231">
        <f t="shared" si="5"/>
        <v>6.2649945927623716E-3</v>
      </c>
      <c r="AS41" s="232">
        <f t="shared" si="6"/>
        <v>92559410</v>
      </c>
      <c r="AT41" s="231">
        <f t="shared" si="9"/>
        <v>37.350054072376281</v>
      </c>
      <c r="AU41" s="220" t="s">
        <v>535</v>
      </c>
      <c r="AV41" s="220" t="s">
        <v>536</v>
      </c>
      <c r="AW41" s="220" t="s">
        <v>4732</v>
      </c>
      <c r="AX41" s="223">
        <f t="shared" ref="AX41:BA41" si="55">SUM(AX42:AX47)</f>
        <v>0</v>
      </c>
      <c r="AY41" s="223">
        <f t="shared" si="55"/>
        <v>18743000</v>
      </c>
      <c r="AZ41" s="223">
        <f t="shared" si="55"/>
        <v>0</v>
      </c>
      <c r="BA41" s="223">
        <f t="shared" si="55"/>
        <v>0</v>
      </c>
      <c r="BB41" s="223">
        <f t="shared" ref="BB41" si="56">SUM(BB42:BB47)</f>
        <v>0</v>
      </c>
      <c r="BC41" s="223">
        <f t="shared" ref="BC41:BD41" si="57">SUM(BC42:BC47)</f>
        <v>302850</v>
      </c>
      <c r="BD41" s="223">
        <f t="shared" si="57"/>
        <v>60100900</v>
      </c>
      <c r="BE41" s="223">
        <f t="shared" ref="BE41" si="58">SUM(BE42:BE47)</f>
        <v>0</v>
      </c>
    </row>
    <row r="42" spans="2:57" x14ac:dyDescent="0.3">
      <c r="B42" s="288">
        <v>521211</v>
      </c>
      <c r="C42" s="220" t="s">
        <v>7</v>
      </c>
      <c r="D42" s="220"/>
      <c r="E42" s="220"/>
      <c r="F42" s="221">
        <v>71456000</v>
      </c>
      <c r="G42" s="221"/>
      <c r="H42" s="221"/>
      <c r="I42" s="221"/>
      <c r="J42" s="221"/>
      <c r="K42" s="221"/>
      <c r="L42" s="221"/>
      <c r="M42" s="221"/>
      <c r="N42" s="221"/>
      <c r="O42" s="221"/>
      <c r="P42" s="221"/>
      <c r="Q42" s="221"/>
      <c r="R42" s="221"/>
      <c r="S42" s="221"/>
      <c r="T42" s="221"/>
      <c r="U42" s="221">
        <v>10438550</v>
      </c>
      <c r="V42" s="221"/>
      <c r="W42" s="221"/>
      <c r="X42" s="221"/>
      <c r="Y42" s="221"/>
      <c r="Z42" s="221"/>
      <c r="AA42" s="221"/>
      <c r="AB42" s="221"/>
      <c r="AC42" s="221"/>
      <c r="AD42" s="221"/>
      <c r="AE42" s="221"/>
      <c r="AF42" s="221"/>
      <c r="AG42" s="221"/>
      <c r="AH42" s="221"/>
      <c r="AI42" s="221"/>
      <c r="AJ42" s="221"/>
      <c r="AK42" s="221"/>
      <c r="AL42" s="221"/>
      <c r="AM42" s="221"/>
      <c r="AN42" s="221"/>
      <c r="AO42" s="221"/>
      <c r="AP42" s="221"/>
      <c r="AQ42" s="221">
        <f t="shared" si="30"/>
        <v>10438550</v>
      </c>
      <c r="AR42" s="224">
        <f t="shared" si="5"/>
        <v>1.4608360389610389E-3</v>
      </c>
      <c r="AS42" s="225">
        <f t="shared" si="6"/>
        <v>61017450</v>
      </c>
      <c r="AT42" s="224">
        <f t="shared" si="9"/>
        <v>85.391639610389618</v>
      </c>
      <c r="AU42" s="220" t="s">
        <v>535</v>
      </c>
      <c r="AV42" s="220" t="s">
        <v>536</v>
      </c>
      <c r="AW42" s="220" t="s">
        <v>4732</v>
      </c>
      <c r="AX42" s="221"/>
      <c r="AY42" s="302"/>
      <c r="AZ42" s="302"/>
      <c r="BA42" s="221"/>
      <c r="BB42" s="221"/>
      <c r="BC42" s="221"/>
      <c r="BD42" s="221">
        <v>10438550</v>
      </c>
      <c r="BE42" s="221"/>
    </row>
    <row r="43" spans="2:57" x14ac:dyDescent="0.3">
      <c r="B43" s="288">
        <v>521219</v>
      </c>
      <c r="C43" s="220" t="s">
        <v>53</v>
      </c>
      <c r="D43" s="220"/>
      <c r="E43" s="220"/>
      <c r="F43" s="221">
        <v>5000000</v>
      </c>
      <c r="G43" s="221"/>
      <c r="H43" s="221"/>
      <c r="I43" s="221"/>
      <c r="J43" s="221"/>
      <c r="K43" s="221"/>
      <c r="L43" s="221"/>
      <c r="M43" s="221"/>
      <c r="N43" s="221"/>
      <c r="O43" s="221"/>
      <c r="P43" s="221"/>
      <c r="Q43" s="221"/>
      <c r="R43" s="221"/>
      <c r="S43" s="221"/>
      <c r="T43" s="221">
        <v>302850</v>
      </c>
      <c r="U43" s="221">
        <v>3960000</v>
      </c>
      <c r="V43" s="221"/>
      <c r="W43" s="221"/>
      <c r="X43" s="221"/>
      <c r="Y43" s="221"/>
      <c r="Z43" s="221"/>
      <c r="AA43" s="221"/>
      <c r="AB43" s="221"/>
      <c r="AC43" s="221"/>
      <c r="AD43" s="221"/>
      <c r="AE43" s="221"/>
      <c r="AF43" s="221"/>
      <c r="AG43" s="221"/>
      <c r="AH43" s="221"/>
      <c r="AI43" s="221"/>
      <c r="AJ43" s="221"/>
      <c r="AK43" s="221"/>
      <c r="AL43" s="221"/>
      <c r="AM43" s="221"/>
      <c r="AN43" s="221"/>
      <c r="AO43" s="221"/>
      <c r="AP43" s="221"/>
      <c r="AQ43" s="221">
        <f t="shared" si="30"/>
        <v>4262850</v>
      </c>
      <c r="AR43" s="224">
        <f t="shared" si="5"/>
        <v>8.5257000000000006E-3</v>
      </c>
      <c r="AS43" s="225">
        <f t="shared" si="6"/>
        <v>737150</v>
      </c>
      <c r="AT43" s="224">
        <f t="shared" si="9"/>
        <v>14.743</v>
      </c>
      <c r="AU43" s="220" t="s">
        <v>535</v>
      </c>
      <c r="AV43" s="220" t="s">
        <v>536</v>
      </c>
      <c r="AW43" s="220" t="s">
        <v>4732</v>
      </c>
      <c r="AX43" s="221"/>
      <c r="AY43" s="302"/>
      <c r="AZ43" s="302"/>
      <c r="BA43" s="221"/>
      <c r="BB43" s="221"/>
      <c r="BC43" s="221">
        <v>302850</v>
      </c>
      <c r="BD43" s="221">
        <v>3960000</v>
      </c>
      <c r="BE43" s="221"/>
    </row>
    <row r="44" spans="2:57" x14ac:dyDescent="0.3">
      <c r="B44" s="288">
        <v>521811</v>
      </c>
      <c r="C44" s="220" t="s">
        <v>64</v>
      </c>
      <c r="D44" s="220"/>
      <c r="E44" s="220"/>
      <c r="F44" s="221">
        <v>15000000</v>
      </c>
      <c r="G44" s="221"/>
      <c r="H44" s="221"/>
      <c r="I44" s="221"/>
      <c r="J44" s="221"/>
      <c r="K44" s="221"/>
      <c r="L44" s="221"/>
      <c r="M44" s="221"/>
      <c r="N44" s="221"/>
      <c r="O44" s="221"/>
      <c r="P44" s="221"/>
      <c r="Q44" s="221"/>
      <c r="R44" s="221"/>
      <c r="S44" s="221"/>
      <c r="T44" s="221"/>
      <c r="U44" s="221">
        <v>2453500</v>
      </c>
      <c r="V44" s="221"/>
      <c r="W44" s="221"/>
      <c r="X44" s="221"/>
      <c r="Y44" s="221"/>
      <c r="Z44" s="221"/>
      <c r="AA44" s="221"/>
      <c r="AB44" s="221"/>
      <c r="AC44" s="221"/>
      <c r="AD44" s="221"/>
      <c r="AE44" s="221"/>
      <c r="AF44" s="221"/>
      <c r="AG44" s="221"/>
      <c r="AH44" s="221"/>
      <c r="AI44" s="221"/>
      <c r="AJ44" s="221"/>
      <c r="AK44" s="221"/>
      <c r="AL44" s="221"/>
      <c r="AM44" s="221"/>
      <c r="AN44" s="221"/>
      <c r="AO44" s="221"/>
      <c r="AP44" s="221"/>
      <c r="AQ44" s="221">
        <f t="shared" si="30"/>
        <v>2453500</v>
      </c>
      <c r="AR44" s="224">
        <f t="shared" si="5"/>
        <v>1.6356666666666666E-3</v>
      </c>
      <c r="AS44" s="225">
        <f t="shared" si="6"/>
        <v>12546500</v>
      </c>
      <c r="AT44" s="224">
        <f t="shared" si="9"/>
        <v>83.643333333333331</v>
      </c>
      <c r="AU44" s="220" t="s">
        <v>535</v>
      </c>
      <c r="AV44" s="220" t="s">
        <v>536</v>
      </c>
      <c r="AW44" s="220" t="s">
        <v>4732</v>
      </c>
      <c r="AX44" s="221"/>
      <c r="AY44" s="302"/>
      <c r="AZ44" s="302"/>
      <c r="BA44" s="221"/>
      <c r="BB44" s="221"/>
      <c r="BC44" s="221"/>
      <c r="BD44" s="221">
        <v>2453500</v>
      </c>
      <c r="BE44" s="221"/>
    </row>
    <row r="45" spans="2:57" x14ac:dyDescent="0.3">
      <c r="B45" s="288">
        <v>522151</v>
      </c>
      <c r="C45" s="220" t="s">
        <v>11</v>
      </c>
      <c r="D45" s="220"/>
      <c r="E45" s="220"/>
      <c r="F45" s="221">
        <v>16200000</v>
      </c>
      <c r="G45" s="221"/>
      <c r="H45" s="221"/>
      <c r="I45" s="221"/>
      <c r="J45" s="221"/>
      <c r="K45" s="221"/>
      <c r="L45" s="221"/>
      <c r="M45" s="221"/>
      <c r="N45" s="221"/>
      <c r="O45" s="221"/>
      <c r="P45" s="221"/>
      <c r="Q45" s="221"/>
      <c r="R45" s="221"/>
      <c r="S45" s="221"/>
      <c r="T45" s="221"/>
      <c r="U45" s="221">
        <v>6300000</v>
      </c>
      <c r="V45" s="221"/>
      <c r="W45" s="221"/>
      <c r="X45" s="221"/>
      <c r="Y45" s="221"/>
      <c r="Z45" s="221"/>
      <c r="AA45" s="221"/>
      <c r="AB45" s="221"/>
      <c r="AC45" s="221"/>
      <c r="AD45" s="221"/>
      <c r="AE45" s="221"/>
      <c r="AF45" s="221"/>
      <c r="AG45" s="221"/>
      <c r="AH45" s="221"/>
      <c r="AI45" s="221"/>
      <c r="AJ45" s="221"/>
      <c r="AK45" s="221"/>
      <c r="AL45" s="221"/>
      <c r="AM45" s="221"/>
      <c r="AN45" s="221"/>
      <c r="AO45" s="221"/>
      <c r="AP45" s="221"/>
      <c r="AQ45" s="221">
        <f t="shared" si="30"/>
        <v>6300000</v>
      </c>
      <c r="AR45" s="224">
        <f t="shared" si="5"/>
        <v>3.8888888888888888E-3</v>
      </c>
      <c r="AS45" s="225">
        <f t="shared" si="6"/>
        <v>9900000</v>
      </c>
      <c r="AT45" s="224">
        <f t="shared" si="9"/>
        <v>61.111111111111114</v>
      </c>
      <c r="AU45" s="220" t="s">
        <v>535</v>
      </c>
      <c r="AV45" s="220" t="s">
        <v>536</v>
      </c>
      <c r="AW45" s="220" t="s">
        <v>4732</v>
      </c>
      <c r="AX45" s="221"/>
      <c r="AY45" s="302"/>
      <c r="AZ45" s="302"/>
      <c r="BA45" s="221"/>
      <c r="BB45" s="221"/>
      <c r="BC45" s="221"/>
      <c r="BD45" s="221">
        <v>6300000</v>
      </c>
      <c r="BE45" s="221"/>
    </row>
    <row r="46" spans="2:57" x14ac:dyDescent="0.3">
      <c r="B46" s="288">
        <v>522192</v>
      </c>
      <c r="C46" s="220" t="s">
        <v>24</v>
      </c>
      <c r="D46" s="220"/>
      <c r="E46" s="220"/>
      <c r="F46" s="221">
        <v>2000000</v>
      </c>
      <c r="G46" s="221"/>
      <c r="H46" s="221"/>
      <c r="I46" s="221"/>
      <c r="J46" s="221"/>
      <c r="K46" s="221"/>
      <c r="L46" s="221"/>
      <c r="M46" s="221"/>
      <c r="N46" s="221"/>
      <c r="O46" s="302">
        <v>365000</v>
      </c>
      <c r="P46" s="221"/>
      <c r="Q46" s="221"/>
      <c r="R46" s="221"/>
      <c r="S46" s="221"/>
      <c r="T46" s="221"/>
      <c r="U46" s="221"/>
      <c r="V46" s="221"/>
      <c r="W46" s="221"/>
      <c r="X46" s="221"/>
      <c r="Y46" s="221"/>
      <c r="Z46" s="221"/>
      <c r="AA46" s="221"/>
      <c r="AB46" s="221"/>
      <c r="AC46" s="221"/>
      <c r="AD46" s="221"/>
      <c r="AE46" s="221"/>
      <c r="AF46" s="221"/>
      <c r="AG46" s="221"/>
      <c r="AH46" s="221"/>
      <c r="AI46" s="221"/>
      <c r="AJ46" s="221"/>
      <c r="AK46" s="221"/>
      <c r="AL46" s="221"/>
      <c r="AM46" s="221"/>
      <c r="AN46" s="221"/>
      <c r="AO46" s="221"/>
      <c r="AP46" s="221"/>
      <c r="AQ46" s="221">
        <f t="shared" si="30"/>
        <v>365000</v>
      </c>
      <c r="AR46" s="224">
        <f t="shared" si="5"/>
        <v>1.825E-3</v>
      </c>
      <c r="AS46" s="225">
        <f t="shared" si="6"/>
        <v>1635000</v>
      </c>
      <c r="AT46" s="224">
        <f t="shared" si="9"/>
        <v>81.75</v>
      </c>
      <c r="AU46" s="220" t="s">
        <v>535</v>
      </c>
      <c r="AV46" s="220" t="s">
        <v>536</v>
      </c>
      <c r="AW46" s="220" t="s">
        <v>4732</v>
      </c>
      <c r="AX46" s="221"/>
      <c r="AY46" s="302">
        <v>365000</v>
      </c>
      <c r="AZ46" s="302"/>
      <c r="BA46" s="221"/>
      <c r="BB46" s="221"/>
      <c r="BC46" s="221"/>
      <c r="BD46" s="221"/>
      <c r="BE46" s="221"/>
    </row>
    <row r="47" spans="2:57" x14ac:dyDescent="0.3">
      <c r="B47" s="288">
        <v>524111</v>
      </c>
      <c r="C47" s="220" t="s">
        <v>19</v>
      </c>
      <c r="D47" s="220"/>
      <c r="E47" s="220"/>
      <c r="F47" s="221">
        <v>138160000</v>
      </c>
      <c r="G47" s="221"/>
      <c r="H47" s="221"/>
      <c r="I47" s="221"/>
      <c r="J47" s="221"/>
      <c r="K47" s="221"/>
      <c r="L47" s="221"/>
      <c r="M47" s="221"/>
      <c r="N47" s="221"/>
      <c r="O47" s="302">
        <v>18378000</v>
      </c>
      <c r="P47" s="221"/>
      <c r="Q47" s="221"/>
      <c r="R47" s="221"/>
      <c r="S47" s="221"/>
      <c r="T47" s="221"/>
      <c r="U47" s="221">
        <v>36948850</v>
      </c>
      <c r="V47" s="221">
        <f>27294800+48815040</f>
        <v>76109840</v>
      </c>
      <c r="W47" s="221"/>
      <c r="X47" s="221"/>
      <c r="Y47" s="221"/>
      <c r="Z47" s="221"/>
      <c r="AA47" s="221"/>
      <c r="AB47" s="221"/>
      <c r="AC47" s="221"/>
      <c r="AD47" s="221"/>
      <c r="AE47" s="221"/>
      <c r="AF47" s="221"/>
      <c r="AG47" s="221"/>
      <c r="AH47" s="221"/>
      <c r="AI47" s="221"/>
      <c r="AJ47" s="221"/>
      <c r="AK47" s="221"/>
      <c r="AL47" s="221"/>
      <c r="AM47" s="221"/>
      <c r="AN47" s="221"/>
      <c r="AO47" s="221"/>
      <c r="AP47" s="221"/>
      <c r="AQ47" s="221">
        <f t="shared" si="30"/>
        <v>131436690</v>
      </c>
      <c r="AR47" s="224">
        <f t="shared" ref="AR47:AR78" si="59">AQ47/F47/100</f>
        <v>9.5133678343949039E-3</v>
      </c>
      <c r="AS47" s="225">
        <f t="shared" si="6"/>
        <v>6723310</v>
      </c>
      <c r="AT47" s="224">
        <f t="shared" si="9"/>
        <v>4.866321656050955</v>
      </c>
      <c r="AU47" s="220" t="s">
        <v>535</v>
      </c>
      <c r="AV47" s="220" t="s">
        <v>536</v>
      </c>
      <c r="AW47" s="220" t="s">
        <v>4732</v>
      </c>
      <c r="AX47" s="221"/>
      <c r="AY47" s="302">
        <v>18378000</v>
      </c>
      <c r="AZ47" s="302"/>
      <c r="BA47" s="221"/>
      <c r="BB47" s="221"/>
      <c r="BC47" s="221"/>
      <c r="BD47" s="221">
        <v>36948850</v>
      </c>
      <c r="BE47" s="221"/>
    </row>
    <row r="48" spans="2:57" x14ac:dyDescent="0.3">
      <c r="B48" s="290" t="s">
        <v>512</v>
      </c>
      <c r="C48" s="222" t="s">
        <v>795</v>
      </c>
      <c r="D48" s="222"/>
      <c r="E48" s="222"/>
      <c r="F48" s="223">
        <f>SUM(F49:F52)</f>
        <v>51560000</v>
      </c>
      <c r="G48" s="223">
        <f t="shared" ref="G48:AO48" si="60">SUM(G49:G52)</f>
        <v>0</v>
      </c>
      <c r="H48" s="223">
        <f t="shared" si="60"/>
        <v>0</v>
      </c>
      <c r="I48" s="223">
        <f t="shared" si="60"/>
        <v>0</v>
      </c>
      <c r="J48" s="223">
        <f t="shared" si="60"/>
        <v>0</v>
      </c>
      <c r="K48" s="223">
        <f t="shared" si="60"/>
        <v>0</v>
      </c>
      <c r="L48" s="223">
        <f t="shared" si="60"/>
        <v>0</v>
      </c>
      <c r="M48" s="223">
        <f t="shared" si="60"/>
        <v>0</v>
      </c>
      <c r="N48" s="223">
        <f t="shared" si="60"/>
        <v>0</v>
      </c>
      <c r="O48" s="223">
        <f t="shared" si="60"/>
        <v>0</v>
      </c>
      <c r="P48" s="223">
        <f t="shared" si="60"/>
        <v>0</v>
      </c>
      <c r="Q48" s="223">
        <f t="shared" si="60"/>
        <v>0</v>
      </c>
      <c r="R48" s="223">
        <f t="shared" si="60"/>
        <v>0</v>
      </c>
      <c r="S48" s="223">
        <f t="shared" si="60"/>
        <v>0</v>
      </c>
      <c r="T48" s="223">
        <f t="shared" si="60"/>
        <v>0</v>
      </c>
      <c r="U48" s="223">
        <f t="shared" si="60"/>
        <v>0</v>
      </c>
      <c r="V48" s="223">
        <f t="shared" si="60"/>
        <v>0</v>
      </c>
      <c r="W48" s="223">
        <f t="shared" si="60"/>
        <v>0</v>
      </c>
      <c r="X48" s="223">
        <f t="shared" si="60"/>
        <v>0</v>
      </c>
      <c r="Y48" s="223">
        <f t="shared" si="60"/>
        <v>0</v>
      </c>
      <c r="Z48" s="223">
        <f t="shared" si="60"/>
        <v>0</v>
      </c>
      <c r="AA48" s="223">
        <f t="shared" si="60"/>
        <v>0</v>
      </c>
      <c r="AB48" s="223">
        <f t="shared" si="60"/>
        <v>0</v>
      </c>
      <c r="AC48" s="223">
        <f t="shared" si="60"/>
        <v>0</v>
      </c>
      <c r="AD48" s="223">
        <f t="shared" si="60"/>
        <v>0</v>
      </c>
      <c r="AE48" s="223">
        <f t="shared" si="60"/>
        <v>0</v>
      </c>
      <c r="AF48" s="223">
        <f t="shared" si="60"/>
        <v>0</v>
      </c>
      <c r="AG48" s="223">
        <f t="shared" si="60"/>
        <v>0</v>
      </c>
      <c r="AH48" s="223">
        <f t="shared" si="60"/>
        <v>0</v>
      </c>
      <c r="AI48" s="223">
        <f t="shared" si="60"/>
        <v>0</v>
      </c>
      <c r="AJ48" s="223">
        <f t="shared" si="60"/>
        <v>0</v>
      </c>
      <c r="AK48" s="223">
        <f t="shared" si="60"/>
        <v>0</v>
      </c>
      <c r="AL48" s="223">
        <f t="shared" si="60"/>
        <v>0</v>
      </c>
      <c r="AM48" s="223">
        <f t="shared" si="60"/>
        <v>0</v>
      </c>
      <c r="AN48" s="223">
        <f t="shared" si="60"/>
        <v>0</v>
      </c>
      <c r="AO48" s="223">
        <f t="shared" si="60"/>
        <v>0</v>
      </c>
      <c r="AP48" s="223">
        <f>SUM(AP49:AP52)</f>
        <v>0</v>
      </c>
      <c r="AQ48" s="223">
        <f>SUM(G48:AP48)</f>
        <v>0</v>
      </c>
      <c r="AR48" s="231">
        <f t="shared" si="59"/>
        <v>0</v>
      </c>
      <c r="AS48" s="232">
        <f t="shared" ref="AS48" si="61">F48-AQ48</f>
        <v>51560000</v>
      </c>
      <c r="AT48" s="231">
        <f t="shared" ref="AT48" si="62">AS48/F48*100</f>
        <v>100</v>
      </c>
      <c r="AU48" s="220" t="s">
        <v>535</v>
      </c>
      <c r="AV48" s="220" t="s">
        <v>536</v>
      </c>
      <c r="AW48" s="220" t="s">
        <v>4732</v>
      </c>
      <c r="AX48" s="223">
        <f t="shared" ref="AX48:BA48" si="63">SUM(AX49:AX52)</f>
        <v>0</v>
      </c>
      <c r="AY48" s="223">
        <f t="shared" si="63"/>
        <v>0</v>
      </c>
      <c r="AZ48" s="223">
        <f t="shared" si="63"/>
        <v>0</v>
      </c>
      <c r="BA48" s="223">
        <f t="shared" si="63"/>
        <v>0</v>
      </c>
      <c r="BB48" s="223">
        <f t="shared" ref="BB48" si="64">SUM(BB49:BB52)</f>
        <v>0</v>
      </c>
      <c r="BC48" s="223">
        <f t="shared" ref="BC48:BD48" si="65">SUM(BC49:BC52)</f>
        <v>0</v>
      </c>
      <c r="BD48" s="223">
        <f t="shared" si="65"/>
        <v>0</v>
      </c>
      <c r="BE48" s="223">
        <f t="shared" ref="BE48" si="66">SUM(BE49:BE52)</f>
        <v>0</v>
      </c>
    </row>
    <row r="49" spans="2:57" x14ac:dyDescent="0.3">
      <c r="B49" s="288">
        <v>521211</v>
      </c>
      <c r="C49" s="220" t="s">
        <v>7</v>
      </c>
      <c r="D49" s="220"/>
      <c r="E49" s="220"/>
      <c r="F49" s="221">
        <v>20830000</v>
      </c>
      <c r="G49" s="221"/>
      <c r="H49" s="221"/>
      <c r="I49" s="221"/>
      <c r="J49" s="221"/>
      <c r="K49" s="221"/>
      <c r="L49" s="221"/>
      <c r="M49" s="221"/>
      <c r="N49" s="221"/>
      <c r="O49" s="221"/>
      <c r="P49" s="221"/>
      <c r="Q49" s="221"/>
      <c r="R49" s="221"/>
      <c r="S49" s="221"/>
      <c r="T49" s="221"/>
      <c r="U49" s="221"/>
      <c r="V49" s="221"/>
      <c r="W49" s="221"/>
      <c r="X49" s="221"/>
      <c r="Y49" s="221"/>
      <c r="Z49" s="221"/>
      <c r="AA49" s="221"/>
      <c r="AB49" s="221"/>
      <c r="AC49" s="221"/>
      <c r="AD49" s="221"/>
      <c r="AE49" s="221"/>
      <c r="AF49" s="221"/>
      <c r="AG49" s="221"/>
      <c r="AH49" s="221"/>
      <c r="AI49" s="221"/>
      <c r="AJ49" s="221"/>
      <c r="AK49" s="221"/>
      <c r="AL49" s="221"/>
      <c r="AM49" s="221"/>
      <c r="AN49" s="221"/>
      <c r="AO49" s="221"/>
      <c r="AP49" s="221"/>
      <c r="AQ49" s="221">
        <f t="shared" si="30"/>
        <v>0</v>
      </c>
      <c r="AR49" s="224">
        <f t="shared" si="59"/>
        <v>0</v>
      </c>
      <c r="AS49" s="225">
        <f t="shared" si="6"/>
        <v>20830000</v>
      </c>
      <c r="AT49" s="224">
        <f t="shared" si="9"/>
        <v>100</v>
      </c>
      <c r="AU49" s="220" t="s">
        <v>535</v>
      </c>
      <c r="AV49" s="220" t="s">
        <v>536</v>
      </c>
      <c r="AW49" s="220" t="s">
        <v>4732</v>
      </c>
      <c r="AX49" s="221"/>
      <c r="AY49" s="302"/>
      <c r="AZ49" s="302"/>
      <c r="BA49" s="221"/>
      <c r="BB49" s="221"/>
      <c r="BC49" s="221"/>
      <c r="BD49" s="221"/>
      <c r="BE49" s="221"/>
    </row>
    <row r="50" spans="2:57" x14ac:dyDescent="0.3">
      <c r="B50" s="288">
        <v>521219</v>
      </c>
      <c r="C50" s="220" t="s">
        <v>53</v>
      </c>
      <c r="D50" s="220"/>
      <c r="E50" s="220"/>
      <c r="F50" s="221">
        <v>500000</v>
      </c>
      <c r="G50" s="221"/>
      <c r="H50" s="221"/>
      <c r="I50" s="221"/>
      <c r="J50" s="221"/>
      <c r="K50" s="221"/>
      <c r="L50" s="221"/>
      <c r="M50" s="221"/>
      <c r="N50" s="221"/>
      <c r="O50" s="221"/>
      <c r="P50" s="221"/>
      <c r="Q50" s="221"/>
      <c r="R50" s="221"/>
      <c r="S50" s="221"/>
      <c r="T50" s="221"/>
      <c r="U50" s="221"/>
      <c r="V50" s="221"/>
      <c r="W50" s="221"/>
      <c r="X50" s="221"/>
      <c r="Y50" s="221"/>
      <c r="Z50" s="221"/>
      <c r="AA50" s="221"/>
      <c r="AB50" s="221"/>
      <c r="AC50" s="221"/>
      <c r="AD50" s="221"/>
      <c r="AE50" s="221"/>
      <c r="AF50" s="221"/>
      <c r="AG50" s="221"/>
      <c r="AH50" s="221"/>
      <c r="AI50" s="221"/>
      <c r="AJ50" s="221"/>
      <c r="AK50" s="221"/>
      <c r="AL50" s="221"/>
      <c r="AM50" s="221"/>
      <c r="AN50" s="221"/>
      <c r="AO50" s="221"/>
      <c r="AP50" s="221"/>
      <c r="AQ50" s="221">
        <f t="shared" si="30"/>
        <v>0</v>
      </c>
      <c r="AR50" s="224">
        <f t="shared" si="59"/>
        <v>0</v>
      </c>
      <c r="AS50" s="225">
        <f t="shared" si="6"/>
        <v>500000</v>
      </c>
      <c r="AT50" s="224">
        <f t="shared" si="9"/>
        <v>100</v>
      </c>
      <c r="AU50" s="220" t="s">
        <v>535</v>
      </c>
      <c r="AV50" s="220" t="s">
        <v>536</v>
      </c>
      <c r="AW50" s="220" t="s">
        <v>4732</v>
      </c>
      <c r="AX50" s="221"/>
      <c r="AY50" s="302"/>
      <c r="AZ50" s="302"/>
      <c r="BA50" s="221"/>
      <c r="BB50" s="221"/>
      <c r="BC50" s="221"/>
      <c r="BD50" s="221"/>
      <c r="BE50" s="221"/>
    </row>
    <row r="51" spans="2:57" x14ac:dyDescent="0.3">
      <c r="B51" s="288">
        <v>522151</v>
      </c>
      <c r="C51" s="220" t="s">
        <v>11</v>
      </c>
      <c r="D51" s="220"/>
      <c r="E51" s="220"/>
      <c r="F51" s="221">
        <v>7200000</v>
      </c>
      <c r="G51" s="221"/>
      <c r="H51" s="221"/>
      <c r="I51" s="221"/>
      <c r="J51" s="221"/>
      <c r="K51" s="221"/>
      <c r="L51" s="221"/>
      <c r="M51" s="221"/>
      <c r="N51" s="221"/>
      <c r="O51" s="221"/>
      <c r="P51" s="221"/>
      <c r="Q51" s="221"/>
      <c r="R51" s="221"/>
      <c r="S51" s="221"/>
      <c r="T51" s="221"/>
      <c r="U51" s="221"/>
      <c r="V51" s="221"/>
      <c r="W51" s="221"/>
      <c r="X51" s="221"/>
      <c r="Y51" s="221"/>
      <c r="Z51" s="221"/>
      <c r="AA51" s="221"/>
      <c r="AB51" s="221"/>
      <c r="AC51" s="221"/>
      <c r="AD51" s="221"/>
      <c r="AE51" s="221"/>
      <c r="AF51" s="221"/>
      <c r="AG51" s="221"/>
      <c r="AH51" s="221"/>
      <c r="AI51" s="221"/>
      <c r="AJ51" s="221"/>
      <c r="AK51" s="221"/>
      <c r="AL51" s="221"/>
      <c r="AM51" s="221"/>
      <c r="AN51" s="221"/>
      <c r="AO51" s="221"/>
      <c r="AP51" s="221"/>
      <c r="AQ51" s="221">
        <f t="shared" si="30"/>
        <v>0</v>
      </c>
      <c r="AR51" s="224">
        <f t="shared" si="59"/>
        <v>0</v>
      </c>
      <c r="AS51" s="225">
        <f t="shared" si="6"/>
        <v>7200000</v>
      </c>
      <c r="AT51" s="224">
        <f t="shared" si="9"/>
        <v>100</v>
      </c>
      <c r="AU51" s="220" t="s">
        <v>535</v>
      </c>
      <c r="AV51" s="220" t="s">
        <v>536</v>
      </c>
      <c r="AW51" s="220" t="s">
        <v>4732</v>
      </c>
      <c r="AX51" s="221"/>
      <c r="AY51" s="302"/>
      <c r="AZ51" s="302"/>
      <c r="BA51" s="221"/>
      <c r="BB51" s="221"/>
      <c r="BC51" s="221"/>
      <c r="BD51" s="221"/>
      <c r="BE51" s="221"/>
    </row>
    <row r="52" spans="2:57" x14ac:dyDescent="0.3">
      <c r="B52" s="288">
        <v>524111</v>
      </c>
      <c r="C52" s="220" t="s">
        <v>19</v>
      </c>
      <c r="D52" s="220"/>
      <c r="E52" s="220"/>
      <c r="F52" s="221">
        <v>23030000</v>
      </c>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1"/>
      <c r="AI52" s="221"/>
      <c r="AJ52" s="221"/>
      <c r="AK52" s="221"/>
      <c r="AL52" s="221"/>
      <c r="AM52" s="221"/>
      <c r="AN52" s="221"/>
      <c r="AO52" s="221"/>
      <c r="AP52" s="221"/>
      <c r="AQ52" s="221">
        <f t="shared" si="30"/>
        <v>0</v>
      </c>
      <c r="AR52" s="224">
        <f t="shared" si="59"/>
        <v>0</v>
      </c>
      <c r="AS52" s="225">
        <f t="shared" si="6"/>
        <v>23030000</v>
      </c>
      <c r="AT52" s="224">
        <f t="shared" si="9"/>
        <v>100</v>
      </c>
      <c r="AU52" s="220" t="s">
        <v>535</v>
      </c>
      <c r="AV52" s="220" t="s">
        <v>536</v>
      </c>
      <c r="AW52" s="220" t="s">
        <v>4732</v>
      </c>
      <c r="AX52" s="221"/>
      <c r="AY52" s="302"/>
      <c r="AZ52" s="302"/>
      <c r="BA52" s="221"/>
      <c r="BB52" s="221"/>
      <c r="BC52" s="221"/>
      <c r="BD52" s="221"/>
      <c r="BE52" s="221"/>
    </row>
    <row r="53" spans="2:57" x14ac:dyDescent="0.3">
      <c r="B53" s="254" t="s">
        <v>526</v>
      </c>
      <c r="C53" s="255" t="s">
        <v>67</v>
      </c>
      <c r="D53" s="255"/>
      <c r="E53" s="255"/>
      <c r="F53" s="256">
        <f>F54</f>
        <v>135100000</v>
      </c>
      <c r="G53" s="256">
        <f t="shared" ref="G53:AP53" si="67">G54</f>
        <v>0</v>
      </c>
      <c r="H53" s="256">
        <f t="shared" si="67"/>
        <v>0</v>
      </c>
      <c r="I53" s="256">
        <f t="shared" si="67"/>
        <v>0</v>
      </c>
      <c r="J53" s="256">
        <f t="shared" si="67"/>
        <v>0</v>
      </c>
      <c r="K53" s="256">
        <f t="shared" si="67"/>
        <v>0</v>
      </c>
      <c r="L53" s="256">
        <f t="shared" si="67"/>
        <v>0</v>
      </c>
      <c r="M53" s="256">
        <f t="shared" si="67"/>
        <v>0</v>
      </c>
      <c r="N53" s="256">
        <f t="shared" si="67"/>
        <v>14333500</v>
      </c>
      <c r="O53" s="256">
        <f t="shared" si="67"/>
        <v>22507250</v>
      </c>
      <c r="P53" s="256">
        <f t="shared" si="67"/>
        <v>13520000</v>
      </c>
      <c r="Q53" s="256">
        <f t="shared" si="67"/>
        <v>0</v>
      </c>
      <c r="R53" s="256">
        <f t="shared" si="67"/>
        <v>0</v>
      </c>
      <c r="S53" s="256">
        <f t="shared" si="67"/>
        <v>0</v>
      </c>
      <c r="T53" s="256">
        <f t="shared" si="67"/>
        <v>1500000</v>
      </c>
      <c r="U53" s="256">
        <f t="shared" si="67"/>
        <v>0</v>
      </c>
      <c r="V53" s="256">
        <f t="shared" si="67"/>
        <v>22748610</v>
      </c>
      <c r="W53" s="256">
        <f t="shared" si="67"/>
        <v>0</v>
      </c>
      <c r="X53" s="256">
        <f t="shared" si="67"/>
        <v>0</v>
      </c>
      <c r="Y53" s="256">
        <f t="shared" si="67"/>
        <v>0</v>
      </c>
      <c r="Z53" s="256">
        <f t="shared" si="67"/>
        <v>0</v>
      </c>
      <c r="AA53" s="256">
        <f t="shared" si="67"/>
        <v>0</v>
      </c>
      <c r="AB53" s="256">
        <f t="shared" si="67"/>
        <v>0</v>
      </c>
      <c r="AC53" s="256">
        <f t="shared" si="67"/>
        <v>0</v>
      </c>
      <c r="AD53" s="256">
        <f t="shared" si="67"/>
        <v>0</v>
      </c>
      <c r="AE53" s="256">
        <f t="shared" si="67"/>
        <v>0</v>
      </c>
      <c r="AF53" s="256">
        <f t="shared" si="67"/>
        <v>0</v>
      </c>
      <c r="AG53" s="256">
        <f t="shared" si="67"/>
        <v>0</v>
      </c>
      <c r="AH53" s="256">
        <f t="shared" si="67"/>
        <v>0</v>
      </c>
      <c r="AI53" s="256">
        <f t="shared" si="67"/>
        <v>0</v>
      </c>
      <c r="AJ53" s="256">
        <f t="shared" si="67"/>
        <v>0</v>
      </c>
      <c r="AK53" s="256">
        <f t="shared" si="67"/>
        <v>0</v>
      </c>
      <c r="AL53" s="256">
        <f t="shared" si="67"/>
        <v>0</v>
      </c>
      <c r="AM53" s="256">
        <f t="shared" si="67"/>
        <v>0</v>
      </c>
      <c r="AN53" s="256">
        <f t="shared" si="67"/>
        <v>0</v>
      </c>
      <c r="AO53" s="256">
        <f t="shared" si="67"/>
        <v>0</v>
      </c>
      <c r="AP53" s="256">
        <f t="shared" si="67"/>
        <v>0</v>
      </c>
      <c r="AQ53" s="256">
        <f>SUM(G53:AP53)</f>
        <v>74609360</v>
      </c>
      <c r="AR53" s="257">
        <f t="shared" si="59"/>
        <v>5.5225284974093269E-3</v>
      </c>
      <c r="AS53" s="258">
        <f t="shared" si="6"/>
        <v>60490640</v>
      </c>
      <c r="AT53" s="257">
        <f t="shared" si="9"/>
        <v>44.774715025906737</v>
      </c>
      <c r="AU53" s="220" t="s">
        <v>535</v>
      </c>
      <c r="AV53" s="220" t="s">
        <v>538</v>
      </c>
      <c r="AW53" s="220" t="s">
        <v>4732</v>
      </c>
      <c r="AX53" s="256">
        <f t="shared" ref="AX53:BE53" si="68">AX54</f>
        <v>0</v>
      </c>
      <c r="AY53" s="256">
        <f t="shared" si="68"/>
        <v>22507250</v>
      </c>
      <c r="AZ53" s="256">
        <f t="shared" si="68"/>
        <v>14333500</v>
      </c>
      <c r="BA53" s="256">
        <f t="shared" si="68"/>
        <v>0</v>
      </c>
      <c r="BB53" s="256">
        <f t="shared" si="68"/>
        <v>1500000</v>
      </c>
      <c r="BC53" s="256">
        <f t="shared" si="68"/>
        <v>0</v>
      </c>
      <c r="BD53" s="256">
        <f t="shared" si="68"/>
        <v>0</v>
      </c>
      <c r="BE53" s="256">
        <f t="shared" si="68"/>
        <v>0</v>
      </c>
    </row>
    <row r="54" spans="2:57" x14ac:dyDescent="0.3">
      <c r="B54" s="290" t="s">
        <v>8</v>
      </c>
      <c r="C54" s="222" t="s">
        <v>68</v>
      </c>
      <c r="D54" s="222"/>
      <c r="E54" s="222"/>
      <c r="F54" s="223">
        <f>SUM(F55:F59)</f>
        <v>135100000</v>
      </c>
      <c r="G54" s="223">
        <f t="shared" ref="G54:AP54" si="69">SUM(G55:G59)</f>
        <v>0</v>
      </c>
      <c r="H54" s="223">
        <f t="shared" si="69"/>
        <v>0</v>
      </c>
      <c r="I54" s="223">
        <f t="shared" si="69"/>
        <v>0</v>
      </c>
      <c r="J54" s="223">
        <f t="shared" si="69"/>
        <v>0</v>
      </c>
      <c r="K54" s="223">
        <f t="shared" si="69"/>
        <v>0</v>
      </c>
      <c r="L54" s="223">
        <f t="shared" si="69"/>
        <v>0</v>
      </c>
      <c r="M54" s="223">
        <f t="shared" si="69"/>
        <v>0</v>
      </c>
      <c r="N54" s="223">
        <f t="shared" si="69"/>
        <v>14333500</v>
      </c>
      <c r="O54" s="223">
        <f t="shared" si="69"/>
        <v>22507250</v>
      </c>
      <c r="P54" s="223">
        <f t="shared" si="69"/>
        <v>13520000</v>
      </c>
      <c r="Q54" s="223">
        <f t="shared" si="69"/>
        <v>0</v>
      </c>
      <c r="R54" s="223">
        <f t="shared" si="69"/>
        <v>0</v>
      </c>
      <c r="S54" s="223">
        <f t="shared" si="69"/>
        <v>0</v>
      </c>
      <c r="T54" s="223">
        <f t="shared" si="69"/>
        <v>1500000</v>
      </c>
      <c r="U54" s="223">
        <f t="shared" si="69"/>
        <v>0</v>
      </c>
      <c r="V54" s="223">
        <f t="shared" si="69"/>
        <v>22748610</v>
      </c>
      <c r="W54" s="223">
        <f t="shared" si="69"/>
        <v>0</v>
      </c>
      <c r="X54" s="223">
        <f t="shared" si="69"/>
        <v>0</v>
      </c>
      <c r="Y54" s="223">
        <f t="shared" si="69"/>
        <v>0</v>
      </c>
      <c r="Z54" s="223">
        <f t="shared" si="69"/>
        <v>0</v>
      </c>
      <c r="AA54" s="223">
        <f t="shared" si="69"/>
        <v>0</v>
      </c>
      <c r="AB54" s="223">
        <f t="shared" si="69"/>
        <v>0</v>
      </c>
      <c r="AC54" s="223">
        <f t="shared" si="69"/>
        <v>0</v>
      </c>
      <c r="AD54" s="223">
        <f t="shared" si="69"/>
        <v>0</v>
      </c>
      <c r="AE54" s="223">
        <f t="shared" si="69"/>
        <v>0</v>
      </c>
      <c r="AF54" s="223">
        <f t="shared" si="69"/>
        <v>0</v>
      </c>
      <c r="AG54" s="223">
        <f t="shared" si="69"/>
        <v>0</v>
      </c>
      <c r="AH54" s="223">
        <f t="shared" si="69"/>
        <v>0</v>
      </c>
      <c r="AI54" s="223">
        <f t="shared" si="69"/>
        <v>0</v>
      </c>
      <c r="AJ54" s="223">
        <f t="shared" si="69"/>
        <v>0</v>
      </c>
      <c r="AK54" s="223">
        <f t="shared" si="69"/>
        <v>0</v>
      </c>
      <c r="AL54" s="223">
        <f t="shared" si="69"/>
        <v>0</v>
      </c>
      <c r="AM54" s="223">
        <f t="shared" si="69"/>
        <v>0</v>
      </c>
      <c r="AN54" s="223">
        <f t="shared" si="69"/>
        <v>0</v>
      </c>
      <c r="AO54" s="223">
        <f t="shared" si="69"/>
        <v>0</v>
      </c>
      <c r="AP54" s="223">
        <f t="shared" si="69"/>
        <v>0</v>
      </c>
      <c r="AQ54" s="223">
        <f>SUM(G54:AP54)</f>
        <v>74609360</v>
      </c>
      <c r="AR54" s="231">
        <f t="shared" si="59"/>
        <v>5.5225284974093269E-3</v>
      </c>
      <c r="AS54" s="232">
        <f t="shared" si="6"/>
        <v>60490640</v>
      </c>
      <c r="AT54" s="231">
        <f t="shared" si="9"/>
        <v>44.774715025906737</v>
      </c>
      <c r="AU54" s="220" t="s">
        <v>535</v>
      </c>
      <c r="AV54" s="220" t="s">
        <v>538</v>
      </c>
      <c r="AW54" s="220" t="s">
        <v>4732</v>
      </c>
      <c r="AX54" s="223">
        <f t="shared" ref="AX54" si="70">SUM(AX55:AX59)</f>
        <v>0</v>
      </c>
      <c r="AY54" s="223">
        <f t="shared" ref="AY54:AZ54" si="71">SUM(AY55:AY59)</f>
        <v>22507250</v>
      </c>
      <c r="AZ54" s="223">
        <f t="shared" si="71"/>
        <v>14333500</v>
      </c>
      <c r="BA54" s="223">
        <f t="shared" ref="BA54" si="72">SUM(BA55:BA59)</f>
        <v>0</v>
      </c>
      <c r="BB54" s="223">
        <f t="shared" ref="BB54" si="73">SUM(BB55:BB59)</f>
        <v>1500000</v>
      </c>
      <c r="BC54" s="223">
        <f t="shared" ref="BC54:BD54" si="74">SUM(BC55:BC59)</f>
        <v>0</v>
      </c>
      <c r="BD54" s="223">
        <f t="shared" si="74"/>
        <v>0</v>
      </c>
      <c r="BE54" s="223">
        <f t="shared" ref="BE54" si="75">SUM(BE55:BE59)</f>
        <v>0</v>
      </c>
    </row>
    <row r="55" spans="2:57" x14ac:dyDescent="0.3">
      <c r="B55" s="288">
        <v>521211</v>
      </c>
      <c r="C55" s="220" t="s">
        <v>7</v>
      </c>
      <c r="D55" s="220"/>
      <c r="E55" s="220"/>
      <c r="F55" s="221">
        <v>13900000</v>
      </c>
      <c r="G55" s="221"/>
      <c r="H55" s="221"/>
      <c r="I55" s="221"/>
      <c r="J55" s="221"/>
      <c r="K55" s="221"/>
      <c r="L55" s="221"/>
      <c r="M55" s="221"/>
      <c r="N55" s="302">
        <v>2493500</v>
      </c>
      <c r="O55" s="302">
        <v>5497250</v>
      </c>
      <c r="P55" s="221"/>
      <c r="Q55" s="221"/>
      <c r="R55" s="221"/>
      <c r="S55" s="221"/>
      <c r="T55" s="221">
        <v>1500000</v>
      </c>
      <c r="U55" s="221"/>
      <c r="V55" s="221"/>
      <c r="W55" s="221"/>
      <c r="X55" s="221"/>
      <c r="Y55" s="221"/>
      <c r="Z55" s="221"/>
      <c r="AA55" s="221"/>
      <c r="AB55" s="221"/>
      <c r="AC55" s="221"/>
      <c r="AD55" s="221"/>
      <c r="AE55" s="221"/>
      <c r="AF55" s="221"/>
      <c r="AG55" s="221"/>
      <c r="AH55" s="221"/>
      <c r="AI55" s="221"/>
      <c r="AJ55" s="221"/>
      <c r="AK55" s="221"/>
      <c r="AL55" s="221"/>
      <c r="AM55" s="221"/>
      <c r="AN55" s="221"/>
      <c r="AO55" s="221"/>
      <c r="AP55" s="221"/>
      <c r="AQ55" s="221">
        <f t="shared" si="30"/>
        <v>9490750</v>
      </c>
      <c r="AR55" s="224">
        <f t="shared" si="59"/>
        <v>6.8278776978417267E-3</v>
      </c>
      <c r="AS55" s="225">
        <f t="shared" si="6"/>
        <v>4409250</v>
      </c>
      <c r="AT55" s="224">
        <f t="shared" si="9"/>
        <v>31.721223021582734</v>
      </c>
      <c r="AU55" s="220" t="s">
        <v>535</v>
      </c>
      <c r="AV55" s="220" t="s">
        <v>538</v>
      </c>
      <c r="AW55" s="220" t="s">
        <v>4732</v>
      </c>
      <c r="AX55" s="221"/>
      <c r="AY55" s="302">
        <v>5497250</v>
      </c>
      <c r="AZ55" s="302">
        <v>2493500</v>
      </c>
      <c r="BA55" s="221"/>
      <c r="BB55" s="221">
        <v>1500000</v>
      </c>
      <c r="BC55" s="221"/>
      <c r="BD55" s="221"/>
      <c r="BE55" s="221"/>
    </row>
    <row r="56" spans="2:57" x14ac:dyDescent="0.3">
      <c r="B56" s="288">
        <v>521219</v>
      </c>
      <c r="C56" s="220" t="s">
        <v>53</v>
      </c>
      <c r="D56" s="220"/>
      <c r="E56" s="220"/>
      <c r="F56" s="221">
        <v>8784000</v>
      </c>
      <c r="G56" s="221"/>
      <c r="H56" s="221"/>
      <c r="I56" s="221"/>
      <c r="J56" s="221"/>
      <c r="K56" s="221"/>
      <c r="L56" s="221"/>
      <c r="M56" s="221"/>
      <c r="N56" s="221"/>
      <c r="O56" s="302"/>
      <c r="P56" s="221"/>
      <c r="Q56" s="221"/>
      <c r="R56" s="221"/>
      <c r="S56" s="221"/>
      <c r="T56" s="221"/>
      <c r="U56" s="221"/>
      <c r="V56" s="221"/>
      <c r="W56" s="221"/>
      <c r="X56" s="221"/>
      <c r="Y56" s="221"/>
      <c r="Z56" s="221"/>
      <c r="AA56" s="221"/>
      <c r="AB56" s="221"/>
      <c r="AC56" s="221"/>
      <c r="AD56" s="221"/>
      <c r="AE56" s="221"/>
      <c r="AF56" s="221"/>
      <c r="AG56" s="221"/>
      <c r="AH56" s="221"/>
      <c r="AI56" s="221"/>
      <c r="AJ56" s="221"/>
      <c r="AK56" s="221"/>
      <c r="AL56" s="221"/>
      <c r="AM56" s="221"/>
      <c r="AN56" s="221"/>
      <c r="AO56" s="221"/>
      <c r="AP56" s="221"/>
      <c r="AQ56" s="221">
        <f t="shared" si="30"/>
        <v>0</v>
      </c>
      <c r="AR56" s="224">
        <f t="shared" si="59"/>
        <v>0</v>
      </c>
      <c r="AS56" s="225">
        <f t="shared" si="6"/>
        <v>8784000</v>
      </c>
      <c r="AT56" s="224">
        <f t="shared" si="9"/>
        <v>100</v>
      </c>
      <c r="AU56" s="220" t="s">
        <v>535</v>
      </c>
      <c r="AV56" s="220" t="s">
        <v>538</v>
      </c>
      <c r="AW56" s="220" t="s">
        <v>4732</v>
      </c>
      <c r="AX56" s="221"/>
      <c r="AY56" s="302"/>
      <c r="AZ56" s="302"/>
      <c r="BA56" s="221"/>
      <c r="BB56" s="221"/>
      <c r="BC56" s="221"/>
      <c r="BD56" s="221"/>
      <c r="BE56" s="221"/>
    </row>
    <row r="57" spans="2:57" x14ac:dyDescent="0.3">
      <c r="B57" s="288">
        <v>522151</v>
      </c>
      <c r="C57" s="220" t="s">
        <v>11</v>
      </c>
      <c r="D57" s="220"/>
      <c r="E57" s="220"/>
      <c r="F57" s="221">
        <v>10000000</v>
      </c>
      <c r="G57" s="221"/>
      <c r="H57" s="221"/>
      <c r="I57" s="221"/>
      <c r="J57" s="221"/>
      <c r="K57" s="221"/>
      <c r="L57" s="221"/>
      <c r="M57" s="221"/>
      <c r="N57" s="221"/>
      <c r="O57" s="302"/>
      <c r="P57" s="221">
        <v>7200000</v>
      </c>
      <c r="Q57" s="221"/>
      <c r="R57" s="221"/>
      <c r="S57" s="221"/>
      <c r="T57" s="221"/>
      <c r="U57" s="221"/>
      <c r="V57" s="221"/>
      <c r="W57" s="221"/>
      <c r="X57" s="221"/>
      <c r="Y57" s="221"/>
      <c r="Z57" s="221"/>
      <c r="AA57" s="221"/>
      <c r="AB57" s="221"/>
      <c r="AC57" s="221"/>
      <c r="AD57" s="221"/>
      <c r="AE57" s="221"/>
      <c r="AF57" s="221"/>
      <c r="AG57" s="221"/>
      <c r="AH57" s="221"/>
      <c r="AI57" s="221"/>
      <c r="AJ57" s="221"/>
      <c r="AK57" s="221"/>
      <c r="AL57" s="221"/>
      <c r="AM57" s="221"/>
      <c r="AN57" s="221"/>
      <c r="AO57" s="221"/>
      <c r="AP57" s="221"/>
      <c r="AQ57" s="221">
        <f t="shared" si="30"/>
        <v>7200000</v>
      </c>
      <c r="AR57" s="224">
        <f t="shared" si="59"/>
        <v>7.1999999999999998E-3</v>
      </c>
      <c r="AS57" s="225">
        <f t="shared" si="6"/>
        <v>2800000</v>
      </c>
      <c r="AT57" s="224">
        <f t="shared" si="9"/>
        <v>28.000000000000004</v>
      </c>
      <c r="AU57" s="220" t="s">
        <v>535</v>
      </c>
      <c r="AV57" s="220" t="s">
        <v>538</v>
      </c>
      <c r="AW57" s="220" t="s">
        <v>4732</v>
      </c>
      <c r="AX57" s="221"/>
      <c r="AY57" s="302"/>
      <c r="AZ57" s="302"/>
      <c r="BA57" s="221"/>
      <c r="BB57" s="221"/>
      <c r="BC57" s="221"/>
      <c r="BD57" s="221"/>
      <c r="BE57" s="221"/>
    </row>
    <row r="58" spans="2:57" x14ac:dyDescent="0.3">
      <c r="B58" s="288">
        <v>522192</v>
      </c>
      <c r="C58" s="220" t="s">
        <v>24</v>
      </c>
      <c r="D58" s="220"/>
      <c r="E58" s="220"/>
      <c r="F58" s="221">
        <v>5000000</v>
      </c>
      <c r="G58" s="221"/>
      <c r="H58" s="221"/>
      <c r="I58" s="221"/>
      <c r="J58" s="221"/>
      <c r="K58" s="221"/>
      <c r="L58" s="221"/>
      <c r="M58" s="221"/>
      <c r="N58" s="221"/>
      <c r="O58" s="302"/>
      <c r="P58" s="221"/>
      <c r="Q58" s="221"/>
      <c r="R58" s="221"/>
      <c r="S58" s="221"/>
      <c r="T58" s="221"/>
      <c r="U58" s="221"/>
      <c r="V58" s="221"/>
      <c r="W58" s="221"/>
      <c r="X58" s="221"/>
      <c r="Y58" s="221"/>
      <c r="Z58" s="221"/>
      <c r="AA58" s="221"/>
      <c r="AB58" s="221"/>
      <c r="AC58" s="221"/>
      <c r="AD58" s="221"/>
      <c r="AE58" s="221"/>
      <c r="AF58" s="221"/>
      <c r="AG58" s="221"/>
      <c r="AH58" s="221"/>
      <c r="AI58" s="221"/>
      <c r="AJ58" s="221"/>
      <c r="AK58" s="221"/>
      <c r="AL58" s="221"/>
      <c r="AM58" s="221"/>
      <c r="AN58" s="221"/>
      <c r="AO58" s="221"/>
      <c r="AP58" s="221"/>
      <c r="AQ58" s="221">
        <f t="shared" si="30"/>
        <v>0</v>
      </c>
      <c r="AR58" s="224">
        <f t="shared" si="59"/>
        <v>0</v>
      </c>
      <c r="AS58" s="225">
        <f t="shared" si="6"/>
        <v>5000000</v>
      </c>
      <c r="AT58" s="224">
        <f t="shared" si="9"/>
        <v>100</v>
      </c>
      <c r="AU58" s="220" t="s">
        <v>535</v>
      </c>
      <c r="AV58" s="220" t="s">
        <v>538</v>
      </c>
      <c r="AW58" s="220" t="s">
        <v>4732</v>
      </c>
      <c r="AX58" s="221"/>
      <c r="AY58" s="302"/>
      <c r="AZ58" s="302"/>
      <c r="BA58" s="221"/>
      <c r="BB58" s="221"/>
      <c r="BC58" s="221"/>
      <c r="BD58" s="221"/>
      <c r="BE58" s="221"/>
    </row>
    <row r="59" spans="2:57" x14ac:dyDescent="0.3">
      <c r="B59" s="288">
        <v>524111</v>
      </c>
      <c r="C59" s="220" t="s">
        <v>19</v>
      </c>
      <c r="D59" s="220"/>
      <c r="E59" s="220"/>
      <c r="F59" s="221">
        <v>97416000</v>
      </c>
      <c r="G59" s="221"/>
      <c r="H59" s="221"/>
      <c r="I59" s="221"/>
      <c r="J59" s="221"/>
      <c r="K59" s="221"/>
      <c r="L59" s="221"/>
      <c r="M59" s="221"/>
      <c r="N59" s="302">
        <v>11840000</v>
      </c>
      <c r="O59" s="302">
        <v>17010000</v>
      </c>
      <c r="P59" s="221">
        <v>6320000</v>
      </c>
      <c r="Q59" s="221"/>
      <c r="R59" s="221"/>
      <c r="S59" s="221"/>
      <c r="T59" s="221"/>
      <c r="U59" s="221"/>
      <c r="V59" s="221">
        <f>11343740+11404870</f>
        <v>22748610</v>
      </c>
      <c r="W59" s="221"/>
      <c r="X59" s="221"/>
      <c r="Y59" s="221"/>
      <c r="Z59" s="221"/>
      <c r="AA59" s="221"/>
      <c r="AB59" s="221"/>
      <c r="AC59" s="221"/>
      <c r="AD59" s="221"/>
      <c r="AE59" s="221"/>
      <c r="AF59" s="221"/>
      <c r="AG59" s="221"/>
      <c r="AH59" s="221"/>
      <c r="AI59" s="221"/>
      <c r="AJ59" s="221"/>
      <c r="AK59" s="221"/>
      <c r="AL59" s="221"/>
      <c r="AM59" s="221"/>
      <c r="AN59" s="221"/>
      <c r="AO59" s="221"/>
      <c r="AP59" s="221"/>
      <c r="AQ59" s="221">
        <f t="shared" si="30"/>
        <v>57918610</v>
      </c>
      <c r="AR59" s="224">
        <f t="shared" si="59"/>
        <v>5.9454925268949653E-3</v>
      </c>
      <c r="AS59" s="225">
        <f t="shared" si="6"/>
        <v>39497390</v>
      </c>
      <c r="AT59" s="224">
        <f t="shared" si="9"/>
        <v>40.545074731050342</v>
      </c>
      <c r="AU59" s="220" t="s">
        <v>535</v>
      </c>
      <c r="AV59" s="220" t="s">
        <v>538</v>
      </c>
      <c r="AW59" s="220" t="s">
        <v>4732</v>
      </c>
      <c r="AX59" s="221"/>
      <c r="AY59" s="302">
        <v>17010000</v>
      </c>
      <c r="AZ59" s="302">
        <v>11840000</v>
      </c>
      <c r="BA59" s="221"/>
      <c r="BB59" s="221"/>
      <c r="BC59" s="221"/>
      <c r="BD59" s="221"/>
      <c r="BE59" s="221"/>
    </row>
    <row r="60" spans="2:57" x14ac:dyDescent="0.3">
      <c r="B60" s="246" t="s">
        <v>69</v>
      </c>
      <c r="C60" s="247" t="s">
        <v>70</v>
      </c>
      <c r="D60" s="247"/>
      <c r="E60" s="247"/>
      <c r="F60" s="248">
        <f t="shared" ref="F60:AP60" si="76">F61+F204</f>
        <v>15863164000</v>
      </c>
      <c r="G60" s="248">
        <f t="shared" si="76"/>
        <v>0</v>
      </c>
      <c r="H60" s="248">
        <f t="shared" si="76"/>
        <v>0</v>
      </c>
      <c r="I60" s="248">
        <f t="shared" si="76"/>
        <v>0</v>
      </c>
      <c r="J60" s="248">
        <f t="shared" si="76"/>
        <v>74237800</v>
      </c>
      <c r="K60" s="248">
        <f t="shared" si="76"/>
        <v>0</v>
      </c>
      <c r="L60" s="248">
        <f t="shared" si="76"/>
        <v>0</v>
      </c>
      <c r="M60" s="248">
        <f t="shared" si="76"/>
        <v>63640000</v>
      </c>
      <c r="N60" s="248">
        <f t="shared" si="76"/>
        <v>167335190</v>
      </c>
      <c r="O60" s="248">
        <f t="shared" si="76"/>
        <v>320537487</v>
      </c>
      <c r="P60" s="248">
        <f t="shared" si="76"/>
        <v>1763177854</v>
      </c>
      <c r="Q60" s="248">
        <f t="shared" si="76"/>
        <v>95254996</v>
      </c>
      <c r="R60" s="248">
        <f t="shared" si="76"/>
        <v>0</v>
      </c>
      <c r="S60" s="248">
        <f t="shared" si="76"/>
        <v>757387100</v>
      </c>
      <c r="T60" s="248">
        <f t="shared" si="76"/>
        <v>179018093</v>
      </c>
      <c r="U60" s="248">
        <f t="shared" si="76"/>
        <v>235964831</v>
      </c>
      <c r="V60" s="248">
        <f t="shared" si="76"/>
        <v>2034687981</v>
      </c>
      <c r="W60" s="248">
        <f t="shared" si="76"/>
        <v>0</v>
      </c>
      <c r="X60" s="248">
        <f t="shared" si="76"/>
        <v>7559500</v>
      </c>
      <c r="Y60" s="248">
        <f t="shared" si="76"/>
        <v>0</v>
      </c>
      <c r="Z60" s="248">
        <f t="shared" si="76"/>
        <v>0</v>
      </c>
      <c r="AA60" s="248">
        <f t="shared" si="76"/>
        <v>0</v>
      </c>
      <c r="AB60" s="248">
        <f t="shared" si="76"/>
        <v>0</v>
      </c>
      <c r="AC60" s="248">
        <f t="shared" si="76"/>
        <v>0</v>
      </c>
      <c r="AD60" s="248">
        <f t="shared" si="76"/>
        <v>0</v>
      </c>
      <c r="AE60" s="248">
        <f t="shared" si="76"/>
        <v>0</v>
      </c>
      <c r="AF60" s="248">
        <f t="shared" si="76"/>
        <v>0</v>
      </c>
      <c r="AG60" s="248">
        <f t="shared" si="76"/>
        <v>0</v>
      </c>
      <c r="AH60" s="248">
        <f t="shared" si="76"/>
        <v>0</v>
      </c>
      <c r="AI60" s="248">
        <f t="shared" si="76"/>
        <v>0</v>
      </c>
      <c r="AJ60" s="248">
        <f t="shared" si="76"/>
        <v>0</v>
      </c>
      <c r="AK60" s="248">
        <f t="shared" si="76"/>
        <v>0</v>
      </c>
      <c r="AL60" s="248">
        <f t="shared" si="76"/>
        <v>0</v>
      </c>
      <c r="AM60" s="248">
        <f t="shared" si="76"/>
        <v>0</v>
      </c>
      <c r="AN60" s="248">
        <f t="shared" si="76"/>
        <v>0</v>
      </c>
      <c r="AO60" s="248">
        <f t="shared" si="76"/>
        <v>0</v>
      </c>
      <c r="AP60" s="248">
        <f t="shared" si="76"/>
        <v>0</v>
      </c>
      <c r="AQ60" s="248">
        <f>SUM(G60:AP60)</f>
        <v>5698800832</v>
      </c>
      <c r="AR60" s="249">
        <f t="shared" si="59"/>
        <v>3.5924742579727473E-3</v>
      </c>
      <c r="AS60" s="250">
        <f t="shared" ref="AS60:AS64" si="77">F60-AQ60</f>
        <v>10164363168</v>
      </c>
      <c r="AT60" s="249">
        <f t="shared" ref="AT60:AT65" si="78">AS60/F60*100</f>
        <v>64.075257420272521</v>
      </c>
      <c r="AU60" s="220"/>
      <c r="AV60" s="220"/>
      <c r="AW60" s="220" t="s">
        <v>4732</v>
      </c>
      <c r="AX60" s="248">
        <f>AX61+AX204</f>
        <v>99961115</v>
      </c>
      <c r="AY60" s="248">
        <f>AY61+AY204</f>
        <v>320537487</v>
      </c>
      <c r="AZ60" s="248">
        <f>AZ61+AZ204</f>
        <v>67374075</v>
      </c>
      <c r="BA60" s="248">
        <f>BA61+BA204</f>
        <v>95254996</v>
      </c>
      <c r="BB60" s="248">
        <f t="shared" ref="BB60" si="79">BB61+BB204</f>
        <v>93939616</v>
      </c>
      <c r="BC60" s="248">
        <f t="shared" ref="BC60:BD60" si="80">BC61+BC204</f>
        <v>85078477</v>
      </c>
      <c r="BD60" s="248">
        <f t="shared" si="80"/>
        <v>235964831</v>
      </c>
      <c r="BE60" s="248">
        <f t="shared" ref="BE60" si="81">BE61+BE204</f>
        <v>7559500</v>
      </c>
    </row>
    <row r="61" spans="2:57" x14ac:dyDescent="0.3">
      <c r="B61" s="240">
        <v>2378</v>
      </c>
      <c r="C61" s="241" t="s">
        <v>71</v>
      </c>
      <c r="D61" s="241"/>
      <c r="E61" s="241"/>
      <c r="F61" s="242">
        <f t="shared" ref="F61:AP61" si="82">F62+F67+F141+F146</f>
        <v>7280664000</v>
      </c>
      <c r="G61" s="242">
        <f t="shared" si="82"/>
        <v>0</v>
      </c>
      <c r="H61" s="242">
        <f t="shared" si="82"/>
        <v>0</v>
      </c>
      <c r="I61" s="242">
        <f t="shared" si="82"/>
        <v>0</v>
      </c>
      <c r="J61" s="242">
        <f t="shared" si="82"/>
        <v>74237800</v>
      </c>
      <c r="K61" s="242">
        <f t="shared" si="82"/>
        <v>0</v>
      </c>
      <c r="L61" s="242">
        <f t="shared" si="82"/>
        <v>0</v>
      </c>
      <c r="M61" s="242">
        <f t="shared" si="82"/>
        <v>63640000</v>
      </c>
      <c r="N61" s="242">
        <f t="shared" si="82"/>
        <v>167335190</v>
      </c>
      <c r="O61" s="242">
        <f t="shared" si="82"/>
        <v>320537487</v>
      </c>
      <c r="P61" s="242">
        <f t="shared" si="82"/>
        <v>207482498</v>
      </c>
      <c r="Q61" s="242">
        <f t="shared" si="82"/>
        <v>95254996</v>
      </c>
      <c r="R61" s="242">
        <f t="shared" si="82"/>
        <v>0</v>
      </c>
      <c r="S61" s="242">
        <f t="shared" si="82"/>
        <v>757387100</v>
      </c>
      <c r="T61" s="242">
        <f t="shared" si="82"/>
        <v>179018093</v>
      </c>
      <c r="U61" s="242">
        <f t="shared" si="82"/>
        <v>198072198</v>
      </c>
      <c r="V61" s="242">
        <f t="shared" si="82"/>
        <v>154451558</v>
      </c>
      <c r="W61" s="242">
        <f t="shared" si="82"/>
        <v>0</v>
      </c>
      <c r="X61" s="242">
        <f t="shared" si="82"/>
        <v>4670000</v>
      </c>
      <c r="Y61" s="242">
        <f t="shared" si="82"/>
        <v>0</v>
      </c>
      <c r="Z61" s="242">
        <f t="shared" si="82"/>
        <v>0</v>
      </c>
      <c r="AA61" s="242">
        <f t="shared" si="82"/>
        <v>0</v>
      </c>
      <c r="AB61" s="242">
        <f t="shared" si="82"/>
        <v>0</v>
      </c>
      <c r="AC61" s="242">
        <f t="shared" si="82"/>
        <v>0</v>
      </c>
      <c r="AD61" s="242">
        <f t="shared" si="82"/>
        <v>0</v>
      </c>
      <c r="AE61" s="242">
        <f t="shared" si="82"/>
        <v>0</v>
      </c>
      <c r="AF61" s="242">
        <f t="shared" si="82"/>
        <v>0</v>
      </c>
      <c r="AG61" s="242">
        <f t="shared" si="82"/>
        <v>0</v>
      </c>
      <c r="AH61" s="242">
        <f t="shared" si="82"/>
        <v>0</v>
      </c>
      <c r="AI61" s="242">
        <f t="shared" si="82"/>
        <v>0</v>
      </c>
      <c r="AJ61" s="242">
        <f t="shared" si="82"/>
        <v>0</v>
      </c>
      <c r="AK61" s="242">
        <f t="shared" si="82"/>
        <v>0</v>
      </c>
      <c r="AL61" s="242">
        <f t="shared" si="82"/>
        <v>0</v>
      </c>
      <c r="AM61" s="242">
        <f t="shared" si="82"/>
        <v>0</v>
      </c>
      <c r="AN61" s="242">
        <f t="shared" si="82"/>
        <v>0</v>
      </c>
      <c r="AO61" s="242">
        <f t="shared" si="82"/>
        <v>0</v>
      </c>
      <c r="AP61" s="242">
        <f t="shared" si="82"/>
        <v>0</v>
      </c>
      <c r="AQ61" s="242">
        <f t="shared" si="30"/>
        <v>2222086920</v>
      </c>
      <c r="AR61" s="243">
        <f t="shared" si="59"/>
        <v>3.0520388250302442E-3</v>
      </c>
      <c r="AS61" s="244">
        <f t="shared" si="77"/>
        <v>5058577080</v>
      </c>
      <c r="AT61" s="243">
        <f t="shared" si="78"/>
        <v>69.479611749697554</v>
      </c>
      <c r="AU61" s="220"/>
      <c r="AV61" s="220"/>
      <c r="AW61" s="220" t="s">
        <v>4732</v>
      </c>
      <c r="AX61" s="242">
        <f>AX62+AX67+AX141+AX146</f>
        <v>99961115</v>
      </c>
      <c r="AY61" s="242">
        <f>AY62+AY67+AY141+AY146</f>
        <v>320537487</v>
      </c>
      <c r="AZ61" s="242">
        <f>AZ62+AZ67+AZ141+AZ146</f>
        <v>67374075</v>
      </c>
      <c r="BA61" s="242">
        <f>BA62+BA67+BA141+BA146</f>
        <v>95254996</v>
      </c>
      <c r="BB61" s="242">
        <f t="shared" ref="BB61" si="83">BB62+BB67+BB141+BB146</f>
        <v>93939616</v>
      </c>
      <c r="BC61" s="242">
        <f t="shared" ref="BC61:BD61" si="84">BC62+BC67+BC141+BC146</f>
        <v>85078477</v>
      </c>
      <c r="BD61" s="242">
        <f t="shared" si="84"/>
        <v>198072198</v>
      </c>
      <c r="BE61" s="242">
        <f t="shared" ref="BE61" si="85">BE62+BE67+BE141+BE146</f>
        <v>4670000</v>
      </c>
    </row>
    <row r="62" spans="2:57" x14ac:dyDescent="0.3">
      <c r="B62" s="236" t="s">
        <v>820</v>
      </c>
      <c r="C62" s="237" t="s">
        <v>821</v>
      </c>
      <c r="D62" s="237">
        <v>1</v>
      </c>
      <c r="E62" s="237" t="s">
        <v>42</v>
      </c>
      <c r="F62" s="235">
        <f t="shared" ref="F62:U64" si="86">F63</f>
        <v>115000000</v>
      </c>
      <c r="G62" s="235">
        <f t="shared" si="86"/>
        <v>0</v>
      </c>
      <c r="H62" s="235">
        <f t="shared" si="86"/>
        <v>0</v>
      </c>
      <c r="I62" s="235">
        <f t="shared" si="86"/>
        <v>0</v>
      </c>
      <c r="J62" s="235">
        <f t="shared" si="86"/>
        <v>0</v>
      </c>
      <c r="K62" s="235">
        <f t="shared" si="86"/>
        <v>0</v>
      </c>
      <c r="L62" s="235">
        <f t="shared" si="86"/>
        <v>0</v>
      </c>
      <c r="M62" s="235">
        <f t="shared" si="86"/>
        <v>0</v>
      </c>
      <c r="N62" s="235">
        <f t="shared" si="86"/>
        <v>0</v>
      </c>
      <c r="O62" s="235">
        <f t="shared" si="86"/>
        <v>0</v>
      </c>
      <c r="P62" s="235">
        <f t="shared" si="86"/>
        <v>0</v>
      </c>
      <c r="Q62" s="235">
        <f t="shared" si="86"/>
        <v>0</v>
      </c>
      <c r="R62" s="235">
        <f t="shared" si="86"/>
        <v>0</v>
      </c>
      <c r="S62" s="235">
        <f t="shared" si="86"/>
        <v>114200000</v>
      </c>
      <c r="T62" s="235">
        <f t="shared" si="86"/>
        <v>0</v>
      </c>
      <c r="U62" s="235">
        <f t="shared" si="86"/>
        <v>0</v>
      </c>
      <c r="V62" s="235">
        <f t="shared" ref="G62:AP64" si="87">V63</f>
        <v>0</v>
      </c>
      <c r="W62" s="235">
        <f t="shared" si="87"/>
        <v>0</v>
      </c>
      <c r="X62" s="235">
        <f t="shared" si="87"/>
        <v>0</v>
      </c>
      <c r="Y62" s="235">
        <f t="shared" si="87"/>
        <v>0</v>
      </c>
      <c r="Z62" s="235">
        <f t="shared" si="87"/>
        <v>0</v>
      </c>
      <c r="AA62" s="235">
        <f t="shared" si="87"/>
        <v>0</v>
      </c>
      <c r="AB62" s="235">
        <f t="shared" si="87"/>
        <v>0</v>
      </c>
      <c r="AC62" s="235">
        <f t="shared" si="87"/>
        <v>0</v>
      </c>
      <c r="AD62" s="235">
        <f t="shared" si="87"/>
        <v>0</v>
      </c>
      <c r="AE62" s="235">
        <f t="shared" si="87"/>
        <v>0</v>
      </c>
      <c r="AF62" s="235">
        <f t="shared" si="87"/>
        <v>0</v>
      </c>
      <c r="AG62" s="235">
        <f t="shared" si="87"/>
        <v>0</v>
      </c>
      <c r="AH62" s="235">
        <f t="shared" si="87"/>
        <v>0</v>
      </c>
      <c r="AI62" s="235">
        <f t="shared" si="87"/>
        <v>0</v>
      </c>
      <c r="AJ62" s="235">
        <f t="shared" si="87"/>
        <v>0</v>
      </c>
      <c r="AK62" s="235">
        <f t="shared" si="87"/>
        <v>0</v>
      </c>
      <c r="AL62" s="235">
        <f t="shared" si="87"/>
        <v>0</v>
      </c>
      <c r="AM62" s="235">
        <f t="shared" si="87"/>
        <v>0</v>
      </c>
      <c r="AN62" s="235">
        <f t="shared" si="87"/>
        <v>0</v>
      </c>
      <c r="AO62" s="235">
        <f t="shared" si="87"/>
        <v>0</v>
      </c>
      <c r="AP62" s="235">
        <f t="shared" si="87"/>
        <v>0</v>
      </c>
      <c r="AQ62" s="235">
        <f t="shared" si="30"/>
        <v>114200000</v>
      </c>
      <c r="AR62" s="238">
        <f t="shared" si="59"/>
        <v>9.930434782608695E-3</v>
      </c>
      <c r="AS62" s="239">
        <f t="shared" si="77"/>
        <v>800000</v>
      </c>
      <c r="AT62" s="238">
        <f t="shared" si="78"/>
        <v>0.69565217391304346</v>
      </c>
      <c r="AU62" s="220" t="s">
        <v>576</v>
      </c>
      <c r="AV62" s="220" t="s">
        <v>560</v>
      </c>
      <c r="AW62" s="220" t="s">
        <v>4836</v>
      </c>
      <c r="AX62" s="235">
        <f t="shared" ref="AX62:BE64" si="88">AX63</f>
        <v>0</v>
      </c>
      <c r="AY62" s="235">
        <f t="shared" si="88"/>
        <v>0</v>
      </c>
      <c r="AZ62" s="235">
        <f t="shared" si="88"/>
        <v>0</v>
      </c>
      <c r="BA62" s="235">
        <f t="shared" si="88"/>
        <v>0</v>
      </c>
      <c r="BB62" s="235">
        <f t="shared" si="88"/>
        <v>0</v>
      </c>
      <c r="BC62" s="235">
        <f t="shared" si="88"/>
        <v>0</v>
      </c>
      <c r="BD62" s="235">
        <f t="shared" si="88"/>
        <v>0</v>
      </c>
      <c r="BE62" s="235">
        <f t="shared" si="88"/>
        <v>0</v>
      </c>
    </row>
    <row r="63" spans="2:57" x14ac:dyDescent="0.3">
      <c r="B63" s="226" t="s">
        <v>3737</v>
      </c>
      <c r="C63" s="227" t="s">
        <v>824</v>
      </c>
      <c r="D63" s="227">
        <v>1</v>
      </c>
      <c r="E63" s="227" t="s">
        <v>42</v>
      </c>
      <c r="F63" s="228">
        <f t="shared" si="86"/>
        <v>115000000</v>
      </c>
      <c r="G63" s="228">
        <f t="shared" si="87"/>
        <v>0</v>
      </c>
      <c r="H63" s="228">
        <f t="shared" si="87"/>
        <v>0</v>
      </c>
      <c r="I63" s="228">
        <f t="shared" si="87"/>
        <v>0</v>
      </c>
      <c r="J63" s="228">
        <f t="shared" si="87"/>
        <v>0</v>
      </c>
      <c r="K63" s="228">
        <f t="shared" si="87"/>
        <v>0</v>
      </c>
      <c r="L63" s="228">
        <f t="shared" si="87"/>
        <v>0</v>
      </c>
      <c r="M63" s="228">
        <f t="shared" si="87"/>
        <v>0</v>
      </c>
      <c r="N63" s="228">
        <f t="shared" si="87"/>
        <v>0</v>
      </c>
      <c r="O63" s="228">
        <f t="shared" si="87"/>
        <v>0</v>
      </c>
      <c r="P63" s="228">
        <f t="shared" si="87"/>
        <v>0</v>
      </c>
      <c r="Q63" s="228">
        <f t="shared" si="87"/>
        <v>0</v>
      </c>
      <c r="R63" s="228">
        <f t="shared" si="87"/>
        <v>0</v>
      </c>
      <c r="S63" s="228">
        <f t="shared" si="87"/>
        <v>114200000</v>
      </c>
      <c r="T63" s="228">
        <f t="shared" si="87"/>
        <v>0</v>
      </c>
      <c r="U63" s="228">
        <f t="shared" si="87"/>
        <v>0</v>
      </c>
      <c r="V63" s="228">
        <f t="shared" si="87"/>
        <v>0</v>
      </c>
      <c r="W63" s="228">
        <f t="shared" si="87"/>
        <v>0</v>
      </c>
      <c r="X63" s="228">
        <f t="shared" si="87"/>
        <v>0</v>
      </c>
      <c r="Y63" s="228">
        <f t="shared" si="87"/>
        <v>0</v>
      </c>
      <c r="Z63" s="228">
        <f t="shared" si="87"/>
        <v>0</v>
      </c>
      <c r="AA63" s="228">
        <f t="shared" si="87"/>
        <v>0</v>
      </c>
      <c r="AB63" s="228">
        <f t="shared" si="87"/>
        <v>0</v>
      </c>
      <c r="AC63" s="228">
        <f t="shared" si="87"/>
        <v>0</v>
      </c>
      <c r="AD63" s="228">
        <f t="shared" si="87"/>
        <v>0</v>
      </c>
      <c r="AE63" s="228">
        <f t="shared" si="87"/>
        <v>0</v>
      </c>
      <c r="AF63" s="228">
        <f t="shared" si="87"/>
        <v>0</v>
      </c>
      <c r="AG63" s="228">
        <f t="shared" si="87"/>
        <v>0</v>
      </c>
      <c r="AH63" s="228">
        <f t="shared" si="87"/>
        <v>0</v>
      </c>
      <c r="AI63" s="228">
        <f t="shared" si="87"/>
        <v>0</v>
      </c>
      <c r="AJ63" s="228">
        <f t="shared" si="87"/>
        <v>0</v>
      </c>
      <c r="AK63" s="228">
        <f t="shared" si="87"/>
        <v>0</v>
      </c>
      <c r="AL63" s="228">
        <f t="shared" si="87"/>
        <v>0</v>
      </c>
      <c r="AM63" s="228">
        <f t="shared" si="87"/>
        <v>0</v>
      </c>
      <c r="AN63" s="228">
        <f t="shared" si="87"/>
        <v>0</v>
      </c>
      <c r="AO63" s="228">
        <f t="shared" si="87"/>
        <v>0</v>
      </c>
      <c r="AP63" s="228">
        <f t="shared" si="87"/>
        <v>0</v>
      </c>
      <c r="AQ63" s="228">
        <f t="shared" si="30"/>
        <v>114200000</v>
      </c>
      <c r="AR63" s="229">
        <f t="shared" si="59"/>
        <v>9.930434782608695E-3</v>
      </c>
      <c r="AS63" s="230">
        <f t="shared" si="77"/>
        <v>800000</v>
      </c>
      <c r="AT63" s="229">
        <f t="shared" si="78"/>
        <v>0.69565217391304346</v>
      </c>
      <c r="AU63" s="220" t="s">
        <v>576</v>
      </c>
      <c r="AV63" s="220" t="s">
        <v>560</v>
      </c>
      <c r="AW63" s="220" t="s">
        <v>4836</v>
      </c>
      <c r="AX63" s="228">
        <f t="shared" si="88"/>
        <v>0</v>
      </c>
      <c r="AY63" s="228">
        <f t="shared" si="88"/>
        <v>0</v>
      </c>
      <c r="AZ63" s="228">
        <f t="shared" si="88"/>
        <v>0</v>
      </c>
      <c r="BA63" s="228">
        <f t="shared" si="88"/>
        <v>0</v>
      </c>
      <c r="BB63" s="228">
        <f t="shared" si="88"/>
        <v>0</v>
      </c>
      <c r="BC63" s="228">
        <f t="shared" si="88"/>
        <v>0</v>
      </c>
      <c r="BD63" s="228">
        <f t="shared" si="88"/>
        <v>0</v>
      </c>
      <c r="BE63" s="228">
        <f t="shared" si="88"/>
        <v>0</v>
      </c>
    </row>
    <row r="64" spans="2:57" x14ac:dyDescent="0.3">
      <c r="B64" s="226">
        <v>301</v>
      </c>
      <c r="C64" s="227" t="s">
        <v>834</v>
      </c>
      <c r="D64" s="227"/>
      <c r="E64" s="227"/>
      <c r="F64" s="228">
        <f t="shared" si="86"/>
        <v>115000000</v>
      </c>
      <c r="G64" s="228">
        <f t="shared" si="87"/>
        <v>0</v>
      </c>
      <c r="H64" s="228">
        <f t="shared" si="87"/>
        <v>0</v>
      </c>
      <c r="I64" s="228">
        <f t="shared" si="87"/>
        <v>0</v>
      </c>
      <c r="J64" s="228">
        <f t="shared" si="87"/>
        <v>0</v>
      </c>
      <c r="K64" s="228">
        <f t="shared" si="87"/>
        <v>0</v>
      </c>
      <c r="L64" s="228">
        <f t="shared" si="87"/>
        <v>0</v>
      </c>
      <c r="M64" s="228">
        <f t="shared" si="87"/>
        <v>0</v>
      </c>
      <c r="N64" s="228">
        <f t="shared" si="87"/>
        <v>0</v>
      </c>
      <c r="O64" s="228">
        <f t="shared" si="87"/>
        <v>0</v>
      </c>
      <c r="P64" s="228">
        <f t="shared" si="87"/>
        <v>0</v>
      </c>
      <c r="Q64" s="228">
        <f t="shared" si="87"/>
        <v>0</v>
      </c>
      <c r="R64" s="228">
        <f t="shared" si="87"/>
        <v>0</v>
      </c>
      <c r="S64" s="228">
        <f t="shared" si="87"/>
        <v>114200000</v>
      </c>
      <c r="T64" s="228">
        <f t="shared" si="87"/>
        <v>0</v>
      </c>
      <c r="U64" s="228">
        <f t="shared" si="87"/>
        <v>0</v>
      </c>
      <c r="V64" s="228">
        <f t="shared" si="87"/>
        <v>0</v>
      </c>
      <c r="W64" s="228">
        <f t="shared" si="87"/>
        <v>0</v>
      </c>
      <c r="X64" s="228">
        <f t="shared" si="87"/>
        <v>0</v>
      </c>
      <c r="Y64" s="228">
        <f t="shared" si="87"/>
        <v>0</v>
      </c>
      <c r="Z64" s="228">
        <f t="shared" si="87"/>
        <v>0</v>
      </c>
      <c r="AA64" s="228">
        <f t="shared" si="87"/>
        <v>0</v>
      </c>
      <c r="AB64" s="228">
        <f t="shared" si="87"/>
        <v>0</v>
      </c>
      <c r="AC64" s="228">
        <f t="shared" si="87"/>
        <v>0</v>
      </c>
      <c r="AD64" s="228">
        <f t="shared" si="87"/>
        <v>0</v>
      </c>
      <c r="AE64" s="228">
        <f t="shared" si="87"/>
        <v>0</v>
      </c>
      <c r="AF64" s="228">
        <f t="shared" si="87"/>
        <v>0</v>
      </c>
      <c r="AG64" s="228">
        <f t="shared" si="87"/>
        <v>0</v>
      </c>
      <c r="AH64" s="228">
        <f t="shared" si="87"/>
        <v>0</v>
      </c>
      <c r="AI64" s="228">
        <f t="shared" si="87"/>
        <v>0</v>
      </c>
      <c r="AJ64" s="228">
        <f t="shared" si="87"/>
        <v>0</v>
      </c>
      <c r="AK64" s="228">
        <f t="shared" si="87"/>
        <v>0</v>
      </c>
      <c r="AL64" s="228">
        <f t="shared" si="87"/>
        <v>0</v>
      </c>
      <c r="AM64" s="228">
        <f t="shared" si="87"/>
        <v>0</v>
      </c>
      <c r="AN64" s="228">
        <f t="shared" si="87"/>
        <v>0</v>
      </c>
      <c r="AO64" s="228">
        <f t="shared" si="87"/>
        <v>0</v>
      </c>
      <c r="AP64" s="228">
        <f t="shared" si="87"/>
        <v>0</v>
      </c>
      <c r="AQ64" s="228">
        <f t="shared" si="30"/>
        <v>114200000</v>
      </c>
      <c r="AR64" s="229">
        <f t="shared" si="59"/>
        <v>9.930434782608695E-3</v>
      </c>
      <c r="AS64" s="230">
        <f t="shared" si="77"/>
        <v>800000</v>
      </c>
      <c r="AT64" s="229">
        <f t="shared" si="78"/>
        <v>0.69565217391304346</v>
      </c>
      <c r="AU64" s="220" t="s">
        <v>576</v>
      </c>
      <c r="AV64" s="220" t="s">
        <v>560</v>
      </c>
      <c r="AW64" s="220" t="s">
        <v>4836</v>
      </c>
      <c r="AX64" s="228">
        <f t="shared" si="88"/>
        <v>0</v>
      </c>
      <c r="AY64" s="228">
        <f t="shared" si="88"/>
        <v>0</v>
      </c>
      <c r="AZ64" s="228">
        <f t="shared" si="88"/>
        <v>0</v>
      </c>
      <c r="BA64" s="228">
        <f t="shared" si="88"/>
        <v>0</v>
      </c>
      <c r="BB64" s="228">
        <f t="shared" si="88"/>
        <v>0</v>
      </c>
      <c r="BC64" s="228">
        <f t="shared" si="88"/>
        <v>0</v>
      </c>
      <c r="BD64" s="228">
        <f t="shared" si="88"/>
        <v>0</v>
      </c>
      <c r="BE64" s="228">
        <f t="shared" si="88"/>
        <v>0</v>
      </c>
    </row>
    <row r="65" spans="2:57" x14ac:dyDescent="0.3">
      <c r="B65" s="290" t="s">
        <v>8</v>
      </c>
      <c r="C65" s="222" t="s">
        <v>836</v>
      </c>
      <c r="D65" s="222"/>
      <c r="E65" s="222"/>
      <c r="F65" s="223">
        <f>SUM(F66)</f>
        <v>115000000</v>
      </c>
      <c r="G65" s="223">
        <f t="shared" ref="G65:AP65" si="89">SUM(G66)</f>
        <v>0</v>
      </c>
      <c r="H65" s="223">
        <f t="shared" si="89"/>
        <v>0</v>
      </c>
      <c r="I65" s="223">
        <f t="shared" si="89"/>
        <v>0</v>
      </c>
      <c r="J65" s="223">
        <f t="shared" si="89"/>
        <v>0</v>
      </c>
      <c r="K65" s="223">
        <f t="shared" si="89"/>
        <v>0</v>
      </c>
      <c r="L65" s="223">
        <f t="shared" si="89"/>
        <v>0</v>
      </c>
      <c r="M65" s="223">
        <f t="shared" si="89"/>
        <v>0</v>
      </c>
      <c r="N65" s="223">
        <f t="shared" si="89"/>
        <v>0</v>
      </c>
      <c r="O65" s="223">
        <f t="shared" si="89"/>
        <v>0</v>
      </c>
      <c r="P65" s="223">
        <f t="shared" si="89"/>
        <v>0</v>
      </c>
      <c r="Q65" s="223">
        <f t="shared" si="89"/>
        <v>0</v>
      </c>
      <c r="R65" s="223">
        <f t="shared" si="89"/>
        <v>0</v>
      </c>
      <c r="S65" s="223">
        <f t="shared" si="89"/>
        <v>114200000</v>
      </c>
      <c r="T65" s="223">
        <f t="shared" si="89"/>
        <v>0</v>
      </c>
      <c r="U65" s="223">
        <f t="shared" si="89"/>
        <v>0</v>
      </c>
      <c r="V65" s="223">
        <f t="shared" si="89"/>
        <v>0</v>
      </c>
      <c r="W65" s="223">
        <f t="shared" si="89"/>
        <v>0</v>
      </c>
      <c r="X65" s="223">
        <f t="shared" si="89"/>
        <v>0</v>
      </c>
      <c r="Y65" s="223">
        <f t="shared" si="89"/>
        <v>0</v>
      </c>
      <c r="Z65" s="223">
        <f t="shared" si="89"/>
        <v>0</v>
      </c>
      <c r="AA65" s="223">
        <f t="shared" si="89"/>
        <v>0</v>
      </c>
      <c r="AB65" s="223">
        <f t="shared" si="89"/>
        <v>0</v>
      </c>
      <c r="AC65" s="223">
        <f t="shared" si="89"/>
        <v>0</v>
      </c>
      <c r="AD65" s="223">
        <f t="shared" si="89"/>
        <v>0</v>
      </c>
      <c r="AE65" s="223">
        <f t="shared" si="89"/>
        <v>0</v>
      </c>
      <c r="AF65" s="223">
        <f t="shared" si="89"/>
        <v>0</v>
      </c>
      <c r="AG65" s="223">
        <f t="shared" si="89"/>
        <v>0</v>
      </c>
      <c r="AH65" s="223">
        <f t="shared" si="89"/>
        <v>0</v>
      </c>
      <c r="AI65" s="223">
        <f t="shared" si="89"/>
        <v>0</v>
      </c>
      <c r="AJ65" s="223">
        <f t="shared" si="89"/>
        <v>0</v>
      </c>
      <c r="AK65" s="223">
        <f t="shared" si="89"/>
        <v>0</v>
      </c>
      <c r="AL65" s="223">
        <f t="shared" si="89"/>
        <v>0</v>
      </c>
      <c r="AM65" s="223">
        <f t="shared" si="89"/>
        <v>0</v>
      </c>
      <c r="AN65" s="223">
        <f t="shared" si="89"/>
        <v>0</v>
      </c>
      <c r="AO65" s="223">
        <f t="shared" si="89"/>
        <v>0</v>
      </c>
      <c r="AP65" s="223">
        <f t="shared" si="89"/>
        <v>0</v>
      </c>
      <c r="AQ65" s="223">
        <f t="shared" si="30"/>
        <v>114200000</v>
      </c>
      <c r="AR65" s="231">
        <f t="shared" si="59"/>
        <v>9.930434782608695E-3</v>
      </c>
      <c r="AS65" s="232">
        <f>F65-AQ65</f>
        <v>800000</v>
      </c>
      <c r="AT65" s="231">
        <f t="shared" si="78"/>
        <v>0.69565217391304346</v>
      </c>
      <c r="AU65" s="220" t="s">
        <v>576</v>
      </c>
      <c r="AV65" s="220" t="s">
        <v>560</v>
      </c>
      <c r="AW65" s="220" t="s">
        <v>4836</v>
      </c>
      <c r="AX65" s="223">
        <f t="shared" ref="AX65:BE65" si="90">SUM(AX66)</f>
        <v>0</v>
      </c>
      <c r="AY65" s="223">
        <f t="shared" si="90"/>
        <v>0</v>
      </c>
      <c r="AZ65" s="223">
        <f t="shared" si="90"/>
        <v>0</v>
      </c>
      <c r="BA65" s="223">
        <f t="shared" si="90"/>
        <v>0</v>
      </c>
      <c r="BB65" s="223">
        <f t="shared" si="90"/>
        <v>0</v>
      </c>
      <c r="BC65" s="223">
        <f t="shared" si="90"/>
        <v>0</v>
      </c>
      <c r="BD65" s="223">
        <f t="shared" si="90"/>
        <v>0</v>
      </c>
      <c r="BE65" s="223">
        <f t="shared" si="90"/>
        <v>0</v>
      </c>
    </row>
    <row r="66" spans="2:57" x14ac:dyDescent="0.3">
      <c r="B66" s="288">
        <v>532111</v>
      </c>
      <c r="C66" s="220" t="s">
        <v>43</v>
      </c>
      <c r="D66" s="220"/>
      <c r="E66" s="220"/>
      <c r="F66" s="221">
        <v>115000000</v>
      </c>
      <c r="G66" s="221"/>
      <c r="H66" s="221"/>
      <c r="I66" s="221"/>
      <c r="J66" s="221"/>
      <c r="K66" s="221"/>
      <c r="L66" s="221"/>
      <c r="M66" s="221"/>
      <c r="N66" s="221"/>
      <c r="O66" s="221"/>
      <c r="P66" s="221"/>
      <c r="Q66" s="221"/>
      <c r="R66" s="221"/>
      <c r="S66" s="221">
        <v>114200000</v>
      </c>
      <c r="T66" s="221"/>
      <c r="U66" s="221"/>
      <c r="V66" s="221"/>
      <c r="W66" s="221"/>
      <c r="X66" s="221"/>
      <c r="Y66" s="221"/>
      <c r="Z66" s="221"/>
      <c r="AA66" s="221"/>
      <c r="AB66" s="221"/>
      <c r="AC66" s="221"/>
      <c r="AD66" s="221"/>
      <c r="AE66" s="221"/>
      <c r="AF66" s="221"/>
      <c r="AG66" s="221"/>
      <c r="AH66" s="221"/>
      <c r="AI66" s="221"/>
      <c r="AJ66" s="221"/>
      <c r="AK66" s="221"/>
      <c r="AL66" s="221"/>
      <c r="AM66" s="221"/>
      <c r="AN66" s="221"/>
      <c r="AO66" s="221"/>
      <c r="AP66" s="221"/>
      <c r="AQ66" s="221">
        <f t="shared" si="30"/>
        <v>114200000</v>
      </c>
      <c r="AR66" s="224">
        <f t="shared" si="59"/>
        <v>9.930434782608695E-3</v>
      </c>
      <c r="AS66" s="225">
        <f>F66-AQ66</f>
        <v>800000</v>
      </c>
      <c r="AT66" s="224">
        <f t="shared" si="9"/>
        <v>0.69565217391304346</v>
      </c>
      <c r="AU66" s="220" t="s">
        <v>576</v>
      </c>
      <c r="AV66" s="220" t="s">
        <v>560</v>
      </c>
      <c r="AW66" s="220" t="s">
        <v>4836</v>
      </c>
      <c r="AX66" s="221"/>
      <c r="AY66" s="221"/>
      <c r="AZ66" s="302"/>
      <c r="BA66" s="221"/>
      <c r="BB66" s="221"/>
      <c r="BC66" s="221"/>
      <c r="BD66" s="221"/>
      <c r="BE66" s="221"/>
    </row>
    <row r="67" spans="2:57" x14ac:dyDescent="0.3">
      <c r="B67" s="236" t="s">
        <v>841</v>
      </c>
      <c r="C67" s="237" t="s">
        <v>842</v>
      </c>
      <c r="D67" s="237">
        <v>9</v>
      </c>
      <c r="E67" s="237" t="s">
        <v>3740</v>
      </c>
      <c r="F67" s="235">
        <f t="shared" ref="F67:AP67" si="91">F68+F76+F123</f>
        <v>5085940000</v>
      </c>
      <c r="G67" s="235">
        <f t="shared" si="91"/>
        <v>0</v>
      </c>
      <c r="H67" s="235">
        <f t="shared" si="91"/>
        <v>0</v>
      </c>
      <c r="I67" s="235">
        <f t="shared" si="91"/>
        <v>0</v>
      </c>
      <c r="J67" s="235">
        <f t="shared" si="91"/>
        <v>63640000</v>
      </c>
      <c r="K67" s="235">
        <f t="shared" si="91"/>
        <v>0</v>
      </c>
      <c r="L67" s="235">
        <f t="shared" si="91"/>
        <v>0</v>
      </c>
      <c r="M67" s="235">
        <f t="shared" si="91"/>
        <v>63640000</v>
      </c>
      <c r="N67" s="235">
        <f t="shared" si="91"/>
        <v>136990690</v>
      </c>
      <c r="O67" s="235">
        <f t="shared" si="91"/>
        <v>226935794</v>
      </c>
      <c r="P67" s="235">
        <f t="shared" si="91"/>
        <v>184892998</v>
      </c>
      <c r="Q67" s="235">
        <f t="shared" si="91"/>
        <v>75325796</v>
      </c>
      <c r="R67" s="235">
        <f t="shared" si="91"/>
        <v>0</v>
      </c>
      <c r="S67" s="235">
        <f t="shared" si="91"/>
        <v>94014600</v>
      </c>
      <c r="T67" s="235">
        <f t="shared" si="91"/>
        <v>158835210</v>
      </c>
      <c r="U67" s="235">
        <f t="shared" si="91"/>
        <v>115921543</v>
      </c>
      <c r="V67" s="235">
        <f t="shared" si="91"/>
        <v>103366027</v>
      </c>
      <c r="W67" s="235">
        <f t="shared" si="91"/>
        <v>0</v>
      </c>
      <c r="X67" s="235">
        <f t="shared" si="91"/>
        <v>0</v>
      </c>
      <c r="Y67" s="235">
        <f t="shared" si="91"/>
        <v>0</v>
      </c>
      <c r="Z67" s="235">
        <f t="shared" si="91"/>
        <v>0</v>
      </c>
      <c r="AA67" s="235">
        <f t="shared" si="91"/>
        <v>0</v>
      </c>
      <c r="AB67" s="235">
        <f t="shared" si="91"/>
        <v>0</v>
      </c>
      <c r="AC67" s="235">
        <f t="shared" si="91"/>
        <v>0</v>
      </c>
      <c r="AD67" s="235">
        <f t="shared" si="91"/>
        <v>0</v>
      </c>
      <c r="AE67" s="235">
        <f t="shared" si="91"/>
        <v>0</v>
      </c>
      <c r="AF67" s="235">
        <f t="shared" si="91"/>
        <v>0</v>
      </c>
      <c r="AG67" s="235">
        <f t="shared" si="91"/>
        <v>0</v>
      </c>
      <c r="AH67" s="235">
        <f t="shared" si="91"/>
        <v>0</v>
      </c>
      <c r="AI67" s="235">
        <f t="shared" si="91"/>
        <v>0</v>
      </c>
      <c r="AJ67" s="235">
        <f t="shared" si="91"/>
        <v>0</v>
      </c>
      <c r="AK67" s="235">
        <f t="shared" si="91"/>
        <v>0</v>
      </c>
      <c r="AL67" s="235">
        <f t="shared" si="91"/>
        <v>0</v>
      </c>
      <c r="AM67" s="235">
        <f t="shared" si="91"/>
        <v>0</v>
      </c>
      <c r="AN67" s="235">
        <f t="shared" si="91"/>
        <v>0</v>
      </c>
      <c r="AO67" s="235">
        <f t="shared" si="91"/>
        <v>0</v>
      </c>
      <c r="AP67" s="235">
        <f t="shared" si="91"/>
        <v>0</v>
      </c>
      <c r="AQ67" s="235">
        <f>SUM(G67:AP67)</f>
        <v>1223562658</v>
      </c>
      <c r="AR67" s="238">
        <f t="shared" si="59"/>
        <v>2.4057748577450775E-3</v>
      </c>
      <c r="AS67" s="239">
        <f>F67-AQ67</f>
        <v>3862377342</v>
      </c>
      <c r="AT67" s="238">
        <f>AS67/F67*100</f>
        <v>75.942251422549219</v>
      </c>
      <c r="AU67" s="220"/>
      <c r="AV67" s="220"/>
      <c r="AW67" s="220" t="s">
        <v>4732</v>
      </c>
      <c r="AX67" s="235">
        <f>AX68+AX76+AX123</f>
        <v>99961115</v>
      </c>
      <c r="AY67" s="235">
        <f>AY68+AY76+AY123</f>
        <v>226935794</v>
      </c>
      <c r="AZ67" s="235">
        <f>AZ68+AZ76+AZ123</f>
        <v>37029575</v>
      </c>
      <c r="BA67" s="235">
        <f>BA68+BA76+BA123</f>
        <v>75325796</v>
      </c>
      <c r="BB67" s="235">
        <f t="shared" ref="BB67" si="92">BB68+BB76+BB123</f>
        <v>83939616</v>
      </c>
      <c r="BC67" s="235">
        <f t="shared" ref="BC67:BD67" si="93">BC68+BC76+BC123</f>
        <v>74895594</v>
      </c>
      <c r="BD67" s="235">
        <f t="shared" si="93"/>
        <v>115921543</v>
      </c>
      <c r="BE67" s="235">
        <f t="shared" ref="BE67" si="94">BE68+BE76+BE123</f>
        <v>0</v>
      </c>
    </row>
    <row r="68" spans="2:57" x14ac:dyDescent="0.3">
      <c r="B68" s="226" t="s">
        <v>3792</v>
      </c>
      <c r="C68" s="227" t="s">
        <v>1037</v>
      </c>
      <c r="D68" s="227">
        <v>2</v>
      </c>
      <c r="E68" s="227" t="s">
        <v>3740</v>
      </c>
      <c r="F68" s="228">
        <f>F69</f>
        <v>153780000</v>
      </c>
      <c r="G68" s="228">
        <f t="shared" ref="G68:U68" si="95">G69</f>
        <v>0</v>
      </c>
      <c r="H68" s="228">
        <f t="shared" si="95"/>
        <v>0</v>
      </c>
      <c r="I68" s="228">
        <f t="shared" si="95"/>
        <v>0</v>
      </c>
      <c r="J68" s="228">
        <f t="shared" si="95"/>
        <v>0</v>
      </c>
      <c r="K68" s="228">
        <f t="shared" si="95"/>
        <v>0</v>
      </c>
      <c r="L68" s="228">
        <f t="shared" si="95"/>
        <v>0</v>
      </c>
      <c r="M68" s="228">
        <f t="shared" si="95"/>
        <v>0</v>
      </c>
      <c r="N68" s="228">
        <f t="shared" si="95"/>
        <v>1890000</v>
      </c>
      <c r="O68" s="228">
        <f t="shared" si="95"/>
        <v>3436750</v>
      </c>
      <c r="P68" s="228">
        <f t="shared" si="95"/>
        <v>3570000</v>
      </c>
      <c r="Q68" s="228">
        <f t="shared" si="95"/>
        <v>0</v>
      </c>
      <c r="R68" s="228">
        <f t="shared" si="95"/>
        <v>0</v>
      </c>
      <c r="S68" s="228">
        <f t="shared" si="95"/>
        <v>10960600</v>
      </c>
      <c r="T68" s="228">
        <f t="shared" si="95"/>
        <v>0</v>
      </c>
      <c r="U68" s="228">
        <f t="shared" si="95"/>
        <v>5000500</v>
      </c>
      <c r="V68" s="228">
        <f t="shared" ref="G68:AP69" si="96">V69</f>
        <v>3840000</v>
      </c>
      <c r="W68" s="228">
        <f t="shared" si="96"/>
        <v>0</v>
      </c>
      <c r="X68" s="228">
        <f t="shared" si="96"/>
        <v>0</v>
      </c>
      <c r="Y68" s="228">
        <f t="shared" si="96"/>
        <v>0</v>
      </c>
      <c r="Z68" s="228">
        <f t="shared" si="96"/>
        <v>0</v>
      </c>
      <c r="AA68" s="228">
        <f t="shared" si="96"/>
        <v>0</v>
      </c>
      <c r="AB68" s="228">
        <f t="shared" si="96"/>
        <v>0</v>
      </c>
      <c r="AC68" s="228">
        <f t="shared" si="96"/>
        <v>0</v>
      </c>
      <c r="AD68" s="228">
        <f t="shared" si="96"/>
        <v>0</v>
      </c>
      <c r="AE68" s="228">
        <f t="shared" si="96"/>
        <v>0</v>
      </c>
      <c r="AF68" s="228">
        <f t="shared" si="96"/>
        <v>0</v>
      </c>
      <c r="AG68" s="228">
        <f t="shared" si="96"/>
        <v>0</v>
      </c>
      <c r="AH68" s="228">
        <f t="shared" si="96"/>
        <v>0</v>
      </c>
      <c r="AI68" s="228">
        <f t="shared" si="96"/>
        <v>0</v>
      </c>
      <c r="AJ68" s="228">
        <f t="shared" si="96"/>
        <v>0</v>
      </c>
      <c r="AK68" s="228">
        <f t="shared" si="96"/>
        <v>0</v>
      </c>
      <c r="AL68" s="228">
        <f t="shared" si="96"/>
        <v>0</v>
      </c>
      <c r="AM68" s="228">
        <f t="shared" si="96"/>
        <v>0</v>
      </c>
      <c r="AN68" s="228">
        <f t="shared" si="96"/>
        <v>0</v>
      </c>
      <c r="AO68" s="228">
        <f t="shared" si="96"/>
        <v>0</v>
      </c>
      <c r="AP68" s="228">
        <f t="shared" si="96"/>
        <v>0</v>
      </c>
      <c r="AQ68" s="228">
        <f t="shared" si="30"/>
        <v>28697850</v>
      </c>
      <c r="AR68" s="229">
        <f t="shared" si="59"/>
        <v>1.8661626999609833E-3</v>
      </c>
      <c r="AS68" s="230">
        <f t="shared" si="6"/>
        <v>125082150</v>
      </c>
      <c r="AT68" s="229">
        <f t="shared" si="9"/>
        <v>81.338373000390163</v>
      </c>
      <c r="AU68" s="220" t="s">
        <v>542</v>
      </c>
      <c r="AV68" s="220" t="s">
        <v>543</v>
      </c>
      <c r="AW68" s="220" t="s">
        <v>4732</v>
      </c>
      <c r="AX68" s="228">
        <f t="shared" ref="AX68:BE69" si="97">AX69</f>
        <v>0</v>
      </c>
      <c r="AY68" s="228">
        <f t="shared" si="97"/>
        <v>3436750</v>
      </c>
      <c r="AZ68" s="228">
        <f t="shared" si="97"/>
        <v>1890000</v>
      </c>
      <c r="BA68" s="228">
        <f t="shared" si="97"/>
        <v>0</v>
      </c>
      <c r="BB68" s="228">
        <f t="shared" si="97"/>
        <v>0</v>
      </c>
      <c r="BC68" s="228">
        <f t="shared" si="97"/>
        <v>0</v>
      </c>
      <c r="BD68" s="228">
        <f t="shared" si="97"/>
        <v>5000500</v>
      </c>
      <c r="BE68" s="228">
        <f t="shared" si="97"/>
        <v>0</v>
      </c>
    </row>
    <row r="69" spans="2:57" x14ac:dyDescent="0.3">
      <c r="B69" s="226">
        <v>311</v>
      </c>
      <c r="C69" s="227" t="s">
        <v>1186</v>
      </c>
      <c r="D69" s="227"/>
      <c r="E69" s="227"/>
      <c r="F69" s="228">
        <f>F70</f>
        <v>153780000</v>
      </c>
      <c r="G69" s="228">
        <f t="shared" si="96"/>
        <v>0</v>
      </c>
      <c r="H69" s="228">
        <f t="shared" si="96"/>
        <v>0</v>
      </c>
      <c r="I69" s="228">
        <f t="shared" si="96"/>
        <v>0</v>
      </c>
      <c r="J69" s="228">
        <f t="shared" si="96"/>
        <v>0</v>
      </c>
      <c r="K69" s="228">
        <f t="shared" si="96"/>
        <v>0</v>
      </c>
      <c r="L69" s="228">
        <f t="shared" si="96"/>
        <v>0</v>
      </c>
      <c r="M69" s="228">
        <f t="shared" si="96"/>
        <v>0</v>
      </c>
      <c r="N69" s="228">
        <f t="shared" si="96"/>
        <v>1890000</v>
      </c>
      <c r="O69" s="228">
        <f t="shared" si="96"/>
        <v>3436750</v>
      </c>
      <c r="P69" s="228">
        <f t="shared" si="96"/>
        <v>3570000</v>
      </c>
      <c r="Q69" s="228">
        <f t="shared" si="96"/>
        <v>0</v>
      </c>
      <c r="R69" s="228">
        <f t="shared" si="96"/>
        <v>0</v>
      </c>
      <c r="S69" s="228">
        <f t="shared" si="96"/>
        <v>10960600</v>
      </c>
      <c r="T69" s="228">
        <f t="shared" si="96"/>
        <v>0</v>
      </c>
      <c r="U69" s="228">
        <f t="shared" si="96"/>
        <v>5000500</v>
      </c>
      <c r="V69" s="228">
        <f t="shared" si="96"/>
        <v>3840000</v>
      </c>
      <c r="W69" s="228">
        <f t="shared" si="96"/>
        <v>0</v>
      </c>
      <c r="X69" s="228">
        <f t="shared" si="96"/>
        <v>0</v>
      </c>
      <c r="Y69" s="228">
        <f t="shared" si="96"/>
        <v>0</v>
      </c>
      <c r="Z69" s="228">
        <f t="shared" si="96"/>
        <v>0</v>
      </c>
      <c r="AA69" s="228">
        <f t="shared" si="96"/>
        <v>0</v>
      </c>
      <c r="AB69" s="228">
        <f t="shared" si="96"/>
        <v>0</v>
      </c>
      <c r="AC69" s="228">
        <f t="shared" si="96"/>
        <v>0</v>
      </c>
      <c r="AD69" s="228">
        <f t="shared" si="96"/>
        <v>0</v>
      </c>
      <c r="AE69" s="228">
        <f t="shared" si="96"/>
        <v>0</v>
      </c>
      <c r="AF69" s="228">
        <f t="shared" si="96"/>
        <v>0</v>
      </c>
      <c r="AG69" s="228">
        <f t="shared" si="96"/>
        <v>0</v>
      </c>
      <c r="AH69" s="228">
        <f t="shared" si="96"/>
        <v>0</v>
      </c>
      <c r="AI69" s="228">
        <f t="shared" si="96"/>
        <v>0</v>
      </c>
      <c r="AJ69" s="228">
        <f t="shared" si="96"/>
        <v>0</v>
      </c>
      <c r="AK69" s="228">
        <f t="shared" si="96"/>
        <v>0</v>
      </c>
      <c r="AL69" s="228">
        <f t="shared" si="96"/>
        <v>0</v>
      </c>
      <c r="AM69" s="228">
        <f t="shared" si="96"/>
        <v>0</v>
      </c>
      <c r="AN69" s="228">
        <f t="shared" si="96"/>
        <v>0</v>
      </c>
      <c r="AO69" s="228">
        <f t="shared" si="96"/>
        <v>0</v>
      </c>
      <c r="AP69" s="228">
        <f t="shared" si="96"/>
        <v>0</v>
      </c>
      <c r="AQ69" s="228">
        <f t="shared" si="30"/>
        <v>28697850</v>
      </c>
      <c r="AR69" s="229">
        <f t="shared" si="59"/>
        <v>1.8661626999609833E-3</v>
      </c>
      <c r="AS69" s="230">
        <f t="shared" si="6"/>
        <v>125082150</v>
      </c>
      <c r="AT69" s="229">
        <f t="shared" si="9"/>
        <v>81.338373000390163</v>
      </c>
      <c r="AU69" s="220" t="s">
        <v>542</v>
      </c>
      <c r="AV69" s="220" t="s">
        <v>543</v>
      </c>
      <c r="AW69" s="220" t="s">
        <v>4732</v>
      </c>
      <c r="AX69" s="228">
        <f t="shared" si="97"/>
        <v>0</v>
      </c>
      <c r="AY69" s="228">
        <f t="shared" si="97"/>
        <v>3436750</v>
      </c>
      <c r="AZ69" s="228">
        <f t="shared" si="97"/>
        <v>1890000</v>
      </c>
      <c r="BA69" s="228">
        <f t="shared" si="97"/>
        <v>0</v>
      </c>
      <c r="BB69" s="228">
        <f t="shared" si="97"/>
        <v>0</v>
      </c>
      <c r="BC69" s="228">
        <f t="shared" si="97"/>
        <v>0</v>
      </c>
      <c r="BD69" s="228">
        <f t="shared" si="97"/>
        <v>5000500</v>
      </c>
      <c r="BE69" s="228">
        <f t="shared" si="97"/>
        <v>0</v>
      </c>
    </row>
    <row r="70" spans="2:57" x14ac:dyDescent="0.3">
      <c r="B70" s="290" t="s">
        <v>8</v>
      </c>
      <c r="C70" s="222" t="s">
        <v>75</v>
      </c>
      <c r="D70" s="222"/>
      <c r="E70" s="222"/>
      <c r="F70" s="223">
        <f>SUM(F71:F75)</f>
        <v>153780000</v>
      </c>
      <c r="G70" s="223">
        <f t="shared" ref="G70:AP70" si="98">SUM(G71:G75)</f>
        <v>0</v>
      </c>
      <c r="H70" s="223">
        <f t="shared" si="98"/>
        <v>0</v>
      </c>
      <c r="I70" s="223">
        <f t="shared" si="98"/>
        <v>0</v>
      </c>
      <c r="J70" s="223">
        <f t="shared" si="98"/>
        <v>0</v>
      </c>
      <c r="K70" s="223">
        <f t="shared" si="98"/>
        <v>0</v>
      </c>
      <c r="L70" s="223">
        <f t="shared" si="98"/>
        <v>0</v>
      </c>
      <c r="M70" s="223">
        <f t="shared" si="98"/>
        <v>0</v>
      </c>
      <c r="N70" s="223">
        <f t="shared" si="98"/>
        <v>1890000</v>
      </c>
      <c r="O70" s="223">
        <f t="shared" si="98"/>
        <v>3436750</v>
      </c>
      <c r="P70" s="223">
        <f t="shared" si="98"/>
        <v>3570000</v>
      </c>
      <c r="Q70" s="223">
        <f t="shared" si="98"/>
        <v>0</v>
      </c>
      <c r="R70" s="223">
        <f t="shared" si="98"/>
        <v>0</v>
      </c>
      <c r="S70" s="223">
        <f t="shared" si="98"/>
        <v>10960600</v>
      </c>
      <c r="T70" s="223">
        <f t="shared" si="98"/>
        <v>0</v>
      </c>
      <c r="U70" s="223">
        <f t="shared" si="98"/>
        <v>5000500</v>
      </c>
      <c r="V70" s="223">
        <f t="shared" si="98"/>
        <v>3840000</v>
      </c>
      <c r="W70" s="223">
        <f t="shared" si="98"/>
        <v>0</v>
      </c>
      <c r="X70" s="223">
        <f t="shared" si="98"/>
        <v>0</v>
      </c>
      <c r="Y70" s="223">
        <f t="shared" si="98"/>
        <v>0</v>
      </c>
      <c r="Z70" s="223">
        <f t="shared" si="98"/>
        <v>0</v>
      </c>
      <c r="AA70" s="223">
        <f t="shared" si="98"/>
        <v>0</v>
      </c>
      <c r="AB70" s="223">
        <f t="shared" si="98"/>
        <v>0</v>
      </c>
      <c r="AC70" s="223">
        <f t="shared" si="98"/>
        <v>0</v>
      </c>
      <c r="AD70" s="223">
        <f t="shared" si="98"/>
        <v>0</v>
      </c>
      <c r="AE70" s="223">
        <f t="shared" si="98"/>
        <v>0</v>
      </c>
      <c r="AF70" s="223">
        <f t="shared" si="98"/>
        <v>0</v>
      </c>
      <c r="AG70" s="223">
        <f t="shared" si="98"/>
        <v>0</v>
      </c>
      <c r="AH70" s="223">
        <f t="shared" si="98"/>
        <v>0</v>
      </c>
      <c r="AI70" s="223">
        <f t="shared" si="98"/>
        <v>0</v>
      </c>
      <c r="AJ70" s="223">
        <f t="shared" si="98"/>
        <v>0</v>
      </c>
      <c r="AK70" s="223">
        <f t="shared" si="98"/>
        <v>0</v>
      </c>
      <c r="AL70" s="223">
        <f t="shared" si="98"/>
        <v>0</v>
      </c>
      <c r="AM70" s="223">
        <f t="shared" si="98"/>
        <v>0</v>
      </c>
      <c r="AN70" s="223">
        <f t="shared" si="98"/>
        <v>0</v>
      </c>
      <c r="AO70" s="223">
        <f t="shared" si="98"/>
        <v>0</v>
      </c>
      <c r="AP70" s="223">
        <f t="shared" si="98"/>
        <v>0</v>
      </c>
      <c r="AQ70" s="223">
        <f>SUM(G70:AP70)</f>
        <v>28697850</v>
      </c>
      <c r="AR70" s="231">
        <f t="shared" si="59"/>
        <v>1.8661626999609833E-3</v>
      </c>
      <c r="AS70" s="232">
        <f t="shared" si="6"/>
        <v>125082150</v>
      </c>
      <c r="AT70" s="231">
        <f t="shared" si="9"/>
        <v>81.338373000390163</v>
      </c>
      <c r="AU70" s="220" t="s">
        <v>542</v>
      </c>
      <c r="AV70" s="220" t="s">
        <v>543</v>
      </c>
      <c r="AW70" s="220" t="s">
        <v>4732</v>
      </c>
      <c r="AX70" s="223">
        <f t="shared" ref="AX70" si="99">SUM(AX71:AX75)</f>
        <v>0</v>
      </c>
      <c r="AY70" s="223">
        <f t="shared" ref="AY70:AZ70" si="100">SUM(AY71:AY75)</f>
        <v>3436750</v>
      </c>
      <c r="AZ70" s="223">
        <f t="shared" si="100"/>
        <v>1890000</v>
      </c>
      <c r="BA70" s="223">
        <f t="shared" ref="BA70" si="101">SUM(BA71:BA75)</f>
        <v>0</v>
      </c>
      <c r="BB70" s="223">
        <f t="shared" ref="BB70" si="102">SUM(BB71:BB75)</f>
        <v>0</v>
      </c>
      <c r="BC70" s="223">
        <f t="shared" ref="BC70:BD70" si="103">SUM(BC71:BC75)</f>
        <v>0</v>
      </c>
      <c r="BD70" s="223">
        <f t="shared" si="103"/>
        <v>5000500</v>
      </c>
      <c r="BE70" s="223">
        <f t="shared" ref="BE70" si="104">SUM(BE71:BE75)</f>
        <v>0</v>
      </c>
    </row>
    <row r="71" spans="2:57" x14ac:dyDescent="0.3">
      <c r="B71" s="288">
        <v>521211</v>
      </c>
      <c r="C71" s="220" t="s">
        <v>7</v>
      </c>
      <c r="D71" s="220"/>
      <c r="E71" s="220"/>
      <c r="F71" s="221">
        <v>14400000</v>
      </c>
      <c r="G71" s="221"/>
      <c r="H71" s="221"/>
      <c r="I71" s="221"/>
      <c r="J71" s="221"/>
      <c r="K71" s="221"/>
      <c r="L71" s="221"/>
      <c r="M71" s="221"/>
      <c r="N71" s="302">
        <v>1890000</v>
      </c>
      <c r="O71" s="221">
        <v>986000</v>
      </c>
      <c r="P71" s="221"/>
      <c r="Q71" s="221"/>
      <c r="R71" s="221"/>
      <c r="S71" s="221"/>
      <c r="T71" s="221"/>
      <c r="U71" s="221">
        <v>3071500</v>
      </c>
      <c r="V71" s="221"/>
      <c r="W71" s="221"/>
      <c r="X71" s="221"/>
      <c r="Y71" s="221"/>
      <c r="Z71" s="221"/>
      <c r="AA71" s="221"/>
      <c r="AB71" s="221"/>
      <c r="AC71" s="221"/>
      <c r="AD71" s="221"/>
      <c r="AE71" s="221"/>
      <c r="AF71" s="221"/>
      <c r="AG71" s="221"/>
      <c r="AH71" s="221"/>
      <c r="AI71" s="221"/>
      <c r="AJ71" s="221"/>
      <c r="AK71" s="221"/>
      <c r="AL71" s="221"/>
      <c r="AM71" s="221"/>
      <c r="AN71" s="221"/>
      <c r="AO71" s="221"/>
      <c r="AP71" s="221"/>
      <c r="AQ71" s="221">
        <f t="shared" si="30"/>
        <v>5947500</v>
      </c>
      <c r="AR71" s="224">
        <f t="shared" si="59"/>
        <v>4.130208333333333E-3</v>
      </c>
      <c r="AS71" s="225">
        <f t="shared" si="6"/>
        <v>8452500</v>
      </c>
      <c r="AT71" s="224">
        <f t="shared" si="9"/>
        <v>58.697916666666671</v>
      </c>
      <c r="AU71" s="220" t="s">
        <v>542</v>
      </c>
      <c r="AV71" s="220" t="s">
        <v>543</v>
      </c>
      <c r="AW71" s="220" t="s">
        <v>4732</v>
      </c>
      <c r="AX71" s="221"/>
      <c r="AY71" s="221">
        <v>986000</v>
      </c>
      <c r="AZ71" s="302">
        <v>1890000</v>
      </c>
      <c r="BA71" s="221"/>
      <c r="BB71" s="221"/>
      <c r="BC71" s="221"/>
      <c r="BD71" s="221">
        <v>3071500</v>
      </c>
      <c r="BE71" s="221"/>
    </row>
    <row r="72" spans="2:57" x14ac:dyDescent="0.3">
      <c r="B72" s="288">
        <v>521219</v>
      </c>
      <c r="C72" s="220" t="s">
        <v>53</v>
      </c>
      <c r="D72" s="220"/>
      <c r="E72" s="220"/>
      <c r="F72" s="221">
        <v>8000000</v>
      </c>
      <c r="G72" s="221"/>
      <c r="H72" s="221"/>
      <c r="I72" s="221"/>
      <c r="J72" s="221"/>
      <c r="K72" s="221"/>
      <c r="L72" s="221"/>
      <c r="M72" s="221"/>
      <c r="N72" s="221"/>
      <c r="O72" s="221"/>
      <c r="P72" s="221"/>
      <c r="Q72" s="221"/>
      <c r="R72" s="221"/>
      <c r="S72" s="221"/>
      <c r="T72" s="221"/>
      <c r="U72" s="221"/>
      <c r="V72" s="221"/>
      <c r="W72" s="221"/>
      <c r="X72" s="221"/>
      <c r="Y72" s="221"/>
      <c r="Z72" s="221"/>
      <c r="AA72" s="221"/>
      <c r="AB72" s="221"/>
      <c r="AC72" s="221"/>
      <c r="AD72" s="221"/>
      <c r="AE72" s="221"/>
      <c r="AF72" s="221"/>
      <c r="AG72" s="221"/>
      <c r="AH72" s="221"/>
      <c r="AI72" s="221"/>
      <c r="AJ72" s="221"/>
      <c r="AK72" s="221"/>
      <c r="AL72" s="221"/>
      <c r="AM72" s="221"/>
      <c r="AN72" s="221"/>
      <c r="AO72" s="221"/>
      <c r="AP72" s="221"/>
      <c r="AQ72" s="221">
        <f t="shared" si="30"/>
        <v>0</v>
      </c>
      <c r="AR72" s="224">
        <f t="shared" si="59"/>
        <v>0</v>
      </c>
      <c r="AS72" s="225">
        <f t="shared" si="6"/>
        <v>8000000</v>
      </c>
      <c r="AT72" s="224">
        <f t="shared" si="9"/>
        <v>100</v>
      </c>
      <c r="AU72" s="220" t="s">
        <v>542</v>
      </c>
      <c r="AV72" s="220" t="s">
        <v>543</v>
      </c>
      <c r="AW72" s="220" t="s">
        <v>4732</v>
      </c>
      <c r="AX72" s="221"/>
      <c r="AY72" s="221"/>
      <c r="AZ72" s="302"/>
      <c r="BA72" s="221"/>
      <c r="BB72" s="221"/>
      <c r="BC72" s="221"/>
      <c r="BD72" s="221"/>
      <c r="BE72" s="221"/>
    </row>
    <row r="73" spans="2:57" x14ac:dyDescent="0.3">
      <c r="B73" s="288">
        <v>521811</v>
      </c>
      <c r="C73" s="220" t="s">
        <v>64</v>
      </c>
      <c r="D73" s="220"/>
      <c r="E73" s="220"/>
      <c r="F73" s="221">
        <v>12000000</v>
      </c>
      <c r="G73" s="221"/>
      <c r="H73" s="221"/>
      <c r="I73" s="221"/>
      <c r="J73" s="221"/>
      <c r="K73" s="221"/>
      <c r="L73" s="221"/>
      <c r="M73" s="221"/>
      <c r="N73" s="221"/>
      <c r="O73" s="221">
        <v>2450750</v>
      </c>
      <c r="P73" s="221"/>
      <c r="Q73" s="221"/>
      <c r="R73" s="221"/>
      <c r="S73" s="221"/>
      <c r="T73" s="221"/>
      <c r="U73" s="221">
        <v>1929000</v>
      </c>
      <c r="V73" s="221"/>
      <c r="W73" s="221"/>
      <c r="X73" s="221"/>
      <c r="Y73" s="221"/>
      <c r="Z73" s="221"/>
      <c r="AA73" s="221"/>
      <c r="AB73" s="221"/>
      <c r="AC73" s="221"/>
      <c r="AD73" s="221"/>
      <c r="AE73" s="221"/>
      <c r="AF73" s="221"/>
      <c r="AG73" s="221"/>
      <c r="AH73" s="221"/>
      <c r="AI73" s="221"/>
      <c r="AJ73" s="221"/>
      <c r="AK73" s="221"/>
      <c r="AL73" s="221"/>
      <c r="AM73" s="221"/>
      <c r="AN73" s="221"/>
      <c r="AO73" s="221"/>
      <c r="AP73" s="221"/>
      <c r="AQ73" s="221">
        <f t="shared" si="30"/>
        <v>4379750</v>
      </c>
      <c r="AR73" s="224">
        <f t="shared" si="59"/>
        <v>3.6497916666666671E-3</v>
      </c>
      <c r="AS73" s="225">
        <f>F73-AQ73</f>
        <v>7620250</v>
      </c>
      <c r="AT73" s="224">
        <f t="shared" si="9"/>
        <v>63.502083333333339</v>
      </c>
      <c r="AU73" s="220" t="s">
        <v>542</v>
      </c>
      <c r="AV73" s="220" t="s">
        <v>543</v>
      </c>
      <c r="AW73" s="220" t="s">
        <v>4732</v>
      </c>
      <c r="AX73" s="221"/>
      <c r="AY73" s="221">
        <v>2450750</v>
      </c>
      <c r="AZ73" s="302"/>
      <c r="BA73" s="221"/>
      <c r="BB73" s="221"/>
      <c r="BC73" s="221"/>
      <c r="BD73" s="221">
        <v>1929000</v>
      </c>
      <c r="BE73" s="221"/>
    </row>
    <row r="74" spans="2:57" x14ac:dyDescent="0.3">
      <c r="B74" s="288">
        <v>522151</v>
      </c>
      <c r="C74" s="220" t="s">
        <v>11</v>
      </c>
      <c r="D74" s="220"/>
      <c r="E74" s="220"/>
      <c r="F74" s="221">
        <v>4000000</v>
      </c>
      <c r="G74" s="221"/>
      <c r="H74" s="221"/>
      <c r="I74" s="221"/>
      <c r="J74" s="221"/>
      <c r="K74" s="221"/>
      <c r="L74" s="221"/>
      <c r="M74" s="221"/>
      <c r="N74" s="221"/>
      <c r="O74" s="221"/>
      <c r="P74" s="221"/>
      <c r="Q74" s="221"/>
      <c r="R74" s="221"/>
      <c r="S74" s="221"/>
      <c r="T74" s="221"/>
      <c r="U74" s="221"/>
      <c r="V74" s="221"/>
      <c r="W74" s="221"/>
      <c r="X74" s="221"/>
      <c r="Y74" s="221"/>
      <c r="Z74" s="221"/>
      <c r="AA74" s="221"/>
      <c r="AB74" s="221"/>
      <c r="AC74" s="221"/>
      <c r="AD74" s="221"/>
      <c r="AE74" s="221"/>
      <c r="AF74" s="221"/>
      <c r="AG74" s="221"/>
      <c r="AH74" s="221"/>
      <c r="AI74" s="221"/>
      <c r="AJ74" s="221"/>
      <c r="AK74" s="221"/>
      <c r="AL74" s="221"/>
      <c r="AM74" s="221"/>
      <c r="AN74" s="221"/>
      <c r="AO74" s="221"/>
      <c r="AP74" s="221"/>
      <c r="AQ74" s="221">
        <f t="shared" si="30"/>
        <v>0</v>
      </c>
      <c r="AR74" s="224">
        <f t="shared" si="59"/>
        <v>0</v>
      </c>
      <c r="AS74" s="225">
        <f t="shared" si="6"/>
        <v>4000000</v>
      </c>
      <c r="AT74" s="224">
        <f t="shared" si="9"/>
        <v>100</v>
      </c>
      <c r="AU74" s="220" t="s">
        <v>542</v>
      </c>
      <c r="AV74" s="220" t="s">
        <v>543</v>
      </c>
      <c r="AW74" s="220" t="s">
        <v>4732</v>
      </c>
      <c r="AX74" s="221"/>
      <c r="AY74" s="221"/>
      <c r="AZ74" s="302"/>
      <c r="BA74" s="221"/>
      <c r="BB74" s="221"/>
      <c r="BC74" s="221"/>
      <c r="BD74" s="221"/>
      <c r="BE74" s="221"/>
    </row>
    <row r="75" spans="2:57" x14ac:dyDescent="0.3">
      <c r="B75" s="288">
        <v>524111</v>
      </c>
      <c r="C75" s="220" t="s">
        <v>19</v>
      </c>
      <c r="D75" s="220"/>
      <c r="E75" s="220"/>
      <c r="F75" s="221">
        <v>115380000</v>
      </c>
      <c r="G75" s="221"/>
      <c r="H75" s="221"/>
      <c r="I75" s="221"/>
      <c r="J75" s="221"/>
      <c r="K75" s="221"/>
      <c r="L75" s="221"/>
      <c r="M75" s="221"/>
      <c r="N75" s="221"/>
      <c r="O75" s="221"/>
      <c r="P75" s="221">
        <v>3570000</v>
      </c>
      <c r="Q75" s="221"/>
      <c r="R75" s="221"/>
      <c r="S75" s="221">
        <v>10960600</v>
      </c>
      <c r="T75" s="221"/>
      <c r="U75" s="221"/>
      <c r="V75" s="221">
        <v>3840000</v>
      </c>
      <c r="W75" s="221"/>
      <c r="X75" s="221"/>
      <c r="Y75" s="221"/>
      <c r="Z75" s="221"/>
      <c r="AA75" s="221"/>
      <c r="AB75" s="221"/>
      <c r="AC75" s="221"/>
      <c r="AD75" s="221"/>
      <c r="AE75" s="221"/>
      <c r="AF75" s="221"/>
      <c r="AG75" s="221"/>
      <c r="AH75" s="221"/>
      <c r="AI75" s="221"/>
      <c r="AJ75" s="221"/>
      <c r="AK75" s="221"/>
      <c r="AL75" s="221"/>
      <c r="AM75" s="221"/>
      <c r="AN75" s="221"/>
      <c r="AO75" s="221"/>
      <c r="AP75" s="221"/>
      <c r="AQ75" s="221">
        <f t="shared" si="30"/>
        <v>18370600</v>
      </c>
      <c r="AR75" s="224">
        <f t="shared" si="59"/>
        <v>1.5921823539608252E-3</v>
      </c>
      <c r="AS75" s="225">
        <f t="shared" si="6"/>
        <v>97009400</v>
      </c>
      <c r="AT75" s="224">
        <f t="shared" si="9"/>
        <v>84.078176460391745</v>
      </c>
      <c r="AU75" s="220" t="s">
        <v>542</v>
      </c>
      <c r="AV75" s="220" t="s">
        <v>543</v>
      </c>
      <c r="AW75" s="220" t="s">
        <v>4732</v>
      </c>
      <c r="AX75" s="221"/>
      <c r="AY75" s="221"/>
      <c r="AZ75" s="302"/>
      <c r="BA75" s="221"/>
      <c r="BB75" s="221"/>
      <c r="BC75" s="221"/>
      <c r="BD75" s="221"/>
      <c r="BE75" s="221"/>
    </row>
    <row r="76" spans="2:57" x14ac:dyDescent="0.3">
      <c r="B76" s="226" t="s">
        <v>3855</v>
      </c>
      <c r="C76" s="227" t="s">
        <v>1270</v>
      </c>
      <c r="D76" s="227">
        <v>1</v>
      </c>
      <c r="E76" s="227" t="s">
        <v>3740</v>
      </c>
      <c r="F76" s="228">
        <f t="shared" ref="F76:AP76" si="105">F77</f>
        <v>2736502000</v>
      </c>
      <c r="G76" s="228">
        <f t="shared" si="105"/>
        <v>0</v>
      </c>
      <c r="H76" s="228">
        <f t="shared" si="105"/>
        <v>0</v>
      </c>
      <c r="I76" s="228">
        <f t="shared" si="105"/>
        <v>0</v>
      </c>
      <c r="J76" s="228">
        <f t="shared" si="105"/>
        <v>0</v>
      </c>
      <c r="K76" s="228">
        <f t="shared" si="105"/>
        <v>0</v>
      </c>
      <c r="L76" s="228">
        <f t="shared" si="105"/>
        <v>0</v>
      </c>
      <c r="M76" s="228">
        <f t="shared" si="105"/>
        <v>0</v>
      </c>
      <c r="N76" s="228">
        <f t="shared" si="105"/>
        <v>85679153</v>
      </c>
      <c r="O76" s="228">
        <f t="shared" si="105"/>
        <v>142958644</v>
      </c>
      <c r="P76" s="228">
        <f t="shared" si="105"/>
        <v>54042998</v>
      </c>
      <c r="Q76" s="228">
        <f t="shared" si="105"/>
        <v>40187000</v>
      </c>
      <c r="R76" s="228">
        <f t="shared" si="105"/>
        <v>0</v>
      </c>
      <c r="S76" s="228">
        <f t="shared" si="105"/>
        <v>19414000</v>
      </c>
      <c r="T76" s="228">
        <f t="shared" si="105"/>
        <v>42454302</v>
      </c>
      <c r="U76" s="228">
        <f t="shared" si="105"/>
        <v>110921043</v>
      </c>
      <c r="V76" s="228">
        <f t="shared" si="105"/>
        <v>35886027</v>
      </c>
      <c r="W76" s="228">
        <f t="shared" si="105"/>
        <v>0</v>
      </c>
      <c r="X76" s="228">
        <f t="shared" si="105"/>
        <v>0</v>
      </c>
      <c r="Y76" s="228">
        <f t="shared" si="105"/>
        <v>0</v>
      </c>
      <c r="Z76" s="228">
        <f t="shared" si="105"/>
        <v>0</v>
      </c>
      <c r="AA76" s="228">
        <f t="shared" si="105"/>
        <v>0</v>
      </c>
      <c r="AB76" s="228">
        <f t="shared" si="105"/>
        <v>0</v>
      </c>
      <c r="AC76" s="228">
        <f t="shared" si="105"/>
        <v>0</v>
      </c>
      <c r="AD76" s="228">
        <f t="shared" si="105"/>
        <v>0</v>
      </c>
      <c r="AE76" s="228">
        <f t="shared" si="105"/>
        <v>0</v>
      </c>
      <c r="AF76" s="228">
        <f t="shared" si="105"/>
        <v>0</v>
      </c>
      <c r="AG76" s="228">
        <f t="shared" si="105"/>
        <v>0</v>
      </c>
      <c r="AH76" s="228">
        <f t="shared" si="105"/>
        <v>0</v>
      </c>
      <c r="AI76" s="228">
        <f t="shared" si="105"/>
        <v>0</v>
      </c>
      <c r="AJ76" s="228">
        <f t="shared" si="105"/>
        <v>0</v>
      </c>
      <c r="AK76" s="228">
        <f t="shared" si="105"/>
        <v>0</v>
      </c>
      <c r="AL76" s="228">
        <f t="shared" si="105"/>
        <v>0</v>
      </c>
      <c r="AM76" s="228">
        <f t="shared" si="105"/>
        <v>0</v>
      </c>
      <c r="AN76" s="228">
        <f t="shared" si="105"/>
        <v>0</v>
      </c>
      <c r="AO76" s="228">
        <f t="shared" si="105"/>
        <v>0</v>
      </c>
      <c r="AP76" s="228">
        <f t="shared" si="105"/>
        <v>0</v>
      </c>
      <c r="AQ76" s="228">
        <f t="shared" si="30"/>
        <v>531543167</v>
      </c>
      <c r="AR76" s="229">
        <f t="shared" si="59"/>
        <v>1.9424183391789957E-3</v>
      </c>
      <c r="AS76" s="230">
        <f t="shared" si="6"/>
        <v>2204958833</v>
      </c>
      <c r="AT76" s="229">
        <f t="shared" si="9"/>
        <v>80.575816608210033</v>
      </c>
      <c r="AU76" s="220"/>
      <c r="AV76" s="220"/>
      <c r="AW76" s="220" t="s">
        <v>4732</v>
      </c>
      <c r="AX76" s="228">
        <f t="shared" ref="AX76:BE76" si="106">AX77</f>
        <v>59308000</v>
      </c>
      <c r="AY76" s="228">
        <f t="shared" si="106"/>
        <v>142958644</v>
      </c>
      <c r="AZ76" s="228">
        <f t="shared" si="106"/>
        <v>26371153</v>
      </c>
      <c r="BA76" s="228">
        <f t="shared" si="106"/>
        <v>40187000</v>
      </c>
      <c r="BB76" s="228">
        <f t="shared" si="106"/>
        <v>18988905</v>
      </c>
      <c r="BC76" s="228">
        <f t="shared" si="106"/>
        <v>23465397</v>
      </c>
      <c r="BD76" s="228">
        <f t="shared" si="106"/>
        <v>110921043</v>
      </c>
      <c r="BE76" s="228">
        <f t="shared" si="106"/>
        <v>0</v>
      </c>
    </row>
    <row r="77" spans="2:57" x14ac:dyDescent="0.3">
      <c r="B77" s="226">
        <v>301</v>
      </c>
      <c r="C77" s="227" t="s">
        <v>1389</v>
      </c>
      <c r="D77" s="227"/>
      <c r="E77" s="227"/>
      <c r="F77" s="228">
        <f t="shared" ref="F77:AP77" si="107">F78+F82+F86+F91+F95+F102+F108+F113+F118</f>
        <v>2736502000</v>
      </c>
      <c r="G77" s="228">
        <f t="shared" si="107"/>
        <v>0</v>
      </c>
      <c r="H77" s="228">
        <f t="shared" si="107"/>
        <v>0</v>
      </c>
      <c r="I77" s="228">
        <f t="shared" si="107"/>
        <v>0</v>
      </c>
      <c r="J77" s="228">
        <f t="shared" si="107"/>
        <v>0</v>
      </c>
      <c r="K77" s="228">
        <f t="shared" si="107"/>
        <v>0</v>
      </c>
      <c r="L77" s="228">
        <f t="shared" si="107"/>
        <v>0</v>
      </c>
      <c r="M77" s="228">
        <f t="shared" si="107"/>
        <v>0</v>
      </c>
      <c r="N77" s="228">
        <f t="shared" si="107"/>
        <v>85679153</v>
      </c>
      <c r="O77" s="228">
        <f t="shared" si="107"/>
        <v>142958644</v>
      </c>
      <c r="P77" s="228">
        <f t="shared" si="107"/>
        <v>54042998</v>
      </c>
      <c r="Q77" s="228">
        <f t="shared" si="107"/>
        <v>40187000</v>
      </c>
      <c r="R77" s="228">
        <f t="shared" si="107"/>
        <v>0</v>
      </c>
      <c r="S77" s="228">
        <f t="shared" si="107"/>
        <v>19414000</v>
      </c>
      <c r="T77" s="228">
        <f t="shared" si="107"/>
        <v>42454302</v>
      </c>
      <c r="U77" s="228">
        <f t="shared" si="107"/>
        <v>110921043</v>
      </c>
      <c r="V77" s="228">
        <f t="shared" si="107"/>
        <v>35886027</v>
      </c>
      <c r="W77" s="228">
        <f t="shared" si="107"/>
        <v>0</v>
      </c>
      <c r="X77" s="228">
        <f t="shared" si="107"/>
        <v>0</v>
      </c>
      <c r="Y77" s="228">
        <f t="shared" si="107"/>
        <v>0</v>
      </c>
      <c r="Z77" s="228">
        <f t="shared" si="107"/>
        <v>0</v>
      </c>
      <c r="AA77" s="228">
        <f t="shared" si="107"/>
        <v>0</v>
      </c>
      <c r="AB77" s="228">
        <f t="shared" si="107"/>
        <v>0</v>
      </c>
      <c r="AC77" s="228">
        <f t="shared" si="107"/>
        <v>0</v>
      </c>
      <c r="AD77" s="228">
        <f t="shared" si="107"/>
        <v>0</v>
      </c>
      <c r="AE77" s="228">
        <f t="shared" si="107"/>
        <v>0</v>
      </c>
      <c r="AF77" s="228">
        <f t="shared" si="107"/>
        <v>0</v>
      </c>
      <c r="AG77" s="228">
        <f t="shared" si="107"/>
        <v>0</v>
      </c>
      <c r="AH77" s="228">
        <f t="shared" si="107"/>
        <v>0</v>
      </c>
      <c r="AI77" s="228">
        <f t="shared" si="107"/>
        <v>0</v>
      </c>
      <c r="AJ77" s="228">
        <f t="shared" si="107"/>
        <v>0</v>
      </c>
      <c r="AK77" s="228">
        <f t="shared" si="107"/>
        <v>0</v>
      </c>
      <c r="AL77" s="228">
        <f t="shared" si="107"/>
        <v>0</v>
      </c>
      <c r="AM77" s="228">
        <f t="shared" si="107"/>
        <v>0</v>
      </c>
      <c r="AN77" s="228">
        <f t="shared" si="107"/>
        <v>0</v>
      </c>
      <c r="AO77" s="228">
        <f t="shared" si="107"/>
        <v>0</v>
      </c>
      <c r="AP77" s="228">
        <f t="shared" si="107"/>
        <v>0</v>
      </c>
      <c r="AQ77" s="228">
        <f t="shared" si="30"/>
        <v>531543167</v>
      </c>
      <c r="AR77" s="229">
        <f t="shared" si="59"/>
        <v>1.9424183391789957E-3</v>
      </c>
      <c r="AS77" s="230">
        <f t="shared" si="6"/>
        <v>2204958833</v>
      </c>
      <c r="AT77" s="229">
        <f t="shared" si="9"/>
        <v>80.575816608210033</v>
      </c>
      <c r="AU77" s="220"/>
      <c r="AV77" s="220"/>
      <c r="AW77" s="220" t="s">
        <v>4732</v>
      </c>
      <c r="AX77" s="228">
        <f>AX78+AX82+AX86+AX91+AX95+AX102+AX108+AX113+AX118</f>
        <v>59308000</v>
      </c>
      <c r="AY77" s="228">
        <f>AY78+AY82+AY86+AY91+AY95+AY102+AY108+AY113+AY118</f>
        <v>142958644</v>
      </c>
      <c r="AZ77" s="228">
        <f>AZ78+AZ82+AZ86+AZ91+AZ95+AZ102+AZ108+AZ113+AZ118</f>
        <v>26371153</v>
      </c>
      <c r="BA77" s="228">
        <f>BA78+BA82+BA86+BA91+BA95+BA102+BA108+BA113+BA118</f>
        <v>40187000</v>
      </c>
      <c r="BB77" s="228">
        <f t="shared" ref="BB77" si="108">BB78+BB82+BB86+BB91+BB95+BB102+BB108+BB113+BB118</f>
        <v>18988905</v>
      </c>
      <c r="BC77" s="228">
        <f t="shared" ref="BC77:BD77" si="109">BC78+BC82+BC86+BC91+BC95+BC102+BC108+BC113+BC118</f>
        <v>23465397</v>
      </c>
      <c r="BD77" s="228">
        <f t="shared" si="109"/>
        <v>110921043</v>
      </c>
      <c r="BE77" s="228">
        <f t="shared" ref="BE77" si="110">BE78+BE82+BE86+BE91+BE95+BE102+BE108+BE113+BE118</f>
        <v>0</v>
      </c>
    </row>
    <row r="78" spans="2:57" x14ac:dyDescent="0.3">
      <c r="B78" s="290" t="s">
        <v>8</v>
      </c>
      <c r="C78" s="222" t="s">
        <v>148</v>
      </c>
      <c r="D78" s="222"/>
      <c r="E78" s="222"/>
      <c r="F78" s="223">
        <f t="shared" ref="F78" si="111">SUM(F79:F81)</f>
        <v>51100000</v>
      </c>
      <c r="G78" s="223">
        <f t="shared" ref="G78:AP78" si="112">SUM(G79:G81)</f>
        <v>0</v>
      </c>
      <c r="H78" s="223">
        <f t="shared" si="112"/>
        <v>0</v>
      </c>
      <c r="I78" s="223">
        <f t="shared" si="112"/>
        <v>0</v>
      </c>
      <c r="J78" s="223">
        <f t="shared" si="112"/>
        <v>0</v>
      </c>
      <c r="K78" s="223">
        <f t="shared" si="112"/>
        <v>0</v>
      </c>
      <c r="L78" s="223">
        <f t="shared" si="112"/>
        <v>0</v>
      </c>
      <c r="M78" s="223">
        <f t="shared" si="112"/>
        <v>0</v>
      </c>
      <c r="N78" s="223">
        <f t="shared" si="112"/>
        <v>3135000</v>
      </c>
      <c r="O78" s="223">
        <f t="shared" si="112"/>
        <v>5948800</v>
      </c>
      <c r="P78" s="223">
        <f t="shared" si="112"/>
        <v>0</v>
      </c>
      <c r="Q78" s="223">
        <f t="shared" si="112"/>
        <v>3960000</v>
      </c>
      <c r="R78" s="223">
        <f t="shared" si="112"/>
        <v>0</v>
      </c>
      <c r="S78" s="223">
        <f t="shared" si="112"/>
        <v>0</v>
      </c>
      <c r="T78" s="223">
        <f t="shared" si="112"/>
        <v>3043500</v>
      </c>
      <c r="U78" s="223">
        <f t="shared" si="112"/>
        <v>0</v>
      </c>
      <c r="V78" s="223">
        <f t="shared" si="112"/>
        <v>0</v>
      </c>
      <c r="W78" s="223">
        <f t="shared" si="112"/>
        <v>0</v>
      </c>
      <c r="X78" s="223">
        <f t="shared" si="112"/>
        <v>0</v>
      </c>
      <c r="Y78" s="223">
        <f t="shared" si="112"/>
        <v>0</v>
      </c>
      <c r="Z78" s="223">
        <f t="shared" si="112"/>
        <v>0</v>
      </c>
      <c r="AA78" s="223">
        <f t="shared" si="112"/>
        <v>0</v>
      </c>
      <c r="AB78" s="223">
        <f t="shared" si="112"/>
        <v>0</v>
      </c>
      <c r="AC78" s="223">
        <f t="shared" si="112"/>
        <v>0</v>
      </c>
      <c r="AD78" s="223">
        <f t="shared" si="112"/>
        <v>0</v>
      </c>
      <c r="AE78" s="223">
        <f t="shared" si="112"/>
        <v>0</v>
      </c>
      <c r="AF78" s="223">
        <f t="shared" si="112"/>
        <v>0</v>
      </c>
      <c r="AG78" s="223">
        <f t="shared" si="112"/>
        <v>0</v>
      </c>
      <c r="AH78" s="223">
        <f t="shared" si="112"/>
        <v>0</v>
      </c>
      <c r="AI78" s="223">
        <f t="shared" si="112"/>
        <v>0</v>
      </c>
      <c r="AJ78" s="223">
        <f t="shared" si="112"/>
        <v>0</v>
      </c>
      <c r="AK78" s="223">
        <f t="shared" si="112"/>
        <v>0</v>
      </c>
      <c r="AL78" s="223">
        <f t="shared" si="112"/>
        <v>0</v>
      </c>
      <c r="AM78" s="223">
        <f t="shared" si="112"/>
        <v>0</v>
      </c>
      <c r="AN78" s="223">
        <f t="shared" si="112"/>
        <v>0</v>
      </c>
      <c r="AO78" s="223">
        <f t="shared" si="112"/>
        <v>0</v>
      </c>
      <c r="AP78" s="223">
        <f t="shared" si="112"/>
        <v>0</v>
      </c>
      <c r="AQ78" s="223">
        <f t="shared" si="30"/>
        <v>16087300</v>
      </c>
      <c r="AR78" s="231">
        <f t="shared" si="59"/>
        <v>3.1481996086105673E-3</v>
      </c>
      <c r="AS78" s="232">
        <f t="shared" si="6"/>
        <v>35012700</v>
      </c>
      <c r="AT78" s="231">
        <f t="shared" si="9"/>
        <v>68.518003913894319</v>
      </c>
      <c r="AU78" s="220" t="s">
        <v>576</v>
      </c>
      <c r="AV78" s="220" t="s">
        <v>560</v>
      </c>
      <c r="AW78" s="220" t="s">
        <v>4732</v>
      </c>
      <c r="AX78" s="223">
        <f t="shared" ref="AX78" si="113">SUM(AX79:AX81)</f>
        <v>3135000</v>
      </c>
      <c r="AY78" s="223">
        <f t="shared" ref="AY78:AZ78" si="114">SUM(AY79:AY81)</f>
        <v>5948800</v>
      </c>
      <c r="AZ78" s="223">
        <f t="shared" si="114"/>
        <v>0</v>
      </c>
      <c r="BA78" s="223">
        <f t="shared" ref="BA78" si="115">SUM(BA79:BA81)</f>
        <v>3960000</v>
      </c>
      <c r="BB78" s="223">
        <f t="shared" ref="BB78" si="116">SUM(BB79:BB81)</f>
        <v>0</v>
      </c>
      <c r="BC78" s="223">
        <f t="shared" ref="BC78:BD78" si="117">SUM(BC79:BC81)</f>
        <v>3043500</v>
      </c>
      <c r="BD78" s="223">
        <f t="shared" si="117"/>
        <v>0</v>
      </c>
      <c r="BE78" s="223">
        <f t="shared" ref="BE78" si="118">SUM(BE79:BE81)</f>
        <v>0</v>
      </c>
    </row>
    <row r="79" spans="2:57" x14ac:dyDescent="0.3">
      <c r="B79" s="288">
        <v>521211</v>
      </c>
      <c r="C79" s="220" t="s">
        <v>7</v>
      </c>
      <c r="D79" s="220"/>
      <c r="E79" s="220"/>
      <c r="F79" s="221">
        <v>22000000</v>
      </c>
      <c r="G79" s="221"/>
      <c r="H79" s="221"/>
      <c r="I79" s="221"/>
      <c r="J79" s="221"/>
      <c r="K79" s="221"/>
      <c r="L79" s="221"/>
      <c r="M79" s="221"/>
      <c r="N79" s="221"/>
      <c r="O79" s="221">
        <v>3998800</v>
      </c>
      <c r="P79" s="221"/>
      <c r="Q79" s="221"/>
      <c r="R79" s="221"/>
      <c r="S79" s="221"/>
      <c r="T79" s="221"/>
      <c r="U79" s="221"/>
      <c r="V79" s="221"/>
      <c r="W79" s="221"/>
      <c r="X79" s="221"/>
      <c r="Y79" s="221"/>
      <c r="Z79" s="221"/>
      <c r="AA79" s="221"/>
      <c r="AB79" s="221"/>
      <c r="AC79" s="221"/>
      <c r="AD79" s="221"/>
      <c r="AE79" s="221"/>
      <c r="AF79" s="221"/>
      <c r="AG79" s="221"/>
      <c r="AH79" s="221"/>
      <c r="AI79" s="221"/>
      <c r="AJ79" s="221"/>
      <c r="AK79" s="221"/>
      <c r="AL79" s="221"/>
      <c r="AM79" s="221"/>
      <c r="AN79" s="221"/>
      <c r="AO79" s="221"/>
      <c r="AP79" s="221"/>
      <c r="AQ79" s="221">
        <f t="shared" ref="AQ79:AQ127" si="119">SUM(G79:AP79)</f>
        <v>3998800</v>
      </c>
      <c r="AR79" s="224">
        <f t="shared" ref="AR79:AR97" si="120">AQ79/F79/100</f>
        <v>1.8176363636363637E-3</v>
      </c>
      <c r="AS79" s="225">
        <f t="shared" ref="AS79:AS122" si="121">F79-AQ79</f>
        <v>18001200</v>
      </c>
      <c r="AT79" s="224">
        <f t="shared" ref="AT79:AT127" si="122">AS79/F79*100</f>
        <v>81.823636363636368</v>
      </c>
      <c r="AU79" s="220" t="s">
        <v>576</v>
      </c>
      <c r="AV79" s="220" t="s">
        <v>560</v>
      </c>
      <c r="AW79" s="220" t="s">
        <v>4732</v>
      </c>
      <c r="AX79" s="221"/>
      <c r="AY79" s="221">
        <v>3998800</v>
      </c>
      <c r="AZ79" s="302"/>
      <c r="BA79" s="221"/>
      <c r="BB79" s="221"/>
      <c r="BC79" s="221"/>
      <c r="BD79" s="221"/>
      <c r="BE79" s="221"/>
    </row>
    <row r="80" spans="2:57" x14ac:dyDescent="0.3">
      <c r="B80" s="288">
        <v>524111</v>
      </c>
      <c r="C80" s="220" t="s">
        <v>19</v>
      </c>
      <c r="D80" s="220"/>
      <c r="E80" s="220"/>
      <c r="F80" s="221">
        <v>27000000</v>
      </c>
      <c r="G80" s="221"/>
      <c r="H80" s="221"/>
      <c r="I80" s="221"/>
      <c r="J80" s="221"/>
      <c r="K80" s="221"/>
      <c r="L80" s="221"/>
      <c r="M80" s="221"/>
      <c r="N80" s="221">
        <v>2685000</v>
      </c>
      <c r="O80" s="221">
        <v>1650000</v>
      </c>
      <c r="P80" s="221"/>
      <c r="Q80" s="221">
        <v>3960000</v>
      </c>
      <c r="R80" s="221"/>
      <c r="S80" s="221"/>
      <c r="T80" s="221">
        <v>3043500</v>
      </c>
      <c r="U80" s="221"/>
      <c r="V80" s="221"/>
      <c r="W80" s="221"/>
      <c r="X80" s="221"/>
      <c r="Y80" s="221"/>
      <c r="Z80" s="221"/>
      <c r="AA80" s="221"/>
      <c r="AB80" s="221"/>
      <c r="AC80" s="221"/>
      <c r="AD80" s="221"/>
      <c r="AE80" s="221"/>
      <c r="AF80" s="221"/>
      <c r="AG80" s="221"/>
      <c r="AH80" s="221"/>
      <c r="AI80" s="221"/>
      <c r="AJ80" s="221"/>
      <c r="AK80" s="221"/>
      <c r="AL80" s="221"/>
      <c r="AM80" s="221"/>
      <c r="AN80" s="221"/>
      <c r="AO80" s="221"/>
      <c r="AP80" s="221"/>
      <c r="AQ80" s="221">
        <f t="shared" si="119"/>
        <v>11338500</v>
      </c>
      <c r="AR80" s="224">
        <f t="shared" si="120"/>
        <v>4.1994444444444449E-3</v>
      </c>
      <c r="AS80" s="225">
        <f t="shared" si="121"/>
        <v>15661500</v>
      </c>
      <c r="AT80" s="224">
        <f t="shared" si="122"/>
        <v>58.005555555555553</v>
      </c>
      <c r="AU80" s="220" t="s">
        <v>576</v>
      </c>
      <c r="AV80" s="220" t="s">
        <v>560</v>
      </c>
      <c r="AW80" s="220" t="s">
        <v>4732</v>
      </c>
      <c r="AX80" s="221">
        <v>2685000</v>
      </c>
      <c r="AY80" s="221">
        <v>1650000</v>
      </c>
      <c r="AZ80" s="302"/>
      <c r="BA80" s="221">
        <v>3960000</v>
      </c>
      <c r="BB80" s="221"/>
      <c r="BC80" s="221">
        <v>3043500</v>
      </c>
      <c r="BD80" s="221"/>
      <c r="BE80" s="221"/>
    </row>
    <row r="81" spans="2:59" x14ac:dyDescent="0.3">
      <c r="B81" s="288">
        <v>524113</v>
      </c>
      <c r="C81" s="220" t="s">
        <v>13</v>
      </c>
      <c r="D81" s="220"/>
      <c r="E81" s="220"/>
      <c r="F81" s="221">
        <v>2100000</v>
      </c>
      <c r="G81" s="221"/>
      <c r="H81" s="221"/>
      <c r="I81" s="221"/>
      <c r="J81" s="221"/>
      <c r="K81" s="221"/>
      <c r="L81" s="221"/>
      <c r="M81" s="221"/>
      <c r="N81" s="221">
        <v>450000</v>
      </c>
      <c r="O81" s="221">
        <v>300000</v>
      </c>
      <c r="P81" s="221"/>
      <c r="Q81" s="221"/>
      <c r="R81" s="221"/>
      <c r="S81" s="221"/>
      <c r="T81" s="221"/>
      <c r="U81" s="221"/>
      <c r="V81" s="221"/>
      <c r="W81" s="221"/>
      <c r="X81" s="221"/>
      <c r="Y81" s="221"/>
      <c r="Z81" s="221"/>
      <c r="AA81" s="221"/>
      <c r="AB81" s="221"/>
      <c r="AC81" s="221"/>
      <c r="AD81" s="221"/>
      <c r="AE81" s="221"/>
      <c r="AF81" s="221"/>
      <c r="AG81" s="221"/>
      <c r="AH81" s="221"/>
      <c r="AI81" s="221"/>
      <c r="AJ81" s="221"/>
      <c r="AK81" s="221"/>
      <c r="AL81" s="221"/>
      <c r="AM81" s="221"/>
      <c r="AN81" s="221"/>
      <c r="AO81" s="221"/>
      <c r="AP81" s="221"/>
      <c r="AQ81" s="221">
        <f t="shared" si="119"/>
        <v>750000</v>
      </c>
      <c r="AR81" s="224">
        <f t="shared" si="120"/>
        <v>3.5714285714285713E-3</v>
      </c>
      <c r="AS81" s="225">
        <f t="shared" si="121"/>
        <v>1350000</v>
      </c>
      <c r="AT81" s="224">
        <f t="shared" si="122"/>
        <v>64.285714285714292</v>
      </c>
      <c r="AU81" s="220" t="s">
        <v>576</v>
      </c>
      <c r="AV81" s="220" t="s">
        <v>560</v>
      </c>
      <c r="AW81" s="220" t="s">
        <v>4732</v>
      </c>
      <c r="AX81" s="221">
        <v>450000</v>
      </c>
      <c r="AY81" s="221">
        <v>300000</v>
      </c>
      <c r="AZ81" s="302"/>
      <c r="BA81" s="221"/>
      <c r="BB81" s="221"/>
      <c r="BC81" s="221"/>
      <c r="BD81" s="221"/>
      <c r="BE81" s="221"/>
    </row>
    <row r="82" spans="2:59" x14ac:dyDescent="0.3">
      <c r="B82" s="290" t="s">
        <v>511</v>
      </c>
      <c r="C82" s="222" t="s">
        <v>150</v>
      </c>
      <c r="D82" s="222"/>
      <c r="E82" s="222"/>
      <c r="F82" s="223">
        <f t="shared" ref="F82:AP82" si="123">SUM(F83:F85)</f>
        <v>548180000</v>
      </c>
      <c r="G82" s="223">
        <f t="shared" si="123"/>
        <v>0</v>
      </c>
      <c r="H82" s="223">
        <f t="shared" si="123"/>
        <v>0</v>
      </c>
      <c r="I82" s="223">
        <f t="shared" si="123"/>
        <v>0</v>
      </c>
      <c r="J82" s="223">
        <f t="shared" si="123"/>
        <v>0</v>
      </c>
      <c r="K82" s="223">
        <f t="shared" si="123"/>
        <v>0</v>
      </c>
      <c r="L82" s="223">
        <f t="shared" si="123"/>
        <v>0</v>
      </c>
      <c r="M82" s="223">
        <f t="shared" si="123"/>
        <v>0</v>
      </c>
      <c r="N82" s="223">
        <f t="shared" si="123"/>
        <v>49559600</v>
      </c>
      <c r="O82" s="223">
        <f t="shared" si="123"/>
        <v>23771900</v>
      </c>
      <c r="P82" s="223">
        <f t="shared" si="123"/>
        <v>34977460</v>
      </c>
      <c r="Q82" s="223">
        <f t="shared" si="123"/>
        <v>31588000</v>
      </c>
      <c r="R82" s="223">
        <f t="shared" si="123"/>
        <v>0</v>
      </c>
      <c r="S82" s="223">
        <f t="shared" si="123"/>
        <v>0</v>
      </c>
      <c r="T82" s="223">
        <f t="shared" si="123"/>
        <v>14558751</v>
      </c>
      <c r="U82" s="223">
        <f t="shared" si="123"/>
        <v>13125750</v>
      </c>
      <c r="V82" s="223">
        <f t="shared" si="123"/>
        <v>0</v>
      </c>
      <c r="W82" s="223">
        <f t="shared" si="123"/>
        <v>0</v>
      </c>
      <c r="X82" s="223">
        <f t="shared" si="123"/>
        <v>0</v>
      </c>
      <c r="Y82" s="223">
        <f t="shared" si="123"/>
        <v>0</v>
      </c>
      <c r="Z82" s="223">
        <f t="shared" si="123"/>
        <v>0</v>
      </c>
      <c r="AA82" s="223">
        <f t="shared" si="123"/>
        <v>0</v>
      </c>
      <c r="AB82" s="223">
        <f t="shared" si="123"/>
        <v>0</v>
      </c>
      <c r="AC82" s="223">
        <f t="shared" si="123"/>
        <v>0</v>
      </c>
      <c r="AD82" s="223">
        <f t="shared" si="123"/>
        <v>0</v>
      </c>
      <c r="AE82" s="223">
        <f t="shared" si="123"/>
        <v>0</v>
      </c>
      <c r="AF82" s="223">
        <f t="shared" si="123"/>
        <v>0</v>
      </c>
      <c r="AG82" s="223">
        <f t="shared" si="123"/>
        <v>0</v>
      </c>
      <c r="AH82" s="223">
        <f t="shared" si="123"/>
        <v>0</v>
      </c>
      <c r="AI82" s="223">
        <f t="shared" si="123"/>
        <v>0</v>
      </c>
      <c r="AJ82" s="223">
        <f t="shared" si="123"/>
        <v>0</v>
      </c>
      <c r="AK82" s="223">
        <f t="shared" si="123"/>
        <v>0</v>
      </c>
      <c r="AL82" s="223">
        <f t="shared" si="123"/>
        <v>0</v>
      </c>
      <c r="AM82" s="223">
        <f t="shared" si="123"/>
        <v>0</v>
      </c>
      <c r="AN82" s="223">
        <f t="shared" si="123"/>
        <v>0</v>
      </c>
      <c r="AO82" s="223">
        <f t="shared" si="123"/>
        <v>0</v>
      </c>
      <c r="AP82" s="223">
        <f t="shared" si="123"/>
        <v>0</v>
      </c>
      <c r="AQ82" s="223">
        <f t="shared" si="119"/>
        <v>167581461</v>
      </c>
      <c r="AR82" s="231">
        <f t="shared" si="120"/>
        <v>3.0570517165894413E-3</v>
      </c>
      <c r="AS82" s="232">
        <f t="shared" si="121"/>
        <v>380598539</v>
      </c>
      <c r="AT82" s="231">
        <f t="shared" si="122"/>
        <v>69.429482834105585</v>
      </c>
      <c r="AU82" s="220" t="s">
        <v>576</v>
      </c>
      <c r="AV82" s="220" t="s">
        <v>560</v>
      </c>
      <c r="AW82" s="220" t="s">
        <v>4732</v>
      </c>
      <c r="AX82" s="223">
        <f>SUM(AX83:AX85)</f>
        <v>49105600</v>
      </c>
      <c r="AY82" s="223">
        <f>SUM(AY83:AY85)</f>
        <v>23771900</v>
      </c>
      <c r="AZ82" s="223">
        <f>SUM(AZ83:AZ85)</f>
        <v>454000</v>
      </c>
      <c r="BA82" s="223">
        <f>SUM(BA83:BA85)</f>
        <v>31588000</v>
      </c>
      <c r="BB82" s="223">
        <f t="shared" ref="BB82" si="124">SUM(BB83:BB85)</f>
        <v>10477701</v>
      </c>
      <c r="BC82" s="223">
        <f t="shared" ref="BC82:BD82" si="125">SUM(BC83:BC85)</f>
        <v>4081050</v>
      </c>
      <c r="BD82" s="223">
        <f t="shared" si="125"/>
        <v>13125750</v>
      </c>
      <c r="BE82" s="223">
        <f t="shared" ref="BE82" si="126">SUM(BE83:BE85)</f>
        <v>0</v>
      </c>
    </row>
    <row r="83" spans="2:59" x14ac:dyDescent="0.3">
      <c r="B83" s="288">
        <v>521211</v>
      </c>
      <c r="C83" s="220" t="s">
        <v>7</v>
      </c>
      <c r="D83" s="220"/>
      <c r="E83" s="220"/>
      <c r="F83" s="221">
        <v>10000000</v>
      </c>
      <c r="G83" s="221"/>
      <c r="H83" s="221"/>
      <c r="I83" s="221"/>
      <c r="J83" s="221"/>
      <c r="K83" s="221"/>
      <c r="L83" s="221"/>
      <c r="M83" s="221"/>
      <c r="N83" s="221">
        <v>2485000</v>
      </c>
      <c r="O83" s="221"/>
      <c r="P83" s="221"/>
      <c r="Q83" s="221"/>
      <c r="R83" s="221"/>
      <c r="S83" s="221"/>
      <c r="T83" s="221"/>
      <c r="U83" s="221">
        <v>2485000</v>
      </c>
      <c r="V83" s="221"/>
      <c r="W83" s="221"/>
      <c r="X83" s="221"/>
      <c r="Y83" s="221"/>
      <c r="Z83" s="221"/>
      <c r="AA83" s="221"/>
      <c r="AB83" s="221"/>
      <c r="AC83" s="221"/>
      <c r="AD83" s="221"/>
      <c r="AE83" s="221"/>
      <c r="AF83" s="221"/>
      <c r="AG83" s="221"/>
      <c r="AH83" s="221"/>
      <c r="AI83" s="221"/>
      <c r="AJ83" s="221"/>
      <c r="AK83" s="221"/>
      <c r="AL83" s="221"/>
      <c r="AM83" s="221"/>
      <c r="AN83" s="221"/>
      <c r="AO83" s="221"/>
      <c r="AP83" s="221"/>
      <c r="AQ83" s="221">
        <f t="shared" si="119"/>
        <v>4970000</v>
      </c>
      <c r="AR83" s="224">
        <f t="shared" si="120"/>
        <v>4.9699999999999996E-3</v>
      </c>
      <c r="AS83" s="225">
        <f t="shared" si="121"/>
        <v>5030000</v>
      </c>
      <c r="AT83" s="224">
        <f t="shared" si="122"/>
        <v>50.3</v>
      </c>
      <c r="AU83" s="220" t="s">
        <v>576</v>
      </c>
      <c r="AV83" s="220" t="s">
        <v>560</v>
      </c>
      <c r="AW83" s="220" t="s">
        <v>4732</v>
      </c>
      <c r="AX83" s="221">
        <v>2485000</v>
      </c>
      <c r="AY83" s="221"/>
      <c r="AZ83" s="302"/>
      <c r="BA83" s="221"/>
      <c r="BB83" s="221"/>
      <c r="BC83" s="221"/>
      <c r="BD83" s="221">
        <v>2485000</v>
      </c>
      <c r="BE83" s="221"/>
    </row>
    <row r="84" spans="2:59" x14ac:dyDescent="0.3">
      <c r="B84" s="288">
        <v>522192</v>
      </c>
      <c r="C84" s="220" t="s">
        <v>24</v>
      </c>
      <c r="D84" s="220"/>
      <c r="E84" s="220"/>
      <c r="F84" s="221">
        <v>23680000</v>
      </c>
      <c r="G84" s="221"/>
      <c r="H84" s="221"/>
      <c r="I84" s="221"/>
      <c r="J84" s="221"/>
      <c r="K84" s="221"/>
      <c r="L84" s="221"/>
      <c r="M84" s="221"/>
      <c r="N84" s="221">
        <f>1235000+454000</f>
        <v>1689000</v>
      </c>
      <c r="O84" s="221">
        <v>342000</v>
      </c>
      <c r="P84" s="221"/>
      <c r="Q84" s="221"/>
      <c r="R84" s="221"/>
      <c r="S84" s="221"/>
      <c r="T84" s="221"/>
      <c r="U84" s="221"/>
      <c r="V84" s="221"/>
      <c r="W84" s="221"/>
      <c r="X84" s="221"/>
      <c r="Y84" s="221"/>
      <c r="Z84" s="221"/>
      <c r="AA84" s="221"/>
      <c r="AB84" s="221"/>
      <c r="AC84" s="221"/>
      <c r="AD84" s="221"/>
      <c r="AE84" s="221"/>
      <c r="AF84" s="221"/>
      <c r="AG84" s="221"/>
      <c r="AH84" s="221"/>
      <c r="AI84" s="221"/>
      <c r="AJ84" s="221"/>
      <c r="AK84" s="221"/>
      <c r="AL84" s="221"/>
      <c r="AM84" s="221"/>
      <c r="AN84" s="221"/>
      <c r="AO84" s="221"/>
      <c r="AP84" s="221"/>
      <c r="AQ84" s="221">
        <f t="shared" si="119"/>
        <v>2031000</v>
      </c>
      <c r="AR84" s="224">
        <f t="shared" si="120"/>
        <v>8.5768581081081081E-4</v>
      </c>
      <c r="AS84" s="225">
        <f t="shared" si="121"/>
        <v>21649000</v>
      </c>
      <c r="AT84" s="224">
        <f t="shared" si="122"/>
        <v>91.423141891891888</v>
      </c>
      <c r="AU84" s="220" t="s">
        <v>576</v>
      </c>
      <c r="AV84" s="220" t="s">
        <v>560</v>
      </c>
      <c r="AW84" s="220" t="s">
        <v>4732</v>
      </c>
      <c r="AX84" s="221">
        <v>1235000</v>
      </c>
      <c r="AY84" s="221">
        <v>342000</v>
      </c>
      <c r="AZ84" s="302">
        <v>454000</v>
      </c>
      <c r="BA84" s="221"/>
      <c r="BB84" s="221"/>
      <c r="BC84" s="221"/>
      <c r="BD84" s="221"/>
      <c r="BE84" s="221"/>
    </row>
    <row r="85" spans="2:59" x14ac:dyDescent="0.3">
      <c r="B85" s="288">
        <v>524111</v>
      </c>
      <c r="C85" s="220" t="s">
        <v>19</v>
      </c>
      <c r="D85" s="220"/>
      <c r="E85" s="220"/>
      <c r="F85" s="221">
        <v>514500000</v>
      </c>
      <c r="G85" s="221"/>
      <c r="H85" s="221"/>
      <c r="I85" s="221"/>
      <c r="J85" s="221"/>
      <c r="K85" s="221"/>
      <c r="L85" s="221"/>
      <c r="M85" s="221"/>
      <c r="N85" s="221">
        <v>45385600</v>
      </c>
      <c r="O85" s="221">
        <v>23429900</v>
      </c>
      <c r="P85" s="221">
        <v>34977460</v>
      </c>
      <c r="Q85" s="221">
        <v>31588000</v>
      </c>
      <c r="R85" s="221"/>
      <c r="S85" s="221"/>
      <c r="T85" s="221">
        <f>10477701+4081050</f>
        <v>14558751</v>
      </c>
      <c r="U85" s="221">
        <v>10640750</v>
      </c>
      <c r="V85" s="221"/>
      <c r="W85" s="221"/>
      <c r="X85" s="221"/>
      <c r="Y85" s="221"/>
      <c r="Z85" s="221"/>
      <c r="AA85" s="221"/>
      <c r="AB85" s="221"/>
      <c r="AC85" s="221"/>
      <c r="AD85" s="221"/>
      <c r="AE85" s="221"/>
      <c r="AF85" s="221"/>
      <c r="AG85" s="221"/>
      <c r="AH85" s="221"/>
      <c r="AI85" s="221"/>
      <c r="AJ85" s="221"/>
      <c r="AK85" s="221"/>
      <c r="AL85" s="221"/>
      <c r="AM85" s="221"/>
      <c r="AN85" s="221"/>
      <c r="AO85" s="221"/>
      <c r="AP85" s="221"/>
      <c r="AQ85" s="221">
        <f t="shared" si="119"/>
        <v>160580461</v>
      </c>
      <c r="AR85" s="224">
        <f t="shared" si="120"/>
        <v>3.1210973955296405E-3</v>
      </c>
      <c r="AS85" s="225">
        <f t="shared" si="121"/>
        <v>353919539</v>
      </c>
      <c r="AT85" s="224">
        <f t="shared" si="122"/>
        <v>68.78902604470359</v>
      </c>
      <c r="AU85" s="220" t="s">
        <v>576</v>
      </c>
      <c r="AV85" s="220" t="s">
        <v>560</v>
      </c>
      <c r="AW85" s="220" t="s">
        <v>4732</v>
      </c>
      <c r="AX85" s="221">
        <v>45385600</v>
      </c>
      <c r="AY85" s="221">
        <v>23429900</v>
      </c>
      <c r="AZ85" s="302"/>
      <c r="BA85" s="221">
        <v>31588000</v>
      </c>
      <c r="BB85" s="221">
        <v>10477701</v>
      </c>
      <c r="BC85" s="221">
        <v>4081050</v>
      </c>
      <c r="BD85" s="221">
        <v>10640750</v>
      </c>
      <c r="BE85" s="221"/>
    </row>
    <row r="86" spans="2:59" x14ac:dyDescent="0.3">
      <c r="B86" s="290" t="s">
        <v>512</v>
      </c>
      <c r="C86" s="222" t="s">
        <v>1418</v>
      </c>
      <c r="D86" s="222"/>
      <c r="E86" s="222"/>
      <c r="F86" s="223">
        <f t="shared" ref="F86:AP86" si="127">SUM(F87:F90)</f>
        <v>74500000</v>
      </c>
      <c r="G86" s="223">
        <f t="shared" si="127"/>
        <v>0</v>
      </c>
      <c r="H86" s="223">
        <f t="shared" si="127"/>
        <v>0</v>
      </c>
      <c r="I86" s="223">
        <f t="shared" si="127"/>
        <v>0</v>
      </c>
      <c r="J86" s="223">
        <f t="shared" si="127"/>
        <v>0</v>
      </c>
      <c r="K86" s="223">
        <f t="shared" si="127"/>
        <v>0</v>
      </c>
      <c r="L86" s="223">
        <f t="shared" si="127"/>
        <v>0</v>
      </c>
      <c r="M86" s="223">
        <f t="shared" si="127"/>
        <v>0</v>
      </c>
      <c r="N86" s="223">
        <f t="shared" si="127"/>
        <v>600000</v>
      </c>
      <c r="O86" s="223">
        <f t="shared" si="127"/>
        <v>5277000</v>
      </c>
      <c r="P86" s="223">
        <f t="shared" si="127"/>
        <v>0</v>
      </c>
      <c r="Q86" s="223">
        <f t="shared" si="127"/>
        <v>0</v>
      </c>
      <c r="R86" s="223">
        <f t="shared" si="127"/>
        <v>0</v>
      </c>
      <c r="S86" s="223">
        <f t="shared" si="127"/>
        <v>0</v>
      </c>
      <c r="T86" s="223">
        <f t="shared" si="127"/>
        <v>7020000</v>
      </c>
      <c r="U86" s="223">
        <f t="shared" si="127"/>
        <v>29384740</v>
      </c>
      <c r="V86" s="223">
        <f t="shared" si="127"/>
        <v>0</v>
      </c>
      <c r="W86" s="223">
        <f t="shared" si="127"/>
        <v>0</v>
      </c>
      <c r="X86" s="223">
        <f t="shared" si="127"/>
        <v>0</v>
      </c>
      <c r="Y86" s="223">
        <f t="shared" si="127"/>
        <v>0</v>
      </c>
      <c r="Z86" s="223">
        <f t="shared" si="127"/>
        <v>0</v>
      </c>
      <c r="AA86" s="223">
        <f t="shared" si="127"/>
        <v>0</v>
      </c>
      <c r="AB86" s="223">
        <f t="shared" si="127"/>
        <v>0</v>
      </c>
      <c r="AC86" s="223">
        <f t="shared" si="127"/>
        <v>0</v>
      </c>
      <c r="AD86" s="223">
        <f t="shared" si="127"/>
        <v>0</v>
      </c>
      <c r="AE86" s="223">
        <f t="shared" si="127"/>
        <v>0</v>
      </c>
      <c r="AF86" s="223">
        <f t="shared" si="127"/>
        <v>0</v>
      </c>
      <c r="AG86" s="223">
        <f t="shared" si="127"/>
        <v>0</v>
      </c>
      <c r="AH86" s="223">
        <f t="shared" si="127"/>
        <v>0</v>
      </c>
      <c r="AI86" s="223">
        <f t="shared" si="127"/>
        <v>0</v>
      </c>
      <c r="AJ86" s="223">
        <f t="shared" si="127"/>
        <v>0</v>
      </c>
      <c r="AK86" s="223">
        <f t="shared" si="127"/>
        <v>0</v>
      </c>
      <c r="AL86" s="223">
        <f t="shared" si="127"/>
        <v>0</v>
      </c>
      <c r="AM86" s="223">
        <f t="shared" si="127"/>
        <v>0</v>
      </c>
      <c r="AN86" s="223">
        <f t="shared" si="127"/>
        <v>0</v>
      </c>
      <c r="AO86" s="223">
        <f t="shared" si="127"/>
        <v>0</v>
      </c>
      <c r="AP86" s="223">
        <f t="shared" si="127"/>
        <v>0</v>
      </c>
      <c r="AQ86" s="223">
        <f t="shared" si="119"/>
        <v>42281740</v>
      </c>
      <c r="AR86" s="231">
        <f t="shared" si="120"/>
        <v>5.6754013422818791E-3</v>
      </c>
      <c r="AS86" s="232">
        <f t="shared" si="121"/>
        <v>32218260</v>
      </c>
      <c r="AT86" s="231">
        <f t="shared" si="122"/>
        <v>43.245986577181206</v>
      </c>
      <c r="AU86" s="220" t="s">
        <v>576</v>
      </c>
      <c r="AV86" s="220" t="s">
        <v>560</v>
      </c>
      <c r="AW86" s="220" t="s">
        <v>4732</v>
      </c>
      <c r="AX86" s="223">
        <f t="shared" ref="AX86:BA86" si="128">SUM(AX87:AX90)</f>
        <v>600000</v>
      </c>
      <c r="AY86" s="223">
        <f t="shared" si="128"/>
        <v>5277000</v>
      </c>
      <c r="AZ86" s="223">
        <f t="shared" si="128"/>
        <v>0</v>
      </c>
      <c r="BA86" s="223">
        <f t="shared" si="128"/>
        <v>0</v>
      </c>
      <c r="BB86" s="223">
        <f t="shared" ref="BB86" si="129">SUM(BB87:BB90)</f>
        <v>3300000</v>
      </c>
      <c r="BC86" s="223">
        <f t="shared" ref="BC86:BD86" si="130">SUM(BC87:BC90)</f>
        <v>3720000</v>
      </c>
      <c r="BD86" s="223">
        <f t="shared" si="130"/>
        <v>29384740</v>
      </c>
      <c r="BE86" s="223">
        <f t="shared" ref="BE86" si="131">SUM(BE87:BE90)</f>
        <v>0</v>
      </c>
    </row>
    <row r="87" spans="2:59" x14ac:dyDescent="0.3">
      <c r="B87" s="288">
        <v>521211</v>
      </c>
      <c r="C87" s="220" t="s">
        <v>7</v>
      </c>
      <c r="D87" s="220"/>
      <c r="E87" s="220"/>
      <c r="F87" s="221">
        <v>46000000</v>
      </c>
      <c r="G87" s="221"/>
      <c r="H87" s="221"/>
      <c r="I87" s="221"/>
      <c r="J87" s="221"/>
      <c r="K87" s="221"/>
      <c r="L87" s="221"/>
      <c r="M87" s="221"/>
      <c r="N87" s="221"/>
      <c r="O87" s="221">
        <v>3987000</v>
      </c>
      <c r="P87" s="221"/>
      <c r="Q87" s="221"/>
      <c r="R87" s="221"/>
      <c r="S87" s="221"/>
      <c r="T87" s="221"/>
      <c r="U87" s="221">
        <v>29384740</v>
      </c>
      <c r="V87" s="221"/>
      <c r="W87" s="221"/>
      <c r="X87" s="221"/>
      <c r="Y87" s="221"/>
      <c r="Z87" s="221"/>
      <c r="AA87" s="221"/>
      <c r="AB87" s="221"/>
      <c r="AC87" s="221"/>
      <c r="AD87" s="221"/>
      <c r="AE87" s="221"/>
      <c r="AF87" s="221"/>
      <c r="AG87" s="221"/>
      <c r="AH87" s="221"/>
      <c r="AI87" s="221"/>
      <c r="AJ87" s="221"/>
      <c r="AK87" s="221"/>
      <c r="AL87" s="221"/>
      <c r="AM87" s="221"/>
      <c r="AN87" s="221"/>
      <c r="AO87" s="221"/>
      <c r="AP87" s="221"/>
      <c r="AQ87" s="221">
        <f t="shared" si="119"/>
        <v>33371740</v>
      </c>
      <c r="AR87" s="224">
        <f t="shared" si="120"/>
        <v>7.2547260869565222E-3</v>
      </c>
      <c r="AS87" s="225">
        <f t="shared" si="121"/>
        <v>12628260</v>
      </c>
      <c r="AT87" s="224">
        <f t="shared" si="122"/>
        <v>27.452739130434782</v>
      </c>
      <c r="AU87" s="220" t="s">
        <v>576</v>
      </c>
      <c r="AV87" s="220" t="s">
        <v>560</v>
      </c>
      <c r="AW87" s="220" t="s">
        <v>4732</v>
      </c>
      <c r="AX87" s="221"/>
      <c r="AY87" s="221">
        <v>3987000</v>
      </c>
      <c r="AZ87" s="302"/>
      <c r="BA87" s="221"/>
      <c r="BB87" s="221"/>
      <c r="BC87" s="221"/>
      <c r="BD87" s="221">
        <v>29384740</v>
      </c>
      <c r="BE87" s="221"/>
    </row>
    <row r="88" spans="2:59" x14ac:dyDescent="0.3">
      <c r="B88" s="288">
        <v>522141</v>
      </c>
      <c r="C88" s="220" t="s">
        <v>95</v>
      </c>
      <c r="D88" s="220"/>
      <c r="E88" s="220"/>
      <c r="F88" s="221">
        <v>6000000</v>
      </c>
      <c r="G88" s="221"/>
      <c r="H88" s="221"/>
      <c r="I88" s="221"/>
      <c r="J88" s="221"/>
      <c r="K88" s="221"/>
      <c r="L88" s="221"/>
      <c r="M88" s="221"/>
      <c r="N88" s="221"/>
      <c r="O88" s="221"/>
      <c r="P88" s="221"/>
      <c r="Q88" s="221"/>
      <c r="R88" s="221"/>
      <c r="S88" s="221"/>
      <c r="T88" s="221"/>
      <c r="U88" s="221"/>
      <c r="V88" s="221"/>
      <c r="W88" s="221"/>
      <c r="X88" s="221"/>
      <c r="Y88" s="221"/>
      <c r="Z88" s="221"/>
      <c r="AA88" s="221"/>
      <c r="AB88" s="221"/>
      <c r="AC88" s="221"/>
      <c r="AD88" s="221"/>
      <c r="AE88" s="221"/>
      <c r="AF88" s="221"/>
      <c r="AG88" s="221"/>
      <c r="AH88" s="221"/>
      <c r="AI88" s="221"/>
      <c r="AJ88" s="221"/>
      <c r="AK88" s="221"/>
      <c r="AL88" s="221"/>
      <c r="AM88" s="221"/>
      <c r="AN88" s="221"/>
      <c r="AO88" s="221"/>
      <c r="AP88" s="221"/>
      <c r="AQ88" s="221">
        <f t="shared" si="119"/>
        <v>0</v>
      </c>
      <c r="AR88" s="224">
        <f t="shared" si="120"/>
        <v>0</v>
      </c>
      <c r="AS88" s="225">
        <f t="shared" si="121"/>
        <v>6000000</v>
      </c>
      <c r="AT88" s="224">
        <f t="shared" si="122"/>
        <v>100</v>
      </c>
      <c r="AU88" s="220" t="s">
        <v>576</v>
      </c>
      <c r="AV88" s="220" t="s">
        <v>560</v>
      </c>
      <c r="AW88" s="220" t="s">
        <v>4732</v>
      </c>
      <c r="AX88" s="221"/>
      <c r="AY88" s="221"/>
      <c r="AZ88" s="302"/>
      <c r="BA88" s="221"/>
      <c r="BB88" s="221"/>
      <c r="BC88" s="221"/>
      <c r="BD88" s="221"/>
      <c r="BE88" s="221"/>
    </row>
    <row r="89" spans="2:59" x14ac:dyDescent="0.3">
      <c r="B89" s="288">
        <v>524111</v>
      </c>
      <c r="C89" s="220" t="s">
        <v>19</v>
      </c>
      <c r="D89" s="220"/>
      <c r="E89" s="220"/>
      <c r="F89" s="221">
        <v>18000000</v>
      </c>
      <c r="G89" s="221"/>
      <c r="H89" s="221"/>
      <c r="I89" s="221"/>
      <c r="J89" s="221"/>
      <c r="K89" s="221"/>
      <c r="L89" s="221"/>
      <c r="M89" s="221"/>
      <c r="N89" s="221"/>
      <c r="O89" s="221">
        <v>1290000</v>
      </c>
      <c r="P89" s="221"/>
      <c r="Q89" s="221"/>
      <c r="R89" s="221"/>
      <c r="S89" s="221"/>
      <c r="T89" s="221">
        <f>3300000+3720000</f>
        <v>7020000</v>
      </c>
      <c r="U89" s="221"/>
      <c r="V89" s="221"/>
      <c r="W89" s="221"/>
      <c r="X89" s="221"/>
      <c r="Y89" s="221"/>
      <c r="Z89" s="221"/>
      <c r="AA89" s="221"/>
      <c r="AB89" s="221"/>
      <c r="AC89" s="221"/>
      <c r="AD89" s="221"/>
      <c r="AE89" s="221"/>
      <c r="AF89" s="221"/>
      <c r="AG89" s="221"/>
      <c r="AH89" s="221"/>
      <c r="AI89" s="221"/>
      <c r="AJ89" s="221"/>
      <c r="AK89" s="221"/>
      <c r="AL89" s="221"/>
      <c r="AM89" s="221"/>
      <c r="AN89" s="221"/>
      <c r="AO89" s="221"/>
      <c r="AP89" s="221"/>
      <c r="AQ89" s="221">
        <f t="shared" si="119"/>
        <v>8310000</v>
      </c>
      <c r="AR89" s="224">
        <f t="shared" si="120"/>
        <v>4.6166666666666665E-3</v>
      </c>
      <c r="AS89" s="225">
        <f t="shared" si="121"/>
        <v>9690000</v>
      </c>
      <c r="AT89" s="224">
        <f t="shared" si="122"/>
        <v>53.833333333333336</v>
      </c>
      <c r="AU89" s="220" t="s">
        <v>576</v>
      </c>
      <c r="AV89" s="220" t="s">
        <v>560</v>
      </c>
      <c r="AW89" s="220" t="s">
        <v>4732</v>
      </c>
      <c r="AX89" s="221"/>
      <c r="AY89" s="221">
        <v>1290000</v>
      </c>
      <c r="AZ89" s="302"/>
      <c r="BA89" s="221"/>
      <c r="BB89" s="221">
        <v>3300000</v>
      </c>
      <c r="BC89" s="221">
        <v>3720000</v>
      </c>
      <c r="BD89" s="221"/>
      <c r="BE89" s="221"/>
      <c r="BG89" t="s">
        <v>4644</v>
      </c>
    </row>
    <row r="90" spans="2:59" x14ac:dyDescent="0.3">
      <c r="B90" s="288">
        <v>524113</v>
      </c>
      <c r="C90" s="220" t="s">
        <v>13</v>
      </c>
      <c r="D90" s="220"/>
      <c r="E90" s="220"/>
      <c r="F90" s="221">
        <v>4500000</v>
      </c>
      <c r="G90" s="221"/>
      <c r="H90" s="221"/>
      <c r="I90" s="221"/>
      <c r="J90" s="221"/>
      <c r="K90" s="221"/>
      <c r="L90" s="221"/>
      <c r="M90" s="221"/>
      <c r="N90" s="221">
        <v>600000</v>
      </c>
      <c r="O90" s="221"/>
      <c r="P90" s="221"/>
      <c r="Q90" s="221"/>
      <c r="R90" s="221"/>
      <c r="S90" s="221"/>
      <c r="T90" s="221"/>
      <c r="U90" s="221"/>
      <c r="V90" s="221"/>
      <c r="W90" s="221"/>
      <c r="X90" s="221"/>
      <c r="Y90" s="221"/>
      <c r="Z90" s="221"/>
      <c r="AA90" s="221"/>
      <c r="AB90" s="221"/>
      <c r="AC90" s="221"/>
      <c r="AD90" s="221"/>
      <c r="AE90" s="221"/>
      <c r="AF90" s="221"/>
      <c r="AG90" s="221"/>
      <c r="AH90" s="221"/>
      <c r="AI90" s="221"/>
      <c r="AJ90" s="221"/>
      <c r="AK90" s="221"/>
      <c r="AL90" s="221"/>
      <c r="AM90" s="221"/>
      <c r="AN90" s="221"/>
      <c r="AO90" s="221"/>
      <c r="AP90" s="221"/>
      <c r="AQ90" s="221">
        <f t="shared" si="119"/>
        <v>600000</v>
      </c>
      <c r="AR90" s="224">
        <f t="shared" si="120"/>
        <v>1.3333333333333333E-3</v>
      </c>
      <c r="AS90" s="225">
        <f t="shared" si="121"/>
        <v>3900000</v>
      </c>
      <c r="AT90" s="224">
        <f t="shared" si="122"/>
        <v>86.666666666666671</v>
      </c>
      <c r="AU90" s="220" t="s">
        <v>576</v>
      </c>
      <c r="AV90" s="220" t="s">
        <v>560</v>
      </c>
      <c r="AW90" s="220" t="s">
        <v>4732</v>
      </c>
      <c r="AX90" s="221">
        <v>600000</v>
      </c>
      <c r="AY90" s="221"/>
      <c r="AZ90" s="302"/>
      <c r="BA90" s="221"/>
      <c r="BB90" s="221"/>
      <c r="BC90" s="221"/>
      <c r="BD90" s="221"/>
      <c r="BE90" s="221"/>
    </row>
    <row r="91" spans="2:59" x14ac:dyDescent="0.3">
      <c r="B91" s="290" t="s">
        <v>514</v>
      </c>
      <c r="C91" s="222" t="s">
        <v>151</v>
      </c>
      <c r="D91" s="222"/>
      <c r="E91" s="222"/>
      <c r="F91" s="223">
        <f t="shared" ref="F91:AP91" si="132">SUM(F92:F94)</f>
        <v>101050000</v>
      </c>
      <c r="G91" s="223">
        <f t="shared" si="132"/>
        <v>0</v>
      </c>
      <c r="H91" s="223">
        <f t="shared" si="132"/>
        <v>0</v>
      </c>
      <c r="I91" s="223">
        <f t="shared" si="132"/>
        <v>0</v>
      </c>
      <c r="J91" s="223">
        <f t="shared" si="132"/>
        <v>0</v>
      </c>
      <c r="K91" s="223">
        <f t="shared" si="132"/>
        <v>0</v>
      </c>
      <c r="L91" s="223">
        <f t="shared" si="132"/>
        <v>0</v>
      </c>
      <c r="M91" s="223">
        <f t="shared" si="132"/>
        <v>0</v>
      </c>
      <c r="N91" s="223">
        <f t="shared" si="132"/>
        <v>4907400</v>
      </c>
      <c r="O91" s="223">
        <f t="shared" si="132"/>
        <v>8779000</v>
      </c>
      <c r="P91" s="223">
        <f t="shared" si="132"/>
        <v>14352838</v>
      </c>
      <c r="Q91" s="223">
        <f t="shared" si="132"/>
        <v>1410000</v>
      </c>
      <c r="R91" s="223">
        <f t="shared" si="132"/>
        <v>0</v>
      </c>
      <c r="S91" s="223">
        <f t="shared" si="132"/>
        <v>0</v>
      </c>
      <c r="T91" s="223">
        <f t="shared" si="132"/>
        <v>0</v>
      </c>
      <c r="U91" s="223">
        <f t="shared" si="132"/>
        <v>3691500</v>
      </c>
      <c r="V91" s="223">
        <f t="shared" si="132"/>
        <v>0</v>
      </c>
      <c r="W91" s="223">
        <f t="shared" si="132"/>
        <v>0</v>
      </c>
      <c r="X91" s="223">
        <f t="shared" si="132"/>
        <v>0</v>
      </c>
      <c r="Y91" s="223">
        <f t="shared" si="132"/>
        <v>0</v>
      </c>
      <c r="Z91" s="223">
        <f t="shared" si="132"/>
        <v>0</v>
      </c>
      <c r="AA91" s="223">
        <f t="shared" si="132"/>
        <v>0</v>
      </c>
      <c r="AB91" s="223">
        <f t="shared" si="132"/>
        <v>0</v>
      </c>
      <c r="AC91" s="223">
        <f t="shared" si="132"/>
        <v>0</v>
      </c>
      <c r="AD91" s="223">
        <f t="shared" si="132"/>
        <v>0</v>
      </c>
      <c r="AE91" s="223">
        <f t="shared" si="132"/>
        <v>0</v>
      </c>
      <c r="AF91" s="223">
        <f t="shared" si="132"/>
        <v>0</v>
      </c>
      <c r="AG91" s="223">
        <f t="shared" si="132"/>
        <v>0</v>
      </c>
      <c r="AH91" s="223">
        <f t="shared" si="132"/>
        <v>0</v>
      </c>
      <c r="AI91" s="223">
        <f t="shared" si="132"/>
        <v>0</v>
      </c>
      <c r="AJ91" s="223">
        <f t="shared" si="132"/>
        <v>0</v>
      </c>
      <c r="AK91" s="223">
        <f t="shared" si="132"/>
        <v>0</v>
      </c>
      <c r="AL91" s="223">
        <f t="shared" si="132"/>
        <v>0</v>
      </c>
      <c r="AM91" s="223">
        <f t="shared" si="132"/>
        <v>0</v>
      </c>
      <c r="AN91" s="223">
        <f t="shared" si="132"/>
        <v>0</v>
      </c>
      <c r="AO91" s="223">
        <f t="shared" si="132"/>
        <v>0</v>
      </c>
      <c r="AP91" s="223">
        <f t="shared" si="132"/>
        <v>0</v>
      </c>
      <c r="AQ91" s="223">
        <f t="shared" si="119"/>
        <v>33140738</v>
      </c>
      <c r="AR91" s="231">
        <f t="shared" si="120"/>
        <v>3.2796376051459674E-3</v>
      </c>
      <c r="AS91" s="232">
        <f t="shared" si="121"/>
        <v>67909262</v>
      </c>
      <c r="AT91" s="231">
        <f t="shared" si="122"/>
        <v>67.203623948540326</v>
      </c>
      <c r="AU91" s="220" t="s">
        <v>576</v>
      </c>
      <c r="AV91" s="220" t="s">
        <v>560</v>
      </c>
      <c r="AW91" s="220" t="s">
        <v>4732</v>
      </c>
      <c r="AX91" s="223">
        <f t="shared" ref="AX91:BA91" si="133">SUM(AX92:AX94)</f>
        <v>4907400</v>
      </c>
      <c r="AY91" s="223">
        <f t="shared" si="133"/>
        <v>8779000</v>
      </c>
      <c r="AZ91" s="223">
        <f t="shared" si="133"/>
        <v>0</v>
      </c>
      <c r="BA91" s="223">
        <f t="shared" si="133"/>
        <v>1410000</v>
      </c>
      <c r="BB91" s="223">
        <f t="shared" ref="BB91" si="134">SUM(BB92:BB94)</f>
        <v>0</v>
      </c>
      <c r="BC91" s="223">
        <f t="shared" ref="BC91:BD91" si="135">SUM(BC92:BC94)</f>
        <v>0</v>
      </c>
      <c r="BD91" s="223">
        <f t="shared" si="135"/>
        <v>3691500</v>
      </c>
      <c r="BE91" s="223">
        <f t="shared" ref="BE91" si="136">SUM(BE92:BE94)</f>
        <v>0</v>
      </c>
    </row>
    <row r="92" spans="2:59" x14ac:dyDescent="0.3">
      <c r="B92" s="288">
        <v>521211</v>
      </c>
      <c r="C92" s="220" t="s">
        <v>7</v>
      </c>
      <c r="D92" s="220"/>
      <c r="E92" s="220"/>
      <c r="F92" s="221">
        <v>28000000</v>
      </c>
      <c r="G92" s="221"/>
      <c r="H92" s="221"/>
      <c r="I92" s="221"/>
      <c r="J92" s="221"/>
      <c r="K92" s="221"/>
      <c r="L92" s="221"/>
      <c r="M92" s="221"/>
      <c r="N92" s="221"/>
      <c r="O92" s="221">
        <v>5459000</v>
      </c>
      <c r="P92" s="221"/>
      <c r="Q92" s="221"/>
      <c r="R92" s="221"/>
      <c r="S92" s="221"/>
      <c r="T92" s="221"/>
      <c r="U92" s="221"/>
      <c r="V92" s="221"/>
      <c r="W92" s="221"/>
      <c r="X92" s="221"/>
      <c r="Y92" s="221"/>
      <c r="Z92" s="221"/>
      <c r="AA92" s="221"/>
      <c r="AB92" s="221"/>
      <c r="AC92" s="221"/>
      <c r="AD92" s="221"/>
      <c r="AE92" s="221"/>
      <c r="AF92" s="221"/>
      <c r="AG92" s="221"/>
      <c r="AH92" s="221"/>
      <c r="AI92" s="221"/>
      <c r="AJ92" s="221"/>
      <c r="AK92" s="221"/>
      <c r="AL92" s="221"/>
      <c r="AM92" s="221"/>
      <c r="AN92" s="221"/>
      <c r="AO92" s="221"/>
      <c r="AP92" s="221"/>
      <c r="AQ92" s="221">
        <f t="shared" si="119"/>
        <v>5459000</v>
      </c>
      <c r="AR92" s="224">
        <f t="shared" si="120"/>
        <v>1.949642857142857E-3</v>
      </c>
      <c r="AS92" s="225">
        <f t="shared" si="121"/>
        <v>22541000</v>
      </c>
      <c r="AT92" s="224">
        <f t="shared" si="122"/>
        <v>80.503571428571433</v>
      </c>
      <c r="AU92" s="220" t="s">
        <v>576</v>
      </c>
      <c r="AV92" s="220" t="s">
        <v>560</v>
      </c>
      <c r="AW92" s="220" t="s">
        <v>4732</v>
      </c>
      <c r="AX92" s="221"/>
      <c r="AY92" s="221">
        <v>5459000</v>
      </c>
      <c r="AZ92" s="302"/>
      <c r="BA92" s="221"/>
      <c r="BB92" s="221"/>
      <c r="BC92" s="221"/>
      <c r="BD92" s="221"/>
      <c r="BE92" s="221"/>
    </row>
    <row r="93" spans="2:59" x14ac:dyDescent="0.3">
      <c r="B93" s="288">
        <v>524111</v>
      </c>
      <c r="C93" s="220" t="s">
        <v>19</v>
      </c>
      <c r="D93" s="220"/>
      <c r="E93" s="220"/>
      <c r="F93" s="221">
        <v>71250000</v>
      </c>
      <c r="G93" s="221"/>
      <c r="H93" s="221"/>
      <c r="I93" s="221"/>
      <c r="J93" s="221"/>
      <c r="K93" s="221"/>
      <c r="L93" s="221"/>
      <c r="M93" s="221"/>
      <c r="N93" s="221">
        <v>4907400</v>
      </c>
      <c r="O93" s="221">
        <v>3320000</v>
      </c>
      <c r="P93" s="221">
        <v>14352838</v>
      </c>
      <c r="Q93" s="221">
        <v>1410000</v>
      </c>
      <c r="R93" s="221"/>
      <c r="S93" s="221"/>
      <c r="T93" s="221"/>
      <c r="U93" s="221">
        <v>3691500</v>
      </c>
      <c r="V93" s="221"/>
      <c r="W93" s="221"/>
      <c r="X93" s="221"/>
      <c r="Y93" s="221"/>
      <c r="Z93" s="221"/>
      <c r="AA93" s="221"/>
      <c r="AB93" s="221"/>
      <c r="AC93" s="221"/>
      <c r="AD93" s="221"/>
      <c r="AE93" s="221"/>
      <c r="AF93" s="221"/>
      <c r="AG93" s="221"/>
      <c r="AH93" s="221"/>
      <c r="AI93" s="221"/>
      <c r="AJ93" s="221"/>
      <c r="AK93" s="221"/>
      <c r="AL93" s="221"/>
      <c r="AM93" s="221"/>
      <c r="AN93" s="221"/>
      <c r="AO93" s="221"/>
      <c r="AP93" s="221"/>
      <c r="AQ93" s="221">
        <f t="shared" si="119"/>
        <v>27681738</v>
      </c>
      <c r="AR93" s="224">
        <f t="shared" si="120"/>
        <v>3.8851562105263159E-3</v>
      </c>
      <c r="AS93" s="225">
        <f t="shared" si="121"/>
        <v>43568262</v>
      </c>
      <c r="AT93" s="224">
        <f t="shared" si="122"/>
        <v>61.148437894736837</v>
      </c>
      <c r="AU93" s="220" t="s">
        <v>576</v>
      </c>
      <c r="AV93" s="220" t="s">
        <v>560</v>
      </c>
      <c r="AW93" s="220" t="s">
        <v>4732</v>
      </c>
      <c r="AX93" s="221">
        <v>4907400</v>
      </c>
      <c r="AY93" s="221">
        <v>3320000</v>
      </c>
      <c r="AZ93" s="302"/>
      <c r="BA93" s="221">
        <v>1410000</v>
      </c>
      <c r="BB93" s="221"/>
      <c r="BC93" s="221"/>
      <c r="BD93" s="221">
        <v>3691500</v>
      </c>
      <c r="BE93" s="221"/>
    </row>
    <row r="94" spans="2:59" x14ac:dyDescent="0.3">
      <c r="B94" s="288">
        <v>524113</v>
      </c>
      <c r="C94" s="220" t="s">
        <v>13</v>
      </c>
      <c r="D94" s="220"/>
      <c r="E94" s="220"/>
      <c r="F94" s="221">
        <v>1800000</v>
      </c>
      <c r="G94" s="221"/>
      <c r="H94" s="221"/>
      <c r="I94" s="221"/>
      <c r="J94" s="221"/>
      <c r="K94" s="221"/>
      <c r="L94" s="221"/>
      <c r="M94" s="221"/>
      <c r="N94" s="221"/>
      <c r="O94" s="221"/>
      <c r="P94" s="221"/>
      <c r="Q94" s="221"/>
      <c r="R94" s="221"/>
      <c r="S94" s="221"/>
      <c r="T94" s="221"/>
      <c r="U94" s="221"/>
      <c r="V94" s="221"/>
      <c r="W94" s="221"/>
      <c r="X94" s="221"/>
      <c r="Y94" s="221"/>
      <c r="Z94" s="221"/>
      <c r="AA94" s="221"/>
      <c r="AB94" s="221"/>
      <c r="AC94" s="221"/>
      <c r="AD94" s="221"/>
      <c r="AE94" s="221"/>
      <c r="AF94" s="221"/>
      <c r="AG94" s="221"/>
      <c r="AH94" s="221"/>
      <c r="AI94" s="221"/>
      <c r="AJ94" s="221"/>
      <c r="AK94" s="221"/>
      <c r="AL94" s="221"/>
      <c r="AM94" s="221"/>
      <c r="AN94" s="221"/>
      <c r="AO94" s="221"/>
      <c r="AP94" s="221"/>
      <c r="AQ94" s="221">
        <f t="shared" si="119"/>
        <v>0</v>
      </c>
      <c r="AR94" s="224">
        <f t="shared" si="120"/>
        <v>0</v>
      </c>
      <c r="AS94" s="225">
        <f t="shared" si="121"/>
        <v>1800000</v>
      </c>
      <c r="AT94" s="224">
        <f t="shared" si="122"/>
        <v>100</v>
      </c>
      <c r="AU94" s="220" t="s">
        <v>576</v>
      </c>
      <c r="AV94" s="220" t="s">
        <v>560</v>
      </c>
      <c r="AW94" s="220" t="s">
        <v>4732</v>
      </c>
      <c r="AX94" s="221"/>
      <c r="AY94" s="221"/>
      <c r="AZ94" s="302"/>
      <c r="BA94" s="221"/>
      <c r="BB94" s="221"/>
      <c r="BC94" s="221"/>
      <c r="BD94" s="221"/>
      <c r="BE94" s="221"/>
    </row>
    <row r="95" spans="2:59" x14ac:dyDescent="0.3">
      <c r="B95" s="290" t="s">
        <v>519</v>
      </c>
      <c r="C95" s="222" t="s">
        <v>152</v>
      </c>
      <c r="D95" s="222"/>
      <c r="E95" s="222"/>
      <c r="F95" s="223">
        <f t="shared" ref="F95:AP95" si="137">SUM(F96:F101)</f>
        <v>411672000</v>
      </c>
      <c r="G95" s="223">
        <f t="shared" si="137"/>
        <v>0</v>
      </c>
      <c r="H95" s="223">
        <f t="shared" si="137"/>
        <v>0</v>
      </c>
      <c r="I95" s="223">
        <f t="shared" si="137"/>
        <v>0</v>
      </c>
      <c r="J95" s="223">
        <f t="shared" si="137"/>
        <v>0</v>
      </c>
      <c r="K95" s="223">
        <f t="shared" si="137"/>
        <v>0</v>
      </c>
      <c r="L95" s="223">
        <f t="shared" si="137"/>
        <v>0</v>
      </c>
      <c r="M95" s="223">
        <f t="shared" si="137"/>
        <v>0</v>
      </c>
      <c r="N95" s="223">
        <f t="shared" si="137"/>
        <v>13360000</v>
      </c>
      <c r="O95" s="223">
        <f t="shared" si="137"/>
        <v>74319450</v>
      </c>
      <c r="P95" s="223">
        <f t="shared" si="137"/>
        <v>3712700</v>
      </c>
      <c r="Q95" s="223">
        <f t="shared" si="137"/>
        <v>3229000</v>
      </c>
      <c r="R95" s="223">
        <f t="shared" si="137"/>
        <v>0</v>
      </c>
      <c r="S95" s="223">
        <f t="shared" si="137"/>
        <v>0</v>
      </c>
      <c r="T95" s="223">
        <f t="shared" si="137"/>
        <v>5608000</v>
      </c>
      <c r="U95" s="223">
        <f t="shared" si="137"/>
        <v>31126830</v>
      </c>
      <c r="V95" s="223">
        <f t="shared" si="137"/>
        <v>0</v>
      </c>
      <c r="W95" s="223">
        <f t="shared" si="137"/>
        <v>0</v>
      </c>
      <c r="X95" s="223">
        <f t="shared" si="137"/>
        <v>0</v>
      </c>
      <c r="Y95" s="223">
        <f t="shared" si="137"/>
        <v>0</v>
      </c>
      <c r="Z95" s="223">
        <f t="shared" si="137"/>
        <v>0</v>
      </c>
      <c r="AA95" s="223">
        <f t="shared" si="137"/>
        <v>0</v>
      </c>
      <c r="AB95" s="223">
        <f t="shared" si="137"/>
        <v>0</v>
      </c>
      <c r="AC95" s="223">
        <f t="shared" si="137"/>
        <v>0</v>
      </c>
      <c r="AD95" s="223">
        <f t="shared" si="137"/>
        <v>0</v>
      </c>
      <c r="AE95" s="223">
        <f t="shared" si="137"/>
        <v>0</v>
      </c>
      <c r="AF95" s="223">
        <f t="shared" si="137"/>
        <v>0</v>
      </c>
      <c r="AG95" s="223">
        <f t="shared" si="137"/>
        <v>0</v>
      </c>
      <c r="AH95" s="223">
        <f t="shared" si="137"/>
        <v>0</v>
      </c>
      <c r="AI95" s="223">
        <f t="shared" si="137"/>
        <v>0</v>
      </c>
      <c r="AJ95" s="223">
        <f t="shared" si="137"/>
        <v>0</v>
      </c>
      <c r="AK95" s="223">
        <f t="shared" si="137"/>
        <v>0</v>
      </c>
      <c r="AL95" s="223">
        <f t="shared" si="137"/>
        <v>0</v>
      </c>
      <c r="AM95" s="223">
        <f t="shared" si="137"/>
        <v>0</v>
      </c>
      <c r="AN95" s="223">
        <f t="shared" si="137"/>
        <v>0</v>
      </c>
      <c r="AO95" s="223">
        <f t="shared" si="137"/>
        <v>0</v>
      </c>
      <c r="AP95" s="223">
        <f t="shared" si="137"/>
        <v>0</v>
      </c>
      <c r="AQ95" s="223">
        <f t="shared" si="119"/>
        <v>131355980</v>
      </c>
      <c r="AR95" s="231">
        <f t="shared" si="120"/>
        <v>3.1907921840688704E-3</v>
      </c>
      <c r="AS95" s="232">
        <f t="shared" si="121"/>
        <v>280316020</v>
      </c>
      <c r="AT95" s="231">
        <f t="shared" si="122"/>
        <v>68.092078159311299</v>
      </c>
      <c r="AU95" s="220" t="s">
        <v>576</v>
      </c>
      <c r="AV95" s="220" t="s">
        <v>560</v>
      </c>
      <c r="AW95" s="220" t="s">
        <v>4732</v>
      </c>
      <c r="AX95" s="223">
        <f t="shared" ref="AX95:BA95" si="138">SUM(AX96:AX101)</f>
        <v>1560000</v>
      </c>
      <c r="AY95" s="223">
        <f t="shared" si="138"/>
        <v>74319450</v>
      </c>
      <c r="AZ95" s="223">
        <f t="shared" si="138"/>
        <v>11800000</v>
      </c>
      <c r="BA95" s="223">
        <f t="shared" si="138"/>
        <v>3229000</v>
      </c>
      <c r="BB95" s="223">
        <f t="shared" ref="BB95" si="139">SUM(BB96:BB101)</f>
        <v>1860000</v>
      </c>
      <c r="BC95" s="223">
        <f t="shared" ref="BC95:BD95" si="140">SUM(BC96:BC101)</f>
        <v>3748000</v>
      </c>
      <c r="BD95" s="223">
        <f t="shared" si="140"/>
        <v>31126830</v>
      </c>
      <c r="BE95" s="223">
        <f t="shared" ref="BE95" si="141">SUM(BE96:BE101)</f>
        <v>0</v>
      </c>
    </row>
    <row r="96" spans="2:59" x14ac:dyDescent="0.3">
      <c r="B96" s="288">
        <v>521211</v>
      </c>
      <c r="C96" s="220" t="s">
        <v>7</v>
      </c>
      <c r="D96" s="220"/>
      <c r="E96" s="220"/>
      <c r="F96" s="221">
        <v>57600000</v>
      </c>
      <c r="G96" s="221"/>
      <c r="H96" s="221"/>
      <c r="I96" s="221"/>
      <c r="J96" s="221"/>
      <c r="K96" s="221"/>
      <c r="L96" s="221"/>
      <c r="M96" s="221"/>
      <c r="N96" s="221"/>
      <c r="O96" s="221">
        <v>31495000</v>
      </c>
      <c r="P96" s="221"/>
      <c r="Q96" s="221"/>
      <c r="R96" s="221"/>
      <c r="S96" s="221"/>
      <c r="T96" s="221"/>
      <c r="U96" s="221">
        <v>6600000</v>
      </c>
      <c r="V96" s="221"/>
      <c r="W96" s="221"/>
      <c r="X96" s="221"/>
      <c r="Y96" s="221"/>
      <c r="Z96" s="221"/>
      <c r="AA96" s="221"/>
      <c r="AB96" s="221"/>
      <c r="AC96" s="221"/>
      <c r="AD96" s="221"/>
      <c r="AE96" s="221"/>
      <c r="AF96" s="221"/>
      <c r="AG96" s="221"/>
      <c r="AH96" s="221"/>
      <c r="AI96" s="221"/>
      <c r="AJ96" s="221"/>
      <c r="AK96" s="221"/>
      <c r="AL96" s="221"/>
      <c r="AM96" s="221"/>
      <c r="AN96" s="221"/>
      <c r="AO96" s="221"/>
      <c r="AP96" s="221"/>
      <c r="AQ96" s="221">
        <f t="shared" si="119"/>
        <v>38095000</v>
      </c>
      <c r="AR96" s="224">
        <f t="shared" si="120"/>
        <v>6.6137152777777774E-3</v>
      </c>
      <c r="AS96" s="225">
        <f t="shared" si="121"/>
        <v>19505000</v>
      </c>
      <c r="AT96" s="224">
        <f t="shared" si="122"/>
        <v>33.862847222222221</v>
      </c>
      <c r="AU96" s="220" t="s">
        <v>576</v>
      </c>
      <c r="AV96" s="220" t="s">
        <v>560</v>
      </c>
      <c r="AW96" s="220" t="s">
        <v>4732</v>
      </c>
      <c r="AX96" s="221"/>
      <c r="AY96" s="221">
        <v>31495000</v>
      </c>
      <c r="AZ96" s="302"/>
      <c r="BA96" s="221"/>
      <c r="BB96" s="221"/>
      <c r="BC96" s="221"/>
      <c r="BD96" s="221">
        <v>6600000</v>
      </c>
      <c r="BE96" s="221"/>
    </row>
    <row r="97" spans="2:57" x14ac:dyDescent="0.3">
      <c r="B97" s="288">
        <v>521241</v>
      </c>
      <c r="C97" s="220" t="s">
        <v>642</v>
      </c>
      <c r="D97" s="220"/>
      <c r="E97" s="220"/>
      <c r="F97" s="221">
        <v>226200000</v>
      </c>
      <c r="G97" s="221"/>
      <c r="H97" s="221"/>
      <c r="I97" s="221"/>
      <c r="J97" s="221"/>
      <c r="K97" s="221"/>
      <c r="L97" s="221"/>
      <c r="M97" s="221"/>
      <c r="N97" s="302">
        <v>11800000</v>
      </c>
      <c r="O97" s="221">
        <v>35332450</v>
      </c>
      <c r="P97" s="221"/>
      <c r="Q97" s="221"/>
      <c r="R97" s="221"/>
      <c r="S97" s="221"/>
      <c r="T97" s="221"/>
      <c r="U97" s="221">
        <v>20031830</v>
      </c>
      <c r="V97" s="221"/>
      <c r="W97" s="221"/>
      <c r="X97" s="221"/>
      <c r="Y97" s="221"/>
      <c r="Z97" s="221"/>
      <c r="AA97" s="221"/>
      <c r="AB97" s="221"/>
      <c r="AC97" s="221"/>
      <c r="AD97" s="221"/>
      <c r="AE97" s="221"/>
      <c r="AF97" s="221"/>
      <c r="AG97" s="221"/>
      <c r="AH97" s="221"/>
      <c r="AI97" s="221"/>
      <c r="AJ97" s="221"/>
      <c r="AK97" s="221"/>
      <c r="AL97" s="221"/>
      <c r="AM97" s="221"/>
      <c r="AN97" s="221"/>
      <c r="AO97" s="221"/>
      <c r="AP97" s="221"/>
      <c r="AQ97" s="221">
        <f t="shared" si="119"/>
        <v>67164280</v>
      </c>
      <c r="AR97" s="224">
        <f t="shared" si="120"/>
        <v>2.9692431476569408E-3</v>
      </c>
      <c r="AS97" s="225">
        <f t="shared" si="121"/>
        <v>159035720</v>
      </c>
      <c r="AT97" s="224">
        <f t="shared" si="122"/>
        <v>70.307568523430604</v>
      </c>
      <c r="AU97" s="220" t="s">
        <v>576</v>
      </c>
      <c r="AV97" s="220" t="s">
        <v>560</v>
      </c>
      <c r="AW97" s="220" t="s">
        <v>4732</v>
      </c>
      <c r="AX97" s="221"/>
      <c r="AY97" s="221">
        <v>35332450</v>
      </c>
      <c r="AZ97" s="302">
        <v>11800000</v>
      </c>
      <c r="BA97" s="221"/>
      <c r="BB97" s="221"/>
      <c r="BC97" s="221"/>
      <c r="BD97" s="221">
        <v>20031830</v>
      </c>
      <c r="BE97" s="221"/>
    </row>
    <row r="98" spans="2:57" x14ac:dyDescent="0.3">
      <c r="B98" s="288">
        <v>522191</v>
      </c>
      <c r="C98" s="220" t="s">
        <v>22</v>
      </c>
      <c r="D98" s="220"/>
      <c r="E98" s="220"/>
      <c r="F98" s="221">
        <v>35000000</v>
      </c>
      <c r="G98" s="221"/>
      <c r="H98" s="221"/>
      <c r="I98" s="221"/>
      <c r="J98" s="221"/>
      <c r="K98" s="221"/>
      <c r="L98" s="221"/>
      <c r="M98" s="221"/>
      <c r="N98" s="302"/>
      <c r="O98" s="221"/>
      <c r="P98" s="221"/>
      <c r="Q98" s="221"/>
      <c r="R98" s="221"/>
      <c r="S98" s="221"/>
      <c r="T98" s="221"/>
      <c r="U98" s="221"/>
      <c r="V98" s="221"/>
      <c r="W98" s="221"/>
      <c r="X98" s="221"/>
      <c r="Y98" s="221"/>
      <c r="Z98" s="221"/>
      <c r="AA98" s="221"/>
      <c r="AB98" s="221"/>
      <c r="AC98" s="221"/>
      <c r="AD98" s="221"/>
      <c r="AE98" s="221"/>
      <c r="AF98" s="221"/>
      <c r="AG98" s="221"/>
      <c r="AH98" s="221"/>
      <c r="AI98" s="221"/>
      <c r="AJ98" s="221"/>
      <c r="AK98" s="221"/>
      <c r="AL98" s="221"/>
      <c r="AM98" s="221"/>
      <c r="AN98" s="221"/>
      <c r="AO98" s="221"/>
      <c r="AP98" s="221"/>
      <c r="AQ98" s="221"/>
      <c r="AR98" s="224"/>
      <c r="AS98" s="225"/>
      <c r="AT98" s="224"/>
      <c r="AU98" s="220" t="s">
        <v>576</v>
      </c>
      <c r="AV98" s="220" t="s">
        <v>560</v>
      </c>
      <c r="AW98" s="220" t="s">
        <v>4732</v>
      </c>
      <c r="AX98" s="221"/>
      <c r="AY98" s="221"/>
      <c r="AZ98" s="302"/>
      <c r="BA98" s="221"/>
      <c r="BB98" s="221"/>
      <c r="BC98" s="221"/>
      <c r="BD98" s="221"/>
      <c r="BE98" s="221"/>
    </row>
    <row r="99" spans="2:57" x14ac:dyDescent="0.3">
      <c r="B99" s="288">
        <v>522192</v>
      </c>
      <c r="C99" s="220" t="s">
        <v>24</v>
      </c>
      <c r="D99" s="220"/>
      <c r="E99" s="220"/>
      <c r="F99" s="221">
        <v>48000000</v>
      </c>
      <c r="G99" s="221"/>
      <c r="H99" s="221"/>
      <c r="I99" s="221"/>
      <c r="J99" s="221"/>
      <c r="K99" s="221"/>
      <c r="L99" s="221"/>
      <c r="M99" s="221"/>
      <c r="N99" s="221"/>
      <c r="O99" s="221">
        <v>802000</v>
      </c>
      <c r="P99" s="221"/>
      <c r="Q99" s="221">
        <v>3229000</v>
      </c>
      <c r="R99" s="221"/>
      <c r="S99" s="221"/>
      <c r="T99" s="221"/>
      <c r="U99" s="221">
        <v>215000</v>
      </c>
      <c r="V99" s="221"/>
      <c r="W99" s="221"/>
      <c r="X99" s="221"/>
      <c r="Y99" s="221"/>
      <c r="Z99" s="221"/>
      <c r="AA99" s="221"/>
      <c r="AB99" s="221"/>
      <c r="AC99" s="221"/>
      <c r="AD99" s="221"/>
      <c r="AE99" s="221"/>
      <c r="AF99" s="221"/>
      <c r="AG99" s="221"/>
      <c r="AH99" s="221"/>
      <c r="AI99" s="221"/>
      <c r="AJ99" s="221"/>
      <c r="AK99" s="221"/>
      <c r="AL99" s="221"/>
      <c r="AM99" s="221"/>
      <c r="AN99" s="221"/>
      <c r="AO99" s="221"/>
      <c r="AP99" s="221"/>
      <c r="AQ99" s="221">
        <f t="shared" si="119"/>
        <v>4246000</v>
      </c>
      <c r="AR99" s="224">
        <f>AQ99/F99/100</f>
        <v>8.8458333333333336E-4</v>
      </c>
      <c r="AS99" s="225">
        <f t="shared" si="121"/>
        <v>43754000</v>
      </c>
      <c r="AT99" s="224">
        <f t="shared" si="122"/>
        <v>91.154166666666669</v>
      </c>
      <c r="AU99" s="220" t="s">
        <v>576</v>
      </c>
      <c r="AV99" s="220" t="s">
        <v>560</v>
      </c>
      <c r="AW99" s="220" t="s">
        <v>4732</v>
      </c>
      <c r="AX99" s="221"/>
      <c r="AY99" s="221">
        <v>802000</v>
      </c>
      <c r="AZ99" s="302"/>
      <c r="BA99" s="221">
        <v>3229000</v>
      </c>
      <c r="BB99" s="221"/>
      <c r="BC99" s="221"/>
      <c r="BD99" s="221">
        <v>215000</v>
      </c>
      <c r="BE99" s="221"/>
    </row>
    <row r="100" spans="2:57" x14ac:dyDescent="0.3">
      <c r="B100" s="288">
        <v>524111</v>
      </c>
      <c r="C100" s="220" t="s">
        <v>19</v>
      </c>
      <c r="D100" s="220"/>
      <c r="E100" s="220"/>
      <c r="F100" s="221">
        <v>42772000</v>
      </c>
      <c r="G100" s="221"/>
      <c r="H100" s="221"/>
      <c r="I100" s="221"/>
      <c r="J100" s="221"/>
      <c r="K100" s="221"/>
      <c r="L100" s="221"/>
      <c r="M100" s="221"/>
      <c r="N100" s="221">
        <v>1560000</v>
      </c>
      <c r="O100" s="221">
        <v>6690000</v>
      </c>
      <c r="P100" s="221">
        <v>3712700</v>
      </c>
      <c r="Q100" s="221"/>
      <c r="R100" s="221"/>
      <c r="S100" s="221"/>
      <c r="T100" s="221">
        <f>1860000+3748000</f>
        <v>5608000</v>
      </c>
      <c r="U100" s="221">
        <v>4280000</v>
      </c>
      <c r="V100" s="221"/>
      <c r="W100" s="221"/>
      <c r="X100" s="221"/>
      <c r="Y100" s="221"/>
      <c r="Z100" s="221"/>
      <c r="AA100" s="221"/>
      <c r="AB100" s="221"/>
      <c r="AC100" s="221"/>
      <c r="AD100" s="221"/>
      <c r="AE100" s="221"/>
      <c r="AF100" s="221"/>
      <c r="AG100" s="221"/>
      <c r="AH100" s="221"/>
      <c r="AI100" s="221"/>
      <c r="AJ100" s="221"/>
      <c r="AK100" s="221"/>
      <c r="AL100" s="221"/>
      <c r="AM100" s="221"/>
      <c r="AN100" s="221"/>
      <c r="AO100" s="221"/>
      <c r="AP100" s="221"/>
      <c r="AQ100" s="221">
        <f t="shared" si="119"/>
        <v>21850700</v>
      </c>
      <c r="AR100" s="224">
        <f>AQ100/F100/100</f>
        <v>5.1086458430749096E-3</v>
      </c>
      <c r="AS100" s="225">
        <f t="shared" si="121"/>
        <v>20921300</v>
      </c>
      <c r="AT100" s="224">
        <f t="shared" si="122"/>
        <v>48.91354156925091</v>
      </c>
      <c r="AU100" s="220" t="s">
        <v>576</v>
      </c>
      <c r="AV100" s="220" t="s">
        <v>560</v>
      </c>
      <c r="AW100" s="220" t="s">
        <v>4732</v>
      </c>
      <c r="AX100" s="221">
        <v>1560000</v>
      </c>
      <c r="AY100" s="221">
        <v>6690000</v>
      </c>
      <c r="AZ100" s="302"/>
      <c r="BA100" s="221"/>
      <c r="BB100" s="221">
        <v>1860000</v>
      </c>
      <c r="BC100" s="221">
        <v>3748000</v>
      </c>
      <c r="BD100" s="221">
        <v>4280000</v>
      </c>
      <c r="BE100" s="221"/>
    </row>
    <row r="101" spans="2:57" x14ac:dyDescent="0.3">
      <c r="B101" s="288">
        <v>524113</v>
      </c>
      <c r="C101" s="220" t="s">
        <v>13</v>
      </c>
      <c r="D101" s="220"/>
      <c r="E101" s="220"/>
      <c r="F101" s="221">
        <v>2100000</v>
      </c>
      <c r="G101" s="221"/>
      <c r="H101" s="221"/>
      <c r="I101" s="221"/>
      <c r="J101" s="221"/>
      <c r="K101" s="221"/>
      <c r="L101" s="221"/>
      <c r="M101" s="221"/>
      <c r="N101" s="221"/>
      <c r="O101" s="221"/>
      <c r="P101" s="221"/>
      <c r="Q101" s="221"/>
      <c r="R101" s="221"/>
      <c r="S101" s="221"/>
      <c r="T101" s="221"/>
      <c r="U101" s="221"/>
      <c r="V101" s="221"/>
      <c r="W101" s="221"/>
      <c r="X101" s="221"/>
      <c r="Y101" s="221"/>
      <c r="Z101" s="221"/>
      <c r="AA101" s="221"/>
      <c r="AB101" s="221"/>
      <c r="AC101" s="221"/>
      <c r="AD101" s="221"/>
      <c r="AE101" s="221"/>
      <c r="AF101" s="221"/>
      <c r="AG101" s="221"/>
      <c r="AH101" s="221"/>
      <c r="AI101" s="221"/>
      <c r="AJ101" s="221"/>
      <c r="AK101" s="221"/>
      <c r="AL101" s="221"/>
      <c r="AM101" s="221"/>
      <c r="AN101" s="221"/>
      <c r="AO101" s="221"/>
      <c r="AP101" s="221"/>
      <c r="AQ101" s="221">
        <f t="shared" si="119"/>
        <v>0</v>
      </c>
      <c r="AR101" s="224">
        <f>AQ101/F101/100</f>
        <v>0</v>
      </c>
      <c r="AS101" s="225">
        <f t="shared" si="121"/>
        <v>2100000</v>
      </c>
      <c r="AT101" s="224">
        <f t="shared" si="122"/>
        <v>100</v>
      </c>
      <c r="AU101" s="220" t="s">
        <v>576</v>
      </c>
      <c r="AV101" s="220" t="s">
        <v>560</v>
      </c>
      <c r="AW101" s="220" t="s">
        <v>4732</v>
      </c>
      <c r="AX101" s="221"/>
      <c r="AY101" s="221"/>
      <c r="AZ101" s="302"/>
      <c r="BA101" s="221"/>
      <c r="BB101" s="221"/>
      <c r="BC101" s="221"/>
      <c r="BD101" s="221"/>
      <c r="BE101" s="221"/>
    </row>
    <row r="102" spans="2:57" x14ac:dyDescent="0.3">
      <c r="B102" s="290" t="s">
        <v>578</v>
      </c>
      <c r="C102" s="222" t="s">
        <v>154</v>
      </c>
      <c r="D102" s="222"/>
      <c r="E102" s="222"/>
      <c r="F102" s="223">
        <f t="shared" ref="F102:AP102" si="142">SUM(F103:F107)</f>
        <v>450000000</v>
      </c>
      <c r="G102" s="223">
        <f t="shared" si="142"/>
        <v>0</v>
      </c>
      <c r="H102" s="223">
        <f t="shared" si="142"/>
        <v>0</v>
      </c>
      <c r="I102" s="223">
        <f t="shared" si="142"/>
        <v>0</v>
      </c>
      <c r="J102" s="223">
        <f t="shared" si="142"/>
        <v>0</v>
      </c>
      <c r="K102" s="223">
        <f t="shared" si="142"/>
        <v>0</v>
      </c>
      <c r="L102" s="223">
        <f t="shared" si="142"/>
        <v>0</v>
      </c>
      <c r="M102" s="223">
        <f t="shared" si="142"/>
        <v>0</v>
      </c>
      <c r="N102" s="223">
        <f t="shared" si="142"/>
        <v>1743940</v>
      </c>
      <c r="O102" s="223">
        <f t="shared" si="142"/>
        <v>2949500</v>
      </c>
      <c r="P102" s="223">
        <f t="shared" si="142"/>
        <v>0</v>
      </c>
      <c r="Q102" s="223">
        <f t="shared" si="142"/>
        <v>0</v>
      </c>
      <c r="R102" s="223">
        <f t="shared" si="142"/>
        <v>0</v>
      </c>
      <c r="S102" s="223">
        <f t="shared" si="142"/>
        <v>0</v>
      </c>
      <c r="T102" s="223">
        <f t="shared" si="142"/>
        <v>3603218</v>
      </c>
      <c r="U102" s="223">
        <f t="shared" si="142"/>
        <v>0</v>
      </c>
      <c r="V102" s="223">
        <f t="shared" si="142"/>
        <v>5350700</v>
      </c>
      <c r="W102" s="223">
        <f t="shared" si="142"/>
        <v>0</v>
      </c>
      <c r="X102" s="223">
        <f t="shared" si="142"/>
        <v>0</v>
      </c>
      <c r="Y102" s="223">
        <f t="shared" si="142"/>
        <v>0</v>
      </c>
      <c r="Z102" s="223">
        <f t="shared" si="142"/>
        <v>0</v>
      </c>
      <c r="AA102" s="223">
        <f t="shared" si="142"/>
        <v>0</v>
      </c>
      <c r="AB102" s="223">
        <f t="shared" si="142"/>
        <v>0</v>
      </c>
      <c r="AC102" s="223">
        <f t="shared" si="142"/>
        <v>0</v>
      </c>
      <c r="AD102" s="223">
        <f t="shared" si="142"/>
        <v>0</v>
      </c>
      <c r="AE102" s="223">
        <f t="shared" si="142"/>
        <v>0</v>
      </c>
      <c r="AF102" s="223">
        <f t="shared" si="142"/>
        <v>0</v>
      </c>
      <c r="AG102" s="223">
        <f t="shared" si="142"/>
        <v>0</v>
      </c>
      <c r="AH102" s="223">
        <f t="shared" si="142"/>
        <v>0</v>
      </c>
      <c r="AI102" s="223">
        <f t="shared" si="142"/>
        <v>0</v>
      </c>
      <c r="AJ102" s="223">
        <f t="shared" si="142"/>
        <v>0</v>
      </c>
      <c r="AK102" s="223">
        <f t="shared" si="142"/>
        <v>0</v>
      </c>
      <c r="AL102" s="223">
        <f t="shared" si="142"/>
        <v>0</v>
      </c>
      <c r="AM102" s="223">
        <f t="shared" si="142"/>
        <v>0</v>
      </c>
      <c r="AN102" s="223">
        <f t="shared" si="142"/>
        <v>0</v>
      </c>
      <c r="AO102" s="223">
        <f t="shared" si="142"/>
        <v>0</v>
      </c>
      <c r="AP102" s="223">
        <f t="shared" si="142"/>
        <v>0</v>
      </c>
      <c r="AQ102" s="223">
        <f t="shared" si="119"/>
        <v>13647358</v>
      </c>
      <c r="AR102" s="231">
        <f t="shared" ref="AR102:AR127" si="143">AQ102/F102/100</f>
        <v>3.0327462222222223E-4</v>
      </c>
      <c r="AS102" s="232">
        <f t="shared" si="121"/>
        <v>436352642</v>
      </c>
      <c r="AT102" s="231">
        <f>AS102/F102*100</f>
        <v>96.967253777777771</v>
      </c>
      <c r="AU102" s="220" t="s">
        <v>535</v>
      </c>
      <c r="AV102" s="220" t="s">
        <v>538</v>
      </c>
      <c r="AW102" s="220" t="s">
        <v>4732</v>
      </c>
      <c r="AX102" s="223">
        <f t="shared" ref="AX102:BA102" si="144">SUM(AX103:AX107)</f>
        <v>0</v>
      </c>
      <c r="AY102" s="223">
        <f t="shared" si="144"/>
        <v>2949500</v>
      </c>
      <c r="AZ102" s="223">
        <f t="shared" si="144"/>
        <v>1743940</v>
      </c>
      <c r="BA102" s="223">
        <f t="shared" si="144"/>
        <v>0</v>
      </c>
      <c r="BB102" s="223">
        <f t="shared" ref="BB102" si="145">SUM(BB103:BB107)</f>
        <v>3351204</v>
      </c>
      <c r="BC102" s="223">
        <f t="shared" ref="BC102:BD102" si="146">SUM(BC103:BC107)</f>
        <v>252014</v>
      </c>
      <c r="BD102" s="223">
        <f t="shared" si="146"/>
        <v>0</v>
      </c>
      <c r="BE102" s="223">
        <f t="shared" ref="BE102" si="147">SUM(BE103:BE107)</f>
        <v>0</v>
      </c>
    </row>
    <row r="103" spans="2:57" x14ac:dyDescent="0.3">
      <c r="B103" s="288">
        <v>521211</v>
      </c>
      <c r="C103" s="220" t="s">
        <v>7</v>
      </c>
      <c r="D103" s="220"/>
      <c r="E103" s="220"/>
      <c r="F103" s="221">
        <v>32000000</v>
      </c>
      <c r="G103" s="221"/>
      <c r="H103" s="221"/>
      <c r="I103" s="221"/>
      <c r="J103" s="221"/>
      <c r="K103" s="221"/>
      <c r="L103" s="221"/>
      <c r="M103" s="221"/>
      <c r="N103" s="302">
        <v>1499700</v>
      </c>
      <c r="O103" s="221">
        <v>2499500</v>
      </c>
      <c r="P103" s="221"/>
      <c r="Q103" s="221"/>
      <c r="R103" s="221"/>
      <c r="S103" s="221"/>
      <c r="T103" s="221"/>
      <c r="U103" s="221"/>
      <c r="V103" s="221"/>
      <c r="W103" s="221"/>
      <c r="X103" s="221"/>
      <c r="Y103" s="221"/>
      <c r="Z103" s="221"/>
      <c r="AA103" s="221"/>
      <c r="AB103" s="221"/>
      <c r="AC103" s="221"/>
      <c r="AD103" s="221"/>
      <c r="AE103" s="221"/>
      <c r="AF103" s="221"/>
      <c r="AG103" s="221"/>
      <c r="AH103" s="221"/>
      <c r="AI103" s="221"/>
      <c r="AJ103" s="221"/>
      <c r="AK103" s="221"/>
      <c r="AL103" s="221"/>
      <c r="AM103" s="221"/>
      <c r="AN103" s="221"/>
      <c r="AO103" s="221"/>
      <c r="AP103" s="221"/>
      <c r="AQ103" s="221">
        <f t="shared" si="119"/>
        <v>3999200</v>
      </c>
      <c r="AR103" s="224">
        <f t="shared" si="143"/>
        <v>1.24975E-3</v>
      </c>
      <c r="AS103" s="225">
        <f t="shared" si="121"/>
        <v>28000800</v>
      </c>
      <c r="AT103" s="224">
        <f t="shared" si="122"/>
        <v>87.502500000000012</v>
      </c>
      <c r="AU103" s="220" t="s">
        <v>535</v>
      </c>
      <c r="AV103" s="220" t="s">
        <v>538</v>
      </c>
      <c r="AW103" s="220" t="s">
        <v>4732</v>
      </c>
      <c r="AX103" s="221"/>
      <c r="AY103" s="221">
        <v>2499500</v>
      </c>
      <c r="AZ103" s="302">
        <v>1499700</v>
      </c>
      <c r="BA103" s="221"/>
      <c r="BB103" s="221"/>
      <c r="BC103" s="221"/>
      <c r="BD103" s="221"/>
      <c r="BE103" s="221"/>
    </row>
    <row r="104" spans="2:57" x14ac:dyDescent="0.3">
      <c r="B104" s="288">
        <v>521219</v>
      </c>
      <c r="C104" s="220" t="s">
        <v>53</v>
      </c>
      <c r="D104" s="220"/>
      <c r="E104" s="220"/>
      <c r="F104" s="221">
        <v>298141000</v>
      </c>
      <c r="G104" s="221"/>
      <c r="H104" s="221"/>
      <c r="I104" s="221"/>
      <c r="J104" s="221"/>
      <c r="K104" s="221"/>
      <c r="L104" s="221"/>
      <c r="M104" s="221"/>
      <c r="N104" s="302">
        <v>244240</v>
      </c>
      <c r="O104" s="221">
        <v>450000</v>
      </c>
      <c r="P104" s="221"/>
      <c r="Q104" s="221"/>
      <c r="R104" s="221"/>
      <c r="S104" s="221"/>
      <c r="T104" s="221">
        <f>3351204+252014</f>
        <v>3603218</v>
      </c>
      <c r="U104" s="221"/>
      <c r="V104" s="221"/>
      <c r="W104" s="221"/>
      <c r="X104" s="221"/>
      <c r="Y104" s="221"/>
      <c r="Z104" s="221"/>
      <c r="AA104" s="221"/>
      <c r="AB104" s="221"/>
      <c r="AC104" s="221"/>
      <c r="AD104" s="221"/>
      <c r="AE104" s="221"/>
      <c r="AF104" s="221"/>
      <c r="AG104" s="221"/>
      <c r="AH104" s="221"/>
      <c r="AI104" s="221"/>
      <c r="AJ104" s="221"/>
      <c r="AK104" s="221"/>
      <c r="AL104" s="221"/>
      <c r="AM104" s="221"/>
      <c r="AN104" s="221"/>
      <c r="AO104" s="221"/>
      <c r="AP104" s="221"/>
      <c r="AQ104" s="221">
        <f t="shared" si="119"/>
        <v>4297458</v>
      </c>
      <c r="AR104" s="224">
        <f t="shared" si="143"/>
        <v>1.4414179867914845E-4</v>
      </c>
      <c r="AS104" s="225">
        <f t="shared" si="121"/>
        <v>293843542</v>
      </c>
      <c r="AT104" s="224">
        <f>AS104/F104*100</f>
        <v>98.558582013208522</v>
      </c>
      <c r="AU104" s="220" t="s">
        <v>535</v>
      </c>
      <c r="AV104" s="220" t="s">
        <v>538</v>
      </c>
      <c r="AW104" s="220" t="s">
        <v>4732</v>
      </c>
      <c r="AX104" s="221"/>
      <c r="AY104" s="221">
        <v>450000</v>
      </c>
      <c r="AZ104" s="302">
        <v>244240</v>
      </c>
      <c r="BA104" s="221"/>
      <c r="BB104" s="221">
        <v>3351204</v>
      </c>
      <c r="BC104" s="221">
        <v>252014</v>
      </c>
      <c r="BD104" s="221"/>
      <c r="BE104" s="221"/>
    </row>
    <row r="105" spans="2:57" x14ac:dyDescent="0.3">
      <c r="B105" s="288">
        <v>522151</v>
      </c>
      <c r="C105" s="220" t="s">
        <v>11</v>
      </c>
      <c r="D105" s="220"/>
      <c r="E105" s="220"/>
      <c r="F105" s="221">
        <v>30000000</v>
      </c>
      <c r="G105" s="221"/>
      <c r="H105" s="221"/>
      <c r="I105" s="221"/>
      <c r="J105" s="221"/>
      <c r="K105" s="221"/>
      <c r="L105" s="221"/>
      <c r="M105" s="221"/>
      <c r="N105" s="221"/>
      <c r="O105" s="221"/>
      <c r="P105" s="221"/>
      <c r="Q105" s="221"/>
      <c r="R105" s="221"/>
      <c r="S105" s="221"/>
      <c r="T105" s="221"/>
      <c r="U105" s="221"/>
      <c r="V105" s="221"/>
      <c r="W105" s="221"/>
      <c r="X105" s="221"/>
      <c r="Y105" s="221"/>
      <c r="Z105" s="221"/>
      <c r="AA105" s="221"/>
      <c r="AB105" s="221"/>
      <c r="AC105" s="221"/>
      <c r="AD105" s="221"/>
      <c r="AE105" s="221"/>
      <c r="AF105" s="221"/>
      <c r="AG105" s="221"/>
      <c r="AH105" s="221"/>
      <c r="AI105" s="221"/>
      <c r="AJ105" s="221"/>
      <c r="AK105" s="221"/>
      <c r="AL105" s="221"/>
      <c r="AM105" s="221"/>
      <c r="AN105" s="221"/>
      <c r="AO105" s="221"/>
      <c r="AP105" s="221"/>
      <c r="AQ105" s="221">
        <f t="shared" si="119"/>
        <v>0</v>
      </c>
      <c r="AR105" s="224">
        <f t="shared" si="143"/>
        <v>0</v>
      </c>
      <c r="AS105" s="225">
        <f t="shared" si="121"/>
        <v>30000000</v>
      </c>
      <c r="AT105" s="224">
        <f t="shared" si="122"/>
        <v>100</v>
      </c>
      <c r="AU105" s="220" t="s">
        <v>535</v>
      </c>
      <c r="AV105" s="220" t="s">
        <v>538</v>
      </c>
      <c r="AW105" s="220" t="s">
        <v>4732</v>
      </c>
      <c r="AX105" s="221"/>
      <c r="AY105" s="221"/>
      <c r="AZ105" s="302"/>
      <c r="BA105" s="221"/>
      <c r="BB105" s="221"/>
      <c r="BC105" s="221"/>
      <c r="BD105" s="221"/>
      <c r="BE105" s="221"/>
    </row>
    <row r="106" spans="2:57" x14ac:dyDescent="0.3">
      <c r="B106" s="288">
        <v>522192</v>
      </c>
      <c r="C106" s="220" t="s">
        <v>24</v>
      </c>
      <c r="D106" s="220"/>
      <c r="E106" s="220"/>
      <c r="F106" s="221">
        <v>8000000</v>
      </c>
      <c r="G106" s="221"/>
      <c r="H106" s="221"/>
      <c r="I106" s="221"/>
      <c r="J106" s="221"/>
      <c r="K106" s="221"/>
      <c r="L106" s="221"/>
      <c r="M106" s="221"/>
      <c r="N106" s="221"/>
      <c r="O106" s="221"/>
      <c r="P106" s="221"/>
      <c r="Q106" s="221"/>
      <c r="R106" s="221"/>
      <c r="S106" s="221"/>
      <c r="T106" s="221"/>
      <c r="U106" s="221"/>
      <c r="V106" s="221"/>
      <c r="W106" s="221"/>
      <c r="X106" s="221"/>
      <c r="Y106" s="221"/>
      <c r="Z106" s="221"/>
      <c r="AA106" s="221"/>
      <c r="AB106" s="221"/>
      <c r="AC106" s="221"/>
      <c r="AD106" s="221"/>
      <c r="AE106" s="221"/>
      <c r="AF106" s="221"/>
      <c r="AG106" s="221"/>
      <c r="AH106" s="221"/>
      <c r="AI106" s="221"/>
      <c r="AJ106" s="221"/>
      <c r="AK106" s="221"/>
      <c r="AL106" s="221"/>
      <c r="AM106" s="221"/>
      <c r="AN106" s="221"/>
      <c r="AO106" s="221"/>
      <c r="AP106" s="221"/>
      <c r="AQ106" s="221">
        <f t="shared" si="119"/>
        <v>0</v>
      </c>
      <c r="AR106" s="224">
        <f t="shared" si="143"/>
        <v>0</v>
      </c>
      <c r="AS106" s="225">
        <f t="shared" si="121"/>
        <v>8000000</v>
      </c>
      <c r="AT106" s="224">
        <f t="shared" si="122"/>
        <v>100</v>
      </c>
      <c r="AU106" s="220" t="s">
        <v>535</v>
      </c>
      <c r="AV106" s="220" t="s">
        <v>538</v>
      </c>
      <c r="AW106" s="220" t="s">
        <v>4732</v>
      </c>
      <c r="AX106" s="221"/>
      <c r="AY106" s="221"/>
      <c r="AZ106" s="302"/>
      <c r="BA106" s="221"/>
      <c r="BB106" s="221"/>
      <c r="BC106" s="221"/>
      <c r="BD106" s="221"/>
      <c r="BE106" s="221"/>
    </row>
    <row r="107" spans="2:57" x14ac:dyDescent="0.3">
      <c r="B107" s="288">
        <v>524111</v>
      </c>
      <c r="C107" s="220" t="s">
        <v>19</v>
      </c>
      <c r="D107" s="220"/>
      <c r="E107" s="220"/>
      <c r="F107" s="221">
        <v>81859000</v>
      </c>
      <c r="G107" s="221"/>
      <c r="H107" s="221"/>
      <c r="I107" s="221"/>
      <c r="J107" s="221"/>
      <c r="K107" s="221"/>
      <c r="L107" s="221"/>
      <c r="M107" s="221"/>
      <c r="N107" s="221"/>
      <c r="O107" s="221"/>
      <c r="P107" s="221"/>
      <c r="Q107" s="221"/>
      <c r="R107" s="221"/>
      <c r="S107" s="221"/>
      <c r="T107" s="221"/>
      <c r="U107" s="221"/>
      <c r="V107" s="221">
        <f>1650000+3700700</f>
        <v>5350700</v>
      </c>
      <c r="W107" s="221"/>
      <c r="X107" s="221"/>
      <c r="Y107" s="221"/>
      <c r="Z107" s="221"/>
      <c r="AA107" s="221"/>
      <c r="AB107" s="221"/>
      <c r="AC107" s="221"/>
      <c r="AD107" s="221"/>
      <c r="AE107" s="221"/>
      <c r="AF107" s="221"/>
      <c r="AG107" s="221"/>
      <c r="AH107" s="221"/>
      <c r="AI107" s="221"/>
      <c r="AJ107" s="221"/>
      <c r="AK107" s="221"/>
      <c r="AL107" s="221"/>
      <c r="AM107" s="221"/>
      <c r="AN107" s="221"/>
      <c r="AO107" s="221"/>
      <c r="AP107" s="221"/>
      <c r="AQ107" s="221">
        <f t="shared" si="119"/>
        <v>5350700</v>
      </c>
      <c r="AR107" s="224">
        <f t="shared" si="143"/>
        <v>6.5364834654711148E-4</v>
      </c>
      <c r="AS107" s="225">
        <f t="shared" si="121"/>
        <v>76508300</v>
      </c>
      <c r="AT107" s="224">
        <f t="shared" si="122"/>
        <v>93.463516534528893</v>
      </c>
      <c r="AU107" s="220" t="s">
        <v>535</v>
      </c>
      <c r="AV107" s="220" t="s">
        <v>538</v>
      </c>
      <c r="AW107" s="220" t="s">
        <v>4732</v>
      </c>
      <c r="AX107" s="221"/>
      <c r="AY107" s="221"/>
      <c r="AZ107" s="302"/>
      <c r="BA107" s="221"/>
      <c r="BB107" s="221"/>
      <c r="BC107" s="221"/>
      <c r="BD107" s="221"/>
      <c r="BE107" s="221"/>
    </row>
    <row r="108" spans="2:57" x14ac:dyDescent="0.3">
      <c r="B108" s="290" t="s">
        <v>579</v>
      </c>
      <c r="C108" s="222" t="s">
        <v>56</v>
      </c>
      <c r="D108" s="222"/>
      <c r="E108" s="222"/>
      <c r="F108" s="223">
        <f t="shared" ref="F108:AP108" si="148">SUM(F109:F112)</f>
        <v>350000000</v>
      </c>
      <c r="G108" s="223">
        <f t="shared" si="148"/>
        <v>0</v>
      </c>
      <c r="H108" s="223">
        <f t="shared" si="148"/>
        <v>0</v>
      </c>
      <c r="I108" s="223">
        <f t="shared" si="148"/>
        <v>0</v>
      </c>
      <c r="J108" s="223">
        <f t="shared" si="148"/>
        <v>0</v>
      </c>
      <c r="K108" s="223">
        <f t="shared" si="148"/>
        <v>0</v>
      </c>
      <c r="L108" s="223">
        <f t="shared" si="148"/>
        <v>0</v>
      </c>
      <c r="M108" s="223">
        <f t="shared" si="148"/>
        <v>0</v>
      </c>
      <c r="N108" s="223">
        <f t="shared" si="148"/>
        <v>3173213</v>
      </c>
      <c r="O108" s="223">
        <f t="shared" si="148"/>
        <v>3236994</v>
      </c>
      <c r="P108" s="223">
        <f t="shared" si="148"/>
        <v>1000000</v>
      </c>
      <c r="Q108" s="223">
        <f t="shared" si="148"/>
        <v>0</v>
      </c>
      <c r="R108" s="223">
        <f t="shared" si="148"/>
        <v>0</v>
      </c>
      <c r="S108" s="223">
        <f t="shared" si="148"/>
        <v>19414000</v>
      </c>
      <c r="T108" s="223">
        <f t="shared" si="148"/>
        <v>8092833</v>
      </c>
      <c r="U108" s="223">
        <f t="shared" si="148"/>
        <v>12845223</v>
      </c>
      <c r="V108" s="223">
        <f t="shared" si="148"/>
        <v>30535327</v>
      </c>
      <c r="W108" s="223">
        <f t="shared" si="148"/>
        <v>0</v>
      </c>
      <c r="X108" s="223">
        <f t="shared" si="148"/>
        <v>0</v>
      </c>
      <c r="Y108" s="223">
        <f t="shared" si="148"/>
        <v>0</v>
      </c>
      <c r="Z108" s="223">
        <f t="shared" si="148"/>
        <v>0</v>
      </c>
      <c r="AA108" s="223">
        <f t="shared" si="148"/>
        <v>0</v>
      </c>
      <c r="AB108" s="223">
        <f t="shared" si="148"/>
        <v>0</v>
      </c>
      <c r="AC108" s="223">
        <f t="shared" si="148"/>
        <v>0</v>
      </c>
      <c r="AD108" s="223">
        <f t="shared" si="148"/>
        <v>0</v>
      </c>
      <c r="AE108" s="223">
        <f t="shared" si="148"/>
        <v>0</v>
      </c>
      <c r="AF108" s="223">
        <f t="shared" si="148"/>
        <v>0</v>
      </c>
      <c r="AG108" s="223">
        <f t="shared" si="148"/>
        <v>0</v>
      </c>
      <c r="AH108" s="223">
        <f t="shared" si="148"/>
        <v>0</v>
      </c>
      <c r="AI108" s="223">
        <f t="shared" si="148"/>
        <v>0</v>
      </c>
      <c r="AJ108" s="223">
        <f t="shared" si="148"/>
        <v>0</v>
      </c>
      <c r="AK108" s="223">
        <f t="shared" si="148"/>
        <v>0</v>
      </c>
      <c r="AL108" s="223">
        <f t="shared" si="148"/>
        <v>0</v>
      </c>
      <c r="AM108" s="223">
        <f t="shared" si="148"/>
        <v>0</v>
      </c>
      <c r="AN108" s="223">
        <f t="shared" si="148"/>
        <v>0</v>
      </c>
      <c r="AO108" s="223">
        <f t="shared" si="148"/>
        <v>0</v>
      </c>
      <c r="AP108" s="223">
        <f t="shared" si="148"/>
        <v>0</v>
      </c>
      <c r="AQ108" s="223">
        <f t="shared" si="119"/>
        <v>78297590</v>
      </c>
      <c r="AR108" s="231">
        <f t="shared" si="143"/>
        <v>2.2370739999999999E-3</v>
      </c>
      <c r="AS108" s="232">
        <f t="shared" si="121"/>
        <v>271702410</v>
      </c>
      <c r="AT108" s="231">
        <f t="shared" si="122"/>
        <v>77.629260000000002</v>
      </c>
      <c r="AU108" s="220" t="s">
        <v>531</v>
      </c>
      <c r="AV108" s="220" t="s">
        <v>532</v>
      </c>
      <c r="AW108" s="220" t="s">
        <v>4732</v>
      </c>
      <c r="AX108" s="223">
        <f t="shared" ref="AX108:BA108" si="149">SUM(AX109:AX112)</f>
        <v>0</v>
      </c>
      <c r="AY108" s="223">
        <f t="shared" si="149"/>
        <v>3236994</v>
      </c>
      <c r="AZ108" s="223">
        <f t="shared" si="149"/>
        <v>3173213</v>
      </c>
      <c r="BA108" s="223">
        <f t="shared" si="149"/>
        <v>0</v>
      </c>
      <c r="BB108" s="223">
        <f t="shared" ref="BB108" si="150">SUM(BB109:BB112)</f>
        <v>0</v>
      </c>
      <c r="BC108" s="223">
        <f t="shared" ref="BC108:BD108" si="151">SUM(BC109:BC112)</f>
        <v>8092833</v>
      </c>
      <c r="BD108" s="223">
        <f t="shared" si="151"/>
        <v>12845223</v>
      </c>
      <c r="BE108" s="223">
        <f t="shared" ref="BE108" si="152">SUM(BE109:BE112)</f>
        <v>0</v>
      </c>
    </row>
    <row r="109" spans="2:57" x14ac:dyDescent="0.3">
      <c r="B109" s="288">
        <v>521211</v>
      </c>
      <c r="C109" s="220" t="s">
        <v>7</v>
      </c>
      <c r="D109" s="220"/>
      <c r="E109" s="220"/>
      <c r="F109" s="221">
        <v>31000000</v>
      </c>
      <c r="G109" s="221"/>
      <c r="H109" s="221"/>
      <c r="I109" s="221"/>
      <c r="J109" s="221"/>
      <c r="K109" s="221"/>
      <c r="L109" s="221"/>
      <c r="M109" s="221"/>
      <c r="N109" s="221"/>
      <c r="O109" s="221">
        <v>1200000</v>
      </c>
      <c r="P109" s="221"/>
      <c r="Q109" s="221"/>
      <c r="R109" s="221"/>
      <c r="S109" s="221"/>
      <c r="T109" s="221">
        <v>7854000</v>
      </c>
      <c r="U109" s="221">
        <v>2488500</v>
      </c>
      <c r="V109" s="221"/>
      <c r="W109" s="221"/>
      <c r="X109" s="221"/>
      <c r="Y109" s="221"/>
      <c r="Z109" s="221"/>
      <c r="AA109" s="221"/>
      <c r="AB109" s="221"/>
      <c r="AC109" s="221"/>
      <c r="AD109" s="221"/>
      <c r="AE109" s="221"/>
      <c r="AF109" s="221"/>
      <c r="AG109" s="221"/>
      <c r="AH109" s="221"/>
      <c r="AI109" s="221"/>
      <c r="AJ109" s="221"/>
      <c r="AK109" s="221"/>
      <c r="AL109" s="221"/>
      <c r="AM109" s="221"/>
      <c r="AN109" s="221"/>
      <c r="AO109" s="221"/>
      <c r="AP109" s="221"/>
      <c r="AQ109" s="221">
        <f t="shared" si="119"/>
        <v>11542500</v>
      </c>
      <c r="AR109" s="224">
        <f t="shared" si="143"/>
        <v>3.7233870967741931E-3</v>
      </c>
      <c r="AS109" s="225">
        <f t="shared" si="121"/>
        <v>19457500</v>
      </c>
      <c r="AT109" s="224">
        <f t="shared" si="122"/>
        <v>62.766129032258064</v>
      </c>
      <c r="AU109" s="220" t="s">
        <v>531</v>
      </c>
      <c r="AV109" s="220" t="s">
        <v>532</v>
      </c>
      <c r="AW109" s="220" t="s">
        <v>4732</v>
      </c>
      <c r="AX109" s="221"/>
      <c r="AY109" s="221">
        <v>1200000</v>
      </c>
      <c r="AZ109" s="302"/>
      <c r="BA109" s="221"/>
      <c r="BB109" s="221"/>
      <c r="BC109" s="221">
        <v>7854000</v>
      </c>
      <c r="BD109" s="221">
        <v>2488500</v>
      </c>
      <c r="BE109" s="221"/>
    </row>
    <row r="110" spans="2:57" x14ac:dyDescent="0.3">
      <c r="B110" s="288">
        <v>521219</v>
      </c>
      <c r="C110" s="220" t="s">
        <v>53</v>
      </c>
      <c r="D110" s="220"/>
      <c r="E110" s="220"/>
      <c r="F110" s="221">
        <v>3000000</v>
      </c>
      <c r="G110" s="221"/>
      <c r="H110" s="221"/>
      <c r="I110" s="221"/>
      <c r="J110" s="221"/>
      <c r="K110" s="221"/>
      <c r="L110" s="221"/>
      <c r="M110" s="221"/>
      <c r="N110" s="302">
        <v>473213</v>
      </c>
      <c r="O110" s="221">
        <v>236994</v>
      </c>
      <c r="P110" s="221"/>
      <c r="Q110" s="221"/>
      <c r="R110" s="221"/>
      <c r="S110" s="221"/>
      <c r="T110" s="221">
        <v>238833</v>
      </c>
      <c r="U110" s="221">
        <v>242378</v>
      </c>
      <c r="V110" s="221"/>
      <c r="W110" s="221"/>
      <c r="X110" s="221"/>
      <c r="Y110" s="221"/>
      <c r="Z110" s="221"/>
      <c r="AA110" s="221"/>
      <c r="AB110" s="221"/>
      <c r="AC110" s="221"/>
      <c r="AD110" s="221"/>
      <c r="AE110" s="221"/>
      <c r="AF110" s="221"/>
      <c r="AG110" s="221"/>
      <c r="AH110" s="221"/>
      <c r="AI110" s="221"/>
      <c r="AJ110" s="221"/>
      <c r="AK110" s="221"/>
      <c r="AL110" s="221"/>
      <c r="AM110" s="221"/>
      <c r="AN110" s="221"/>
      <c r="AO110" s="221"/>
      <c r="AP110" s="221"/>
      <c r="AQ110" s="221">
        <f t="shared" si="119"/>
        <v>1191418</v>
      </c>
      <c r="AR110" s="224">
        <f t="shared" si="143"/>
        <v>3.9713933333333333E-3</v>
      </c>
      <c r="AS110" s="225">
        <f t="shared" si="121"/>
        <v>1808582</v>
      </c>
      <c r="AT110" s="224">
        <f t="shared" si="122"/>
        <v>60.28606666666667</v>
      </c>
      <c r="AU110" s="220" t="s">
        <v>531</v>
      </c>
      <c r="AV110" s="220" t="s">
        <v>532</v>
      </c>
      <c r="AW110" s="220" t="s">
        <v>4732</v>
      </c>
      <c r="AX110" s="221"/>
      <c r="AY110" s="221">
        <v>236994</v>
      </c>
      <c r="AZ110" s="302">
        <v>473213</v>
      </c>
      <c r="BA110" s="221"/>
      <c r="BB110" s="221"/>
      <c r="BC110" s="221">
        <v>238833</v>
      </c>
      <c r="BD110" s="221">
        <v>242378</v>
      </c>
      <c r="BE110" s="221"/>
    </row>
    <row r="111" spans="2:57" x14ac:dyDescent="0.3">
      <c r="B111" s="288">
        <v>522151</v>
      </c>
      <c r="C111" s="220" t="s">
        <v>11</v>
      </c>
      <c r="D111" s="220"/>
      <c r="E111" s="220"/>
      <c r="F111" s="221">
        <v>70000000</v>
      </c>
      <c r="G111" s="221"/>
      <c r="H111" s="221"/>
      <c r="I111" s="221"/>
      <c r="J111" s="221"/>
      <c r="K111" s="221"/>
      <c r="L111" s="221"/>
      <c r="M111" s="221"/>
      <c r="N111" s="221"/>
      <c r="O111" s="221">
        <v>1800000</v>
      </c>
      <c r="P111" s="221">
        <v>1000000</v>
      </c>
      <c r="Q111" s="221"/>
      <c r="R111" s="221"/>
      <c r="S111" s="221"/>
      <c r="T111" s="221"/>
      <c r="U111" s="221">
        <v>2000000</v>
      </c>
      <c r="V111" s="221"/>
      <c r="W111" s="221"/>
      <c r="X111" s="221"/>
      <c r="Y111" s="221"/>
      <c r="Z111" s="221"/>
      <c r="AA111" s="221"/>
      <c r="AB111" s="221"/>
      <c r="AC111" s="221"/>
      <c r="AD111" s="221"/>
      <c r="AE111" s="221"/>
      <c r="AF111" s="221"/>
      <c r="AG111" s="221"/>
      <c r="AH111" s="221"/>
      <c r="AI111" s="221"/>
      <c r="AJ111" s="221"/>
      <c r="AK111" s="221"/>
      <c r="AL111" s="221"/>
      <c r="AM111" s="221"/>
      <c r="AN111" s="221"/>
      <c r="AO111" s="221"/>
      <c r="AP111" s="221"/>
      <c r="AQ111" s="221">
        <f t="shared" si="119"/>
        <v>4800000</v>
      </c>
      <c r="AR111" s="224">
        <f t="shared" si="143"/>
        <v>6.857142857142857E-4</v>
      </c>
      <c r="AS111" s="225">
        <f t="shared" si="121"/>
        <v>65200000</v>
      </c>
      <c r="AT111" s="224">
        <f t="shared" si="122"/>
        <v>93.142857142857139</v>
      </c>
      <c r="AU111" s="220" t="s">
        <v>531</v>
      </c>
      <c r="AV111" s="220" t="s">
        <v>532</v>
      </c>
      <c r="AW111" s="220" t="s">
        <v>4732</v>
      </c>
      <c r="AX111" s="221"/>
      <c r="AY111" s="221">
        <v>1800000</v>
      </c>
      <c r="AZ111" s="302"/>
      <c r="BA111" s="221"/>
      <c r="BB111" s="221"/>
      <c r="BC111" s="221"/>
      <c r="BD111" s="221">
        <v>2000000</v>
      </c>
      <c r="BE111" s="221"/>
    </row>
    <row r="112" spans="2:57" x14ac:dyDescent="0.3">
      <c r="B112" s="288">
        <v>524111</v>
      </c>
      <c r="C112" s="220" t="s">
        <v>19</v>
      </c>
      <c r="D112" s="220"/>
      <c r="E112" s="220"/>
      <c r="F112" s="221">
        <v>246000000</v>
      </c>
      <c r="G112" s="221"/>
      <c r="H112" s="221"/>
      <c r="I112" s="221"/>
      <c r="J112" s="221"/>
      <c r="K112" s="221"/>
      <c r="L112" s="221"/>
      <c r="M112" s="221"/>
      <c r="N112" s="302">
        <v>2700000</v>
      </c>
      <c r="O112" s="221"/>
      <c r="P112" s="221"/>
      <c r="Q112" s="221"/>
      <c r="R112" s="221"/>
      <c r="S112" s="221">
        <f>872000+14922000+3620000</f>
        <v>19414000</v>
      </c>
      <c r="T112" s="221"/>
      <c r="U112" s="221">
        <v>8114345</v>
      </c>
      <c r="V112" s="221">
        <f>3000000+25425327+2110000</f>
        <v>30535327</v>
      </c>
      <c r="W112" s="221"/>
      <c r="X112" s="221"/>
      <c r="Y112" s="221"/>
      <c r="Z112" s="221"/>
      <c r="AA112" s="221"/>
      <c r="AB112" s="221"/>
      <c r="AC112" s="221"/>
      <c r="AD112" s="221"/>
      <c r="AE112" s="221"/>
      <c r="AF112" s="221"/>
      <c r="AG112" s="221"/>
      <c r="AH112" s="221"/>
      <c r="AI112" s="221"/>
      <c r="AJ112" s="221"/>
      <c r="AK112" s="221"/>
      <c r="AL112" s="221"/>
      <c r="AM112" s="221"/>
      <c r="AN112" s="221"/>
      <c r="AO112" s="221"/>
      <c r="AP112" s="221"/>
      <c r="AQ112" s="221">
        <f t="shared" si="119"/>
        <v>60763672</v>
      </c>
      <c r="AR112" s="224">
        <f t="shared" si="143"/>
        <v>2.4700679674796748E-3</v>
      </c>
      <c r="AS112" s="225">
        <f t="shared" si="121"/>
        <v>185236328</v>
      </c>
      <c r="AT112" s="224">
        <f t="shared" si="122"/>
        <v>75.299320325203254</v>
      </c>
      <c r="AU112" s="220" t="s">
        <v>531</v>
      </c>
      <c r="AV112" s="220" t="s">
        <v>532</v>
      </c>
      <c r="AW112" s="220" t="s">
        <v>4732</v>
      </c>
      <c r="AX112" s="221"/>
      <c r="AY112" s="221"/>
      <c r="AZ112" s="302">
        <v>2700000</v>
      </c>
      <c r="BA112" s="221"/>
      <c r="BB112" s="221"/>
      <c r="BC112" s="221"/>
      <c r="BD112" s="221">
        <v>8114345</v>
      </c>
      <c r="BE112" s="221"/>
    </row>
    <row r="113" spans="2:57" x14ac:dyDescent="0.3">
      <c r="B113" s="290" t="s">
        <v>580</v>
      </c>
      <c r="C113" s="222" t="s">
        <v>1505</v>
      </c>
      <c r="D113" s="222"/>
      <c r="E113" s="222"/>
      <c r="F113" s="223">
        <f t="shared" ref="F113:AP113" si="153">SUM(F114:F117)</f>
        <v>639737000</v>
      </c>
      <c r="G113" s="223">
        <f t="shared" si="153"/>
        <v>0</v>
      </c>
      <c r="H113" s="223">
        <f t="shared" si="153"/>
        <v>0</v>
      </c>
      <c r="I113" s="223">
        <f t="shared" si="153"/>
        <v>0</v>
      </c>
      <c r="J113" s="223">
        <f t="shared" si="153"/>
        <v>0</v>
      </c>
      <c r="K113" s="223">
        <f t="shared" si="153"/>
        <v>0</v>
      </c>
      <c r="L113" s="223">
        <f t="shared" si="153"/>
        <v>0</v>
      </c>
      <c r="M113" s="223">
        <f t="shared" si="153"/>
        <v>0</v>
      </c>
      <c r="N113" s="223">
        <f t="shared" si="153"/>
        <v>0</v>
      </c>
      <c r="O113" s="223">
        <f t="shared" si="153"/>
        <v>0</v>
      </c>
      <c r="P113" s="223">
        <f t="shared" si="153"/>
        <v>0</v>
      </c>
      <c r="Q113" s="223">
        <f t="shared" si="153"/>
        <v>0</v>
      </c>
      <c r="R113" s="223">
        <f t="shared" si="153"/>
        <v>0</v>
      </c>
      <c r="S113" s="223">
        <f t="shared" si="153"/>
        <v>0</v>
      </c>
      <c r="T113" s="223">
        <f t="shared" si="153"/>
        <v>0</v>
      </c>
      <c r="U113" s="223">
        <f t="shared" si="153"/>
        <v>0</v>
      </c>
      <c r="V113" s="223">
        <f t="shared" si="153"/>
        <v>0</v>
      </c>
      <c r="W113" s="223">
        <f t="shared" si="153"/>
        <v>0</v>
      </c>
      <c r="X113" s="223">
        <f t="shared" si="153"/>
        <v>0</v>
      </c>
      <c r="Y113" s="223">
        <f t="shared" si="153"/>
        <v>0</v>
      </c>
      <c r="Z113" s="223">
        <f t="shared" si="153"/>
        <v>0</v>
      </c>
      <c r="AA113" s="223">
        <f t="shared" si="153"/>
        <v>0</v>
      </c>
      <c r="AB113" s="223">
        <f t="shared" si="153"/>
        <v>0</v>
      </c>
      <c r="AC113" s="223">
        <f t="shared" si="153"/>
        <v>0</v>
      </c>
      <c r="AD113" s="223">
        <f t="shared" si="153"/>
        <v>0</v>
      </c>
      <c r="AE113" s="223">
        <f t="shared" si="153"/>
        <v>0</v>
      </c>
      <c r="AF113" s="223">
        <f t="shared" si="153"/>
        <v>0</v>
      </c>
      <c r="AG113" s="223">
        <f t="shared" si="153"/>
        <v>0</v>
      </c>
      <c r="AH113" s="223">
        <f t="shared" si="153"/>
        <v>0</v>
      </c>
      <c r="AI113" s="223">
        <f t="shared" si="153"/>
        <v>0</v>
      </c>
      <c r="AJ113" s="223">
        <f t="shared" si="153"/>
        <v>0</v>
      </c>
      <c r="AK113" s="223">
        <f t="shared" si="153"/>
        <v>0</v>
      </c>
      <c r="AL113" s="223">
        <f t="shared" si="153"/>
        <v>0</v>
      </c>
      <c r="AM113" s="223">
        <f t="shared" si="153"/>
        <v>0</v>
      </c>
      <c r="AN113" s="223">
        <f t="shared" si="153"/>
        <v>0</v>
      </c>
      <c r="AO113" s="223">
        <f t="shared" si="153"/>
        <v>0</v>
      </c>
      <c r="AP113" s="223">
        <f t="shared" si="153"/>
        <v>0</v>
      </c>
      <c r="AQ113" s="223">
        <f t="shared" si="119"/>
        <v>0</v>
      </c>
      <c r="AR113" s="231">
        <f t="shared" si="143"/>
        <v>0</v>
      </c>
      <c r="AS113" s="232">
        <f t="shared" si="121"/>
        <v>639737000</v>
      </c>
      <c r="AT113" s="231">
        <f t="shared" si="122"/>
        <v>100</v>
      </c>
      <c r="AU113" s="220" t="s">
        <v>531</v>
      </c>
      <c r="AV113" s="220" t="s">
        <v>534</v>
      </c>
      <c r="AW113" s="220" t="s">
        <v>4732</v>
      </c>
      <c r="AX113" s="223">
        <f t="shared" ref="AX113:BA113" si="154">SUM(AX114:AX117)</f>
        <v>0</v>
      </c>
      <c r="AY113" s="223">
        <f t="shared" si="154"/>
        <v>0</v>
      </c>
      <c r="AZ113" s="223">
        <f t="shared" si="154"/>
        <v>0</v>
      </c>
      <c r="BA113" s="223">
        <f t="shared" si="154"/>
        <v>0</v>
      </c>
      <c r="BB113" s="223">
        <f t="shared" ref="BB113" si="155">SUM(BB114:BB117)</f>
        <v>0</v>
      </c>
      <c r="BC113" s="223">
        <f t="shared" ref="BC113:BD113" si="156">SUM(BC114:BC117)</f>
        <v>0</v>
      </c>
      <c r="BD113" s="223">
        <f t="shared" si="156"/>
        <v>0</v>
      </c>
      <c r="BE113" s="223">
        <f t="shared" ref="BE113" si="157">SUM(BE114:BE117)</f>
        <v>0</v>
      </c>
    </row>
    <row r="114" spans="2:57" x14ac:dyDescent="0.3">
      <c r="B114" s="288">
        <v>521211</v>
      </c>
      <c r="C114" s="220" t="s">
        <v>7</v>
      </c>
      <c r="D114" s="220"/>
      <c r="E114" s="220"/>
      <c r="F114" s="221">
        <v>118575000</v>
      </c>
      <c r="G114" s="221"/>
      <c r="H114" s="221"/>
      <c r="I114" s="221"/>
      <c r="J114" s="221"/>
      <c r="K114" s="221"/>
      <c r="L114" s="221"/>
      <c r="M114" s="221"/>
      <c r="N114" s="221"/>
      <c r="O114" s="221"/>
      <c r="P114" s="221"/>
      <c r="Q114" s="221"/>
      <c r="R114" s="221"/>
      <c r="S114" s="221"/>
      <c r="T114" s="221"/>
      <c r="U114" s="221"/>
      <c r="V114" s="221"/>
      <c r="W114" s="221"/>
      <c r="X114" s="221"/>
      <c r="Y114" s="221"/>
      <c r="Z114" s="221"/>
      <c r="AA114" s="221"/>
      <c r="AB114" s="221"/>
      <c r="AC114" s="221"/>
      <c r="AD114" s="221"/>
      <c r="AE114" s="221"/>
      <c r="AF114" s="221"/>
      <c r="AG114" s="221"/>
      <c r="AH114" s="221"/>
      <c r="AI114" s="221"/>
      <c r="AJ114" s="221"/>
      <c r="AK114" s="221"/>
      <c r="AL114" s="221"/>
      <c r="AM114" s="221"/>
      <c r="AN114" s="221"/>
      <c r="AO114" s="221"/>
      <c r="AP114" s="221"/>
      <c r="AQ114" s="221">
        <f t="shared" si="119"/>
        <v>0</v>
      </c>
      <c r="AR114" s="224">
        <f t="shared" si="143"/>
        <v>0</v>
      </c>
      <c r="AS114" s="225">
        <f t="shared" si="121"/>
        <v>118575000</v>
      </c>
      <c r="AT114" s="224">
        <f t="shared" si="122"/>
        <v>100</v>
      </c>
      <c r="AU114" s="220" t="s">
        <v>531</v>
      </c>
      <c r="AV114" s="220" t="s">
        <v>534</v>
      </c>
      <c r="AW114" s="220" t="s">
        <v>4732</v>
      </c>
      <c r="AX114" s="221"/>
      <c r="AY114" s="221"/>
      <c r="AZ114" s="302"/>
      <c r="BA114" s="221"/>
      <c r="BB114" s="221"/>
      <c r="BC114" s="221"/>
      <c r="BD114" s="221"/>
      <c r="BE114" s="221"/>
    </row>
    <row r="115" spans="2:57" x14ac:dyDescent="0.3">
      <c r="B115" s="288">
        <v>521219</v>
      </c>
      <c r="C115" s="220" t="s">
        <v>53</v>
      </c>
      <c r="D115" s="220"/>
      <c r="E115" s="220"/>
      <c r="F115" s="221">
        <v>393200000</v>
      </c>
      <c r="G115" s="221"/>
      <c r="H115" s="221"/>
      <c r="I115" s="221"/>
      <c r="J115" s="221"/>
      <c r="K115" s="221"/>
      <c r="L115" s="221"/>
      <c r="M115" s="221"/>
      <c r="N115" s="221"/>
      <c r="O115" s="221"/>
      <c r="P115" s="221"/>
      <c r="Q115" s="221"/>
      <c r="R115" s="221"/>
      <c r="S115" s="221"/>
      <c r="T115" s="221"/>
      <c r="U115" s="221"/>
      <c r="V115" s="221"/>
      <c r="W115" s="221"/>
      <c r="X115" s="221"/>
      <c r="Y115" s="221"/>
      <c r="Z115" s="221"/>
      <c r="AA115" s="221"/>
      <c r="AB115" s="221"/>
      <c r="AC115" s="221"/>
      <c r="AD115" s="221"/>
      <c r="AE115" s="221"/>
      <c r="AF115" s="221"/>
      <c r="AG115" s="221"/>
      <c r="AH115" s="221"/>
      <c r="AI115" s="221"/>
      <c r="AJ115" s="221"/>
      <c r="AK115" s="221"/>
      <c r="AL115" s="221"/>
      <c r="AM115" s="221"/>
      <c r="AN115" s="221"/>
      <c r="AO115" s="221"/>
      <c r="AP115" s="221"/>
      <c r="AQ115" s="221">
        <f t="shared" si="119"/>
        <v>0</v>
      </c>
      <c r="AR115" s="224">
        <f t="shared" si="143"/>
        <v>0</v>
      </c>
      <c r="AS115" s="225">
        <f t="shared" si="121"/>
        <v>393200000</v>
      </c>
      <c r="AT115" s="224">
        <f t="shared" si="122"/>
        <v>100</v>
      </c>
      <c r="AU115" s="220" t="s">
        <v>531</v>
      </c>
      <c r="AV115" s="220" t="s">
        <v>534</v>
      </c>
      <c r="AW115" s="220" t="s">
        <v>4732</v>
      </c>
      <c r="AX115" s="221"/>
      <c r="AY115" s="221"/>
      <c r="AZ115" s="302"/>
      <c r="BA115" s="221"/>
      <c r="BB115" s="221"/>
      <c r="BC115" s="221"/>
      <c r="BD115" s="221"/>
      <c r="BE115" s="221"/>
    </row>
    <row r="116" spans="2:57" x14ac:dyDescent="0.3">
      <c r="B116" s="288">
        <v>522141</v>
      </c>
      <c r="C116" s="220" t="s">
        <v>95</v>
      </c>
      <c r="D116" s="220"/>
      <c r="E116" s="220"/>
      <c r="F116" s="221">
        <v>120000000</v>
      </c>
      <c r="G116" s="221"/>
      <c r="H116" s="221"/>
      <c r="I116" s="221"/>
      <c r="J116" s="221"/>
      <c r="K116" s="221"/>
      <c r="L116" s="221"/>
      <c r="M116" s="221"/>
      <c r="N116" s="221"/>
      <c r="O116" s="221"/>
      <c r="P116" s="221"/>
      <c r="Q116" s="221"/>
      <c r="R116" s="221"/>
      <c r="S116" s="221"/>
      <c r="T116" s="221"/>
      <c r="U116" s="221"/>
      <c r="V116" s="221"/>
      <c r="W116" s="221"/>
      <c r="X116" s="221"/>
      <c r="Y116" s="221"/>
      <c r="Z116" s="221"/>
      <c r="AA116" s="221"/>
      <c r="AB116" s="221"/>
      <c r="AC116" s="221"/>
      <c r="AD116" s="221"/>
      <c r="AE116" s="221"/>
      <c r="AF116" s="221"/>
      <c r="AG116" s="221"/>
      <c r="AH116" s="221"/>
      <c r="AI116" s="221"/>
      <c r="AJ116" s="221"/>
      <c r="AK116" s="221"/>
      <c r="AL116" s="221"/>
      <c r="AM116" s="221"/>
      <c r="AN116" s="221"/>
      <c r="AO116" s="221"/>
      <c r="AP116" s="221"/>
      <c r="AQ116" s="221">
        <f t="shared" si="119"/>
        <v>0</v>
      </c>
      <c r="AR116" s="224">
        <f t="shared" si="143"/>
        <v>0</v>
      </c>
      <c r="AS116" s="225">
        <f>F116-AQ116</f>
        <v>120000000</v>
      </c>
      <c r="AT116" s="224">
        <f t="shared" si="122"/>
        <v>100</v>
      </c>
      <c r="AU116" s="220" t="s">
        <v>531</v>
      </c>
      <c r="AV116" s="220" t="s">
        <v>534</v>
      </c>
      <c r="AW116" s="220" t="s">
        <v>4732</v>
      </c>
      <c r="AX116" s="221"/>
      <c r="AY116" s="221"/>
      <c r="AZ116" s="302"/>
      <c r="BA116" s="221"/>
      <c r="BB116" s="221"/>
      <c r="BC116" s="221"/>
      <c r="BD116" s="221"/>
      <c r="BE116" s="221"/>
    </row>
    <row r="117" spans="2:57" x14ac:dyDescent="0.3">
      <c r="B117" s="288">
        <v>524111</v>
      </c>
      <c r="C117" s="220" t="s">
        <v>19</v>
      </c>
      <c r="D117" s="220"/>
      <c r="E117" s="220"/>
      <c r="F117" s="221">
        <v>7962000</v>
      </c>
      <c r="G117" s="221"/>
      <c r="H117" s="221"/>
      <c r="I117" s="221"/>
      <c r="J117" s="221"/>
      <c r="K117" s="221"/>
      <c r="L117" s="221"/>
      <c r="M117" s="221"/>
      <c r="N117" s="221"/>
      <c r="O117" s="221"/>
      <c r="P117" s="221"/>
      <c r="Q117" s="221"/>
      <c r="R117" s="221"/>
      <c r="S117" s="221"/>
      <c r="T117" s="221"/>
      <c r="U117" s="221"/>
      <c r="V117" s="221"/>
      <c r="W117" s="221"/>
      <c r="X117" s="221"/>
      <c r="Y117" s="221"/>
      <c r="Z117" s="221"/>
      <c r="AA117" s="221"/>
      <c r="AB117" s="221"/>
      <c r="AC117" s="221"/>
      <c r="AD117" s="221"/>
      <c r="AE117" s="221"/>
      <c r="AF117" s="221"/>
      <c r="AG117" s="221"/>
      <c r="AH117" s="221"/>
      <c r="AI117" s="221"/>
      <c r="AJ117" s="221"/>
      <c r="AK117" s="221"/>
      <c r="AL117" s="221"/>
      <c r="AM117" s="221"/>
      <c r="AN117" s="221"/>
      <c r="AO117" s="221"/>
      <c r="AP117" s="221"/>
      <c r="AQ117" s="221">
        <f t="shared" si="119"/>
        <v>0</v>
      </c>
      <c r="AR117" s="224">
        <f t="shared" si="143"/>
        <v>0</v>
      </c>
      <c r="AS117" s="225">
        <f t="shared" si="121"/>
        <v>7962000</v>
      </c>
      <c r="AT117" s="224">
        <f t="shared" si="122"/>
        <v>100</v>
      </c>
      <c r="AU117" s="220" t="s">
        <v>531</v>
      </c>
      <c r="AV117" s="220" t="s">
        <v>534</v>
      </c>
      <c r="AW117" s="220" t="s">
        <v>4732</v>
      </c>
      <c r="AX117" s="221"/>
      <c r="AY117" s="221"/>
      <c r="AZ117" s="302"/>
      <c r="BA117" s="221"/>
      <c r="BB117" s="221"/>
      <c r="BC117" s="221"/>
      <c r="BD117" s="221"/>
      <c r="BE117" s="221"/>
    </row>
    <row r="118" spans="2:57" x14ac:dyDescent="0.3">
      <c r="B118" s="290" t="s">
        <v>581</v>
      </c>
      <c r="C118" s="222" t="s">
        <v>1537</v>
      </c>
      <c r="D118" s="222"/>
      <c r="E118" s="222"/>
      <c r="F118" s="223">
        <f>SUM(F119:F122)</f>
        <v>110263000</v>
      </c>
      <c r="G118" s="223">
        <f t="shared" ref="G118:AP118" si="158">SUM(G119:G122)</f>
        <v>0</v>
      </c>
      <c r="H118" s="223">
        <f t="shared" si="158"/>
        <v>0</v>
      </c>
      <c r="I118" s="223">
        <f t="shared" si="158"/>
        <v>0</v>
      </c>
      <c r="J118" s="223">
        <f t="shared" si="158"/>
        <v>0</v>
      </c>
      <c r="K118" s="223">
        <f t="shared" si="158"/>
        <v>0</v>
      </c>
      <c r="L118" s="223">
        <f t="shared" si="158"/>
        <v>0</v>
      </c>
      <c r="M118" s="223">
        <f t="shared" si="158"/>
        <v>0</v>
      </c>
      <c r="N118" s="223">
        <f t="shared" si="158"/>
        <v>9200000</v>
      </c>
      <c r="O118" s="223">
        <f t="shared" si="158"/>
        <v>18676000</v>
      </c>
      <c r="P118" s="223">
        <f t="shared" si="158"/>
        <v>0</v>
      </c>
      <c r="Q118" s="223">
        <f t="shared" si="158"/>
        <v>0</v>
      </c>
      <c r="R118" s="223">
        <f t="shared" si="158"/>
        <v>0</v>
      </c>
      <c r="S118" s="223">
        <f t="shared" si="158"/>
        <v>0</v>
      </c>
      <c r="T118" s="223">
        <f t="shared" si="158"/>
        <v>528000</v>
      </c>
      <c r="U118" s="223">
        <f t="shared" si="158"/>
        <v>20747000</v>
      </c>
      <c r="V118" s="223">
        <f t="shared" si="158"/>
        <v>0</v>
      </c>
      <c r="W118" s="223">
        <f t="shared" si="158"/>
        <v>0</v>
      </c>
      <c r="X118" s="223">
        <f t="shared" si="158"/>
        <v>0</v>
      </c>
      <c r="Y118" s="223">
        <f t="shared" si="158"/>
        <v>0</v>
      </c>
      <c r="Z118" s="223">
        <f t="shared" si="158"/>
        <v>0</v>
      </c>
      <c r="AA118" s="223">
        <f t="shared" si="158"/>
        <v>0</v>
      </c>
      <c r="AB118" s="223">
        <f t="shared" si="158"/>
        <v>0</v>
      </c>
      <c r="AC118" s="223">
        <f t="shared" si="158"/>
        <v>0</v>
      </c>
      <c r="AD118" s="223">
        <f t="shared" si="158"/>
        <v>0</v>
      </c>
      <c r="AE118" s="223">
        <f t="shared" si="158"/>
        <v>0</v>
      </c>
      <c r="AF118" s="223">
        <f t="shared" si="158"/>
        <v>0</v>
      </c>
      <c r="AG118" s="223">
        <f t="shared" si="158"/>
        <v>0</v>
      </c>
      <c r="AH118" s="223">
        <f t="shared" si="158"/>
        <v>0</v>
      </c>
      <c r="AI118" s="223">
        <f t="shared" si="158"/>
        <v>0</v>
      </c>
      <c r="AJ118" s="223">
        <f t="shared" si="158"/>
        <v>0</v>
      </c>
      <c r="AK118" s="223">
        <f t="shared" si="158"/>
        <v>0</v>
      </c>
      <c r="AL118" s="223">
        <f t="shared" si="158"/>
        <v>0</v>
      </c>
      <c r="AM118" s="223">
        <f t="shared" si="158"/>
        <v>0</v>
      </c>
      <c r="AN118" s="223">
        <f t="shared" si="158"/>
        <v>0</v>
      </c>
      <c r="AO118" s="223">
        <f t="shared" si="158"/>
        <v>0</v>
      </c>
      <c r="AP118" s="223">
        <f t="shared" si="158"/>
        <v>0</v>
      </c>
      <c r="AQ118" s="223">
        <f t="shared" si="119"/>
        <v>49151000</v>
      </c>
      <c r="AR118" s="231">
        <f t="shared" si="143"/>
        <v>4.4576149751049763E-3</v>
      </c>
      <c r="AS118" s="232">
        <f t="shared" si="121"/>
        <v>61112000</v>
      </c>
      <c r="AT118" s="231">
        <f t="shared" si="122"/>
        <v>55.423850248950238</v>
      </c>
      <c r="AU118" s="220" t="s">
        <v>531</v>
      </c>
      <c r="AV118" s="220" t="s">
        <v>534</v>
      </c>
      <c r="AW118" s="220" t="s">
        <v>4732</v>
      </c>
      <c r="AX118" s="223">
        <f t="shared" ref="AX118:BA118" si="159">SUM(AX119:AX122)</f>
        <v>0</v>
      </c>
      <c r="AY118" s="223">
        <f t="shared" si="159"/>
        <v>18676000</v>
      </c>
      <c r="AZ118" s="223">
        <f t="shared" si="159"/>
        <v>9200000</v>
      </c>
      <c r="BA118" s="223">
        <f t="shared" si="159"/>
        <v>0</v>
      </c>
      <c r="BB118" s="223">
        <f t="shared" ref="BB118" si="160">SUM(BB119:BB122)</f>
        <v>0</v>
      </c>
      <c r="BC118" s="223">
        <f t="shared" ref="BC118:BD118" si="161">SUM(BC119:BC122)</f>
        <v>528000</v>
      </c>
      <c r="BD118" s="223">
        <f t="shared" si="161"/>
        <v>20747000</v>
      </c>
      <c r="BE118" s="223">
        <f t="shared" ref="BE118" si="162">SUM(BE119:BE122)</f>
        <v>0</v>
      </c>
    </row>
    <row r="119" spans="2:57" x14ac:dyDescent="0.3">
      <c r="B119" s="288">
        <v>521211</v>
      </c>
      <c r="C119" s="220" t="s">
        <v>7</v>
      </c>
      <c r="D119" s="220"/>
      <c r="E119" s="220"/>
      <c r="F119" s="221">
        <v>17550000</v>
      </c>
      <c r="G119" s="221"/>
      <c r="H119" s="221"/>
      <c r="I119" s="221"/>
      <c r="J119" s="221"/>
      <c r="K119" s="221"/>
      <c r="L119" s="221"/>
      <c r="M119" s="221"/>
      <c r="N119" s="302"/>
      <c r="O119" s="221">
        <v>2444000</v>
      </c>
      <c r="P119" s="221"/>
      <c r="Q119" s="221"/>
      <c r="R119" s="221"/>
      <c r="S119" s="221"/>
      <c r="T119" s="221">
        <v>528000</v>
      </c>
      <c r="U119" s="221">
        <v>6497000</v>
      </c>
      <c r="V119" s="221"/>
      <c r="W119" s="221"/>
      <c r="X119" s="221"/>
      <c r="Y119" s="221"/>
      <c r="Z119" s="221"/>
      <c r="AA119" s="221"/>
      <c r="AB119" s="221"/>
      <c r="AC119" s="221"/>
      <c r="AD119" s="221"/>
      <c r="AE119" s="221"/>
      <c r="AF119" s="221"/>
      <c r="AG119" s="221"/>
      <c r="AH119" s="221"/>
      <c r="AI119" s="221"/>
      <c r="AJ119" s="221"/>
      <c r="AK119" s="221"/>
      <c r="AL119" s="221"/>
      <c r="AM119" s="221"/>
      <c r="AN119" s="221"/>
      <c r="AO119" s="221"/>
      <c r="AP119" s="221"/>
      <c r="AQ119" s="221">
        <f t="shared" si="119"/>
        <v>9469000</v>
      </c>
      <c r="AR119" s="224">
        <f t="shared" si="143"/>
        <v>5.3954415954415962E-3</v>
      </c>
      <c r="AS119" s="225">
        <f t="shared" si="121"/>
        <v>8081000</v>
      </c>
      <c r="AT119" s="224">
        <f t="shared" si="122"/>
        <v>46.04558404558405</v>
      </c>
      <c r="AU119" s="220" t="s">
        <v>531</v>
      </c>
      <c r="AV119" s="220" t="s">
        <v>534</v>
      </c>
      <c r="AW119" s="220" t="s">
        <v>4732</v>
      </c>
      <c r="AX119" s="221"/>
      <c r="AY119" s="221">
        <v>2444000</v>
      </c>
      <c r="AZ119" s="302"/>
      <c r="BA119" s="221"/>
      <c r="BB119" s="221"/>
      <c r="BC119" s="221">
        <v>528000</v>
      </c>
      <c r="BD119" s="221">
        <v>6497000</v>
      </c>
      <c r="BE119" s="221"/>
    </row>
    <row r="120" spans="2:57" x14ac:dyDescent="0.3">
      <c r="B120" s="288">
        <v>521219</v>
      </c>
      <c r="C120" s="220" t="s">
        <v>53</v>
      </c>
      <c r="D120" s="220"/>
      <c r="E120" s="220"/>
      <c r="F120" s="221">
        <v>27651000</v>
      </c>
      <c r="G120" s="221"/>
      <c r="H120" s="221"/>
      <c r="I120" s="221"/>
      <c r="J120" s="221"/>
      <c r="K120" s="221"/>
      <c r="L120" s="221"/>
      <c r="M120" s="221"/>
      <c r="N120" s="302">
        <v>120000</v>
      </c>
      <c r="O120" s="221">
        <v>250000</v>
      </c>
      <c r="P120" s="221"/>
      <c r="Q120" s="221"/>
      <c r="R120" s="221"/>
      <c r="S120" s="221"/>
      <c r="T120" s="221"/>
      <c r="U120" s="221">
        <v>250000</v>
      </c>
      <c r="V120" s="221"/>
      <c r="W120" s="221"/>
      <c r="X120" s="221"/>
      <c r="Y120" s="221"/>
      <c r="Z120" s="221"/>
      <c r="AA120" s="221"/>
      <c r="AB120" s="221"/>
      <c r="AC120" s="221"/>
      <c r="AD120" s="221"/>
      <c r="AE120" s="221"/>
      <c r="AF120" s="221"/>
      <c r="AG120" s="221"/>
      <c r="AH120" s="221"/>
      <c r="AI120" s="221"/>
      <c r="AJ120" s="221"/>
      <c r="AK120" s="221"/>
      <c r="AL120" s="221"/>
      <c r="AM120" s="221"/>
      <c r="AN120" s="221"/>
      <c r="AO120" s="221"/>
      <c r="AP120" s="221"/>
      <c r="AQ120" s="221">
        <f t="shared" si="119"/>
        <v>620000</v>
      </c>
      <c r="AR120" s="224">
        <f t="shared" si="143"/>
        <v>2.2422335539401832E-4</v>
      </c>
      <c r="AS120" s="225">
        <f t="shared" si="121"/>
        <v>27031000</v>
      </c>
      <c r="AT120" s="224">
        <f t="shared" si="122"/>
        <v>97.757766446059819</v>
      </c>
      <c r="AU120" s="220" t="s">
        <v>531</v>
      </c>
      <c r="AV120" s="220" t="s">
        <v>534</v>
      </c>
      <c r="AW120" s="391" t="s">
        <v>4732</v>
      </c>
      <c r="AX120" s="221"/>
      <c r="AY120" s="221">
        <v>250000</v>
      </c>
      <c r="AZ120" s="302">
        <v>120000</v>
      </c>
      <c r="BA120" s="221"/>
      <c r="BB120" s="221"/>
      <c r="BC120" s="221"/>
      <c r="BD120" s="221">
        <v>250000</v>
      </c>
      <c r="BE120" s="221"/>
    </row>
    <row r="121" spans="2:57" x14ac:dyDescent="0.3">
      <c r="B121" s="288">
        <v>522151</v>
      </c>
      <c r="C121" s="220" t="s">
        <v>11</v>
      </c>
      <c r="D121" s="220"/>
      <c r="E121" s="220"/>
      <c r="F121" s="221">
        <v>40000000</v>
      </c>
      <c r="G121" s="221"/>
      <c r="H121" s="221"/>
      <c r="I121" s="221"/>
      <c r="J121" s="221"/>
      <c r="K121" s="221"/>
      <c r="L121" s="221"/>
      <c r="M121" s="221"/>
      <c r="N121" s="221"/>
      <c r="O121" s="221"/>
      <c r="P121" s="221"/>
      <c r="Q121" s="221"/>
      <c r="R121" s="221"/>
      <c r="S121" s="221"/>
      <c r="T121" s="221"/>
      <c r="U121" s="221">
        <v>14000000</v>
      </c>
      <c r="V121" s="221"/>
      <c r="W121" s="221"/>
      <c r="X121" s="221"/>
      <c r="Y121" s="221"/>
      <c r="Z121" s="221"/>
      <c r="AA121" s="221"/>
      <c r="AB121" s="221"/>
      <c r="AC121" s="221"/>
      <c r="AD121" s="221"/>
      <c r="AE121" s="221"/>
      <c r="AF121" s="221"/>
      <c r="AG121" s="221"/>
      <c r="AH121" s="221"/>
      <c r="AI121" s="221"/>
      <c r="AJ121" s="221"/>
      <c r="AK121" s="221"/>
      <c r="AL121" s="221"/>
      <c r="AM121" s="221"/>
      <c r="AN121" s="221"/>
      <c r="AO121" s="221"/>
      <c r="AP121" s="221"/>
      <c r="AQ121" s="221">
        <f t="shared" si="119"/>
        <v>14000000</v>
      </c>
      <c r="AR121" s="224">
        <f t="shared" si="143"/>
        <v>3.4999999999999996E-3</v>
      </c>
      <c r="AS121" s="225">
        <f>F121-AQ121</f>
        <v>26000000</v>
      </c>
      <c r="AT121" s="224">
        <f t="shared" si="122"/>
        <v>65</v>
      </c>
      <c r="AU121" s="220" t="s">
        <v>531</v>
      </c>
      <c r="AV121" s="220" t="s">
        <v>534</v>
      </c>
      <c r="AW121" s="220" t="s">
        <v>4732</v>
      </c>
      <c r="AX121" s="221"/>
      <c r="AY121" s="221"/>
      <c r="AZ121" s="302"/>
      <c r="BA121" s="221"/>
      <c r="BB121" s="221"/>
      <c r="BC121" s="221"/>
      <c r="BD121" s="221">
        <v>14000000</v>
      </c>
      <c r="BE121" s="221"/>
    </row>
    <row r="122" spans="2:57" x14ac:dyDescent="0.3">
      <c r="B122" s="288">
        <v>524111</v>
      </c>
      <c r="C122" s="220" t="s">
        <v>19</v>
      </c>
      <c r="D122" s="220"/>
      <c r="E122" s="220"/>
      <c r="F122" s="221">
        <v>25062000</v>
      </c>
      <c r="G122" s="221"/>
      <c r="H122" s="221"/>
      <c r="I122" s="221"/>
      <c r="J122" s="221"/>
      <c r="K122" s="221"/>
      <c r="L122" s="221"/>
      <c r="M122" s="221"/>
      <c r="N122" s="302">
        <v>9080000</v>
      </c>
      <c r="O122" s="221">
        <v>15982000</v>
      </c>
      <c r="P122" s="221"/>
      <c r="Q122" s="221"/>
      <c r="R122" s="221"/>
      <c r="S122" s="221"/>
      <c r="T122" s="221"/>
      <c r="U122" s="221"/>
      <c r="V122" s="221"/>
      <c r="W122" s="221"/>
      <c r="X122" s="221"/>
      <c r="Y122" s="221"/>
      <c r="Z122" s="221"/>
      <c r="AA122" s="221"/>
      <c r="AB122" s="221"/>
      <c r="AC122" s="221"/>
      <c r="AD122" s="221"/>
      <c r="AE122" s="221"/>
      <c r="AF122" s="221"/>
      <c r="AG122" s="221"/>
      <c r="AH122" s="221"/>
      <c r="AI122" s="221"/>
      <c r="AJ122" s="221"/>
      <c r="AK122" s="221"/>
      <c r="AL122" s="221"/>
      <c r="AM122" s="221"/>
      <c r="AN122" s="221"/>
      <c r="AO122" s="221"/>
      <c r="AP122" s="221"/>
      <c r="AQ122" s="221">
        <f t="shared" si="119"/>
        <v>25062000</v>
      </c>
      <c r="AR122" s="224">
        <f t="shared" si="143"/>
        <v>0.01</v>
      </c>
      <c r="AS122" s="225">
        <f t="shared" si="121"/>
        <v>0</v>
      </c>
      <c r="AT122" s="224">
        <f t="shared" si="122"/>
        <v>0</v>
      </c>
      <c r="AU122" s="220" t="s">
        <v>531</v>
      </c>
      <c r="AV122" s="220" t="s">
        <v>534</v>
      </c>
      <c r="AW122" s="220" t="s">
        <v>4732</v>
      </c>
      <c r="AX122" s="221"/>
      <c r="AY122" s="221">
        <v>15982000</v>
      </c>
      <c r="AZ122" s="302">
        <v>9080000</v>
      </c>
      <c r="BA122" s="221"/>
      <c r="BB122" s="221"/>
      <c r="BC122" s="221"/>
      <c r="BD122" s="221"/>
      <c r="BE122" s="221"/>
    </row>
    <row r="123" spans="2:57" x14ac:dyDescent="0.3">
      <c r="B123" s="226" t="s">
        <v>3986</v>
      </c>
      <c r="C123" s="227" t="s">
        <v>1701</v>
      </c>
      <c r="D123" s="227">
        <v>1</v>
      </c>
      <c r="E123" s="227" t="s">
        <v>3740</v>
      </c>
      <c r="F123" s="228">
        <f>F124</f>
        <v>2195658000</v>
      </c>
      <c r="G123" s="228">
        <f t="shared" ref="G123:AP123" si="163">G124</f>
        <v>0</v>
      </c>
      <c r="H123" s="228">
        <f t="shared" si="163"/>
        <v>0</v>
      </c>
      <c r="I123" s="228">
        <f t="shared" si="163"/>
        <v>0</v>
      </c>
      <c r="J123" s="228">
        <f t="shared" si="163"/>
        <v>63640000</v>
      </c>
      <c r="K123" s="228">
        <f t="shared" si="163"/>
        <v>0</v>
      </c>
      <c r="L123" s="228">
        <f t="shared" si="163"/>
        <v>0</v>
      </c>
      <c r="M123" s="228">
        <f t="shared" si="163"/>
        <v>63640000</v>
      </c>
      <c r="N123" s="228">
        <f t="shared" si="163"/>
        <v>49421537</v>
      </c>
      <c r="O123" s="228">
        <f t="shared" si="163"/>
        <v>80540400</v>
      </c>
      <c r="P123" s="228">
        <f t="shared" si="163"/>
        <v>127280000</v>
      </c>
      <c r="Q123" s="228">
        <f t="shared" si="163"/>
        <v>35138796</v>
      </c>
      <c r="R123" s="228">
        <f t="shared" si="163"/>
        <v>0</v>
      </c>
      <c r="S123" s="228">
        <f t="shared" si="163"/>
        <v>63640000</v>
      </c>
      <c r="T123" s="228">
        <f t="shared" si="163"/>
        <v>116380908</v>
      </c>
      <c r="U123" s="228">
        <f t="shared" si="163"/>
        <v>0</v>
      </c>
      <c r="V123" s="228">
        <f t="shared" si="163"/>
        <v>63640000</v>
      </c>
      <c r="W123" s="228">
        <f t="shared" si="163"/>
        <v>0</v>
      </c>
      <c r="X123" s="228">
        <f t="shared" si="163"/>
        <v>0</v>
      </c>
      <c r="Y123" s="228">
        <f t="shared" si="163"/>
        <v>0</v>
      </c>
      <c r="Z123" s="228">
        <f t="shared" si="163"/>
        <v>0</v>
      </c>
      <c r="AA123" s="228">
        <f t="shared" si="163"/>
        <v>0</v>
      </c>
      <c r="AB123" s="228">
        <f t="shared" si="163"/>
        <v>0</v>
      </c>
      <c r="AC123" s="228">
        <f t="shared" si="163"/>
        <v>0</v>
      </c>
      <c r="AD123" s="228">
        <f t="shared" si="163"/>
        <v>0</v>
      </c>
      <c r="AE123" s="228">
        <f t="shared" si="163"/>
        <v>0</v>
      </c>
      <c r="AF123" s="228">
        <f t="shared" si="163"/>
        <v>0</v>
      </c>
      <c r="AG123" s="228">
        <f t="shared" si="163"/>
        <v>0</v>
      </c>
      <c r="AH123" s="228">
        <f t="shared" si="163"/>
        <v>0</v>
      </c>
      <c r="AI123" s="228">
        <f t="shared" si="163"/>
        <v>0</v>
      </c>
      <c r="AJ123" s="228">
        <f t="shared" si="163"/>
        <v>0</v>
      </c>
      <c r="AK123" s="228">
        <f t="shared" si="163"/>
        <v>0</v>
      </c>
      <c r="AL123" s="228">
        <f t="shared" si="163"/>
        <v>0</v>
      </c>
      <c r="AM123" s="228">
        <f t="shared" si="163"/>
        <v>0</v>
      </c>
      <c r="AN123" s="228">
        <f t="shared" si="163"/>
        <v>0</v>
      </c>
      <c r="AO123" s="228">
        <f t="shared" si="163"/>
        <v>0</v>
      </c>
      <c r="AP123" s="228">
        <f t="shared" si="163"/>
        <v>0</v>
      </c>
      <c r="AQ123" s="228">
        <f>SUM(G123:AP123)</f>
        <v>663321641</v>
      </c>
      <c r="AR123" s="229">
        <f t="shared" si="143"/>
        <v>3.0210608437197411E-3</v>
      </c>
      <c r="AS123" s="230">
        <f>F123-AQ123</f>
        <v>1532336359</v>
      </c>
      <c r="AT123" s="229">
        <f>AS123/F123*100</f>
        <v>69.789391562802578</v>
      </c>
      <c r="AU123" s="220" t="s">
        <v>576</v>
      </c>
      <c r="AV123" s="220" t="s">
        <v>560</v>
      </c>
      <c r="AW123" s="220" t="s">
        <v>4837</v>
      </c>
      <c r="AX123" s="228">
        <f t="shared" ref="AX123:BE123" si="164">AX124</f>
        <v>40653115</v>
      </c>
      <c r="AY123" s="228">
        <f t="shared" si="164"/>
        <v>80540400</v>
      </c>
      <c r="AZ123" s="228">
        <f t="shared" si="164"/>
        <v>8768422</v>
      </c>
      <c r="BA123" s="228">
        <f t="shared" si="164"/>
        <v>35138796</v>
      </c>
      <c r="BB123" s="228">
        <f t="shared" si="164"/>
        <v>64950711</v>
      </c>
      <c r="BC123" s="228">
        <f t="shared" si="164"/>
        <v>51430197</v>
      </c>
      <c r="BD123" s="228">
        <f t="shared" si="164"/>
        <v>0</v>
      </c>
      <c r="BE123" s="228">
        <f t="shared" si="164"/>
        <v>0</v>
      </c>
    </row>
    <row r="124" spans="2:57" x14ac:dyDescent="0.3">
      <c r="B124" s="226" t="s">
        <v>557</v>
      </c>
      <c r="C124" s="227" t="s">
        <v>89</v>
      </c>
      <c r="D124" s="227"/>
      <c r="E124" s="227"/>
      <c r="F124" s="228">
        <f>F125+F128+F131+F134+F137</f>
        <v>2195658000</v>
      </c>
      <c r="G124" s="228">
        <f t="shared" ref="G124:AP124" si="165">G125+G128+G131+G134+G137</f>
        <v>0</v>
      </c>
      <c r="H124" s="228">
        <f t="shared" si="165"/>
        <v>0</v>
      </c>
      <c r="I124" s="228">
        <f t="shared" si="165"/>
        <v>0</v>
      </c>
      <c r="J124" s="228">
        <f t="shared" si="165"/>
        <v>63640000</v>
      </c>
      <c r="K124" s="228">
        <f t="shared" si="165"/>
        <v>0</v>
      </c>
      <c r="L124" s="228">
        <f t="shared" si="165"/>
        <v>0</v>
      </c>
      <c r="M124" s="228">
        <f t="shared" si="165"/>
        <v>63640000</v>
      </c>
      <c r="N124" s="228">
        <f t="shared" si="165"/>
        <v>49421537</v>
      </c>
      <c r="O124" s="228">
        <f t="shared" si="165"/>
        <v>80540400</v>
      </c>
      <c r="P124" s="228">
        <f t="shared" si="165"/>
        <v>127280000</v>
      </c>
      <c r="Q124" s="228">
        <f t="shared" si="165"/>
        <v>35138796</v>
      </c>
      <c r="R124" s="228">
        <f t="shared" si="165"/>
        <v>0</v>
      </c>
      <c r="S124" s="228">
        <f t="shared" si="165"/>
        <v>63640000</v>
      </c>
      <c r="T124" s="228">
        <f t="shared" si="165"/>
        <v>116380908</v>
      </c>
      <c r="U124" s="228">
        <f t="shared" si="165"/>
        <v>0</v>
      </c>
      <c r="V124" s="228">
        <f t="shared" si="165"/>
        <v>63640000</v>
      </c>
      <c r="W124" s="228">
        <f t="shared" si="165"/>
        <v>0</v>
      </c>
      <c r="X124" s="228">
        <f t="shared" si="165"/>
        <v>0</v>
      </c>
      <c r="Y124" s="228">
        <f t="shared" si="165"/>
        <v>0</v>
      </c>
      <c r="Z124" s="228">
        <f t="shared" si="165"/>
        <v>0</v>
      </c>
      <c r="AA124" s="228">
        <f t="shared" si="165"/>
        <v>0</v>
      </c>
      <c r="AB124" s="228">
        <f t="shared" si="165"/>
        <v>0</v>
      </c>
      <c r="AC124" s="228">
        <f t="shared" si="165"/>
        <v>0</v>
      </c>
      <c r="AD124" s="228">
        <f t="shared" si="165"/>
        <v>0</v>
      </c>
      <c r="AE124" s="228">
        <f t="shared" si="165"/>
        <v>0</v>
      </c>
      <c r="AF124" s="228">
        <f t="shared" si="165"/>
        <v>0</v>
      </c>
      <c r="AG124" s="228">
        <f t="shared" si="165"/>
        <v>0</v>
      </c>
      <c r="AH124" s="228">
        <f t="shared" si="165"/>
        <v>0</v>
      </c>
      <c r="AI124" s="228">
        <f t="shared" si="165"/>
        <v>0</v>
      </c>
      <c r="AJ124" s="228">
        <f t="shared" si="165"/>
        <v>0</v>
      </c>
      <c r="AK124" s="228">
        <f t="shared" si="165"/>
        <v>0</v>
      </c>
      <c r="AL124" s="228">
        <f t="shared" si="165"/>
        <v>0</v>
      </c>
      <c r="AM124" s="228">
        <f t="shared" si="165"/>
        <v>0</v>
      </c>
      <c r="AN124" s="228">
        <f t="shared" si="165"/>
        <v>0</v>
      </c>
      <c r="AO124" s="228">
        <f t="shared" si="165"/>
        <v>0</v>
      </c>
      <c r="AP124" s="228">
        <f t="shared" si="165"/>
        <v>0</v>
      </c>
      <c r="AQ124" s="228">
        <f>SUM(G124:AP124)</f>
        <v>663321641</v>
      </c>
      <c r="AR124" s="229">
        <f t="shared" si="143"/>
        <v>3.0210608437197411E-3</v>
      </c>
      <c r="AS124" s="230">
        <f>F124-AQ124</f>
        <v>1532336359</v>
      </c>
      <c r="AT124" s="229">
        <f t="shared" si="122"/>
        <v>69.789391562802578</v>
      </c>
      <c r="AU124" s="220" t="s">
        <v>576</v>
      </c>
      <c r="AV124" s="220" t="s">
        <v>560</v>
      </c>
      <c r="AW124" s="220" t="s">
        <v>4837</v>
      </c>
      <c r="AX124" s="228">
        <f t="shared" ref="AX124:AZ124" si="166">AX125+AX128+AX131+AX134+AX137</f>
        <v>40653115</v>
      </c>
      <c r="AY124" s="228">
        <f t="shared" si="166"/>
        <v>80540400</v>
      </c>
      <c r="AZ124" s="228">
        <f t="shared" si="166"/>
        <v>8768422</v>
      </c>
      <c r="BA124" s="228">
        <f t="shared" ref="BA124" si="167">BA125+BA128+BA131+BA134+BA137</f>
        <v>35138796</v>
      </c>
      <c r="BB124" s="228">
        <f t="shared" ref="BB124" si="168">BB125+BB128+BB131+BB134+BB137</f>
        <v>64950711</v>
      </c>
      <c r="BC124" s="228">
        <f t="shared" ref="BC124:BD124" si="169">BC125+BC128+BC131+BC134+BC137</f>
        <v>51430197</v>
      </c>
      <c r="BD124" s="228">
        <f t="shared" si="169"/>
        <v>0</v>
      </c>
      <c r="BE124" s="228">
        <f t="shared" ref="BE124" si="170">BE125+BE128+BE131+BE134+BE137</f>
        <v>0</v>
      </c>
    </row>
    <row r="125" spans="2:57" x14ac:dyDescent="0.3">
      <c r="B125" s="290" t="s">
        <v>1807</v>
      </c>
      <c r="C125" s="222" t="s">
        <v>2171</v>
      </c>
      <c r="D125" s="222"/>
      <c r="E125" s="222"/>
      <c r="F125" s="223">
        <f>SUM(F126:F127)</f>
        <v>1254380000</v>
      </c>
      <c r="G125" s="223">
        <f t="shared" ref="G125:AP125" si="171">SUM(G126:G127)</f>
        <v>0</v>
      </c>
      <c r="H125" s="223">
        <f t="shared" si="171"/>
        <v>0</v>
      </c>
      <c r="I125" s="223">
        <f t="shared" si="171"/>
        <v>0</v>
      </c>
      <c r="J125" s="223">
        <f t="shared" si="171"/>
        <v>63640000</v>
      </c>
      <c r="K125" s="223">
        <f t="shared" si="171"/>
        <v>0</v>
      </c>
      <c r="L125" s="223">
        <f t="shared" si="171"/>
        <v>0</v>
      </c>
      <c r="M125" s="223">
        <f t="shared" si="171"/>
        <v>63640000</v>
      </c>
      <c r="N125" s="223">
        <f t="shared" si="171"/>
        <v>22203587</v>
      </c>
      <c r="O125" s="223">
        <f t="shared" si="171"/>
        <v>27406900</v>
      </c>
      <c r="P125" s="223">
        <f t="shared" si="171"/>
        <v>127280000</v>
      </c>
      <c r="Q125" s="223">
        <f t="shared" si="171"/>
        <v>17187096</v>
      </c>
      <c r="R125" s="223">
        <f t="shared" si="171"/>
        <v>0</v>
      </c>
      <c r="S125" s="223">
        <f t="shared" si="171"/>
        <v>63640000</v>
      </c>
      <c r="T125" s="223">
        <f t="shared" si="171"/>
        <v>39128568</v>
      </c>
      <c r="U125" s="223">
        <f t="shared" si="171"/>
        <v>0</v>
      </c>
      <c r="V125" s="223">
        <f t="shared" si="171"/>
        <v>63640000</v>
      </c>
      <c r="W125" s="223">
        <f t="shared" si="171"/>
        <v>0</v>
      </c>
      <c r="X125" s="223">
        <f t="shared" si="171"/>
        <v>0</v>
      </c>
      <c r="Y125" s="223">
        <f t="shared" si="171"/>
        <v>0</v>
      </c>
      <c r="Z125" s="223">
        <f t="shared" si="171"/>
        <v>0</v>
      </c>
      <c r="AA125" s="223">
        <f t="shared" si="171"/>
        <v>0</v>
      </c>
      <c r="AB125" s="223">
        <f t="shared" si="171"/>
        <v>0</v>
      </c>
      <c r="AC125" s="223">
        <f t="shared" si="171"/>
        <v>0</v>
      </c>
      <c r="AD125" s="223">
        <f t="shared" si="171"/>
        <v>0</v>
      </c>
      <c r="AE125" s="223">
        <f t="shared" si="171"/>
        <v>0</v>
      </c>
      <c r="AF125" s="223">
        <f t="shared" si="171"/>
        <v>0</v>
      </c>
      <c r="AG125" s="223">
        <f t="shared" si="171"/>
        <v>0</v>
      </c>
      <c r="AH125" s="223">
        <f t="shared" si="171"/>
        <v>0</v>
      </c>
      <c r="AI125" s="223">
        <f t="shared" si="171"/>
        <v>0</v>
      </c>
      <c r="AJ125" s="223">
        <f t="shared" si="171"/>
        <v>0</v>
      </c>
      <c r="AK125" s="223">
        <f t="shared" si="171"/>
        <v>0</v>
      </c>
      <c r="AL125" s="223">
        <f t="shared" si="171"/>
        <v>0</v>
      </c>
      <c r="AM125" s="223">
        <f t="shared" si="171"/>
        <v>0</v>
      </c>
      <c r="AN125" s="223">
        <f t="shared" si="171"/>
        <v>0</v>
      </c>
      <c r="AO125" s="223">
        <f t="shared" si="171"/>
        <v>0</v>
      </c>
      <c r="AP125" s="223">
        <f t="shared" si="171"/>
        <v>0</v>
      </c>
      <c r="AQ125" s="223">
        <f>SUM(G125:AP125)</f>
        <v>487766151</v>
      </c>
      <c r="AR125" s="231">
        <f t="shared" si="143"/>
        <v>3.8885038903681501E-3</v>
      </c>
      <c r="AS125" s="232">
        <f>F125-AQ125</f>
        <v>766613849</v>
      </c>
      <c r="AT125" s="231">
        <f>AS125/F125*100</f>
        <v>61.114961096318495</v>
      </c>
      <c r="AU125" s="220" t="s">
        <v>576</v>
      </c>
      <c r="AV125" s="220" t="s">
        <v>560</v>
      </c>
      <c r="AW125" s="220" t="s">
        <v>4837</v>
      </c>
      <c r="AX125" s="223">
        <f t="shared" ref="AX125:AZ125" si="172">SUM(AX126:AX127)</f>
        <v>15353865</v>
      </c>
      <c r="AY125" s="223">
        <f t="shared" si="172"/>
        <v>27406900</v>
      </c>
      <c r="AZ125" s="223">
        <f t="shared" si="172"/>
        <v>6849722</v>
      </c>
      <c r="BA125" s="223">
        <f t="shared" ref="BA125" si="173">SUM(BA126:BA127)</f>
        <v>17187096</v>
      </c>
      <c r="BB125" s="223">
        <f t="shared" ref="BB125" si="174">SUM(BB126:BB127)</f>
        <v>10296711</v>
      </c>
      <c r="BC125" s="223">
        <f t="shared" ref="BC125:BD125" si="175">SUM(BC126:BC127)</f>
        <v>28831857</v>
      </c>
      <c r="BD125" s="223">
        <f t="shared" si="175"/>
        <v>0</v>
      </c>
      <c r="BE125" s="223">
        <f t="shared" ref="BE125" si="176">SUM(BE126:BE127)</f>
        <v>0</v>
      </c>
    </row>
    <row r="126" spans="2:57" x14ac:dyDescent="0.3">
      <c r="B126" s="288">
        <v>521111</v>
      </c>
      <c r="C126" s="220" t="s">
        <v>90</v>
      </c>
      <c r="D126" s="220"/>
      <c r="E126" s="220"/>
      <c r="F126" s="221">
        <v>1076220000</v>
      </c>
      <c r="G126" s="221"/>
      <c r="H126" s="221"/>
      <c r="I126" s="221"/>
      <c r="J126" s="221">
        <v>63640000</v>
      </c>
      <c r="K126" s="221"/>
      <c r="L126" s="221"/>
      <c r="M126" s="221">
        <v>63640000</v>
      </c>
      <c r="N126" s="221">
        <f>2178865+6849722</f>
        <v>9028587</v>
      </c>
      <c r="O126" s="221">
        <v>8107900</v>
      </c>
      <c r="P126" s="221">
        <f>63640000+63640000</f>
        <v>127280000</v>
      </c>
      <c r="Q126" s="221">
        <v>8235096</v>
      </c>
      <c r="R126" s="221"/>
      <c r="S126" s="221">
        <v>63640000</v>
      </c>
      <c r="T126" s="221">
        <f>8616711+7229857</f>
        <v>15846568</v>
      </c>
      <c r="U126" s="221"/>
      <c r="V126" s="221">
        <v>63640000</v>
      </c>
      <c r="W126" s="221"/>
      <c r="X126" s="221"/>
      <c r="Y126" s="221"/>
      <c r="Z126" s="221"/>
      <c r="AA126" s="221"/>
      <c r="AB126" s="221"/>
      <c r="AC126" s="221"/>
      <c r="AD126" s="221"/>
      <c r="AE126" s="221"/>
      <c r="AF126" s="221"/>
      <c r="AG126" s="221"/>
      <c r="AH126" s="221"/>
      <c r="AI126" s="221"/>
      <c r="AJ126" s="221"/>
      <c r="AK126" s="221"/>
      <c r="AL126" s="221"/>
      <c r="AM126" s="221"/>
      <c r="AN126" s="221"/>
      <c r="AO126" s="221"/>
      <c r="AP126" s="221"/>
      <c r="AQ126" s="221">
        <f>SUM(G126:AP126)</f>
        <v>423058151</v>
      </c>
      <c r="AR126" s="224">
        <f t="shared" si="143"/>
        <v>3.9309634740108904E-3</v>
      </c>
      <c r="AS126" s="225">
        <f>F126-AQ126</f>
        <v>653161849</v>
      </c>
      <c r="AT126" s="224">
        <f>AS126/F126*100</f>
        <v>60.690365259891102</v>
      </c>
      <c r="AU126" s="220" t="s">
        <v>576</v>
      </c>
      <c r="AV126" s="220" t="s">
        <v>560</v>
      </c>
      <c r="AW126" s="220" t="s">
        <v>4837</v>
      </c>
      <c r="AX126" s="221">
        <v>2178865</v>
      </c>
      <c r="AY126" s="221">
        <v>8107900</v>
      </c>
      <c r="AZ126" s="302">
        <v>6849722</v>
      </c>
      <c r="BA126" s="221">
        <v>8235096</v>
      </c>
      <c r="BB126" s="221">
        <v>8616711</v>
      </c>
      <c r="BC126" s="221">
        <v>7229857</v>
      </c>
      <c r="BD126" s="221"/>
      <c r="BE126" s="221"/>
    </row>
    <row r="127" spans="2:57" x14ac:dyDescent="0.3">
      <c r="B127" s="288">
        <v>521811</v>
      </c>
      <c r="C127" s="220" t="s">
        <v>64</v>
      </c>
      <c r="D127" s="220"/>
      <c r="E127" s="220"/>
      <c r="F127" s="221">
        <v>178160000</v>
      </c>
      <c r="G127" s="221"/>
      <c r="H127" s="221"/>
      <c r="I127" s="221"/>
      <c r="J127" s="221"/>
      <c r="K127" s="221"/>
      <c r="L127" s="221"/>
      <c r="M127" s="221"/>
      <c r="N127" s="221">
        <v>13175000</v>
      </c>
      <c r="O127" s="221">
        <v>19299000</v>
      </c>
      <c r="P127" s="221"/>
      <c r="Q127" s="221">
        <v>8952000</v>
      </c>
      <c r="R127" s="221"/>
      <c r="S127" s="221"/>
      <c r="T127" s="221">
        <f>1680000+21602000</f>
        <v>23282000</v>
      </c>
      <c r="U127" s="221"/>
      <c r="V127" s="221"/>
      <c r="W127" s="221"/>
      <c r="X127" s="221"/>
      <c r="Y127" s="221"/>
      <c r="Z127" s="221"/>
      <c r="AA127" s="221"/>
      <c r="AB127" s="221"/>
      <c r="AC127" s="221"/>
      <c r="AD127" s="221"/>
      <c r="AE127" s="221"/>
      <c r="AF127" s="221"/>
      <c r="AG127" s="221"/>
      <c r="AH127" s="221"/>
      <c r="AI127" s="221"/>
      <c r="AJ127" s="221"/>
      <c r="AK127" s="221"/>
      <c r="AL127" s="221"/>
      <c r="AM127" s="221"/>
      <c r="AN127" s="221"/>
      <c r="AO127" s="221"/>
      <c r="AP127" s="221"/>
      <c r="AQ127" s="221">
        <f t="shared" si="119"/>
        <v>64708000</v>
      </c>
      <c r="AR127" s="224">
        <f t="shared" si="143"/>
        <v>3.6320161652447238E-3</v>
      </c>
      <c r="AS127" s="225">
        <f>F127-AQ127</f>
        <v>113452000</v>
      </c>
      <c r="AT127" s="224">
        <f t="shared" si="122"/>
        <v>63.679838347552767</v>
      </c>
      <c r="AU127" s="220" t="s">
        <v>576</v>
      </c>
      <c r="AV127" s="220" t="s">
        <v>560</v>
      </c>
      <c r="AW127" s="220" t="s">
        <v>4837</v>
      </c>
      <c r="AX127" s="221">
        <v>13175000</v>
      </c>
      <c r="AY127" s="221">
        <v>19299000</v>
      </c>
      <c r="AZ127" s="302"/>
      <c r="BA127" s="221">
        <v>8952000</v>
      </c>
      <c r="BB127" s="221">
        <v>1680000</v>
      </c>
      <c r="BC127" s="221">
        <v>21602000</v>
      </c>
      <c r="BD127" s="221"/>
      <c r="BE127" s="221"/>
    </row>
    <row r="128" spans="2:57" x14ac:dyDescent="0.3">
      <c r="B128" s="290" t="s">
        <v>2208</v>
      </c>
      <c r="C128" s="222" t="s">
        <v>2209</v>
      </c>
      <c r="D128" s="222"/>
      <c r="E128" s="222"/>
      <c r="F128" s="223">
        <f t="shared" ref="F128:AP128" si="177">SUM(F129:F130)</f>
        <v>148852000</v>
      </c>
      <c r="G128" s="223">
        <f t="shared" si="177"/>
        <v>0</v>
      </c>
      <c r="H128" s="223">
        <f t="shared" si="177"/>
        <v>0</v>
      </c>
      <c r="I128" s="223">
        <f t="shared" si="177"/>
        <v>0</v>
      </c>
      <c r="J128" s="223">
        <f t="shared" si="177"/>
        <v>0</v>
      </c>
      <c r="K128" s="223">
        <f t="shared" si="177"/>
        <v>0</v>
      </c>
      <c r="L128" s="223">
        <f t="shared" si="177"/>
        <v>0</v>
      </c>
      <c r="M128" s="223">
        <f t="shared" si="177"/>
        <v>0</v>
      </c>
      <c r="N128" s="223">
        <f t="shared" si="177"/>
        <v>354050</v>
      </c>
      <c r="O128" s="223">
        <f t="shared" si="177"/>
        <v>4950000</v>
      </c>
      <c r="P128" s="223">
        <f t="shared" si="177"/>
        <v>0</v>
      </c>
      <c r="Q128" s="223">
        <f t="shared" si="177"/>
        <v>10503000</v>
      </c>
      <c r="R128" s="223">
        <f t="shared" si="177"/>
        <v>0</v>
      </c>
      <c r="S128" s="223">
        <f t="shared" si="177"/>
        <v>0</v>
      </c>
      <c r="T128" s="223">
        <f t="shared" si="177"/>
        <v>6279000</v>
      </c>
      <c r="U128" s="223">
        <f t="shared" si="177"/>
        <v>0</v>
      </c>
      <c r="V128" s="223">
        <f t="shared" si="177"/>
        <v>0</v>
      </c>
      <c r="W128" s="223">
        <f t="shared" si="177"/>
        <v>0</v>
      </c>
      <c r="X128" s="223">
        <f t="shared" si="177"/>
        <v>0</v>
      </c>
      <c r="Y128" s="223">
        <f t="shared" si="177"/>
        <v>0</v>
      </c>
      <c r="Z128" s="223">
        <f t="shared" si="177"/>
        <v>0</v>
      </c>
      <c r="AA128" s="223">
        <f t="shared" si="177"/>
        <v>0</v>
      </c>
      <c r="AB128" s="223">
        <f t="shared" si="177"/>
        <v>0</v>
      </c>
      <c r="AC128" s="223">
        <f t="shared" si="177"/>
        <v>0</v>
      </c>
      <c r="AD128" s="223">
        <f t="shared" si="177"/>
        <v>0</v>
      </c>
      <c r="AE128" s="223">
        <f t="shared" si="177"/>
        <v>0</v>
      </c>
      <c r="AF128" s="223">
        <f t="shared" si="177"/>
        <v>0</v>
      </c>
      <c r="AG128" s="223">
        <f t="shared" si="177"/>
        <v>0</v>
      </c>
      <c r="AH128" s="223">
        <f t="shared" si="177"/>
        <v>0</v>
      </c>
      <c r="AI128" s="223">
        <f t="shared" si="177"/>
        <v>0</v>
      </c>
      <c r="AJ128" s="223">
        <f t="shared" si="177"/>
        <v>0</v>
      </c>
      <c r="AK128" s="223">
        <f t="shared" si="177"/>
        <v>0</v>
      </c>
      <c r="AL128" s="223">
        <f t="shared" si="177"/>
        <v>0</v>
      </c>
      <c r="AM128" s="223">
        <f t="shared" si="177"/>
        <v>0</v>
      </c>
      <c r="AN128" s="223">
        <f t="shared" si="177"/>
        <v>0</v>
      </c>
      <c r="AO128" s="223">
        <f t="shared" si="177"/>
        <v>0</v>
      </c>
      <c r="AP128" s="223">
        <f t="shared" si="177"/>
        <v>0</v>
      </c>
      <c r="AQ128" s="223">
        <f t="shared" ref="AQ128:AQ138" si="178">SUM(G128:AP128)</f>
        <v>22086050</v>
      </c>
      <c r="AR128" s="231">
        <f t="shared" ref="AR128:AR129" si="179">AQ128/F128/100</f>
        <v>1.4837590358208154E-3</v>
      </c>
      <c r="AS128" s="232">
        <f t="shared" ref="AS128" si="180">F128-AQ128</f>
        <v>126765950</v>
      </c>
      <c r="AT128" s="231">
        <f t="shared" ref="AT128:AT135" si="181">AS128/F128*100</f>
        <v>85.162409641791854</v>
      </c>
      <c r="AU128" s="220" t="s">
        <v>576</v>
      </c>
      <c r="AV128" s="220" t="s">
        <v>560</v>
      </c>
      <c r="AW128" s="220" t="s">
        <v>4837</v>
      </c>
      <c r="AX128" s="223">
        <f>SUM(AX129:AX130)</f>
        <v>295050</v>
      </c>
      <c r="AY128" s="223">
        <f t="shared" ref="AY128:BA128" si="182">SUM(AY129:AY130)</f>
        <v>4950000</v>
      </c>
      <c r="AZ128" s="223">
        <f t="shared" si="182"/>
        <v>59000</v>
      </c>
      <c r="BA128" s="223">
        <f t="shared" si="182"/>
        <v>10503000</v>
      </c>
      <c r="BB128" s="223">
        <f t="shared" ref="BB128" si="183">SUM(BB129:BB130)</f>
        <v>276000</v>
      </c>
      <c r="BC128" s="223">
        <f t="shared" ref="BC128:BD128" si="184">SUM(BC129:BC130)</f>
        <v>6003000</v>
      </c>
      <c r="BD128" s="223">
        <f t="shared" si="184"/>
        <v>0</v>
      </c>
      <c r="BE128" s="223">
        <f t="shared" ref="BE128" si="185">SUM(BE129:BE130)</f>
        <v>0</v>
      </c>
    </row>
    <row r="129" spans="2:57" x14ac:dyDescent="0.3">
      <c r="B129" s="288">
        <v>521114</v>
      </c>
      <c r="C129" s="220" t="s">
        <v>94</v>
      </c>
      <c r="D129" s="220"/>
      <c r="E129" s="220"/>
      <c r="F129" s="221">
        <v>30000000</v>
      </c>
      <c r="G129" s="221"/>
      <c r="H129" s="221"/>
      <c r="I129" s="221"/>
      <c r="J129" s="221"/>
      <c r="K129" s="221"/>
      <c r="L129" s="221"/>
      <c r="M129" s="221"/>
      <c r="N129" s="221">
        <f>295050+59000</f>
        <v>354050</v>
      </c>
      <c r="O129" s="221"/>
      <c r="P129" s="221"/>
      <c r="Q129" s="221">
        <v>603000</v>
      </c>
      <c r="R129" s="221"/>
      <c r="S129" s="221"/>
      <c r="T129" s="221">
        <f>276000+1053000</f>
        <v>1329000</v>
      </c>
      <c r="U129" s="221"/>
      <c r="V129" s="221"/>
      <c r="W129" s="221"/>
      <c r="X129" s="221"/>
      <c r="Y129" s="221"/>
      <c r="Z129" s="221"/>
      <c r="AA129" s="221"/>
      <c r="AB129" s="221"/>
      <c r="AC129" s="221"/>
      <c r="AD129" s="221"/>
      <c r="AE129" s="221"/>
      <c r="AF129" s="221"/>
      <c r="AG129" s="221"/>
      <c r="AH129" s="221"/>
      <c r="AI129" s="221"/>
      <c r="AJ129" s="221"/>
      <c r="AK129" s="221"/>
      <c r="AL129" s="221"/>
      <c r="AM129" s="221"/>
      <c r="AN129" s="221"/>
      <c r="AO129" s="221"/>
      <c r="AP129" s="221"/>
      <c r="AQ129" s="221">
        <f t="shared" si="178"/>
        <v>2286050</v>
      </c>
      <c r="AR129" s="224">
        <f t="shared" si="179"/>
        <v>7.6201666666666666E-4</v>
      </c>
      <c r="AS129" s="225">
        <f t="shared" ref="AS129:AS138" si="186">F129-AQ129</f>
        <v>27713950</v>
      </c>
      <c r="AT129" s="224">
        <f t="shared" si="181"/>
        <v>92.379833333333337</v>
      </c>
      <c r="AU129" s="220" t="s">
        <v>576</v>
      </c>
      <c r="AV129" s="220" t="s">
        <v>560</v>
      </c>
      <c r="AW129" s="220" t="s">
        <v>4837</v>
      </c>
      <c r="AX129" s="221">
        <v>295050</v>
      </c>
      <c r="AY129" s="221"/>
      <c r="AZ129" s="302">
        <v>59000</v>
      </c>
      <c r="BA129" s="221">
        <v>603000</v>
      </c>
      <c r="BB129" s="221">
        <v>276000</v>
      </c>
      <c r="BC129" s="221">
        <v>1053000</v>
      </c>
      <c r="BD129" s="221"/>
      <c r="BE129" s="221"/>
    </row>
    <row r="130" spans="2:57" x14ac:dyDescent="0.3">
      <c r="B130" s="288">
        <v>522141</v>
      </c>
      <c r="C130" s="220" t="s">
        <v>95</v>
      </c>
      <c r="D130" s="220"/>
      <c r="E130" s="220"/>
      <c r="F130" s="221">
        <v>118852000</v>
      </c>
      <c r="G130" s="221"/>
      <c r="H130" s="221"/>
      <c r="I130" s="221"/>
      <c r="J130" s="221"/>
      <c r="K130" s="221"/>
      <c r="L130" s="221"/>
      <c r="M130" s="221"/>
      <c r="N130" s="221"/>
      <c r="O130" s="221">
        <v>4950000</v>
      </c>
      <c r="P130" s="221"/>
      <c r="Q130" s="221">
        <v>9900000</v>
      </c>
      <c r="R130" s="221"/>
      <c r="S130" s="221"/>
      <c r="T130" s="221">
        <v>4950000</v>
      </c>
      <c r="U130" s="221"/>
      <c r="V130" s="221"/>
      <c r="W130" s="221"/>
      <c r="X130" s="221"/>
      <c r="Y130" s="221"/>
      <c r="Z130" s="221"/>
      <c r="AA130" s="221"/>
      <c r="AB130" s="221"/>
      <c r="AC130" s="221"/>
      <c r="AD130" s="221"/>
      <c r="AE130" s="221"/>
      <c r="AF130" s="221"/>
      <c r="AG130" s="221"/>
      <c r="AH130" s="221"/>
      <c r="AI130" s="221"/>
      <c r="AJ130" s="221"/>
      <c r="AK130" s="221"/>
      <c r="AL130" s="221"/>
      <c r="AM130" s="221"/>
      <c r="AN130" s="221"/>
      <c r="AO130" s="221"/>
      <c r="AP130" s="221"/>
      <c r="AQ130" s="221">
        <f t="shared" si="178"/>
        <v>19800000</v>
      </c>
      <c r="AR130" s="224">
        <f t="shared" ref="AR130:AR132" si="187">AQ130/F130/100</f>
        <v>1.6659374684481539E-3</v>
      </c>
      <c r="AS130" s="225">
        <f t="shared" si="186"/>
        <v>99052000</v>
      </c>
      <c r="AT130" s="224">
        <f t="shared" si="181"/>
        <v>83.340625315518452</v>
      </c>
      <c r="AU130" s="220" t="s">
        <v>576</v>
      </c>
      <c r="AV130" s="220" t="s">
        <v>560</v>
      </c>
      <c r="AW130" s="220" t="s">
        <v>4837</v>
      </c>
      <c r="AX130" s="221"/>
      <c r="AY130" s="221">
        <v>4950000</v>
      </c>
      <c r="AZ130" s="302"/>
      <c r="BA130" s="221">
        <v>9900000</v>
      </c>
      <c r="BB130" s="221"/>
      <c r="BC130" s="221">
        <v>4950000</v>
      </c>
      <c r="BD130" s="221"/>
      <c r="BE130" s="221"/>
    </row>
    <row r="131" spans="2:57" x14ac:dyDescent="0.3">
      <c r="B131" s="290" t="s">
        <v>2219</v>
      </c>
      <c r="C131" s="222" t="s">
        <v>2220</v>
      </c>
      <c r="D131" s="222"/>
      <c r="E131" s="222"/>
      <c r="F131" s="223">
        <f>SUM(F132:F133)</f>
        <v>533050000</v>
      </c>
      <c r="G131" s="223">
        <f t="shared" ref="G131:BA131" si="188">SUM(G132:G133)</f>
        <v>0</v>
      </c>
      <c r="H131" s="223">
        <f t="shared" si="188"/>
        <v>0</v>
      </c>
      <c r="I131" s="223">
        <f t="shared" si="188"/>
        <v>0</v>
      </c>
      <c r="J131" s="223">
        <f t="shared" si="188"/>
        <v>0</v>
      </c>
      <c r="K131" s="223">
        <f t="shared" si="188"/>
        <v>0</v>
      </c>
      <c r="L131" s="223">
        <f t="shared" si="188"/>
        <v>0</v>
      </c>
      <c r="M131" s="223">
        <f t="shared" si="188"/>
        <v>0</v>
      </c>
      <c r="N131" s="223">
        <f t="shared" si="188"/>
        <v>26863900</v>
      </c>
      <c r="O131" s="223">
        <f t="shared" si="188"/>
        <v>38727500</v>
      </c>
      <c r="P131" s="223">
        <f t="shared" si="188"/>
        <v>0</v>
      </c>
      <c r="Q131" s="223">
        <f t="shared" si="188"/>
        <v>7448700</v>
      </c>
      <c r="R131" s="223">
        <f t="shared" si="188"/>
        <v>0</v>
      </c>
      <c r="S131" s="223">
        <f t="shared" si="188"/>
        <v>0</v>
      </c>
      <c r="T131" s="223">
        <f t="shared" si="188"/>
        <v>21835340</v>
      </c>
      <c r="U131" s="223">
        <f t="shared" si="188"/>
        <v>0</v>
      </c>
      <c r="V131" s="223">
        <f t="shared" si="188"/>
        <v>0</v>
      </c>
      <c r="W131" s="223">
        <f t="shared" si="188"/>
        <v>0</v>
      </c>
      <c r="X131" s="223">
        <f t="shared" si="188"/>
        <v>0</v>
      </c>
      <c r="Y131" s="223">
        <f t="shared" si="188"/>
        <v>0</v>
      </c>
      <c r="Z131" s="223">
        <f t="shared" si="188"/>
        <v>0</v>
      </c>
      <c r="AA131" s="223">
        <f t="shared" si="188"/>
        <v>0</v>
      </c>
      <c r="AB131" s="223">
        <f t="shared" si="188"/>
        <v>0</v>
      </c>
      <c r="AC131" s="223">
        <f t="shared" si="188"/>
        <v>0</v>
      </c>
      <c r="AD131" s="223">
        <f t="shared" si="188"/>
        <v>0</v>
      </c>
      <c r="AE131" s="223">
        <f t="shared" si="188"/>
        <v>0</v>
      </c>
      <c r="AF131" s="223">
        <f t="shared" si="188"/>
        <v>0</v>
      </c>
      <c r="AG131" s="223">
        <f t="shared" si="188"/>
        <v>0</v>
      </c>
      <c r="AH131" s="223">
        <f t="shared" si="188"/>
        <v>0</v>
      </c>
      <c r="AI131" s="223">
        <f t="shared" si="188"/>
        <v>0</v>
      </c>
      <c r="AJ131" s="223">
        <f t="shared" si="188"/>
        <v>0</v>
      </c>
      <c r="AK131" s="223">
        <f t="shared" si="188"/>
        <v>0</v>
      </c>
      <c r="AL131" s="223">
        <f t="shared" si="188"/>
        <v>0</v>
      </c>
      <c r="AM131" s="223">
        <f t="shared" si="188"/>
        <v>0</v>
      </c>
      <c r="AN131" s="223">
        <f t="shared" si="188"/>
        <v>0</v>
      </c>
      <c r="AO131" s="223">
        <f t="shared" si="188"/>
        <v>0</v>
      </c>
      <c r="AP131" s="223">
        <f t="shared" si="188"/>
        <v>0</v>
      </c>
      <c r="AQ131" s="223">
        <f t="shared" si="178"/>
        <v>94875440</v>
      </c>
      <c r="AR131" s="231">
        <f t="shared" si="187"/>
        <v>1.7798600506519087E-3</v>
      </c>
      <c r="AS131" s="232">
        <f t="shared" si="186"/>
        <v>438174560</v>
      </c>
      <c r="AT131" s="231">
        <f t="shared" si="181"/>
        <v>82.201399493480906</v>
      </c>
      <c r="AU131" s="220" t="s">
        <v>576</v>
      </c>
      <c r="AV131" s="220" t="s">
        <v>560</v>
      </c>
      <c r="AW131" s="220" t="s">
        <v>4837</v>
      </c>
      <c r="AX131" s="223">
        <f t="shared" si="188"/>
        <v>25004200</v>
      </c>
      <c r="AY131" s="223">
        <f t="shared" si="188"/>
        <v>38727500</v>
      </c>
      <c r="AZ131" s="223">
        <f t="shared" si="188"/>
        <v>1859700</v>
      </c>
      <c r="BA131" s="223">
        <f t="shared" si="188"/>
        <v>7448700</v>
      </c>
      <c r="BB131" s="223">
        <f t="shared" ref="BB131" si="189">SUM(BB132:BB133)</f>
        <v>9968000</v>
      </c>
      <c r="BC131" s="223">
        <f t="shared" ref="BC131:BD131" si="190">SUM(BC132:BC133)</f>
        <v>11867340</v>
      </c>
      <c r="BD131" s="223">
        <f t="shared" si="190"/>
        <v>0</v>
      </c>
      <c r="BE131" s="223">
        <f t="shared" ref="BE131" si="191">SUM(BE132:BE133)</f>
        <v>0</v>
      </c>
    </row>
    <row r="132" spans="2:57" x14ac:dyDescent="0.3">
      <c r="B132" s="288">
        <v>523121</v>
      </c>
      <c r="C132" s="220" t="s">
        <v>99</v>
      </c>
      <c r="D132" s="220"/>
      <c r="E132" s="220"/>
      <c r="F132" s="221">
        <v>497050000</v>
      </c>
      <c r="G132" s="221"/>
      <c r="H132" s="221"/>
      <c r="I132" s="221"/>
      <c r="J132" s="221"/>
      <c r="K132" s="221"/>
      <c r="L132" s="221"/>
      <c r="M132" s="221"/>
      <c r="N132" s="221">
        <f>25004200+1859700</f>
        <v>26863900</v>
      </c>
      <c r="O132" s="221">
        <v>32727500</v>
      </c>
      <c r="P132" s="221"/>
      <c r="Q132" s="221">
        <v>7448700</v>
      </c>
      <c r="R132" s="221"/>
      <c r="S132" s="221"/>
      <c r="T132" s="221">
        <f>6968000+11867340</f>
        <v>18835340</v>
      </c>
      <c r="U132" s="221"/>
      <c r="V132" s="221"/>
      <c r="W132" s="221"/>
      <c r="X132" s="221"/>
      <c r="Y132" s="221"/>
      <c r="Z132" s="221"/>
      <c r="AA132" s="221"/>
      <c r="AB132" s="221"/>
      <c r="AC132" s="221"/>
      <c r="AD132" s="221"/>
      <c r="AE132" s="221"/>
      <c r="AF132" s="221"/>
      <c r="AG132" s="221"/>
      <c r="AH132" s="221"/>
      <c r="AI132" s="221"/>
      <c r="AJ132" s="221"/>
      <c r="AK132" s="221"/>
      <c r="AL132" s="221"/>
      <c r="AM132" s="221"/>
      <c r="AN132" s="221"/>
      <c r="AO132" s="221"/>
      <c r="AP132" s="221"/>
      <c r="AQ132" s="221">
        <f t="shared" si="178"/>
        <v>85875440</v>
      </c>
      <c r="AR132" s="224">
        <f t="shared" si="187"/>
        <v>1.7277022432350868E-3</v>
      </c>
      <c r="AS132" s="225">
        <f t="shared" si="186"/>
        <v>411174560</v>
      </c>
      <c r="AT132" s="224">
        <f t="shared" si="181"/>
        <v>82.722977567649124</v>
      </c>
      <c r="AU132" s="220" t="s">
        <v>576</v>
      </c>
      <c r="AV132" s="220" t="s">
        <v>560</v>
      </c>
      <c r="AW132" s="220" t="s">
        <v>4837</v>
      </c>
      <c r="AX132" s="221">
        <v>25004200</v>
      </c>
      <c r="AY132" s="221">
        <v>32727500</v>
      </c>
      <c r="AZ132" s="302">
        <v>1859700</v>
      </c>
      <c r="BA132" s="221">
        <v>7448700</v>
      </c>
      <c r="BB132" s="221">
        <v>6968000</v>
      </c>
      <c r="BC132" s="221">
        <v>11867340</v>
      </c>
      <c r="BD132" s="221"/>
      <c r="BE132" s="221"/>
    </row>
    <row r="133" spans="2:57" x14ac:dyDescent="0.3">
      <c r="B133" s="288">
        <v>523199</v>
      </c>
      <c r="C133" s="220" t="s">
        <v>102</v>
      </c>
      <c r="D133" s="220"/>
      <c r="E133" s="220"/>
      <c r="F133" s="221">
        <v>36000000</v>
      </c>
      <c r="G133" s="221"/>
      <c r="H133" s="221"/>
      <c r="I133" s="221"/>
      <c r="J133" s="221"/>
      <c r="K133" s="221"/>
      <c r="L133" s="221"/>
      <c r="M133" s="221"/>
      <c r="N133" s="221"/>
      <c r="O133" s="221">
        <v>6000000</v>
      </c>
      <c r="P133" s="221"/>
      <c r="Q133" s="221"/>
      <c r="R133" s="221"/>
      <c r="S133" s="221"/>
      <c r="T133" s="221">
        <v>3000000</v>
      </c>
      <c r="U133" s="221"/>
      <c r="V133" s="221"/>
      <c r="W133" s="221"/>
      <c r="X133" s="221"/>
      <c r="Y133" s="221"/>
      <c r="Z133" s="221"/>
      <c r="AA133" s="221"/>
      <c r="AB133" s="221"/>
      <c r="AC133" s="221"/>
      <c r="AD133" s="221"/>
      <c r="AE133" s="221"/>
      <c r="AF133" s="221"/>
      <c r="AG133" s="221"/>
      <c r="AH133" s="221"/>
      <c r="AI133" s="221"/>
      <c r="AJ133" s="221"/>
      <c r="AK133" s="221"/>
      <c r="AL133" s="221"/>
      <c r="AM133" s="221"/>
      <c r="AN133" s="221"/>
      <c r="AO133" s="221"/>
      <c r="AP133" s="221"/>
      <c r="AQ133" s="221">
        <f t="shared" si="178"/>
        <v>9000000</v>
      </c>
      <c r="AR133" s="224">
        <f t="shared" ref="AR133:AR135" si="192">AQ133/F133/100</f>
        <v>2.5000000000000001E-3</v>
      </c>
      <c r="AS133" s="225">
        <f t="shared" si="186"/>
        <v>27000000</v>
      </c>
      <c r="AT133" s="224">
        <f t="shared" si="181"/>
        <v>75</v>
      </c>
      <c r="AU133" s="220" t="s">
        <v>576</v>
      </c>
      <c r="AV133" s="220" t="s">
        <v>560</v>
      </c>
      <c r="AW133" s="220" t="s">
        <v>4837</v>
      </c>
      <c r="AX133" s="221"/>
      <c r="AY133" s="221">
        <v>6000000</v>
      </c>
      <c r="AZ133" s="302"/>
      <c r="BA133" s="221"/>
      <c r="BB133" s="221">
        <v>3000000</v>
      </c>
      <c r="BC133" s="221"/>
      <c r="BD133" s="221"/>
      <c r="BE133" s="221"/>
    </row>
    <row r="134" spans="2:57" x14ac:dyDescent="0.3">
      <c r="B134" s="290" t="s">
        <v>2239</v>
      </c>
      <c r="C134" s="222" t="s">
        <v>2240</v>
      </c>
      <c r="D134" s="222"/>
      <c r="E134" s="222"/>
      <c r="F134" s="223">
        <f t="shared" ref="F134:BA134" si="193">SUM(F135:F136)</f>
        <v>159376000</v>
      </c>
      <c r="G134" s="223">
        <f t="shared" si="193"/>
        <v>0</v>
      </c>
      <c r="H134" s="223">
        <f t="shared" si="193"/>
        <v>0</v>
      </c>
      <c r="I134" s="223">
        <f t="shared" si="193"/>
        <v>0</v>
      </c>
      <c r="J134" s="223">
        <f t="shared" si="193"/>
        <v>0</v>
      </c>
      <c r="K134" s="223">
        <f t="shared" si="193"/>
        <v>0</v>
      </c>
      <c r="L134" s="223">
        <f t="shared" si="193"/>
        <v>0</v>
      </c>
      <c r="M134" s="223">
        <f t="shared" si="193"/>
        <v>0</v>
      </c>
      <c r="N134" s="223">
        <f t="shared" si="193"/>
        <v>0</v>
      </c>
      <c r="O134" s="223">
        <f t="shared" si="193"/>
        <v>9456000</v>
      </c>
      <c r="P134" s="223">
        <f t="shared" si="193"/>
        <v>0</v>
      </c>
      <c r="Q134" s="223">
        <f t="shared" si="193"/>
        <v>0</v>
      </c>
      <c r="R134" s="223">
        <f t="shared" si="193"/>
        <v>0</v>
      </c>
      <c r="S134" s="223">
        <f t="shared" si="193"/>
        <v>0</v>
      </c>
      <c r="T134" s="223">
        <f t="shared" si="193"/>
        <v>49138000</v>
      </c>
      <c r="U134" s="223">
        <f t="shared" si="193"/>
        <v>0</v>
      </c>
      <c r="V134" s="223">
        <f t="shared" si="193"/>
        <v>0</v>
      </c>
      <c r="W134" s="223">
        <f t="shared" si="193"/>
        <v>0</v>
      </c>
      <c r="X134" s="223">
        <f t="shared" si="193"/>
        <v>0</v>
      </c>
      <c r="Y134" s="223">
        <f t="shared" si="193"/>
        <v>0</v>
      </c>
      <c r="Z134" s="223">
        <f t="shared" si="193"/>
        <v>0</v>
      </c>
      <c r="AA134" s="223">
        <f t="shared" si="193"/>
        <v>0</v>
      </c>
      <c r="AB134" s="223">
        <f t="shared" si="193"/>
        <v>0</v>
      </c>
      <c r="AC134" s="223">
        <f t="shared" si="193"/>
        <v>0</v>
      </c>
      <c r="AD134" s="223">
        <f t="shared" si="193"/>
        <v>0</v>
      </c>
      <c r="AE134" s="223">
        <f t="shared" si="193"/>
        <v>0</v>
      </c>
      <c r="AF134" s="223">
        <f t="shared" si="193"/>
        <v>0</v>
      </c>
      <c r="AG134" s="223">
        <f t="shared" si="193"/>
        <v>0</v>
      </c>
      <c r="AH134" s="223">
        <f t="shared" si="193"/>
        <v>0</v>
      </c>
      <c r="AI134" s="223">
        <f t="shared" si="193"/>
        <v>0</v>
      </c>
      <c r="AJ134" s="223">
        <f t="shared" si="193"/>
        <v>0</v>
      </c>
      <c r="AK134" s="223">
        <f t="shared" si="193"/>
        <v>0</v>
      </c>
      <c r="AL134" s="223">
        <f t="shared" si="193"/>
        <v>0</v>
      </c>
      <c r="AM134" s="223">
        <f t="shared" si="193"/>
        <v>0</v>
      </c>
      <c r="AN134" s="223">
        <f t="shared" si="193"/>
        <v>0</v>
      </c>
      <c r="AO134" s="223">
        <f t="shared" si="193"/>
        <v>0</v>
      </c>
      <c r="AP134" s="223">
        <f t="shared" si="193"/>
        <v>0</v>
      </c>
      <c r="AQ134" s="223">
        <f t="shared" si="178"/>
        <v>58594000</v>
      </c>
      <c r="AR134" s="231">
        <f t="shared" si="192"/>
        <v>3.676463206505371E-3</v>
      </c>
      <c r="AS134" s="232">
        <f t="shared" si="186"/>
        <v>100782000</v>
      </c>
      <c r="AT134" s="231">
        <f t="shared" si="181"/>
        <v>63.235367934946296</v>
      </c>
      <c r="AU134" s="220" t="s">
        <v>576</v>
      </c>
      <c r="AV134" s="220" t="s">
        <v>560</v>
      </c>
      <c r="AW134" s="220" t="s">
        <v>4837</v>
      </c>
      <c r="AX134" s="223">
        <f t="shared" si="193"/>
        <v>0</v>
      </c>
      <c r="AY134" s="223">
        <f t="shared" si="193"/>
        <v>9456000</v>
      </c>
      <c r="AZ134" s="223">
        <f t="shared" si="193"/>
        <v>0</v>
      </c>
      <c r="BA134" s="223">
        <f t="shared" si="193"/>
        <v>0</v>
      </c>
      <c r="BB134" s="223">
        <f t="shared" ref="BB134" si="194">SUM(BB135:BB136)</f>
        <v>44410000</v>
      </c>
      <c r="BC134" s="223">
        <f t="shared" ref="BC134:BD134" si="195">SUM(BC135:BC136)</f>
        <v>4728000</v>
      </c>
      <c r="BD134" s="223">
        <f t="shared" si="195"/>
        <v>0</v>
      </c>
      <c r="BE134" s="223">
        <f t="shared" ref="BE134" si="196">SUM(BE135:BE136)</f>
        <v>0</v>
      </c>
    </row>
    <row r="135" spans="2:57" x14ac:dyDescent="0.3">
      <c r="B135" s="288">
        <v>521111</v>
      </c>
      <c r="C135" s="220" t="s">
        <v>90</v>
      </c>
      <c r="D135" s="220"/>
      <c r="E135" s="220"/>
      <c r="F135" s="221">
        <v>101040000</v>
      </c>
      <c r="G135" s="221"/>
      <c r="H135" s="221"/>
      <c r="I135" s="221"/>
      <c r="J135" s="221"/>
      <c r="K135" s="221"/>
      <c r="L135" s="221"/>
      <c r="M135" s="221"/>
      <c r="N135" s="221"/>
      <c r="O135" s="221"/>
      <c r="P135" s="221"/>
      <c r="Q135" s="221"/>
      <c r="R135" s="221"/>
      <c r="S135" s="221"/>
      <c r="T135" s="221">
        <f>44410000</f>
        <v>44410000</v>
      </c>
      <c r="U135" s="221"/>
      <c r="V135" s="221"/>
      <c r="W135" s="221"/>
      <c r="X135" s="221"/>
      <c r="Y135" s="221"/>
      <c r="Z135" s="221"/>
      <c r="AA135" s="221"/>
      <c r="AB135" s="221"/>
      <c r="AC135" s="221"/>
      <c r="AD135" s="221"/>
      <c r="AE135" s="221"/>
      <c r="AF135" s="221"/>
      <c r="AG135" s="221"/>
      <c r="AH135" s="221"/>
      <c r="AI135" s="221"/>
      <c r="AJ135" s="221"/>
      <c r="AK135" s="221"/>
      <c r="AL135" s="221"/>
      <c r="AM135" s="221"/>
      <c r="AN135" s="221"/>
      <c r="AO135" s="221"/>
      <c r="AP135" s="221"/>
      <c r="AQ135" s="221">
        <f t="shared" si="178"/>
        <v>44410000</v>
      </c>
      <c r="AR135" s="224">
        <f t="shared" si="192"/>
        <v>4.395288994457641E-3</v>
      </c>
      <c r="AS135" s="225">
        <f t="shared" si="186"/>
        <v>56630000</v>
      </c>
      <c r="AT135" s="224">
        <f t="shared" si="181"/>
        <v>56.047110055423602</v>
      </c>
      <c r="AU135" s="220" t="s">
        <v>576</v>
      </c>
      <c r="AV135" s="220" t="s">
        <v>560</v>
      </c>
      <c r="AW135" s="220" t="s">
        <v>4837</v>
      </c>
      <c r="AX135" s="221"/>
      <c r="AY135" s="221"/>
      <c r="AZ135" s="302"/>
      <c r="BA135" s="221"/>
      <c r="BB135" s="221">
        <v>44410000</v>
      </c>
      <c r="BC135" s="221"/>
      <c r="BD135" s="221"/>
      <c r="BE135" s="221"/>
    </row>
    <row r="136" spans="2:57" x14ac:dyDescent="0.3">
      <c r="B136" s="288">
        <v>521115</v>
      </c>
      <c r="C136" s="220" t="s">
        <v>104</v>
      </c>
      <c r="D136" s="220"/>
      <c r="E136" s="220"/>
      <c r="F136" s="221">
        <v>58336000</v>
      </c>
      <c r="G136" s="221"/>
      <c r="H136" s="221"/>
      <c r="I136" s="221"/>
      <c r="J136" s="221"/>
      <c r="K136" s="221"/>
      <c r="L136" s="221"/>
      <c r="M136" s="221"/>
      <c r="N136" s="221"/>
      <c r="O136" s="221">
        <v>9456000</v>
      </c>
      <c r="P136" s="221"/>
      <c r="Q136" s="221"/>
      <c r="R136" s="221"/>
      <c r="S136" s="221"/>
      <c r="T136" s="221">
        <v>4728000</v>
      </c>
      <c r="U136" s="221"/>
      <c r="V136" s="221"/>
      <c r="W136" s="221"/>
      <c r="X136" s="221"/>
      <c r="Y136" s="221"/>
      <c r="Z136" s="221"/>
      <c r="AA136" s="221"/>
      <c r="AB136" s="221"/>
      <c r="AC136" s="221"/>
      <c r="AD136" s="221"/>
      <c r="AE136" s="221"/>
      <c r="AF136" s="221"/>
      <c r="AG136" s="221"/>
      <c r="AH136" s="221"/>
      <c r="AI136" s="221"/>
      <c r="AJ136" s="221"/>
      <c r="AK136" s="221"/>
      <c r="AL136" s="221"/>
      <c r="AM136" s="221"/>
      <c r="AN136" s="221"/>
      <c r="AO136" s="221"/>
      <c r="AP136" s="221"/>
      <c r="AQ136" s="221">
        <f t="shared" si="178"/>
        <v>14184000</v>
      </c>
      <c r="AR136" s="224">
        <f t="shared" ref="AR136:AR189" si="197">AQ136/F136/100</f>
        <v>2.4314317059791553E-3</v>
      </c>
      <c r="AS136" s="225">
        <f t="shared" si="186"/>
        <v>44152000</v>
      </c>
      <c r="AT136" s="224">
        <f t="shared" ref="AT136:AT189" si="198">AS136/F136*100</f>
        <v>75.685682940208437</v>
      </c>
      <c r="AU136" s="220" t="s">
        <v>576</v>
      </c>
      <c r="AV136" s="220" t="s">
        <v>560</v>
      </c>
      <c r="AW136" s="220" t="s">
        <v>4837</v>
      </c>
      <c r="AX136" s="221"/>
      <c r="AY136" s="221">
        <v>9456000</v>
      </c>
      <c r="AZ136" s="302"/>
      <c r="BA136" s="221"/>
      <c r="BB136" s="221"/>
      <c r="BC136" s="221">
        <v>4728000</v>
      </c>
      <c r="BD136" s="221"/>
      <c r="BE136" s="221"/>
    </row>
    <row r="137" spans="2:57" x14ac:dyDescent="0.3">
      <c r="B137" s="290" t="s">
        <v>4224</v>
      </c>
      <c r="C137" s="222" t="s">
        <v>4225</v>
      </c>
      <c r="D137" s="222"/>
      <c r="E137" s="222"/>
      <c r="F137" s="223">
        <f t="shared" ref="F137:BA137" si="199">SUM(F138:F140)</f>
        <v>100000000</v>
      </c>
      <c r="G137" s="223">
        <f t="shared" si="199"/>
        <v>0</v>
      </c>
      <c r="H137" s="223">
        <f t="shared" si="199"/>
        <v>0</v>
      </c>
      <c r="I137" s="223">
        <f t="shared" si="199"/>
        <v>0</v>
      </c>
      <c r="J137" s="223">
        <f t="shared" si="199"/>
        <v>0</v>
      </c>
      <c r="K137" s="223">
        <f t="shared" si="199"/>
        <v>0</v>
      </c>
      <c r="L137" s="223">
        <f t="shared" si="199"/>
        <v>0</v>
      </c>
      <c r="M137" s="223">
        <f t="shared" si="199"/>
        <v>0</v>
      </c>
      <c r="N137" s="223">
        <f t="shared" si="199"/>
        <v>0</v>
      </c>
      <c r="O137" s="223">
        <f t="shared" si="199"/>
        <v>0</v>
      </c>
      <c r="P137" s="223">
        <f t="shared" si="199"/>
        <v>0</v>
      </c>
      <c r="Q137" s="223">
        <f t="shared" si="199"/>
        <v>0</v>
      </c>
      <c r="R137" s="223">
        <f t="shared" si="199"/>
        <v>0</v>
      </c>
      <c r="S137" s="223">
        <f t="shared" si="199"/>
        <v>0</v>
      </c>
      <c r="T137" s="223">
        <f t="shared" si="199"/>
        <v>0</v>
      </c>
      <c r="U137" s="223">
        <f t="shared" si="199"/>
        <v>0</v>
      </c>
      <c r="V137" s="223">
        <f t="shared" si="199"/>
        <v>0</v>
      </c>
      <c r="W137" s="223">
        <f t="shared" si="199"/>
        <v>0</v>
      </c>
      <c r="X137" s="223">
        <f t="shared" si="199"/>
        <v>0</v>
      </c>
      <c r="Y137" s="223">
        <f t="shared" si="199"/>
        <v>0</v>
      </c>
      <c r="Z137" s="223">
        <f t="shared" si="199"/>
        <v>0</v>
      </c>
      <c r="AA137" s="223">
        <f t="shared" si="199"/>
        <v>0</v>
      </c>
      <c r="AB137" s="223">
        <f t="shared" si="199"/>
        <v>0</v>
      </c>
      <c r="AC137" s="223">
        <f t="shared" si="199"/>
        <v>0</v>
      </c>
      <c r="AD137" s="223">
        <f t="shared" si="199"/>
        <v>0</v>
      </c>
      <c r="AE137" s="223">
        <f t="shared" si="199"/>
        <v>0</v>
      </c>
      <c r="AF137" s="223">
        <f t="shared" si="199"/>
        <v>0</v>
      </c>
      <c r="AG137" s="223">
        <f t="shared" si="199"/>
        <v>0</v>
      </c>
      <c r="AH137" s="223">
        <f t="shared" si="199"/>
        <v>0</v>
      </c>
      <c r="AI137" s="223">
        <f t="shared" si="199"/>
        <v>0</v>
      </c>
      <c r="AJ137" s="223">
        <f t="shared" si="199"/>
        <v>0</v>
      </c>
      <c r="AK137" s="223">
        <f t="shared" si="199"/>
        <v>0</v>
      </c>
      <c r="AL137" s="223">
        <f t="shared" si="199"/>
        <v>0</v>
      </c>
      <c r="AM137" s="223">
        <f t="shared" si="199"/>
        <v>0</v>
      </c>
      <c r="AN137" s="223">
        <f t="shared" si="199"/>
        <v>0</v>
      </c>
      <c r="AO137" s="223">
        <f t="shared" si="199"/>
        <v>0</v>
      </c>
      <c r="AP137" s="223">
        <f t="shared" si="199"/>
        <v>0</v>
      </c>
      <c r="AQ137" s="223">
        <f t="shared" si="178"/>
        <v>0</v>
      </c>
      <c r="AR137" s="231">
        <f t="shared" si="197"/>
        <v>0</v>
      </c>
      <c r="AS137" s="232">
        <f t="shared" si="186"/>
        <v>100000000</v>
      </c>
      <c r="AT137" s="231">
        <f>AS137/F137*100</f>
        <v>100</v>
      </c>
      <c r="AU137" s="220" t="s">
        <v>576</v>
      </c>
      <c r="AV137" s="220" t="s">
        <v>560</v>
      </c>
      <c r="AW137" s="220" t="s">
        <v>4837</v>
      </c>
      <c r="AX137" s="223">
        <f t="shared" si="199"/>
        <v>0</v>
      </c>
      <c r="AY137" s="223">
        <f t="shared" si="199"/>
        <v>0</v>
      </c>
      <c r="AZ137" s="223">
        <f t="shared" si="199"/>
        <v>0</v>
      </c>
      <c r="BA137" s="223">
        <f t="shared" si="199"/>
        <v>0</v>
      </c>
      <c r="BB137" s="223">
        <f t="shared" ref="BB137" si="200">SUM(BB138:BB140)</f>
        <v>0</v>
      </c>
      <c r="BC137" s="223">
        <f t="shared" ref="BC137:BD137" si="201">SUM(BC138:BC140)</f>
        <v>0</v>
      </c>
      <c r="BD137" s="223">
        <f t="shared" si="201"/>
        <v>0</v>
      </c>
      <c r="BE137" s="223">
        <f t="shared" ref="BE137" si="202">SUM(BE138:BE140)</f>
        <v>0</v>
      </c>
    </row>
    <row r="138" spans="2:57" x14ac:dyDescent="0.3">
      <c r="B138" s="288">
        <v>521111</v>
      </c>
      <c r="C138" s="220" t="s">
        <v>90</v>
      </c>
      <c r="D138" s="220"/>
      <c r="E138" s="220"/>
      <c r="F138" s="221">
        <v>45000000</v>
      </c>
      <c r="G138" s="221"/>
      <c r="H138" s="221"/>
      <c r="I138" s="221"/>
      <c r="J138" s="221"/>
      <c r="K138" s="221"/>
      <c r="L138" s="221"/>
      <c r="M138" s="221"/>
      <c r="N138" s="221"/>
      <c r="O138" s="221"/>
      <c r="P138" s="221"/>
      <c r="Q138" s="221"/>
      <c r="R138" s="221"/>
      <c r="S138" s="221"/>
      <c r="T138" s="221"/>
      <c r="U138" s="221"/>
      <c r="V138" s="221"/>
      <c r="W138" s="221"/>
      <c r="X138" s="221"/>
      <c r="Y138" s="221"/>
      <c r="Z138" s="221"/>
      <c r="AA138" s="221"/>
      <c r="AB138" s="221"/>
      <c r="AC138" s="221"/>
      <c r="AD138" s="221"/>
      <c r="AE138" s="221"/>
      <c r="AF138" s="221"/>
      <c r="AG138" s="221"/>
      <c r="AH138" s="221"/>
      <c r="AI138" s="221"/>
      <c r="AJ138" s="221"/>
      <c r="AK138" s="221"/>
      <c r="AL138" s="221"/>
      <c r="AM138" s="221"/>
      <c r="AN138" s="221"/>
      <c r="AO138" s="221"/>
      <c r="AP138" s="221"/>
      <c r="AQ138" s="221">
        <f t="shared" si="178"/>
        <v>0</v>
      </c>
      <c r="AR138" s="224">
        <f t="shared" si="197"/>
        <v>0</v>
      </c>
      <c r="AS138" s="225">
        <f t="shared" si="186"/>
        <v>45000000</v>
      </c>
      <c r="AT138" s="224">
        <f>AS138/F138*100</f>
        <v>100</v>
      </c>
      <c r="AU138" s="220" t="s">
        <v>576</v>
      </c>
      <c r="AV138" s="220" t="s">
        <v>560</v>
      </c>
      <c r="AW138" s="220" t="s">
        <v>4837</v>
      </c>
      <c r="AX138" s="221"/>
      <c r="AY138" s="221"/>
      <c r="AZ138" s="302"/>
      <c r="BA138" s="221"/>
      <c r="BB138" s="221"/>
      <c r="BC138" s="221"/>
      <c r="BD138" s="221"/>
      <c r="BE138" s="221"/>
    </row>
    <row r="139" spans="2:57" x14ac:dyDescent="0.3">
      <c r="B139" s="288">
        <v>521811</v>
      </c>
      <c r="C139" s="220" t="s">
        <v>64</v>
      </c>
      <c r="D139" s="220"/>
      <c r="E139" s="220"/>
      <c r="F139" s="221">
        <v>26000000</v>
      </c>
      <c r="G139" s="221"/>
      <c r="H139" s="221"/>
      <c r="I139" s="221"/>
      <c r="J139" s="221"/>
      <c r="K139" s="221"/>
      <c r="L139" s="221"/>
      <c r="M139" s="221"/>
      <c r="N139" s="221"/>
      <c r="O139" s="221"/>
      <c r="P139" s="221"/>
      <c r="Q139" s="221"/>
      <c r="R139" s="221"/>
      <c r="S139" s="221"/>
      <c r="T139" s="221"/>
      <c r="U139" s="221"/>
      <c r="V139" s="221"/>
      <c r="W139" s="221"/>
      <c r="X139" s="221"/>
      <c r="Y139" s="221"/>
      <c r="Z139" s="221"/>
      <c r="AA139" s="221"/>
      <c r="AB139" s="221"/>
      <c r="AC139" s="221"/>
      <c r="AD139" s="221"/>
      <c r="AE139" s="221"/>
      <c r="AF139" s="221"/>
      <c r="AG139" s="221"/>
      <c r="AH139" s="221"/>
      <c r="AI139" s="221"/>
      <c r="AJ139" s="221"/>
      <c r="AK139" s="221"/>
      <c r="AL139" s="221"/>
      <c r="AM139" s="221"/>
      <c r="AN139" s="221"/>
      <c r="AO139" s="221"/>
      <c r="AP139" s="221"/>
      <c r="AQ139" s="221">
        <f t="shared" ref="AQ139:AQ140" si="203">SUM(G139:AP139)</f>
        <v>0</v>
      </c>
      <c r="AR139" s="224">
        <f t="shared" ref="AR139:AR142" si="204">AQ139/F139/100</f>
        <v>0</v>
      </c>
      <c r="AS139" s="225">
        <f t="shared" ref="AS139:AS140" si="205">F139-AQ139</f>
        <v>26000000</v>
      </c>
      <c r="AT139" s="224">
        <f t="shared" ref="AT139:AT140" si="206">AS139/F139*100</f>
        <v>100</v>
      </c>
      <c r="AU139" s="220" t="s">
        <v>576</v>
      </c>
      <c r="AV139" s="220" t="s">
        <v>560</v>
      </c>
      <c r="AW139" s="220" t="s">
        <v>4837</v>
      </c>
      <c r="AX139" s="221"/>
      <c r="AY139" s="221"/>
      <c r="AZ139" s="302"/>
      <c r="BA139" s="221"/>
      <c r="BB139" s="221"/>
      <c r="BC139" s="221"/>
      <c r="BD139" s="221"/>
      <c r="BE139" s="221"/>
    </row>
    <row r="140" spans="2:57" x14ac:dyDescent="0.3">
      <c r="B140" s="288">
        <v>523121</v>
      </c>
      <c r="C140" s="220" t="s">
        <v>99</v>
      </c>
      <c r="D140" s="220"/>
      <c r="E140" s="220"/>
      <c r="F140" s="221">
        <v>29000000</v>
      </c>
      <c r="G140" s="221"/>
      <c r="H140" s="221"/>
      <c r="I140" s="221"/>
      <c r="J140" s="221"/>
      <c r="K140" s="221"/>
      <c r="L140" s="221"/>
      <c r="M140" s="221"/>
      <c r="N140" s="221"/>
      <c r="O140" s="221"/>
      <c r="P140" s="221"/>
      <c r="Q140" s="221"/>
      <c r="R140" s="221"/>
      <c r="S140" s="221"/>
      <c r="T140" s="221"/>
      <c r="U140" s="221"/>
      <c r="V140" s="221"/>
      <c r="W140" s="221"/>
      <c r="X140" s="221"/>
      <c r="Y140" s="221"/>
      <c r="Z140" s="221"/>
      <c r="AA140" s="221"/>
      <c r="AB140" s="221"/>
      <c r="AC140" s="221"/>
      <c r="AD140" s="221"/>
      <c r="AE140" s="221"/>
      <c r="AF140" s="221"/>
      <c r="AG140" s="221"/>
      <c r="AH140" s="221"/>
      <c r="AI140" s="221"/>
      <c r="AJ140" s="221"/>
      <c r="AK140" s="221"/>
      <c r="AL140" s="221"/>
      <c r="AM140" s="221"/>
      <c r="AN140" s="221"/>
      <c r="AO140" s="221"/>
      <c r="AP140" s="221"/>
      <c r="AQ140" s="221">
        <f t="shared" si="203"/>
        <v>0</v>
      </c>
      <c r="AR140" s="224">
        <f t="shared" si="204"/>
        <v>0</v>
      </c>
      <c r="AS140" s="225">
        <f t="shared" si="205"/>
        <v>29000000</v>
      </c>
      <c r="AT140" s="224">
        <f t="shared" si="206"/>
        <v>100</v>
      </c>
      <c r="AU140" s="220" t="s">
        <v>576</v>
      </c>
      <c r="AV140" s="220" t="s">
        <v>560</v>
      </c>
      <c r="AW140" s="220" t="s">
        <v>4837</v>
      </c>
      <c r="AX140" s="221"/>
      <c r="AY140" s="221"/>
      <c r="AZ140" s="302"/>
      <c r="BA140" s="221"/>
      <c r="BB140" s="221"/>
      <c r="BC140" s="221"/>
      <c r="BD140" s="221"/>
      <c r="BE140" s="221"/>
    </row>
    <row r="141" spans="2:57" x14ac:dyDescent="0.3">
      <c r="B141" s="236" t="s">
        <v>2269</v>
      </c>
      <c r="C141" s="237" t="s">
        <v>2270</v>
      </c>
      <c r="D141" s="237">
        <v>2</v>
      </c>
      <c r="E141" s="237" t="s">
        <v>42</v>
      </c>
      <c r="F141" s="235">
        <f t="shared" ref="F141:U143" si="207">F142</f>
        <v>540934000</v>
      </c>
      <c r="G141" s="235">
        <f t="shared" si="207"/>
        <v>0</v>
      </c>
      <c r="H141" s="235">
        <f t="shared" si="207"/>
        <v>0</v>
      </c>
      <c r="I141" s="235">
        <f t="shared" si="207"/>
        <v>0</v>
      </c>
      <c r="J141" s="235">
        <f t="shared" si="207"/>
        <v>0</v>
      </c>
      <c r="K141" s="235">
        <f t="shared" si="207"/>
        <v>0</v>
      </c>
      <c r="L141" s="235">
        <f t="shared" si="207"/>
        <v>0</v>
      </c>
      <c r="M141" s="235">
        <f t="shared" si="207"/>
        <v>0</v>
      </c>
      <c r="N141" s="235">
        <f t="shared" si="207"/>
        <v>0</v>
      </c>
      <c r="O141" s="235">
        <f t="shared" si="207"/>
        <v>0</v>
      </c>
      <c r="P141" s="235">
        <f t="shared" si="207"/>
        <v>0</v>
      </c>
      <c r="Q141" s="235">
        <f t="shared" si="207"/>
        <v>0</v>
      </c>
      <c r="R141" s="235">
        <f t="shared" si="207"/>
        <v>0</v>
      </c>
      <c r="S141" s="235">
        <f t="shared" si="207"/>
        <v>540000000</v>
      </c>
      <c r="T141" s="235">
        <f t="shared" si="207"/>
        <v>0</v>
      </c>
      <c r="U141" s="235">
        <f t="shared" si="207"/>
        <v>0</v>
      </c>
      <c r="V141" s="235">
        <f t="shared" ref="V141:AY141" si="208">V142</f>
        <v>0</v>
      </c>
      <c r="W141" s="235">
        <f t="shared" si="208"/>
        <v>0</v>
      </c>
      <c r="X141" s="235">
        <f t="shared" si="208"/>
        <v>0</v>
      </c>
      <c r="Y141" s="235">
        <f t="shared" si="208"/>
        <v>0</v>
      </c>
      <c r="Z141" s="235">
        <f t="shared" si="208"/>
        <v>0</v>
      </c>
      <c r="AA141" s="235">
        <f t="shared" si="208"/>
        <v>0</v>
      </c>
      <c r="AB141" s="235">
        <f t="shared" si="208"/>
        <v>0</v>
      </c>
      <c r="AC141" s="235">
        <f t="shared" si="208"/>
        <v>0</v>
      </c>
      <c r="AD141" s="235">
        <f t="shared" si="208"/>
        <v>0</v>
      </c>
      <c r="AE141" s="235">
        <f t="shared" si="208"/>
        <v>0</v>
      </c>
      <c r="AF141" s="235">
        <f t="shared" si="208"/>
        <v>0</v>
      </c>
      <c r="AG141" s="235">
        <f t="shared" si="208"/>
        <v>0</v>
      </c>
      <c r="AH141" s="235">
        <f t="shared" si="208"/>
        <v>0</v>
      </c>
      <c r="AI141" s="235">
        <f t="shared" si="208"/>
        <v>0</v>
      </c>
      <c r="AJ141" s="235">
        <f t="shared" si="208"/>
        <v>0</v>
      </c>
      <c r="AK141" s="235">
        <f t="shared" si="208"/>
        <v>0</v>
      </c>
      <c r="AL141" s="235">
        <f t="shared" si="208"/>
        <v>0</v>
      </c>
      <c r="AM141" s="235">
        <f t="shared" si="208"/>
        <v>0</v>
      </c>
      <c r="AN141" s="235">
        <f t="shared" si="208"/>
        <v>0</v>
      </c>
      <c r="AO141" s="235">
        <f t="shared" si="208"/>
        <v>0</v>
      </c>
      <c r="AP141" s="235">
        <f t="shared" si="208"/>
        <v>0</v>
      </c>
      <c r="AQ141" s="235">
        <f t="shared" ref="AQ141:AQ150" si="209">SUM(G141:AP141)</f>
        <v>540000000</v>
      </c>
      <c r="AR141" s="238">
        <f t="shared" si="204"/>
        <v>9.9827335682356813E-3</v>
      </c>
      <c r="AS141" s="239">
        <f>F141-AQ141</f>
        <v>934000</v>
      </c>
      <c r="AT141" s="238">
        <f>AS141/F141*100</f>
        <v>0.17266431764318754</v>
      </c>
      <c r="AU141" s="220" t="s">
        <v>576</v>
      </c>
      <c r="AV141" s="220" t="s">
        <v>560</v>
      </c>
      <c r="AW141" s="220" t="s">
        <v>4836</v>
      </c>
      <c r="AX141" s="235">
        <f>AX142</f>
        <v>0</v>
      </c>
      <c r="AY141" s="235">
        <f t="shared" si="208"/>
        <v>0</v>
      </c>
      <c r="AZ141" s="235">
        <f t="shared" ref="AY141:BE142" si="210">AZ142</f>
        <v>0</v>
      </c>
      <c r="BA141" s="235">
        <f t="shared" si="210"/>
        <v>0</v>
      </c>
      <c r="BB141" s="235">
        <f t="shared" si="210"/>
        <v>0</v>
      </c>
      <c r="BC141" s="235">
        <f t="shared" si="210"/>
        <v>0</v>
      </c>
      <c r="BD141" s="235">
        <f t="shared" si="210"/>
        <v>0</v>
      </c>
      <c r="BE141" s="235">
        <f t="shared" si="210"/>
        <v>0</v>
      </c>
    </row>
    <row r="142" spans="2:57" x14ac:dyDescent="0.3">
      <c r="B142" s="226" t="s">
        <v>4253</v>
      </c>
      <c r="C142" s="227" t="s">
        <v>2273</v>
      </c>
      <c r="D142" s="227">
        <v>1</v>
      </c>
      <c r="E142" s="227" t="s">
        <v>42</v>
      </c>
      <c r="F142" s="228">
        <f t="shared" si="207"/>
        <v>540934000</v>
      </c>
      <c r="G142" s="228">
        <f t="shared" ref="G142:AP143" si="211">G143</f>
        <v>0</v>
      </c>
      <c r="H142" s="228">
        <f t="shared" si="211"/>
        <v>0</v>
      </c>
      <c r="I142" s="228">
        <f t="shared" si="211"/>
        <v>0</v>
      </c>
      <c r="J142" s="228">
        <f t="shared" si="211"/>
        <v>0</v>
      </c>
      <c r="K142" s="228">
        <f t="shared" si="211"/>
        <v>0</v>
      </c>
      <c r="L142" s="228">
        <f t="shared" si="211"/>
        <v>0</v>
      </c>
      <c r="M142" s="228">
        <f t="shared" si="211"/>
        <v>0</v>
      </c>
      <c r="N142" s="228">
        <f t="shared" si="211"/>
        <v>0</v>
      </c>
      <c r="O142" s="228">
        <f t="shared" si="211"/>
        <v>0</v>
      </c>
      <c r="P142" s="228">
        <f t="shared" si="211"/>
        <v>0</v>
      </c>
      <c r="Q142" s="228">
        <f t="shared" si="211"/>
        <v>0</v>
      </c>
      <c r="R142" s="228">
        <f t="shared" si="211"/>
        <v>0</v>
      </c>
      <c r="S142" s="228">
        <f t="shared" si="211"/>
        <v>540000000</v>
      </c>
      <c r="T142" s="228">
        <f t="shared" si="211"/>
        <v>0</v>
      </c>
      <c r="U142" s="228">
        <f t="shared" si="211"/>
        <v>0</v>
      </c>
      <c r="V142" s="228">
        <f t="shared" si="211"/>
        <v>0</v>
      </c>
      <c r="W142" s="228">
        <f t="shared" si="211"/>
        <v>0</v>
      </c>
      <c r="X142" s="228">
        <f t="shared" si="211"/>
        <v>0</v>
      </c>
      <c r="Y142" s="228">
        <f t="shared" si="211"/>
        <v>0</v>
      </c>
      <c r="Z142" s="228">
        <f t="shared" si="211"/>
        <v>0</v>
      </c>
      <c r="AA142" s="228">
        <f t="shared" si="211"/>
        <v>0</v>
      </c>
      <c r="AB142" s="228">
        <f t="shared" si="211"/>
        <v>0</v>
      </c>
      <c r="AC142" s="228">
        <f t="shared" si="211"/>
        <v>0</v>
      </c>
      <c r="AD142" s="228">
        <f t="shared" si="211"/>
        <v>0</v>
      </c>
      <c r="AE142" s="228">
        <f t="shared" si="211"/>
        <v>0</v>
      </c>
      <c r="AF142" s="228">
        <f t="shared" si="211"/>
        <v>0</v>
      </c>
      <c r="AG142" s="228">
        <f t="shared" si="211"/>
        <v>0</v>
      </c>
      <c r="AH142" s="228">
        <f t="shared" si="211"/>
        <v>0</v>
      </c>
      <c r="AI142" s="228">
        <f t="shared" si="211"/>
        <v>0</v>
      </c>
      <c r="AJ142" s="228">
        <f t="shared" si="211"/>
        <v>0</v>
      </c>
      <c r="AK142" s="228">
        <f t="shared" si="211"/>
        <v>0</v>
      </c>
      <c r="AL142" s="228">
        <f t="shared" si="211"/>
        <v>0</v>
      </c>
      <c r="AM142" s="228">
        <f t="shared" si="211"/>
        <v>0</v>
      </c>
      <c r="AN142" s="228">
        <f t="shared" si="211"/>
        <v>0</v>
      </c>
      <c r="AO142" s="228">
        <f t="shared" si="211"/>
        <v>0</v>
      </c>
      <c r="AP142" s="228">
        <f t="shared" si="211"/>
        <v>0</v>
      </c>
      <c r="AQ142" s="228">
        <f t="shared" si="209"/>
        <v>540000000</v>
      </c>
      <c r="AR142" s="229">
        <f t="shared" si="204"/>
        <v>9.9827335682356813E-3</v>
      </c>
      <c r="AS142" s="230">
        <f t="shared" ref="AS142" si="212">F142-AQ142</f>
        <v>934000</v>
      </c>
      <c r="AT142" s="229">
        <f t="shared" ref="AT142" si="213">AS142/F142*100</f>
        <v>0.17266431764318754</v>
      </c>
      <c r="AU142" s="220" t="s">
        <v>576</v>
      </c>
      <c r="AV142" s="220" t="s">
        <v>560</v>
      </c>
      <c r="AW142" s="220" t="s">
        <v>4836</v>
      </c>
      <c r="AX142" s="228">
        <f>AX143</f>
        <v>0</v>
      </c>
      <c r="AY142" s="228">
        <f t="shared" si="210"/>
        <v>0</v>
      </c>
      <c r="AZ142" s="228">
        <f t="shared" si="210"/>
        <v>0</v>
      </c>
      <c r="BA142" s="228">
        <f t="shared" si="210"/>
        <v>0</v>
      </c>
      <c r="BB142" s="228">
        <f t="shared" si="210"/>
        <v>0</v>
      </c>
      <c r="BC142" s="228">
        <f t="shared" si="210"/>
        <v>0</v>
      </c>
      <c r="BD142" s="228">
        <f t="shared" si="210"/>
        <v>0</v>
      </c>
      <c r="BE142" s="228">
        <f t="shared" si="210"/>
        <v>0</v>
      </c>
    </row>
    <row r="143" spans="2:57" x14ac:dyDescent="0.3">
      <c r="B143" s="226">
        <v>301</v>
      </c>
      <c r="C143" s="227" t="s">
        <v>2290</v>
      </c>
      <c r="D143" s="227"/>
      <c r="E143" s="227"/>
      <c r="F143" s="228">
        <f t="shared" si="207"/>
        <v>540934000</v>
      </c>
      <c r="G143" s="228">
        <f t="shared" si="211"/>
        <v>0</v>
      </c>
      <c r="H143" s="228">
        <f t="shared" ref="H143:BE143" si="214">H144</f>
        <v>0</v>
      </c>
      <c r="I143" s="228">
        <f t="shared" si="214"/>
        <v>0</v>
      </c>
      <c r="J143" s="228">
        <f t="shared" si="214"/>
        <v>0</v>
      </c>
      <c r="K143" s="228">
        <f t="shared" si="214"/>
        <v>0</v>
      </c>
      <c r="L143" s="228">
        <f t="shared" si="214"/>
        <v>0</v>
      </c>
      <c r="M143" s="228">
        <f t="shared" si="214"/>
        <v>0</v>
      </c>
      <c r="N143" s="228">
        <f t="shared" si="214"/>
        <v>0</v>
      </c>
      <c r="O143" s="228">
        <f t="shared" si="214"/>
        <v>0</v>
      </c>
      <c r="P143" s="228">
        <f t="shared" si="214"/>
        <v>0</v>
      </c>
      <c r="Q143" s="228">
        <f t="shared" si="214"/>
        <v>0</v>
      </c>
      <c r="R143" s="228">
        <f t="shared" si="214"/>
        <v>0</v>
      </c>
      <c r="S143" s="228">
        <f t="shared" si="214"/>
        <v>540000000</v>
      </c>
      <c r="T143" s="228">
        <f t="shared" si="214"/>
        <v>0</v>
      </c>
      <c r="U143" s="228">
        <f t="shared" si="214"/>
        <v>0</v>
      </c>
      <c r="V143" s="228">
        <f t="shared" si="214"/>
        <v>0</v>
      </c>
      <c r="W143" s="228">
        <f t="shared" si="214"/>
        <v>0</v>
      </c>
      <c r="X143" s="228">
        <f t="shared" si="214"/>
        <v>0</v>
      </c>
      <c r="Y143" s="228">
        <f t="shared" si="214"/>
        <v>0</v>
      </c>
      <c r="Z143" s="228">
        <f t="shared" si="214"/>
        <v>0</v>
      </c>
      <c r="AA143" s="228">
        <f t="shared" si="214"/>
        <v>0</v>
      </c>
      <c r="AB143" s="228">
        <f t="shared" si="214"/>
        <v>0</v>
      </c>
      <c r="AC143" s="228">
        <f t="shared" si="214"/>
        <v>0</v>
      </c>
      <c r="AD143" s="228">
        <f t="shared" si="214"/>
        <v>0</v>
      </c>
      <c r="AE143" s="228">
        <f t="shared" si="214"/>
        <v>0</v>
      </c>
      <c r="AF143" s="228">
        <f t="shared" si="214"/>
        <v>0</v>
      </c>
      <c r="AG143" s="228">
        <f t="shared" si="214"/>
        <v>0</v>
      </c>
      <c r="AH143" s="228">
        <f t="shared" si="214"/>
        <v>0</v>
      </c>
      <c r="AI143" s="228">
        <f t="shared" si="214"/>
        <v>0</v>
      </c>
      <c r="AJ143" s="228">
        <f t="shared" si="214"/>
        <v>0</v>
      </c>
      <c r="AK143" s="228">
        <f t="shared" si="214"/>
        <v>0</v>
      </c>
      <c r="AL143" s="228">
        <f t="shared" si="214"/>
        <v>0</v>
      </c>
      <c r="AM143" s="228">
        <f t="shared" si="214"/>
        <v>0</v>
      </c>
      <c r="AN143" s="228">
        <f t="shared" si="214"/>
        <v>0</v>
      </c>
      <c r="AO143" s="228">
        <f t="shared" si="214"/>
        <v>0</v>
      </c>
      <c r="AP143" s="228">
        <f t="shared" si="214"/>
        <v>0</v>
      </c>
      <c r="AQ143" s="228">
        <f t="shared" si="209"/>
        <v>540000000</v>
      </c>
      <c r="AR143" s="229">
        <f t="shared" ref="AR143:AR147" si="215">AQ143/F143/100</f>
        <v>9.9827335682356813E-3</v>
      </c>
      <c r="AS143" s="230">
        <f t="shared" ref="AS143" si="216">F143-AQ143</f>
        <v>934000</v>
      </c>
      <c r="AT143" s="229">
        <f t="shared" ref="AT143" si="217">AS143/F143*100</f>
        <v>0.17266431764318754</v>
      </c>
      <c r="AU143" s="220" t="s">
        <v>576</v>
      </c>
      <c r="AV143" s="220" t="s">
        <v>560</v>
      </c>
      <c r="AW143" s="220" t="s">
        <v>4836</v>
      </c>
      <c r="AX143" s="228">
        <f>AX144</f>
        <v>0</v>
      </c>
      <c r="AY143" s="228">
        <f t="shared" si="214"/>
        <v>0</v>
      </c>
      <c r="AZ143" s="228">
        <f t="shared" si="214"/>
        <v>0</v>
      </c>
      <c r="BA143" s="228">
        <f t="shared" si="214"/>
        <v>0</v>
      </c>
      <c r="BB143" s="228">
        <f t="shared" si="214"/>
        <v>0</v>
      </c>
      <c r="BC143" s="228">
        <f t="shared" si="214"/>
        <v>0</v>
      </c>
      <c r="BD143" s="228">
        <f t="shared" si="214"/>
        <v>0</v>
      </c>
      <c r="BE143" s="228">
        <f t="shared" si="214"/>
        <v>0</v>
      </c>
    </row>
    <row r="144" spans="2:57" x14ac:dyDescent="0.3">
      <c r="B144" s="290" t="s">
        <v>8</v>
      </c>
      <c r="C144" s="222" t="s">
        <v>2292</v>
      </c>
      <c r="D144" s="222"/>
      <c r="E144" s="222"/>
      <c r="F144" s="223">
        <f t="shared" ref="F144:AX144" si="218">SUM(F145)</f>
        <v>540934000</v>
      </c>
      <c r="G144" s="223">
        <f t="shared" si="218"/>
        <v>0</v>
      </c>
      <c r="H144" s="223">
        <f t="shared" si="218"/>
        <v>0</v>
      </c>
      <c r="I144" s="223">
        <f t="shared" si="218"/>
        <v>0</v>
      </c>
      <c r="J144" s="223">
        <f t="shared" si="218"/>
        <v>0</v>
      </c>
      <c r="K144" s="223">
        <f t="shared" si="218"/>
        <v>0</v>
      </c>
      <c r="L144" s="223">
        <f t="shared" si="218"/>
        <v>0</v>
      </c>
      <c r="M144" s="223">
        <f t="shared" si="218"/>
        <v>0</v>
      </c>
      <c r="N144" s="223">
        <f t="shared" si="218"/>
        <v>0</v>
      </c>
      <c r="O144" s="223">
        <f t="shared" si="218"/>
        <v>0</v>
      </c>
      <c r="P144" s="223">
        <f t="shared" si="218"/>
        <v>0</v>
      </c>
      <c r="Q144" s="223">
        <f t="shared" si="218"/>
        <v>0</v>
      </c>
      <c r="R144" s="223">
        <f t="shared" si="218"/>
        <v>0</v>
      </c>
      <c r="S144" s="223">
        <f t="shared" si="218"/>
        <v>540000000</v>
      </c>
      <c r="T144" s="223">
        <f t="shared" si="218"/>
        <v>0</v>
      </c>
      <c r="U144" s="223">
        <f t="shared" si="218"/>
        <v>0</v>
      </c>
      <c r="V144" s="223">
        <f t="shared" si="218"/>
        <v>0</v>
      </c>
      <c r="W144" s="223">
        <f t="shared" si="218"/>
        <v>0</v>
      </c>
      <c r="X144" s="223">
        <f t="shared" si="218"/>
        <v>0</v>
      </c>
      <c r="Y144" s="223">
        <f t="shared" si="218"/>
        <v>0</v>
      </c>
      <c r="Z144" s="223">
        <f t="shared" si="218"/>
        <v>0</v>
      </c>
      <c r="AA144" s="223">
        <f t="shared" si="218"/>
        <v>0</v>
      </c>
      <c r="AB144" s="223">
        <f t="shared" si="218"/>
        <v>0</v>
      </c>
      <c r="AC144" s="223">
        <f t="shared" si="218"/>
        <v>0</v>
      </c>
      <c r="AD144" s="223">
        <f t="shared" si="218"/>
        <v>0</v>
      </c>
      <c r="AE144" s="223">
        <f t="shared" si="218"/>
        <v>0</v>
      </c>
      <c r="AF144" s="223">
        <f t="shared" si="218"/>
        <v>0</v>
      </c>
      <c r="AG144" s="223">
        <f t="shared" si="218"/>
        <v>0</v>
      </c>
      <c r="AH144" s="223">
        <f t="shared" si="218"/>
        <v>0</v>
      </c>
      <c r="AI144" s="223">
        <f t="shared" si="218"/>
        <v>0</v>
      </c>
      <c r="AJ144" s="223">
        <f t="shared" si="218"/>
        <v>0</v>
      </c>
      <c r="AK144" s="223">
        <f t="shared" si="218"/>
        <v>0</v>
      </c>
      <c r="AL144" s="223">
        <f t="shared" si="218"/>
        <v>0</v>
      </c>
      <c r="AM144" s="223">
        <f t="shared" si="218"/>
        <v>0</v>
      </c>
      <c r="AN144" s="223">
        <f t="shared" si="218"/>
        <v>0</v>
      </c>
      <c r="AO144" s="223">
        <f t="shared" si="218"/>
        <v>0</v>
      </c>
      <c r="AP144" s="223">
        <f t="shared" si="218"/>
        <v>0</v>
      </c>
      <c r="AQ144" s="223">
        <f>SUM(G144:AP144)</f>
        <v>540000000</v>
      </c>
      <c r="AR144" s="231">
        <f t="shared" si="215"/>
        <v>9.9827335682356813E-3</v>
      </c>
      <c r="AS144" s="232">
        <f>F144-AQ144</f>
        <v>934000</v>
      </c>
      <c r="AT144" s="231">
        <f>AS144/F144*100</f>
        <v>0.17266431764318754</v>
      </c>
      <c r="AU144" s="220" t="s">
        <v>576</v>
      </c>
      <c r="AV144" s="220" t="s">
        <v>560</v>
      </c>
      <c r="AW144" s="220" t="s">
        <v>4836</v>
      </c>
      <c r="AX144" s="223">
        <f t="shared" si="218"/>
        <v>0</v>
      </c>
      <c r="AY144" s="223">
        <f>SUM(AY145)</f>
        <v>0</v>
      </c>
      <c r="AZ144" s="223">
        <f>SUM(AZ145)</f>
        <v>0</v>
      </c>
      <c r="BA144" s="223">
        <f t="shared" ref="BA144:BE144" si="219">SUM(BA145)</f>
        <v>0</v>
      </c>
      <c r="BB144" s="223">
        <f t="shared" si="219"/>
        <v>0</v>
      </c>
      <c r="BC144" s="223">
        <f t="shared" si="219"/>
        <v>0</v>
      </c>
      <c r="BD144" s="223">
        <f t="shared" si="219"/>
        <v>0</v>
      </c>
      <c r="BE144" s="223">
        <f t="shared" si="219"/>
        <v>0</v>
      </c>
    </row>
    <row r="145" spans="2:57" x14ac:dyDescent="0.3">
      <c r="B145" s="288">
        <v>532111</v>
      </c>
      <c r="C145" s="220" t="s">
        <v>43</v>
      </c>
      <c r="D145" s="220"/>
      <c r="E145" s="220"/>
      <c r="F145" s="221">
        <v>540934000</v>
      </c>
      <c r="G145" s="221"/>
      <c r="H145" s="221"/>
      <c r="I145" s="221"/>
      <c r="J145" s="221"/>
      <c r="K145" s="221"/>
      <c r="L145" s="221"/>
      <c r="M145" s="221"/>
      <c r="N145" s="221"/>
      <c r="O145" s="221"/>
      <c r="P145" s="221"/>
      <c r="Q145" s="221"/>
      <c r="R145" s="221"/>
      <c r="S145" s="221">
        <v>540000000</v>
      </c>
      <c r="T145" s="221"/>
      <c r="U145" s="221"/>
      <c r="V145" s="221"/>
      <c r="W145" s="221"/>
      <c r="X145" s="221"/>
      <c r="Y145" s="221"/>
      <c r="Z145" s="221"/>
      <c r="AA145" s="221"/>
      <c r="AB145" s="221"/>
      <c r="AC145" s="221"/>
      <c r="AD145" s="221"/>
      <c r="AE145" s="221"/>
      <c r="AF145" s="221"/>
      <c r="AG145" s="221"/>
      <c r="AH145" s="221"/>
      <c r="AI145" s="221"/>
      <c r="AJ145" s="221"/>
      <c r="AK145" s="221"/>
      <c r="AL145" s="221"/>
      <c r="AM145" s="221"/>
      <c r="AN145" s="221"/>
      <c r="AO145" s="221"/>
      <c r="AP145" s="221"/>
      <c r="AQ145" s="221">
        <f t="shared" si="209"/>
        <v>540000000</v>
      </c>
      <c r="AR145" s="224">
        <f t="shared" si="215"/>
        <v>9.9827335682356813E-3</v>
      </c>
      <c r="AS145" s="225">
        <f>F145-AQ145</f>
        <v>934000</v>
      </c>
      <c r="AT145" s="224">
        <f>AS145/F145*100</f>
        <v>0.17266431764318754</v>
      </c>
      <c r="AU145" s="220" t="s">
        <v>576</v>
      </c>
      <c r="AV145" s="220" t="s">
        <v>560</v>
      </c>
      <c r="AW145" s="220" t="s">
        <v>4836</v>
      </c>
      <c r="AX145" s="221"/>
      <c r="AY145" s="221"/>
      <c r="AZ145" s="221"/>
      <c r="BA145" s="221"/>
      <c r="BB145" s="221"/>
      <c r="BC145" s="221"/>
      <c r="BD145" s="221"/>
      <c r="BE145" s="221"/>
    </row>
    <row r="146" spans="2:57" x14ac:dyDescent="0.3">
      <c r="B146" s="236" t="s">
        <v>2466</v>
      </c>
      <c r="C146" s="237" t="s">
        <v>2467</v>
      </c>
      <c r="D146" s="237">
        <v>5</v>
      </c>
      <c r="E146" s="237" t="s">
        <v>4315</v>
      </c>
      <c r="F146" s="235">
        <f>F147+F165+F182</f>
        <v>1538790000</v>
      </c>
      <c r="G146" s="235">
        <f t="shared" ref="G146" si="220">G147+G165+G182</f>
        <v>0</v>
      </c>
      <c r="H146" s="235">
        <f t="shared" ref="H146:AX146" si="221">H147+H165+H182</f>
        <v>0</v>
      </c>
      <c r="I146" s="235">
        <f t="shared" si="221"/>
        <v>0</v>
      </c>
      <c r="J146" s="235">
        <f t="shared" si="221"/>
        <v>10597800</v>
      </c>
      <c r="K146" s="235">
        <f t="shared" si="221"/>
        <v>0</v>
      </c>
      <c r="L146" s="235">
        <f t="shared" si="221"/>
        <v>0</v>
      </c>
      <c r="M146" s="235">
        <f t="shared" si="221"/>
        <v>0</v>
      </c>
      <c r="N146" s="235">
        <f t="shared" si="221"/>
        <v>30344500</v>
      </c>
      <c r="O146" s="235">
        <f t="shared" si="221"/>
        <v>93601693</v>
      </c>
      <c r="P146" s="235">
        <f t="shared" si="221"/>
        <v>22589500</v>
      </c>
      <c r="Q146" s="235">
        <f t="shared" si="221"/>
        <v>19929200</v>
      </c>
      <c r="R146" s="235">
        <f t="shared" si="221"/>
        <v>0</v>
      </c>
      <c r="S146" s="235">
        <f t="shared" si="221"/>
        <v>9172500</v>
      </c>
      <c r="T146" s="235">
        <f t="shared" si="221"/>
        <v>20182883</v>
      </c>
      <c r="U146" s="235">
        <f t="shared" si="221"/>
        <v>82150655</v>
      </c>
      <c r="V146" s="235">
        <f t="shared" si="221"/>
        <v>51085531</v>
      </c>
      <c r="W146" s="235">
        <f t="shared" si="221"/>
        <v>0</v>
      </c>
      <c r="X146" s="235">
        <f t="shared" si="221"/>
        <v>4670000</v>
      </c>
      <c r="Y146" s="235">
        <f t="shared" si="221"/>
        <v>0</v>
      </c>
      <c r="Z146" s="235">
        <f t="shared" si="221"/>
        <v>0</v>
      </c>
      <c r="AA146" s="235">
        <f t="shared" si="221"/>
        <v>0</v>
      </c>
      <c r="AB146" s="235">
        <f t="shared" si="221"/>
        <v>0</v>
      </c>
      <c r="AC146" s="235">
        <f t="shared" si="221"/>
        <v>0</v>
      </c>
      <c r="AD146" s="235">
        <f t="shared" si="221"/>
        <v>0</v>
      </c>
      <c r="AE146" s="235">
        <f t="shared" si="221"/>
        <v>0</v>
      </c>
      <c r="AF146" s="235">
        <f t="shared" si="221"/>
        <v>0</v>
      </c>
      <c r="AG146" s="235">
        <f t="shared" si="221"/>
        <v>0</v>
      </c>
      <c r="AH146" s="235">
        <f t="shared" si="221"/>
        <v>0</v>
      </c>
      <c r="AI146" s="235">
        <f t="shared" si="221"/>
        <v>0</v>
      </c>
      <c r="AJ146" s="235">
        <f t="shared" si="221"/>
        <v>0</v>
      </c>
      <c r="AK146" s="235">
        <f t="shared" si="221"/>
        <v>0</v>
      </c>
      <c r="AL146" s="235">
        <f t="shared" si="221"/>
        <v>0</v>
      </c>
      <c r="AM146" s="235">
        <f t="shared" si="221"/>
        <v>0</v>
      </c>
      <c r="AN146" s="235">
        <f t="shared" si="221"/>
        <v>0</v>
      </c>
      <c r="AO146" s="235">
        <f t="shared" si="221"/>
        <v>0</v>
      </c>
      <c r="AP146" s="235">
        <f t="shared" si="221"/>
        <v>0</v>
      </c>
      <c r="AQ146" s="235">
        <f t="shared" si="209"/>
        <v>344324262</v>
      </c>
      <c r="AR146" s="238">
        <f t="shared" si="215"/>
        <v>2.2376299690016182E-3</v>
      </c>
      <c r="AS146" s="239">
        <f>F146-AQ146</f>
        <v>1194465738</v>
      </c>
      <c r="AT146" s="238">
        <f>AS146/F146*100</f>
        <v>77.623700309983818</v>
      </c>
      <c r="AU146" s="220"/>
      <c r="AV146" s="220"/>
      <c r="AW146" s="220" t="s">
        <v>4732</v>
      </c>
      <c r="AX146" s="235">
        <f t="shared" si="221"/>
        <v>0</v>
      </c>
      <c r="AY146" s="235">
        <f t="shared" ref="AY146:AZ146" si="222">AY147+AY165+AY182</f>
        <v>93601693</v>
      </c>
      <c r="AZ146" s="235">
        <f t="shared" si="222"/>
        <v>30344500</v>
      </c>
      <c r="BA146" s="235">
        <f t="shared" ref="BA146" si="223">BA147+BA165+BA182</f>
        <v>19929200</v>
      </c>
      <c r="BB146" s="235">
        <f t="shared" ref="BB146" si="224">BB147+BB165+BB182</f>
        <v>10000000</v>
      </c>
      <c r="BC146" s="235">
        <f t="shared" ref="BC146:BD146" si="225">BC147+BC165+BC182</f>
        <v>10182883</v>
      </c>
      <c r="BD146" s="235">
        <f t="shared" si="225"/>
        <v>82150655</v>
      </c>
      <c r="BE146" s="235">
        <f t="shared" ref="BE146" si="226">BE147+BE165+BE182</f>
        <v>4670000</v>
      </c>
    </row>
    <row r="147" spans="2:57" x14ac:dyDescent="0.3">
      <c r="B147" s="226" t="s">
        <v>4316</v>
      </c>
      <c r="C147" s="227" t="s">
        <v>2470</v>
      </c>
      <c r="D147" s="227">
        <v>1</v>
      </c>
      <c r="E147" s="227" t="s">
        <v>4315</v>
      </c>
      <c r="F147" s="228">
        <f>F148</f>
        <v>615138000</v>
      </c>
      <c r="G147" s="228">
        <f t="shared" ref="G147:BE147" si="227">G148</f>
        <v>0</v>
      </c>
      <c r="H147" s="228">
        <f t="shared" si="227"/>
        <v>0</v>
      </c>
      <c r="I147" s="228">
        <f t="shared" si="227"/>
        <v>0</v>
      </c>
      <c r="J147" s="228">
        <f t="shared" si="227"/>
        <v>10597800</v>
      </c>
      <c r="K147" s="228">
        <f t="shared" si="227"/>
        <v>0</v>
      </c>
      <c r="L147" s="228">
        <f t="shared" si="227"/>
        <v>0</v>
      </c>
      <c r="M147" s="228">
        <f t="shared" si="227"/>
        <v>0</v>
      </c>
      <c r="N147" s="228">
        <f t="shared" si="227"/>
        <v>7845000</v>
      </c>
      <c r="O147" s="228">
        <f t="shared" si="227"/>
        <v>37430665</v>
      </c>
      <c r="P147" s="228">
        <f t="shared" si="227"/>
        <v>6535000</v>
      </c>
      <c r="Q147" s="228">
        <f t="shared" si="227"/>
        <v>0</v>
      </c>
      <c r="R147" s="228">
        <f t="shared" si="227"/>
        <v>0</v>
      </c>
      <c r="S147" s="228">
        <f t="shared" si="227"/>
        <v>9172500</v>
      </c>
      <c r="T147" s="228">
        <f t="shared" si="227"/>
        <v>0</v>
      </c>
      <c r="U147" s="228">
        <f t="shared" si="227"/>
        <v>19898480</v>
      </c>
      <c r="V147" s="228">
        <f t="shared" si="227"/>
        <v>10500000</v>
      </c>
      <c r="W147" s="228">
        <f t="shared" si="227"/>
        <v>0</v>
      </c>
      <c r="X147" s="228">
        <f t="shared" si="227"/>
        <v>0</v>
      </c>
      <c r="Y147" s="228">
        <f t="shared" si="227"/>
        <v>0</v>
      </c>
      <c r="Z147" s="228">
        <f t="shared" si="227"/>
        <v>0</v>
      </c>
      <c r="AA147" s="228">
        <f t="shared" si="227"/>
        <v>0</v>
      </c>
      <c r="AB147" s="228">
        <f t="shared" si="227"/>
        <v>0</v>
      </c>
      <c r="AC147" s="228">
        <f t="shared" si="227"/>
        <v>0</v>
      </c>
      <c r="AD147" s="228">
        <f t="shared" si="227"/>
        <v>0</v>
      </c>
      <c r="AE147" s="228">
        <f t="shared" si="227"/>
        <v>0</v>
      </c>
      <c r="AF147" s="228">
        <f t="shared" si="227"/>
        <v>0</v>
      </c>
      <c r="AG147" s="228">
        <f t="shared" si="227"/>
        <v>0</v>
      </c>
      <c r="AH147" s="228">
        <f t="shared" si="227"/>
        <v>0</v>
      </c>
      <c r="AI147" s="228">
        <f t="shared" si="227"/>
        <v>0</v>
      </c>
      <c r="AJ147" s="228">
        <f t="shared" si="227"/>
        <v>0</v>
      </c>
      <c r="AK147" s="228">
        <f t="shared" si="227"/>
        <v>0</v>
      </c>
      <c r="AL147" s="228">
        <f t="shared" si="227"/>
        <v>0</v>
      </c>
      <c r="AM147" s="228">
        <f t="shared" si="227"/>
        <v>0</v>
      </c>
      <c r="AN147" s="228">
        <f t="shared" si="227"/>
        <v>0</v>
      </c>
      <c r="AO147" s="228">
        <f t="shared" si="227"/>
        <v>0</v>
      </c>
      <c r="AP147" s="228">
        <f t="shared" si="227"/>
        <v>0</v>
      </c>
      <c r="AQ147" s="228">
        <f t="shared" si="209"/>
        <v>101979445</v>
      </c>
      <c r="AR147" s="229">
        <f t="shared" si="215"/>
        <v>1.6578303567654736E-3</v>
      </c>
      <c r="AS147" s="230">
        <f t="shared" ref="AS147:AS148" si="228">F147-AQ147</f>
        <v>513158555</v>
      </c>
      <c r="AT147" s="229">
        <f t="shared" ref="AT147:AT148" si="229">AS147/F147*100</f>
        <v>83.421696432345257</v>
      </c>
      <c r="AU147" s="220" t="s">
        <v>542</v>
      </c>
      <c r="AV147" s="220" t="s">
        <v>543</v>
      </c>
      <c r="AW147" s="220" t="s">
        <v>4732</v>
      </c>
      <c r="AX147" s="228">
        <f t="shared" si="227"/>
        <v>0</v>
      </c>
      <c r="AY147" s="228">
        <f t="shared" si="227"/>
        <v>37430665</v>
      </c>
      <c r="AZ147" s="228">
        <f t="shared" si="227"/>
        <v>7845000</v>
      </c>
      <c r="BA147" s="228">
        <f t="shared" si="227"/>
        <v>0</v>
      </c>
      <c r="BB147" s="228">
        <f t="shared" si="227"/>
        <v>0</v>
      </c>
      <c r="BC147" s="228">
        <f t="shared" si="227"/>
        <v>0</v>
      </c>
      <c r="BD147" s="228">
        <f t="shared" si="227"/>
        <v>19898480</v>
      </c>
      <c r="BE147" s="228">
        <f t="shared" si="227"/>
        <v>0</v>
      </c>
    </row>
    <row r="148" spans="2:57" x14ac:dyDescent="0.3">
      <c r="B148" s="226">
        <v>301</v>
      </c>
      <c r="C148" s="227" t="s">
        <v>2740</v>
      </c>
      <c r="D148" s="227"/>
      <c r="E148" s="227"/>
      <c r="F148" s="228">
        <f>F149+F154+F160</f>
        <v>615138000</v>
      </c>
      <c r="G148" s="228">
        <f t="shared" ref="G148" si="230">G149+G154+G160</f>
        <v>0</v>
      </c>
      <c r="H148" s="228">
        <f t="shared" ref="H148:AX148" si="231">H149+H154+H160</f>
        <v>0</v>
      </c>
      <c r="I148" s="228">
        <f t="shared" si="231"/>
        <v>0</v>
      </c>
      <c r="J148" s="228">
        <f t="shared" si="231"/>
        <v>10597800</v>
      </c>
      <c r="K148" s="228">
        <f t="shared" si="231"/>
        <v>0</v>
      </c>
      <c r="L148" s="228">
        <f t="shared" si="231"/>
        <v>0</v>
      </c>
      <c r="M148" s="228">
        <f t="shared" si="231"/>
        <v>0</v>
      </c>
      <c r="N148" s="228">
        <f t="shared" si="231"/>
        <v>7845000</v>
      </c>
      <c r="O148" s="228">
        <f t="shared" si="231"/>
        <v>37430665</v>
      </c>
      <c r="P148" s="228">
        <f t="shared" si="231"/>
        <v>6535000</v>
      </c>
      <c r="Q148" s="228">
        <f t="shared" si="231"/>
        <v>0</v>
      </c>
      <c r="R148" s="228">
        <f t="shared" si="231"/>
        <v>0</v>
      </c>
      <c r="S148" s="228">
        <f t="shared" si="231"/>
        <v>9172500</v>
      </c>
      <c r="T148" s="228">
        <f t="shared" si="231"/>
        <v>0</v>
      </c>
      <c r="U148" s="228">
        <f t="shared" si="231"/>
        <v>19898480</v>
      </c>
      <c r="V148" s="228">
        <f t="shared" si="231"/>
        <v>10500000</v>
      </c>
      <c r="W148" s="228">
        <f t="shared" si="231"/>
        <v>0</v>
      </c>
      <c r="X148" s="228">
        <f t="shared" si="231"/>
        <v>0</v>
      </c>
      <c r="Y148" s="228">
        <f t="shared" si="231"/>
        <v>0</v>
      </c>
      <c r="Z148" s="228">
        <f t="shared" si="231"/>
        <v>0</v>
      </c>
      <c r="AA148" s="228">
        <f t="shared" si="231"/>
        <v>0</v>
      </c>
      <c r="AB148" s="228">
        <f t="shared" si="231"/>
        <v>0</v>
      </c>
      <c r="AC148" s="228">
        <f t="shared" si="231"/>
        <v>0</v>
      </c>
      <c r="AD148" s="228">
        <f t="shared" si="231"/>
        <v>0</v>
      </c>
      <c r="AE148" s="228">
        <f t="shared" si="231"/>
        <v>0</v>
      </c>
      <c r="AF148" s="228">
        <f t="shared" si="231"/>
        <v>0</v>
      </c>
      <c r="AG148" s="228">
        <f t="shared" si="231"/>
        <v>0</v>
      </c>
      <c r="AH148" s="228">
        <f t="shared" si="231"/>
        <v>0</v>
      </c>
      <c r="AI148" s="228">
        <f t="shared" si="231"/>
        <v>0</v>
      </c>
      <c r="AJ148" s="228">
        <f t="shared" si="231"/>
        <v>0</v>
      </c>
      <c r="AK148" s="228">
        <f t="shared" si="231"/>
        <v>0</v>
      </c>
      <c r="AL148" s="228">
        <f t="shared" si="231"/>
        <v>0</v>
      </c>
      <c r="AM148" s="228">
        <f t="shared" si="231"/>
        <v>0</v>
      </c>
      <c r="AN148" s="228">
        <f t="shared" si="231"/>
        <v>0</v>
      </c>
      <c r="AO148" s="228">
        <f t="shared" si="231"/>
        <v>0</v>
      </c>
      <c r="AP148" s="228">
        <f t="shared" si="231"/>
        <v>0</v>
      </c>
      <c r="AQ148" s="228">
        <f t="shared" si="209"/>
        <v>101979445</v>
      </c>
      <c r="AR148" s="229">
        <f t="shared" ref="AR148:AR149" si="232">AQ148/F148/100</f>
        <v>1.6578303567654736E-3</v>
      </c>
      <c r="AS148" s="230">
        <f t="shared" si="228"/>
        <v>513158555</v>
      </c>
      <c r="AT148" s="229">
        <f t="shared" si="229"/>
        <v>83.421696432345257</v>
      </c>
      <c r="AU148" s="220" t="s">
        <v>542</v>
      </c>
      <c r="AV148" s="220" t="s">
        <v>543</v>
      </c>
      <c r="AW148" s="220" t="s">
        <v>4732</v>
      </c>
      <c r="AX148" s="228">
        <f t="shared" si="231"/>
        <v>0</v>
      </c>
      <c r="AY148" s="228">
        <f t="shared" ref="AY148:AZ148" si="233">AY149+AY154+AY160</f>
        <v>37430665</v>
      </c>
      <c r="AZ148" s="228">
        <f t="shared" si="233"/>
        <v>7845000</v>
      </c>
      <c r="BA148" s="228">
        <f t="shared" ref="BA148" si="234">BA149+BA154+BA160</f>
        <v>0</v>
      </c>
      <c r="BB148" s="228">
        <f t="shared" ref="BB148" si="235">BB149+BB154+BB160</f>
        <v>0</v>
      </c>
      <c r="BC148" s="228">
        <f t="shared" ref="BC148:BD148" si="236">BC149+BC154+BC160</f>
        <v>0</v>
      </c>
      <c r="BD148" s="228">
        <f t="shared" si="236"/>
        <v>19898480</v>
      </c>
      <c r="BE148" s="228">
        <f t="shared" ref="BE148" si="237">BE149+BE154+BE160</f>
        <v>0</v>
      </c>
    </row>
    <row r="149" spans="2:57" x14ac:dyDescent="0.3">
      <c r="B149" s="290" t="s">
        <v>8</v>
      </c>
      <c r="C149" s="222" t="s">
        <v>129</v>
      </c>
      <c r="D149" s="222"/>
      <c r="E149" s="222"/>
      <c r="F149" s="223">
        <f>SUM(F150:F153)</f>
        <v>101050000</v>
      </c>
      <c r="G149" s="223">
        <f t="shared" ref="G149" si="238">SUM(G150:G153)</f>
        <v>0</v>
      </c>
      <c r="H149" s="223">
        <f t="shared" ref="H149:AX149" si="239">SUM(H150:H153)</f>
        <v>0</v>
      </c>
      <c r="I149" s="223">
        <f t="shared" si="239"/>
        <v>0</v>
      </c>
      <c r="J149" s="223">
        <f t="shared" si="239"/>
        <v>1010000</v>
      </c>
      <c r="K149" s="223">
        <f t="shared" si="239"/>
        <v>0</v>
      </c>
      <c r="L149" s="223">
        <f t="shared" si="239"/>
        <v>0</v>
      </c>
      <c r="M149" s="223">
        <f t="shared" si="239"/>
        <v>0</v>
      </c>
      <c r="N149" s="223">
        <f t="shared" si="239"/>
        <v>2805000</v>
      </c>
      <c r="O149" s="223">
        <f t="shared" si="239"/>
        <v>4303915</v>
      </c>
      <c r="P149" s="223">
        <f t="shared" si="239"/>
        <v>0</v>
      </c>
      <c r="Q149" s="223">
        <f t="shared" si="239"/>
        <v>0</v>
      </c>
      <c r="R149" s="223">
        <f t="shared" si="239"/>
        <v>0</v>
      </c>
      <c r="S149" s="223">
        <f t="shared" si="239"/>
        <v>1348500</v>
      </c>
      <c r="T149" s="223">
        <f t="shared" si="239"/>
        <v>0</v>
      </c>
      <c r="U149" s="223">
        <f t="shared" si="239"/>
        <v>4238980</v>
      </c>
      <c r="V149" s="223">
        <f t="shared" si="239"/>
        <v>0</v>
      </c>
      <c r="W149" s="223">
        <f t="shared" si="239"/>
        <v>0</v>
      </c>
      <c r="X149" s="223">
        <f t="shared" si="239"/>
        <v>0</v>
      </c>
      <c r="Y149" s="223">
        <f t="shared" si="239"/>
        <v>0</v>
      </c>
      <c r="Z149" s="223">
        <f t="shared" si="239"/>
        <v>0</v>
      </c>
      <c r="AA149" s="223">
        <f t="shared" si="239"/>
        <v>0</v>
      </c>
      <c r="AB149" s="223">
        <f t="shared" si="239"/>
        <v>0</v>
      </c>
      <c r="AC149" s="223">
        <f t="shared" si="239"/>
        <v>0</v>
      </c>
      <c r="AD149" s="223">
        <f t="shared" si="239"/>
        <v>0</v>
      </c>
      <c r="AE149" s="223">
        <f t="shared" si="239"/>
        <v>0</v>
      </c>
      <c r="AF149" s="223">
        <f t="shared" si="239"/>
        <v>0</v>
      </c>
      <c r="AG149" s="223">
        <f t="shared" si="239"/>
        <v>0</v>
      </c>
      <c r="AH149" s="223">
        <f t="shared" si="239"/>
        <v>0</v>
      </c>
      <c r="AI149" s="223">
        <f t="shared" si="239"/>
        <v>0</v>
      </c>
      <c r="AJ149" s="223">
        <f t="shared" si="239"/>
        <v>0</v>
      </c>
      <c r="AK149" s="223">
        <f t="shared" si="239"/>
        <v>0</v>
      </c>
      <c r="AL149" s="223">
        <f t="shared" si="239"/>
        <v>0</v>
      </c>
      <c r="AM149" s="223">
        <f t="shared" si="239"/>
        <v>0</v>
      </c>
      <c r="AN149" s="223">
        <f t="shared" si="239"/>
        <v>0</v>
      </c>
      <c r="AO149" s="223">
        <f t="shared" si="239"/>
        <v>0</v>
      </c>
      <c r="AP149" s="223">
        <f t="shared" si="239"/>
        <v>0</v>
      </c>
      <c r="AQ149" s="223">
        <f t="shared" si="209"/>
        <v>13706395</v>
      </c>
      <c r="AR149" s="231">
        <f t="shared" si="232"/>
        <v>1.3563973280554182E-3</v>
      </c>
      <c r="AS149" s="232">
        <f>F149-AQ149</f>
        <v>87343605</v>
      </c>
      <c r="AT149" s="231">
        <f>AS149/F149*100</f>
        <v>86.43602671944582</v>
      </c>
      <c r="AU149" s="220" t="s">
        <v>542</v>
      </c>
      <c r="AV149" s="220" t="s">
        <v>543</v>
      </c>
      <c r="AW149" s="220" t="s">
        <v>4732</v>
      </c>
      <c r="AX149" s="223">
        <f t="shared" si="239"/>
        <v>0</v>
      </c>
      <c r="AY149" s="223">
        <f t="shared" ref="AY149:AZ149" si="240">SUM(AY150:AY153)</f>
        <v>4303915</v>
      </c>
      <c r="AZ149" s="223">
        <f t="shared" si="240"/>
        <v>2805000</v>
      </c>
      <c r="BA149" s="223">
        <f t="shared" ref="BA149" si="241">SUM(BA150:BA153)</f>
        <v>0</v>
      </c>
      <c r="BB149" s="223">
        <f t="shared" ref="BB149" si="242">SUM(BB150:BB153)</f>
        <v>0</v>
      </c>
      <c r="BC149" s="223">
        <f t="shared" ref="BC149:BD149" si="243">SUM(BC150:BC153)</f>
        <v>0</v>
      </c>
      <c r="BD149" s="223">
        <f t="shared" si="243"/>
        <v>4238980</v>
      </c>
      <c r="BE149" s="223">
        <f t="shared" ref="BE149" si="244">SUM(BE150:BE153)</f>
        <v>0</v>
      </c>
    </row>
    <row r="150" spans="2:57" x14ac:dyDescent="0.3">
      <c r="B150" s="288">
        <v>521211</v>
      </c>
      <c r="C150" s="220" t="s">
        <v>7</v>
      </c>
      <c r="D150" s="220"/>
      <c r="E150" s="220"/>
      <c r="F150" s="221">
        <v>22650000</v>
      </c>
      <c r="G150" s="221"/>
      <c r="H150" s="221"/>
      <c r="I150" s="221"/>
      <c r="J150" s="221"/>
      <c r="K150" s="221"/>
      <c r="L150" s="221"/>
      <c r="M150" s="221"/>
      <c r="N150" s="221"/>
      <c r="O150" s="221">
        <v>1498000</v>
      </c>
      <c r="P150" s="221"/>
      <c r="Q150" s="221"/>
      <c r="R150" s="221"/>
      <c r="S150" s="221"/>
      <c r="T150" s="221"/>
      <c r="U150" s="302">
        <v>1493000</v>
      </c>
      <c r="V150" s="221"/>
      <c r="W150" s="221"/>
      <c r="X150" s="221"/>
      <c r="Y150" s="221"/>
      <c r="Z150" s="221"/>
      <c r="AA150" s="221"/>
      <c r="AB150" s="221"/>
      <c r="AC150" s="221"/>
      <c r="AD150" s="221"/>
      <c r="AE150" s="221"/>
      <c r="AF150" s="221"/>
      <c r="AG150" s="221"/>
      <c r="AH150" s="221"/>
      <c r="AI150" s="221"/>
      <c r="AJ150" s="221"/>
      <c r="AK150" s="221"/>
      <c r="AL150" s="221"/>
      <c r="AM150" s="221"/>
      <c r="AN150" s="221"/>
      <c r="AO150" s="221"/>
      <c r="AP150" s="221"/>
      <c r="AQ150" s="221">
        <f t="shared" si="209"/>
        <v>2991000</v>
      </c>
      <c r="AR150" s="224">
        <f t="shared" ref="AR150" si="245">AQ150/F150/100</f>
        <v>1.3205298013245035E-3</v>
      </c>
      <c r="AS150" s="225">
        <f>F150-AQ150</f>
        <v>19659000</v>
      </c>
      <c r="AT150" s="224">
        <f>AS150/F150*100</f>
        <v>86.794701986754959</v>
      </c>
      <c r="AU150" s="220" t="s">
        <v>542</v>
      </c>
      <c r="AV150" s="220" t="s">
        <v>543</v>
      </c>
      <c r="AW150" s="220" t="s">
        <v>4732</v>
      </c>
      <c r="AX150" s="221"/>
      <c r="AY150" s="221">
        <v>1498000</v>
      </c>
      <c r="AZ150" s="302"/>
      <c r="BA150" s="302"/>
      <c r="BB150" s="302"/>
      <c r="BC150" s="302"/>
      <c r="BD150" s="302">
        <v>1493000</v>
      </c>
      <c r="BE150" s="302"/>
    </row>
    <row r="151" spans="2:57" x14ac:dyDescent="0.3">
      <c r="B151" s="288">
        <v>521219</v>
      </c>
      <c r="C151" s="220" t="s">
        <v>53</v>
      </c>
      <c r="D151" s="220"/>
      <c r="E151" s="220"/>
      <c r="F151" s="221">
        <v>1000000</v>
      </c>
      <c r="G151" s="221"/>
      <c r="H151" s="221"/>
      <c r="I151" s="221"/>
      <c r="J151" s="221"/>
      <c r="K151" s="221"/>
      <c r="L151" s="221"/>
      <c r="M151" s="221"/>
      <c r="N151" s="221"/>
      <c r="O151" s="221">
        <v>346915</v>
      </c>
      <c r="P151" s="221"/>
      <c r="Q151" s="221"/>
      <c r="R151" s="221"/>
      <c r="S151" s="221"/>
      <c r="T151" s="221"/>
      <c r="U151" s="221">
        <v>355980</v>
      </c>
      <c r="V151" s="221"/>
      <c r="W151" s="221"/>
      <c r="X151" s="221"/>
      <c r="Y151" s="221"/>
      <c r="Z151" s="221"/>
      <c r="AA151" s="221"/>
      <c r="AB151" s="221"/>
      <c r="AC151" s="221"/>
      <c r="AD151" s="221"/>
      <c r="AE151" s="221"/>
      <c r="AF151" s="221"/>
      <c r="AG151" s="221"/>
      <c r="AH151" s="221"/>
      <c r="AI151" s="221"/>
      <c r="AJ151" s="221"/>
      <c r="AK151" s="221"/>
      <c r="AL151" s="221"/>
      <c r="AM151" s="221"/>
      <c r="AN151" s="221"/>
      <c r="AO151" s="221"/>
      <c r="AP151" s="221"/>
      <c r="AQ151" s="221">
        <f t="shared" ref="AQ151:AQ153" si="246">SUM(G151:AP151)</f>
        <v>702895</v>
      </c>
      <c r="AR151" s="224">
        <f t="shared" ref="AR151:AR154" si="247">AQ151/F151/100</f>
        <v>7.0289500000000008E-3</v>
      </c>
      <c r="AS151" s="225">
        <f t="shared" ref="AS151:AS154" si="248">F151-AQ151</f>
        <v>297105</v>
      </c>
      <c r="AT151" s="224">
        <f t="shared" ref="AT151:AT153" si="249">AS151/F151*100</f>
        <v>29.7105</v>
      </c>
      <c r="AU151" s="220" t="s">
        <v>542</v>
      </c>
      <c r="AV151" s="220" t="s">
        <v>543</v>
      </c>
      <c r="AW151" s="391" t="s">
        <v>4732</v>
      </c>
      <c r="AX151" s="221"/>
      <c r="AY151" s="221">
        <v>346915</v>
      </c>
      <c r="AZ151" s="302"/>
      <c r="BA151" s="221"/>
      <c r="BB151" s="221"/>
      <c r="BC151" s="221"/>
      <c r="BD151" s="221">
        <v>355980</v>
      </c>
      <c r="BE151" s="221"/>
    </row>
    <row r="152" spans="2:57" x14ac:dyDescent="0.3">
      <c r="B152" s="288">
        <v>521811</v>
      </c>
      <c r="C152" s="220" t="s">
        <v>64</v>
      </c>
      <c r="D152" s="220"/>
      <c r="E152" s="220"/>
      <c r="F152" s="221">
        <v>15000000</v>
      </c>
      <c r="G152" s="221"/>
      <c r="H152" s="221"/>
      <c r="I152" s="221"/>
      <c r="J152" s="221"/>
      <c r="K152" s="221"/>
      <c r="L152" s="221"/>
      <c r="M152" s="221"/>
      <c r="N152" s="221"/>
      <c r="O152" s="221">
        <v>2459000</v>
      </c>
      <c r="P152" s="221"/>
      <c r="Q152" s="221"/>
      <c r="R152" s="221"/>
      <c r="S152" s="221"/>
      <c r="T152" s="221"/>
      <c r="U152" s="221">
        <v>2390000</v>
      </c>
      <c r="V152" s="221"/>
      <c r="W152" s="221"/>
      <c r="X152" s="221"/>
      <c r="Y152" s="221"/>
      <c r="Z152" s="221"/>
      <c r="AA152" s="221"/>
      <c r="AB152" s="221"/>
      <c r="AC152" s="221"/>
      <c r="AD152" s="221"/>
      <c r="AE152" s="221"/>
      <c r="AF152" s="221"/>
      <c r="AG152" s="221"/>
      <c r="AH152" s="221"/>
      <c r="AI152" s="221"/>
      <c r="AJ152" s="221"/>
      <c r="AK152" s="221"/>
      <c r="AL152" s="221"/>
      <c r="AM152" s="221"/>
      <c r="AN152" s="221"/>
      <c r="AO152" s="221"/>
      <c r="AP152" s="221"/>
      <c r="AQ152" s="221">
        <f>SUM(G152:AP152)</f>
        <v>4849000</v>
      </c>
      <c r="AR152" s="224">
        <f t="shared" si="247"/>
        <v>3.2326666666666667E-3</v>
      </c>
      <c r="AS152" s="225">
        <f t="shared" si="248"/>
        <v>10151000</v>
      </c>
      <c r="AT152" s="224">
        <f t="shared" si="249"/>
        <v>67.673333333333332</v>
      </c>
      <c r="AU152" s="220" t="s">
        <v>542</v>
      </c>
      <c r="AV152" s="220" t="s">
        <v>543</v>
      </c>
      <c r="AW152" s="220" t="s">
        <v>4732</v>
      </c>
      <c r="AX152" s="221"/>
      <c r="AY152" s="221">
        <v>2459000</v>
      </c>
      <c r="AZ152" s="302"/>
      <c r="BA152" s="221"/>
      <c r="BB152" s="221"/>
      <c r="BC152" s="221"/>
      <c r="BD152" s="221">
        <v>2390000</v>
      </c>
      <c r="BE152" s="221"/>
    </row>
    <row r="153" spans="2:57" x14ac:dyDescent="0.3">
      <c r="B153" s="288">
        <v>524111</v>
      </c>
      <c r="C153" s="220" t="s">
        <v>19</v>
      </c>
      <c r="D153" s="220"/>
      <c r="E153" s="220"/>
      <c r="F153" s="221">
        <v>62400000</v>
      </c>
      <c r="G153" s="221"/>
      <c r="H153" s="221"/>
      <c r="I153" s="221"/>
      <c r="J153" s="221">
        <v>1010000</v>
      </c>
      <c r="K153" s="221"/>
      <c r="L153" s="221"/>
      <c r="M153" s="221"/>
      <c r="N153" s="302">
        <v>2805000</v>
      </c>
      <c r="O153" s="221"/>
      <c r="P153" s="221"/>
      <c r="Q153" s="221"/>
      <c r="R153" s="221"/>
      <c r="S153" s="221">
        <f>900500+448000</f>
        <v>1348500</v>
      </c>
      <c r="T153" s="221"/>
      <c r="U153" s="221"/>
      <c r="V153" s="221"/>
      <c r="W153" s="221"/>
      <c r="X153" s="221"/>
      <c r="Y153" s="221"/>
      <c r="Z153" s="221"/>
      <c r="AA153" s="221"/>
      <c r="AB153" s="221"/>
      <c r="AC153" s="221"/>
      <c r="AD153" s="221"/>
      <c r="AE153" s="221"/>
      <c r="AF153" s="221"/>
      <c r="AG153" s="221"/>
      <c r="AH153" s="221"/>
      <c r="AI153" s="221"/>
      <c r="AJ153" s="221"/>
      <c r="AK153" s="221"/>
      <c r="AL153" s="221"/>
      <c r="AM153" s="221"/>
      <c r="AN153" s="221"/>
      <c r="AO153" s="221"/>
      <c r="AP153" s="221"/>
      <c r="AQ153" s="221">
        <f t="shared" si="246"/>
        <v>5163500</v>
      </c>
      <c r="AR153" s="224">
        <f t="shared" si="247"/>
        <v>8.2748397435897431E-4</v>
      </c>
      <c r="AS153" s="225">
        <f t="shared" si="248"/>
        <v>57236500</v>
      </c>
      <c r="AT153" s="224">
        <f t="shared" si="249"/>
        <v>91.725160256410248</v>
      </c>
      <c r="AU153" s="220" t="s">
        <v>542</v>
      </c>
      <c r="AV153" s="220" t="s">
        <v>543</v>
      </c>
      <c r="AW153" s="220" t="s">
        <v>4732</v>
      </c>
      <c r="AX153" s="221"/>
      <c r="AY153" s="221"/>
      <c r="AZ153" s="302">
        <v>2805000</v>
      </c>
      <c r="BA153" s="221"/>
      <c r="BB153" s="221"/>
      <c r="BC153" s="221"/>
      <c r="BD153" s="221"/>
      <c r="BE153" s="221"/>
    </row>
    <row r="154" spans="2:57" x14ac:dyDescent="0.3">
      <c r="B154" s="290" t="s">
        <v>511</v>
      </c>
      <c r="C154" s="222" t="s">
        <v>130</v>
      </c>
      <c r="D154" s="222"/>
      <c r="E154" s="222"/>
      <c r="F154" s="223">
        <f t="shared" ref="F154:AP154" si="250">SUM(F155:F159)</f>
        <v>345988000</v>
      </c>
      <c r="G154" s="223">
        <f t="shared" si="250"/>
        <v>0</v>
      </c>
      <c r="H154" s="223">
        <f t="shared" si="250"/>
        <v>0</v>
      </c>
      <c r="I154" s="223">
        <f t="shared" si="250"/>
        <v>0</v>
      </c>
      <c r="J154" s="223">
        <f t="shared" si="250"/>
        <v>0</v>
      </c>
      <c r="K154" s="223">
        <f t="shared" si="250"/>
        <v>0</v>
      </c>
      <c r="L154" s="223">
        <f t="shared" si="250"/>
        <v>0</v>
      </c>
      <c r="M154" s="223">
        <f t="shared" si="250"/>
        <v>0</v>
      </c>
      <c r="N154" s="223">
        <f t="shared" si="250"/>
        <v>0</v>
      </c>
      <c r="O154" s="223">
        <f t="shared" si="250"/>
        <v>7874000</v>
      </c>
      <c r="P154" s="223">
        <f t="shared" si="250"/>
        <v>205000</v>
      </c>
      <c r="Q154" s="223">
        <f t="shared" si="250"/>
        <v>0</v>
      </c>
      <c r="R154" s="223">
        <f t="shared" si="250"/>
        <v>0</v>
      </c>
      <c r="S154" s="223">
        <f t="shared" si="250"/>
        <v>4224000</v>
      </c>
      <c r="T154" s="223">
        <f t="shared" si="250"/>
        <v>0</v>
      </c>
      <c r="U154" s="223">
        <f t="shared" si="250"/>
        <v>7848000</v>
      </c>
      <c r="V154" s="223">
        <f t="shared" si="250"/>
        <v>0</v>
      </c>
      <c r="W154" s="223">
        <f t="shared" si="250"/>
        <v>0</v>
      </c>
      <c r="X154" s="223">
        <f t="shared" si="250"/>
        <v>0</v>
      </c>
      <c r="Y154" s="223">
        <f t="shared" si="250"/>
        <v>0</v>
      </c>
      <c r="Z154" s="223">
        <f t="shared" si="250"/>
        <v>0</v>
      </c>
      <c r="AA154" s="223">
        <f t="shared" si="250"/>
        <v>0</v>
      </c>
      <c r="AB154" s="223">
        <f t="shared" si="250"/>
        <v>0</v>
      </c>
      <c r="AC154" s="223">
        <f t="shared" si="250"/>
        <v>0</v>
      </c>
      <c r="AD154" s="223">
        <f t="shared" si="250"/>
        <v>0</v>
      </c>
      <c r="AE154" s="223">
        <f t="shared" si="250"/>
        <v>0</v>
      </c>
      <c r="AF154" s="223">
        <f t="shared" si="250"/>
        <v>0</v>
      </c>
      <c r="AG154" s="223">
        <f t="shared" si="250"/>
        <v>0</v>
      </c>
      <c r="AH154" s="223">
        <f t="shared" si="250"/>
        <v>0</v>
      </c>
      <c r="AI154" s="223">
        <f t="shared" si="250"/>
        <v>0</v>
      </c>
      <c r="AJ154" s="223">
        <f t="shared" si="250"/>
        <v>0</v>
      </c>
      <c r="AK154" s="223">
        <f t="shared" si="250"/>
        <v>0</v>
      </c>
      <c r="AL154" s="223">
        <f t="shared" si="250"/>
        <v>0</v>
      </c>
      <c r="AM154" s="223">
        <f t="shared" si="250"/>
        <v>0</v>
      </c>
      <c r="AN154" s="223">
        <f t="shared" si="250"/>
        <v>0</v>
      </c>
      <c r="AO154" s="223">
        <f t="shared" si="250"/>
        <v>0</v>
      </c>
      <c r="AP154" s="223">
        <f t="shared" si="250"/>
        <v>0</v>
      </c>
      <c r="AQ154" s="223">
        <f>SUM(G154:AP154)</f>
        <v>20151000</v>
      </c>
      <c r="AR154" s="231">
        <f t="shared" si="247"/>
        <v>5.8241904343503241E-4</v>
      </c>
      <c r="AS154" s="232">
        <f t="shared" si="248"/>
        <v>325837000</v>
      </c>
      <c r="AT154" s="231">
        <f>AS154/F154*100</f>
        <v>94.175809565649672</v>
      </c>
      <c r="AU154" s="220" t="s">
        <v>542</v>
      </c>
      <c r="AV154" s="220" t="s">
        <v>543</v>
      </c>
      <c r="AW154" s="220" t="s">
        <v>4732</v>
      </c>
      <c r="AX154" s="223">
        <f>SUM(AX155:AX159)</f>
        <v>0</v>
      </c>
      <c r="AY154" s="223">
        <f>SUM(AY155:AY159)</f>
        <v>7874000</v>
      </c>
      <c r="AZ154" s="223">
        <f>SUM(AZ155:AZ159)</f>
        <v>0</v>
      </c>
      <c r="BA154" s="223">
        <f t="shared" ref="BA154" si="251">SUM(BA155:BA159)</f>
        <v>0</v>
      </c>
      <c r="BB154" s="223">
        <f t="shared" ref="BB154" si="252">SUM(BB155:BB159)</f>
        <v>0</v>
      </c>
      <c r="BC154" s="223">
        <f t="shared" ref="BC154:BD154" si="253">SUM(BC155:BC159)</f>
        <v>0</v>
      </c>
      <c r="BD154" s="223">
        <f t="shared" si="253"/>
        <v>7848000</v>
      </c>
      <c r="BE154" s="223">
        <f t="shared" ref="BE154" si="254">SUM(BE155:BE159)</f>
        <v>0</v>
      </c>
    </row>
    <row r="155" spans="2:57" x14ac:dyDescent="0.3">
      <c r="B155" s="288">
        <v>521211</v>
      </c>
      <c r="C155" s="220" t="s">
        <v>7</v>
      </c>
      <c r="D155" s="220"/>
      <c r="E155" s="220"/>
      <c r="F155" s="221">
        <v>49300000</v>
      </c>
      <c r="G155" s="221"/>
      <c r="H155" s="221"/>
      <c r="I155" s="221"/>
      <c r="J155" s="221"/>
      <c r="K155" s="221"/>
      <c r="L155" s="221"/>
      <c r="M155" s="221"/>
      <c r="N155" s="221"/>
      <c r="O155" s="221">
        <v>2964000</v>
      </c>
      <c r="P155" s="221"/>
      <c r="Q155" s="221"/>
      <c r="R155" s="221"/>
      <c r="S155" s="221"/>
      <c r="T155" s="221"/>
      <c r="U155" s="221">
        <v>2975000</v>
      </c>
      <c r="V155" s="221"/>
      <c r="W155" s="221"/>
      <c r="X155" s="221"/>
      <c r="Y155" s="221"/>
      <c r="Z155" s="221"/>
      <c r="AA155" s="221"/>
      <c r="AB155" s="221"/>
      <c r="AC155" s="221"/>
      <c r="AD155" s="221"/>
      <c r="AE155" s="221"/>
      <c r="AF155" s="221"/>
      <c r="AG155" s="221"/>
      <c r="AH155" s="221"/>
      <c r="AI155" s="221"/>
      <c r="AJ155" s="221"/>
      <c r="AK155" s="221"/>
      <c r="AL155" s="221"/>
      <c r="AM155" s="221"/>
      <c r="AN155" s="221"/>
      <c r="AO155" s="221"/>
      <c r="AP155" s="221"/>
      <c r="AQ155" s="221">
        <f>SUM(G155:AP155)</f>
        <v>5939000</v>
      </c>
      <c r="AR155" s="224">
        <f t="shared" si="197"/>
        <v>1.2046653144016227E-3</v>
      </c>
      <c r="AS155" s="225">
        <f t="shared" ref="AS155:AS189" si="255">F155-AQ155</f>
        <v>43361000</v>
      </c>
      <c r="AT155" s="224">
        <f t="shared" si="198"/>
        <v>87.953346855983767</v>
      </c>
      <c r="AU155" s="220" t="s">
        <v>542</v>
      </c>
      <c r="AV155" s="220" t="s">
        <v>543</v>
      </c>
      <c r="AW155" s="220" t="s">
        <v>4732</v>
      </c>
      <c r="AX155" s="221"/>
      <c r="AY155" s="221">
        <v>2964000</v>
      </c>
      <c r="AZ155" s="302"/>
      <c r="BA155" s="221"/>
      <c r="BB155" s="221"/>
      <c r="BC155" s="221"/>
      <c r="BD155" s="221">
        <v>2975000</v>
      </c>
      <c r="BE155" s="221"/>
    </row>
    <row r="156" spans="2:57" x14ac:dyDescent="0.3">
      <c r="B156" s="288">
        <v>521219</v>
      </c>
      <c r="C156" s="220" t="s">
        <v>53</v>
      </c>
      <c r="D156" s="220"/>
      <c r="E156" s="220"/>
      <c r="F156" s="221">
        <v>1000000</v>
      </c>
      <c r="G156" s="221"/>
      <c r="H156" s="221"/>
      <c r="I156" s="221"/>
      <c r="J156" s="221"/>
      <c r="K156" s="221"/>
      <c r="L156" s="221"/>
      <c r="M156" s="221"/>
      <c r="N156" s="221"/>
      <c r="O156" s="221"/>
      <c r="P156" s="221"/>
      <c r="Q156" s="221"/>
      <c r="R156" s="221"/>
      <c r="S156" s="221"/>
      <c r="T156" s="221"/>
      <c r="U156" s="221"/>
      <c r="V156" s="221"/>
      <c r="W156" s="221"/>
      <c r="X156" s="221"/>
      <c r="Y156" s="221"/>
      <c r="Z156" s="221"/>
      <c r="AA156" s="221"/>
      <c r="AB156" s="221"/>
      <c r="AC156" s="221"/>
      <c r="AD156" s="221"/>
      <c r="AE156" s="221"/>
      <c r="AF156" s="221"/>
      <c r="AG156" s="221"/>
      <c r="AH156" s="221"/>
      <c r="AI156" s="221"/>
      <c r="AJ156" s="221"/>
      <c r="AK156" s="221"/>
      <c r="AL156" s="221"/>
      <c r="AM156" s="221"/>
      <c r="AN156" s="221"/>
      <c r="AO156" s="221"/>
      <c r="AP156" s="221"/>
      <c r="AQ156" s="221">
        <f t="shared" ref="AQ156:AQ189" si="256">SUM(G156:AP156)</f>
        <v>0</v>
      </c>
      <c r="AR156" s="224">
        <f t="shared" si="197"/>
        <v>0</v>
      </c>
      <c r="AS156" s="225">
        <f t="shared" si="255"/>
        <v>1000000</v>
      </c>
      <c r="AT156" s="224">
        <f t="shared" si="198"/>
        <v>100</v>
      </c>
      <c r="AU156" s="220" t="s">
        <v>542</v>
      </c>
      <c r="AV156" s="220" t="s">
        <v>543</v>
      </c>
      <c r="AW156" s="391" t="s">
        <v>4732</v>
      </c>
      <c r="AX156" s="221"/>
      <c r="AY156" s="221"/>
      <c r="AZ156" s="302"/>
      <c r="BA156" s="221"/>
      <c r="BB156" s="221"/>
      <c r="BC156" s="221"/>
      <c r="BD156" s="221"/>
      <c r="BE156" s="221"/>
    </row>
    <row r="157" spans="2:57" x14ac:dyDescent="0.3">
      <c r="B157" s="288">
        <v>521811</v>
      </c>
      <c r="C157" s="220" t="s">
        <v>64</v>
      </c>
      <c r="D157" s="220"/>
      <c r="E157" s="220"/>
      <c r="F157" s="221">
        <v>25000000</v>
      </c>
      <c r="G157" s="221"/>
      <c r="H157" s="221"/>
      <c r="I157" s="221"/>
      <c r="J157" s="221"/>
      <c r="K157" s="221"/>
      <c r="L157" s="221"/>
      <c r="M157" s="221"/>
      <c r="N157" s="221"/>
      <c r="O157" s="221">
        <v>4910000</v>
      </c>
      <c r="P157" s="221"/>
      <c r="Q157" s="221"/>
      <c r="R157" s="221"/>
      <c r="S157" s="221"/>
      <c r="T157" s="221"/>
      <c r="U157" s="221">
        <v>4873000</v>
      </c>
      <c r="V157" s="221"/>
      <c r="W157" s="221"/>
      <c r="X157" s="221"/>
      <c r="Y157" s="221"/>
      <c r="Z157" s="221"/>
      <c r="AA157" s="221"/>
      <c r="AB157" s="221"/>
      <c r="AC157" s="221"/>
      <c r="AD157" s="221"/>
      <c r="AE157" s="221"/>
      <c r="AF157" s="221"/>
      <c r="AG157" s="221"/>
      <c r="AH157" s="221"/>
      <c r="AI157" s="221"/>
      <c r="AJ157" s="221"/>
      <c r="AK157" s="221"/>
      <c r="AL157" s="221"/>
      <c r="AM157" s="221"/>
      <c r="AN157" s="221"/>
      <c r="AO157" s="221"/>
      <c r="AP157" s="221"/>
      <c r="AQ157" s="221">
        <f t="shared" si="256"/>
        <v>9783000</v>
      </c>
      <c r="AR157" s="224">
        <f t="shared" si="197"/>
        <v>3.9132000000000004E-3</v>
      </c>
      <c r="AS157" s="225">
        <f t="shared" si="255"/>
        <v>15217000</v>
      </c>
      <c r="AT157" s="224">
        <f t="shared" si="198"/>
        <v>60.868000000000002</v>
      </c>
      <c r="AU157" s="220" t="s">
        <v>542</v>
      </c>
      <c r="AV157" s="220" t="s">
        <v>543</v>
      </c>
      <c r="AW157" s="220" t="s">
        <v>4732</v>
      </c>
      <c r="AX157" s="221"/>
      <c r="AY157" s="221">
        <v>4910000</v>
      </c>
      <c r="AZ157" s="302"/>
      <c r="BA157" s="221"/>
      <c r="BB157" s="221"/>
      <c r="BC157" s="221"/>
      <c r="BD157" s="221">
        <v>4873000</v>
      </c>
      <c r="BE157" s="221"/>
    </row>
    <row r="158" spans="2:57" x14ac:dyDescent="0.3">
      <c r="B158" s="288">
        <v>522151</v>
      </c>
      <c r="C158" s="220" t="s">
        <v>11</v>
      </c>
      <c r="D158" s="220"/>
      <c r="E158" s="220"/>
      <c r="F158" s="221">
        <v>12000000</v>
      </c>
      <c r="G158" s="221"/>
      <c r="H158" s="221"/>
      <c r="I158" s="221"/>
      <c r="J158" s="221"/>
      <c r="K158" s="221"/>
      <c r="L158" s="221"/>
      <c r="M158" s="221"/>
      <c r="N158" s="221"/>
      <c r="O158" s="221"/>
      <c r="P158" s="221"/>
      <c r="Q158" s="221"/>
      <c r="R158" s="221"/>
      <c r="S158" s="221"/>
      <c r="T158" s="221"/>
      <c r="U158" s="221"/>
      <c r="V158" s="221"/>
      <c r="W158" s="221"/>
      <c r="X158" s="221"/>
      <c r="Y158" s="221"/>
      <c r="Z158" s="221"/>
      <c r="AA158" s="221"/>
      <c r="AB158" s="221"/>
      <c r="AC158" s="221"/>
      <c r="AD158" s="221"/>
      <c r="AE158" s="221"/>
      <c r="AF158" s="221"/>
      <c r="AG158" s="221"/>
      <c r="AH158" s="221"/>
      <c r="AI158" s="221"/>
      <c r="AJ158" s="221"/>
      <c r="AK158" s="221"/>
      <c r="AL158" s="221"/>
      <c r="AM158" s="221"/>
      <c r="AN158" s="221"/>
      <c r="AO158" s="221"/>
      <c r="AP158" s="221"/>
      <c r="AQ158" s="221">
        <f t="shared" si="256"/>
        <v>0</v>
      </c>
      <c r="AR158" s="224">
        <f t="shared" si="197"/>
        <v>0</v>
      </c>
      <c r="AS158" s="225">
        <f t="shared" si="255"/>
        <v>12000000</v>
      </c>
      <c r="AT158" s="224">
        <f t="shared" si="198"/>
        <v>100</v>
      </c>
      <c r="AU158" s="220" t="s">
        <v>542</v>
      </c>
      <c r="AV158" s="220" t="s">
        <v>543</v>
      </c>
      <c r="AW158" s="220" t="s">
        <v>4732</v>
      </c>
      <c r="AX158" s="221"/>
      <c r="AY158" s="221"/>
      <c r="AZ158" s="302"/>
      <c r="BA158" s="221"/>
      <c r="BB158" s="221"/>
      <c r="BC158" s="221"/>
      <c r="BD158" s="221"/>
      <c r="BE158" s="221"/>
    </row>
    <row r="159" spans="2:57" x14ac:dyDescent="0.3">
      <c r="B159" s="288">
        <v>524111</v>
      </c>
      <c r="C159" s="220" t="s">
        <v>19</v>
      </c>
      <c r="D159" s="220"/>
      <c r="E159" s="220"/>
      <c r="F159" s="221">
        <v>258688000</v>
      </c>
      <c r="G159" s="221"/>
      <c r="H159" s="221"/>
      <c r="I159" s="221"/>
      <c r="J159" s="221"/>
      <c r="K159" s="221"/>
      <c r="L159" s="221"/>
      <c r="M159" s="221"/>
      <c r="N159" s="221"/>
      <c r="O159" s="221"/>
      <c r="P159" s="221">
        <v>205000</v>
      </c>
      <c r="Q159" s="221"/>
      <c r="R159" s="221"/>
      <c r="S159" s="221">
        <f>1040000+3184000</f>
        <v>4224000</v>
      </c>
      <c r="T159" s="221"/>
      <c r="U159" s="221"/>
      <c r="V159" s="221"/>
      <c r="W159" s="221"/>
      <c r="X159" s="221"/>
      <c r="Y159" s="221"/>
      <c r="Z159" s="221"/>
      <c r="AA159" s="221"/>
      <c r="AB159" s="221"/>
      <c r="AC159" s="221"/>
      <c r="AD159" s="221"/>
      <c r="AE159" s="221"/>
      <c r="AF159" s="221"/>
      <c r="AG159" s="221"/>
      <c r="AH159" s="221"/>
      <c r="AI159" s="221"/>
      <c r="AJ159" s="221"/>
      <c r="AK159" s="221"/>
      <c r="AL159" s="221"/>
      <c r="AM159" s="221"/>
      <c r="AN159" s="221"/>
      <c r="AO159" s="221"/>
      <c r="AP159" s="221"/>
      <c r="AQ159" s="221">
        <f t="shared" si="256"/>
        <v>4429000</v>
      </c>
      <c r="AR159" s="224">
        <f t="shared" si="197"/>
        <v>1.7121010638297872E-4</v>
      </c>
      <c r="AS159" s="225">
        <f t="shared" si="255"/>
        <v>254259000</v>
      </c>
      <c r="AT159" s="224">
        <f t="shared" si="198"/>
        <v>98.287898936170208</v>
      </c>
      <c r="AU159" s="220" t="s">
        <v>542</v>
      </c>
      <c r="AV159" s="220" t="s">
        <v>543</v>
      </c>
      <c r="AW159" s="220" t="s">
        <v>4732</v>
      </c>
      <c r="AX159" s="221"/>
      <c r="AY159" s="221"/>
      <c r="AZ159" s="302"/>
      <c r="BA159" s="221"/>
      <c r="BB159" s="221"/>
      <c r="BC159" s="221"/>
      <c r="BD159" s="221"/>
      <c r="BE159" s="221"/>
    </row>
    <row r="160" spans="2:57" x14ac:dyDescent="0.3">
      <c r="B160" s="290" t="s">
        <v>512</v>
      </c>
      <c r="C160" s="222" t="s">
        <v>131</v>
      </c>
      <c r="D160" s="222"/>
      <c r="E160" s="222"/>
      <c r="F160" s="223">
        <f t="shared" ref="F160:AP160" si="257">SUM(F161:F164)</f>
        <v>168100000</v>
      </c>
      <c r="G160" s="223">
        <f t="shared" si="257"/>
        <v>0</v>
      </c>
      <c r="H160" s="223">
        <f t="shared" si="257"/>
        <v>0</v>
      </c>
      <c r="I160" s="223">
        <f t="shared" si="257"/>
        <v>0</v>
      </c>
      <c r="J160" s="223">
        <f t="shared" si="257"/>
        <v>9587800</v>
      </c>
      <c r="K160" s="223">
        <f t="shared" si="257"/>
        <v>0</v>
      </c>
      <c r="L160" s="223">
        <f t="shared" si="257"/>
        <v>0</v>
      </c>
      <c r="M160" s="223">
        <f t="shared" si="257"/>
        <v>0</v>
      </c>
      <c r="N160" s="223">
        <f t="shared" si="257"/>
        <v>5040000</v>
      </c>
      <c r="O160" s="223">
        <f t="shared" si="257"/>
        <v>25252750</v>
      </c>
      <c r="P160" s="223">
        <f t="shared" si="257"/>
        <v>6330000</v>
      </c>
      <c r="Q160" s="223">
        <f t="shared" si="257"/>
        <v>0</v>
      </c>
      <c r="R160" s="223">
        <f t="shared" si="257"/>
        <v>0</v>
      </c>
      <c r="S160" s="223">
        <f t="shared" si="257"/>
        <v>3600000</v>
      </c>
      <c r="T160" s="223">
        <f t="shared" si="257"/>
        <v>0</v>
      </c>
      <c r="U160" s="223">
        <f t="shared" si="257"/>
        <v>7811500</v>
      </c>
      <c r="V160" s="223">
        <f t="shared" si="257"/>
        <v>10500000</v>
      </c>
      <c r="W160" s="223">
        <f t="shared" si="257"/>
        <v>0</v>
      </c>
      <c r="X160" s="223">
        <f t="shared" si="257"/>
        <v>0</v>
      </c>
      <c r="Y160" s="223">
        <f t="shared" si="257"/>
        <v>0</v>
      </c>
      <c r="Z160" s="223">
        <f t="shared" si="257"/>
        <v>0</v>
      </c>
      <c r="AA160" s="223">
        <f t="shared" si="257"/>
        <v>0</v>
      </c>
      <c r="AB160" s="223">
        <f t="shared" si="257"/>
        <v>0</v>
      </c>
      <c r="AC160" s="223">
        <f t="shared" si="257"/>
        <v>0</v>
      </c>
      <c r="AD160" s="223">
        <f t="shared" si="257"/>
        <v>0</v>
      </c>
      <c r="AE160" s="223">
        <f t="shared" si="257"/>
        <v>0</v>
      </c>
      <c r="AF160" s="223">
        <f t="shared" si="257"/>
        <v>0</v>
      </c>
      <c r="AG160" s="223">
        <f t="shared" si="257"/>
        <v>0</v>
      </c>
      <c r="AH160" s="223">
        <f t="shared" si="257"/>
        <v>0</v>
      </c>
      <c r="AI160" s="223">
        <f t="shared" si="257"/>
        <v>0</v>
      </c>
      <c r="AJ160" s="223">
        <f t="shared" si="257"/>
        <v>0</v>
      </c>
      <c r="AK160" s="223">
        <f t="shared" si="257"/>
        <v>0</v>
      </c>
      <c r="AL160" s="223">
        <f t="shared" si="257"/>
        <v>0</v>
      </c>
      <c r="AM160" s="223">
        <f t="shared" si="257"/>
        <v>0</v>
      </c>
      <c r="AN160" s="223">
        <f t="shared" si="257"/>
        <v>0</v>
      </c>
      <c r="AO160" s="223">
        <f t="shared" si="257"/>
        <v>0</v>
      </c>
      <c r="AP160" s="223">
        <f t="shared" si="257"/>
        <v>0</v>
      </c>
      <c r="AQ160" s="223">
        <f t="shared" si="256"/>
        <v>68122050</v>
      </c>
      <c r="AR160" s="231">
        <f t="shared" si="197"/>
        <v>4.0524717430101128E-3</v>
      </c>
      <c r="AS160" s="232">
        <f t="shared" si="255"/>
        <v>99977950</v>
      </c>
      <c r="AT160" s="231">
        <f t="shared" si="198"/>
        <v>59.475282569898866</v>
      </c>
      <c r="AU160" s="220" t="s">
        <v>542</v>
      </c>
      <c r="AV160" s="220" t="s">
        <v>543</v>
      </c>
      <c r="AW160" s="220" t="s">
        <v>4732</v>
      </c>
      <c r="AX160" s="223">
        <f t="shared" ref="AX160:BA160" si="258">SUM(AX161:AX164)</f>
        <v>0</v>
      </c>
      <c r="AY160" s="223">
        <f t="shared" si="258"/>
        <v>25252750</v>
      </c>
      <c r="AZ160" s="223">
        <f t="shared" si="258"/>
        <v>5040000</v>
      </c>
      <c r="BA160" s="223">
        <f t="shared" si="258"/>
        <v>0</v>
      </c>
      <c r="BB160" s="223">
        <f t="shared" ref="BB160" si="259">SUM(BB161:BB164)</f>
        <v>0</v>
      </c>
      <c r="BC160" s="223">
        <f t="shared" ref="BC160:BD160" si="260">SUM(BC161:BC164)</f>
        <v>0</v>
      </c>
      <c r="BD160" s="223">
        <f t="shared" si="260"/>
        <v>7811500</v>
      </c>
      <c r="BE160" s="223">
        <f t="shared" ref="BE160" si="261">SUM(BE161:BE164)</f>
        <v>0</v>
      </c>
    </row>
    <row r="161" spans="2:57" x14ac:dyDescent="0.3">
      <c r="B161" s="288">
        <v>521211</v>
      </c>
      <c r="C161" s="220" t="s">
        <v>7</v>
      </c>
      <c r="D161" s="220"/>
      <c r="E161" s="220"/>
      <c r="F161" s="221">
        <v>39500000</v>
      </c>
      <c r="G161" s="221"/>
      <c r="H161" s="221"/>
      <c r="I161" s="221"/>
      <c r="J161" s="221"/>
      <c r="K161" s="221"/>
      <c r="L161" s="221"/>
      <c r="M161" s="221"/>
      <c r="N161" s="221"/>
      <c r="O161" s="221">
        <v>2955000</v>
      </c>
      <c r="P161" s="221"/>
      <c r="Q161" s="221"/>
      <c r="R161" s="221"/>
      <c r="S161" s="221"/>
      <c r="T161" s="221"/>
      <c r="U161" s="221">
        <v>2933500</v>
      </c>
      <c r="V161" s="221">
        <v>10500000</v>
      </c>
      <c r="W161" s="221"/>
      <c r="X161" s="221"/>
      <c r="Y161" s="221"/>
      <c r="Z161" s="221"/>
      <c r="AA161" s="221"/>
      <c r="AB161" s="221"/>
      <c r="AC161" s="221"/>
      <c r="AD161" s="221"/>
      <c r="AE161" s="221"/>
      <c r="AF161" s="221"/>
      <c r="AG161" s="221"/>
      <c r="AH161" s="221"/>
      <c r="AI161" s="221"/>
      <c r="AJ161" s="221"/>
      <c r="AK161" s="221"/>
      <c r="AL161" s="221"/>
      <c r="AM161" s="221"/>
      <c r="AN161" s="221"/>
      <c r="AO161" s="221"/>
      <c r="AP161" s="221"/>
      <c r="AQ161" s="221">
        <f t="shared" si="256"/>
        <v>16388500</v>
      </c>
      <c r="AR161" s="224">
        <f t="shared" si="197"/>
        <v>4.1489873417721521E-3</v>
      </c>
      <c r="AS161" s="225">
        <f t="shared" si="255"/>
        <v>23111500</v>
      </c>
      <c r="AT161" s="224">
        <f t="shared" si="198"/>
        <v>58.510126582278474</v>
      </c>
      <c r="AU161" s="220" t="s">
        <v>542</v>
      </c>
      <c r="AV161" s="220" t="s">
        <v>543</v>
      </c>
      <c r="AW161" s="220" t="s">
        <v>4732</v>
      </c>
      <c r="AX161" s="221"/>
      <c r="AY161" s="221">
        <v>2955000</v>
      </c>
      <c r="AZ161" s="302"/>
      <c r="BA161" s="221"/>
      <c r="BB161" s="221"/>
      <c r="BC161" s="221"/>
      <c r="BD161" s="221">
        <v>2933500</v>
      </c>
      <c r="BE161" s="221"/>
    </row>
    <row r="162" spans="2:57" x14ac:dyDescent="0.3">
      <c r="B162" s="288">
        <v>521811</v>
      </c>
      <c r="C162" s="220" t="s">
        <v>64</v>
      </c>
      <c r="D162" s="220"/>
      <c r="E162" s="220"/>
      <c r="F162" s="221">
        <v>25000000</v>
      </c>
      <c r="G162" s="221"/>
      <c r="H162" s="221"/>
      <c r="I162" s="221"/>
      <c r="J162" s="221"/>
      <c r="K162" s="221"/>
      <c r="L162" s="221"/>
      <c r="M162" s="221"/>
      <c r="N162" s="221"/>
      <c r="O162" s="221">
        <v>4947750</v>
      </c>
      <c r="P162" s="221"/>
      <c r="Q162" s="221"/>
      <c r="R162" s="221"/>
      <c r="S162" s="221"/>
      <c r="T162" s="221"/>
      <c r="U162" s="221">
        <v>4878000</v>
      </c>
      <c r="V162" s="221"/>
      <c r="W162" s="221"/>
      <c r="X162" s="221"/>
      <c r="Y162" s="221"/>
      <c r="Z162" s="221"/>
      <c r="AA162" s="221"/>
      <c r="AB162" s="221"/>
      <c r="AC162" s="221"/>
      <c r="AD162" s="221"/>
      <c r="AE162" s="221"/>
      <c r="AF162" s="221"/>
      <c r="AG162" s="221"/>
      <c r="AH162" s="221"/>
      <c r="AI162" s="221"/>
      <c r="AJ162" s="221"/>
      <c r="AK162" s="221"/>
      <c r="AL162" s="221"/>
      <c r="AM162" s="221"/>
      <c r="AN162" s="221"/>
      <c r="AO162" s="221"/>
      <c r="AP162" s="221"/>
      <c r="AQ162" s="221">
        <f t="shared" si="256"/>
        <v>9825750</v>
      </c>
      <c r="AR162" s="224">
        <f t="shared" si="197"/>
        <v>3.9303000000000003E-3</v>
      </c>
      <c r="AS162" s="225">
        <f t="shared" si="255"/>
        <v>15174250</v>
      </c>
      <c r="AT162" s="224">
        <f t="shared" si="198"/>
        <v>60.697000000000003</v>
      </c>
      <c r="AU162" s="220" t="s">
        <v>542</v>
      </c>
      <c r="AV162" s="220" t="s">
        <v>543</v>
      </c>
      <c r="AW162" s="220" t="s">
        <v>4732</v>
      </c>
      <c r="AX162" s="221"/>
      <c r="AY162" s="221">
        <v>4947750</v>
      </c>
      <c r="AZ162" s="302"/>
      <c r="BA162" s="221"/>
      <c r="BB162" s="221"/>
      <c r="BC162" s="221"/>
      <c r="BD162" s="221">
        <v>4878000</v>
      </c>
      <c r="BE162" s="221"/>
    </row>
    <row r="163" spans="2:57" x14ac:dyDescent="0.3">
      <c r="B163" s="288">
        <v>522151</v>
      </c>
      <c r="C163" s="220" t="s">
        <v>11</v>
      </c>
      <c r="D163" s="220"/>
      <c r="E163" s="220"/>
      <c r="F163" s="221">
        <v>10000000</v>
      </c>
      <c r="G163" s="221"/>
      <c r="H163" s="221"/>
      <c r="I163" s="221"/>
      <c r="J163" s="221"/>
      <c r="K163" s="221"/>
      <c r="L163" s="221"/>
      <c r="M163" s="221"/>
      <c r="N163" s="221"/>
      <c r="O163" s="221"/>
      <c r="P163" s="221"/>
      <c r="Q163" s="221"/>
      <c r="R163" s="221"/>
      <c r="S163" s="221"/>
      <c r="T163" s="221"/>
      <c r="U163" s="221"/>
      <c r="V163" s="221"/>
      <c r="W163" s="221"/>
      <c r="X163" s="221"/>
      <c r="Y163" s="221"/>
      <c r="Z163" s="221"/>
      <c r="AA163" s="221"/>
      <c r="AB163" s="221"/>
      <c r="AC163" s="221"/>
      <c r="AD163" s="221"/>
      <c r="AE163" s="221"/>
      <c r="AF163" s="221"/>
      <c r="AG163" s="221"/>
      <c r="AH163" s="221"/>
      <c r="AI163" s="221"/>
      <c r="AJ163" s="221"/>
      <c r="AK163" s="221"/>
      <c r="AL163" s="221"/>
      <c r="AM163" s="221"/>
      <c r="AN163" s="221"/>
      <c r="AO163" s="221"/>
      <c r="AP163" s="221"/>
      <c r="AQ163" s="221">
        <f t="shared" si="256"/>
        <v>0</v>
      </c>
      <c r="AR163" s="224">
        <f t="shared" si="197"/>
        <v>0</v>
      </c>
      <c r="AS163" s="225">
        <f t="shared" si="255"/>
        <v>10000000</v>
      </c>
      <c r="AT163" s="224">
        <f t="shared" si="198"/>
        <v>100</v>
      </c>
      <c r="AU163" s="220" t="s">
        <v>542</v>
      </c>
      <c r="AV163" s="220" t="s">
        <v>543</v>
      </c>
      <c r="AW163" s="220" t="s">
        <v>4732</v>
      </c>
      <c r="AX163" s="221"/>
      <c r="AY163" s="221"/>
      <c r="AZ163" s="302"/>
      <c r="BA163" s="221"/>
      <c r="BB163" s="221"/>
      <c r="BC163" s="221"/>
      <c r="BD163" s="221"/>
      <c r="BE163" s="221"/>
    </row>
    <row r="164" spans="2:57" x14ac:dyDescent="0.3">
      <c r="B164" s="288">
        <v>524111</v>
      </c>
      <c r="C164" s="220" t="s">
        <v>19</v>
      </c>
      <c r="D164" s="220"/>
      <c r="E164" s="220"/>
      <c r="F164" s="221">
        <v>93600000</v>
      </c>
      <c r="G164" s="221"/>
      <c r="H164" s="221"/>
      <c r="I164" s="221"/>
      <c r="J164" s="221">
        <v>9587800</v>
      </c>
      <c r="K164" s="221"/>
      <c r="L164" s="221"/>
      <c r="M164" s="221"/>
      <c r="N164" s="302">
        <v>5040000</v>
      </c>
      <c r="O164" s="221">
        <v>17350000</v>
      </c>
      <c r="P164" s="221">
        <v>6330000</v>
      </c>
      <c r="Q164" s="221"/>
      <c r="R164" s="221"/>
      <c r="S164" s="221">
        <v>3600000</v>
      </c>
      <c r="T164" s="221"/>
      <c r="U164" s="221"/>
      <c r="V164" s="221"/>
      <c r="W164" s="221"/>
      <c r="X164" s="221"/>
      <c r="Y164" s="221"/>
      <c r="Z164" s="221"/>
      <c r="AA164" s="221"/>
      <c r="AB164" s="221"/>
      <c r="AC164" s="221"/>
      <c r="AD164" s="221"/>
      <c r="AE164" s="221"/>
      <c r="AF164" s="221"/>
      <c r="AG164" s="221"/>
      <c r="AH164" s="221"/>
      <c r="AI164" s="221"/>
      <c r="AJ164" s="221"/>
      <c r="AK164" s="221"/>
      <c r="AL164" s="221"/>
      <c r="AM164" s="221"/>
      <c r="AN164" s="221"/>
      <c r="AO164" s="221"/>
      <c r="AP164" s="221"/>
      <c r="AQ164" s="221">
        <f t="shared" si="256"/>
        <v>41907800</v>
      </c>
      <c r="AR164" s="224">
        <f t="shared" si="197"/>
        <v>4.4773290598290596E-3</v>
      </c>
      <c r="AS164" s="225">
        <f t="shared" si="255"/>
        <v>51692200</v>
      </c>
      <c r="AT164" s="224">
        <f t="shared" si="198"/>
        <v>55.226709401709407</v>
      </c>
      <c r="AU164" s="220" t="s">
        <v>542</v>
      </c>
      <c r="AV164" s="220" t="s">
        <v>543</v>
      </c>
      <c r="AW164" s="220" t="s">
        <v>4732</v>
      </c>
      <c r="AX164" s="221"/>
      <c r="AY164" s="221">
        <v>17350000</v>
      </c>
      <c r="AZ164" s="302">
        <v>5040000</v>
      </c>
      <c r="BA164" s="221"/>
      <c r="BB164" s="221"/>
      <c r="BC164" s="221"/>
      <c r="BD164" s="221"/>
      <c r="BE164" s="221"/>
    </row>
    <row r="165" spans="2:57" x14ac:dyDescent="0.3">
      <c r="B165" s="226" t="s">
        <v>4425</v>
      </c>
      <c r="C165" s="227" t="s">
        <v>2786</v>
      </c>
      <c r="D165" s="227">
        <v>2</v>
      </c>
      <c r="E165" s="227" t="s">
        <v>4315</v>
      </c>
      <c r="F165" s="228">
        <f>F166+F177</f>
        <v>633732000</v>
      </c>
      <c r="G165" s="228">
        <f t="shared" ref="G165:AP165" si="262">G166+G177</f>
        <v>0</v>
      </c>
      <c r="H165" s="228">
        <f t="shared" si="262"/>
        <v>0</v>
      </c>
      <c r="I165" s="228">
        <f t="shared" si="262"/>
        <v>0</v>
      </c>
      <c r="J165" s="228">
        <f t="shared" si="262"/>
        <v>0</v>
      </c>
      <c r="K165" s="228">
        <f t="shared" si="262"/>
        <v>0</v>
      </c>
      <c r="L165" s="228">
        <f t="shared" si="262"/>
        <v>0</v>
      </c>
      <c r="M165" s="228">
        <f t="shared" si="262"/>
        <v>0</v>
      </c>
      <c r="N165" s="228">
        <f t="shared" si="262"/>
        <v>4230000</v>
      </c>
      <c r="O165" s="228">
        <f t="shared" si="262"/>
        <v>5496528</v>
      </c>
      <c r="P165" s="228">
        <f t="shared" si="262"/>
        <v>16054500</v>
      </c>
      <c r="Q165" s="228">
        <f t="shared" si="262"/>
        <v>0</v>
      </c>
      <c r="R165" s="228">
        <f t="shared" si="262"/>
        <v>0</v>
      </c>
      <c r="S165" s="228">
        <f t="shared" si="262"/>
        <v>0</v>
      </c>
      <c r="T165" s="228">
        <f t="shared" si="262"/>
        <v>300383</v>
      </c>
      <c r="U165" s="228">
        <f t="shared" si="262"/>
        <v>36489355</v>
      </c>
      <c r="V165" s="228">
        <f t="shared" si="262"/>
        <v>40585531</v>
      </c>
      <c r="W165" s="228">
        <f t="shared" si="262"/>
        <v>0</v>
      </c>
      <c r="X165" s="228">
        <f t="shared" si="262"/>
        <v>2640000</v>
      </c>
      <c r="Y165" s="228">
        <f t="shared" si="262"/>
        <v>0</v>
      </c>
      <c r="Z165" s="228">
        <f t="shared" si="262"/>
        <v>0</v>
      </c>
      <c r="AA165" s="228">
        <f t="shared" si="262"/>
        <v>0</v>
      </c>
      <c r="AB165" s="228">
        <f t="shared" si="262"/>
        <v>0</v>
      </c>
      <c r="AC165" s="228">
        <f t="shared" si="262"/>
        <v>0</v>
      </c>
      <c r="AD165" s="228">
        <f t="shared" si="262"/>
        <v>0</v>
      </c>
      <c r="AE165" s="228">
        <f t="shared" si="262"/>
        <v>0</v>
      </c>
      <c r="AF165" s="228">
        <f t="shared" si="262"/>
        <v>0</v>
      </c>
      <c r="AG165" s="228">
        <f t="shared" si="262"/>
        <v>0</v>
      </c>
      <c r="AH165" s="228">
        <f t="shared" si="262"/>
        <v>0</v>
      </c>
      <c r="AI165" s="228">
        <f t="shared" si="262"/>
        <v>0</v>
      </c>
      <c r="AJ165" s="228">
        <f t="shared" si="262"/>
        <v>0</v>
      </c>
      <c r="AK165" s="228">
        <f t="shared" si="262"/>
        <v>0</v>
      </c>
      <c r="AL165" s="228">
        <f t="shared" si="262"/>
        <v>0</v>
      </c>
      <c r="AM165" s="228">
        <f t="shared" si="262"/>
        <v>0</v>
      </c>
      <c r="AN165" s="228">
        <f t="shared" si="262"/>
        <v>0</v>
      </c>
      <c r="AO165" s="228">
        <f t="shared" si="262"/>
        <v>0</v>
      </c>
      <c r="AP165" s="228">
        <f t="shared" si="262"/>
        <v>0</v>
      </c>
      <c r="AQ165" s="228">
        <f t="shared" si="256"/>
        <v>105796297</v>
      </c>
      <c r="AR165" s="229">
        <f t="shared" si="197"/>
        <v>1.6694169933031628E-3</v>
      </c>
      <c r="AS165" s="230">
        <f t="shared" si="255"/>
        <v>527935703</v>
      </c>
      <c r="AT165" s="229">
        <f t="shared" si="198"/>
        <v>83.305830066968369</v>
      </c>
      <c r="AU165" s="220"/>
      <c r="AV165" s="220"/>
      <c r="AW165" s="220" t="s">
        <v>4732</v>
      </c>
      <c r="AX165" s="228">
        <f t="shared" ref="AX165:AZ165" si="263">AX166+AX177</f>
        <v>0</v>
      </c>
      <c r="AY165" s="228">
        <f t="shared" si="263"/>
        <v>5496528</v>
      </c>
      <c r="AZ165" s="228">
        <f t="shared" si="263"/>
        <v>4230000</v>
      </c>
      <c r="BA165" s="228">
        <f t="shared" ref="BA165" si="264">BA166+BA177</f>
        <v>0</v>
      </c>
      <c r="BB165" s="228">
        <f t="shared" ref="BB165" si="265">BB166+BB177</f>
        <v>0</v>
      </c>
      <c r="BC165" s="228">
        <f t="shared" ref="BC165:BD165" si="266">BC166+BC177</f>
        <v>300383</v>
      </c>
      <c r="BD165" s="228">
        <f t="shared" si="266"/>
        <v>36489355</v>
      </c>
      <c r="BE165" s="228">
        <f t="shared" ref="BE165" si="267">BE166+BE177</f>
        <v>2640000</v>
      </c>
    </row>
    <row r="166" spans="2:57" x14ac:dyDescent="0.3">
      <c r="B166" s="226">
        <v>301</v>
      </c>
      <c r="C166" s="227" t="s">
        <v>3053</v>
      </c>
      <c r="D166" s="227"/>
      <c r="E166" s="227"/>
      <c r="F166" s="228">
        <f>F167+F171</f>
        <v>507200000</v>
      </c>
      <c r="G166" s="228">
        <f t="shared" ref="G166:AP166" si="268">G167+G171</f>
        <v>0</v>
      </c>
      <c r="H166" s="228">
        <f t="shared" si="268"/>
        <v>0</v>
      </c>
      <c r="I166" s="228">
        <f t="shared" si="268"/>
        <v>0</v>
      </c>
      <c r="J166" s="228">
        <f t="shared" si="268"/>
        <v>0</v>
      </c>
      <c r="K166" s="228">
        <f t="shared" si="268"/>
        <v>0</v>
      </c>
      <c r="L166" s="228">
        <f t="shared" si="268"/>
        <v>0</v>
      </c>
      <c r="M166" s="228">
        <f t="shared" si="268"/>
        <v>0</v>
      </c>
      <c r="N166" s="228">
        <f t="shared" si="268"/>
        <v>880000</v>
      </c>
      <c r="O166" s="228">
        <f t="shared" si="268"/>
        <v>2998528</v>
      </c>
      <c r="P166" s="228">
        <f t="shared" si="268"/>
        <v>524500</v>
      </c>
      <c r="Q166" s="228">
        <f t="shared" si="268"/>
        <v>0</v>
      </c>
      <c r="R166" s="228">
        <f t="shared" si="268"/>
        <v>0</v>
      </c>
      <c r="S166" s="228">
        <f t="shared" si="268"/>
        <v>0</v>
      </c>
      <c r="T166" s="228">
        <f t="shared" si="268"/>
        <v>300383</v>
      </c>
      <c r="U166" s="228">
        <f t="shared" si="268"/>
        <v>31503355</v>
      </c>
      <c r="V166" s="228">
        <f t="shared" si="268"/>
        <v>38467531</v>
      </c>
      <c r="W166" s="228">
        <f t="shared" si="268"/>
        <v>0</v>
      </c>
      <c r="X166" s="228">
        <f t="shared" si="268"/>
        <v>2640000</v>
      </c>
      <c r="Y166" s="228">
        <f t="shared" si="268"/>
        <v>0</v>
      </c>
      <c r="Z166" s="228">
        <f t="shared" si="268"/>
        <v>0</v>
      </c>
      <c r="AA166" s="228">
        <f t="shared" si="268"/>
        <v>0</v>
      </c>
      <c r="AB166" s="228">
        <f t="shared" si="268"/>
        <v>0</v>
      </c>
      <c r="AC166" s="228">
        <f t="shared" si="268"/>
        <v>0</v>
      </c>
      <c r="AD166" s="228">
        <f t="shared" si="268"/>
        <v>0</v>
      </c>
      <c r="AE166" s="228">
        <f t="shared" si="268"/>
        <v>0</v>
      </c>
      <c r="AF166" s="228">
        <f t="shared" si="268"/>
        <v>0</v>
      </c>
      <c r="AG166" s="228">
        <f t="shared" si="268"/>
        <v>0</v>
      </c>
      <c r="AH166" s="228">
        <f t="shared" si="268"/>
        <v>0</v>
      </c>
      <c r="AI166" s="228">
        <f t="shared" si="268"/>
        <v>0</v>
      </c>
      <c r="AJ166" s="228">
        <f t="shared" si="268"/>
        <v>0</v>
      </c>
      <c r="AK166" s="228">
        <f t="shared" si="268"/>
        <v>0</v>
      </c>
      <c r="AL166" s="228">
        <f t="shared" si="268"/>
        <v>0</v>
      </c>
      <c r="AM166" s="228">
        <f t="shared" si="268"/>
        <v>0</v>
      </c>
      <c r="AN166" s="228">
        <f t="shared" si="268"/>
        <v>0</v>
      </c>
      <c r="AO166" s="228">
        <f t="shared" si="268"/>
        <v>0</v>
      </c>
      <c r="AP166" s="228">
        <f t="shared" si="268"/>
        <v>0</v>
      </c>
      <c r="AQ166" s="228">
        <f t="shared" si="256"/>
        <v>77314297</v>
      </c>
      <c r="AR166" s="229">
        <f t="shared" si="197"/>
        <v>1.524335508675079E-3</v>
      </c>
      <c r="AS166" s="230">
        <f t="shared" si="255"/>
        <v>429885703</v>
      </c>
      <c r="AT166" s="229">
        <f t="shared" si="198"/>
        <v>84.756644913249218</v>
      </c>
      <c r="AU166" s="220" t="s">
        <v>542</v>
      </c>
      <c r="AV166" s="220" t="s">
        <v>591</v>
      </c>
      <c r="AW166" s="220" t="s">
        <v>4732</v>
      </c>
      <c r="AX166" s="228">
        <f t="shared" ref="AX166:AZ166" si="269">AX167+AX171</f>
        <v>0</v>
      </c>
      <c r="AY166" s="228">
        <f t="shared" si="269"/>
        <v>2998528</v>
      </c>
      <c r="AZ166" s="228">
        <f t="shared" si="269"/>
        <v>880000</v>
      </c>
      <c r="BA166" s="228">
        <f t="shared" ref="BA166" si="270">BA167+BA171</f>
        <v>0</v>
      </c>
      <c r="BB166" s="228">
        <f t="shared" ref="BB166" si="271">BB167+BB171</f>
        <v>0</v>
      </c>
      <c r="BC166" s="228">
        <f t="shared" ref="BC166:BD166" si="272">BC167+BC171</f>
        <v>300383</v>
      </c>
      <c r="BD166" s="228">
        <f t="shared" si="272"/>
        <v>31503355</v>
      </c>
      <c r="BE166" s="228">
        <f t="shared" ref="BE166" si="273">BE167+BE171</f>
        <v>2640000</v>
      </c>
    </row>
    <row r="167" spans="2:57" x14ac:dyDescent="0.3">
      <c r="B167" s="290" t="s">
        <v>8</v>
      </c>
      <c r="C167" s="222" t="s">
        <v>174</v>
      </c>
      <c r="D167" s="222"/>
      <c r="E167" s="222"/>
      <c r="F167" s="223">
        <f>SUM(F168:F170)</f>
        <v>295200000</v>
      </c>
      <c r="G167" s="223">
        <f t="shared" ref="G167:AP167" si="274">SUM(G168:G170)</f>
        <v>0</v>
      </c>
      <c r="H167" s="223">
        <f t="shared" si="274"/>
        <v>0</v>
      </c>
      <c r="I167" s="223">
        <f t="shared" si="274"/>
        <v>0</v>
      </c>
      <c r="J167" s="223">
        <f t="shared" si="274"/>
        <v>0</v>
      </c>
      <c r="K167" s="223">
        <f t="shared" si="274"/>
        <v>0</v>
      </c>
      <c r="L167" s="223">
        <f t="shared" si="274"/>
        <v>0</v>
      </c>
      <c r="M167" s="223">
        <f t="shared" si="274"/>
        <v>0</v>
      </c>
      <c r="N167" s="223">
        <f t="shared" si="274"/>
        <v>0</v>
      </c>
      <c r="O167" s="223">
        <f t="shared" si="274"/>
        <v>499528</v>
      </c>
      <c r="P167" s="223">
        <f t="shared" si="274"/>
        <v>0</v>
      </c>
      <c r="Q167" s="223">
        <f t="shared" si="274"/>
        <v>0</v>
      </c>
      <c r="R167" s="223">
        <f t="shared" si="274"/>
        <v>0</v>
      </c>
      <c r="S167" s="223">
        <f t="shared" si="274"/>
        <v>0</v>
      </c>
      <c r="T167" s="223">
        <f t="shared" si="274"/>
        <v>0</v>
      </c>
      <c r="U167" s="223">
        <f t="shared" si="274"/>
        <v>6278500</v>
      </c>
      <c r="V167" s="223">
        <f t="shared" si="274"/>
        <v>0</v>
      </c>
      <c r="W167" s="223">
        <f t="shared" si="274"/>
        <v>0</v>
      </c>
      <c r="X167" s="223">
        <f t="shared" si="274"/>
        <v>0</v>
      </c>
      <c r="Y167" s="223">
        <f t="shared" si="274"/>
        <v>0</v>
      </c>
      <c r="Z167" s="223">
        <f t="shared" si="274"/>
        <v>0</v>
      </c>
      <c r="AA167" s="223">
        <f t="shared" si="274"/>
        <v>0</v>
      </c>
      <c r="AB167" s="223">
        <f t="shared" si="274"/>
        <v>0</v>
      </c>
      <c r="AC167" s="223">
        <f t="shared" si="274"/>
        <v>0</v>
      </c>
      <c r="AD167" s="223">
        <f t="shared" si="274"/>
        <v>0</v>
      </c>
      <c r="AE167" s="223">
        <f t="shared" si="274"/>
        <v>0</v>
      </c>
      <c r="AF167" s="223">
        <f t="shared" si="274"/>
        <v>0</v>
      </c>
      <c r="AG167" s="223">
        <f t="shared" si="274"/>
        <v>0</v>
      </c>
      <c r="AH167" s="223">
        <f t="shared" si="274"/>
        <v>0</v>
      </c>
      <c r="AI167" s="223">
        <f t="shared" si="274"/>
        <v>0</v>
      </c>
      <c r="AJ167" s="223">
        <f t="shared" si="274"/>
        <v>0</v>
      </c>
      <c r="AK167" s="223">
        <f t="shared" si="274"/>
        <v>0</v>
      </c>
      <c r="AL167" s="223">
        <f t="shared" si="274"/>
        <v>0</v>
      </c>
      <c r="AM167" s="223">
        <f t="shared" si="274"/>
        <v>0</v>
      </c>
      <c r="AN167" s="223">
        <f t="shared" si="274"/>
        <v>0</v>
      </c>
      <c r="AO167" s="223">
        <f t="shared" si="274"/>
        <v>0</v>
      </c>
      <c r="AP167" s="223">
        <f t="shared" si="274"/>
        <v>0</v>
      </c>
      <c r="AQ167" s="223">
        <f>SUM(G167:AP167)</f>
        <v>6778028</v>
      </c>
      <c r="AR167" s="231">
        <f t="shared" si="197"/>
        <v>2.296079945799458E-4</v>
      </c>
      <c r="AS167" s="232">
        <f t="shared" si="255"/>
        <v>288421972</v>
      </c>
      <c r="AT167" s="231">
        <f t="shared" si="198"/>
        <v>97.703920054200537</v>
      </c>
      <c r="AU167" s="220" t="s">
        <v>542</v>
      </c>
      <c r="AV167" s="220" t="s">
        <v>591</v>
      </c>
      <c r="AW167" s="220" t="s">
        <v>4732</v>
      </c>
      <c r="AX167" s="223">
        <f t="shared" ref="AX167" si="275">SUM(AX168:AX170)</f>
        <v>0</v>
      </c>
      <c r="AY167" s="223">
        <f>SUM(AY168:AY170)</f>
        <v>499528</v>
      </c>
      <c r="AZ167" s="223">
        <f>SUM(AZ168:AZ170)</f>
        <v>0</v>
      </c>
      <c r="BA167" s="223">
        <f t="shared" ref="BA167" si="276">SUM(BA168:BA170)</f>
        <v>0</v>
      </c>
      <c r="BB167" s="223">
        <f t="shared" ref="BB167" si="277">SUM(BB168:BB170)</f>
        <v>0</v>
      </c>
      <c r="BC167" s="223">
        <f t="shared" ref="BC167:BD167" si="278">SUM(BC168:BC170)</f>
        <v>0</v>
      </c>
      <c r="BD167" s="223">
        <f t="shared" si="278"/>
        <v>6278500</v>
      </c>
      <c r="BE167" s="223">
        <f t="shared" ref="BE167" si="279">SUM(BE168:BE170)</f>
        <v>0</v>
      </c>
    </row>
    <row r="168" spans="2:57" x14ac:dyDescent="0.3">
      <c r="B168" s="288">
        <v>521211</v>
      </c>
      <c r="C168" s="220" t="s">
        <v>7</v>
      </c>
      <c r="D168" s="220"/>
      <c r="E168" s="220"/>
      <c r="F168" s="221">
        <v>46000000</v>
      </c>
      <c r="G168" s="221"/>
      <c r="H168" s="221"/>
      <c r="I168" s="221"/>
      <c r="J168" s="221"/>
      <c r="K168" s="221"/>
      <c r="L168" s="221"/>
      <c r="M168" s="221"/>
      <c r="N168" s="221"/>
      <c r="O168" s="221"/>
      <c r="P168" s="221"/>
      <c r="Q168" s="221"/>
      <c r="R168" s="221"/>
      <c r="S168" s="221"/>
      <c r="T168" s="221"/>
      <c r="U168" s="221">
        <v>6278500</v>
      </c>
      <c r="V168" s="221"/>
      <c r="W168" s="221"/>
      <c r="X168" s="221"/>
      <c r="Y168" s="221"/>
      <c r="Z168" s="221"/>
      <c r="AA168" s="221"/>
      <c r="AB168" s="221"/>
      <c r="AC168" s="221"/>
      <c r="AD168" s="221"/>
      <c r="AE168" s="221"/>
      <c r="AF168" s="221"/>
      <c r="AG168" s="221"/>
      <c r="AH168" s="221"/>
      <c r="AI168" s="221"/>
      <c r="AJ168" s="221"/>
      <c r="AK168" s="221"/>
      <c r="AL168" s="221"/>
      <c r="AM168" s="221"/>
      <c r="AN168" s="221"/>
      <c r="AO168" s="221"/>
      <c r="AP168" s="221"/>
      <c r="AQ168" s="221">
        <f t="shared" si="256"/>
        <v>6278500</v>
      </c>
      <c r="AR168" s="224">
        <f t="shared" si="197"/>
        <v>1.364891304347826E-3</v>
      </c>
      <c r="AS168" s="225">
        <f t="shared" si="255"/>
        <v>39721500</v>
      </c>
      <c r="AT168" s="224">
        <f t="shared" si="198"/>
        <v>86.35108695652174</v>
      </c>
      <c r="AU168" s="220" t="s">
        <v>542</v>
      </c>
      <c r="AV168" s="220" t="s">
        <v>591</v>
      </c>
      <c r="AW168" s="220" t="s">
        <v>4732</v>
      </c>
      <c r="AX168" s="221"/>
      <c r="AY168" s="221"/>
      <c r="AZ168" s="302"/>
      <c r="BA168" s="221"/>
      <c r="BB168" s="221"/>
      <c r="BC168" s="221"/>
      <c r="BD168" s="221">
        <v>6278500</v>
      </c>
      <c r="BE168" s="221"/>
    </row>
    <row r="169" spans="2:57" x14ac:dyDescent="0.3">
      <c r="B169" s="288">
        <v>521219</v>
      </c>
      <c r="C169" s="220" t="s">
        <v>53</v>
      </c>
      <c r="D169" s="220"/>
      <c r="E169" s="220"/>
      <c r="F169" s="221">
        <v>2000000</v>
      </c>
      <c r="G169" s="221"/>
      <c r="H169" s="221"/>
      <c r="I169" s="221"/>
      <c r="J169" s="221"/>
      <c r="K169" s="221"/>
      <c r="L169" s="221"/>
      <c r="M169" s="221"/>
      <c r="N169" s="221"/>
      <c r="O169" s="221">
        <v>499528</v>
      </c>
      <c r="P169" s="221"/>
      <c r="Q169" s="221"/>
      <c r="R169" s="221"/>
      <c r="S169" s="221"/>
      <c r="T169" s="221"/>
      <c r="U169" s="221"/>
      <c r="V169" s="221"/>
      <c r="W169" s="221"/>
      <c r="X169" s="221"/>
      <c r="Y169" s="221"/>
      <c r="Z169" s="221"/>
      <c r="AA169" s="221"/>
      <c r="AB169" s="221"/>
      <c r="AC169" s="221"/>
      <c r="AD169" s="221"/>
      <c r="AE169" s="221"/>
      <c r="AF169" s="221"/>
      <c r="AG169" s="221"/>
      <c r="AH169" s="221"/>
      <c r="AI169" s="221"/>
      <c r="AJ169" s="221"/>
      <c r="AK169" s="221"/>
      <c r="AL169" s="221"/>
      <c r="AM169" s="221"/>
      <c r="AN169" s="221"/>
      <c r="AO169" s="221"/>
      <c r="AP169" s="221"/>
      <c r="AQ169" s="221">
        <f t="shared" si="256"/>
        <v>499528</v>
      </c>
      <c r="AR169" s="224">
        <f t="shared" si="197"/>
        <v>2.4976400000000002E-3</v>
      </c>
      <c r="AS169" s="225">
        <f t="shared" si="255"/>
        <v>1500472</v>
      </c>
      <c r="AT169" s="224">
        <f t="shared" si="198"/>
        <v>75.023600000000002</v>
      </c>
      <c r="AU169" s="220" t="s">
        <v>542</v>
      </c>
      <c r="AV169" s="220" t="s">
        <v>591</v>
      </c>
      <c r="AW169" s="391" t="s">
        <v>4732</v>
      </c>
      <c r="AX169" s="221"/>
      <c r="AY169" s="221">
        <v>499528</v>
      </c>
      <c r="AZ169" s="302"/>
      <c r="BA169" s="221"/>
      <c r="BB169" s="221"/>
      <c r="BC169" s="221"/>
      <c r="BD169" s="221"/>
      <c r="BE169" s="221"/>
    </row>
    <row r="170" spans="2:57" x14ac:dyDescent="0.3">
      <c r="B170" s="288">
        <v>524111</v>
      </c>
      <c r="C170" s="220" t="s">
        <v>19</v>
      </c>
      <c r="D170" s="220"/>
      <c r="E170" s="220"/>
      <c r="F170" s="221">
        <v>247200000</v>
      </c>
      <c r="G170" s="221"/>
      <c r="H170" s="221"/>
      <c r="I170" s="221"/>
      <c r="J170" s="221"/>
      <c r="K170" s="221"/>
      <c r="L170" s="221"/>
      <c r="M170" s="221"/>
      <c r="N170" s="221"/>
      <c r="O170" s="221"/>
      <c r="P170" s="221"/>
      <c r="Q170" s="221"/>
      <c r="R170" s="221"/>
      <c r="S170" s="221"/>
      <c r="T170" s="221"/>
      <c r="U170" s="221"/>
      <c r="V170" s="221"/>
      <c r="W170" s="221"/>
      <c r="X170" s="221"/>
      <c r="Y170" s="221"/>
      <c r="Z170" s="221"/>
      <c r="AA170" s="221"/>
      <c r="AB170" s="221"/>
      <c r="AC170" s="221"/>
      <c r="AD170" s="221"/>
      <c r="AE170" s="221"/>
      <c r="AF170" s="221"/>
      <c r="AG170" s="221"/>
      <c r="AH170" s="221"/>
      <c r="AI170" s="221"/>
      <c r="AJ170" s="221"/>
      <c r="AK170" s="221"/>
      <c r="AL170" s="221"/>
      <c r="AM170" s="221"/>
      <c r="AN170" s="221"/>
      <c r="AO170" s="221"/>
      <c r="AP170" s="221"/>
      <c r="AQ170" s="221">
        <f t="shared" si="256"/>
        <v>0</v>
      </c>
      <c r="AR170" s="224">
        <f t="shared" si="197"/>
        <v>0</v>
      </c>
      <c r="AS170" s="225">
        <f t="shared" si="255"/>
        <v>247200000</v>
      </c>
      <c r="AT170" s="224">
        <f t="shared" si="198"/>
        <v>100</v>
      </c>
      <c r="AU170" s="220" t="s">
        <v>542</v>
      </c>
      <c r="AV170" s="220" t="s">
        <v>591</v>
      </c>
      <c r="AW170" s="220" t="s">
        <v>4732</v>
      </c>
      <c r="AX170" s="221"/>
      <c r="AY170" s="221"/>
      <c r="AZ170" s="302"/>
      <c r="BA170" s="221"/>
      <c r="BB170" s="221"/>
      <c r="BC170" s="221"/>
      <c r="BD170" s="221"/>
      <c r="BE170" s="221"/>
    </row>
    <row r="171" spans="2:57" x14ac:dyDescent="0.3">
      <c r="B171" s="290" t="s">
        <v>511</v>
      </c>
      <c r="C171" s="222" t="s">
        <v>175</v>
      </c>
      <c r="D171" s="222"/>
      <c r="E171" s="222"/>
      <c r="F171" s="223">
        <f t="shared" ref="F171:AP171" si="280">SUM(F172:F176)</f>
        <v>212000000</v>
      </c>
      <c r="G171" s="223">
        <f t="shared" si="280"/>
        <v>0</v>
      </c>
      <c r="H171" s="223">
        <f t="shared" si="280"/>
        <v>0</v>
      </c>
      <c r="I171" s="223">
        <f t="shared" si="280"/>
        <v>0</v>
      </c>
      <c r="J171" s="223">
        <f t="shared" si="280"/>
        <v>0</v>
      </c>
      <c r="K171" s="223">
        <f t="shared" si="280"/>
        <v>0</v>
      </c>
      <c r="L171" s="223">
        <f t="shared" si="280"/>
        <v>0</v>
      </c>
      <c r="M171" s="223">
        <f t="shared" si="280"/>
        <v>0</v>
      </c>
      <c r="N171" s="223">
        <f t="shared" si="280"/>
        <v>880000</v>
      </c>
      <c r="O171" s="223">
        <f t="shared" si="280"/>
        <v>2499000</v>
      </c>
      <c r="P171" s="223">
        <f t="shared" si="280"/>
        <v>524500</v>
      </c>
      <c r="Q171" s="223">
        <f t="shared" si="280"/>
        <v>0</v>
      </c>
      <c r="R171" s="223">
        <f t="shared" si="280"/>
        <v>0</v>
      </c>
      <c r="S171" s="223">
        <f t="shared" si="280"/>
        <v>0</v>
      </c>
      <c r="T171" s="223">
        <f t="shared" si="280"/>
        <v>300383</v>
      </c>
      <c r="U171" s="223">
        <f t="shared" si="280"/>
        <v>25224855</v>
      </c>
      <c r="V171" s="223">
        <f t="shared" si="280"/>
        <v>38467531</v>
      </c>
      <c r="W171" s="223">
        <f t="shared" si="280"/>
        <v>0</v>
      </c>
      <c r="X171" s="223">
        <f t="shared" si="280"/>
        <v>2640000</v>
      </c>
      <c r="Y171" s="223">
        <f t="shared" si="280"/>
        <v>0</v>
      </c>
      <c r="Z171" s="223">
        <f t="shared" si="280"/>
        <v>0</v>
      </c>
      <c r="AA171" s="223">
        <f t="shared" si="280"/>
        <v>0</v>
      </c>
      <c r="AB171" s="223">
        <f t="shared" si="280"/>
        <v>0</v>
      </c>
      <c r="AC171" s="223">
        <f t="shared" si="280"/>
        <v>0</v>
      </c>
      <c r="AD171" s="223">
        <f t="shared" si="280"/>
        <v>0</v>
      </c>
      <c r="AE171" s="223">
        <f t="shared" si="280"/>
        <v>0</v>
      </c>
      <c r="AF171" s="223">
        <f t="shared" si="280"/>
        <v>0</v>
      </c>
      <c r="AG171" s="223">
        <f t="shared" si="280"/>
        <v>0</v>
      </c>
      <c r="AH171" s="223">
        <f t="shared" si="280"/>
        <v>0</v>
      </c>
      <c r="AI171" s="223">
        <f t="shared" si="280"/>
        <v>0</v>
      </c>
      <c r="AJ171" s="223">
        <f t="shared" si="280"/>
        <v>0</v>
      </c>
      <c r="AK171" s="223">
        <f t="shared" si="280"/>
        <v>0</v>
      </c>
      <c r="AL171" s="223">
        <f t="shared" si="280"/>
        <v>0</v>
      </c>
      <c r="AM171" s="223">
        <f t="shared" si="280"/>
        <v>0</v>
      </c>
      <c r="AN171" s="223">
        <f t="shared" si="280"/>
        <v>0</v>
      </c>
      <c r="AO171" s="223">
        <f t="shared" si="280"/>
        <v>0</v>
      </c>
      <c r="AP171" s="223">
        <f t="shared" si="280"/>
        <v>0</v>
      </c>
      <c r="AQ171" s="223">
        <f t="shared" si="256"/>
        <v>70536269</v>
      </c>
      <c r="AR171" s="231">
        <f t="shared" si="197"/>
        <v>3.3271824999999999E-3</v>
      </c>
      <c r="AS171" s="232">
        <f>F171-AQ171</f>
        <v>141463731</v>
      </c>
      <c r="AT171" s="231">
        <f t="shared" si="198"/>
        <v>66.728175000000007</v>
      </c>
      <c r="AU171" s="220" t="s">
        <v>542</v>
      </c>
      <c r="AV171" s="220" t="s">
        <v>591</v>
      </c>
      <c r="AW171" s="220" t="s">
        <v>4732</v>
      </c>
      <c r="AX171" s="223">
        <f t="shared" ref="AX171:BA171" si="281">SUM(AX172:AX176)</f>
        <v>0</v>
      </c>
      <c r="AY171" s="223">
        <f t="shared" si="281"/>
        <v>2499000</v>
      </c>
      <c r="AZ171" s="223">
        <f t="shared" si="281"/>
        <v>880000</v>
      </c>
      <c r="BA171" s="223">
        <f t="shared" si="281"/>
        <v>0</v>
      </c>
      <c r="BB171" s="223">
        <f t="shared" ref="BB171" si="282">SUM(BB172:BB176)</f>
        <v>0</v>
      </c>
      <c r="BC171" s="223">
        <f t="shared" ref="BC171:BD171" si="283">SUM(BC172:BC176)</f>
        <v>300383</v>
      </c>
      <c r="BD171" s="223">
        <f t="shared" si="283"/>
        <v>25224855</v>
      </c>
      <c r="BE171" s="223">
        <f t="shared" ref="BE171" si="284">SUM(BE172:BE176)</f>
        <v>2640000</v>
      </c>
    </row>
    <row r="172" spans="2:57" x14ac:dyDescent="0.3">
      <c r="B172" s="288">
        <v>521211</v>
      </c>
      <c r="C172" s="220" t="s">
        <v>7</v>
      </c>
      <c r="D172" s="220"/>
      <c r="E172" s="220"/>
      <c r="F172" s="221">
        <v>41000000</v>
      </c>
      <c r="G172" s="221"/>
      <c r="H172" s="221"/>
      <c r="I172" s="221"/>
      <c r="J172" s="221"/>
      <c r="K172" s="221"/>
      <c r="L172" s="221"/>
      <c r="M172" s="221"/>
      <c r="N172" s="302">
        <v>880000</v>
      </c>
      <c r="O172" s="221">
        <v>2499000</v>
      </c>
      <c r="P172" s="221"/>
      <c r="Q172" s="221"/>
      <c r="R172" s="221"/>
      <c r="S172" s="221"/>
      <c r="T172" s="221"/>
      <c r="U172" s="221">
        <v>3500000</v>
      </c>
      <c r="V172" s="221"/>
      <c r="W172" s="221"/>
      <c r="X172" s="221">
        <v>2640000</v>
      </c>
      <c r="Y172" s="221"/>
      <c r="Z172" s="221"/>
      <c r="AA172" s="221"/>
      <c r="AB172" s="221"/>
      <c r="AC172" s="221"/>
      <c r="AD172" s="221"/>
      <c r="AE172" s="221"/>
      <c r="AF172" s="221"/>
      <c r="AG172" s="221"/>
      <c r="AH172" s="221"/>
      <c r="AI172" s="221"/>
      <c r="AJ172" s="221"/>
      <c r="AK172" s="221"/>
      <c r="AL172" s="221"/>
      <c r="AM172" s="221"/>
      <c r="AN172" s="221"/>
      <c r="AO172" s="221"/>
      <c r="AP172" s="221"/>
      <c r="AQ172" s="221">
        <f t="shared" si="256"/>
        <v>9519000</v>
      </c>
      <c r="AR172" s="224">
        <f t="shared" si="197"/>
        <v>2.3217073170731708E-3</v>
      </c>
      <c r="AS172" s="225">
        <f t="shared" si="255"/>
        <v>31481000</v>
      </c>
      <c r="AT172" s="224">
        <f t="shared" si="198"/>
        <v>76.782926829268291</v>
      </c>
      <c r="AU172" s="220" t="s">
        <v>542</v>
      </c>
      <c r="AV172" s="220" t="s">
        <v>591</v>
      </c>
      <c r="AW172" s="220" t="s">
        <v>4732</v>
      </c>
      <c r="AX172" s="221"/>
      <c r="AY172" s="221">
        <v>2499000</v>
      </c>
      <c r="AZ172" s="302">
        <v>880000</v>
      </c>
      <c r="BA172" s="221"/>
      <c r="BB172" s="221"/>
      <c r="BC172" s="221"/>
      <c r="BD172" s="221">
        <v>3500000</v>
      </c>
      <c r="BE172" s="221">
        <v>2640000</v>
      </c>
    </row>
    <row r="173" spans="2:57" x14ac:dyDescent="0.3">
      <c r="B173" s="288">
        <v>521219</v>
      </c>
      <c r="C173" s="220" t="s">
        <v>53</v>
      </c>
      <c r="D173" s="220"/>
      <c r="E173" s="220"/>
      <c r="F173" s="221">
        <v>32000000</v>
      </c>
      <c r="G173" s="221"/>
      <c r="H173" s="221"/>
      <c r="I173" s="221"/>
      <c r="J173" s="221"/>
      <c r="K173" s="221"/>
      <c r="L173" s="221"/>
      <c r="M173" s="221"/>
      <c r="N173" s="221"/>
      <c r="O173" s="221"/>
      <c r="P173" s="221"/>
      <c r="Q173" s="221"/>
      <c r="R173" s="221"/>
      <c r="S173" s="221"/>
      <c r="T173" s="221">
        <v>300383</v>
      </c>
      <c r="U173" s="221">
        <v>302631</v>
      </c>
      <c r="V173" s="221"/>
      <c r="W173" s="221"/>
      <c r="X173" s="221"/>
      <c r="Y173" s="221"/>
      <c r="Z173" s="221"/>
      <c r="AA173" s="221"/>
      <c r="AB173" s="221"/>
      <c r="AC173" s="221"/>
      <c r="AD173" s="221"/>
      <c r="AE173" s="221"/>
      <c r="AF173" s="221"/>
      <c r="AG173" s="221"/>
      <c r="AH173" s="221"/>
      <c r="AI173" s="221"/>
      <c r="AJ173" s="221"/>
      <c r="AK173" s="221"/>
      <c r="AL173" s="221"/>
      <c r="AM173" s="221"/>
      <c r="AN173" s="221"/>
      <c r="AO173" s="221"/>
      <c r="AP173" s="221"/>
      <c r="AQ173" s="221">
        <f t="shared" si="256"/>
        <v>603014</v>
      </c>
      <c r="AR173" s="224">
        <f t="shared" si="197"/>
        <v>1.8844187500000002E-4</v>
      </c>
      <c r="AS173" s="225">
        <f t="shared" si="255"/>
        <v>31396986</v>
      </c>
      <c r="AT173" s="224">
        <f t="shared" si="198"/>
        <v>98.115581249999991</v>
      </c>
      <c r="AU173" s="220" t="s">
        <v>542</v>
      </c>
      <c r="AV173" s="220" t="s">
        <v>591</v>
      </c>
      <c r="AW173" s="391" t="s">
        <v>4732</v>
      </c>
      <c r="AX173" s="221"/>
      <c r="AY173" s="221"/>
      <c r="AZ173" s="302"/>
      <c r="BA173" s="221"/>
      <c r="BB173" s="221"/>
      <c r="BC173" s="221">
        <v>300383</v>
      </c>
      <c r="BD173" s="221">
        <v>302631</v>
      </c>
      <c r="BE173" s="221"/>
    </row>
    <row r="174" spans="2:57" x14ac:dyDescent="0.3">
      <c r="B174" s="288">
        <v>522151</v>
      </c>
      <c r="C174" s="220" t="s">
        <v>11</v>
      </c>
      <c r="D174" s="220"/>
      <c r="E174" s="220"/>
      <c r="F174" s="221">
        <v>10000000</v>
      </c>
      <c r="G174" s="221"/>
      <c r="H174" s="221"/>
      <c r="I174" s="221"/>
      <c r="J174" s="221"/>
      <c r="K174" s="221"/>
      <c r="L174" s="221"/>
      <c r="M174" s="221"/>
      <c r="N174" s="221"/>
      <c r="O174" s="221"/>
      <c r="P174" s="221"/>
      <c r="Q174" s="221"/>
      <c r="R174" s="221"/>
      <c r="S174" s="221"/>
      <c r="T174" s="221"/>
      <c r="U174" s="221"/>
      <c r="V174" s="221"/>
      <c r="W174" s="221"/>
      <c r="X174" s="221"/>
      <c r="Y174" s="221"/>
      <c r="Z174" s="221"/>
      <c r="AA174" s="221"/>
      <c r="AB174" s="221"/>
      <c r="AC174" s="221"/>
      <c r="AD174" s="221"/>
      <c r="AE174" s="221"/>
      <c r="AF174" s="221"/>
      <c r="AG174" s="221"/>
      <c r="AH174" s="221"/>
      <c r="AI174" s="221"/>
      <c r="AJ174" s="221"/>
      <c r="AK174" s="221"/>
      <c r="AL174" s="221"/>
      <c r="AM174" s="221"/>
      <c r="AN174" s="221"/>
      <c r="AO174" s="221"/>
      <c r="AP174" s="221"/>
      <c r="AQ174" s="221">
        <f t="shared" si="256"/>
        <v>0</v>
      </c>
      <c r="AR174" s="224">
        <f t="shared" si="197"/>
        <v>0</v>
      </c>
      <c r="AS174" s="225">
        <f t="shared" si="255"/>
        <v>10000000</v>
      </c>
      <c r="AT174" s="224">
        <f t="shared" si="198"/>
        <v>100</v>
      </c>
      <c r="AU174" s="220" t="s">
        <v>542</v>
      </c>
      <c r="AV174" s="220" t="s">
        <v>591</v>
      </c>
      <c r="AW174" s="220" t="s">
        <v>4732</v>
      </c>
      <c r="AX174" s="221"/>
      <c r="AY174" s="221"/>
      <c r="AZ174" s="302"/>
      <c r="BA174" s="221"/>
      <c r="BB174" s="221"/>
      <c r="BC174" s="221"/>
      <c r="BD174" s="221"/>
      <c r="BE174" s="221"/>
    </row>
    <row r="175" spans="2:57" x14ac:dyDescent="0.3">
      <c r="B175" s="288">
        <v>524111</v>
      </c>
      <c r="C175" s="220" t="s">
        <v>19</v>
      </c>
      <c r="D175" s="220"/>
      <c r="E175" s="220"/>
      <c r="F175" s="221">
        <v>120000000</v>
      </c>
      <c r="G175" s="221"/>
      <c r="H175" s="221"/>
      <c r="I175" s="221"/>
      <c r="J175" s="221"/>
      <c r="K175" s="221"/>
      <c r="L175" s="221"/>
      <c r="M175" s="221"/>
      <c r="N175" s="221"/>
      <c r="O175" s="221"/>
      <c r="P175" s="221">
        <v>524500</v>
      </c>
      <c r="Q175" s="221"/>
      <c r="R175" s="221"/>
      <c r="S175" s="221"/>
      <c r="T175" s="221"/>
      <c r="U175" s="221">
        <v>21422224</v>
      </c>
      <c r="V175" s="221"/>
      <c r="W175" s="221"/>
      <c r="X175" s="221"/>
      <c r="Y175" s="221"/>
      <c r="Z175" s="221"/>
      <c r="AA175" s="221"/>
      <c r="AB175" s="221"/>
      <c r="AC175" s="221"/>
      <c r="AD175" s="221"/>
      <c r="AE175" s="221"/>
      <c r="AF175" s="221"/>
      <c r="AG175" s="221"/>
      <c r="AH175" s="221"/>
      <c r="AI175" s="221"/>
      <c r="AJ175" s="221"/>
      <c r="AK175" s="221"/>
      <c r="AL175" s="221"/>
      <c r="AM175" s="221"/>
      <c r="AN175" s="221"/>
      <c r="AO175" s="221"/>
      <c r="AP175" s="221"/>
      <c r="AQ175" s="221">
        <f t="shared" si="256"/>
        <v>21946724</v>
      </c>
      <c r="AR175" s="224">
        <f t="shared" si="197"/>
        <v>1.8288936666666666E-3</v>
      </c>
      <c r="AS175" s="225">
        <f t="shared" si="255"/>
        <v>98053276</v>
      </c>
      <c r="AT175" s="224">
        <f t="shared" si="198"/>
        <v>81.711063333333328</v>
      </c>
      <c r="AU175" s="220" t="s">
        <v>542</v>
      </c>
      <c r="AV175" s="220" t="s">
        <v>591</v>
      </c>
      <c r="AW175" s="220" t="s">
        <v>4732</v>
      </c>
      <c r="AX175" s="221"/>
      <c r="AY175" s="221"/>
      <c r="AZ175" s="302"/>
      <c r="BA175" s="221"/>
      <c r="BB175" s="221"/>
      <c r="BC175" s="221"/>
      <c r="BD175" s="221">
        <v>21422224</v>
      </c>
      <c r="BE175" s="221"/>
    </row>
    <row r="176" spans="2:57" x14ac:dyDescent="0.3">
      <c r="B176" s="288">
        <v>524113</v>
      </c>
      <c r="C176" s="220" t="s">
        <v>13</v>
      </c>
      <c r="D176" s="220"/>
      <c r="E176" s="220"/>
      <c r="F176" s="221">
        <v>9000000</v>
      </c>
      <c r="G176" s="221"/>
      <c r="H176" s="221"/>
      <c r="I176" s="221"/>
      <c r="J176" s="221"/>
      <c r="K176" s="221"/>
      <c r="L176" s="221"/>
      <c r="M176" s="221"/>
      <c r="N176" s="221"/>
      <c r="O176" s="221"/>
      <c r="P176" s="221"/>
      <c r="Q176" s="221"/>
      <c r="R176" s="221"/>
      <c r="S176" s="221"/>
      <c r="T176" s="221"/>
      <c r="U176" s="221"/>
      <c r="V176" s="221">
        <f>4074431+9185000+25208100</f>
        <v>38467531</v>
      </c>
      <c r="W176" s="221"/>
      <c r="X176" s="221"/>
      <c r="Y176" s="221"/>
      <c r="Z176" s="221"/>
      <c r="AA176" s="221"/>
      <c r="AB176" s="221"/>
      <c r="AC176" s="221"/>
      <c r="AD176" s="221"/>
      <c r="AE176" s="221"/>
      <c r="AF176" s="221"/>
      <c r="AG176" s="221"/>
      <c r="AH176" s="221"/>
      <c r="AI176" s="221"/>
      <c r="AJ176" s="221"/>
      <c r="AK176" s="221"/>
      <c r="AL176" s="221"/>
      <c r="AM176" s="221"/>
      <c r="AN176" s="221"/>
      <c r="AO176" s="221"/>
      <c r="AP176" s="221"/>
      <c r="AQ176" s="221">
        <f t="shared" si="256"/>
        <v>38467531</v>
      </c>
      <c r="AR176" s="224">
        <f t="shared" si="197"/>
        <v>4.2741701111111113E-2</v>
      </c>
      <c r="AS176" s="225">
        <f t="shared" si="255"/>
        <v>-29467531</v>
      </c>
      <c r="AT176" s="224">
        <f t="shared" si="198"/>
        <v>-327.41701111111115</v>
      </c>
      <c r="AU176" s="220" t="s">
        <v>542</v>
      </c>
      <c r="AV176" s="220" t="s">
        <v>591</v>
      </c>
      <c r="AW176" s="220" t="s">
        <v>4732</v>
      </c>
      <c r="AX176" s="221"/>
      <c r="AY176" s="221"/>
      <c r="AZ176" s="302"/>
      <c r="BA176" s="221"/>
      <c r="BB176" s="221"/>
      <c r="BC176" s="221"/>
      <c r="BD176" s="221"/>
      <c r="BE176" s="221"/>
    </row>
    <row r="177" spans="2:57" x14ac:dyDescent="0.3">
      <c r="B177" s="226">
        <v>302</v>
      </c>
      <c r="C177" s="227" t="s">
        <v>3091</v>
      </c>
      <c r="D177" s="227"/>
      <c r="E177" s="227"/>
      <c r="F177" s="228">
        <f t="shared" ref="F177:AP177" si="285">F178</f>
        <v>126532000</v>
      </c>
      <c r="G177" s="228">
        <f t="shared" si="285"/>
        <v>0</v>
      </c>
      <c r="H177" s="228">
        <f t="shared" si="285"/>
        <v>0</v>
      </c>
      <c r="I177" s="228">
        <f t="shared" si="285"/>
        <v>0</v>
      </c>
      <c r="J177" s="228">
        <f t="shared" si="285"/>
        <v>0</v>
      </c>
      <c r="K177" s="228">
        <f t="shared" si="285"/>
        <v>0</v>
      </c>
      <c r="L177" s="228">
        <f t="shared" si="285"/>
        <v>0</v>
      </c>
      <c r="M177" s="228">
        <f t="shared" si="285"/>
        <v>0</v>
      </c>
      <c r="N177" s="228">
        <f t="shared" si="285"/>
        <v>3350000</v>
      </c>
      <c r="O177" s="228">
        <f t="shared" si="285"/>
        <v>2498000</v>
      </c>
      <c r="P177" s="228">
        <f t="shared" si="285"/>
        <v>15530000</v>
      </c>
      <c r="Q177" s="228">
        <f t="shared" si="285"/>
        <v>0</v>
      </c>
      <c r="R177" s="228">
        <f t="shared" si="285"/>
        <v>0</v>
      </c>
      <c r="S177" s="228">
        <f t="shared" si="285"/>
        <v>0</v>
      </c>
      <c r="T177" s="228">
        <f t="shared" si="285"/>
        <v>0</v>
      </c>
      <c r="U177" s="228">
        <f t="shared" si="285"/>
        <v>4986000</v>
      </c>
      <c r="V177" s="228">
        <f t="shared" si="285"/>
        <v>2118000</v>
      </c>
      <c r="W177" s="228">
        <f t="shared" si="285"/>
        <v>0</v>
      </c>
      <c r="X177" s="228">
        <f t="shared" si="285"/>
        <v>0</v>
      </c>
      <c r="Y177" s="228">
        <f t="shared" si="285"/>
        <v>0</v>
      </c>
      <c r="Z177" s="228">
        <f t="shared" si="285"/>
        <v>0</v>
      </c>
      <c r="AA177" s="228">
        <f t="shared" si="285"/>
        <v>0</v>
      </c>
      <c r="AB177" s="228">
        <f t="shared" si="285"/>
        <v>0</v>
      </c>
      <c r="AC177" s="228">
        <f t="shared" si="285"/>
        <v>0</v>
      </c>
      <c r="AD177" s="228">
        <f t="shared" si="285"/>
        <v>0</v>
      </c>
      <c r="AE177" s="228">
        <f t="shared" si="285"/>
        <v>0</v>
      </c>
      <c r="AF177" s="228">
        <f t="shared" si="285"/>
        <v>0</v>
      </c>
      <c r="AG177" s="228">
        <f t="shared" si="285"/>
        <v>0</v>
      </c>
      <c r="AH177" s="228">
        <f t="shared" si="285"/>
        <v>0</v>
      </c>
      <c r="AI177" s="228">
        <f t="shared" si="285"/>
        <v>0</v>
      </c>
      <c r="AJ177" s="228">
        <f t="shared" si="285"/>
        <v>0</v>
      </c>
      <c r="AK177" s="228">
        <f t="shared" si="285"/>
        <v>0</v>
      </c>
      <c r="AL177" s="228">
        <f t="shared" si="285"/>
        <v>0</v>
      </c>
      <c r="AM177" s="228">
        <f t="shared" si="285"/>
        <v>0</v>
      </c>
      <c r="AN177" s="228">
        <f t="shared" si="285"/>
        <v>0</v>
      </c>
      <c r="AO177" s="228">
        <f t="shared" si="285"/>
        <v>0</v>
      </c>
      <c r="AP177" s="228">
        <f t="shared" si="285"/>
        <v>0</v>
      </c>
      <c r="AQ177" s="228">
        <f t="shared" ref="AQ177" si="286">SUM(G177:AP177)</f>
        <v>28482000</v>
      </c>
      <c r="AR177" s="229">
        <f t="shared" ref="AR177:AR178" si="287">AQ177/F177/100</f>
        <v>2.250972086112604E-3</v>
      </c>
      <c r="AS177" s="230">
        <f t="shared" ref="AS177:AS178" si="288">F177-AQ177</f>
        <v>98050000</v>
      </c>
      <c r="AT177" s="229">
        <f t="shared" ref="AT177:AT178" si="289">AS177/F177*100</f>
        <v>77.490279138873959</v>
      </c>
      <c r="AU177" s="220" t="s">
        <v>542</v>
      </c>
      <c r="AV177" s="220" t="s">
        <v>591</v>
      </c>
      <c r="AW177" s="220" t="s">
        <v>4732</v>
      </c>
      <c r="AX177" s="228">
        <f t="shared" ref="AX177:AY177" si="290">AX178</f>
        <v>0</v>
      </c>
      <c r="AY177" s="228">
        <f t="shared" si="290"/>
        <v>2498000</v>
      </c>
      <c r="AZ177" s="228">
        <f>AZ178</f>
        <v>3350000</v>
      </c>
      <c r="BA177" s="228">
        <f t="shared" ref="BA177:BE177" si="291">BA178</f>
        <v>0</v>
      </c>
      <c r="BB177" s="228">
        <f t="shared" si="291"/>
        <v>0</v>
      </c>
      <c r="BC177" s="228">
        <f t="shared" si="291"/>
        <v>0</v>
      </c>
      <c r="BD177" s="228">
        <f t="shared" si="291"/>
        <v>4986000</v>
      </c>
      <c r="BE177" s="228">
        <f t="shared" si="291"/>
        <v>0</v>
      </c>
    </row>
    <row r="178" spans="2:57" x14ac:dyDescent="0.3">
      <c r="B178" s="290" t="s">
        <v>8</v>
      </c>
      <c r="C178" s="222" t="s">
        <v>178</v>
      </c>
      <c r="D178" s="222"/>
      <c r="E178" s="222"/>
      <c r="F178" s="223">
        <f>SUM(F179:F181)</f>
        <v>126532000</v>
      </c>
      <c r="G178" s="223">
        <f t="shared" ref="G178:AP178" si="292">SUM(G179:G181)</f>
        <v>0</v>
      </c>
      <c r="H178" s="223">
        <f t="shared" si="292"/>
        <v>0</v>
      </c>
      <c r="I178" s="223">
        <f t="shared" si="292"/>
        <v>0</v>
      </c>
      <c r="J178" s="223">
        <f t="shared" si="292"/>
        <v>0</v>
      </c>
      <c r="K178" s="223">
        <f t="shared" si="292"/>
        <v>0</v>
      </c>
      <c r="L178" s="223">
        <f t="shared" si="292"/>
        <v>0</v>
      </c>
      <c r="M178" s="223">
        <f t="shared" si="292"/>
        <v>0</v>
      </c>
      <c r="N178" s="223">
        <f t="shared" si="292"/>
        <v>3350000</v>
      </c>
      <c r="O178" s="223">
        <f t="shared" si="292"/>
        <v>2498000</v>
      </c>
      <c r="P178" s="223">
        <f t="shared" si="292"/>
        <v>15530000</v>
      </c>
      <c r="Q178" s="223">
        <f t="shared" si="292"/>
        <v>0</v>
      </c>
      <c r="R178" s="223">
        <f t="shared" si="292"/>
        <v>0</v>
      </c>
      <c r="S178" s="223">
        <f t="shared" si="292"/>
        <v>0</v>
      </c>
      <c r="T178" s="223">
        <f t="shared" si="292"/>
        <v>0</v>
      </c>
      <c r="U178" s="223">
        <f t="shared" si="292"/>
        <v>4986000</v>
      </c>
      <c r="V178" s="223">
        <f t="shared" si="292"/>
        <v>2118000</v>
      </c>
      <c r="W178" s="223">
        <f t="shared" si="292"/>
        <v>0</v>
      </c>
      <c r="X178" s="223">
        <f t="shared" si="292"/>
        <v>0</v>
      </c>
      <c r="Y178" s="223">
        <f t="shared" si="292"/>
        <v>0</v>
      </c>
      <c r="Z178" s="223">
        <f t="shared" si="292"/>
        <v>0</v>
      </c>
      <c r="AA178" s="223">
        <f t="shared" si="292"/>
        <v>0</v>
      </c>
      <c r="AB178" s="223">
        <f t="shared" si="292"/>
        <v>0</v>
      </c>
      <c r="AC178" s="223">
        <f t="shared" si="292"/>
        <v>0</v>
      </c>
      <c r="AD178" s="223">
        <f t="shared" si="292"/>
        <v>0</v>
      </c>
      <c r="AE178" s="223">
        <f t="shared" si="292"/>
        <v>0</v>
      </c>
      <c r="AF178" s="223">
        <f t="shared" si="292"/>
        <v>0</v>
      </c>
      <c r="AG178" s="223">
        <f t="shared" si="292"/>
        <v>0</v>
      </c>
      <c r="AH178" s="223">
        <f t="shared" si="292"/>
        <v>0</v>
      </c>
      <c r="AI178" s="223">
        <f t="shared" si="292"/>
        <v>0</v>
      </c>
      <c r="AJ178" s="223">
        <f t="shared" si="292"/>
        <v>0</v>
      </c>
      <c r="AK178" s="223">
        <f t="shared" si="292"/>
        <v>0</v>
      </c>
      <c r="AL178" s="223">
        <f t="shared" si="292"/>
        <v>0</v>
      </c>
      <c r="AM178" s="223">
        <f t="shared" si="292"/>
        <v>0</v>
      </c>
      <c r="AN178" s="223">
        <f t="shared" si="292"/>
        <v>0</v>
      </c>
      <c r="AO178" s="223">
        <f t="shared" si="292"/>
        <v>0</v>
      </c>
      <c r="AP178" s="223">
        <f t="shared" si="292"/>
        <v>0</v>
      </c>
      <c r="AQ178" s="223">
        <f>SUM(G178:AP178)</f>
        <v>28482000</v>
      </c>
      <c r="AR178" s="231">
        <f t="shared" si="287"/>
        <v>2.250972086112604E-3</v>
      </c>
      <c r="AS178" s="232">
        <f t="shared" si="288"/>
        <v>98050000</v>
      </c>
      <c r="AT178" s="231">
        <f t="shared" si="289"/>
        <v>77.490279138873959</v>
      </c>
      <c r="AU178" s="220" t="s">
        <v>542</v>
      </c>
      <c r="AV178" s="220" t="s">
        <v>591</v>
      </c>
      <c r="AW178" s="220" t="s">
        <v>4732</v>
      </c>
      <c r="AX178" s="223">
        <f t="shared" ref="AX178:AY178" si="293">SUM(AX179:AX181)</f>
        <v>0</v>
      </c>
      <c r="AY178" s="223">
        <f t="shared" si="293"/>
        <v>2498000</v>
      </c>
      <c r="AZ178" s="223">
        <f>SUM(AZ179:AZ181)</f>
        <v>3350000</v>
      </c>
      <c r="BA178" s="223">
        <f t="shared" ref="BA178" si="294">SUM(BA179:BA181)</f>
        <v>0</v>
      </c>
      <c r="BB178" s="223">
        <f t="shared" ref="BB178" si="295">SUM(BB179:BB181)</f>
        <v>0</v>
      </c>
      <c r="BC178" s="223">
        <f t="shared" ref="BC178:BD178" si="296">SUM(BC179:BC181)</f>
        <v>0</v>
      </c>
      <c r="BD178" s="223">
        <f t="shared" si="296"/>
        <v>4986000</v>
      </c>
      <c r="BE178" s="223">
        <f t="shared" ref="BE178" si="297">SUM(BE179:BE181)</f>
        <v>0</v>
      </c>
    </row>
    <row r="179" spans="2:57" x14ac:dyDescent="0.3">
      <c r="B179" s="288">
        <v>521211</v>
      </c>
      <c r="C179" s="220" t="s">
        <v>7</v>
      </c>
      <c r="D179" s="220"/>
      <c r="E179" s="220"/>
      <c r="F179" s="221">
        <v>35500000</v>
      </c>
      <c r="G179" s="221"/>
      <c r="H179" s="221"/>
      <c r="I179" s="221"/>
      <c r="J179" s="221"/>
      <c r="K179" s="221"/>
      <c r="L179" s="221"/>
      <c r="M179" s="221"/>
      <c r="N179" s="302">
        <v>860000</v>
      </c>
      <c r="O179" s="221">
        <v>2498000</v>
      </c>
      <c r="P179" s="221"/>
      <c r="Q179" s="221"/>
      <c r="R179" s="221"/>
      <c r="S179" s="221"/>
      <c r="T179" s="221"/>
      <c r="U179" s="221">
        <v>4986000</v>
      </c>
      <c r="V179" s="221"/>
      <c r="W179" s="221"/>
      <c r="X179" s="221"/>
      <c r="Y179" s="221"/>
      <c r="Z179" s="221"/>
      <c r="AA179" s="221"/>
      <c r="AB179" s="221"/>
      <c r="AC179" s="221"/>
      <c r="AD179" s="221"/>
      <c r="AE179" s="221"/>
      <c r="AF179" s="221"/>
      <c r="AG179" s="221"/>
      <c r="AH179" s="221"/>
      <c r="AI179" s="221"/>
      <c r="AJ179" s="221"/>
      <c r="AK179" s="221"/>
      <c r="AL179" s="221"/>
      <c r="AM179" s="221"/>
      <c r="AN179" s="221"/>
      <c r="AO179" s="221"/>
      <c r="AP179" s="221"/>
      <c r="AQ179" s="221">
        <f t="shared" si="256"/>
        <v>8344000</v>
      </c>
      <c r="AR179" s="224">
        <f t="shared" si="197"/>
        <v>2.3504225352112677E-3</v>
      </c>
      <c r="AS179" s="225">
        <f t="shared" si="255"/>
        <v>27156000</v>
      </c>
      <c r="AT179" s="224">
        <f t="shared" si="198"/>
        <v>76.49577464788733</v>
      </c>
      <c r="AU179" s="220" t="s">
        <v>542</v>
      </c>
      <c r="AV179" s="220" t="s">
        <v>591</v>
      </c>
      <c r="AW179" s="220" t="s">
        <v>4732</v>
      </c>
      <c r="AX179" s="221"/>
      <c r="AY179" s="221">
        <v>2498000</v>
      </c>
      <c r="AZ179" s="302">
        <v>860000</v>
      </c>
      <c r="BA179" s="221"/>
      <c r="BB179" s="221"/>
      <c r="BC179" s="221"/>
      <c r="BD179" s="221">
        <v>4986000</v>
      </c>
      <c r="BE179" s="221"/>
    </row>
    <row r="180" spans="2:57" x14ac:dyDescent="0.3">
      <c r="B180" s="288">
        <v>521219</v>
      </c>
      <c r="C180" s="220" t="s">
        <v>53</v>
      </c>
      <c r="D180" s="220"/>
      <c r="E180" s="220"/>
      <c r="F180" s="221">
        <v>2000000</v>
      </c>
      <c r="G180" s="221"/>
      <c r="H180" s="221"/>
      <c r="I180" s="221"/>
      <c r="J180" s="221"/>
      <c r="K180" s="221"/>
      <c r="L180" s="221"/>
      <c r="M180" s="221"/>
      <c r="N180" s="221"/>
      <c r="O180" s="221"/>
      <c r="P180" s="221"/>
      <c r="Q180" s="221"/>
      <c r="R180" s="221"/>
      <c r="S180" s="221"/>
      <c r="T180" s="221"/>
      <c r="U180" s="221"/>
      <c r="V180" s="221"/>
      <c r="W180" s="221"/>
      <c r="X180" s="221"/>
      <c r="Y180" s="221"/>
      <c r="Z180" s="221"/>
      <c r="AA180" s="221"/>
      <c r="AB180" s="221"/>
      <c r="AC180" s="221"/>
      <c r="AD180" s="221"/>
      <c r="AE180" s="221"/>
      <c r="AF180" s="221"/>
      <c r="AG180" s="221"/>
      <c r="AH180" s="221"/>
      <c r="AI180" s="221"/>
      <c r="AJ180" s="221"/>
      <c r="AK180" s="221"/>
      <c r="AL180" s="221"/>
      <c r="AM180" s="221"/>
      <c r="AN180" s="221"/>
      <c r="AO180" s="221"/>
      <c r="AP180" s="221"/>
      <c r="AQ180" s="221">
        <f t="shared" si="256"/>
        <v>0</v>
      </c>
      <c r="AR180" s="224">
        <f t="shared" si="197"/>
        <v>0</v>
      </c>
      <c r="AS180" s="225">
        <f t="shared" si="255"/>
        <v>2000000</v>
      </c>
      <c r="AT180" s="224">
        <f t="shared" si="198"/>
        <v>100</v>
      </c>
      <c r="AU180" s="220" t="s">
        <v>542</v>
      </c>
      <c r="AV180" s="220" t="s">
        <v>591</v>
      </c>
      <c r="AW180" s="220" t="s">
        <v>4732</v>
      </c>
      <c r="AX180" s="221"/>
      <c r="AY180" s="221"/>
      <c r="AZ180" s="302"/>
      <c r="BA180" s="221"/>
      <c r="BB180" s="221"/>
      <c r="BC180" s="221"/>
      <c r="BD180" s="221"/>
      <c r="BE180" s="221"/>
    </row>
    <row r="181" spans="2:57" x14ac:dyDescent="0.3">
      <c r="B181" s="288">
        <v>524111</v>
      </c>
      <c r="C181" s="220" t="s">
        <v>19</v>
      </c>
      <c r="D181" s="220"/>
      <c r="E181" s="220"/>
      <c r="F181" s="221">
        <v>89032000</v>
      </c>
      <c r="G181" s="221"/>
      <c r="H181" s="221"/>
      <c r="I181" s="221"/>
      <c r="J181" s="221"/>
      <c r="K181" s="221"/>
      <c r="L181" s="221"/>
      <c r="M181" s="221"/>
      <c r="N181" s="302">
        <v>2490000</v>
      </c>
      <c r="O181" s="221"/>
      <c r="P181" s="221">
        <f>8760000+4980000+1790000</f>
        <v>15530000</v>
      </c>
      <c r="Q181" s="221"/>
      <c r="R181" s="221"/>
      <c r="S181" s="221"/>
      <c r="T181" s="221"/>
      <c r="U181" s="221"/>
      <c r="V181" s="221">
        <v>2118000</v>
      </c>
      <c r="W181" s="221"/>
      <c r="X181" s="221"/>
      <c r="Y181" s="221"/>
      <c r="Z181" s="221"/>
      <c r="AA181" s="221"/>
      <c r="AB181" s="221"/>
      <c r="AC181" s="221"/>
      <c r="AD181" s="221"/>
      <c r="AE181" s="221"/>
      <c r="AF181" s="221"/>
      <c r="AG181" s="221"/>
      <c r="AH181" s="221"/>
      <c r="AI181" s="221"/>
      <c r="AJ181" s="221"/>
      <c r="AK181" s="221"/>
      <c r="AL181" s="221"/>
      <c r="AM181" s="221"/>
      <c r="AN181" s="221"/>
      <c r="AO181" s="221"/>
      <c r="AP181" s="221"/>
      <c r="AQ181" s="221">
        <f t="shared" si="256"/>
        <v>20138000</v>
      </c>
      <c r="AR181" s="224">
        <f t="shared" si="197"/>
        <v>2.2618833677778777E-3</v>
      </c>
      <c r="AS181" s="225">
        <f t="shared" si="255"/>
        <v>68894000</v>
      </c>
      <c r="AT181" s="224">
        <f t="shared" si="198"/>
        <v>77.381166322221233</v>
      </c>
      <c r="AU181" s="220" t="s">
        <v>542</v>
      </c>
      <c r="AV181" s="220" t="s">
        <v>591</v>
      </c>
      <c r="AW181" s="220" t="s">
        <v>4732</v>
      </c>
      <c r="AX181" s="221"/>
      <c r="AY181" s="221"/>
      <c r="AZ181" s="302">
        <v>2490000</v>
      </c>
      <c r="BA181" s="221"/>
      <c r="BB181" s="221"/>
      <c r="BC181" s="221"/>
      <c r="BD181" s="221"/>
      <c r="BE181" s="221"/>
    </row>
    <row r="182" spans="2:57" x14ac:dyDescent="0.3">
      <c r="B182" s="226" t="s">
        <v>4516</v>
      </c>
      <c r="C182" s="227" t="s">
        <v>3106</v>
      </c>
      <c r="D182" s="227">
        <v>1</v>
      </c>
      <c r="E182" s="227" t="s">
        <v>4315</v>
      </c>
      <c r="F182" s="228">
        <f>F183</f>
        <v>289920000</v>
      </c>
      <c r="G182" s="228">
        <f t="shared" ref="G182:AP182" si="298">G183</f>
        <v>0</v>
      </c>
      <c r="H182" s="228">
        <f t="shared" si="298"/>
        <v>0</v>
      </c>
      <c r="I182" s="228">
        <f t="shared" si="298"/>
        <v>0</v>
      </c>
      <c r="J182" s="228">
        <f t="shared" si="298"/>
        <v>0</v>
      </c>
      <c r="K182" s="228">
        <f t="shared" si="298"/>
        <v>0</v>
      </c>
      <c r="L182" s="228">
        <f t="shared" si="298"/>
        <v>0</v>
      </c>
      <c r="M182" s="228">
        <f t="shared" si="298"/>
        <v>0</v>
      </c>
      <c r="N182" s="228">
        <f t="shared" si="298"/>
        <v>18269500</v>
      </c>
      <c r="O182" s="228">
        <f t="shared" si="298"/>
        <v>50674500</v>
      </c>
      <c r="P182" s="228">
        <f t="shared" si="298"/>
        <v>0</v>
      </c>
      <c r="Q182" s="228">
        <f t="shared" si="298"/>
        <v>19929200</v>
      </c>
      <c r="R182" s="228">
        <f t="shared" si="298"/>
        <v>0</v>
      </c>
      <c r="S182" s="228">
        <f t="shared" si="298"/>
        <v>0</v>
      </c>
      <c r="T182" s="228">
        <f t="shared" si="298"/>
        <v>19882500</v>
      </c>
      <c r="U182" s="228">
        <f t="shared" si="298"/>
        <v>25762820</v>
      </c>
      <c r="V182" s="228">
        <f t="shared" si="298"/>
        <v>0</v>
      </c>
      <c r="W182" s="228">
        <f t="shared" si="298"/>
        <v>0</v>
      </c>
      <c r="X182" s="228">
        <f t="shared" si="298"/>
        <v>2030000</v>
      </c>
      <c r="Y182" s="228">
        <f t="shared" si="298"/>
        <v>0</v>
      </c>
      <c r="Z182" s="228">
        <f t="shared" si="298"/>
        <v>0</v>
      </c>
      <c r="AA182" s="228">
        <f t="shared" si="298"/>
        <v>0</v>
      </c>
      <c r="AB182" s="228">
        <f t="shared" si="298"/>
        <v>0</v>
      </c>
      <c r="AC182" s="228">
        <f t="shared" si="298"/>
        <v>0</v>
      </c>
      <c r="AD182" s="228">
        <f t="shared" si="298"/>
        <v>0</v>
      </c>
      <c r="AE182" s="228">
        <f t="shared" si="298"/>
        <v>0</v>
      </c>
      <c r="AF182" s="228">
        <f t="shared" si="298"/>
        <v>0</v>
      </c>
      <c r="AG182" s="228">
        <f t="shared" si="298"/>
        <v>0</v>
      </c>
      <c r="AH182" s="228">
        <f t="shared" si="298"/>
        <v>0</v>
      </c>
      <c r="AI182" s="228">
        <f t="shared" si="298"/>
        <v>0</v>
      </c>
      <c r="AJ182" s="228">
        <f t="shared" si="298"/>
        <v>0</v>
      </c>
      <c r="AK182" s="228">
        <f t="shared" si="298"/>
        <v>0</v>
      </c>
      <c r="AL182" s="228">
        <f t="shared" si="298"/>
        <v>0</v>
      </c>
      <c r="AM182" s="228">
        <f t="shared" si="298"/>
        <v>0</v>
      </c>
      <c r="AN182" s="228">
        <f t="shared" si="298"/>
        <v>0</v>
      </c>
      <c r="AO182" s="228">
        <f t="shared" si="298"/>
        <v>0</v>
      </c>
      <c r="AP182" s="228">
        <f t="shared" si="298"/>
        <v>0</v>
      </c>
      <c r="AQ182" s="228">
        <f t="shared" si="256"/>
        <v>136548520</v>
      </c>
      <c r="AR182" s="229">
        <f t="shared" si="197"/>
        <v>4.7098689293598233E-3</v>
      </c>
      <c r="AS182" s="230">
        <f t="shared" si="255"/>
        <v>153371480</v>
      </c>
      <c r="AT182" s="229">
        <f t="shared" si="198"/>
        <v>52.901310706401759</v>
      </c>
      <c r="AU182" s="220" t="s">
        <v>576</v>
      </c>
      <c r="AV182" s="220" t="s">
        <v>546</v>
      </c>
      <c r="AW182" s="220" t="s">
        <v>4732</v>
      </c>
      <c r="AX182" s="228">
        <f t="shared" ref="AX182:BE182" si="299">AX183</f>
        <v>0</v>
      </c>
      <c r="AY182" s="228">
        <f t="shared" si="299"/>
        <v>50674500</v>
      </c>
      <c r="AZ182" s="228">
        <f t="shared" si="299"/>
        <v>18269500</v>
      </c>
      <c r="BA182" s="228">
        <f t="shared" si="299"/>
        <v>19929200</v>
      </c>
      <c r="BB182" s="228">
        <f t="shared" si="299"/>
        <v>10000000</v>
      </c>
      <c r="BC182" s="228">
        <f t="shared" si="299"/>
        <v>9882500</v>
      </c>
      <c r="BD182" s="228">
        <f t="shared" si="299"/>
        <v>25762820</v>
      </c>
      <c r="BE182" s="228">
        <f t="shared" si="299"/>
        <v>2030000</v>
      </c>
    </row>
    <row r="183" spans="2:57" x14ac:dyDescent="0.3">
      <c r="B183" s="226">
        <v>301</v>
      </c>
      <c r="C183" s="227" t="s">
        <v>3319</v>
      </c>
      <c r="D183" s="227"/>
      <c r="E183" s="227"/>
      <c r="F183" s="228">
        <f t="shared" ref="F183:AP183" si="300">F184+F187+F190+F193+F197+F200</f>
        <v>289920000</v>
      </c>
      <c r="G183" s="228">
        <f t="shared" si="300"/>
        <v>0</v>
      </c>
      <c r="H183" s="228">
        <f t="shared" si="300"/>
        <v>0</v>
      </c>
      <c r="I183" s="228">
        <f t="shared" si="300"/>
        <v>0</v>
      </c>
      <c r="J183" s="228">
        <f t="shared" si="300"/>
        <v>0</v>
      </c>
      <c r="K183" s="228">
        <f t="shared" si="300"/>
        <v>0</v>
      </c>
      <c r="L183" s="228">
        <f t="shared" si="300"/>
        <v>0</v>
      </c>
      <c r="M183" s="228">
        <f t="shared" si="300"/>
        <v>0</v>
      </c>
      <c r="N183" s="228">
        <f t="shared" si="300"/>
        <v>18269500</v>
      </c>
      <c r="O183" s="228">
        <f t="shared" si="300"/>
        <v>50674500</v>
      </c>
      <c r="P183" s="228">
        <f t="shared" si="300"/>
        <v>0</v>
      </c>
      <c r="Q183" s="228">
        <f t="shared" si="300"/>
        <v>19929200</v>
      </c>
      <c r="R183" s="228">
        <f t="shared" si="300"/>
        <v>0</v>
      </c>
      <c r="S183" s="228">
        <f t="shared" si="300"/>
        <v>0</v>
      </c>
      <c r="T183" s="228">
        <f t="shared" si="300"/>
        <v>19882500</v>
      </c>
      <c r="U183" s="228">
        <f t="shared" si="300"/>
        <v>25762820</v>
      </c>
      <c r="V183" s="228">
        <f t="shared" si="300"/>
        <v>0</v>
      </c>
      <c r="W183" s="228">
        <f t="shared" si="300"/>
        <v>0</v>
      </c>
      <c r="X183" s="228">
        <f t="shared" si="300"/>
        <v>2030000</v>
      </c>
      <c r="Y183" s="228">
        <f t="shared" si="300"/>
        <v>0</v>
      </c>
      <c r="Z183" s="228">
        <f t="shared" si="300"/>
        <v>0</v>
      </c>
      <c r="AA183" s="228">
        <f t="shared" si="300"/>
        <v>0</v>
      </c>
      <c r="AB183" s="228">
        <f t="shared" si="300"/>
        <v>0</v>
      </c>
      <c r="AC183" s="228">
        <f t="shared" si="300"/>
        <v>0</v>
      </c>
      <c r="AD183" s="228">
        <f t="shared" si="300"/>
        <v>0</v>
      </c>
      <c r="AE183" s="228">
        <f t="shared" si="300"/>
        <v>0</v>
      </c>
      <c r="AF183" s="228">
        <f t="shared" si="300"/>
        <v>0</v>
      </c>
      <c r="AG183" s="228">
        <f t="shared" si="300"/>
        <v>0</v>
      </c>
      <c r="AH183" s="228">
        <f t="shared" si="300"/>
        <v>0</v>
      </c>
      <c r="AI183" s="228">
        <f t="shared" si="300"/>
        <v>0</v>
      </c>
      <c r="AJ183" s="228">
        <f t="shared" si="300"/>
        <v>0</v>
      </c>
      <c r="AK183" s="228">
        <f t="shared" si="300"/>
        <v>0</v>
      </c>
      <c r="AL183" s="228">
        <f t="shared" si="300"/>
        <v>0</v>
      </c>
      <c r="AM183" s="228">
        <f t="shared" si="300"/>
        <v>0</v>
      </c>
      <c r="AN183" s="228">
        <f t="shared" si="300"/>
        <v>0</v>
      </c>
      <c r="AO183" s="228">
        <f t="shared" si="300"/>
        <v>0</v>
      </c>
      <c r="AP183" s="228">
        <f t="shared" si="300"/>
        <v>0</v>
      </c>
      <c r="AQ183" s="228">
        <f t="shared" si="256"/>
        <v>136548520</v>
      </c>
      <c r="AR183" s="229">
        <f t="shared" si="197"/>
        <v>4.7098689293598233E-3</v>
      </c>
      <c r="AS183" s="230">
        <f t="shared" si="255"/>
        <v>153371480</v>
      </c>
      <c r="AT183" s="229">
        <f t="shared" si="198"/>
        <v>52.901310706401759</v>
      </c>
      <c r="AU183" s="220" t="s">
        <v>576</v>
      </c>
      <c r="AV183" s="220" t="s">
        <v>546</v>
      </c>
      <c r="AW183" s="220" t="s">
        <v>4732</v>
      </c>
      <c r="AX183" s="228">
        <f>AX184+AX187+AX190+AX193+AX197+AX200</f>
        <v>0</v>
      </c>
      <c r="AY183" s="228">
        <f>AY184+AY187+AY190+AY193+AY197+AY200</f>
        <v>50674500</v>
      </c>
      <c r="AZ183" s="228">
        <f>AZ184+AZ187+AZ190+AZ193+AZ197+AZ200</f>
        <v>18269500</v>
      </c>
      <c r="BA183" s="228">
        <f t="shared" ref="BA183" si="301">BA184+BA187+BA190+BA193+BA197+BA200</f>
        <v>19929200</v>
      </c>
      <c r="BB183" s="228">
        <f t="shared" ref="BB183" si="302">BB184+BB187+BB190+BB193+BB197+BB200</f>
        <v>10000000</v>
      </c>
      <c r="BC183" s="228">
        <f t="shared" ref="BC183:BD183" si="303">BC184+BC187+BC190+BC193+BC197+BC200</f>
        <v>9882500</v>
      </c>
      <c r="BD183" s="228">
        <f t="shared" si="303"/>
        <v>25762820</v>
      </c>
      <c r="BE183" s="228">
        <f t="shared" ref="BE183" si="304">BE184+BE187+BE190+BE193+BE197+BE200</f>
        <v>2030000</v>
      </c>
    </row>
    <row r="184" spans="2:57" x14ac:dyDescent="0.3">
      <c r="B184" s="290" t="s">
        <v>8</v>
      </c>
      <c r="C184" s="222" t="s">
        <v>143</v>
      </c>
      <c r="D184" s="222"/>
      <c r="E184" s="222"/>
      <c r="F184" s="223">
        <f t="shared" ref="F184:AP184" si="305">SUM(F185:F186)</f>
        <v>38900000</v>
      </c>
      <c r="G184" s="223">
        <f t="shared" si="305"/>
        <v>0</v>
      </c>
      <c r="H184" s="223">
        <f t="shared" si="305"/>
        <v>0</v>
      </c>
      <c r="I184" s="223">
        <f t="shared" si="305"/>
        <v>0</v>
      </c>
      <c r="J184" s="223">
        <f t="shared" si="305"/>
        <v>0</v>
      </c>
      <c r="K184" s="223">
        <f t="shared" si="305"/>
        <v>0</v>
      </c>
      <c r="L184" s="223">
        <f t="shared" si="305"/>
        <v>0</v>
      </c>
      <c r="M184" s="223">
        <f t="shared" si="305"/>
        <v>0</v>
      </c>
      <c r="N184" s="223">
        <f t="shared" si="305"/>
        <v>2450000</v>
      </c>
      <c r="O184" s="223">
        <f t="shared" si="305"/>
        <v>3275000</v>
      </c>
      <c r="P184" s="223">
        <f t="shared" si="305"/>
        <v>0</v>
      </c>
      <c r="Q184" s="223">
        <f t="shared" si="305"/>
        <v>2446000</v>
      </c>
      <c r="R184" s="223">
        <f t="shared" si="305"/>
        <v>0</v>
      </c>
      <c r="S184" s="223">
        <f t="shared" si="305"/>
        <v>0</v>
      </c>
      <c r="T184" s="223">
        <f t="shared" si="305"/>
        <v>1810000</v>
      </c>
      <c r="U184" s="223">
        <f t="shared" si="305"/>
        <v>12551552</v>
      </c>
      <c r="V184" s="223">
        <f t="shared" si="305"/>
        <v>0</v>
      </c>
      <c r="W184" s="223">
        <f t="shared" si="305"/>
        <v>0</v>
      </c>
      <c r="X184" s="223">
        <f t="shared" si="305"/>
        <v>0</v>
      </c>
      <c r="Y184" s="223">
        <f t="shared" si="305"/>
        <v>0</v>
      </c>
      <c r="Z184" s="223">
        <f t="shared" si="305"/>
        <v>0</v>
      </c>
      <c r="AA184" s="223">
        <f t="shared" si="305"/>
        <v>0</v>
      </c>
      <c r="AB184" s="223">
        <f t="shared" si="305"/>
        <v>0</v>
      </c>
      <c r="AC184" s="223">
        <f t="shared" si="305"/>
        <v>0</v>
      </c>
      <c r="AD184" s="223">
        <f t="shared" si="305"/>
        <v>0</v>
      </c>
      <c r="AE184" s="223">
        <f t="shared" si="305"/>
        <v>0</v>
      </c>
      <c r="AF184" s="223">
        <f t="shared" si="305"/>
        <v>0</v>
      </c>
      <c r="AG184" s="223">
        <f t="shared" si="305"/>
        <v>0</v>
      </c>
      <c r="AH184" s="223">
        <f t="shared" si="305"/>
        <v>0</v>
      </c>
      <c r="AI184" s="223">
        <f t="shared" si="305"/>
        <v>0</v>
      </c>
      <c r="AJ184" s="223">
        <f t="shared" si="305"/>
        <v>0</v>
      </c>
      <c r="AK184" s="223">
        <f t="shared" si="305"/>
        <v>0</v>
      </c>
      <c r="AL184" s="223">
        <f t="shared" si="305"/>
        <v>0</v>
      </c>
      <c r="AM184" s="223">
        <f t="shared" si="305"/>
        <v>0</v>
      </c>
      <c r="AN184" s="223">
        <f t="shared" si="305"/>
        <v>0</v>
      </c>
      <c r="AO184" s="223">
        <f t="shared" si="305"/>
        <v>0</v>
      </c>
      <c r="AP184" s="223">
        <f t="shared" si="305"/>
        <v>0</v>
      </c>
      <c r="AQ184" s="223">
        <f t="shared" si="256"/>
        <v>22532552</v>
      </c>
      <c r="AR184" s="231">
        <f t="shared" si="197"/>
        <v>5.7924298200514139E-3</v>
      </c>
      <c r="AS184" s="232">
        <f t="shared" si="255"/>
        <v>16367448</v>
      </c>
      <c r="AT184" s="231">
        <f t="shared" si="198"/>
        <v>42.075701799485863</v>
      </c>
      <c r="AU184" s="220" t="s">
        <v>576</v>
      </c>
      <c r="AV184" s="220" t="s">
        <v>546</v>
      </c>
      <c r="AW184" s="220" t="s">
        <v>4732</v>
      </c>
      <c r="AX184" s="223">
        <f>SUM(AX185:AX186)</f>
        <v>0</v>
      </c>
      <c r="AY184" s="223">
        <f>SUM(AY185:AY186)</f>
        <v>3275000</v>
      </c>
      <c r="AZ184" s="223">
        <f>SUM(AZ185:AZ186)</f>
        <v>2450000</v>
      </c>
      <c r="BA184" s="223">
        <f t="shared" ref="BA184" si="306">SUM(BA185:BA186)</f>
        <v>2446000</v>
      </c>
      <c r="BB184" s="223">
        <f t="shared" ref="BB184" si="307">SUM(BB185:BB186)</f>
        <v>1810000</v>
      </c>
      <c r="BC184" s="223">
        <f t="shared" ref="BC184:BD184" si="308">SUM(BC185:BC186)</f>
        <v>0</v>
      </c>
      <c r="BD184" s="223">
        <f t="shared" si="308"/>
        <v>12551552</v>
      </c>
      <c r="BE184" s="223">
        <f t="shared" ref="BE184" si="309">SUM(BE185:BE186)</f>
        <v>0</v>
      </c>
    </row>
    <row r="185" spans="2:57" x14ac:dyDescent="0.3">
      <c r="B185" s="288">
        <v>521211</v>
      </c>
      <c r="C185" s="220" t="s">
        <v>7</v>
      </c>
      <c r="D185" s="220"/>
      <c r="E185" s="220"/>
      <c r="F185" s="221">
        <v>23900000</v>
      </c>
      <c r="G185" s="221"/>
      <c r="H185" s="221"/>
      <c r="I185" s="221"/>
      <c r="J185" s="221"/>
      <c r="K185" s="221"/>
      <c r="L185" s="221"/>
      <c r="M185" s="221"/>
      <c r="N185" s="302">
        <v>2450000</v>
      </c>
      <c r="O185" s="221">
        <v>3275000</v>
      </c>
      <c r="P185" s="221"/>
      <c r="Q185" s="221">
        <v>2446000</v>
      </c>
      <c r="R185" s="221"/>
      <c r="S185" s="221"/>
      <c r="T185" s="221">
        <f>1810000</f>
        <v>1810000</v>
      </c>
      <c r="U185" s="221">
        <v>3850000</v>
      </c>
      <c r="V185" s="221"/>
      <c r="W185" s="221"/>
      <c r="X185" s="221"/>
      <c r="Y185" s="221"/>
      <c r="Z185" s="221"/>
      <c r="AA185" s="221"/>
      <c r="AB185" s="221"/>
      <c r="AC185" s="221"/>
      <c r="AD185" s="221"/>
      <c r="AE185" s="221"/>
      <c r="AF185" s="221"/>
      <c r="AG185" s="221"/>
      <c r="AH185" s="221"/>
      <c r="AI185" s="221"/>
      <c r="AJ185" s="221"/>
      <c r="AK185" s="221"/>
      <c r="AL185" s="221"/>
      <c r="AM185" s="221"/>
      <c r="AN185" s="221"/>
      <c r="AO185" s="221"/>
      <c r="AP185" s="221"/>
      <c r="AQ185" s="221">
        <f t="shared" si="256"/>
        <v>13831000</v>
      </c>
      <c r="AR185" s="224">
        <f t="shared" si="197"/>
        <v>5.7870292887029287E-3</v>
      </c>
      <c r="AS185" s="225">
        <f t="shared" si="255"/>
        <v>10069000</v>
      </c>
      <c r="AT185" s="224">
        <f t="shared" si="198"/>
        <v>42.129707112970713</v>
      </c>
      <c r="AU185" s="220" t="s">
        <v>576</v>
      </c>
      <c r="AV185" s="220" t="s">
        <v>546</v>
      </c>
      <c r="AW185" s="220" t="s">
        <v>4732</v>
      </c>
      <c r="AX185" s="221"/>
      <c r="AY185" s="221">
        <v>3275000</v>
      </c>
      <c r="AZ185" s="302">
        <v>2450000</v>
      </c>
      <c r="BA185" s="221">
        <v>2446000</v>
      </c>
      <c r="BB185" s="221">
        <v>1810000</v>
      </c>
      <c r="BC185" s="221"/>
      <c r="BD185" s="221">
        <v>3850000</v>
      </c>
      <c r="BE185" s="221"/>
    </row>
    <row r="186" spans="2:57" x14ac:dyDescent="0.3">
      <c r="B186" s="288">
        <v>524111</v>
      </c>
      <c r="C186" s="220" t="s">
        <v>19</v>
      </c>
      <c r="D186" s="220"/>
      <c r="E186" s="220"/>
      <c r="F186" s="221">
        <v>15000000</v>
      </c>
      <c r="G186" s="221"/>
      <c r="H186" s="221"/>
      <c r="I186" s="221"/>
      <c r="J186" s="221"/>
      <c r="K186" s="221"/>
      <c r="L186" s="221"/>
      <c r="M186" s="221"/>
      <c r="N186" s="221"/>
      <c r="O186" s="221"/>
      <c r="P186" s="221"/>
      <c r="Q186" s="221"/>
      <c r="R186" s="221"/>
      <c r="S186" s="221"/>
      <c r="T186" s="221"/>
      <c r="U186" s="221">
        <v>8701552</v>
      </c>
      <c r="V186" s="221"/>
      <c r="W186" s="221"/>
      <c r="X186" s="221"/>
      <c r="Y186" s="221"/>
      <c r="Z186" s="221"/>
      <c r="AA186" s="221"/>
      <c r="AB186" s="221"/>
      <c r="AC186" s="221"/>
      <c r="AD186" s="221"/>
      <c r="AE186" s="221"/>
      <c r="AF186" s="221"/>
      <c r="AG186" s="221"/>
      <c r="AH186" s="221"/>
      <c r="AI186" s="221"/>
      <c r="AJ186" s="221"/>
      <c r="AK186" s="221"/>
      <c r="AL186" s="221"/>
      <c r="AM186" s="221"/>
      <c r="AN186" s="221"/>
      <c r="AO186" s="221"/>
      <c r="AP186" s="221"/>
      <c r="AQ186" s="221">
        <f t="shared" si="256"/>
        <v>8701552</v>
      </c>
      <c r="AR186" s="224">
        <f t="shared" si="197"/>
        <v>5.8010346666666664E-3</v>
      </c>
      <c r="AS186" s="225">
        <f t="shared" si="255"/>
        <v>6298448</v>
      </c>
      <c r="AT186" s="224">
        <f t="shared" si="198"/>
        <v>41.989653333333329</v>
      </c>
      <c r="AU186" s="220" t="s">
        <v>576</v>
      </c>
      <c r="AV186" s="220" t="s">
        <v>546</v>
      </c>
      <c r="AW186" s="220" t="s">
        <v>4732</v>
      </c>
      <c r="AX186" s="221"/>
      <c r="AY186" s="221"/>
      <c r="AZ186" s="302"/>
      <c r="BA186" s="221"/>
      <c r="BB186" s="221"/>
      <c r="BC186" s="221"/>
      <c r="BD186" s="221">
        <v>8701552</v>
      </c>
      <c r="BE186" s="221"/>
    </row>
    <row r="187" spans="2:57" x14ac:dyDescent="0.3">
      <c r="B187" s="290" t="s">
        <v>511</v>
      </c>
      <c r="C187" s="222" t="s">
        <v>144</v>
      </c>
      <c r="D187" s="222"/>
      <c r="E187" s="222"/>
      <c r="F187" s="223">
        <f t="shared" ref="F187:AP187" si="310">SUM(F188:F189)</f>
        <v>29400000</v>
      </c>
      <c r="G187" s="223">
        <f t="shared" si="310"/>
        <v>0</v>
      </c>
      <c r="H187" s="223">
        <f t="shared" si="310"/>
        <v>0</v>
      </c>
      <c r="I187" s="223">
        <f t="shared" si="310"/>
        <v>0</v>
      </c>
      <c r="J187" s="223">
        <f t="shared" si="310"/>
        <v>0</v>
      </c>
      <c r="K187" s="223">
        <f t="shared" si="310"/>
        <v>0</v>
      </c>
      <c r="L187" s="223">
        <f t="shared" si="310"/>
        <v>0</v>
      </c>
      <c r="M187" s="223">
        <f t="shared" si="310"/>
        <v>0</v>
      </c>
      <c r="N187" s="223">
        <f t="shared" si="310"/>
        <v>0</v>
      </c>
      <c r="O187" s="223">
        <f t="shared" si="310"/>
        <v>5350000</v>
      </c>
      <c r="P187" s="223">
        <f t="shared" si="310"/>
        <v>0</v>
      </c>
      <c r="Q187" s="223">
        <f t="shared" si="310"/>
        <v>0</v>
      </c>
      <c r="R187" s="223">
        <f t="shared" si="310"/>
        <v>0</v>
      </c>
      <c r="S187" s="223">
        <f t="shared" si="310"/>
        <v>0</v>
      </c>
      <c r="T187" s="223">
        <f t="shared" si="310"/>
        <v>2444000</v>
      </c>
      <c r="U187" s="223">
        <f t="shared" si="310"/>
        <v>0</v>
      </c>
      <c r="V187" s="223">
        <f t="shared" si="310"/>
        <v>0</v>
      </c>
      <c r="W187" s="223">
        <f t="shared" si="310"/>
        <v>0</v>
      </c>
      <c r="X187" s="223">
        <f t="shared" si="310"/>
        <v>0</v>
      </c>
      <c r="Y187" s="223">
        <f t="shared" si="310"/>
        <v>0</v>
      </c>
      <c r="Z187" s="223">
        <f t="shared" si="310"/>
        <v>0</v>
      </c>
      <c r="AA187" s="223">
        <f t="shared" si="310"/>
        <v>0</v>
      </c>
      <c r="AB187" s="223">
        <f t="shared" si="310"/>
        <v>0</v>
      </c>
      <c r="AC187" s="223">
        <f t="shared" si="310"/>
        <v>0</v>
      </c>
      <c r="AD187" s="223">
        <f t="shared" si="310"/>
        <v>0</v>
      </c>
      <c r="AE187" s="223">
        <f t="shared" si="310"/>
        <v>0</v>
      </c>
      <c r="AF187" s="223">
        <f t="shared" si="310"/>
        <v>0</v>
      </c>
      <c r="AG187" s="223">
        <f t="shared" si="310"/>
        <v>0</v>
      </c>
      <c r="AH187" s="223">
        <f t="shared" si="310"/>
        <v>0</v>
      </c>
      <c r="AI187" s="223">
        <f t="shared" si="310"/>
        <v>0</v>
      </c>
      <c r="AJ187" s="223">
        <f t="shared" si="310"/>
        <v>0</v>
      </c>
      <c r="AK187" s="223">
        <f t="shared" si="310"/>
        <v>0</v>
      </c>
      <c r="AL187" s="223">
        <f t="shared" si="310"/>
        <v>0</v>
      </c>
      <c r="AM187" s="223">
        <f t="shared" si="310"/>
        <v>0</v>
      </c>
      <c r="AN187" s="223">
        <f t="shared" si="310"/>
        <v>0</v>
      </c>
      <c r="AO187" s="223">
        <f t="shared" si="310"/>
        <v>0</v>
      </c>
      <c r="AP187" s="223">
        <f t="shared" si="310"/>
        <v>0</v>
      </c>
      <c r="AQ187" s="223">
        <f t="shared" si="256"/>
        <v>7794000</v>
      </c>
      <c r="AR187" s="231">
        <f t="shared" si="197"/>
        <v>2.6510204081632654E-3</v>
      </c>
      <c r="AS187" s="232">
        <f t="shared" si="255"/>
        <v>21606000</v>
      </c>
      <c r="AT187" s="231">
        <f t="shared" si="198"/>
        <v>73.489795918367349</v>
      </c>
      <c r="AU187" s="220" t="s">
        <v>576</v>
      </c>
      <c r="AV187" s="220" t="s">
        <v>546</v>
      </c>
      <c r="AW187" s="220" t="s">
        <v>4732</v>
      </c>
      <c r="AX187" s="223">
        <f>SUM(AX188:AX189)</f>
        <v>0</v>
      </c>
      <c r="AY187" s="223">
        <f>SUM(AY188:AY189)</f>
        <v>5350000</v>
      </c>
      <c r="AZ187" s="223">
        <f>SUM(AZ188:AZ189)</f>
        <v>0</v>
      </c>
      <c r="BA187" s="223">
        <f t="shared" ref="BA187" si="311">SUM(BA188:BA189)</f>
        <v>0</v>
      </c>
      <c r="BB187" s="223">
        <f t="shared" ref="BB187" si="312">SUM(BB188:BB189)</f>
        <v>0</v>
      </c>
      <c r="BC187" s="223">
        <f t="shared" ref="BC187:BD187" si="313">SUM(BC188:BC189)</f>
        <v>2444000</v>
      </c>
      <c r="BD187" s="223">
        <f t="shared" si="313"/>
        <v>0</v>
      </c>
      <c r="BE187" s="223">
        <f t="shared" ref="BE187" si="314">SUM(BE188:BE189)</f>
        <v>0</v>
      </c>
    </row>
    <row r="188" spans="2:57" x14ac:dyDescent="0.3">
      <c r="B188" s="288">
        <v>521211</v>
      </c>
      <c r="C188" s="220" t="s">
        <v>7</v>
      </c>
      <c r="D188" s="220"/>
      <c r="E188" s="220"/>
      <c r="F188" s="221">
        <v>11400000</v>
      </c>
      <c r="G188" s="221"/>
      <c r="H188" s="221"/>
      <c r="I188" s="221"/>
      <c r="J188" s="221"/>
      <c r="K188" s="221"/>
      <c r="L188" s="221"/>
      <c r="M188" s="221"/>
      <c r="N188" s="221"/>
      <c r="O188" s="221">
        <v>2500000</v>
      </c>
      <c r="P188" s="221"/>
      <c r="Q188" s="221"/>
      <c r="R188" s="221"/>
      <c r="S188" s="221"/>
      <c r="T188" s="221">
        <v>2444000</v>
      </c>
      <c r="U188" s="221"/>
      <c r="V188" s="221"/>
      <c r="W188" s="221"/>
      <c r="X188" s="221"/>
      <c r="Y188" s="221"/>
      <c r="Z188" s="221"/>
      <c r="AA188" s="221"/>
      <c r="AB188" s="221"/>
      <c r="AC188" s="221"/>
      <c r="AD188" s="221"/>
      <c r="AE188" s="221"/>
      <c r="AF188" s="221"/>
      <c r="AG188" s="221"/>
      <c r="AH188" s="221"/>
      <c r="AI188" s="221"/>
      <c r="AJ188" s="221"/>
      <c r="AK188" s="221"/>
      <c r="AL188" s="221"/>
      <c r="AM188" s="221"/>
      <c r="AN188" s="221"/>
      <c r="AO188" s="221"/>
      <c r="AP188" s="221"/>
      <c r="AQ188" s="221">
        <f t="shared" si="256"/>
        <v>4944000</v>
      </c>
      <c r="AR188" s="224">
        <f t="shared" si="197"/>
        <v>4.336842105263158E-3</v>
      </c>
      <c r="AS188" s="225">
        <f t="shared" si="255"/>
        <v>6456000</v>
      </c>
      <c r="AT188" s="224">
        <f t="shared" si="198"/>
        <v>56.631578947368425</v>
      </c>
      <c r="AU188" s="220" t="s">
        <v>576</v>
      </c>
      <c r="AV188" s="220" t="s">
        <v>546</v>
      </c>
      <c r="AW188" s="220" t="s">
        <v>4732</v>
      </c>
      <c r="AX188" s="221"/>
      <c r="AY188" s="221">
        <v>2500000</v>
      </c>
      <c r="AZ188" s="302"/>
      <c r="BA188" s="221"/>
      <c r="BB188" s="221"/>
      <c r="BC188" s="221">
        <v>2444000</v>
      </c>
      <c r="BD188" s="221"/>
      <c r="BE188" s="221"/>
    </row>
    <row r="189" spans="2:57" x14ac:dyDescent="0.3">
      <c r="B189" s="288">
        <v>524111</v>
      </c>
      <c r="C189" s="220" t="s">
        <v>19</v>
      </c>
      <c r="D189" s="220"/>
      <c r="E189" s="220"/>
      <c r="F189" s="221">
        <v>18000000</v>
      </c>
      <c r="G189" s="221"/>
      <c r="H189" s="221"/>
      <c r="I189" s="221"/>
      <c r="J189" s="221"/>
      <c r="K189" s="221"/>
      <c r="L189" s="221"/>
      <c r="M189" s="221"/>
      <c r="N189" s="221"/>
      <c r="O189" s="221">
        <v>2850000</v>
      </c>
      <c r="P189" s="221"/>
      <c r="Q189" s="221"/>
      <c r="R189" s="221"/>
      <c r="S189" s="221"/>
      <c r="T189" s="221"/>
      <c r="U189" s="221"/>
      <c r="V189" s="221"/>
      <c r="W189" s="221"/>
      <c r="X189" s="221"/>
      <c r="Y189" s="221"/>
      <c r="Z189" s="221"/>
      <c r="AA189" s="221"/>
      <c r="AB189" s="221"/>
      <c r="AC189" s="221"/>
      <c r="AD189" s="221"/>
      <c r="AE189" s="221"/>
      <c r="AF189" s="221"/>
      <c r="AG189" s="221"/>
      <c r="AH189" s="221"/>
      <c r="AI189" s="221"/>
      <c r="AJ189" s="221"/>
      <c r="AK189" s="221"/>
      <c r="AL189" s="221"/>
      <c r="AM189" s="221"/>
      <c r="AN189" s="221"/>
      <c r="AO189" s="221"/>
      <c r="AP189" s="221"/>
      <c r="AQ189" s="221">
        <f t="shared" si="256"/>
        <v>2850000</v>
      </c>
      <c r="AR189" s="224">
        <f t="shared" si="197"/>
        <v>1.5833333333333333E-3</v>
      </c>
      <c r="AS189" s="225">
        <f t="shared" si="255"/>
        <v>15150000</v>
      </c>
      <c r="AT189" s="224">
        <f t="shared" si="198"/>
        <v>84.166666666666671</v>
      </c>
      <c r="AU189" s="220" t="s">
        <v>576</v>
      </c>
      <c r="AV189" s="220" t="s">
        <v>546</v>
      </c>
      <c r="AW189" s="220" t="s">
        <v>4732</v>
      </c>
      <c r="AX189" s="221"/>
      <c r="AY189" s="221">
        <v>2850000</v>
      </c>
      <c r="AZ189" s="302"/>
      <c r="BA189" s="221"/>
      <c r="BB189" s="221"/>
      <c r="BC189" s="221"/>
      <c r="BD189" s="221"/>
      <c r="BE189" s="221"/>
    </row>
    <row r="190" spans="2:57" x14ac:dyDescent="0.3">
      <c r="B190" s="290" t="s">
        <v>512</v>
      </c>
      <c r="C190" s="222" t="s">
        <v>145</v>
      </c>
      <c r="D190" s="222"/>
      <c r="E190" s="222"/>
      <c r="F190" s="223">
        <f t="shared" ref="F190:AP190" si="315">SUM(F191:F192)</f>
        <v>25000000</v>
      </c>
      <c r="G190" s="223">
        <f t="shared" si="315"/>
        <v>0</v>
      </c>
      <c r="H190" s="223">
        <f t="shared" si="315"/>
        <v>0</v>
      </c>
      <c r="I190" s="223">
        <f t="shared" si="315"/>
        <v>0</v>
      </c>
      <c r="J190" s="223">
        <f t="shared" si="315"/>
        <v>0</v>
      </c>
      <c r="K190" s="223">
        <f t="shared" si="315"/>
        <v>0</v>
      </c>
      <c r="L190" s="223">
        <f t="shared" si="315"/>
        <v>0</v>
      </c>
      <c r="M190" s="223">
        <f t="shared" si="315"/>
        <v>0</v>
      </c>
      <c r="N190" s="223">
        <f t="shared" si="315"/>
        <v>2469500</v>
      </c>
      <c r="O190" s="223">
        <f t="shared" si="315"/>
        <v>0</v>
      </c>
      <c r="P190" s="223">
        <f t="shared" si="315"/>
        <v>0</v>
      </c>
      <c r="Q190" s="223">
        <f t="shared" si="315"/>
        <v>0</v>
      </c>
      <c r="R190" s="223">
        <f t="shared" si="315"/>
        <v>0</v>
      </c>
      <c r="S190" s="223">
        <f t="shared" si="315"/>
        <v>0</v>
      </c>
      <c r="T190" s="223">
        <f t="shared" si="315"/>
        <v>2499000</v>
      </c>
      <c r="U190" s="223">
        <f t="shared" si="315"/>
        <v>0</v>
      </c>
      <c r="V190" s="223">
        <f t="shared" si="315"/>
        <v>0</v>
      </c>
      <c r="W190" s="223">
        <f t="shared" si="315"/>
        <v>0</v>
      </c>
      <c r="X190" s="223">
        <f t="shared" si="315"/>
        <v>0</v>
      </c>
      <c r="Y190" s="223">
        <f t="shared" si="315"/>
        <v>0</v>
      </c>
      <c r="Z190" s="223">
        <f t="shared" si="315"/>
        <v>0</v>
      </c>
      <c r="AA190" s="223">
        <f t="shared" si="315"/>
        <v>0</v>
      </c>
      <c r="AB190" s="223">
        <f t="shared" si="315"/>
        <v>0</v>
      </c>
      <c r="AC190" s="223">
        <f t="shared" si="315"/>
        <v>0</v>
      </c>
      <c r="AD190" s="223">
        <f t="shared" si="315"/>
        <v>0</v>
      </c>
      <c r="AE190" s="223">
        <f t="shared" si="315"/>
        <v>0</v>
      </c>
      <c r="AF190" s="223">
        <f t="shared" si="315"/>
        <v>0</v>
      </c>
      <c r="AG190" s="223">
        <f t="shared" si="315"/>
        <v>0</v>
      </c>
      <c r="AH190" s="223">
        <f t="shared" si="315"/>
        <v>0</v>
      </c>
      <c r="AI190" s="223">
        <f t="shared" si="315"/>
        <v>0</v>
      </c>
      <c r="AJ190" s="223">
        <f t="shared" si="315"/>
        <v>0</v>
      </c>
      <c r="AK190" s="223">
        <f t="shared" si="315"/>
        <v>0</v>
      </c>
      <c r="AL190" s="223">
        <f t="shared" si="315"/>
        <v>0</v>
      </c>
      <c r="AM190" s="223">
        <f t="shared" si="315"/>
        <v>0</v>
      </c>
      <c r="AN190" s="223">
        <f t="shared" si="315"/>
        <v>0</v>
      </c>
      <c r="AO190" s="223">
        <f t="shared" si="315"/>
        <v>0</v>
      </c>
      <c r="AP190" s="223">
        <f t="shared" si="315"/>
        <v>0</v>
      </c>
      <c r="AQ190" s="223">
        <f t="shared" ref="AQ190:AQ230" si="316">SUM(G190:AP190)</f>
        <v>4968500</v>
      </c>
      <c r="AR190" s="231">
        <f t="shared" ref="AR190:AR231" si="317">AQ190/F190/100</f>
        <v>1.9873999999999998E-3</v>
      </c>
      <c r="AS190" s="232">
        <f t="shared" ref="AS190:AS231" si="318">F190-AQ190</f>
        <v>20031500</v>
      </c>
      <c r="AT190" s="231">
        <f t="shared" ref="AT190:AT231" si="319">AS190/F190*100</f>
        <v>80.125999999999991</v>
      </c>
      <c r="AU190" s="220" t="s">
        <v>576</v>
      </c>
      <c r="AV190" s="220" t="s">
        <v>546</v>
      </c>
      <c r="AW190" s="220" t="s">
        <v>4732</v>
      </c>
      <c r="AX190" s="223">
        <f>SUM(AX191:AX192)</f>
        <v>0</v>
      </c>
      <c r="AY190" s="223">
        <f>SUM(AY191:AY192)</f>
        <v>0</v>
      </c>
      <c r="AZ190" s="223">
        <f>SUM(AZ191:AZ192)</f>
        <v>2469500</v>
      </c>
      <c r="BA190" s="223">
        <f t="shared" ref="BA190" si="320">SUM(BA191:BA192)</f>
        <v>0</v>
      </c>
      <c r="BB190" s="223">
        <f t="shared" ref="BB190" si="321">SUM(BB191:BB192)</f>
        <v>0</v>
      </c>
      <c r="BC190" s="223">
        <f t="shared" ref="BC190:BD190" si="322">SUM(BC191:BC192)</f>
        <v>2499000</v>
      </c>
      <c r="BD190" s="223">
        <f t="shared" si="322"/>
        <v>0</v>
      </c>
      <c r="BE190" s="223">
        <f t="shared" ref="BE190" si="323">SUM(BE191:BE192)</f>
        <v>0</v>
      </c>
    </row>
    <row r="191" spans="2:57" x14ac:dyDescent="0.3">
      <c r="B191" s="288">
        <v>521211</v>
      </c>
      <c r="C191" s="220" t="s">
        <v>7</v>
      </c>
      <c r="D191" s="220"/>
      <c r="E191" s="220"/>
      <c r="F191" s="221">
        <v>10000000</v>
      </c>
      <c r="G191" s="221"/>
      <c r="H191" s="221"/>
      <c r="I191" s="221"/>
      <c r="J191" s="221"/>
      <c r="K191" s="221"/>
      <c r="L191" s="221"/>
      <c r="M191" s="221"/>
      <c r="N191" s="302">
        <v>2469500</v>
      </c>
      <c r="O191" s="221"/>
      <c r="P191" s="221"/>
      <c r="Q191" s="221"/>
      <c r="R191" s="221"/>
      <c r="S191" s="221"/>
      <c r="T191" s="221">
        <v>2499000</v>
      </c>
      <c r="U191" s="221"/>
      <c r="V191" s="221"/>
      <c r="W191" s="221"/>
      <c r="X191" s="221"/>
      <c r="Y191" s="221"/>
      <c r="Z191" s="221"/>
      <c r="AA191" s="221"/>
      <c r="AB191" s="221"/>
      <c r="AC191" s="221"/>
      <c r="AD191" s="221"/>
      <c r="AE191" s="221"/>
      <c r="AF191" s="221"/>
      <c r="AG191" s="221"/>
      <c r="AH191" s="221"/>
      <c r="AI191" s="221"/>
      <c r="AJ191" s="221"/>
      <c r="AK191" s="221"/>
      <c r="AL191" s="221"/>
      <c r="AM191" s="221"/>
      <c r="AN191" s="221"/>
      <c r="AO191" s="221"/>
      <c r="AP191" s="221"/>
      <c r="AQ191" s="221">
        <f t="shared" si="316"/>
        <v>4968500</v>
      </c>
      <c r="AR191" s="224">
        <f t="shared" si="317"/>
        <v>4.9684999999999998E-3</v>
      </c>
      <c r="AS191" s="225">
        <f t="shared" si="318"/>
        <v>5031500</v>
      </c>
      <c r="AT191" s="224">
        <f t="shared" si="319"/>
        <v>50.314999999999998</v>
      </c>
      <c r="AU191" s="220" t="s">
        <v>576</v>
      </c>
      <c r="AV191" s="220" t="s">
        <v>546</v>
      </c>
      <c r="AW191" s="220" t="s">
        <v>4732</v>
      </c>
      <c r="AX191" s="221"/>
      <c r="AY191" s="221"/>
      <c r="AZ191" s="302">
        <v>2469500</v>
      </c>
      <c r="BA191" s="221"/>
      <c r="BB191" s="221"/>
      <c r="BC191" s="221">
        <v>2499000</v>
      </c>
      <c r="BD191" s="221"/>
      <c r="BE191" s="221"/>
    </row>
    <row r="192" spans="2:57" x14ac:dyDescent="0.3">
      <c r="B192" s="288">
        <v>524111</v>
      </c>
      <c r="C192" s="220" t="s">
        <v>19</v>
      </c>
      <c r="D192" s="220"/>
      <c r="E192" s="220"/>
      <c r="F192" s="221">
        <v>15000000</v>
      </c>
      <c r="G192" s="221"/>
      <c r="H192" s="221"/>
      <c r="I192" s="221"/>
      <c r="J192" s="221"/>
      <c r="K192" s="221"/>
      <c r="L192" s="221"/>
      <c r="M192" s="221"/>
      <c r="N192" s="221"/>
      <c r="O192" s="221"/>
      <c r="P192" s="221"/>
      <c r="Q192" s="221"/>
      <c r="R192" s="221"/>
      <c r="S192" s="221"/>
      <c r="T192" s="221"/>
      <c r="U192" s="221"/>
      <c r="V192" s="221"/>
      <c r="W192" s="221"/>
      <c r="X192" s="221"/>
      <c r="Y192" s="221"/>
      <c r="Z192" s="221"/>
      <c r="AA192" s="221"/>
      <c r="AB192" s="221"/>
      <c r="AC192" s="221"/>
      <c r="AD192" s="221"/>
      <c r="AE192" s="221"/>
      <c r="AF192" s="221"/>
      <c r="AG192" s="221"/>
      <c r="AH192" s="221"/>
      <c r="AI192" s="221"/>
      <c r="AJ192" s="221"/>
      <c r="AK192" s="221"/>
      <c r="AL192" s="221"/>
      <c r="AM192" s="221"/>
      <c r="AN192" s="221"/>
      <c r="AO192" s="221"/>
      <c r="AP192" s="221"/>
      <c r="AQ192" s="221">
        <f t="shared" si="316"/>
        <v>0</v>
      </c>
      <c r="AR192" s="224">
        <f t="shared" si="317"/>
        <v>0</v>
      </c>
      <c r="AS192" s="225">
        <f t="shared" si="318"/>
        <v>15000000</v>
      </c>
      <c r="AT192" s="224">
        <f t="shared" si="319"/>
        <v>100</v>
      </c>
      <c r="AU192" s="220" t="s">
        <v>576</v>
      </c>
      <c r="AV192" s="220" t="s">
        <v>546</v>
      </c>
      <c r="AW192" s="220" t="s">
        <v>4732</v>
      </c>
      <c r="AX192" s="221"/>
      <c r="AY192" s="221"/>
      <c r="AZ192" s="302"/>
      <c r="BA192" s="221"/>
      <c r="BB192" s="221"/>
      <c r="BC192" s="221"/>
      <c r="BD192" s="221"/>
      <c r="BE192" s="221"/>
    </row>
    <row r="193" spans="2:61" x14ac:dyDescent="0.3">
      <c r="B193" s="290" t="s">
        <v>514</v>
      </c>
      <c r="C193" s="222" t="s">
        <v>3350</v>
      </c>
      <c r="D193" s="222"/>
      <c r="E193" s="222"/>
      <c r="F193" s="223">
        <f t="shared" ref="F193:AP193" si="324">SUM(F194:F196)</f>
        <v>80940000</v>
      </c>
      <c r="G193" s="223">
        <f t="shared" si="324"/>
        <v>0</v>
      </c>
      <c r="H193" s="223">
        <f t="shared" si="324"/>
        <v>0</v>
      </c>
      <c r="I193" s="223">
        <f t="shared" si="324"/>
        <v>0</v>
      </c>
      <c r="J193" s="223">
        <f t="shared" si="324"/>
        <v>0</v>
      </c>
      <c r="K193" s="223">
        <f t="shared" si="324"/>
        <v>0</v>
      </c>
      <c r="L193" s="223">
        <f t="shared" si="324"/>
        <v>0</v>
      </c>
      <c r="M193" s="223">
        <f t="shared" si="324"/>
        <v>0</v>
      </c>
      <c r="N193" s="223">
        <f t="shared" si="324"/>
        <v>0</v>
      </c>
      <c r="O193" s="223">
        <f t="shared" si="324"/>
        <v>2500000</v>
      </c>
      <c r="P193" s="223">
        <f t="shared" si="324"/>
        <v>0</v>
      </c>
      <c r="Q193" s="223">
        <f t="shared" si="324"/>
        <v>14993200</v>
      </c>
      <c r="R193" s="223">
        <f t="shared" si="324"/>
        <v>0</v>
      </c>
      <c r="S193" s="223">
        <f t="shared" si="324"/>
        <v>0</v>
      </c>
      <c r="T193" s="223">
        <f t="shared" si="324"/>
        <v>5085000</v>
      </c>
      <c r="U193" s="223">
        <f t="shared" si="324"/>
        <v>9041268</v>
      </c>
      <c r="V193" s="223">
        <f t="shared" si="324"/>
        <v>0</v>
      </c>
      <c r="W193" s="223">
        <f t="shared" si="324"/>
        <v>0</v>
      </c>
      <c r="X193" s="223">
        <f t="shared" si="324"/>
        <v>0</v>
      </c>
      <c r="Y193" s="223">
        <f t="shared" si="324"/>
        <v>0</v>
      </c>
      <c r="Z193" s="223">
        <f t="shared" si="324"/>
        <v>0</v>
      </c>
      <c r="AA193" s="223">
        <f t="shared" si="324"/>
        <v>0</v>
      </c>
      <c r="AB193" s="223">
        <f t="shared" si="324"/>
        <v>0</v>
      </c>
      <c r="AC193" s="223">
        <f t="shared" si="324"/>
        <v>0</v>
      </c>
      <c r="AD193" s="223">
        <f t="shared" si="324"/>
        <v>0</v>
      </c>
      <c r="AE193" s="223">
        <f t="shared" si="324"/>
        <v>0</v>
      </c>
      <c r="AF193" s="223">
        <f t="shared" si="324"/>
        <v>0</v>
      </c>
      <c r="AG193" s="223">
        <f t="shared" si="324"/>
        <v>0</v>
      </c>
      <c r="AH193" s="223">
        <f t="shared" si="324"/>
        <v>0</v>
      </c>
      <c r="AI193" s="223">
        <f t="shared" si="324"/>
        <v>0</v>
      </c>
      <c r="AJ193" s="223">
        <f t="shared" si="324"/>
        <v>0</v>
      </c>
      <c r="AK193" s="223">
        <f t="shared" si="324"/>
        <v>0</v>
      </c>
      <c r="AL193" s="223">
        <f t="shared" si="324"/>
        <v>0</v>
      </c>
      <c r="AM193" s="223">
        <f t="shared" si="324"/>
        <v>0</v>
      </c>
      <c r="AN193" s="223">
        <f t="shared" si="324"/>
        <v>0</v>
      </c>
      <c r="AO193" s="223">
        <f t="shared" si="324"/>
        <v>0</v>
      </c>
      <c r="AP193" s="223">
        <f t="shared" si="324"/>
        <v>0</v>
      </c>
      <c r="AQ193" s="223">
        <f t="shared" si="316"/>
        <v>31619468</v>
      </c>
      <c r="AR193" s="231">
        <f t="shared" si="317"/>
        <v>3.9065317519149986E-3</v>
      </c>
      <c r="AS193" s="232">
        <f t="shared" si="318"/>
        <v>49320532</v>
      </c>
      <c r="AT193" s="231">
        <f t="shared" si="319"/>
        <v>60.934682480850014</v>
      </c>
      <c r="AU193" s="220" t="s">
        <v>576</v>
      </c>
      <c r="AV193" s="220" t="s">
        <v>546</v>
      </c>
      <c r="AW193" s="220" t="s">
        <v>4732</v>
      </c>
      <c r="AX193" s="223">
        <f>SUM(AX194:AX196)</f>
        <v>0</v>
      </c>
      <c r="AY193" s="223">
        <f>SUM(AY194:AY196)</f>
        <v>2500000</v>
      </c>
      <c r="AZ193" s="223">
        <f>SUM(AZ194:AZ196)</f>
        <v>0</v>
      </c>
      <c r="BA193" s="223">
        <f t="shared" ref="BA193" si="325">SUM(BA194:BA196)</f>
        <v>14993200</v>
      </c>
      <c r="BB193" s="223">
        <f t="shared" ref="BB193" si="326">SUM(BB194:BB196)</f>
        <v>2590000</v>
      </c>
      <c r="BC193" s="223">
        <f t="shared" ref="BC193:BD193" si="327">SUM(BC194:BC196)</f>
        <v>2495000</v>
      </c>
      <c r="BD193" s="223">
        <f t="shared" si="327"/>
        <v>9041268</v>
      </c>
      <c r="BE193" s="223">
        <f t="shared" ref="BE193" si="328">SUM(BE194:BE196)</f>
        <v>0</v>
      </c>
    </row>
    <row r="194" spans="2:61" x14ac:dyDescent="0.3">
      <c r="B194" s="288">
        <v>521211</v>
      </c>
      <c r="C194" s="220" t="s">
        <v>7</v>
      </c>
      <c r="D194" s="220"/>
      <c r="E194" s="220"/>
      <c r="F194" s="221">
        <v>35340000</v>
      </c>
      <c r="G194" s="221"/>
      <c r="H194" s="221"/>
      <c r="I194" s="221"/>
      <c r="J194" s="221"/>
      <c r="K194" s="221"/>
      <c r="L194" s="221"/>
      <c r="M194" s="221"/>
      <c r="N194" s="221"/>
      <c r="O194" s="221">
        <v>2500000</v>
      </c>
      <c r="P194" s="221"/>
      <c r="Q194" s="221">
        <v>3400000</v>
      </c>
      <c r="R194" s="221"/>
      <c r="S194" s="221"/>
      <c r="T194" s="221">
        <f>2590000+2495000</f>
        <v>5085000</v>
      </c>
      <c r="U194" s="221"/>
      <c r="V194" s="221"/>
      <c r="W194" s="221"/>
      <c r="X194" s="221"/>
      <c r="Y194" s="221"/>
      <c r="Z194" s="221"/>
      <c r="AA194" s="221"/>
      <c r="AB194" s="221"/>
      <c r="AC194" s="221"/>
      <c r="AD194" s="221"/>
      <c r="AE194" s="221"/>
      <c r="AF194" s="221"/>
      <c r="AG194" s="221"/>
      <c r="AH194" s="221"/>
      <c r="AI194" s="221"/>
      <c r="AJ194" s="221"/>
      <c r="AK194" s="221"/>
      <c r="AL194" s="221"/>
      <c r="AM194" s="221"/>
      <c r="AN194" s="221"/>
      <c r="AO194" s="221"/>
      <c r="AP194" s="221"/>
      <c r="AQ194" s="221">
        <f t="shared" si="316"/>
        <v>10985000</v>
      </c>
      <c r="AR194" s="224">
        <f t="shared" si="317"/>
        <v>3.1083757781550652E-3</v>
      </c>
      <c r="AS194" s="225">
        <f t="shared" si="318"/>
        <v>24355000</v>
      </c>
      <c r="AT194" s="224">
        <f t="shared" si="319"/>
        <v>68.916242218449355</v>
      </c>
      <c r="AU194" s="220" t="s">
        <v>576</v>
      </c>
      <c r="AV194" s="220" t="s">
        <v>546</v>
      </c>
      <c r="AW194" s="220" t="s">
        <v>4732</v>
      </c>
      <c r="AX194" s="221"/>
      <c r="AY194" s="221">
        <v>2500000</v>
      </c>
      <c r="AZ194" s="302"/>
      <c r="BA194" s="221">
        <v>3400000</v>
      </c>
      <c r="BB194" s="221">
        <v>2590000</v>
      </c>
      <c r="BC194" s="221">
        <v>2495000</v>
      </c>
      <c r="BD194" s="221"/>
      <c r="BE194" s="221"/>
    </row>
    <row r="195" spans="2:61" x14ac:dyDescent="0.3">
      <c r="B195" s="288">
        <v>522151</v>
      </c>
      <c r="C195" s="220" t="s">
        <v>11</v>
      </c>
      <c r="D195" s="220"/>
      <c r="E195" s="220"/>
      <c r="F195" s="221">
        <v>3600000</v>
      </c>
      <c r="G195" s="221"/>
      <c r="H195" s="221"/>
      <c r="I195" s="221"/>
      <c r="J195" s="221"/>
      <c r="K195" s="221"/>
      <c r="L195" s="221"/>
      <c r="M195" s="221"/>
      <c r="N195" s="221"/>
      <c r="O195" s="221"/>
      <c r="P195" s="221"/>
      <c r="Q195" s="221"/>
      <c r="R195" s="221"/>
      <c r="S195" s="221"/>
      <c r="T195" s="221"/>
      <c r="U195" s="221"/>
      <c r="V195" s="221"/>
      <c r="W195" s="221"/>
      <c r="X195" s="221"/>
      <c r="Y195" s="221"/>
      <c r="Z195" s="221"/>
      <c r="AA195" s="221"/>
      <c r="AB195" s="221"/>
      <c r="AC195" s="221"/>
      <c r="AD195" s="221"/>
      <c r="AE195" s="221"/>
      <c r="AF195" s="221"/>
      <c r="AG195" s="221"/>
      <c r="AH195" s="221"/>
      <c r="AI195" s="221"/>
      <c r="AJ195" s="221"/>
      <c r="AK195" s="221"/>
      <c r="AL195" s="221"/>
      <c r="AM195" s="221"/>
      <c r="AN195" s="221"/>
      <c r="AO195" s="221"/>
      <c r="AP195" s="221"/>
      <c r="AQ195" s="221">
        <f t="shared" si="316"/>
        <v>0</v>
      </c>
      <c r="AR195" s="224">
        <f t="shared" si="317"/>
        <v>0</v>
      </c>
      <c r="AS195" s="225">
        <f t="shared" si="318"/>
        <v>3600000</v>
      </c>
      <c r="AT195" s="224">
        <f t="shared" si="319"/>
        <v>100</v>
      </c>
      <c r="AU195" s="220" t="s">
        <v>576</v>
      </c>
      <c r="AV195" s="220" t="s">
        <v>546</v>
      </c>
      <c r="AW195" s="220" t="s">
        <v>4732</v>
      </c>
      <c r="AX195" s="221"/>
      <c r="AY195" s="221"/>
      <c r="AZ195" s="302"/>
      <c r="BA195" s="221"/>
      <c r="BB195" s="221"/>
      <c r="BC195" s="221"/>
      <c r="BD195" s="221"/>
      <c r="BE195" s="221"/>
    </row>
    <row r="196" spans="2:61" x14ac:dyDescent="0.3">
      <c r="B196" s="288">
        <v>524111</v>
      </c>
      <c r="C196" s="220" t="s">
        <v>19</v>
      </c>
      <c r="D196" s="220"/>
      <c r="E196" s="220"/>
      <c r="F196" s="221">
        <v>42000000</v>
      </c>
      <c r="G196" s="221"/>
      <c r="H196" s="221"/>
      <c r="I196" s="221"/>
      <c r="J196" s="221"/>
      <c r="K196" s="221"/>
      <c r="L196" s="221"/>
      <c r="M196" s="221"/>
      <c r="N196" s="221"/>
      <c r="O196" s="221"/>
      <c r="P196" s="221"/>
      <c r="Q196" s="221">
        <v>11593200</v>
      </c>
      <c r="R196" s="221"/>
      <c r="S196" s="221"/>
      <c r="T196" s="221"/>
      <c r="U196" s="221">
        <v>9041268</v>
      </c>
      <c r="V196" s="221"/>
      <c r="W196" s="221"/>
      <c r="X196" s="221"/>
      <c r="Y196" s="221"/>
      <c r="Z196" s="221"/>
      <c r="AA196" s="221"/>
      <c r="AB196" s="221"/>
      <c r="AC196" s="221"/>
      <c r="AD196" s="221"/>
      <c r="AE196" s="221"/>
      <c r="AF196" s="221"/>
      <c r="AG196" s="221"/>
      <c r="AH196" s="221"/>
      <c r="AI196" s="221"/>
      <c r="AJ196" s="221"/>
      <c r="AK196" s="221"/>
      <c r="AL196" s="221"/>
      <c r="AM196" s="221"/>
      <c r="AN196" s="221"/>
      <c r="AO196" s="221"/>
      <c r="AP196" s="221"/>
      <c r="AQ196" s="221">
        <f t="shared" si="316"/>
        <v>20634468</v>
      </c>
      <c r="AR196" s="224">
        <f t="shared" si="317"/>
        <v>4.9129685714285713E-3</v>
      </c>
      <c r="AS196" s="225">
        <f t="shared" si="318"/>
        <v>21365532</v>
      </c>
      <c r="AT196" s="224">
        <f t="shared" si="319"/>
        <v>50.870314285714294</v>
      </c>
      <c r="AU196" s="220" t="s">
        <v>576</v>
      </c>
      <c r="AV196" s="220" t="s">
        <v>546</v>
      </c>
      <c r="AW196" s="220" t="s">
        <v>4732</v>
      </c>
      <c r="AX196" s="221"/>
      <c r="AY196" s="221"/>
      <c r="AZ196" s="302"/>
      <c r="BA196" s="221">
        <v>11593200</v>
      </c>
      <c r="BB196" s="221"/>
      <c r="BC196" s="221"/>
      <c r="BD196" s="221">
        <v>9041268</v>
      </c>
      <c r="BE196" s="221"/>
    </row>
    <row r="197" spans="2:61" x14ac:dyDescent="0.3">
      <c r="B197" s="290" t="s">
        <v>519</v>
      </c>
      <c r="C197" s="222" t="s">
        <v>146</v>
      </c>
      <c r="D197" s="222"/>
      <c r="E197" s="222"/>
      <c r="F197" s="223">
        <f t="shared" ref="F197:AP197" si="329">SUM(F198:F199)</f>
        <v>27000000</v>
      </c>
      <c r="G197" s="223">
        <f t="shared" si="329"/>
        <v>0</v>
      </c>
      <c r="H197" s="223">
        <f t="shared" si="329"/>
        <v>0</v>
      </c>
      <c r="I197" s="223">
        <f t="shared" si="329"/>
        <v>0</v>
      </c>
      <c r="J197" s="223">
        <f t="shared" si="329"/>
        <v>0</v>
      </c>
      <c r="K197" s="223">
        <f t="shared" si="329"/>
        <v>0</v>
      </c>
      <c r="L197" s="223">
        <f t="shared" si="329"/>
        <v>0</v>
      </c>
      <c r="M197" s="223">
        <f t="shared" si="329"/>
        <v>0</v>
      </c>
      <c r="N197" s="223">
        <f t="shared" si="329"/>
        <v>0</v>
      </c>
      <c r="O197" s="223">
        <f t="shared" si="329"/>
        <v>2499500</v>
      </c>
      <c r="P197" s="223">
        <f t="shared" si="329"/>
        <v>0</v>
      </c>
      <c r="Q197" s="223">
        <f t="shared" si="329"/>
        <v>0</v>
      </c>
      <c r="R197" s="223">
        <f t="shared" si="329"/>
        <v>0</v>
      </c>
      <c r="S197" s="223">
        <f t="shared" si="329"/>
        <v>0</v>
      </c>
      <c r="T197" s="223">
        <f t="shared" si="329"/>
        <v>2444500</v>
      </c>
      <c r="U197" s="223">
        <f t="shared" si="329"/>
        <v>0</v>
      </c>
      <c r="V197" s="223">
        <f t="shared" si="329"/>
        <v>0</v>
      </c>
      <c r="W197" s="223">
        <f t="shared" si="329"/>
        <v>0</v>
      </c>
      <c r="X197" s="223">
        <f t="shared" si="329"/>
        <v>0</v>
      </c>
      <c r="Y197" s="223">
        <f t="shared" si="329"/>
        <v>0</v>
      </c>
      <c r="Z197" s="223">
        <f t="shared" si="329"/>
        <v>0</v>
      </c>
      <c r="AA197" s="223">
        <f t="shared" si="329"/>
        <v>0</v>
      </c>
      <c r="AB197" s="223">
        <f t="shared" si="329"/>
        <v>0</v>
      </c>
      <c r="AC197" s="223">
        <f t="shared" si="329"/>
        <v>0</v>
      </c>
      <c r="AD197" s="223">
        <f t="shared" si="329"/>
        <v>0</v>
      </c>
      <c r="AE197" s="223">
        <f t="shared" si="329"/>
        <v>0</v>
      </c>
      <c r="AF197" s="223">
        <f t="shared" si="329"/>
        <v>0</v>
      </c>
      <c r="AG197" s="223">
        <f t="shared" si="329"/>
        <v>0</v>
      </c>
      <c r="AH197" s="223">
        <f t="shared" si="329"/>
        <v>0</v>
      </c>
      <c r="AI197" s="223">
        <f t="shared" si="329"/>
        <v>0</v>
      </c>
      <c r="AJ197" s="223">
        <f t="shared" si="329"/>
        <v>0</v>
      </c>
      <c r="AK197" s="223">
        <f t="shared" si="329"/>
        <v>0</v>
      </c>
      <c r="AL197" s="223">
        <f t="shared" si="329"/>
        <v>0</v>
      </c>
      <c r="AM197" s="223">
        <f t="shared" si="329"/>
        <v>0</v>
      </c>
      <c r="AN197" s="223">
        <f t="shared" si="329"/>
        <v>0</v>
      </c>
      <c r="AO197" s="223">
        <f t="shared" si="329"/>
        <v>0</v>
      </c>
      <c r="AP197" s="223">
        <f t="shared" si="329"/>
        <v>0</v>
      </c>
      <c r="AQ197" s="223">
        <f t="shared" si="316"/>
        <v>4944000</v>
      </c>
      <c r="AR197" s="231">
        <f t="shared" si="317"/>
        <v>1.831111111111111E-3</v>
      </c>
      <c r="AS197" s="232">
        <f t="shared" si="318"/>
        <v>22056000</v>
      </c>
      <c r="AT197" s="231">
        <f t="shared" si="319"/>
        <v>81.688888888888883</v>
      </c>
      <c r="AU197" s="220" t="s">
        <v>576</v>
      </c>
      <c r="AV197" s="220" t="s">
        <v>546</v>
      </c>
      <c r="AW197" s="220" t="s">
        <v>4732</v>
      </c>
      <c r="AX197" s="223">
        <f>SUM(AX198:AX199)</f>
        <v>0</v>
      </c>
      <c r="AY197" s="223">
        <f>SUM(AY198:AY199)</f>
        <v>2499500</v>
      </c>
      <c r="AZ197" s="223">
        <f>SUM(AZ198:AZ199)</f>
        <v>0</v>
      </c>
      <c r="BA197" s="223">
        <f t="shared" ref="BA197" si="330">SUM(BA198:BA199)</f>
        <v>0</v>
      </c>
      <c r="BB197" s="223">
        <f t="shared" ref="BB197" si="331">SUM(BB198:BB199)</f>
        <v>0</v>
      </c>
      <c r="BC197" s="223">
        <f t="shared" ref="BC197:BD197" si="332">SUM(BC198:BC199)</f>
        <v>2444500</v>
      </c>
      <c r="BD197" s="223">
        <f t="shared" si="332"/>
        <v>0</v>
      </c>
      <c r="BE197" s="223">
        <f t="shared" ref="BE197" si="333">SUM(BE198:BE199)</f>
        <v>0</v>
      </c>
    </row>
    <row r="198" spans="2:61" x14ac:dyDescent="0.3">
      <c r="B198" s="288">
        <v>521211</v>
      </c>
      <c r="C198" s="220" t="s">
        <v>7</v>
      </c>
      <c r="D198" s="220"/>
      <c r="E198" s="220"/>
      <c r="F198" s="221">
        <v>15000000</v>
      </c>
      <c r="G198" s="221"/>
      <c r="H198" s="221"/>
      <c r="I198" s="221"/>
      <c r="J198" s="221"/>
      <c r="K198" s="221"/>
      <c r="L198" s="221"/>
      <c r="M198" s="221"/>
      <c r="N198" s="221"/>
      <c r="O198" s="221">
        <v>2499500</v>
      </c>
      <c r="P198" s="221"/>
      <c r="Q198" s="221"/>
      <c r="R198" s="221"/>
      <c r="S198" s="221"/>
      <c r="T198" s="221">
        <v>2444500</v>
      </c>
      <c r="U198" s="221"/>
      <c r="V198" s="221"/>
      <c r="W198" s="221"/>
      <c r="X198" s="221"/>
      <c r="Y198" s="221"/>
      <c r="Z198" s="221"/>
      <c r="AA198" s="221"/>
      <c r="AB198" s="221"/>
      <c r="AC198" s="221"/>
      <c r="AD198" s="221"/>
      <c r="AE198" s="221"/>
      <c r="AF198" s="221"/>
      <c r="AG198" s="221"/>
      <c r="AH198" s="221"/>
      <c r="AI198" s="221"/>
      <c r="AJ198" s="221"/>
      <c r="AK198" s="221"/>
      <c r="AL198" s="221"/>
      <c r="AM198" s="221"/>
      <c r="AN198" s="221"/>
      <c r="AO198" s="221"/>
      <c r="AP198" s="221"/>
      <c r="AQ198" s="221">
        <f t="shared" si="316"/>
        <v>4944000</v>
      </c>
      <c r="AR198" s="224">
        <f t="shared" si="317"/>
        <v>3.2959999999999999E-3</v>
      </c>
      <c r="AS198" s="225">
        <f t="shared" si="318"/>
        <v>10056000</v>
      </c>
      <c r="AT198" s="224">
        <f t="shared" si="319"/>
        <v>67.040000000000006</v>
      </c>
      <c r="AU198" s="220" t="s">
        <v>576</v>
      </c>
      <c r="AV198" s="220" t="s">
        <v>546</v>
      </c>
      <c r="AW198" s="220" t="s">
        <v>4732</v>
      </c>
      <c r="AX198" s="221"/>
      <c r="AY198" s="221">
        <v>2499500</v>
      </c>
      <c r="AZ198" s="302"/>
      <c r="BA198" s="221"/>
      <c r="BB198" s="221"/>
      <c r="BC198" s="221">
        <v>2444500</v>
      </c>
      <c r="BD198" s="221"/>
      <c r="BE198" s="221"/>
    </row>
    <row r="199" spans="2:61" x14ac:dyDescent="0.3">
      <c r="B199" s="288">
        <v>524111</v>
      </c>
      <c r="C199" s="220" t="s">
        <v>19</v>
      </c>
      <c r="D199" s="220"/>
      <c r="E199" s="220"/>
      <c r="F199" s="221">
        <v>12000000</v>
      </c>
      <c r="G199" s="221"/>
      <c r="H199" s="221"/>
      <c r="I199" s="221"/>
      <c r="J199" s="221"/>
      <c r="K199" s="221"/>
      <c r="L199" s="221"/>
      <c r="M199" s="221"/>
      <c r="N199" s="221"/>
      <c r="O199" s="221"/>
      <c r="P199" s="221"/>
      <c r="Q199" s="221"/>
      <c r="R199" s="221"/>
      <c r="S199" s="221"/>
      <c r="T199" s="221"/>
      <c r="U199" s="221"/>
      <c r="V199" s="221"/>
      <c r="W199" s="221"/>
      <c r="X199" s="221"/>
      <c r="Y199" s="221"/>
      <c r="Z199" s="221"/>
      <c r="AA199" s="221"/>
      <c r="AB199" s="221"/>
      <c r="AC199" s="221"/>
      <c r="AD199" s="221"/>
      <c r="AE199" s="221"/>
      <c r="AF199" s="221"/>
      <c r="AG199" s="221"/>
      <c r="AH199" s="221"/>
      <c r="AI199" s="221"/>
      <c r="AJ199" s="221"/>
      <c r="AK199" s="221"/>
      <c r="AL199" s="221"/>
      <c r="AM199" s="221"/>
      <c r="AN199" s="221"/>
      <c r="AO199" s="221"/>
      <c r="AP199" s="221"/>
      <c r="AQ199" s="221">
        <f t="shared" si="316"/>
        <v>0</v>
      </c>
      <c r="AR199" s="224">
        <f t="shared" si="317"/>
        <v>0</v>
      </c>
      <c r="AS199" s="225">
        <f t="shared" si="318"/>
        <v>12000000</v>
      </c>
      <c r="AT199" s="224">
        <f t="shared" si="319"/>
        <v>100</v>
      </c>
      <c r="AU199" s="220" t="s">
        <v>576</v>
      </c>
      <c r="AV199" s="220" t="s">
        <v>546</v>
      </c>
      <c r="AW199" s="220" t="s">
        <v>4732</v>
      </c>
      <c r="AX199" s="221"/>
      <c r="AY199" s="221"/>
      <c r="AZ199" s="302"/>
      <c r="BA199" s="221"/>
      <c r="BB199" s="221"/>
      <c r="BC199" s="221"/>
      <c r="BD199" s="221"/>
      <c r="BE199" s="221"/>
    </row>
    <row r="200" spans="2:61" x14ac:dyDescent="0.3">
      <c r="B200" s="290" t="s">
        <v>578</v>
      </c>
      <c r="C200" s="222" t="s">
        <v>147</v>
      </c>
      <c r="D200" s="222"/>
      <c r="E200" s="222"/>
      <c r="F200" s="223">
        <f t="shared" ref="F200:AP200" si="334">SUM(F201:F203)</f>
        <v>88680000</v>
      </c>
      <c r="G200" s="223">
        <f t="shared" si="334"/>
        <v>0</v>
      </c>
      <c r="H200" s="223">
        <f t="shared" si="334"/>
        <v>0</v>
      </c>
      <c r="I200" s="223">
        <f t="shared" si="334"/>
        <v>0</v>
      </c>
      <c r="J200" s="223">
        <f t="shared" si="334"/>
        <v>0</v>
      </c>
      <c r="K200" s="223">
        <f t="shared" si="334"/>
        <v>0</v>
      </c>
      <c r="L200" s="223">
        <f t="shared" si="334"/>
        <v>0</v>
      </c>
      <c r="M200" s="223">
        <f t="shared" si="334"/>
        <v>0</v>
      </c>
      <c r="N200" s="223">
        <f t="shared" si="334"/>
        <v>13350000</v>
      </c>
      <c r="O200" s="223">
        <f t="shared" si="334"/>
        <v>37050000</v>
      </c>
      <c r="P200" s="223">
        <f t="shared" si="334"/>
        <v>0</v>
      </c>
      <c r="Q200" s="223">
        <f t="shared" si="334"/>
        <v>2490000</v>
      </c>
      <c r="R200" s="223">
        <f t="shared" si="334"/>
        <v>0</v>
      </c>
      <c r="S200" s="223">
        <f t="shared" si="334"/>
        <v>0</v>
      </c>
      <c r="T200" s="223">
        <f t="shared" si="334"/>
        <v>5600000</v>
      </c>
      <c r="U200" s="223">
        <f t="shared" si="334"/>
        <v>4170000</v>
      </c>
      <c r="V200" s="223">
        <f t="shared" si="334"/>
        <v>0</v>
      </c>
      <c r="W200" s="223">
        <f t="shared" si="334"/>
        <v>0</v>
      </c>
      <c r="X200" s="223">
        <f t="shared" si="334"/>
        <v>2030000</v>
      </c>
      <c r="Y200" s="223">
        <f t="shared" si="334"/>
        <v>0</v>
      </c>
      <c r="Z200" s="223">
        <f t="shared" si="334"/>
        <v>0</v>
      </c>
      <c r="AA200" s="223">
        <f t="shared" si="334"/>
        <v>0</v>
      </c>
      <c r="AB200" s="223">
        <f t="shared" si="334"/>
        <v>0</v>
      </c>
      <c r="AC200" s="223">
        <f t="shared" si="334"/>
        <v>0</v>
      </c>
      <c r="AD200" s="223">
        <f t="shared" si="334"/>
        <v>0</v>
      </c>
      <c r="AE200" s="223">
        <f t="shared" si="334"/>
        <v>0</v>
      </c>
      <c r="AF200" s="223">
        <f t="shared" si="334"/>
        <v>0</v>
      </c>
      <c r="AG200" s="223">
        <f t="shared" si="334"/>
        <v>0</v>
      </c>
      <c r="AH200" s="223">
        <f t="shared" si="334"/>
        <v>0</v>
      </c>
      <c r="AI200" s="223">
        <f t="shared" si="334"/>
        <v>0</v>
      </c>
      <c r="AJ200" s="223">
        <f t="shared" si="334"/>
        <v>0</v>
      </c>
      <c r="AK200" s="223">
        <f t="shared" si="334"/>
        <v>0</v>
      </c>
      <c r="AL200" s="223">
        <f t="shared" si="334"/>
        <v>0</v>
      </c>
      <c r="AM200" s="223">
        <f t="shared" si="334"/>
        <v>0</v>
      </c>
      <c r="AN200" s="223">
        <f t="shared" si="334"/>
        <v>0</v>
      </c>
      <c r="AO200" s="223">
        <f t="shared" si="334"/>
        <v>0</v>
      </c>
      <c r="AP200" s="223">
        <f t="shared" si="334"/>
        <v>0</v>
      </c>
      <c r="AQ200" s="223">
        <f t="shared" si="316"/>
        <v>64690000</v>
      </c>
      <c r="AR200" s="231">
        <f t="shared" si="317"/>
        <v>7.2947677041046459E-3</v>
      </c>
      <c r="AS200" s="232">
        <f t="shared" si="318"/>
        <v>23990000</v>
      </c>
      <c r="AT200" s="231">
        <f t="shared" si="319"/>
        <v>27.052322958953539</v>
      </c>
      <c r="AU200" s="220" t="s">
        <v>576</v>
      </c>
      <c r="AV200" s="220" t="s">
        <v>546</v>
      </c>
      <c r="AW200" s="220" t="s">
        <v>4732</v>
      </c>
      <c r="AX200" s="223">
        <f>SUM(AX201:AX203)</f>
        <v>0</v>
      </c>
      <c r="AY200" s="223">
        <f>SUM(AY201:AY203)</f>
        <v>37050000</v>
      </c>
      <c r="AZ200" s="223">
        <f>SUM(AZ201:AZ203)</f>
        <v>13350000</v>
      </c>
      <c r="BA200" s="223">
        <f t="shared" ref="BA200" si="335">SUM(BA201:BA203)</f>
        <v>2490000</v>
      </c>
      <c r="BB200" s="223">
        <f t="shared" ref="BB200" si="336">SUM(BB201:BB203)</f>
        <v>5600000</v>
      </c>
      <c r="BC200" s="223">
        <f t="shared" ref="BC200:BD200" si="337">SUM(BC201:BC203)</f>
        <v>0</v>
      </c>
      <c r="BD200" s="223">
        <f t="shared" si="337"/>
        <v>4170000</v>
      </c>
      <c r="BE200" s="223">
        <f t="shared" ref="BE200" si="338">SUM(BE201:BE203)</f>
        <v>2030000</v>
      </c>
    </row>
    <row r="201" spans="2:61" x14ac:dyDescent="0.3">
      <c r="B201" s="288">
        <v>521211</v>
      </c>
      <c r="C201" s="220" t="s">
        <v>7</v>
      </c>
      <c r="D201" s="220"/>
      <c r="E201" s="220"/>
      <c r="F201" s="221">
        <v>4800000</v>
      </c>
      <c r="G201" s="221"/>
      <c r="H201" s="221"/>
      <c r="I201" s="221"/>
      <c r="J201" s="221"/>
      <c r="K201" s="221"/>
      <c r="L201" s="221"/>
      <c r="M201" s="221"/>
      <c r="N201" s="221"/>
      <c r="O201" s="221"/>
      <c r="P201" s="221"/>
      <c r="Q201" s="221"/>
      <c r="R201" s="221"/>
      <c r="S201" s="221"/>
      <c r="T201" s="221"/>
      <c r="U201" s="221"/>
      <c r="V201" s="221"/>
      <c r="W201" s="221"/>
      <c r="X201" s="221"/>
      <c r="Y201" s="221"/>
      <c r="Z201" s="221"/>
      <c r="AA201" s="221"/>
      <c r="AB201" s="221"/>
      <c r="AC201" s="221"/>
      <c r="AD201" s="221"/>
      <c r="AE201" s="221"/>
      <c r="AF201" s="221"/>
      <c r="AG201" s="221"/>
      <c r="AH201" s="221"/>
      <c r="AI201" s="221"/>
      <c r="AJ201" s="221"/>
      <c r="AK201" s="221"/>
      <c r="AL201" s="221"/>
      <c r="AM201" s="221"/>
      <c r="AN201" s="221"/>
      <c r="AO201" s="221"/>
      <c r="AP201" s="221"/>
      <c r="AQ201" s="221">
        <f t="shared" si="316"/>
        <v>0</v>
      </c>
      <c r="AR201" s="224">
        <f t="shared" si="317"/>
        <v>0</v>
      </c>
      <c r="AS201" s="225">
        <f t="shared" si="318"/>
        <v>4800000</v>
      </c>
      <c r="AT201" s="224">
        <f t="shared" si="319"/>
        <v>100</v>
      </c>
      <c r="AU201" s="220" t="s">
        <v>576</v>
      </c>
      <c r="AV201" s="220" t="s">
        <v>546</v>
      </c>
      <c r="AW201" s="220" t="s">
        <v>4732</v>
      </c>
      <c r="AX201" s="221"/>
      <c r="AY201" s="221"/>
      <c r="AZ201" s="302"/>
      <c r="BA201" s="221"/>
      <c r="BB201" s="221"/>
      <c r="BC201" s="221"/>
      <c r="BD201" s="221"/>
      <c r="BE201" s="221"/>
    </row>
    <row r="202" spans="2:61" x14ac:dyDescent="0.3">
      <c r="B202" s="288">
        <v>521811</v>
      </c>
      <c r="C202" s="220" t="s">
        <v>64</v>
      </c>
      <c r="D202" s="220"/>
      <c r="E202" s="220"/>
      <c r="F202" s="221">
        <v>27500000</v>
      </c>
      <c r="G202" s="221"/>
      <c r="H202" s="221"/>
      <c r="I202" s="221"/>
      <c r="J202" s="221"/>
      <c r="K202" s="221"/>
      <c r="L202" s="221"/>
      <c r="M202" s="221"/>
      <c r="N202" s="302">
        <v>2490000</v>
      </c>
      <c r="O202" s="221">
        <v>2490000</v>
      </c>
      <c r="P202" s="221"/>
      <c r="Q202" s="221">
        <v>2490000</v>
      </c>
      <c r="R202" s="221"/>
      <c r="S202" s="221"/>
      <c r="T202" s="221"/>
      <c r="U202" s="221">
        <v>2490000</v>
      </c>
      <c r="V202" s="221"/>
      <c r="W202" s="221"/>
      <c r="X202" s="221"/>
      <c r="Y202" s="221"/>
      <c r="Z202" s="221"/>
      <c r="AA202" s="221"/>
      <c r="AB202" s="221"/>
      <c r="AC202" s="221"/>
      <c r="AD202" s="221"/>
      <c r="AE202" s="221"/>
      <c r="AF202" s="221"/>
      <c r="AG202" s="221"/>
      <c r="AH202" s="221"/>
      <c r="AI202" s="221"/>
      <c r="AJ202" s="221"/>
      <c r="AK202" s="221"/>
      <c r="AL202" s="221"/>
      <c r="AM202" s="221"/>
      <c r="AN202" s="221"/>
      <c r="AO202" s="221"/>
      <c r="AP202" s="221"/>
      <c r="AQ202" s="221">
        <f t="shared" si="316"/>
        <v>9960000</v>
      </c>
      <c r="AR202" s="224">
        <f t="shared" si="317"/>
        <v>3.6218181818181818E-3</v>
      </c>
      <c r="AS202" s="225">
        <f t="shared" si="318"/>
        <v>17540000</v>
      </c>
      <c r="AT202" s="224">
        <f t="shared" si="319"/>
        <v>63.781818181818181</v>
      </c>
      <c r="AU202" s="220" t="s">
        <v>576</v>
      </c>
      <c r="AV202" s="220" t="s">
        <v>546</v>
      </c>
      <c r="AW202" s="220" t="s">
        <v>4732</v>
      </c>
      <c r="AX202" s="221"/>
      <c r="AY202" s="221">
        <v>2490000</v>
      </c>
      <c r="AZ202" s="302">
        <v>2490000</v>
      </c>
      <c r="BA202" s="221">
        <v>2490000</v>
      </c>
      <c r="BB202" s="221"/>
      <c r="BC202" s="221"/>
      <c r="BD202" s="221">
        <v>2490000</v>
      </c>
      <c r="BE202" s="221"/>
    </row>
    <row r="203" spans="2:61" x14ac:dyDescent="0.3">
      <c r="B203" s="288">
        <v>524111</v>
      </c>
      <c r="C203" s="220" t="s">
        <v>19</v>
      </c>
      <c r="D203" s="220"/>
      <c r="E203" s="220"/>
      <c r="F203" s="221">
        <v>56380000</v>
      </c>
      <c r="G203" s="221"/>
      <c r="H203" s="221"/>
      <c r="I203" s="221"/>
      <c r="J203" s="221"/>
      <c r="K203" s="221"/>
      <c r="L203" s="221"/>
      <c r="M203" s="221"/>
      <c r="N203" s="302">
        <v>10860000</v>
      </c>
      <c r="O203" s="221">
        <v>34560000</v>
      </c>
      <c r="P203" s="221"/>
      <c r="Q203" s="221"/>
      <c r="R203" s="221"/>
      <c r="S203" s="221"/>
      <c r="T203" s="221">
        <v>5600000</v>
      </c>
      <c r="U203" s="221">
        <v>1680000</v>
      </c>
      <c r="V203" s="221"/>
      <c r="W203" s="221"/>
      <c r="X203" s="221">
        <v>2030000</v>
      </c>
      <c r="Y203" s="221"/>
      <c r="Z203" s="221"/>
      <c r="AA203" s="221"/>
      <c r="AB203" s="221"/>
      <c r="AC203" s="221"/>
      <c r="AD203" s="221"/>
      <c r="AE203" s="221"/>
      <c r="AF203" s="221"/>
      <c r="AG203" s="221"/>
      <c r="AH203" s="221"/>
      <c r="AI203" s="221"/>
      <c r="AJ203" s="221"/>
      <c r="AK203" s="221"/>
      <c r="AL203" s="221"/>
      <c r="AM203" s="221"/>
      <c r="AN203" s="221"/>
      <c r="AO203" s="221"/>
      <c r="AP203" s="221"/>
      <c r="AQ203" s="221">
        <f t="shared" si="316"/>
        <v>54730000</v>
      </c>
      <c r="AR203" s="224">
        <f t="shared" si="317"/>
        <v>9.7073430294430645E-3</v>
      </c>
      <c r="AS203" s="225">
        <f t="shared" si="318"/>
        <v>1650000</v>
      </c>
      <c r="AT203" s="224">
        <f t="shared" si="319"/>
        <v>2.9265697055693507</v>
      </c>
      <c r="AU203" s="220" t="s">
        <v>576</v>
      </c>
      <c r="AV203" s="220" t="s">
        <v>546</v>
      </c>
      <c r="AW203" s="220" t="s">
        <v>4732</v>
      </c>
      <c r="AX203" s="221"/>
      <c r="AY203" s="221">
        <v>34560000</v>
      </c>
      <c r="AZ203" s="302">
        <v>10860000</v>
      </c>
      <c r="BA203" s="221"/>
      <c r="BB203" s="221">
        <v>5600000</v>
      </c>
      <c r="BC203" s="221"/>
      <c r="BD203" s="221">
        <v>1680000</v>
      </c>
      <c r="BE203" s="221">
        <v>2030000</v>
      </c>
    </row>
    <row r="204" spans="2:61" x14ac:dyDescent="0.3">
      <c r="B204" s="226">
        <v>4345</v>
      </c>
      <c r="C204" s="227" t="s">
        <v>188</v>
      </c>
      <c r="D204" s="227"/>
      <c r="E204" s="227"/>
      <c r="F204" s="228">
        <f t="shared" ref="F204:U205" si="339">F205</f>
        <v>8582500000</v>
      </c>
      <c r="G204" s="228">
        <f t="shared" si="339"/>
        <v>0</v>
      </c>
      <c r="H204" s="228">
        <f t="shared" si="339"/>
        <v>0</v>
      </c>
      <c r="I204" s="228">
        <f t="shared" si="339"/>
        <v>0</v>
      </c>
      <c r="J204" s="228">
        <f t="shared" si="339"/>
        <v>0</v>
      </c>
      <c r="K204" s="228">
        <f t="shared" si="339"/>
        <v>0</v>
      </c>
      <c r="L204" s="228">
        <f t="shared" si="339"/>
        <v>0</v>
      </c>
      <c r="M204" s="228">
        <f t="shared" si="339"/>
        <v>0</v>
      </c>
      <c r="N204" s="228">
        <f t="shared" si="339"/>
        <v>0</v>
      </c>
      <c r="O204" s="228">
        <f t="shared" si="339"/>
        <v>0</v>
      </c>
      <c r="P204" s="228">
        <f t="shared" si="339"/>
        <v>1555695356</v>
      </c>
      <c r="Q204" s="228">
        <f t="shared" si="339"/>
        <v>0</v>
      </c>
      <c r="R204" s="228">
        <f t="shared" si="339"/>
        <v>0</v>
      </c>
      <c r="S204" s="228">
        <f t="shared" si="339"/>
        <v>0</v>
      </c>
      <c r="T204" s="228">
        <f t="shared" si="339"/>
        <v>0</v>
      </c>
      <c r="U204" s="228">
        <f t="shared" si="339"/>
        <v>37892633</v>
      </c>
      <c r="V204" s="228">
        <f t="shared" ref="G204:AP205" si="340">V205</f>
        <v>1880236423</v>
      </c>
      <c r="W204" s="228">
        <f t="shared" si="340"/>
        <v>0</v>
      </c>
      <c r="X204" s="228">
        <f t="shared" si="340"/>
        <v>2889500</v>
      </c>
      <c r="Y204" s="228">
        <f t="shared" si="340"/>
        <v>0</v>
      </c>
      <c r="Z204" s="228">
        <f t="shared" si="340"/>
        <v>0</v>
      </c>
      <c r="AA204" s="228">
        <f t="shared" si="340"/>
        <v>0</v>
      </c>
      <c r="AB204" s="228">
        <f t="shared" si="340"/>
        <v>0</v>
      </c>
      <c r="AC204" s="228">
        <f t="shared" si="340"/>
        <v>0</v>
      </c>
      <c r="AD204" s="228">
        <f t="shared" si="340"/>
        <v>0</v>
      </c>
      <c r="AE204" s="228">
        <f t="shared" si="340"/>
        <v>0</v>
      </c>
      <c r="AF204" s="228">
        <f t="shared" si="340"/>
        <v>0</v>
      </c>
      <c r="AG204" s="228">
        <f t="shared" si="340"/>
        <v>0</v>
      </c>
      <c r="AH204" s="228">
        <f t="shared" si="340"/>
        <v>0</v>
      </c>
      <c r="AI204" s="228">
        <f t="shared" si="340"/>
        <v>0</v>
      </c>
      <c r="AJ204" s="228">
        <f t="shared" si="340"/>
        <v>0</v>
      </c>
      <c r="AK204" s="228">
        <f t="shared" si="340"/>
        <v>0</v>
      </c>
      <c r="AL204" s="228">
        <f t="shared" si="340"/>
        <v>0</v>
      </c>
      <c r="AM204" s="228">
        <f t="shared" si="340"/>
        <v>0</v>
      </c>
      <c r="AN204" s="228">
        <f t="shared" si="340"/>
        <v>0</v>
      </c>
      <c r="AO204" s="228">
        <f t="shared" si="340"/>
        <v>0</v>
      </c>
      <c r="AP204" s="228">
        <f t="shared" si="340"/>
        <v>0</v>
      </c>
      <c r="AQ204" s="228">
        <f t="shared" si="316"/>
        <v>3476713912</v>
      </c>
      <c r="AR204" s="229">
        <f t="shared" si="317"/>
        <v>4.0509337745412181E-3</v>
      </c>
      <c r="AS204" s="230">
        <f t="shared" si="318"/>
        <v>5105786088</v>
      </c>
      <c r="AT204" s="229">
        <f t="shared" si="319"/>
        <v>59.490662254587825</v>
      </c>
      <c r="AU204" s="220" t="s">
        <v>542</v>
      </c>
      <c r="AV204" s="220" t="s">
        <v>543</v>
      </c>
      <c r="AW204" s="220" t="s">
        <v>4732</v>
      </c>
      <c r="AX204" s="228">
        <f t="shared" ref="AX204:BE205" si="341">AX205</f>
        <v>0</v>
      </c>
      <c r="AY204" s="228">
        <f t="shared" si="341"/>
        <v>0</v>
      </c>
      <c r="AZ204" s="228">
        <f t="shared" si="341"/>
        <v>0</v>
      </c>
      <c r="BA204" s="228">
        <f t="shared" si="341"/>
        <v>0</v>
      </c>
      <c r="BB204" s="228">
        <f t="shared" si="341"/>
        <v>0</v>
      </c>
      <c r="BC204" s="228">
        <f>BC205</f>
        <v>0</v>
      </c>
      <c r="BD204" s="228">
        <f t="shared" si="341"/>
        <v>37892633</v>
      </c>
      <c r="BE204" s="228">
        <f t="shared" si="341"/>
        <v>2889500</v>
      </c>
      <c r="BI204" t="s">
        <v>4644</v>
      </c>
    </row>
    <row r="205" spans="2:61" x14ac:dyDescent="0.3">
      <c r="B205" s="226" t="s">
        <v>3474</v>
      </c>
      <c r="C205" s="227" t="s">
        <v>2312</v>
      </c>
      <c r="D205" s="227">
        <v>4725</v>
      </c>
      <c r="E205" s="227" t="s">
        <v>155</v>
      </c>
      <c r="F205" s="228">
        <f t="shared" si="339"/>
        <v>8582500000</v>
      </c>
      <c r="G205" s="228">
        <f t="shared" si="340"/>
        <v>0</v>
      </c>
      <c r="H205" s="228">
        <f t="shared" si="340"/>
        <v>0</v>
      </c>
      <c r="I205" s="228">
        <f t="shared" si="340"/>
        <v>0</v>
      </c>
      <c r="J205" s="228">
        <f t="shared" si="340"/>
        <v>0</v>
      </c>
      <c r="K205" s="228">
        <f t="shared" si="340"/>
        <v>0</v>
      </c>
      <c r="L205" s="228">
        <f t="shared" si="340"/>
        <v>0</v>
      </c>
      <c r="M205" s="228">
        <f t="shared" si="340"/>
        <v>0</v>
      </c>
      <c r="N205" s="228">
        <f t="shared" si="340"/>
        <v>0</v>
      </c>
      <c r="O205" s="228">
        <f t="shared" si="340"/>
        <v>0</v>
      </c>
      <c r="P205" s="228">
        <f t="shared" si="340"/>
        <v>1555695356</v>
      </c>
      <c r="Q205" s="228">
        <f t="shared" si="340"/>
        <v>0</v>
      </c>
      <c r="R205" s="228">
        <f t="shared" si="340"/>
        <v>0</v>
      </c>
      <c r="S205" s="228">
        <f t="shared" si="340"/>
        <v>0</v>
      </c>
      <c r="T205" s="228">
        <f t="shared" si="340"/>
        <v>0</v>
      </c>
      <c r="U205" s="228">
        <f t="shared" si="340"/>
        <v>37892633</v>
      </c>
      <c r="V205" s="228">
        <f t="shared" si="340"/>
        <v>1880236423</v>
      </c>
      <c r="W205" s="228">
        <f t="shared" si="340"/>
        <v>0</v>
      </c>
      <c r="X205" s="228">
        <f t="shared" si="340"/>
        <v>2889500</v>
      </c>
      <c r="Y205" s="228">
        <f t="shared" si="340"/>
        <v>0</v>
      </c>
      <c r="Z205" s="228">
        <f t="shared" si="340"/>
        <v>0</v>
      </c>
      <c r="AA205" s="228">
        <f t="shared" si="340"/>
        <v>0</v>
      </c>
      <c r="AB205" s="228">
        <f t="shared" si="340"/>
        <v>0</v>
      </c>
      <c r="AC205" s="228">
        <f t="shared" si="340"/>
        <v>0</v>
      </c>
      <c r="AD205" s="228">
        <f t="shared" si="340"/>
        <v>0</v>
      </c>
      <c r="AE205" s="228">
        <f t="shared" si="340"/>
        <v>0</v>
      </c>
      <c r="AF205" s="228">
        <f t="shared" si="340"/>
        <v>0</v>
      </c>
      <c r="AG205" s="228">
        <f t="shared" si="340"/>
        <v>0</v>
      </c>
      <c r="AH205" s="228">
        <f t="shared" si="340"/>
        <v>0</v>
      </c>
      <c r="AI205" s="228">
        <f t="shared" si="340"/>
        <v>0</v>
      </c>
      <c r="AJ205" s="228">
        <f t="shared" si="340"/>
        <v>0</v>
      </c>
      <c r="AK205" s="228">
        <f t="shared" si="340"/>
        <v>0</v>
      </c>
      <c r="AL205" s="228">
        <f t="shared" si="340"/>
        <v>0</v>
      </c>
      <c r="AM205" s="228">
        <f t="shared" si="340"/>
        <v>0</v>
      </c>
      <c r="AN205" s="228">
        <f t="shared" si="340"/>
        <v>0</v>
      </c>
      <c r="AO205" s="228">
        <f t="shared" si="340"/>
        <v>0</v>
      </c>
      <c r="AP205" s="228">
        <f t="shared" si="340"/>
        <v>0</v>
      </c>
      <c r="AQ205" s="228">
        <f t="shared" si="316"/>
        <v>3476713912</v>
      </c>
      <c r="AR205" s="229">
        <f t="shared" si="317"/>
        <v>4.0509337745412181E-3</v>
      </c>
      <c r="AS205" s="230">
        <f t="shared" si="318"/>
        <v>5105786088</v>
      </c>
      <c r="AT205" s="229">
        <f t="shared" si="319"/>
        <v>59.490662254587825</v>
      </c>
      <c r="AU205" s="220" t="s">
        <v>542</v>
      </c>
      <c r="AV205" s="220" t="s">
        <v>543</v>
      </c>
      <c r="AW205" s="220" t="s">
        <v>4732</v>
      </c>
      <c r="AX205" s="228">
        <f t="shared" si="341"/>
        <v>0</v>
      </c>
      <c r="AY205" s="228">
        <f t="shared" si="341"/>
        <v>0</v>
      </c>
      <c r="AZ205" s="228">
        <f t="shared" si="341"/>
        <v>0</v>
      </c>
      <c r="BA205" s="228">
        <f t="shared" si="341"/>
        <v>0</v>
      </c>
      <c r="BB205" s="228">
        <f t="shared" si="341"/>
        <v>0</v>
      </c>
      <c r="BC205" s="228">
        <f t="shared" si="341"/>
        <v>0</v>
      </c>
      <c r="BD205" s="228">
        <f t="shared" si="341"/>
        <v>37892633</v>
      </c>
      <c r="BE205" s="228">
        <f t="shared" si="341"/>
        <v>2889500</v>
      </c>
    </row>
    <row r="206" spans="2:61" x14ac:dyDescent="0.3">
      <c r="B206" s="226" t="s">
        <v>4611</v>
      </c>
      <c r="C206" s="227" t="s">
        <v>3477</v>
      </c>
      <c r="D206" s="227">
        <v>4725</v>
      </c>
      <c r="E206" s="227" t="s">
        <v>155</v>
      </c>
      <c r="F206" s="228">
        <f>F207+F227</f>
        <v>8582500000</v>
      </c>
      <c r="G206" s="228">
        <f t="shared" ref="G206:AP206" si="342">G207+G227</f>
        <v>0</v>
      </c>
      <c r="H206" s="228">
        <f t="shared" si="342"/>
        <v>0</v>
      </c>
      <c r="I206" s="228">
        <f t="shared" si="342"/>
        <v>0</v>
      </c>
      <c r="J206" s="228">
        <f t="shared" si="342"/>
        <v>0</v>
      </c>
      <c r="K206" s="228">
        <f t="shared" si="342"/>
        <v>0</v>
      </c>
      <c r="L206" s="228">
        <f t="shared" si="342"/>
        <v>0</v>
      </c>
      <c r="M206" s="228">
        <f t="shared" si="342"/>
        <v>0</v>
      </c>
      <c r="N206" s="228">
        <f t="shared" si="342"/>
        <v>0</v>
      </c>
      <c r="O206" s="228">
        <f t="shared" si="342"/>
        <v>0</v>
      </c>
      <c r="P206" s="228">
        <f t="shared" si="342"/>
        <v>1555695356</v>
      </c>
      <c r="Q206" s="228">
        <f t="shared" si="342"/>
        <v>0</v>
      </c>
      <c r="R206" s="228">
        <f t="shared" si="342"/>
        <v>0</v>
      </c>
      <c r="S206" s="228">
        <f t="shared" si="342"/>
        <v>0</v>
      </c>
      <c r="T206" s="228">
        <f t="shared" si="342"/>
        <v>0</v>
      </c>
      <c r="U206" s="228">
        <f t="shared" si="342"/>
        <v>37892633</v>
      </c>
      <c r="V206" s="228">
        <f t="shared" si="342"/>
        <v>1880236423</v>
      </c>
      <c r="W206" s="228">
        <f t="shared" si="342"/>
        <v>0</v>
      </c>
      <c r="X206" s="228">
        <f t="shared" si="342"/>
        <v>2889500</v>
      </c>
      <c r="Y206" s="228">
        <f t="shared" si="342"/>
        <v>0</v>
      </c>
      <c r="Z206" s="228">
        <f t="shared" si="342"/>
        <v>0</v>
      </c>
      <c r="AA206" s="228">
        <f t="shared" si="342"/>
        <v>0</v>
      </c>
      <c r="AB206" s="228">
        <f t="shared" si="342"/>
        <v>0</v>
      </c>
      <c r="AC206" s="228">
        <f t="shared" si="342"/>
        <v>0</v>
      </c>
      <c r="AD206" s="228">
        <f t="shared" si="342"/>
        <v>0</v>
      </c>
      <c r="AE206" s="228">
        <f t="shared" si="342"/>
        <v>0</v>
      </c>
      <c r="AF206" s="228">
        <f t="shared" si="342"/>
        <v>0</v>
      </c>
      <c r="AG206" s="228">
        <f t="shared" si="342"/>
        <v>0</v>
      </c>
      <c r="AH206" s="228">
        <f t="shared" si="342"/>
        <v>0</v>
      </c>
      <c r="AI206" s="228">
        <f t="shared" si="342"/>
        <v>0</v>
      </c>
      <c r="AJ206" s="228">
        <f t="shared" si="342"/>
        <v>0</v>
      </c>
      <c r="AK206" s="228">
        <f t="shared" si="342"/>
        <v>0</v>
      </c>
      <c r="AL206" s="228">
        <f t="shared" si="342"/>
        <v>0</v>
      </c>
      <c r="AM206" s="228">
        <f t="shared" si="342"/>
        <v>0</v>
      </c>
      <c r="AN206" s="228">
        <f t="shared" si="342"/>
        <v>0</v>
      </c>
      <c r="AO206" s="228">
        <f t="shared" si="342"/>
        <v>0</v>
      </c>
      <c r="AP206" s="228">
        <f t="shared" si="342"/>
        <v>0</v>
      </c>
      <c r="AQ206" s="228">
        <f t="shared" si="316"/>
        <v>3476713912</v>
      </c>
      <c r="AR206" s="229">
        <f t="shared" si="317"/>
        <v>4.0509337745412181E-3</v>
      </c>
      <c r="AS206" s="230">
        <f t="shared" si="318"/>
        <v>5105786088</v>
      </c>
      <c r="AT206" s="229">
        <f t="shared" si="319"/>
        <v>59.490662254587825</v>
      </c>
      <c r="AU206" s="220" t="s">
        <v>542</v>
      </c>
      <c r="AV206" s="220" t="s">
        <v>543</v>
      </c>
      <c r="AW206" s="220" t="s">
        <v>4732</v>
      </c>
      <c r="AX206" s="228">
        <f t="shared" ref="AX206:AZ206" si="343">AX207+AX227</f>
        <v>0</v>
      </c>
      <c r="AY206" s="228">
        <f t="shared" si="343"/>
        <v>0</v>
      </c>
      <c r="AZ206" s="228">
        <f t="shared" si="343"/>
        <v>0</v>
      </c>
      <c r="BA206" s="228">
        <f t="shared" ref="BA206" si="344">BA207+BA227</f>
        <v>0</v>
      </c>
      <c r="BB206" s="228">
        <f t="shared" ref="BB206" si="345">BB207+BB227</f>
        <v>0</v>
      </c>
      <c r="BC206" s="228">
        <f t="shared" ref="BC206:BD206" si="346">BC207+BC227</f>
        <v>0</v>
      </c>
      <c r="BD206" s="228">
        <f t="shared" si="346"/>
        <v>37892633</v>
      </c>
      <c r="BE206" s="228">
        <f t="shared" ref="BE206" si="347">BE207+BE227</f>
        <v>2889500</v>
      </c>
    </row>
    <row r="207" spans="2:61" x14ac:dyDescent="0.3">
      <c r="B207" s="226">
        <v>301</v>
      </c>
      <c r="C207" s="227" t="s">
        <v>189</v>
      </c>
      <c r="D207" s="227"/>
      <c r="E207" s="227"/>
      <c r="F207" s="228">
        <f>F208+F215+F221+F225</f>
        <v>8473300000</v>
      </c>
      <c r="G207" s="228">
        <f t="shared" ref="G207:AP207" si="348">G208+G215+G221+G225</f>
        <v>0</v>
      </c>
      <c r="H207" s="228">
        <f t="shared" si="348"/>
        <v>0</v>
      </c>
      <c r="I207" s="228">
        <f t="shared" si="348"/>
        <v>0</v>
      </c>
      <c r="J207" s="228">
        <f t="shared" si="348"/>
        <v>0</v>
      </c>
      <c r="K207" s="228">
        <f t="shared" si="348"/>
        <v>0</v>
      </c>
      <c r="L207" s="228">
        <f t="shared" si="348"/>
        <v>0</v>
      </c>
      <c r="M207" s="228">
        <f t="shared" si="348"/>
        <v>0</v>
      </c>
      <c r="N207" s="228">
        <f t="shared" si="348"/>
        <v>0</v>
      </c>
      <c r="O207" s="228">
        <f t="shared" si="348"/>
        <v>0</v>
      </c>
      <c r="P207" s="228">
        <f t="shared" si="348"/>
        <v>1555695356</v>
      </c>
      <c r="Q207" s="228">
        <f t="shared" si="348"/>
        <v>0</v>
      </c>
      <c r="R207" s="228">
        <f t="shared" si="348"/>
        <v>0</v>
      </c>
      <c r="S207" s="228">
        <f t="shared" si="348"/>
        <v>0</v>
      </c>
      <c r="T207" s="228">
        <f t="shared" si="348"/>
        <v>0</v>
      </c>
      <c r="U207" s="228">
        <f t="shared" si="348"/>
        <v>30086633</v>
      </c>
      <c r="V207" s="228">
        <f t="shared" si="348"/>
        <v>1880236423</v>
      </c>
      <c r="W207" s="228">
        <f t="shared" si="348"/>
        <v>0</v>
      </c>
      <c r="X207" s="228">
        <f t="shared" si="348"/>
        <v>2889500</v>
      </c>
      <c r="Y207" s="228">
        <f t="shared" si="348"/>
        <v>0</v>
      </c>
      <c r="Z207" s="228">
        <f t="shared" si="348"/>
        <v>0</v>
      </c>
      <c r="AA207" s="228">
        <f t="shared" si="348"/>
        <v>0</v>
      </c>
      <c r="AB207" s="228">
        <f t="shared" si="348"/>
        <v>0</v>
      </c>
      <c r="AC207" s="228">
        <f t="shared" si="348"/>
        <v>0</v>
      </c>
      <c r="AD207" s="228">
        <f t="shared" si="348"/>
        <v>0</v>
      </c>
      <c r="AE207" s="228">
        <f t="shared" si="348"/>
        <v>0</v>
      </c>
      <c r="AF207" s="228">
        <f t="shared" si="348"/>
        <v>0</v>
      </c>
      <c r="AG207" s="228">
        <f t="shared" si="348"/>
        <v>0</v>
      </c>
      <c r="AH207" s="228">
        <f t="shared" si="348"/>
        <v>0</v>
      </c>
      <c r="AI207" s="228">
        <f t="shared" si="348"/>
        <v>0</v>
      </c>
      <c r="AJ207" s="228">
        <f t="shared" si="348"/>
        <v>0</v>
      </c>
      <c r="AK207" s="228">
        <f t="shared" si="348"/>
        <v>0</v>
      </c>
      <c r="AL207" s="228">
        <f t="shared" si="348"/>
        <v>0</v>
      </c>
      <c r="AM207" s="228">
        <f t="shared" si="348"/>
        <v>0</v>
      </c>
      <c r="AN207" s="228">
        <f t="shared" si="348"/>
        <v>0</v>
      </c>
      <c r="AO207" s="228">
        <f t="shared" si="348"/>
        <v>0</v>
      </c>
      <c r="AP207" s="228">
        <f t="shared" si="348"/>
        <v>0</v>
      </c>
      <c r="AQ207" s="228">
        <f t="shared" si="316"/>
        <v>3468907912</v>
      </c>
      <c r="AR207" s="229">
        <f t="shared" si="317"/>
        <v>4.0939278816989836E-3</v>
      </c>
      <c r="AS207" s="230">
        <f t="shared" si="318"/>
        <v>5004392088</v>
      </c>
      <c r="AT207" s="229">
        <f t="shared" si="319"/>
        <v>59.060721183010159</v>
      </c>
      <c r="AU207" s="220" t="s">
        <v>542</v>
      </c>
      <c r="AV207" s="220" t="s">
        <v>543</v>
      </c>
      <c r="AW207" s="220" t="s">
        <v>4732</v>
      </c>
      <c r="AX207" s="228">
        <f t="shared" ref="AX207:AZ207" si="349">AX208+AX215+AX221+AX225</f>
        <v>0</v>
      </c>
      <c r="AY207" s="228">
        <f t="shared" si="349"/>
        <v>0</v>
      </c>
      <c r="AZ207" s="228">
        <f t="shared" si="349"/>
        <v>0</v>
      </c>
      <c r="BA207" s="228">
        <f t="shared" ref="BA207" si="350">BA208+BA215+BA221+BA225</f>
        <v>0</v>
      </c>
      <c r="BB207" s="228">
        <f t="shared" ref="BB207" si="351">BB208+BB215+BB221+BB225</f>
        <v>0</v>
      </c>
      <c r="BC207" s="228">
        <f t="shared" ref="BC207:BD207" si="352">BC208+BC215+BC221+BC225</f>
        <v>0</v>
      </c>
      <c r="BD207" s="228">
        <f t="shared" si="352"/>
        <v>30086633</v>
      </c>
      <c r="BE207" s="228">
        <f t="shared" ref="BE207" si="353">BE208+BE215+BE221+BE225</f>
        <v>2889500</v>
      </c>
    </row>
    <row r="208" spans="2:61" x14ac:dyDescent="0.3">
      <c r="B208" s="290" t="s">
        <v>8</v>
      </c>
      <c r="C208" s="222" t="s">
        <v>190</v>
      </c>
      <c r="D208" s="222"/>
      <c r="E208" s="222"/>
      <c r="F208" s="223">
        <f>SUM(F209:F214)</f>
        <v>1713564000</v>
      </c>
      <c r="G208" s="223">
        <f t="shared" ref="G208:AP208" si="354">SUM(G209:G214)</f>
        <v>0</v>
      </c>
      <c r="H208" s="223">
        <f t="shared" si="354"/>
        <v>0</v>
      </c>
      <c r="I208" s="223">
        <f t="shared" si="354"/>
        <v>0</v>
      </c>
      <c r="J208" s="223">
        <f t="shared" si="354"/>
        <v>0</v>
      </c>
      <c r="K208" s="223">
        <f t="shared" si="354"/>
        <v>0</v>
      </c>
      <c r="L208" s="223">
        <f t="shared" si="354"/>
        <v>0</v>
      </c>
      <c r="M208" s="223">
        <f t="shared" si="354"/>
        <v>0</v>
      </c>
      <c r="N208" s="223">
        <f t="shared" si="354"/>
        <v>0</v>
      </c>
      <c r="O208" s="223">
        <f t="shared" si="354"/>
        <v>0</v>
      </c>
      <c r="P208" s="223">
        <f t="shared" si="354"/>
        <v>5900000</v>
      </c>
      <c r="Q208" s="223">
        <f t="shared" si="354"/>
        <v>0</v>
      </c>
      <c r="R208" s="223">
        <f t="shared" si="354"/>
        <v>0</v>
      </c>
      <c r="S208" s="223">
        <f t="shared" si="354"/>
        <v>0</v>
      </c>
      <c r="T208" s="223">
        <f t="shared" si="354"/>
        <v>0</v>
      </c>
      <c r="U208" s="223">
        <f t="shared" si="354"/>
        <v>4855000</v>
      </c>
      <c r="V208" s="223">
        <f t="shared" si="354"/>
        <v>14635000</v>
      </c>
      <c r="W208" s="223">
        <f t="shared" si="354"/>
        <v>0</v>
      </c>
      <c r="X208" s="223">
        <f t="shared" si="354"/>
        <v>0</v>
      </c>
      <c r="Y208" s="223">
        <f t="shared" si="354"/>
        <v>0</v>
      </c>
      <c r="Z208" s="223">
        <f t="shared" si="354"/>
        <v>0</v>
      </c>
      <c r="AA208" s="223">
        <f t="shared" si="354"/>
        <v>0</v>
      </c>
      <c r="AB208" s="223">
        <f t="shared" si="354"/>
        <v>0</v>
      </c>
      <c r="AC208" s="223">
        <f t="shared" si="354"/>
        <v>0</v>
      </c>
      <c r="AD208" s="223">
        <f t="shared" si="354"/>
        <v>0</v>
      </c>
      <c r="AE208" s="223">
        <f t="shared" si="354"/>
        <v>0</v>
      </c>
      <c r="AF208" s="223">
        <f t="shared" si="354"/>
        <v>0</v>
      </c>
      <c r="AG208" s="223">
        <f t="shared" si="354"/>
        <v>0</v>
      </c>
      <c r="AH208" s="223">
        <f t="shared" si="354"/>
        <v>0</v>
      </c>
      <c r="AI208" s="223">
        <f t="shared" si="354"/>
        <v>0</v>
      </c>
      <c r="AJ208" s="223">
        <f t="shared" si="354"/>
        <v>0</v>
      </c>
      <c r="AK208" s="223">
        <f t="shared" si="354"/>
        <v>0</v>
      </c>
      <c r="AL208" s="223">
        <f t="shared" si="354"/>
        <v>0</v>
      </c>
      <c r="AM208" s="223">
        <f t="shared" si="354"/>
        <v>0</v>
      </c>
      <c r="AN208" s="223">
        <f t="shared" si="354"/>
        <v>0</v>
      </c>
      <c r="AO208" s="223">
        <f t="shared" si="354"/>
        <v>0</v>
      </c>
      <c r="AP208" s="223">
        <f t="shared" si="354"/>
        <v>0</v>
      </c>
      <c r="AQ208" s="223">
        <f t="shared" si="316"/>
        <v>25390000</v>
      </c>
      <c r="AR208" s="231">
        <f t="shared" si="317"/>
        <v>1.4817071320359204E-4</v>
      </c>
      <c r="AS208" s="232">
        <f t="shared" si="318"/>
        <v>1688174000</v>
      </c>
      <c r="AT208" s="231">
        <f t="shared" si="319"/>
        <v>98.518292867964078</v>
      </c>
      <c r="AU208" s="220" t="s">
        <v>542</v>
      </c>
      <c r="AV208" s="220" t="s">
        <v>543</v>
      </c>
      <c r="AW208" s="220" t="s">
        <v>4732</v>
      </c>
      <c r="AX208" s="223">
        <f t="shared" ref="AX208:AZ208" si="355">SUM(AX209:AX214)</f>
        <v>0</v>
      </c>
      <c r="AY208" s="223">
        <f t="shared" si="355"/>
        <v>0</v>
      </c>
      <c r="AZ208" s="223">
        <f t="shared" si="355"/>
        <v>0</v>
      </c>
      <c r="BA208" s="223">
        <f t="shared" ref="BA208" si="356">SUM(BA209:BA214)</f>
        <v>0</v>
      </c>
      <c r="BB208" s="223">
        <f t="shared" ref="BB208" si="357">SUM(BB209:BB214)</f>
        <v>0</v>
      </c>
      <c r="BC208" s="223">
        <f t="shared" ref="BC208:BD208" si="358">SUM(BC209:BC214)</f>
        <v>0</v>
      </c>
      <c r="BD208" s="223">
        <f t="shared" si="358"/>
        <v>4855000</v>
      </c>
      <c r="BE208" s="223">
        <f t="shared" ref="BE208" si="359">SUM(BE209:BE214)</f>
        <v>0</v>
      </c>
    </row>
    <row r="209" spans="2:57" x14ac:dyDescent="0.3">
      <c r="B209" s="288">
        <v>521211</v>
      </c>
      <c r="C209" s="220" t="s">
        <v>7</v>
      </c>
      <c r="D209" s="220"/>
      <c r="E209" s="220"/>
      <c r="F209" s="221">
        <v>99100000</v>
      </c>
      <c r="G209" s="221"/>
      <c r="H209" s="221"/>
      <c r="I209" s="221"/>
      <c r="J209" s="221"/>
      <c r="K209" s="221"/>
      <c r="L209" s="221"/>
      <c r="M209" s="221"/>
      <c r="N209" s="221"/>
      <c r="O209" s="221"/>
      <c r="P209" s="221"/>
      <c r="Q209" s="221"/>
      <c r="R209" s="221"/>
      <c r="S209" s="221"/>
      <c r="T209" s="221"/>
      <c r="U209" s="221"/>
      <c r="V209" s="221"/>
      <c r="W209" s="221"/>
      <c r="X209" s="221"/>
      <c r="Y209" s="221"/>
      <c r="Z209" s="221"/>
      <c r="AA209" s="221"/>
      <c r="AB209" s="221"/>
      <c r="AC209" s="221"/>
      <c r="AD209" s="221"/>
      <c r="AE209" s="221"/>
      <c r="AF209" s="221"/>
      <c r="AG209" s="221"/>
      <c r="AH209" s="221"/>
      <c r="AI209" s="221"/>
      <c r="AJ209" s="221"/>
      <c r="AK209" s="221"/>
      <c r="AL209" s="221"/>
      <c r="AM209" s="221"/>
      <c r="AN209" s="221"/>
      <c r="AO209" s="221"/>
      <c r="AP209" s="221"/>
      <c r="AQ209" s="221">
        <f t="shared" si="316"/>
        <v>0</v>
      </c>
      <c r="AR209" s="224">
        <f t="shared" si="317"/>
        <v>0</v>
      </c>
      <c r="AS209" s="225">
        <f t="shared" si="318"/>
        <v>99100000</v>
      </c>
      <c r="AT209" s="224">
        <f t="shared" si="319"/>
        <v>100</v>
      </c>
      <c r="AU209" s="220" t="s">
        <v>542</v>
      </c>
      <c r="AV209" s="220" t="s">
        <v>543</v>
      </c>
      <c r="AW209" s="220" t="s">
        <v>4732</v>
      </c>
      <c r="AX209" s="221"/>
      <c r="AY209" s="221"/>
      <c r="AZ209" s="221"/>
      <c r="BA209" s="221"/>
      <c r="BB209" s="221"/>
      <c r="BC209" s="221"/>
      <c r="BD209" s="221"/>
      <c r="BE209" s="221"/>
    </row>
    <row r="210" spans="2:57" x14ac:dyDescent="0.3">
      <c r="B210" s="288">
        <v>521219</v>
      </c>
      <c r="C210" s="220" t="s">
        <v>53</v>
      </c>
      <c r="D210" s="220"/>
      <c r="E210" s="220"/>
      <c r="F210" s="221">
        <v>1333864000</v>
      </c>
      <c r="G210" s="221"/>
      <c r="H210" s="221"/>
      <c r="I210" s="221"/>
      <c r="J210" s="221"/>
      <c r="K210" s="221"/>
      <c r="L210" s="221"/>
      <c r="M210" s="221"/>
      <c r="N210" s="221"/>
      <c r="O210" s="221"/>
      <c r="P210" s="221"/>
      <c r="Q210" s="221"/>
      <c r="R210" s="221"/>
      <c r="S210" s="221"/>
      <c r="T210" s="221"/>
      <c r="U210" s="221"/>
      <c r="V210" s="221"/>
      <c r="W210" s="221"/>
      <c r="X210" s="221"/>
      <c r="Y210" s="221"/>
      <c r="Z210" s="221"/>
      <c r="AA210" s="221"/>
      <c r="AB210" s="221"/>
      <c r="AC210" s="221"/>
      <c r="AD210" s="221"/>
      <c r="AE210" s="221"/>
      <c r="AF210" s="221"/>
      <c r="AG210" s="221"/>
      <c r="AH210" s="221"/>
      <c r="AI210" s="221"/>
      <c r="AJ210" s="221"/>
      <c r="AK210" s="221"/>
      <c r="AL210" s="221"/>
      <c r="AM210" s="221"/>
      <c r="AN210" s="221"/>
      <c r="AO210" s="221"/>
      <c r="AP210" s="221"/>
      <c r="AQ210" s="221">
        <f t="shared" si="316"/>
        <v>0</v>
      </c>
      <c r="AR210" s="224">
        <f t="shared" si="317"/>
        <v>0</v>
      </c>
      <c r="AS210" s="225">
        <f t="shared" si="318"/>
        <v>1333864000</v>
      </c>
      <c r="AT210" s="224">
        <f t="shared" si="319"/>
        <v>100</v>
      </c>
      <c r="AU210" s="220" t="s">
        <v>542</v>
      </c>
      <c r="AV210" s="220" t="s">
        <v>543</v>
      </c>
      <c r="AW210" s="391" t="s">
        <v>4732</v>
      </c>
      <c r="AX210" s="221"/>
      <c r="AY210" s="221"/>
      <c r="AZ210" s="221"/>
      <c r="BA210" s="221"/>
      <c r="BB210" s="221"/>
      <c r="BC210" s="221"/>
      <c r="BD210" s="221"/>
      <c r="BE210" s="221"/>
    </row>
    <row r="211" spans="2:57" x14ac:dyDescent="0.3">
      <c r="B211" s="288">
        <v>521811</v>
      </c>
      <c r="C211" s="220" t="s">
        <v>64</v>
      </c>
      <c r="D211" s="220"/>
      <c r="E211" s="220"/>
      <c r="F211" s="221">
        <v>25000000</v>
      </c>
      <c r="G211" s="221"/>
      <c r="H211" s="221"/>
      <c r="I211" s="221"/>
      <c r="J211" s="221"/>
      <c r="K211" s="221"/>
      <c r="L211" s="221"/>
      <c r="M211" s="221"/>
      <c r="N211" s="221"/>
      <c r="O211" s="221"/>
      <c r="P211" s="221"/>
      <c r="Q211" s="221"/>
      <c r="R211" s="221"/>
      <c r="S211" s="221"/>
      <c r="T211" s="221"/>
      <c r="U211" s="221">
        <v>4855000</v>
      </c>
      <c r="V211" s="221"/>
      <c r="W211" s="221"/>
      <c r="X211" s="221"/>
      <c r="Y211" s="221"/>
      <c r="Z211" s="221"/>
      <c r="AA211" s="221"/>
      <c r="AB211" s="221"/>
      <c r="AC211" s="221"/>
      <c r="AD211" s="221"/>
      <c r="AE211" s="221"/>
      <c r="AF211" s="221"/>
      <c r="AG211" s="221"/>
      <c r="AH211" s="221"/>
      <c r="AI211" s="221"/>
      <c r="AJ211" s="221"/>
      <c r="AK211" s="221"/>
      <c r="AL211" s="221"/>
      <c r="AM211" s="221"/>
      <c r="AN211" s="221"/>
      <c r="AO211" s="221"/>
      <c r="AP211" s="221"/>
      <c r="AQ211" s="221">
        <f t="shared" si="316"/>
        <v>4855000</v>
      </c>
      <c r="AR211" s="224">
        <f t="shared" si="317"/>
        <v>1.9420000000000001E-3</v>
      </c>
      <c r="AS211" s="225">
        <f t="shared" si="318"/>
        <v>20145000</v>
      </c>
      <c r="AT211" s="224">
        <f t="shared" si="319"/>
        <v>80.58</v>
      </c>
      <c r="AU211" s="220" t="s">
        <v>542</v>
      </c>
      <c r="AV211" s="220" t="s">
        <v>543</v>
      </c>
      <c r="AW211" s="220" t="s">
        <v>4732</v>
      </c>
      <c r="AX211" s="221"/>
      <c r="AY211" s="221"/>
      <c r="AZ211" s="221"/>
      <c r="BA211" s="221"/>
      <c r="BB211" s="221"/>
      <c r="BC211" s="221"/>
      <c r="BD211" s="221">
        <v>4855000</v>
      </c>
      <c r="BE211" s="221"/>
    </row>
    <row r="212" spans="2:57" x14ac:dyDescent="0.3">
      <c r="B212" s="288">
        <v>522151</v>
      </c>
      <c r="C212" s="220" t="s">
        <v>11</v>
      </c>
      <c r="D212" s="220"/>
      <c r="E212" s="220"/>
      <c r="F212" s="221">
        <v>15000000</v>
      </c>
      <c r="G212" s="221"/>
      <c r="H212" s="221"/>
      <c r="I212" s="221"/>
      <c r="J212" s="221"/>
      <c r="K212" s="221"/>
      <c r="L212" s="221"/>
      <c r="M212" s="221"/>
      <c r="N212" s="221"/>
      <c r="O212" s="221"/>
      <c r="P212" s="221"/>
      <c r="Q212" s="221"/>
      <c r="R212" s="221"/>
      <c r="S212" s="221"/>
      <c r="T212" s="221"/>
      <c r="U212" s="221"/>
      <c r="V212" s="221"/>
      <c r="W212" s="221"/>
      <c r="X212" s="221"/>
      <c r="Y212" s="221"/>
      <c r="Z212" s="221"/>
      <c r="AA212" s="221"/>
      <c r="AB212" s="221"/>
      <c r="AC212" s="221"/>
      <c r="AD212" s="221"/>
      <c r="AE212" s="221"/>
      <c r="AF212" s="221"/>
      <c r="AG212" s="221"/>
      <c r="AH212" s="221"/>
      <c r="AI212" s="221"/>
      <c r="AJ212" s="221"/>
      <c r="AK212" s="221"/>
      <c r="AL212" s="221"/>
      <c r="AM212" s="221"/>
      <c r="AN212" s="221"/>
      <c r="AO212" s="221"/>
      <c r="AP212" s="221"/>
      <c r="AQ212" s="221">
        <f t="shared" si="316"/>
        <v>0</v>
      </c>
      <c r="AR212" s="224">
        <f t="shared" si="317"/>
        <v>0</v>
      </c>
      <c r="AS212" s="225">
        <f t="shared" si="318"/>
        <v>15000000</v>
      </c>
      <c r="AT212" s="224">
        <f t="shared" si="319"/>
        <v>100</v>
      </c>
      <c r="AU212" s="220" t="s">
        <v>542</v>
      </c>
      <c r="AV212" s="220" t="s">
        <v>543</v>
      </c>
      <c r="AW212" s="220" t="s">
        <v>4732</v>
      </c>
      <c r="AX212" s="221"/>
      <c r="AY212" s="221"/>
      <c r="AZ212" s="221"/>
      <c r="BA212" s="221"/>
      <c r="BB212" s="221"/>
      <c r="BC212" s="221"/>
      <c r="BD212" s="221"/>
      <c r="BE212" s="221"/>
    </row>
    <row r="213" spans="2:57" x14ac:dyDescent="0.3">
      <c r="B213" s="288">
        <v>522191</v>
      </c>
      <c r="C213" s="220" t="s">
        <v>22</v>
      </c>
      <c r="D213" s="220"/>
      <c r="E213" s="220"/>
      <c r="F213" s="221">
        <v>102600000</v>
      </c>
      <c r="G213" s="221"/>
      <c r="H213" s="221"/>
      <c r="I213" s="221"/>
      <c r="J213" s="221"/>
      <c r="K213" s="221"/>
      <c r="L213" s="221"/>
      <c r="M213" s="221"/>
      <c r="N213" s="221"/>
      <c r="O213" s="221"/>
      <c r="P213" s="221"/>
      <c r="Q213" s="221"/>
      <c r="R213" s="221"/>
      <c r="S213" s="221"/>
      <c r="T213" s="221"/>
      <c r="U213" s="221"/>
      <c r="V213" s="221"/>
      <c r="W213" s="221"/>
      <c r="X213" s="221"/>
      <c r="Y213" s="221"/>
      <c r="Z213" s="221"/>
      <c r="AA213" s="221"/>
      <c r="AB213" s="221"/>
      <c r="AC213" s="221"/>
      <c r="AD213" s="221"/>
      <c r="AE213" s="221"/>
      <c r="AF213" s="221"/>
      <c r="AG213" s="221"/>
      <c r="AH213" s="221"/>
      <c r="AI213" s="221"/>
      <c r="AJ213" s="221"/>
      <c r="AK213" s="221"/>
      <c r="AL213" s="221"/>
      <c r="AM213" s="221"/>
      <c r="AN213" s="221"/>
      <c r="AO213" s="221"/>
      <c r="AP213" s="221"/>
      <c r="AQ213" s="221">
        <f t="shared" si="316"/>
        <v>0</v>
      </c>
      <c r="AR213" s="224">
        <f t="shared" si="317"/>
        <v>0</v>
      </c>
      <c r="AS213" s="225">
        <f t="shared" si="318"/>
        <v>102600000</v>
      </c>
      <c r="AT213" s="224">
        <f t="shared" si="319"/>
        <v>100</v>
      </c>
      <c r="AU213" s="220" t="s">
        <v>542</v>
      </c>
      <c r="AV213" s="220" t="s">
        <v>543</v>
      </c>
      <c r="AW213" s="220" t="s">
        <v>4732</v>
      </c>
      <c r="AX213" s="221"/>
      <c r="AY213" s="221"/>
      <c r="AZ213" s="221"/>
      <c r="BA213" s="221"/>
      <c r="BB213" s="221"/>
      <c r="BC213" s="221"/>
      <c r="BD213" s="221"/>
      <c r="BE213" s="221"/>
    </row>
    <row r="214" spans="2:57" x14ac:dyDescent="0.3">
      <c r="B214" s="288">
        <v>524111</v>
      </c>
      <c r="C214" s="220" t="s">
        <v>19</v>
      </c>
      <c r="D214" s="220"/>
      <c r="E214" s="220"/>
      <c r="F214" s="221">
        <v>138000000</v>
      </c>
      <c r="G214" s="221"/>
      <c r="H214" s="221"/>
      <c r="I214" s="221"/>
      <c r="J214" s="221"/>
      <c r="K214" s="221"/>
      <c r="L214" s="221"/>
      <c r="M214" s="221"/>
      <c r="N214" s="221"/>
      <c r="O214" s="221"/>
      <c r="P214" s="221">
        <v>5900000</v>
      </c>
      <c r="Q214" s="221"/>
      <c r="R214" s="221"/>
      <c r="S214" s="221"/>
      <c r="T214" s="221"/>
      <c r="U214" s="221"/>
      <c r="V214" s="221">
        <v>14635000</v>
      </c>
      <c r="W214" s="221"/>
      <c r="X214" s="221"/>
      <c r="Y214" s="221"/>
      <c r="Z214" s="221"/>
      <c r="AA214" s="221"/>
      <c r="AB214" s="221"/>
      <c r="AC214" s="221"/>
      <c r="AD214" s="221"/>
      <c r="AE214" s="221"/>
      <c r="AF214" s="221"/>
      <c r="AG214" s="221"/>
      <c r="AH214" s="221"/>
      <c r="AI214" s="221"/>
      <c r="AJ214" s="221"/>
      <c r="AK214" s="221"/>
      <c r="AL214" s="221"/>
      <c r="AM214" s="221"/>
      <c r="AN214" s="221"/>
      <c r="AO214" s="221"/>
      <c r="AP214" s="221"/>
      <c r="AQ214" s="221">
        <f t="shared" si="316"/>
        <v>20535000</v>
      </c>
      <c r="AR214" s="224">
        <f t="shared" si="317"/>
        <v>1.4880434782608696E-3</v>
      </c>
      <c r="AS214" s="225">
        <f t="shared" si="318"/>
        <v>117465000</v>
      </c>
      <c r="AT214" s="224">
        <f t="shared" si="319"/>
        <v>85.119565217391298</v>
      </c>
      <c r="AU214" s="220" t="s">
        <v>542</v>
      </c>
      <c r="AV214" s="220" t="s">
        <v>543</v>
      </c>
      <c r="AW214" s="220" t="s">
        <v>4732</v>
      </c>
      <c r="AX214" s="221"/>
      <c r="AY214" s="221"/>
      <c r="AZ214" s="221"/>
      <c r="BA214" s="221"/>
      <c r="BB214" s="221"/>
      <c r="BC214" s="221"/>
      <c r="BD214" s="221"/>
      <c r="BE214" s="221"/>
    </row>
    <row r="215" spans="2:57" x14ac:dyDescent="0.3">
      <c r="B215" s="290" t="s">
        <v>511</v>
      </c>
      <c r="C215" s="222" t="s">
        <v>191</v>
      </c>
      <c r="D215" s="222"/>
      <c r="E215" s="222"/>
      <c r="F215" s="223">
        <f t="shared" ref="F215:AP215" si="360">SUM(F216:F220)</f>
        <v>6555695000</v>
      </c>
      <c r="G215" s="223">
        <f t="shared" si="360"/>
        <v>0</v>
      </c>
      <c r="H215" s="223">
        <f t="shared" si="360"/>
        <v>0</v>
      </c>
      <c r="I215" s="223">
        <f t="shared" si="360"/>
        <v>0</v>
      </c>
      <c r="J215" s="223">
        <f t="shared" si="360"/>
        <v>0</v>
      </c>
      <c r="K215" s="223">
        <f t="shared" si="360"/>
        <v>0</v>
      </c>
      <c r="L215" s="223">
        <f t="shared" si="360"/>
        <v>0</v>
      </c>
      <c r="M215" s="223">
        <f t="shared" si="360"/>
        <v>0</v>
      </c>
      <c r="N215" s="223">
        <f t="shared" si="360"/>
        <v>0</v>
      </c>
      <c r="O215" s="223">
        <f t="shared" si="360"/>
        <v>0</v>
      </c>
      <c r="P215" s="223">
        <f t="shared" si="360"/>
        <v>1549795356</v>
      </c>
      <c r="Q215" s="223">
        <f t="shared" si="360"/>
        <v>0</v>
      </c>
      <c r="R215" s="223">
        <f t="shared" si="360"/>
        <v>0</v>
      </c>
      <c r="S215" s="223">
        <f t="shared" si="360"/>
        <v>0</v>
      </c>
      <c r="T215" s="223">
        <f t="shared" si="360"/>
        <v>0</v>
      </c>
      <c r="U215" s="223">
        <f t="shared" si="360"/>
        <v>25231633</v>
      </c>
      <c r="V215" s="223">
        <f t="shared" si="360"/>
        <v>1865601423</v>
      </c>
      <c r="W215" s="223">
        <f t="shared" si="360"/>
        <v>0</v>
      </c>
      <c r="X215" s="223">
        <f t="shared" si="360"/>
        <v>2889500</v>
      </c>
      <c r="Y215" s="223">
        <f t="shared" si="360"/>
        <v>0</v>
      </c>
      <c r="Z215" s="223">
        <f t="shared" si="360"/>
        <v>0</v>
      </c>
      <c r="AA215" s="223">
        <f t="shared" si="360"/>
        <v>0</v>
      </c>
      <c r="AB215" s="223">
        <f t="shared" si="360"/>
        <v>0</v>
      </c>
      <c r="AC215" s="223">
        <f t="shared" si="360"/>
        <v>0</v>
      </c>
      <c r="AD215" s="223">
        <f t="shared" si="360"/>
        <v>0</v>
      </c>
      <c r="AE215" s="223">
        <f t="shared" si="360"/>
        <v>0</v>
      </c>
      <c r="AF215" s="223">
        <f t="shared" si="360"/>
        <v>0</v>
      </c>
      <c r="AG215" s="223">
        <f t="shared" si="360"/>
        <v>0</v>
      </c>
      <c r="AH215" s="223">
        <f t="shared" si="360"/>
        <v>0</v>
      </c>
      <c r="AI215" s="223">
        <f t="shared" si="360"/>
        <v>0</v>
      </c>
      <c r="AJ215" s="223">
        <f t="shared" si="360"/>
        <v>0</v>
      </c>
      <c r="AK215" s="223">
        <f t="shared" si="360"/>
        <v>0</v>
      </c>
      <c r="AL215" s="223">
        <f t="shared" si="360"/>
        <v>0</v>
      </c>
      <c r="AM215" s="223">
        <f t="shared" si="360"/>
        <v>0</v>
      </c>
      <c r="AN215" s="223">
        <f t="shared" si="360"/>
        <v>0</v>
      </c>
      <c r="AO215" s="223">
        <f t="shared" si="360"/>
        <v>0</v>
      </c>
      <c r="AP215" s="223">
        <f t="shared" si="360"/>
        <v>0</v>
      </c>
      <c r="AQ215" s="223">
        <f t="shared" si="316"/>
        <v>3443517912</v>
      </c>
      <c r="AR215" s="231">
        <f t="shared" si="317"/>
        <v>5.2527122021387507E-3</v>
      </c>
      <c r="AS215" s="232">
        <f t="shared" si="318"/>
        <v>3112177088</v>
      </c>
      <c r="AT215" s="231">
        <f t="shared" si="319"/>
        <v>47.472877978612487</v>
      </c>
      <c r="AU215" s="220" t="s">
        <v>542</v>
      </c>
      <c r="AV215" s="220" t="s">
        <v>543</v>
      </c>
      <c r="AW215" s="220" t="s">
        <v>4732</v>
      </c>
      <c r="AX215" s="223">
        <f t="shared" ref="AX215:BA215" si="361">SUM(AX216:AX220)</f>
        <v>0</v>
      </c>
      <c r="AY215" s="223">
        <f t="shared" si="361"/>
        <v>0</v>
      </c>
      <c r="AZ215" s="223">
        <f t="shared" si="361"/>
        <v>0</v>
      </c>
      <c r="BA215" s="223">
        <f t="shared" si="361"/>
        <v>0</v>
      </c>
      <c r="BB215" s="223">
        <f t="shared" ref="BB215" si="362">SUM(BB216:BB220)</f>
        <v>0</v>
      </c>
      <c r="BC215" s="223">
        <f t="shared" ref="BC215:BD215" si="363">SUM(BC216:BC220)</f>
        <v>0</v>
      </c>
      <c r="BD215" s="223">
        <f t="shared" si="363"/>
        <v>25231633</v>
      </c>
      <c r="BE215" s="223">
        <f t="shared" ref="BE215" si="364">SUM(BE216:BE220)</f>
        <v>2889500</v>
      </c>
    </row>
    <row r="216" spans="2:57" x14ac:dyDescent="0.3">
      <c r="B216" s="288">
        <v>521211</v>
      </c>
      <c r="C216" s="220" t="s">
        <v>7</v>
      </c>
      <c r="D216" s="220"/>
      <c r="E216" s="220"/>
      <c r="F216" s="221">
        <v>25000000</v>
      </c>
      <c r="G216" s="221"/>
      <c r="H216" s="221"/>
      <c r="I216" s="221"/>
      <c r="J216" s="221"/>
      <c r="K216" s="221"/>
      <c r="L216" s="221"/>
      <c r="M216" s="221"/>
      <c r="N216" s="221"/>
      <c r="O216" s="221"/>
      <c r="P216" s="221"/>
      <c r="Q216" s="221"/>
      <c r="R216" s="221"/>
      <c r="S216" s="221"/>
      <c r="T216" s="221"/>
      <c r="U216" s="221">
        <v>1475000</v>
      </c>
      <c r="V216" s="221"/>
      <c r="W216" s="221"/>
      <c r="X216" s="221">
        <v>1442500</v>
      </c>
      <c r="Y216" s="221"/>
      <c r="Z216" s="221"/>
      <c r="AA216" s="221"/>
      <c r="AB216" s="221"/>
      <c r="AC216" s="221"/>
      <c r="AD216" s="221"/>
      <c r="AE216" s="221"/>
      <c r="AF216" s="221"/>
      <c r="AG216" s="221"/>
      <c r="AH216" s="221"/>
      <c r="AI216" s="221"/>
      <c r="AJ216" s="221"/>
      <c r="AK216" s="221"/>
      <c r="AL216" s="221"/>
      <c r="AM216" s="221"/>
      <c r="AN216" s="221"/>
      <c r="AO216" s="221"/>
      <c r="AP216" s="221"/>
      <c r="AQ216" s="221">
        <f t="shared" si="316"/>
        <v>2917500</v>
      </c>
      <c r="AR216" s="224">
        <f t="shared" si="317"/>
        <v>1.1670000000000001E-3</v>
      </c>
      <c r="AS216" s="225">
        <f t="shared" si="318"/>
        <v>22082500</v>
      </c>
      <c r="AT216" s="224">
        <f t="shared" si="319"/>
        <v>88.33</v>
      </c>
      <c r="AU216" s="220" t="s">
        <v>542</v>
      </c>
      <c r="AV216" s="220" t="s">
        <v>543</v>
      </c>
      <c r="AW216" s="220" t="s">
        <v>4732</v>
      </c>
      <c r="AX216" s="221"/>
      <c r="AY216" s="221"/>
      <c r="AZ216" s="221"/>
      <c r="BA216" s="221"/>
      <c r="BB216" s="221"/>
      <c r="BC216" s="221"/>
      <c r="BD216" s="221">
        <v>1475000</v>
      </c>
      <c r="BE216" s="221">
        <v>1442500</v>
      </c>
    </row>
    <row r="217" spans="2:57" x14ac:dyDescent="0.3">
      <c r="B217" s="288">
        <v>521219</v>
      </c>
      <c r="C217" s="220" t="s">
        <v>53</v>
      </c>
      <c r="D217" s="220"/>
      <c r="E217" s="220"/>
      <c r="F217" s="221">
        <v>6308695000</v>
      </c>
      <c r="G217" s="221"/>
      <c r="H217" s="221"/>
      <c r="I217" s="221"/>
      <c r="J217" s="221"/>
      <c r="K217" s="221"/>
      <c r="L217" s="221"/>
      <c r="M217" s="221"/>
      <c r="N217" s="221"/>
      <c r="O217" s="221"/>
      <c r="P217" s="221">
        <f>830060208+5925000+5925000+577980144+112130004+11850000+5925000</f>
        <v>1549795356</v>
      </c>
      <c r="Q217" s="221"/>
      <c r="R217" s="221"/>
      <c r="S217" s="221"/>
      <c r="T217" s="221"/>
      <c r="U217" s="221"/>
      <c r="V217" s="221">
        <f>430825000+180000000+30000000+784200000+253750000+154545850+9950000</f>
        <v>1843270850</v>
      </c>
      <c r="W217" s="221"/>
      <c r="X217" s="221"/>
      <c r="Y217" s="221"/>
      <c r="Z217" s="221"/>
      <c r="AA217" s="221"/>
      <c r="AB217" s="221"/>
      <c r="AC217" s="221"/>
      <c r="AD217" s="221"/>
      <c r="AE217" s="221"/>
      <c r="AF217" s="221"/>
      <c r="AG217" s="221"/>
      <c r="AH217" s="221"/>
      <c r="AI217" s="221"/>
      <c r="AJ217" s="221"/>
      <c r="AK217" s="221"/>
      <c r="AL217" s="221"/>
      <c r="AM217" s="221"/>
      <c r="AN217" s="221"/>
      <c r="AO217" s="221"/>
      <c r="AP217" s="221"/>
      <c r="AQ217" s="221">
        <f t="shared" si="316"/>
        <v>3393066206</v>
      </c>
      <c r="AR217" s="224">
        <f t="shared" si="317"/>
        <v>5.3783963339486219E-3</v>
      </c>
      <c r="AS217" s="225">
        <f t="shared" si="318"/>
        <v>2915628794</v>
      </c>
      <c r="AT217" s="224">
        <f t="shared" si="319"/>
        <v>46.21603666051378</v>
      </c>
      <c r="AU217" s="220" t="s">
        <v>542</v>
      </c>
      <c r="AV217" s="220" t="s">
        <v>543</v>
      </c>
      <c r="AW217" s="220" t="s">
        <v>4732</v>
      </c>
      <c r="AX217" s="221"/>
      <c r="AY217" s="221"/>
      <c r="AZ217" s="221"/>
      <c r="BA217" s="221"/>
      <c r="BB217" s="221"/>
      <c r="BC217" s="221"/>
      <c r="BD217" s="221"/>
      <c r="BE217" s="221"/>
    </row>
    <row r="218" spans="2:57" x14ac:dyDescent="0.3">
      <c r="B218" s="288">
        <v>521811</v>
      </c>
      <c r="C218" s="220" t="s">
        <v>64</v>
      </c>
      <c r="D218" s="220"/>
      <c r="E218" s="220"/>
      <c r="F218" s="221">
        <v>30000000</v>
      </c>
      <c r="G218" s="221"/>
      <c r="H218" s="221"/>
      <c r="I218" s="221"/>
      <c r="J218" s="221"/>
      <c r="K218" s="221"/>
      <c r="L218" s="221"/>
      <c r="M218" s="221"/>
      <c r="N218" s="221"/>
      <c r="O218" s="221"/>
      <c r="P218" s="221"/>
      <c r="Q218" s="221"/>
      <c r="R218" s="221"/>
      <c r="S218" s="221"/>
      <c r="T218" s="221"/>
      <c r="U218" s="221">
        <v>3364000</v>
      </c>
      <c r="V218" s="221"/>
      <c r="W218" s="221"/>
      <c r="X218" s="221">
        <v>1447000</v>
      </c>
      <c r="Y218" s="221"/>
      <c r="Z218" s="221"/>
      <c r="AA218" s="221"/>
      <c r="AB218" s="221"/>
      <c r="AC218" s="221"/>
      <c r="AD218" s="221"/>
      <c r="AE218" s="221"/>
      <c r="AF218" s="221"/>
      <c r="AG218" s="221"/>
      <c r="AH218" s="221"/>
      <c r="AI218" s="221"/>
      <c r="AJ218" s="221"/>
      <c r="AK218" s="221"/>
      <c r="AL218" s="221"/>
      <c r="AM218" s="221"/>
      <c r="AN218" s="221"/>
      <c r="AO218" s="221"/>
      <c r="AP218" s="221"/>
      <c r="AQ218" s="221">
        <f t="shared" si="316"/>
        <v>4811000</v>
      </c>
      <c r="AR218" s="224">
        <f t="shared" si="317"/>
        <v>1.6036666666666667E-3</v>
      </c>
      <c r="AS218" s="225">
        <f t="shared" si="318"/>
        <v>25189000</v>
      </c>
      <c r="AT218" s="224">
        <f t="shared" si="319"/>
        <v>83.963333333333338</v>
      </c>
      <c r="AU218" s="220" t="s">
        <v>542</v>
      </c>
      <c r="AV218" s="220" t="s">
        <v>543</v>
      </c>
      <c r="AW218" s="220" t="s">
        <v>4732</v>
      </c>
      <c r="AX218" s="221"/>
      <c r="AY218" s="221"/>
      <c r="AZ218" s="221"/>
      <c r="BA218" s="221"/>
      <c r="BB218" s="221"/>
      <c r="BC218" s="221"/>
      <c r="BD218" s="221">
        <v>3364000</v>
      </c>
      <c r="BE218" s="221">
        <v>1447000</v>
      </c>
    </row>
    <row r="219" spans="2:57" x14ac:dyDescent="0.3">
      <c r="B219" s="288">
        <v>522151</v>
      </c>
      <c r="C219" s="220" t="s">
        <v>11</v>
      </c>
      <c r="D219" s="220"/>
      <c r="E219" s="220"/>
      <c r="F219" s="221">
        <v>6000000</v>
      </c>
      <c r="G219" s="221"/>
      <c r="H219" s="221"/>
      <c r="I219" s="221"/>
      <c r="J219" s="221"/>
      <c r="K219" s="221"/>
      <c r="L219" s="221"/>
      <c r="M219" s="221"/>
      <c r="N219" s="221"/>
      <c r="O219" s="221"/>
      <c r="P219" s="221"/>
      <c r="Q219" s="221"/>
      <c r="R219" s="221"/>
      <c r="S219" s="221"/>
      <c r="T219" s="221"/>
      <c r="U219" s="221"/>
      <c r="V219" s="221"/>
      <c r="W219" s="221"/>
      <c r="X219" s="221"/>
      <c r="Y219" s="221"/>
      <c r="Z219" s="221"/>
      <c r="AA219" s="221"/>
      <c r="AB219" s="221"/>
      <c r="AC219" s="221"/>
      <c r="AD219" s="221"/>
      <c r="AE219" s="221"/>
      <c r="AF219" s="221"/>
      <c r="AG219" s="221"/>
      <c r="AH219" s="221"/>
      <c r="AI219" s="221"/>
      <c r="AJ219" s="221"/>
      <c r="AK219" s="221"/>
      <c r="AL219" s="221"/>
      <c r="AM219" s="221"/>
      <c r="AN219" s="221"/>
      <c r="AO219" s="221"/>
      <c r="AP219" s="221"/>
      <c r="AQ219" s="221">
        <f t="shared" si="316"/>
        <v>0</v>
      </c>
      <c r="AR219" s="224">
        <f t="shared" si="317"/>
        <v>0</v>
      </c>
      <c r="AS219" s="225">
        <f t="shared" si="318"/>
        <v>6000000</v>
      </c>
      <c r="AT219" s="224">
        <f t="shared" si="319"/>
        <v>100</v>
      </c>
      <c r="AU219" s="220" t="s">
        <v>542</v>
      </c>
      <c r="AV219" s="220" t="s">
        <v>543</v>
      </c>
      <c r="AW219" s="220" t="s">
        <v>4732</v>
      </c>
      <c r="AX219" s="221"/>
      <c r="AY219" s="221"/>
      <c r="AZ219" s="221"/>
      <c r="BA219" s="221"/>
      <c r="BB219" s="221"/>
      <c r="BC219" s="221"/>
      <c r="BD219" s="221"/>
      <c r="BE219" s="221"/>
    </row>
    <row r="220" spans="2:57" x14ac:dyDescent="0.3">
      <c r="B220" s="288">
        <v>524111</v>
      </c>
      <c r="C220" s="220" t="s">
        <v>19</v>
      </c>
      <c r="D220" s="220"/>
      <c r="E220" s="220"/>
      <c r="F220" s="221">
        <v>186000000</v>
      </c>
      <c r="G220" s="221"/>
      <c r="H220" s="221"/>
      <c r="I220" s="221"/>
      <c r="J220" s="221"/>
      <c r="K220" s="221"/>
      <c r="L220" s="221"/>
      <c r="M220" s="221"/>
      <c r="N220" s="221"/>
      <c r="O220" s="221"/>
      <c r="P220" s="221"/>
      <c r="Q220" s="221"/>
      <c r="R220" s="221"/>
      <c r="S220" s="221"/>
      <c r="T220" s="221"/>
      <c r="U220" s="221">
        <v>20392633</v>
      </c>
      <c r="V220" s="221">
        <f>6450000+15880573</f>
        <v>22330573</v>
      </c>
      <c r="W220" s="221"/>
      <c r="X220" s="221"/>
      <c r="Y220" s="221"/>
      <c r="Z220" s="221"/>
      <c r="AA220" s="221"/>
      <c r="AB220" s="221"/>
      <c r="AC220" s="221"/>
      <c r="AD220" s="221"/>
      <c r="AE220" s="221"/>
      <c r="AF220" s="221"/>
      <c r="AG220" s="221"/>
      <c r="AH220" s="221"/>
      <c r="AI220" s="221"/>
      <c r="AJ220" s="221"/>
      <c r="AK220" s="221"/>
      <c r="AL220" s="221"/>
      <c r="AM220" s="221"/>
      <c r="AN220" s="221"/>
      <c r="AO220" s="221"/>
      <c r="AP220" s="221"/>
      <c r="AQ220" s="221">
        <f t="shared" si="316"/>
        <v>42723206</v>
      </c>
      <c r="AR220" s="224">
        <f t="shared" si="317"/>
        <v>2.2969465591397851E-3</v>
      </c>
      <c r="AS220" s="225">
        <f t="shared" si="318"/>
        <v>143276794</v>
      </c>
      <c r="AT220" s="224">
        <f t="shared" si="319"/>
        <v>77.030534408602151</v>
      </c>
      <c r="AU220" s="220" t="s">
        <v>542</v>
      </c>
      <c r="AV220" s="220" t="s">
        <v>543</v>
      </c>
      <c r="AW220" s="220" t="s">
        <v>4732</v>
      </c>
      <c r="AX220" s="221"/>
      <c r="AY220" s="221"/>
      <c r="AZ220" s="221"/>
      <c r="BA220" s="221"/>
      <c r="BB220" s="221"/>
      <c r="BC220" s="221"/>
      <c r="BD220" s="221">
        <v>20392633</v>
      </c>
      <c r="BE220" s="221"/>
    </row>
    <row r="221" spans="2:57" x14ac:dyDescent="0.3">
      <c r="B221" s="290" t="s">
        <v>512</v>
      </c>
      <c r="C221" s="222" t="s">
        <v>192</v>
      </c>
      <c r="D221" s="222"/>
      <c r="E221" s="222"/>
      <c r="F221" s="223">
        <f t="shared" ref="F221:AP221" si="365">SUM(F222:F224)</f>
        <v>174041000</v>
      </c>
      <c r="G221" s="223">
        <f t="shared" si="365"/>
        <v>0</v>
      </c>
      <c r="H221" s="223">
        <f t="shared" si="365"/>
        <v>0</v>
      </c>
      <c r="I221" s="223">
        <f t="shared" si="365"/>
        <v>0</v>
      </c>
      <c r="J221" s="223">
        <f t="shared" si="365"/>
        <v>0</v>
      </c>
      <c r="K221" s="223">
        <f t="shared" si="365"/>
        <v>0</v>
      </c>
      <c r="L221" s="223">
        <f t="shared" si="365"/>
        <v>0</v>
      </c>
      <c r="M221" s="223">
        <f t="shared" si="365"/>
        <v>0</v>
      </c>
      <c r="N221" s="223">
        <f t="shared" si="365"/>
        <v>0</v>
      </c>
      <c r="O221" s="223">
        <f t="shared" si="365"/>
        <v>0</v>
      </c>
      <c r="P221" s="223">
        <f t="shared" si="365"/>
        <v>0</v>
      </c>
      <c r="Q221" s="223">
        <f t="shared" si="365"/>
        <v>0</v>
      </c>
      <c r="R221" s="223">
        <f t="shared" si="365"/>
        <v>0</v>
      </c>
      <c r="S221" s="223">
        <f t="shared" si="365"/>
        <v>0</v>
      </c>
      <c r="T221" s="223">
        <f t="shared" si="365"/>
        <v>0</v>
      </c>
      <c r="U221" s="223">
        <f t="shared" si="365"/>
        <v>0</v>
      </c>
      <c r="V221" s="223">
        <f t="shared" si="365"/>
        <v>0</v>
      </c>
      <c r="W221" s="223">
        <f t="shared" si="365"/>
        <v>0</v>
      </c>
      <c r="X221" s="223">
        <f t="shared" si="365"/>
        <v>0</v>
      </c>
      <c r="Y221" s="223">
        <f t="shared" si="365"/>
        <v>0</v>
      </c>
      <c r="Z221" s="223">
        <f t="shared" si="365"/>
        <v>0</v>
      </c>
      <c r="AA221" s="223">
        <f t="shared" si="365"/>
        <v>0</v>
      </c>
      <c r="AB221" s="223">
        <f t="shared" si="365"/>
        <v>0</v>
      </c>
      <c r="AC221" s="223">
        <f t="shared" si="365"/>
        <v>0</v>
      </c>
      <c r="AD221" s="223">
        <f t="shared" si="365"/>
        <v>0</v>
      </c>
      <c r="AE221" s="223">
        <f t="shared" si="365"/>
        <v>0</v>
      </c>
      <c r="AF221" s="223">
        <f t="shared" si="365"/>
        <v>0</v>
      </c>
      <c r="AG221" s="223">
        <f t="shared" si="365"/>
        <v>0</v>
      </c>
      <c r="AH221" s="223">
        <f t="shared" si="365"/>
        <v>0</v>
      </c>
      <c r="AI221" s="223">
        <f t="shared" si="365"/>
        <v>0</v>
      </c>
      <c r="AJ221" s="223">
        <f t="shared" si="365"/>
        <v>0</v>
      </c>
      <c r="AK221" s="223">
        <f t="shared" si="365"/>
        <v>0</v>
      </c>
      <c r="AL221" s="223">
        <f t="shared" si="365"/>
        <v>0</v>
      </c>
      <c r="AM221" s="223">
        <f t="shared" si="365"/>
        <v>0</v>
      </c>
      <c r="AN221" s="223">
        <f t="shared" si="365"/>
        <v>0</v>
      </c>
      <c r="AO221" s="223">
        <f t="shared" si="365"/>
        <v>0</v>
      </c>
      <c r="AP221" s="223">
        <f t="shared" si="365"/>
        <v>0</v>
      </c>
      <c r="AQ221" s="223">
        <f t="shared" si="316"/>
        <v>0</v>
      </c>
      <c r="AR221" s="231">
        <f t="shared" si="317"/>
        <v>0</v>
      </c>
      <c r="AS221" s="232">
        <f t="shared" si="318"/>
        <v>174041000</v>
      </c>
      <c r="AT221" s="231">
        <f t="shared" si="319"/>
        <v>100</v>
      </c>
      <c r="AU221" s="220" t="s">
        <v>542</v>
      </c>
      <c r="AV221" s="220" t="s">
        <v>543</v>
      </c>
      <c r="AW221" s="220" t="s">
        <v>4732</v>
      </c>
      <c r="AX221" s="223">
        <f t="shared" ref="AX221:BA221" si="366">SUM(AX222:AX224)</f>
        <v>0</v>
      </c>
      <c r="AY221" s="223">
        <f t="shared" si="366"/>
        <v>0</v>
      </c>
      <c r="AZ221" s="223">
        <f t="shared" si="366"/>
        <v>0</v>
      </c>
      <c r="BA221" s="223">
        <f t="shared" si="366"/>
        <v>0</v>
      </c>
      <c r="BB221" s="223">
        <f t="shared" ref="BB221" si="367">SUM(BB222:BB224)</f>
        <v>0</v>
      </c>
      <c r="BC221" s="223">
        <f t="shared" ref="BC221:BD221" si="368">SUM(BC222:BC224)</f>
        <v>0</v>
      </c>
      <c r="BD221" s="223">
        <f t="shared" si="368"/>
        <v>0</v>
      </c>
      <c r="BE221" s="223">
        <f t="shared" ref="BE221" si="369">SUM(BE222:BE224)</f>
        <v>0</v>
      </c>
    </row>
    <row r="222" spans="2:57" x14ac:dyDescent="0.3">
      <c r="B222" s="288">
        <v>521211</v>
      </c>
      <c r="C222" s="220" t="s">
        <v>7</v>
      </c>
      <c r="D222" s="220"/>
      <c r="E222" s="220"/>
      <c r="F222" s="221">
        <v>12000000</v>
      </c>
      <c r="G222" s="221"/>
      <c r="H222" s="221"/>
      <c r="I222" s="221"/>
      <c r="J222" s="221"/>
      <c r="K222" s="221"/>
      <c r="L222" s="221"/>
      <c r="M222" s="221"/>
      <c r="N222" s="221"/>
      <c r="O222" s="221"/>
      <c r="P222" s="221"/>
      <c r="Q222" s="221"/>
      <c r="R222" s="221"/>
      <c r="S222" s="221"/>
      <c r="T222" s="221"/>
      <c r="U222" s="221"/>
      <c r="V222" s="221"/>
      <c r="W222" s="221"/>
      <c r="X222" s="221"/>
      <c r="Y222" s="221"/>
      <c r="Z222" s="221"/>
      <c r="AA222" s="221"/>
      <c r="AB222" s="221"/>
      <c r="AC222" s="221"/>
      <c r="AD222" s="221"/>
      <c r="AE222" s="221"/>
      <c r="AF222" s="221"/>
      <c r="AG222" s="221"/>
      <c r="AH222" s="221"/>
      <c r="AI222" s="221"/>
      <c r="AJ222" s="221"/>
      <c r="AK222" s="221"/>
      <c r="AL222" s="221"/>
      <c r="AM222" s="221"/>
      <c r="AN222" s="221"/>
      <c r="AO222" s="221"/>
      <c r="AP222" s="221"/>
      <c r="AQ222" s="221">
        <f t="shared" si="316"/>
        <v>0</v>
      </c>
      <c r="AR222" s="224">
        <f t="shared" si="317"/>
        <v>0</v>
      </c>
      <c r="AS222" s="225">
        <f t="shared" si="318"/>
        <v>12000000</v>
      </c>
      <c r="AT222" s="224">
        <f t="shared" si="319"/>
        <v>100</v>
      </c>
      <c r="AU222" s="220" t="s">
        <v>542</v>
      </c>
      <c r="AV222" s="220" t="s">
        <v>543</v>
      </c>
      <c r="AW222" s="220" t="s">
        <v>4732</v>
      </c>
      <c r="AX222" s="221"/>
      <c r="AY222" s="221"/>
      <c r="AZ222" s="221"/>
      <c r="BA222" s="221"/>
      <c r="BB222" s="221"/>
      <c r="BC222" s="221"/>
      <c r="BD222" s="221"/>
      <c r="BE222" s="221"/>
    </row>
    <row r="223" spans="2:57" x14ac:dyDescent="0.3">
      <c r="B223" s="288">
        <v>521219</v>
      </c>
      <c r="C223" s="220" t="s">
        <v>53</v>
      </c>
      <c r="D223" s="220"/>
      <c r="E223" s="220"/>
      <c r="F223" s="221">
        <v>20000000</v>
      </c>
      <c r="G223" s="221"/>
      <c r="H223" s="221"/>
      <c r="I223" s="221"/>
      <c r="J223" s="221"/>
      <c r="K223" s="221"/>
      <c r="L223" s="221"/>
      <c r="M223" s="221"/>
      <c r="N223" s="221"/>
      <c r="O223" s="221"/>
      <c r="P223" s="221"/>
      <c r="Q223" s="221"/>
      <c r="R223" s="221"/>
      <c r="S223" s="221"/>
      <c r="T223" s="221"/>
      <c r="U223" s="221"/>
      <c r="V223" s="221"/>
      <c r="W223" s="221"/>
      <c r="X223" s="221"/>
      <c r="Y223" s="221"/>
      <c r="Z223" s="221"/>
      <c r="AA223" s="221"/>
      <c r="AB223" s="221"/>
      <c r="AC223" s="221"/>
      <c r="AD223" s="221"/>
      <c r="AE223" s="221"/>
      <c r="AF223" s="221"/>
      <c r="AG223" s="221"/>
      <c r="AH223" s="221"/>
      <c r="AI223" s="221"/>
      <c r="AJ223" s="221"/>
      <c r="AK223" s="221"/>
      <c r="AL223" s="221"/>
      <c r="AM223" s="221"/>
      <c r="AN223" s="221"/>
      <c r="AO223" s="221"/>
      <c r="AP223" s="221"/>
      <c r="AQ223" s="221">
        <f t="shared" si="316"/>
        <v>0</v>
      </c>
      <c r="AR223" s="224">
        <f t="shared" si="317"/>
        <v>0</v>
      </c>
      <c r="AS223" s="225">
        <f t="shared" si="318"/>
        <v>20000000</v>
      </c>
      <c r="AT223" s="224">
        <f t="shared" si="319"/>
        <v>100</v>
      </c>
      <c r="AU223" s="220" t="s">
        <v>542</v>
      </c>
      <c r="AV223" s="220" t="s">
        <v>543</v>
      </c>
      <c r="AW223" s="220" t="s">
        <v>4732</v>
      </c>
      <c r="AX223" s="221"/>
      <c r="AY223" s="221"/>
      <c r="AZ223" s="221"/>
      <c r="BA223" s="221"/>
      <c r="BB223" s="221"/>
      <c r="BC223" s="221"/>
      <c r="BD223" s="221"/>
      <c r="BE223" s="221"/>
    </row>
    <row r="224" spans="2:57" x14ac:dyDescent="0.3">
      <c r="B224" s="288">
        <v>524211</v>
      </c>
      <c r="C224" s="220" t="s">
        <v>1151</v>
      </c>
      <c r="D224" s="220"/>
      <c r="E224" s="220"/>
      <c r="F224" s="221">
        <v>142041000</v>
      </c>
      <c r="G224" s="221"/>
      <c r="H224" s="221"/>
      <c r="I224" s="221"/>
      <c r="J224" s="221"/>
      <c r="K224" s="221"/>
      <c r="L224" s="221"/>
      <c r="M224" s="221"/>
      <c r="N224" s="221"/>
      <c r="O224" s="221"/>
      <c r="P224" s="221"/>
      <c r="Q224" s="221"/>
      <c r="R224" s="221"/>
      <c r="S224" s="221"/>
      <c r="T224" s="221"/>
      <c r="U224" s="221"/>
      <c r="V224" s="221"/>
      <c r="W224" s="221"/>
      <c r="X224" s="221"/>
      <c r="Y224" s="221"/>
      <c r="Z224" s="221"/>
      <c r="AA224" s="221"/>
      <c r="AB224" s="221"/>
      <c r="AC224" s="221"/>
      <c r="AD224" s="221"/>
      <c r="AE224" s="221"/>
      <c r="AF224" s="221"/>
      <c r="AG224" s="221"/>
      <c r="AH224" s="221"/>
      <c r="AI224" s="221"/>
      <c r="AJ224" s="221"/>
      <c r="AK224" s="221"/>
      <c r="AL224" s="221"/>
      <c r="AM224" s="221"/>
      <c r="AN224" s="221"/>
      <c r="AO224" s="221"/>
      <c r="AP224" s="221"/>
      <c r="AQ224" s="221">
        <f t="shared" si="316"/>
        <v>0</v>
      </c>
      <c r="AR224" s="224">
        <f t="shared" si="317"/>
        <v>0</v>
      </c>
      <c r="AS224" s="225">
        <f t="shared" si="318"/>
        <v>142041000</v>
      </c>
      <c r="AT224" s="224">
        <f t="shared" si="319"/>
        <v>100</v>
      </c>
      <c r="AU224" s="220" t="s">
        <v>542</v>
      </c>
      <c r="AV224" s="220" t="s">
        <v>543</v>
      </c>
      <c r="AW224" s="220" t="s">
        <v>4732</v>
      </c>
      <c r="AX224" s="221"/>
      <c r="AY224" s="221"/>
      <c r="AZ224" s="221"/>
      <c r="BA224" s="221"/>
      <c r="BB224" s="221"/>
      <c r="BC224" s="221"/>
      <c r="BD224" s="221"/>
      <c r="BE224" s="221"/>
    </row>
    <row r="225" spans="2:57" x14ac:dyDescent="0.3">
      <c r="B225" s="290" t="s">
        <v>514</v>
      </c>
      <c r="C225" s="222" t="s">
        <v>3534</v>
      </c>
      <c r="D225" s="222"/>
      <c r="E225" s="222"/>
      <c r="F225" s="223">
        <f t="shared" ref="F225:AP225" si="370">SUM(F226)</f>
        <v>30000000</v>
      </c>
      <c r="G225" s="223">
        <f t="shared" si="370"/>
        <v>0</v>
      </c>
      <c r="H225" s="223">
        <f t="shared" si="370"/>
        <v>0</v>
      </c>
      <c r="I225" s="223">
        <f t="shared" si="370"/>
        <v>0</v>
      </c>
      <c r="J225" s="223">
        <f t="shared" si="370"/>
        <v>0</v>
      </c>
      <c r="K225" s="223">
        <f t="shared" si="370"/>
        <v>0</v>
      </c>
      <c r="L225" s="223">
        <f t="shared" si="370"/>
        <v>0</v>
      </c>
      <c r="M225" s="223">
        <f t="shared" si="370"/>
        <v>0</v>
      </c>
      <c r="N225" s="223">
        <f t="shared" si="370"/>
        <v>0</v>
      </c>
      <c r="O225" s="223">
        <f t="shared" si="370"/>
        <v>0</v>
      </c>
      <c r="P225" s="223">
        <f t="shared" si="370"/>
        <v>0</v>
      </c>
      <c r="Q225" s="223">
        <f t="shared" si="370"/>
        <v>0</v>
      </c>
      <c r="R225" s="223">
        <f t="shared" si="370"/>
        <v>0</v>
      </c>
      <c r="S225" s="223">
        <f t="shared" si="370"/>
        <v>0</v>
      </c>
      <c r="T225" s="223">
        <f t="shared" si="370"/>
        <v>0</v>
      </c>
      <c r="U225" s="223">
        <f t="shared" si="370"/>
        <v>0</v>
      </c>
      <c r="V225" s="223">
        <f t="shared" si="370"/>
        <v>0</v>
      </c>
      <c r="W225" s="223">
        <f t="shared" si="370"/>
        <v>0</v>
      </c>
      <c r="X225" s="223">
        <f t="shared" si="370"/>
        <v>0</v>
      </c>
      <c r="Y225" s="223">
        <f t="shared" si="370"/>
        <v>0</v>
      </c>
      <c r="Z225" s="223">
        <f t="shared" si="370"/>
        <v>0</v>
      </c>
      <c r="AA225" s="223">
        <f t="shared" si="370"/>
        <v>0</v>
      </c>
      <c r="AB225" s="223">
        <f t="shared" si="370"/>
        <v>0</v>
      </c>
      <c r="AC225" s="223">
        <f t="shared" si="370"/>
        <v>0</v>
      </c>
      <c r="AD225" s="223">
        <f t="shared" si="370"/>
        <v>0</v>
      </c>
      <c r="AE225" s="223">
        <f t="shared" si="370"/>
        <v>0</v>
      </c>
      <c r="AF225" s="223">
        <f t="shared" si="370"/>
        <v>0</v>
      </c>
      <c r="AG225" s="223">
        <f t="shared" si="370"/>
        <v>0</v>
      </c>
      <c r="AH225" s="223">
        <f t="shared" si="370"/>
        <v>0</v>
      </c>
      <c r="AI225" s="223">
        <f t="shared" si="370"/>
        <v>0</v>
      </c>
      <c r="AJ225" s="223">
        <f t="shared" si="370"/>
        <v>0</v>
      </c>
      <c r="AK225" s="223">
        <f t="shared" si="370"/>
        <v>0</v>
      </c>
      <c r="AL225" s="223">
        <f t="shared" si="370"/>
        <v>0</v>
      </c>
      <c r="AM225" s="223">
        <f t="shared" si="370"/>
        <v>0</v>
      </c>
      <c r="AN225" s="223">
        <f t="shared" si="370"/>
        <v>0</v>
      </c>
      <c r="AO225" s="223">
        <f t="shared" si="370"/>
        <v>0</v>
      </c>
      <c r="AP225" s="223">
        <f t="shared" si="370"/>
        <v>0</v>
      </c>
      <c r="AQ225" s="223">
        <f t="shared" si="316"/>
        <v>0</v>
      </c>
      <c r="AR225" s="231">
        <f t="shared" si="317"/>
        <v>0</v>
      </c>
      <c r="AS225" s="232">
        <f t="shared" si="318"/>
        <v>30000000</v>
      </c>
      <c r="AT225" s="231">
        <f t="shared" si="319"/>
        <v>100</v>
      </c>
      <c r="AU225" s="220" t="s">
        <v>542</v>
      </c>
      <c r="AV225" s="220" t="s">
        <v>543</v>
      </c>
      <c r="AW225" s="220" t="s">
        <v>4732</v>
      </c>
      <c r="AX225" s="223">
        <f t="shared" ref="AX225:BE225" si="371">SUM(AX226)</f>
        <v>0</v>
      </c>
      <c r="AY225" s="223">
        <f t="shared" si="371"/>
        <v>0</v>
      </c>
      <c r="AZ225" s="223">
        <f t="shared" si="371"/>
        <v>0</v>
      </c>
      <c r="BA225" s="223">
        <f t="shared" si="371"/>
        <v>0</v>
      </c>
      <c r="BB225" s="223">
        <f t="shared" si="371"/>
        <v>0</v>
      </c>
      <c r="BC225" s="223">
        <f t="shared" si="371"/>
        <v>0</v>
      </c>
      <c r="BD225" s="223">
        <f t="shared" si="371"/>
        <v>0</v>
      </c>
      <c r="BE225" s="223">
        <f t="shared" si="371"/>
        <v>0</v>
      </c>
    </row>
    <row r="226" spans="2:57" x14ac:dyDescent="0.3">
      <c r="B226" s="288">
        <v>522192</v>
      </c>
      <c r="C226" s="220" t="s">
        <v>24</v>
      </c>
      <c r="D226" s="220"/>
      <c r="E226" s="220"/>
      <c r="F226" s="221">
        <v>30000000</v>
      </c>
      <c r="G226" s="221"/>
      <c r="H226" s="221"/>
      <c r="I226" s="221"/>
      <c r="J226" s="221"/>
      <c r="K226" s="221"/>
      <c r="L226" s="221"/>
      <c r="M226" s="221"/>
      <c r="N226" s="221"/>
      <c r="O226" s="221"/>
      <c r="P226" s="221"/>
      <c r="Q226" s="221"/>
      <c r="R226" s="221"/>
      <c r="S226" s="221"/>
      <c r="T226" s="221"/>
      <c r="U226" s="221"/>
      <c r="V226" s="221"/>
      <c r="W226" s="221"/>
      <c r="X226" s="221"/>
      <c r="Y226" s="221"/>
      <c r="Z226" s="221"/>
      <c r="AA226" s="221"/>
      <c r="AB226" s="221"/>
      <c r="AC226" s="221"/>
      <c r="AD226" s="221"/>
      <c r="AE226" s="221"/>
      <c r="AF226" s="221"/>
      <c r="AG226" s="221"/>
      <c r="AH226" s="221"/>
      <c r="AI226" s="221"/>
      <c r="AJ226" s="221"/>
      <c r="AK226" s="221"/>
      <c r="AL226" s="221"/>
      <c r="AM226" s="221"/>
      <c r="AN226" s="221"/>
      <c r="AO226" s="221"/>
      <c r="AP226" s="221"/>
      <c r="AQ226" s="221">
        <f t="shared" si="316"/>
        <v>0</v>
      </c>
      <c r="AR226" s="224">
        <f t="shared" si="317"/>
        <v>0</v>
      </c>
      <c r="AS226" s="225">
        <f t="shared" si="318"/>
        <v>30000000</v>
      </c>
      <c r="AT226" s="224">
        <f t="shared" si="319"/>
        <v>100</v>
      </c>
      <c r="AU226" s="220" t="s">
        <v>542</v>
      </c>
      <c r="AV226" s="220" t="s">
        <v>543</v>
      </c>
      <c r="AW226" s="220" t="s">
        <v>4732</v>
      </c>
      <c r="AX226" s="221"/>
      <c r="AY226" s="221"/>
      <c r="AZ226" s="221"/>
      <c r="BA226" s="221"/>
      <c r="BB226" s="221"/>
      <c r="BC226" s="221"/>
      <c r="BD226" s="221"/>
      <c r="BE226" s="221"/>
    </row>
    <row r="227" spans="2:57" x14ac:dyDescent="0.3">
      <c r="B227" s="226">
        <v>302</v>
      </c>
      <c r="C227" s="227" t="s">
        <v>193</v>
      </c>
      <c r="D227" s="227"/>
      <c r="E227" s="227"/>
      <c r="F227" s="228">
        <f>F228</f>
        <v>109200000</v>
      </c>
      <c r="G227" s="228">
        <f t="shared" ref="G227:AP227" si="372">G228</f>
        <v>0</v>
      </c>
      <c r="H227" s="228">
        <f t="shared" si="372"/>
        <v>0</v>
      </c>
      <c r="I227" s="228">
        <f t="shared" si="372"/>
        <v>0</v>
      </c>
      <c r="J227" s="228">
        <f t="shared" si="372"/>
        <v>0</v>
      </c>
      <c r="K227" s="228">
        <f t="shared" si="372"/>
        <v>0</v>
      </c>
      <c r="L227" s="228">
        <f t="shared" si="372"/>
        <v>0</v>
      </c>
      <c r="M227" s="228">
        <f t="shared" si="372"/>
        <v>0</v>
      </c>
      <c r="N227" s="228">
        <f t="shared" si="372"/>
        <v>0</v>
      </c>
      <c r="O227" s="228">
        <f t="shared" si="372"/>
        <v>0</v>
      </c>
      <c r="P227" s="228">
        <f t="shared" si="372"/>
        <v>0</v>
      </c>
      <c r="Q227" s="228">
        <f t="shared" si="372"/>
        <v>0</v>
      </c>
      <c r="R227" s="228">
        <f t="shared" si="372"/>
        <v>0</v>
      </c>
      <c r="S227" s="228">
        <f t="shared" si="372"/>
        <v>0</v>
      </c>
      <c r="T227" s="228">
        <f t="shared" si="372"/>
        <v>0</v>
      </c>
      <c r="U227" s="228">
        <f t="shared" si="372"/>
        <v>7806000</v>
      </c>
      <c r="V227" s="228">
        <f t="shared" si="372"/>
        <v>0</v>
      </c>
      <c r="W227" s="228">
        <f t="shared" si="372"/>
        <v>0</v>
      </c>
      <c r="X227" s="228">
        <f t="shared" si="372"/>
        <v>0</v>
      </c>
      <c r="Y227" s="228">
        <f t="shared" si="372"/>
        <v>0</v>
      </c>
      <c r="Z227" s="228">
        <f t="shared" si="372"/>
        <v>0</v>
      </c>
      <c r="AA227" s="228">
        <f t="shared" si="372"/>
        <v>0</v>
      </c>
      <c r="AB227" s="228">
        <f t="shared" si="372"/>
        <v>0</v>
      </c>
      <c r="AC227" s="228">
        <f t="shared" si="372"/>
        <v>0</v>
      </c>
      <c r="AD227" s="228">
        <f t="shared" si="372"/>
        <v>0</v>
      </c>
      <c r="AE227" s="228">
        <f t="shared" si="372"/>
        <v>0</v>
      </c>
      <c r="AF227" s="228">
        <f t="shared" si="372"/>
        <v>0</v>
      </c>
      <c r="AG227" s="228">
        <f t="shared" si="372"/>
        <v>0</v>
      </c>
      <c r="AH227" s="228">
        <f t="shared" si="372"/>
        <v>0</v>
      </c>
      <c r="AI227" s="228">
        <f t="shared" si="372"/>
        <v>0</v>
      </c>
      <c r="AJ227" s="228">
        <f t="shared" si="372"/>
        <v>0</v>
      </c>
      <c r="AK227" s="228">
        <f t="shared" si="372"/>
        <v>0</v>
      </c>
      <c r="AL227" s="228">
        <f t="shared" si="372"/>
        <v>0</v>
      </c>
      <c r="AM227" s="228">
        <f t="shared" si="372"/>
        <v>0</v>
      </c>
      <c r="AN227" s="228">
        <f t="shared" si="372"/>
        <v>0</v>
      </c>
      <c r="AO227" s="228">
        <f t="shared" si="372"/>
        <v>0</v>
      </c>
      <c r="AP227" s="228">
        <f t="shared" si="372"/>
        <v>0</v>
      </c>
      <c r="AQ227" s="228">
        <f t="shared" si="316"/>
        <v>7806000</v>
      </c>
      <c r="AR227" s="229">
        <f t="shared" si="317"/>
        <v>7.1483516483516487E-4</v>
      </c>
      <c r="AS227" s="230">
        <f t="shared" si="318"/>
        <v>101394000</v>
      </c>
      <c r="AT227" s="229">
        <f t="shared" si="319"/>
        <v>92.85164835164835</v>
      </c>
      <c r="AU227" s="220" t="s">
        <v>542</v>
      </c>
      <c r="AV227" s="220" t="s">
        <v>543</v>
      </c>
      <c r="AW227" s="220" t="s">
        <v>4732</v>
      </c>
      <c r="AX227" s="228">
        <f t="shared" ref="AX227:BE227" si="373">AX228</f>
        <v>0</v>
      </c>
      <c r="AY227" s="228">
        <f t="shared" si="373"/>
        <v>0</v>
      </c>
      <c r="AZ227" s="228">
        <f t="shared" si="373"/>
        <v>0</v>
      </c>
      <c r="BA227" s="228">
        <f t="shared" si="373"/>
        <v>0</v>
      </c>
      <c r="BB227" s="228">
        <f t="shared" si="373"/>
        <v>0</v>
      </c>
      <c r="BC227" s="228">
        <f t="shared" si="373"/>
        <v>0</v>
      </c>
      <c r="BD227" s="228">
        <f t="shared" si="373"/>
        <v>7806000</v>
      </c>
      <c r="BE227" s="228">
        <f t="shared" si="373"/>
        <v>0</v>
      </c>
    </row>
    <row r="228" spans="2:57" x14ac:dyDescent="0.3">
      <c r="B228" s="290" t="s">
        <v>8</v>
      </c>
      <c r="C228" s="222" t="s">
        <v>193</v>
      </c>
      <c r="D228" s="222"/>
      <c r="E228" s="222"/>
      <c r="F228" s="223">
        <f>SUM(F229:F231)</f>
        <v>109200000</v>
      </c>
      <c r="G228" s="223">
        <f t="shared" ref="G228:AP228" si="374">SUM(G229:G231)</f>
        <v>0</v>
      </c>
      <c r="H228" s="223">
        <f t="shared" si="374"/>
        <v>0</v>
      </c>
      <c r="I228" s="223">
        <f t="shared" si="374"/>
        <v>0</v>
      </c>
      <c r="J228" s="223">
        <f t="shared" si="374"/>
        <v>0</v>
      </c>
      <c r="K228" s="223">
        <f t="shared" si="374"/>
        <v>0</v>
      </c>
      <c r="L228" s="223">
        <f t="shared" si="374"/>
        <v>0</v>
      </c>
      <c r="M228" s="223">
        <f t="shared" si="374"/>
        <v>0</v>
      </c>
      <c r="N228" s="223">
        <f t="shared" si="374"/>
        <v>0</v>
      </c>
      <c r="O228" s="223">
        <f t="shared" si="374"/>
        <v>0</v>
      </c>
      <c r="P228" s="223">
        <f t="shared" si="374"/>
        <v>0</v>
      </c>
      <c r="Q228" s="223">
        <f t="shared" si="374"/>
        <v>0</v>
      </c>
      <c r="R228" s="223">
        <f t="shared" si="374"/>
        <v>0</v>
      </c>
      <c r="S228" s="223">
        <f t="shared" si="374"/>
        <v>0</v>
      </c>
      <c r="T228" s="223">
        <f t="shared" si="374"/>
        <v>0</v>
      </c>
      <c r="U228" s="223">
        <f t="shared" si="374"/>
        <v>7806000</v>
      </c>
      <c r="V228" s="223">
        <f t="shared" si="374"/>
        <v>0</v>
      </c>
      <c r="W228" s="223">
        <f t="shared" si="374"/>
        <v>0</v>
      </c>
      <c r="X228" s="223">
        <f t="shared" si="374"/>
        <v>0</v>
      </c>
      <c r="Y228" s="223">
        <f t="shared" si="374"/>
        <v>0</v>
      </c>
      <c r="Z228" s="223">
        <f t="shared" si="374"/>
        <v>0</v>
      </c>
      <c r="AA228" s="223">
        <f t="shared" si="374"/>
        <v>0</v>
      </c>
      <c r="AB228" s="223">
        <f t="shared" si="374"/>
        <v>0</v>
      </c>
      <c r="AC228" s="223">
        <f t="shared" si="374"/>
        <v>0</v>
      </c>
      <c r="AD228" s="223">
        <f t="shared" si="374"/>
        <v>0</v>
      </c>
      <c r="AE228" s="223">
        <f t="shared" si="374"/>
        <v>0</v>
      </c>
      <c r="AF228" s="223">
        <f t="shared" si="374"/>
        <v>0</v>
      </c>
      <c r="AG228" s="223">
        <f t="shared" si="374"/>
        <v>0</v>
      </c>
      <c r="AH228" s="223">
        <f t="shared" si="374"/>
        <v>0</v>
      </c>
      <c r="AI228" s="223">
        <f t="shared" si="374"/>
        <v>0</v>
      </c>
      <c r="AJ228" s="223">
        <f t="shared" si="374"/>
        <v>0</v>
      </c>
      <c r="AK228" s="223">
        <f t="shared" si="374"/>
        <v>0</v>
      </c>
      <c r="AL228" s="223">
        <f t="shared" si="374"/>
        <v>0</v>
      </c>
      <c r="AM228" s="223">
        <f t="shared" si="374"/>
        <v>0</v>
      </c>
      <c r="AN228" s="223">
        <f t="shared" si="374"/>
        <v>0</v>
      </c>
      <c r="AO228" s="223">
        <f t="shared" si="374"/>
        <v>0</v>
      </c>
      <c r="AP228" s="223">
        <f t="shared" si="374"/>
        <v>0</v>
      </c>
      <c r="AQ228" s="223">
        <f>SUM(G228:AP228)</f>
        <v>7806000</v>
      </c>
      <c r="AR228" s="231">
        <f t="shared" si="317"/>
        <v>7.1483516483516487E-4</v>
      </c>
      <c r="AS228" s="232">
        <f>F228-AQ228</f>
        <v>101394000</v>
      </c>
      <c r="AT228" s="231">
        <f t="shared" si="319"/>
        <v>92.85164835164835</v>
      </c>
      <c r="AU228" s="220" t="s">
        <v>542</v>
      </c>
      <c r="AV228" s="220" t="s">
        <v>543</v>
      </c>
      <c r="AW228" s="220" t="s">
        <v>4732</v>
      </c>
      <c r="AX228" s="223">
        <f t="shared" ref="AX228:AZ228" si="375">SUM(AX229:AX231)</f>
        <v>0</v>
      </c>
      <c r="AY228" s="223">
        <f t="shared" si="375"/>
        <v>0</v>
      </c>
      <c r="AZ228" s="223">
        <f t="shared" si="375"/>
        <v>0</v>
      </c>
      <c r="BA228" s="223">
        <f t="shared" ref="BA228" si="376">SUM(BA229:BA231)</f>
        <v>0</v>
      </c>
      <c r="BB228" s="223">
        <f t="shared" ref="BB228" si="377">SUM(BB229:BB231)</f>
        <v>0</v>
      </c>
      <c r="BC228" s="223">
        <f t="shared" ref="BC228:BD228" si="378">SUM(BC229:BC231)</f>
        <v>0</v>
      </c>
      <c r="BD228" s="223">
        <f t="shared" si="378"/>
        <v>7806000</v>
      </c>
      <c r="BE228" s="223">
        <f t="shared" ref="BE228" si="379">SUM(BE229:BE231)</f>
        <v>0</v>
      </c>
    </row>
    <row r="229" spans="2:57" x14ac:dyDescent="0.3">
      <c r="B229" s="288">
        <v>521211</v>
      </c>
      <c r="C229" s="220" t="s">
        <v>7</v>
      </c>
      <c r="D229" s="220"/>
      <c r="E229" s="220"/>
      <c r="F229" s="221">
        <v>25000000</v>
      </c>
      <c r="G229" s="221"/>
      <c r="H229" s="221"/>
      <c r="I229" s="221"/>
      <c r="J229" s="221"/>
      <c r="K229" s="221"/>
      <c r="L229" s="221"/>
      <c r="M229" s="221"/>
      <c r="N229" s="221"/>
      <c r="O229" s="221"/>
      <c r="P229" s="221"/>
      <c r="Q229" s="221"/>
      <c r="R229" s="221"/>
      <c r="S229" s="221"/>
      <c r="T229" s="221"/>
      <c r="U229" s="221">
        <v>2961000</v>
      </c>
      <c r="V229" s="221"/>
      <c r="W229" s="221"/>
      <c r="X229" s="221"/>
      <c r="Y229" s="221"/>
      <c r="Z229" s="221"/>
      <c r="AA229" s="221"/>
      <c r="AB229" s="221"/>
      <c r="AC229" s="221"/>
      <c r="AD229" s="221"/>
      <c r="AE229" s="221"/>
      <c r="AF229" s="221"/>
      <c r="AG229" s="221"/>
      <c r="AH229" s="221"/>
      <c r="AI229" s="221"/>
      <c r="AJ229" s="221"/>
      <c r="AK229" s="221"/>
      <c r="AL229" s="221"/>
      <c r="AM229" s="221"/>
      <c r="AN229" s="221"/>
      <c r="AO229" s="221"/>
      <c r="AP229" s="221"/>
      <c r="AQ229" s="221">
        <f t="shared" si="316"/>
        <v>2961000</v>
      </c>
      <c r="AR229" s="224">
        <f t="shared" si="317"/>
        <v>1.1843999999999999E-3</v>
      </c>
      <c r="AS229" s="225">
        <f t="shared" si="318"/>
        <v>22039000</v>
      </c>
      <c r="AT229" s="224">
        <f t="shared" si="319"/>
        <v>88.156000000000006</v>
      </c>
      <c r="AU229" s="220" t="s">
        <v>542</v>
      </c>
      <c r="AV229" s="220" t="s">
        <v>543</v>
      </c>
      <c r="AW229" s="220" t="s">
        <v>4732</v>
      </c>
      <c r="AX229" s="221"/>
      <c r="AY229" s="221"/>
      <c r="AZ229" s="221"/>
      <c r="BA229" s="221"/>
      <c r="BB229" s="221"/>
      <c r="BC229" s="221"/>
      <c r="BD229" s="221">
        <v>2961000</v>
      </c>
      <c r="BE229" s="221"/>
    </row>
    <row r="230" spans="2:57" x14ac:dyDescent="0.3">
      <c r="B230" s="288">
        <v>521811</v>
      </c>
      <c r="C230" s="220" t="s">
        <v>64</v>
      </c>
      <c r="D230" s="220"/>
      <c r="E230" s="220"/>
      <c r="F230" s="221">
        <v>30000000</v>
      </c>
      <c r="G230" s="221"/>
      <c r="H230" s="221"/>
      <c r="I230" s="221"/>
      <c r="J230" s="221"/>
      <c r="K230" s="221"/>
      <c r="L230" s="221"/>
      <c r="M230" s="221"/>
      <c r="N230" s="221"/>
      <c r="O230" s="221"/>
      <c r="P230" s="221"/>
      <c r="Q230" s="221"/>
      <c r="R230" s="221"/>
      <c r="S230" s="221"/>
      <c r="T230" s="221"/>
      <c r="U230" s="221">
        <v>4845000</v>
      </c>
      <c r="V230" s="221"/>
      <c r="W230" s="221"/>
      <c r="X230" s="221"/>
      <c r="Y230" s="221"/>
      <c r="Z230" s="221"/>
      <c r="AA230" s="221"/>
      <c r="AB230" s="221"/>
      <c r="AC230" s="221"/>
      <c r="AD230" s="221"/>
      <c r="AE230" s="221"/>
      <c r="AF230" s="221"/>
      <c r="AG230" s="221"/>
      <c r="AH230" s="221"/>
      <c r="AI230" s="221"/>
      <c r="AJ230" s="221"/>
      <c r="AK230" s="221"/>
      <c r="AL230" s="221"/>
      <c r="AM230" s="221"/>
      <c r="AN230" s="221"/>
      <c r="AO230" s="221"/>
      <c r="AP230" s="221"/>
      <c r="AQ230" s="221">
        <f t="shared" si="316"/>
        <v>4845000</v>
      </c>
      <c r="AR230" s="224">
        <f t="shared" si="317"/>
        <v>1.6150000000000001E-3</v>
      </c>
      <c r="AS230" s="225">
        <f t="shared" si="318"/>
        <v>25155000</v>
      </c>
      <c r="AT230" s="224">
        <f t="shared" si="319"/>
        <v>83.850000000000009</v>
      </c>
      <c r="AU230" s="220" t="s">
        <v>542</v>
      </c>
      <c r="AV230" s="220" t="s">
        <v>543</v>
      </c>
      <c r="AW230" s="220" t="s">
        <v>4732</v>
      </c>
      <c r="AX230" s="221"/>
      <c r="AY230" s="221"/>
      <c r="AZ230" s="221"/>
      <c r="BA230" s="221"/>
      <c r="BB230" s="221"/>
      <c r="BC230" s="221"/>
      <c r="BD230" s="221">
        <v>4845000</v>
      </c>
      <c r="BE230" s="221"/>
    </row>
    <row r="231" spans="2:57" x14ac:dyDescent="0.3">
      <c r="B231" s="288">
        <v>524111</v>
      </c>
      <c r="C231" s="220" t="s">
        <v>19</v>
      </c>
      <c r="D231" s="220"/>
      <c r="E231" s="220"/>
      <c r="F231" s="221">
        <v>54200000</v>
      </c>
      <c r="G231" s="221"/>
      <c r="H231" s="221"/>
      <c r="I231" s="221"/>
      <c r="J231" s="221"/>
      <c r="K231" s="221"/>
      <c r="L231" s="221"/>
      <c r="M231" s="221"/>
      <c r="N231" s="221"/>
      <c r="O231" s="221"/>
      <c r="P231" s="221"/>
      <c r="Q231" s="221"/>
      <c r="R231" s="221"/>
      <c r="S231" s="221"/>
      <c r="T231" s="221"/>
      <c r="U231" s="221"/>
      <c r="V231" s="221"/>
      <c r="W231" s="221"/>
      <c r="X231" s="221"/>
      <c r="Y231" s="221"/>
      <c r="Z231" s="221"/>
      <c r="AA231" s="221"/>
      <c r="AB231" s="221"/>
      <c r="AC231" s="221"/>
      <c r="AD231" s="221"/>
      <c r="AE231" s="221"/>
      <c r="AF231" s="221"/>
      <c r="AG231" s="221"/>
      <c r="AH231" s="221"/>
      <c r="AI231" s="221"/>
      <c r="AJ231" s="221"/>
      <c r="AK231" s="221"/>
      <c r="AL231" s="221"/>
      <c r="AM231" s="221"/>
      <c r="AN231" s="221"/>
      <c r="AO231" s="221"/>
      <c r="AP231" s="221"/>
      <c r="AQ231" s="221">
        <f>SUM(G231:AP231)</f>
        <v>0</v>
      </c>
      <c r="AR231" s="224">
        <f t="shared" si="317"/>
        <v>0</v>
      </c>
      <c r="AS231" s="225">
        <f t="shared" si="318"/>
        <v>54200000</v>
      </c>
      <c r="AT231" s="224">
        <f t="shared" si="319"/>
        <v>100</v>
      </c>
      <c r="AU231" s="220" t="s">
        <v>542</v>
      </c>
      <c r="AV231" s="220" t="s">
        <v>543</v>
      </c>
      <c r="AW231" s="220" t="s">
        <v>4732</v>
      </c>
      <c r="AX231" s="221"/>
      <c r="AY231" s="221"/>
      <c r="AZ231" s="221"/>
      <c r="BA231" s="221"/>
      <c r="BB231" s="221"/>
      <c r="BC231" s="221"/>
      <c r="BD231" s="221"/>
      <c r="BE231" s="221"/>
    </row>
    <row r="232" spans="2:57" x14ac:dyDescent="0.3">
      <c r="F232" s="287"/>
      <c r="AQ232" s="279"/>
    </row>
    <row r="233" spans="2:57" x14ac:dyDescent="0.3">
      <c r="AR233" t="s">
        <v>4644</v>
      </c>
    </row>
  </sheetData>
  <autoFilter ref="B12:BE231" xr:uid="{B070A0AF-EFE7-4050-AFDE-970D0A0520C8}">
    <filterColumn colId="5" showButton="0"/>
    <filterColumn colId="6" showButton="0"/>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autoFilter>
  <mergeCells count="16">
    <mergeCell ref="AT12:AT13"/>
    <mergeCell ref="AQ12:AQ13"/>
    <mergeCell ref="AR12:AR13"/>
    <mergeCell ref="AS12:AS13"/>
    <mergeCell ref="Y12:AA12"/>
    <mergeCell ref="AB12:AD12"/>
    <mergeCell ref="AE12:AG12"/>
    <mergeCell ref="AH12:AJ12"/>
    <mergeCell ref="AK12:AM12"/>
    <mergeCell ref="AN12:AP12"/>
    <mergeCell ref="V12:X12"/>
    <mergeCell ref="G12:I12"/>
    <mergeCell ref="J12:L12"/>
    <mergeCell ref="M12:O12"/>
    <mergeCell ref="P12:R12"/>
    <mergeCell ref="S12:U12"/>
  </mergeCells>
  <phoneticPr fontId="27" type="noConversion"/>
  <conditionalFormatting sqref="AQ21:AQ231">
    <cfRule type="expression" dxfId="0" priority="2">
      <formula>ROW()=CELL("ROW")</formula>
    </cfRule>
  </conditionalFormatting>
  <dataValidations count="3">
    <dataValidation type="list" allowBlank="1" showInputMessage="1" showErrorMessage="1" sqref="AW14:AW231" xr:uid="{1A5B5EA2-F992-45AC-8EBE-DBC26C7829DF}">
      <formula1>"Belanja Operasional , Belanja Barang Non Operasional, Gaji dan Tunjangan, Belanja Modal"</formula1>
    </dataValidation>
    <dataValidation type="list" allowBlank="1" showInputMessage="1" showErrorMessage="1" sqref="AU32:AU107 AU123:AU145 AU147:AU231" xr:uid="{04AA01C8-8303-488B-99E4-72766D54BA1E}">
      <formula1>"Perencanaan dan Evaluasi, Tata Usaha, Peserta Didik Sarana dan Prasarana dan Metode dan Kurikulum, Kelembagaan dan Ketenagaan"</formula1>
    </dataValidation>
    <dataValidation type="list" allowBlank="1" showInputMessage="1" showErrorMessage="1" sqref="AU19:AU31 AU108:AU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PERSUBBID!$B$17:$B$47</xm:f>
          </x14:formula1>
          <xm:sqref>AV14:AV59 AV62:AV145 AV147:AV231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J54"/>
  <sheetViews>
    <sheetView showGridLines="0" zoomScale="85" zoomScaleNormal="85" workbookViewId="0">
      <selection activeCell="I34" sqref="I34"/>
    </sheetView>
  </sheetViews>
  <sheetFormatPr defaultRowHeight="14.4" x14ac:dyDescent="0.3"/>
  <cols>
    <col min="1" max="1" width="16.5546875" customWidth="1"/>
    <col min="2" max="2" width="56.88671875" bestFit="1" customWidth="1"/>
    <col min="3" max="3" width="15.33203125" bestFit="1" customWidth="1"/>
    <col min="4" max="4" width="14.33203125" bestFit="1" customWidth="1"/>
    <col min="6" max="6" width="15.33203125" bestFit="1" customWidth="1"/>
    <col min="7" max="7" width="10.6640625" style="315" customWidth="1"/>
    <col min="9" max="9" width="29.44140625" style="274" customWidth="1"/>
    <col min="10" max="10" width="24.44140625" customWidth="1"/>
  </cols>
  <sheetData>
    <row r="1" spans="1:10" ht="15.6" x14ac:dyDescent="0.3">
      <c r="A1" s="451" t="s">
        <v>5178</v>
      </c>
      <c r="B1" s="451"/>
      <c r="C1" s="451"/>
      <c r="D1" s="451"/>
      <c r="E1" s="451"/>
      <c r="F1" s="451"/>
      <c r="G1" s="451"/>
    </row>
    <row r="2" spans="1:10" ht="15.6" x14ac:dyDescent="0.3">
      <c r="A2" s="451" t="str">
        <f>'PER BULAN'!B5</f>
        <v>Berdasarkan DIPA Revisi 1 POK 2 TA. 2022 (Tanggal 22 Maret 2022)</v>
      </c>
      <c r="B2" s="451"/>
      <c r="C2" s="451"/>
      <c r="D2" s="451"/>
      <c r="E2" s="451"/>
      <c r="F2" s="451"/>
      <c r="G2" s="451"/>
    </row>
    <row r="3" spans="1:10" ht="15.6" x14ac:dyDescent="0.3">
      <c r="A3" s="451" t="s">
        <v>5453</v>
      </c>
      <c r="B3" s="451"/>
      <c r="C3" s="451"/>
      <c r="D3" s="451"/>
      <c r="E3" s="451"/>
      <c r="F3" s="451"/>
      <c r="G3" s="451"/>
    </row>
    <row r="4" spans="1:10" x14ac:dyDescent="0.3">
      <c r="A4" s="259"/>
      <c r="B4" s="259"/>
      <c r="C4" s="259"/>
      <c r="D4" s="259"/>
      <c r="E4" s="259"/>
      <c r="F4" s="259"/>
      <c r="G4" s="316"/>
    </row>
    <row r="5" spans="1:10" x14ac:dyDescent="0.3">
      <c r="A5" s="260" t="s">
        <v>4817</v>
      </c>
    </row>
    <row r="6" spans="1:10" x14ac:dyDescent="0.3">
      <c r="A6" s="252" t="s">
        <v>592</v>
      </c>
      <c r="B6" s="252" t="s">
        <v>500</v>
      </c>
      <c r="C6" s="252" t="s">
        <v>4650</v>
      </c>
      <c r="D6" s="252" t="s">
        <v>4651</v>
      </c>
      <c r="E6" s="252" t="s">
        <v>4648</v>
      </c>
      <c r="F6" s="252" t="s">
        <v>4652</v>
      </c>
      <c r="G6" s="252" t="s">
        <v>4648</v>
      </c>
    </row>
    <row r="7" spans="1:10" x14ac:dyDescent="0.3">
      <c r="A7" s="452" t="s">
        <v>576</v>
      </c>
      <c r="B7" s="282" t="s">
        <v>560</v>
      </c>
      <c r="C7" s="225">
        <f>SUM('PER BULAN'!F78+'PER BULAN'!F82+'PER BULAN'!F86+'PER BULAN'!F91+'PER BULAN'!F95)</f>
        <v>1186502000</v>
      </c>
      <c r="D7" s="225">
        <f>SUM('PER BULAN'!AQ78+'PER BULAN'!AQ82+'PER BULAN'!AQ86+'PER BULAN'!AQ91+'PER BULAN'!AQ95)</f>
        <v>390447219</v>
      </c>
      <c r="E7" s="224">
        <f t="shared" ref="E7:E13" si="0">D7/C7*100</f>
        <v>32.907421900679481</v>
      </c>
      <c r="F7" s="225">
        <f t="shared" ref="F7:F13" si="1">C7-D7</f>
        <v>796054781</v>
      </c>
      <c r="G7" s="326">
        <f t="shared" ref="G7:G13" si="2">F7/C7*100</f>
        <v>67.092578099320519</v>
      </c>
    </row>
    <row r="8" spans="1:10" x14ac:dyDescent="0.3">
      <c r="A8" s="453"/>
      <c r="B8" s="251" t="s">
        <v>4654</v>
      </c>
      <c r="C8" s="225">
        <f>SUM('PER BULAN'!F125+'PER BULAN'!F128+'PER BULAN'!F131+'PER BULAN'!F134)</f>
        <v>2095658000</v>
      </c>
      <c r="D8" s="225">
        <f>SUM('PER BULAN'!AQ125+'PER BULAN'!AQ128+'PER BULAN'!AQ131+'PER BULAN'!AQ134+'PER BULAN'!AQ137)</f>
        <v>663321641</v>
      </c>
      <c r="E8" s="224">
        <f t="shared" si="0"/>
        <v>31.652189479390241</v>
      </c>
      <c r="F8" s="225">
        <f t="shared" si="1"/>
        <v>1432336359</v>
      </c>
      <c r="G8" s="326">
        <f t="shared" si="2"/>
        <v>68.347810520609755</v>
      </c>
    </row>
    <row r="9" spans="1:10" x14ac:dyDescent="0.3">
      <c r="A9" s="453"/>
      <c r="B9" s="251" t="s">
        <v>4660</v>
      </c>
      <c r="C9" s="225">
        <f>SUM('PER BULAN'!F137)</f>
        <v>100000000</v>
      </c>
      <c r="D9" s="225">
        <f>SUM('PER BULAN'!AQ137)</f>
        <v>0</v>
      </c>
      <c r="E9" s="224">
        <f t="shared" si="0"/>
        <v>0</v>
      </c>
      <c r="F9" s="225">
        <f t="shared" si="1"/>
        <v>100000000</v>
      </c>
      <c r="G9" s="326">
        <f t="shared" si="2"/>
        <v>100</v>
      </c>
    </row>
    <row r="10" spans="1:10" x14ac:dyDescent="0.3">
      <c r="A10" s="453"/>
      <c r="B10" s="251" t="s">
        <v>43</v>
      </c>
      <c r="C10" s="225">
        <f>SUM('PER BULAN'!F144+'PER BULAN'!F65)</f>
        <v>655934000</v>
      </c>
      <c r="D10" s="225">
        <f>SUM('PER BULAN'!AQ144+'PER BULAN'!AQ65)</f>
        <v>654200000</v>
      </c>
      <c r="E10" s="224">
        <f t="shared" si="0"/>
        <v>99.735644134928208</v>
      </c>
      <c r="F10" s="225">
        <f t="shared" si="1"/>
        <v>1734000</v>
      </c>
      <c r="G10" s="326">
        <f t="shared" si="2"/>
        <v>0.26435586507179076</v>
      </c>
    </row>
    <row r="11" spans="1:10" x14ac:dyDescent="0.3">
      <c r="A11" s="453"/>
      <c r="B11" s="282" t="s">
        <v>546</v>
      </c>
      <c r="C11" s="225">
        <f>SUM('PER BULAN'!F184+'PER BULAN'!F187+'PER BULAN'!F190+'PER BULAN'!F193+'PER BULAN'!F197+'PER BULAN'!F200)</f>
        <v>289920000</v>
      </c>
      <c r="D11" s="225">
        <f>SUM('PER BULAN'!AQ184+'PER BULAN'!AQ187+'PER BULAN'!AQ190+'PER BULAN'!AQ193+'PER BULAN'!AQ197+'PER BULAN'!AQ200)</f>
        <v>136548520</v>
      </c>
      <c r="E11" s="224">
        <f t="shared" si="0"/>
        <v>47.098689293598234</v>
      </c>
      <c r="F11" s="225">
        <f t="shared" si="1"/>
        <v>153371480</v>
      </c>
      <c r="G11" s="326">
        <f t="shared" si="2"/>
        <v>52.901310706401759</v>
      </c>
    </row>
    <row r="12" spans="1:10" x14ac:dyDescent="0.3">
      <c r="A12" s="454"/>
      <c r="B12" s="247" t="s">
        <v>4653</v>
      </c>
      <c r="C12" s="250">
        <f>SUM(C7:C11)</f>
        <v>4328014000</v>
      </c>
      <c r="D12" s="250">
        <f>SUM(D7:D11)</f>
        <v>1844517380</v>
      </c>
      <c r="E12" s="249">
        <f t="shared" si="0"/>
        <v>42.618101050504919</v>
      </c>
      <c r="F12" s="250">
        <f t="shared" si="1"/>
        <v>2483496620</v>
      </c>
      <c r="G12" s="327">
        <f t="shared" si="2"/>
        <v>57.381898949495081</v>
      </c>
      <c r="H12" s="245"/>
    </row>
    <row r="13" spans="1:10" ht="15" customHeight="1" x14ac:dyDescent="0.3">
      <c r="A13" s="452" t="s">
        <v>542</v>
      </c>
      <c r="B13" s="282" t="s">
        <v>543</v>
      </c>
      <c r="C13" s="225">
        <f>SUM('PER BULAN'!F70+'PER BULAN'!F149+'PER BULAN'!F154+'PER BULAN'!F160)</f>
        <v>768918000</v>
      </c>
      <c r="D13" s="225">
        <f>SUM('PER BULAN'!AQ70+'PER BULAN'!AQ149+'PER BULAN'!AQ154+'PER BULAN'!AQ160)</f>
        <v>130677295</v>
      </c>
      <c r="E13" s="224">
        <f t="shared" si="0"/>
        <v>16.994958500126149</v>
      </c>
      <c r="F13" s="225">
        <f t="shared" si="1"/>
        <v>638240705</v>
      </c>
      <c r="G13" s="326">
        <f t="shared" si="2"/>
        <v>83.00504149987384</v>
      </c>
    </row>
    <row r="14" spans="1:10" x14ac:dyDescent="0.3">
      <c r="A14" s="453"/>
      <c r="B14" s="251" t="s">
        <v>4729</v>
      </c>
      <c r="C14" s="225">
        <f>SUM('PER BULAN'!F208+'PER BULAN'!F215+'PER BULAN'!F221+'PER BULAN'!F225+'PER BULAN'!F228)</f>
        <v>8582500000</v>
      </c>
      <c r="D14" s="225">
        <f>SUM('PER BULAN'!AQ208+'PER BULAN'!AQ215+'PER BULAN'!AQ221+'PER BULAN'!AQ225+'PER BULAN'!AQ228)</f>
        <v>3476713912</v>
      </c>
      <c r="E14" s="224">
        <f>D14/C14*100</f>
        <v>40.509337745412175</v>
      </c>
      <c r="F14" s="225">
        <f>C14-D14</f>
        <v>5105786088</v>
      </c>
      <c r="G14" s="326">
        <f>F14/C14*100</f>
        <v>59.490662254587825</v>
      </c>
      <c r="J14" s="276"/>
    </row>
    <row r="15" spans="1:10" x14ac:dyDescent="0.3">
      <c r="A15" s="453"/>
      <c r="B15" s="282" t="s">
        <v>591</v>
      </c>
      <c r="C15" s="225">
        <f>SUM('PER BULAN'!F167+'PER BULAN'!F171+'PER BULAN'!F178)</f>
        <v>633732000</v>
      </c>
      <c r="D15" s="225">
        <f>SUM('PER BULAN'!AQ167+'PER BULAN'!AQ171+'PER BULAN'!AQ178)</f>
        <v>105796297</v>
      </c>
      <c r="E15" s="224">
        <f t="shared" ref="E15:E23" si="3">D15/C15*100</f>
        <v>16.694169933031628</v>
      </c>
      <c r="F15" s="225">
        <f t="shared" ref="F15:F23" si="4">C15-D15</f>
        <v>527935703</v>
      </c>
      <c r="G15" s="326">
        <f t="shared" ref="G15:G23" si="5">F15/C15*100</f>
        <v>83.305830066968369</v>
      </c>
    </row>
    <row r="16" spans="1:10" x14ac:dyDescent="0.3">
      <c r="A16" s="454"/>
      <c r="B16" s="247" t="s">
        <v>4657</v>
      </c>
      <c r="C16" s="250">
        <f>SUM(C13:C15)</f>
        <v>9985150000</v>
      </c>
      <c r="D16" s="250">
        <f>SUM(D13:D15)</f>
        <v>3713187504</v>
      </c>
      <c r="E16" s="249">
        <f t="shared" si="3"/>
        <v>37.187097880352319</v>
      </c>
      <c r="F16" s="250">
        <f t="shared" si="4"/>
        <v>6271962496</v>
      </c>
      <c r="G16" s="327">
        <f t="shared" si="5"/>
        <v>62.812902119647674</v>
      </c>
    </row>
    <row r="17" spans="1:10" ht="15" customHeight="1" x14ac:dyDescent="0.3">
      <c r="A17" s="452" t="s">
        <v>531</v>
      </c>
      <c r="B17" s="282" t="s">
        <v>532</v>
      </c>
      <c r="C17" s="225">
        <f>SUM('PER BULAN'!F20+'PER BULAN'!F24+'PER BULAN'!F108)</f>
        <v>474100000</v>
      </c>
      <c r="D17" s="225">
        <f>SUM('PER BULAN'!AQ20+'PER BULAN'!AQ24+'PER BULAN'!AQ108)</f>
        <v>133815590</v>
      </c>
      <c r="E17" s="224">
        <f t="shared" si="3"/>
        <v>28.225182450959714</v>
      </c>
      <c r="F17" s="225">
        <f t="shared" si="4"/>
        <v>340284410</v>
      </c>
      <c r="G17" s="326">
        <f t="shared" si="5"/>
        <v>71.774817549040279</v>
      </c>
    </row>
    <row r="18" spans="1:10" x14ac:dyDescent="0.3">
      <c r="A18" s="453"/>
      <c r="B18" s="282" t="s">
        <v>534</v>
      </c>
      <c r="C18" s="225">
        <f>SUM('PER BULAN'!F29+'PER BULAN'!F113+'PER BULAN'!F118)</f>
        <v>804500000</v>
      </c>
      <c r="D18" s="225">
        <f>SUM('PER BULAN'!AQ29+'PER BULAN'!AQ113+'PER BULAN'!AQ118)</f>
        <v>73365500</v>
      </c>
      <c r="E18" s="224">
        <f t="shared" si="3"/>
        <v>9.1193909260410191</v>
      </c>
      <c r="F18" s="225">
        <f t="shared" si="4"/>
        <v>731134500</v>
      </c>
      <c r="G18" s="326">
        <f t="shared" si="5"/>
        <v>90.880609073958979</v>
      </c>
      <c r="J18" s="276"/>
    </row>
    <row r="19" spans="1:10" x14ac:dyDescent="0.3">
      <c r="A19" s="454"/>
      <c r="B19" s="247" t="s">
        <v>4658</v>
      </c>
      <c r="C19" s="250">
        <f>SUM(C17:C18)</f>
        <v>1278600000</v>
      </c>
      <c r="D19" s="250">
        <f>SUM(D17:D18)</f>
        <v>207181090</v>
      </c>
      <c r="E19" s="249">
        <f t="shared" si="3"/>
        <v>16.203745502893792</v>
      </c>
      <c r="F19" s="250">
        <f t="shared" si="4"/>
        <v>1071418910</v>
      </c>
      <c r="G19" s="327">
        <f t="shared" si="5"/>
        <v>83.796254497106219</v>
      </c>
    </row>
    <row r="20" spans="1:10" ht="15" customHeight="1" x14ac:dyDescent="0.3">
      <c r="A20" s="452" t="s">
        <v>535</v>
      </c>
      <c r="B20" s="282" t="s">
        <v>536</v>
      </c>
      <c r="C20" s="225">
        <f>SUM('PER BULAN'!F33+'PER BULAN'!F41+'PER BULAN'!F48)</f>
        <v>686300000</v>
      </c>
      <c r="D20" s="225">
        <f>SUM('PER BULAN'!AQ33+'PER BULAN'!AQ41+'PER BULAN'!AQ48)</f>
        <v>214180240</v>
      </c>
      <c r="E20" s="224">
        <f t="shared" si="3"/>
        <v>31.207961532857354</v>
      </c>
      <c r="F20" s="225">
        <f t="shared" si="4"/>
        <v>472119760</v>
      </c>
      <c r="G20" s="326">
        <f t="shared" si="5"/>
        <v>68.792038467142646</v>
      </c>
    </row>
    <row r="21" spans="1:10" x14ac:dyDescent="0.3">
      <c r="A21" s="453"/>
      <c r="B21" s="282" t="s">
        <v>538</v>
      </c>
      <c r="C21" s="225">
        <f>SUM('PER BULAN'!F54+'PER BULAN'!F102)</f>
        <v>585100000</v>
      </c>
      <c r="D21" s="225">
        <f>SUM('PER BULAN'!AQ54+'PER BULAN'!AQ102)</f>
        <v>88256718</v>
      </c>
      <c r="E21" s="224">
        <f t="shared" si="3"/>
        <v>15.084039993163561</v>
      </c>
      <c r="F21" s="225">
        <f t="shared" si="4"/>
        <v>496843282</v>
      </c>
      <c r="G21" s="326">
        <f t="shared" si="5"/>
        <v>84.915960006836428</v>
      </c>
    </row>
    <row r="22" spans="1:10" x14ac:dyDescent="0.3">
      <c r="A22" s="454"/>
      <c r="B22" s="247" t="s">
        <v>4659</v>
      </c>
      <c r="C22" s="250">
        <f>SUM(C20:C21)</f>
        <v>1271400000</v>
      </c>
      <c r="D22" s="250">
        <f>SUM(D20:D21)</f>
        <v>302436958</v>
      </c>
      <c r="E22" s="249">
        <f t="shared" si="3"/>
        <v>23.787711027214094</v>
      </c>
      <c r="F22" s="250">
        <f t="shared" si="4"/>
        <v>968963042</v>
      </c>
      <c r="G22" s="327">
        <f t="shared" si="5"/>
        <v>76.212288972785899</v>
      </c>
    </row>
    <row r="23" spans="1:10" x14ac:dyDescent="0.3">
      <c r="A23" s="449" t="s">
        <v>4655</v>
      </c>
      <c r="B23" s="449"/>
      <c r="C23" s="232">
        <f>C12++C16+C19+C22</f>
        <v>16863164000</v>
      </c>
      <c r="D23" s="232">
        <f>D12++D16+D19+D22</f>
        <v>6067322932</v>
      </c>
      <c r="E23" s="231">
        <f t="shared" si="3"/>
        <v>35.97974218835801</v>
      </c>
      <c r="F23" s="232">
        <f t="shared" si="4"/>
        <v>10795841068</v>
      </c>
      <c r="G23" s="328">
        <f t="shared" si="5"/>
        <v>64.020257811641983</v>
      </c>
      <c r="J23" s="274"/>
    </row>
    <row r="24" spans="1:10" x14ac:dyDescent="0.3">
      <c r="A24" s="449" t="s">
        <v>4656</v>
      </c>
      <c r="B24" s="449"/>
      <c r="C24" s="449"/>
      <c r="D24" s="232">
        <f>D23</f>
        <v>6067322932</v>
      </c>
      <c r="E24" s="231">
        <f>D24/C23*100</f>
        <v>35.97974218835801</v>
      </c>
      <c r="F24" s="232">
        <f>C23-D24</f>
        <v>10795841068</v>
      </c>
      <c r="G24" s="328">
        <f>F24/C23*100</f>
        <v>64.020257811641983</v>
      </c>
      <c r="J24" s="276"/>
    </row>
    <row r="26" spans="1:10" x14ac:dyDescent="0.3">
      <c r="A26" s="260" t="s">
        <v>4840</v>
      </c>
    </row>
    <row r="27" spans="1:10" x14ac:dyDescent="0.3">
      <c r="A27" s="455" t="s">
        <v>4807</v>
      </c>
      <c r="B27" s="455" t="s">
        <v>4808</v>
      </c>
      <c r="C27" s="455" t="s">
        <v>4809</v>
      </c>
      <c r="D27" s="459" t="s">
        <v>4647</v>
      </c>
      <c r="E27" s="459"/>
      <c r="F27" s="459" t="s">
        <v>4810</v>
      </c>
      <c r="G27" s="459"/>
    </row>
    <row r="28" spans="1:10" x14ac:dyDescent="0.3">
      <c r="A28" s="456"/>
      <c r="B28" s="456"/>
      <c r="C28" s="456"/>
      <c r="D28" s="271" t="s">
        <v>4811</v>
      </c>
      <c r="E28" s="281" t="s">
        <v>4648</v>
      </c>
      <c r="F28" s="271" t="s">
        <v>4811</v>
      </c>
      <c r="G28" s="271" t="s">
        <v>4648</v>
      </c>
    </row>
    <row r="29" spans="1:10" x14ac:dyDescent="0.3">
      <c r="A29" s="261">
        <v>1</v>
      </c>
      <c r="B29" s="262" t="s">
        <v>4812</v>
      </c>
      <c r="C29" s="263">
        <f>SUM(C30:C32)</f>
        <v>16207230000</v>
      </c>
      <c r="D29" s="263">
        <f>SUM(D30:D32)</f>
        <v>5413122932</v>
      </c>
      <c r="E29" s="268">
        <f>D29/C29*100</f>
        <v>33.399433043154197</v>
      </c>
      <c r="F29" s="265">
        <f>C29-D29</f>
        <v>10794107068</v>
      </c>
      <c r="G29" s="264">
        <f>F29/C29*100</f>
        <v>66.60056695684581</v>
      </c>
    </row>
    <row r="30" spans="1:10" x14ac:dyDescent="0.3">
      <c r="A30" s="270"/>
      <c r="B30" s="266" t="s">
        <v>4813</v>
      </c>
      <c r="C30" s="267">
        <v>2095658000</v>
      </c>
      <c r="D30" s="267">
        <f>D8</f>
        <v>663321641</v>
      </c>
      <c r="E30" s="268">
        <f>D30/C30*100</f>
        <v>31.652189479390241</v>
      </c>
      <c r="F30" s="269">
        <f>C30-D30</f>
        <v>1432336359</v>
      </c>
      <c r="G30" s="268">
        <f>F30/C30*100</f>
        <v>68.347810520609755</v>
      </c>
    </row>
    <row r="31" spans="1:10" x14ac:dyDescent="0.3">
      <c r="A31" s="270"/>
      <c r="B31" s="266" t="s">
        <v>4818</v>
      </c>
      <c r="C31" s="267">
        <v>100000000</v>
      </c>
      <c r="D31" s="267">
        <f>D9</f>
        <v>0</v>
      </c>
      <c r="E31" s="268">
        <f>D31/C31*100</f>
        <v>0</v>
      </c>
      <c r="F31" s="269">
        <f>C31-D31</f>
        <v>100000000</v>
      </c>
      <c r="G31" s="268">
        <f>F31/C31*100</f>
        <v>100</v>
      </c>
    </row>
    <row r="32" spans="1:10" x14ac:dyDescent="0.3">
      <c r="A32" s="270"/>
      <c r="B32" s="266" t="s">
        <v>4819</v>
      </c>
      <c r="C32" s="267">
        <v>14011572000</v>
      </c>
      <c r="D32" s="267">
        <f>D11+D13+D14+D15+D17+D18+D20+D21+D7</f>
        <v>4749801291</v>
      </c>
      <c r="E32" s="268">
        <f>D32/C32*100</f>
        <v>33.899132024586535</v>
      </c>
      <c r="F32" s="269">
        <f>C32-D32</f>
        <v>9261770709</v>
      </c>
      <c r="G32" s="268">
        <f>F32/C32*100</f>
        <v>66.100867975413465</v>
      </c>
    </row>
    <row r="33" spans="1:7" x14ac:dyDescent="0.3">
      <c r="A33" s="261">
        <v>2</v>
      </c>
      <c r="B33" s="262" t="s">
        <v>4814</v>
      </c>
      <c r="C33" s="263">
        <v>655934000</v>
      </c>
      <c r="D33" s="263">
        <f>D10</f>
        <v>654200000</v>
      </c>
      <c r="E33" s="264">
        <f>IFERROR(D33/C33*100,0)</f>
        <v>99.735644134928208</v>
      </c>
      <c r="F33" s="265">
        <f>C33-D33</f>
        <v>1734000</v>
      </c>
      <c r="G33" s="264">
        <f>IFERROR(F33/C33*100,0)</f>
        <v>0.26435586507179076</v>
      </c>
    </row>
    <row r="34" spans="1:7" x14ac:dyDescent="0.3">
      <c r="A34" s="261"/>
      <c r="B34" s="262"/>
      <c r="C34" s="263"/>
      <c r="D34" s="263"/>
      <c r="E34" s="264"/>
      <c r="F34" s="265"/>
      <c r="G34" s="264"/>
    </row>
    <row r="35" spans="1:7" x14ac:dyDescent="0.3">
      <c r="A35" s="457" t="s">
        <v>611</v>
      </c>
      <c r="B35" s="458"/>
      <c r="C35" s="272">
        <f>SUM(C29,C33)</f>
        <v>16863164000</v>
      </c>
      <c r="D35" s="272">
        <f>SUM(D29,D33)</f>
        <v>6067322932</v>
      </c>
      <c r="E35" s="273">
        <f>D35/C35*100</f>
        <v>35.97974218835801</v>
      </c>
      <c r="F35" s="272">
        <f>SUM(F29,F33)</f>
        <v>10795841068</v>
      </c>
      <c r="G35" s="273">
        <f>F35/C35*100</f>
        <v>64.020257811641983</v>
      </c>
    </row>
    <row r="36" spans="1:7" x14ac:dyDescent="0.3">
      <c r="A36" s="457" t="s">
        <v>4815</v>
      </c>
      <c r="B36" s="458"/>
      <c r="C36" s="272"/>
      <c r="D36" s="272"/>
      <c r="E36" s="273"/>
      <c r="F36" s="272"/>
      <c r="G36" s="273"/>
    </row>
    <row r="37" spans="1:7" x14ac:dyDescent="0.3">
      <c r="A37" s="457" t="s">
        <v>4816</v>
      </c>
      <c r="B37" s="458"/>
      <c r="C37" s="272">
        <f>C35</f>
        <v>16863164000</v>
      </c>
      <c r="D37" s="272">
        <f>D35-D36</f>
        <v>6067322932</v>
      </c>
      <c r="E37" s="273">
        <f>D37/C37*100</f>
        <v>35.97974218835801</v>
      </c>
      <c r="F37" s="272">
        <f>C37-D37</f>
        <v>10795841068</v>
      </c>
      <c r="G37" s="273">
        <f>F37/C37*100</f>
        <v>64.020257811641983</v>
      </c>
    </row>
    <row r="39" spans="1:7" x14ac:dyDescent="0.3">
      <c r="A39" s="280" t="s">
        <v>4838</v>
      </c>
    </row>
    <row r="40" spans="1:7" x14ac:dyDescent="0.3">
      <c r="A40" s="252" t="s">
        <v>592</v>
      </c>
      <c r="B40" s="252" t="s">
        <v>500</v>
      </c>
      <c r="C40" s="252" t="s">
        <v>4650</v>
      </c>
      <c r="D40" s="252" t="s">
        <v>4651</v>
      </c>
      <c r="E40" s="252" t="s">
        <v>4648</v>
      </c>
      <c r="F40" s="252" t="s">
        <v>4652</v>
      </c>
      <c r="G40" s="252" t="s">
        <v>4648</v>
      </c>
    </row>
    <row r="41" spans="1:7" x14ac:dyDescent="0.3">
      <c r="A41" s="450" t="s">
        <v>576</v>
      </c>
      <c r="B41" s="220" t="s">
        <v>560</v>
      </c>
      <c r="C41" s="225">
        <f>SUM('PER BULAN'!F84+'PER BULAN'!F97+'PER BULAN'!F99)</f>
        <v>297880000</v>
      </c>
      <c r="D41" s="225">
        <f>SUM('PER BULAN'!AQ84+'PER BULAN'!AQ97+'PER BULAN'!AQ99)</f>
        <v>73441280</v>
      </c>
      <c r="E41" s="283">
        <f>D41/C41*100</f>
        <v>24.654652880354504</v>
      </c>
      <c r="F41" s="225">
        <f t="shared" ref="F41:F46" si="6">C41-D41</f>
        <v>224438720</v>
      </c>
      <c r="G41" s="326">
        <f>F41/C41*100</f>
        <v>75.345347119645496</v>
      </c>
    </row>
    <row r="42" spans="1:7" x14ac:dyDescent="0.3">
      <c r="A42" s="450"/>
      <c r="B42" s="220" t="s">
        <v>546</v>
      </c>
      <c r="C42" s="225">
        <v>0</v>
      </c>
      <c r="D42" s="225">
        <v>0</v>
      </c>
      <c r="E42" s="283">
        <f>IFERROR(D42/C42*100,0)</f>
        <v>0</v>
      </c>
      <c r="F42" s="225">
        <f t="shared" si="6"/>
        <v>0</v>
      </c>
      <c r="G42" s="329">
        <v>0</v>
      </c>
    </row>
    <row r="43" spans="1:7" x14ac:dyDescent="0.3">
      <c r="A43" s="450"/>
      <c r="B43" s="247" t="s">
        <v>4653</v>
      </c>
      <c r="C43" s="250">
        <f>SUM(C41:C42)</f>
        <v>297880000</v>
      </c>
      <c r="D43" s="250">
        <f>SUM(D41:D42)</f>
        <v>73441280</v>
      </c>
      <c r="E43" s="284">
        <f>D43/C43*100</f>
        <v>24.654652880354504</v>
      </c>
      <c r="F43" s="250">
        <f t="shared" si="6"/>
        <v>224438720</v>
      </c>
      <c r="G43" s="327">
        <f>F43/C43*100</f>
        <v>75.345347119645496</v>
      </c>
    </row>
    <row r="44" spans="1:7" x14ac:dyDescent="0.3">
      <c r="A44" s="450" t="s">
        <v>542</v>
      </c>
      <c r="B44" s="220" t="s">
        <v>543</v>
      </c>
      <c r="C44" s="225">
        <f>SUM('PER BULAN'!F226)</f>
        <v>30000000</v>
      </c>
      <c r="D44" s="225">
        <v>0</v>
      </c>
      <c r="E44" s="283">
        <f>D44/C44*100</f>
        <v>0</v>
      </c>
      <c r="F44" s="225">
        <f t="shared" si="6"/>
        <v>30000000</v>
      </c>
      <c r="G44" s="329">
        <v>0</v>
      </c>
    </row>
    <row r="45" spans="1:7" x14ac:dyDescent="0.3">
      <c r="A45" s="450"/>
      <c r="B45" s="220" t="s">
        <v>591</v>
      </c>
      <c r="C45" s="225">
        <v>0</v>
      </c>
      <c r="D45" s="225">
        <v>0</v>
      </c>
      <c r="E45" s="283">
        <f>IFERROR(D45/C45*100,0)</f>
        <v>0</v>
      </c>
      <c r="F45" s="225">
        <f t="shared" si="6"/>
        <v>0</v>
      </c>
      <c r="G45" s="329">
        <v>0</v>
      </c>
    </row>
    <row r="46" spans="1:7" x14ac:dyDescent="0.3">
      <c r="A46" s="450"/>
      <c r="B46" s="247" t="s">
        <v>4657</v>
      </c>
      <c r="C46" s="250">
        <f>SUM(C44:C45)</f>
        <v>30000000</v>
      </c>
      <c r="D46" s="250">
        <f>SUM(D44:D45)</f>
        <v>0</v>
      </c>
      <c r="E46" s="285">
        <f>D46/C46*100</f>
        <v>0</v>
      </c>
      <c r="F46" s="250">
        <f t="shared" si="6"/>
        <v>30000000</v>
      </c>
      <c r="G46" s="327">
        <f>F46/C46*100</f>
        <v>100</v>
      </c>
    </row>
    <row r="47" spans="1:7" x14ac:dyDescent="0.3">
      <c r="A47" s="450" t="s">
        <v>531</v>
      </c>
      <c r="B47" s="220" t="s">
        <v>532</v>
      </c>
      <c r="C47" s="253">
        <v>0</v>
      </c>
      <c r="D47" s="225">
        <v>0</v>
      </c>
      <c r="E47" s="283">
        <f>IFERROR(D47/C47*100,0)</f>
        <v>0</v>
      </c>
      <c r="F47" s="225">
        <f t="shared" ref="F47:F53" si="7">C47-D47</f>
        <v>0</v>
      </c>
      <c r="G47" s="329">
        <f>IFERROR(F47/C47*100,0)</f>
        <v>0</v>
      </c>
    </row>
    <row r="48" spans="1:7" x14ac:dyDescent="0.3">
      <c r="A48" s="450"/>
      <c r="B48" s="220" t="s">
        <v>534</v>
      </c>
      <c r="C48" s="225">
        <v>0</v>
      </c>
      <c r="D48" s="225">
        <v>0</v>
      </c>
      <c r="E48" s="283">
        <f>IFERROR(D48/C48*100,0)</f>
        <v>0</v>
      </c>
      <c r="F48" s="225">
        <f t="shared" si="7"/>
        <v>0</v>
      </c>
      <c r="G48" s="329">
        <f>IFERROR(F48/C48*100,0)</f>
        <v>0</v>
      </c>
    </row>
    <row r="49" spans="1:7" x14ac:dyDescent="0.3">
      <c r="A49" s="450"/>
      <c r="B49" s="247" t="s">
        <v>4658</v>
      </c>
      <c r="C49" s="250">
        <f>SUM(C47:C48)</f>
        <v>0</v>
      </c>
      <c r="D49" s="250">
        <f>SUM(D47:D48)</f>
        <v>0</v>
      </c>
      <c r="E49" s="284">
        <v>0</v>
      </c>
      <c r="F49" s="250">
        <f t="shared" si="7"/>
        <v>0</v>
      </c>
      <c r="G49" s="330">
        <f>IFERROR(F49/C49*100,0)</f>
        <v>0</v>
      </c>
    </row>
    <row r="50" spans="1:7" x14ac:dyDescent="0.3">
      <c r="A50" s="450" t="s">
        <v>535</v>
      </c>
      <c r="B50" s="220" t="s">
        <v>536</v>
      </c>
      <c r="C50" s="225">
        <f>SUM('PER BULAN'!F38+'PER BULAN'!F46)</f>
        <v>8000000</v>
      </c>
      <c r="D50" s="225">
        <v>0</v>
      </c>
      <c r="E50" s="283">
        <f>D50/C50*100</f>
        <v>0</v>
      </c>
      <c r="F50" s="225">
        <f t="shared" si="7"/>
        <v>8000000</v>
      </c>
      <c r="G50" s="326">
        <f>F50/C50*100</f>
        <v>100</v>
      </c>
    </row>
    <row r="51" spans="1:7" x14ac:dyDescent="0.3">
      <c r="A51" s="450"/>
      <c r="B51" s="220" t="s">
        <v>538</v>
      </c>
      <c r="C51" s="225">
        <f>SUM('PER BULAN'!F58+'PER BULAN'!F106)</f>
        <v>13000000</v>
      </c>
      <c r="D51" s="225">
        <v>0</v>
      </c>
      <c r="E51" s="283">
        <f>D51/C51*100</f>
        <v>0</v>
      </c>
      <c r="F51" s="225">
        <f t="shared" si="7"/>
        <v>13000000</v>
      </c>
      <c r="G51" s="326">
        <f>F51/C51*100</f>
        <v>100</v>
      </c>
    </row>
    <row r="52" spans="1:7" x14ac:dyDescent="0.3">
      <c r="A52" s="450"/>
      <c r="B52" s="247" t="s">
        <v>4659</v>
      </c>
      <c r="C52" s="250">
        <f>SUM(C50:C51)</f>
        <v>21000000</v>
      </c>
      <c r="D52" s="250">
        <f>SUM(D50:D51)</f>
        <v>0</v>
      </c>
      <c r="E52" s="285">
        <f>D52/C52*100</f>
        <v>0</v>
      </c>
      <c r="F52" s="250">
        <f t="shared" si="7"/>
        <v>21000000</v>
      </c>
      <c r="G52" s="327">
        <f>F52/C52*100</f>
        <v>100</v>
      </c>
    </row>
    <row r="53" spans="1:7" x14ac:dyDescent="0.3">
      <c r="A53" s="449" t="s">
        <v>4655</v>
      </c>
      <c r="B53" s="449"/>
      <c r="C53" s="232">
        <f>C43+C46+C49+C52</f>
        <v>348880000</v>
      </c>
      <c r="D53" s="232">
        <f>D43+D46+D49+D52</f>
        <v>73441280</v>
      </c>
      <c r="E53" s="286">
        <f>D53/C53*100</f>
        <v>21.050584728273332</v>
      </c>
      <c r="F53" s="232">
        <f t="shared" si="7"/>
        <v>275438720</v>
      </c>
      <c r="G53" s="328">
        <f>F53/C53*100</f>
        <v>78.949415271726664</v>
      </c>
    </row>
    <row r="54" spans="1:7" x14ac:dyDescent="0.3">
      <c r="A54" s="449" t="s">
        <v>4656</v>
      </c>
      <c r="B54" s="449"/>
      <c r="C54" s="449"/>
      <c r="D54" s="232">
        <f>D53</f>
        <v>73441280</v>
      </c>
      <c r="E54" s="286">
        <f>E53</f>
        <v>21.050584728273332</v>
      </c>
      <c r="F54" s="232">
        <f>F53</f>
        <v>275438720</v>
      </c>
      <c r="G54" s="328">
        <f>G53</f>
        <v>78.949415271726664</v>
      </c>
    </row>
  </sheetData>
  <mergeCells count="23">
    <mergeCell ref="D27:E27"/>
    <mergeCell ref="F27:G27"/>
    <mergeCell ref="A1:G1"/>
    <mergeCell ref="A3:G3"/>
    <mergeCell ref="A50:A52"/>
    <mergeCell ref="A36:B36"/>
    <mergeCell ref="A37:B37"/>
    <mergeCell ref="A53:B53"/>
    <mergeCell ref="A54:C54"/>
    <mergeCell ref="A47:A49"/>
    <mergeCell ref="A2:G2"/>
    <mergeCell ref="A41:A43"/>
    <mergeCell ref="A44:A46"/>
    <mergeCell ref="A7:A12"/>
    <mergeCell ref="A13:A16"/>
    <mergeCell ref="A17:A19"/>
    <mergeCell ref="A20:A22"/>
    <mergeCell ref="A23:B23"/>
    <mergeCell ref="A24:C24"/>
    <mergeCell ref="C27:C28"/>
    <mergeCell ref="A27:A28"/>
    <mergeCell ref="B27:B28"/>
    <mergeCell ref="A35:B35"/>
  </mergeCells>
  <pageMargins left="0.7" right="0.7" top="0.75" bottom="0.75" header="0.3" footer="0.3"/>
  <pageSetup paperSize="9" scale="63" fitToHeight="0" orientation="portrait" horizontalDpi="0" verticalDpi="0" r:id="rId1"/>
  <ignoredErrors>
    <ignoredError sqref="E42 E45:E46 E35" formula="1"/>
    <ignoredError sqref="C29" formulaRange="1"/>
  </ignoredError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AB34" sqref="AB34"/>
    </sheetView>
  </sheetViews>
  <sheetFormatPr defaultRowHeight="14.4" x14ac:dyDescent="0.3"/>
  <sheetData>
    <row r="1" spans="2:16" x14ac:dyDescent="0.3">
      <c r="B1" s="460" t="str">
        <f>PERSUBBID!A1</f>
        <v>REALISASI TANPA GAJI</v>
      </c>
      <c r="C1" s="460"/>
      <c r="D1" s="460"/>
      <c r="E1" s="460"/>
      <c r="F1" s="460"/>
      <c r="G1" s="460"/>
      <c r="H1" s="460"/>
      <c r="I1" s="460"/>
      <c r="J1" s="460"/>
      <c r="K1" s="460"/>
      <c r="L1" s="460"/>
      <c r="M1" s="460"/>
      <c r="N1" s="460"/>
      <c r="O1" s="460"/>
      <c r="P1" s="460"/>
    </row>
    <row r="2" spans="2:16" ht="15.6" x14ac:dyDescent="0.3">
      <c r="B2" s="451" t="str">
        <f>PERSUBBID!A2</f>
        <v>Berdasarkan DIPA Revisi 1 POK 2 TA. 2022 (Tanggal 22 Maret 2022)</v>
      </c>
      <c r="C2" s="451"/>
      <c r="D2" s="451"/>
      <c r="E2" s="451"/>
      <c r="F2" s="451"/>
      <c r="G2" s="451"/>
      <c r="H2" s="451"/>
      <c r="I2" s="451"/>
      <c r="J2" s="451"/>
      <c r="K2" s="451"/>
      <c r="L2" s="451"/>
      <c r="M2" s="451"/>
      <c r="N2" s="451"/>
      <c r="O2" s="451"/>
      <c r="P2" s="451"/>
    </row>
    <row r="3" spans="2:16" ht="15.6" x14ac:dyDescent="0.3">
      <c r="B3" s="451" t="str">
        <f>PERSUBBID!A3</f>
        <v>SAMPAI DENGAN 15 JUNI 2022</v>
      </c>
      <c r="C3" s="451"/>
      <c r="D3" s="451"/>
      <c r="E3" s="451"/>
      <c r="F3" s="451"/>
      <c r="G3" s="451"/>
      <c r="H3" s="451"/>
      <c r="I3" s="451"/>
      <c r="J3" s="451"/>
      <c r="K3" s="451"/>
      <c r="L3" s="451"/>
      <c r="M3" s="451"/>
      <c r="N3" s="451"/>
      <c r="O3" s="451"/>
      <c r="P3" s="451"/>
    </row>
  </sheetData>
  <mergeCells count="3">
    <mergeCell ref="B1:P1"/>
    <mergeCell ref="B2:P2"/>
    <mergeCell ref="B3:P3"/>
  </mergeCells>
  <pageMargins left="0.7" right="0.7" top="0.75" bottom="0.75" header="0.3" footer="0.3"/>
  <pageSetup paperSize="9" scale="67"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380C2-C779-4B11-9DAC-9565F7B607AE}">
  <sheetPr codeName="Sheet14">
    <pageSetUpPr fitToPage="1"/>
  </sheetPr>
  <dimension ref="A1:O59"/>
  <sheetViews>
    <sheetView showGridLines="0" topLeftCell="A10" zoomScale="85" zoomScaleNormal="85" workbookViewId="0">
      <selection activeCell="P19" sqref="P19"/>
    </sheetView>
  </sheetViews>
  <sheetFormatPr defaultRowHeight="14.4" x14ac:dyDescent="0.3"/>
  <cols>
    <col min="1" max="1" width="16.5546875" customWidth="1"/>
    <col min="2" max="2" width="58" customWidth="1"/>
    <col min="3" max="3" width="15.33203125" bestFit="1" customWidth="1"/>
    <col min="4" max="4" width="14.33203125" bestFit="1" customWidth="1"/>
    <col min="6" max="6" width="15.33203125" bestFit="1" customWidth="1"/>
    <col min="7" max="7" width="10.6640625" style="341" customWidth="1"/>
    <col min="9" max="9" width="11.5546875" style="274" customWidth="1"/>
    <col min="10" max="10" width="23.109375" customWidth="1"/>
    <col min="11" max="12" width="14.33203125" bestFit="1" customWidth="1"/>
    <col min="13" max="13" width="10.5546875" bestFit="1" customWidth="1"/>
    <col min="15" max="15" width="14.33203125" style="274" bestFit="1" customWidth="1"/>
  </cols>
  <sheetData>
    <row r="1" spans="1:10" ht="15.6" x14ac:dyDescent="0.3">
      <c r="A1" s="451" t="s">
        <v>5177</v>
      </c>
      <c r="B1" s="451"/>
      <c r="C1" s="451"/>
      <c r="D1" s="451"/>
      <c r="E1" s="451"/>
      <c r="F1" s="451"/>
      <c r="G1" s="451"/>
    </row>
    <row r="2" spans="1:10" ht="15.6" x14ac:dyDescent="0.3">
      <c r="A2" s="451" t="str">
        <f>'PER BULAN'!B5</f>
        <v>Berdasarkan DIPA Revisi 1 POK 2 TA. 2022 (Tanggal 22 Maret 2022)</v>
      </c>
      <c r="B2" s="451"/>
      <c r="C2" s="451"/>
      <c r="D2" s="451"/>
      <c r="E2" s="451"/>
      <c r="F2" s="451"/>
      <c r="G2" s="451"/>
    </row>
    <row r="3" spans="1:10" ht="15.6" x14ac:dyDescent="0.3">
      <c r="A3" s="451" t="str">
        <f>PERSUBBID!A3</f>
        <v>SAMPAI DENGAN 15 JUNI 2022</v>
      </c>
      <c r="B3" s="451"/>
      <c r="C3" s="451"/>
      <c r="D3" s="451"/>
      <c r="E3" s="451"/>
      <c r="F3" s="451"/>
      <c r="G3" s="451"/>
    </row>
    <row r="4" spans="1:10" ht="15.6" x14ac:dyDescent="0.3">
      <c r="A4" s="451"/>
      <c r="B4" s="451"/>
      <c r="C4" s="451"/>
      <c r="D4" s="451"/>
      <c r="E4" s="451"/>
      <c r="F4" s="451"/>
      <c r="G4" s="451"/>
    </row>
    <row r="5" spans="1:10" x14ac:dyDescent="0.3">
      <c r="A5" s="260" t="s">
        <v>4817</v>
      </c>
    </row>
    <row r="6" spans="1:10" x14ac:dyDescent="0.3">
      <c r="A6" s="252" t="s">
        <v>592</v>
      </c>
      <c r="B6" s="252" t="s">
        <v>500</v>
      </c>
      <c r="C6" s="252" t="s">
        <v>4650</v>
      </c>
      <c r="D6" s="252" t="s">
        <v>4651</v>
      </c>
      <c r="E6" s="252" t="s">
        <v>4648</v>
      </c>
      <c r="F6" s="252" t="s">
        <v>4652</v>
      </c>
      <c r="G6" s="252" t="s">
        <v>4648</v>
      </c>
    </row>
    <row r="7" spans="1:10" x14ac:dyDescent="0.3">
      <c r="A7" s="452" t="s">
        <v>576</v>
      </c>
      <c r="B7" s="282" t="s">
        <v>560</v>
      </c>
      <c r="C7" s="225">
        <f>SUM('PER BULAN'!F78+'PER BULAN'!F82+'PER BULAN'!F86+'PER BULAN'!F91+'PER BULAN'!F95)</f>
        <v>1186502000</v>
      </c>
      <c r="D7" s="225">
        <f>SUM('PER BULAN'!AQ78+'PER BULAN'!AQ82+'PER BULAN'!AQ86+'PER BULAN'!AQ91+'PER BULAN'!AQ95)</f>
        <v>390447219</v>
      </c>
      <c r="E7" s="224">
        <f t="shared" ref="E7:E15" si="0">D7/C7*100</f>
        <v>32.907421900679481</v>
      </c>
      <c r="F7" s="225">
        <f t="shared" ref="F7:F15" si="1">C7-D7</f>
        <v>796054781</v>
      </c>
      <c r="G7" s="326">
        <f t="shared" ref="G7:G15" si="2">F7/C7*100</f>
        <v>67.092578099320519</v>
      </c>
    </row>
    <row r="8" spans="1:10" x14ac:dyDescent="0.3">
      <c r="A8" s="453"/>
      <c r="B8" s="251" t="s">
        <v>4654</v>
      </c>
      <c r="C8" s="225">
        <f>SUM('PER BULAN'!F125+'PER BULAN'!F128+'PER BULAN'!F131+'PER BULAN'!F134)</f>
        <v>2095658000</v>
      </c>
      <c r="D8" s="225">
        <f>SUM('PER BULAN'!AQ125+'PER BULAN'!AQ128+'PER BULAN'!AQ131+'PER BULAN'!AQ134+'PER BULAN'!AQ137)</f>
        <v>663321641</v>
      </c>
      <c r="E8" s="224">
        <f t="shared" si="0"/>
        <v>31.652189479390241</v>
      </c>
      <c r="F8" s="225">
        <f t="shared" si="1"/>
        <v>1432336359</v>
      </c>
      <c r="G8" s="326">
        <f t="shared" si="2"/>
        <v>68.347810520609755</v>
      </c>
    </row>
    <row r="9" spans="1:10" x14ac:dyDescent="0.3">
      <c r="A9" s="453"/>
      <c r="B9" s="251" t="s">
        <v>4660</v>
      </c>
      <c r="C9" s="225">
        <f>SUM('PER BULAN'!F137)</f>
        <v>100000000</v>
      </c>
      <c r="D9" s="225">
        <f>SUM('PER BULAN'!AQ137)</f>
        <v>0</v>
      </c>
      <c r="E9" s="224">
        <f t="shared" si="0"/>
        <v>0</v>
      </c>
      <c r="F9" s="225">
        <f t="shared" si="1"/>
        <v>100000000</v>
      </c>
      <c r="G9" s="326">
        <f t="shared" si="2"/>
        <v>100</v>
      </c>
    </row>
    <row r="10" spans="1:10" x14ac:dyDescent="0.3">
      <c r="A10" s="453"/>
      <c r="B10" s="251" t="s">
        <v>43</v>
      </c>
      <c r="C10" s="225">
        <f>SUM('PER BULAN'!F144+'PER BULAN'!F65)</f>
        <v>655934000</v>
      </c>
      <c r="D10" s="225">
        <f>SUM('PER BULAN'!AQ144+'PER BULAN'!AQ65)</f>
        <v>654200000</v>
      </c>
      <c r="E10" s="224">
        <f t="shared" si="0"/>
        <v>99.735644134928208</v>
      </c>
      <c r="F10" s="225">
        <f t="shared" si="1"/>
        <v>1734000</v>
      </c>
      <c r="G10" s="326">
        <f t="shared" si="2"/>
        <v>0.26435586507179076</v>
      </c>
    </row>
    <row r="11" spans="1:10" s="274" customFormat="1" x14ac:dyDescent="0.3">
      <c r="A11" s="453"/>
      <c r="B11" s="282" t="s">
        <v>546</v>
      </c>
      <c r="C11" s="225">
        <f>SUM('PER BULAN'!F184+'PER BULAN'!F187+'PER BULAN'!F190+'PER BULAN'!F193+'PER BULAN'!F197+'PER BULAN'!F200)</f>
        <v>289920000</v>
      </c>
      <c r="D11" s="225">
        <f>SUM('PER BULAN'!AQ184+'PER BULAN'!AQ187+'PER BULAN'!AQ190+'PER BULAN'!AQ193+'PER BULAN'!AQ197+'PER BULAN'!AQ200)</f>
        <v>136548520</v>
      </c>
      <c r="E11" s="224">
        <f t="shared" si="0"/>
        <v>47.098689293598234</v>
      </c>
      <c r="F11" s="225">
        <f t="shared" si="1"/>
        <v>153371480</v>
      </c>
      <c r="G11" s="326">
        <f t="shared" si="2"/>
        <v>52.901310706401759</v>
      </c>
      <c r="H11"/>
      <c r="J11"/>
    </row>
    <row r="12" spans="1:10" s="274" customFormat="1" x14ac:dyDescent="0.3">
      <c r="A12" s="453"/>
      <c r="B12" s="345" t="s">
        <v>5026</v>
      </c>
      <c r="C12" s="253">
        <f>[5]cuk!$F$233</f>
        <v>6155047000</v>
      </c>
      <c r="D12" s="225">
        <f>[5]cuk!$AQ$233</f>
        <v>2939763957</v>
      </c>
      <c r="E12" s="224">
        <f t="shared" si="0"/>
        <v>47.761844174382425</v>
      </c>
      <c r="F12" s="225">
        <f t="shared" si="1"/>
        <v>3215283043</v>
      </c>
      <c r="G12" s="326">
        <f t="shared" si="2"/>
        <v>52.238155825617582</v>
      </c>
      <c r="H12"/>
      <c r="J12"/>
    </row>
    <row r="13" spans="1:10" s="274" customFormat="1" x14ac:dyDescent="0.3">
      <c r="A13" s="453"/>
      <c r="B13" s="345" t="s">
        <v>5027</v>
      </c>
      <c r="C13" s="253">
        <f>[5]cuk!$F$245</f>
        <v>323949000</v>
      </c>
      <c r="D13" s="225">
        <f>[5]cuk!$AQ$245</f>
        <v>0</v>
      </c>
      <c r="E13" s="224">
        <f t="shared" si="0"/>
        <v>0</v>
      </c>
      <c r="F13" s="225">
        <f t="shared" si="1"/>
        <v>323949000</v>
      </c>
      <c r="G13" s="326">
        <f t="shared" si="2"/>
        <v>100</v>
      </c>
      <c r="H13"/>
      <c r="J13"/>
    </row>
    <row r="14" spans="1:10" s="274" customFormat="1" x14ac:dyDescent="0.3">
      <c r="A14" s="454"/>
      <c r="B14" s="247" t="s">
        <v>4653</v>
      </c>
      <c r="C14" s="250">
        <f>SUM(C7:C13)</f>
        <v>10807010000</v>
      </c>
      <c r="D14" s="250">
        <f>SUM(D7:D12)</f>
        <v>4784281337</v>
      </c>
      <c r="E14" s="249">
        <f t="shared" si="0"/>
        <v>44.270166651090356</v>
      </c>
      <c r="F14" s="250">
        <f t="shared" si="1"/>
        <v>6022728663</v>
      </c>
      <c r="G14" s="327">
        <f t="shared" si="2"/>
        <v>55.729833348909644</v>
      </c>
      <c r="H14" s="245"/>
      <c r="J14"/>
    </row>
    <row r="15" spans="1:10" s="274" customFormat="1" ht="15" customHeight="1" x14ac:dyDescent="0.3">
      <c r="A15" s="452" t="s">
        <v>542</v>
      </c>
      <c r="B15" s="282" t="s">
        <v>543</v>
      </c>
      <c r="C15" s="225">
        <f>SUM('PER BULAN'!F70+'PER BULAN'!F149+'PER BULAN'!F154+'PER BULAN'!F160)</f>
        <v>768918000</v>
      </c>
      <c r="D15" s="225">
        <f>SUM('PER BULAN'!AQ70+'PER BULAN'!AQ149+'PER BULAN'!AQ154+'PER BULAN'!AQ160)</f>
        <v>130677295</v>
      </c>
      <c r="E15" s="224">
        <f t="shared" si="0"/>
        <v>16.994958500126149</v>
      </c>
      <c r="F15" s="225">
        <f t="shared" si="1"/>
        <v>638240705</v>
      </c>
      <c r="G15" s="326">
        <f t="shared" si="2"/>
        <v>83.00504149987384</v>
      </c>
      <c r="H15"/>
      <c r="J15"/>
    </row>
    <row r="16" spans="1:10" s="274" customFormat="1" x14ac:dyDescent="0.3">
      <c r="A16" s="453"/>
      <c r="B16" s="251" t="s">
        <v>4729</v>
      </c>
      <c r="C16" s="225">
        <f>SUM('PER BULAN'!F208+'PER BULAN'!F215+'PER BULAN'!F221+'PER BULAN'!F225+'PER BULAN'!F228)</f>
        <v>8582500000</v>
      </c>
      <c r="D16" s="225">
        <f>SUM('PER BULAN'!AQ208+'PER BULAN'!AQ215+'PER BULAN'!AQ221+'PER BULAN'!AQ225+'PER BULAN'!AQ228)</f>
        <v>3476713912</v>
      </c>
      <c r="E16" s="224">
        <f>D16/C16*100</f>
        <v>40.509337745412175</v>
      </c>
      <c r="F16" s="225">
        <f>C16-D16</f>
        <v>5105786088</v>
      </c>
      <c r="G16" s="326">
        <f>F16/C16*100</f>
        <v>59.490662254587825</v>
      </c>
      <c r="H16"/>
      <c r="J16"/>
    </row>
    <row r="17" spans="1:10" s="274" customFormat="1" x14ac:dyDescent="0.3">
      <c r="A17" s="453"/>
      <c r="B17" s="282" t="s">
        <v>591</v>
      </c>
      <c r="C17" s="225">
        <f>SUM('PER BULAN'!F167+'PER BULAN'!F171+'PER BULAN'!F178)</f>
        <v>633732000</v>
      </c>
      <c r="D17" s="225">
        <f>SUM('PER BULAN'!AQ167+'PER BULAN'!AQ171+'PER BULAN'!AQ178)</f>
        <v>105796297</v>
      </c>
      <c r="E17" s="224">
        <f t="shared" ref="E17:E24" si="3">D17/C17*100</f>
        <v>16.694169933031628</v>
      </c>
      <c r="F17" s="225">
        <f t="shared" ref="F17:F24" si="4">C17-D17</f>
        <v>527935703</v>
      </c>
      <c r="G17" s="326">
        <f t="shared" ref="G17:G24" si="5">F17/C17*100</f>
        <v>83.305830066968369</v>
      </c>
      <c r="H17"/>
      <c r="J17"/>
    </row>
    <row r="18" spans="1:10" s="274" customFormat="1" x14ac:dyDescent="0.3">
      <c r="A18" s="454"/>
      <c r="B18" s="247" t="s">
        <v>4657</v>
      </c>
      <c r="C18" s="250">
        <f>SUM(C15:C17)</f>
        <v>9985150000</v>
      </c>
      <c r="D18" s="250">
        <f>SUM(D15:D17)</f>
        <v>3713187504</v>
      </c>
      <c r="E18" s="249">
        <f t="shared" si="3"/>
        <v>37.187097880352319</v>
      </c>
      <c r="F18" s="250">
        <f t="shared" si="4"/>
        <v>6271962496</v>
      </c>
      <c r="G18" s="327">
        <f t="shared" si="5"/>
        <v>62.812902119647674</v>
      </c>
      <c r="H18"/>
      <c r="I18" s="274" t="s">
        <v>4644</v>
      </c>
      <c r="J18"/>
    </row>
    <row r="19" spans="1:10" ht="15" customHeight="1" x14ac:dyDescent="0.3">
      <c r="A19" s="452" t="s">
        <v>531</v>
      </c>
      <c r="B19" s="282" t="s">
        <v>532</v>
      </c>
      <c r="C19" s="225">
        <f>SUM('PER BULAN'!F20+'PER BULAN'!F24+'PER BULAN'!F108)</f>
        <v>474100000</v>
      </c>
      <c r="D19" s="225">
        <f>SUM('PER BULAN'!AQ20+'PER BULAN'!AQ24+'PER BULAN'!AQ108)</f>
        <v>133815590</v>
      </c>
      <c r="E19" s="224">
        <f t="shared" si="3"/>
        <v>28.225182450959714</v>
      </c>
      <c r="F19" s="225">
        <f t="shared" si="4"/>
        <v>340284410</v>
      </c>
      <c r="G19" s="326">
        <f t="shared" si="5"/>
        <v>71.774817549040279</v>
      </c>
    </row>
    <row r="20" spans="1:10" x14ac:dyDescent="0.3">
      <c r="A20" s="453"/>
      <c r="B20" s="282" t="s">
        <v>534</v>
      </c>
      <c r="C20" s="225">
        <f>SUM('PER BULAN'!F29+'PER BULAN'!F113+'PER BULAN'!F118)</f>
        <v>804500000</v>
      </c>
      <c r="D20" s="225">
        <f>SUM('PER BULAN'!AQ29+'PER BULAN'!AQ113+'PER BULAN'!AQ118)</f>
        <v>73365500</v>
      </c>
      <c r="E20" s="224">
        <f t="shared" si="3"/>
        <v>9.1193909260410191</v>
      </c>
      <c r="F20" s="225">
        <f t="shared" si="4"/>
        <v>731134500</v>
      </c>
      <c r="G20" s="326">
        <f t="shared" si="5"/>
        <v>90.880609073958979</v>
      </c>
      <c r="J20" s="276"/>
    </row>
    <row r="21" spans="1:10" x14ac:dyDescent="0.3">
      <c r="A21" s="454"/>
      <c r="B21" s="247" t="s">
        <v>4658</v>
      </c>
      <c r="C21" s="250">
        <f>SUM(C19:C20)</f>
        <v>1278600000</v>
      </c>
      <c r="D21" s="250">
        <f>SUM(D19:D20)</f>
        <v>207181090</v>
      </c>
      <c r="E21" s="249">
        <f t="shared" si="3"/>
        <v>16.203745502893792</v>
      </c>
      <c r="F21" s="250">
        <f t="shared" si="4"/>
        <v>1071418910</v>
      </c>
      <c r="G21" s="327">
        <f t="shared" si="5"/>
        <v>83.796254497106219</v>
      </c>
    </row>
    <row r="22" spans="1:10" ht="15" customHeight="1" x14ac:dyDescent="0.3">
      <c r="A22" s="452" t="s">
        <v>535</v>
      </c>
      <c r="B22" s="282" t="s">
        <v>536</v>
      </c>
      <c r="C22" s="225">
        <f>SUM('PER BULAN'!F33+'PER BULAN'!F41+'PER BULAN'!F48)</f>
        <v>686300000</v>
      </c>
      <c r="D22" s="225">
        <f>SUM('PER BULAN'!AQ33+'PER BULAN'!AQ41+'PER BULAN'!AQ48)</f>
        <v>214180240</v>
      </c>
      <c r="E22" s="224">
        <f t="shared" si="3"/>
        <v>31.207961532857354</v>
      </c>
      <c r="F22" s="225">
        <f t="shared" si="4"/>
        <v>472119760</v>
      </c>
      <c r="G22" s="326">
        <f t="shared" si="5"/>
        <v>68.792038467142646</v>
      </c>
    </row>
    <row r="23" spans="1:10" x14ac:dyDescent="0.3">
      <c r="A23" s="453"/>
      <c r="B23" s="282" t="s">
        <v>538</v>
      </c>
      <c r="C23" s="225">
        <f>SUM('PER BULAN'!F54+'PER BULAN'!F102)</f>
        <v>585100000</v>
      </c>
      <c r="D23" s="225">
        <f>SUM('PER BULAN'!AQ54+'PER BULAN'!AQ102)</f>
        <v>88256718</v>
      </c>
      <c r="E23" s="224">
        <f t="shared" si="3"/>
        <v>15.084039993163561</v>
      </c>
      <c r="F23" s="225">
        <f t="shared" si="4"/>
        <v>496843282</v>
      </c>
      <c r="G23" s="326">
        <f t="shared" si="5"/>
        <v>84.915960006836428</v>
      </c>
    </row>
    <row r="24" spans="1:10" x14ac:dyDescent="0.3">
      <c r="A24" s="454"/>
      <c r="B24" s="247" t="s">
        <v>4659</v>
      </c>
      <c r="C24" s="250">
        <f>SUM(C22:C23)</f>
        <v>1271400000</v>
      </c>
      <c r="D24" s="250">
        <f>SUM(D22:D23)</f>
        <v>302436958</v>
      </c>
      <c r="E24" s="249">
        <f t="shared" si="3"/>
        <v>23.787711027214094</v>
      </c>
      <c r="F24" s="250">
        <f t="shared" si="4"/>
        <v>968963042</v>
      </c>
      <c r="G24" s="327">
        <f t="shared" si="5"/>
        <v>76.212288972785899</v>
      </c>
    </row>
    <row r="25" spans="1:10" x14ac:dyDescent="0.3">
      <c r="A25" s="449" t="s">
        <v>4655</v>
      </c>
      <c r="B25" s="449"/>
      <c r="C25" s="232">
        <f>C14++C18+C21+C24</f>
        <v>23342160000</v>
      </c>
      <c r="D25" s="232">
        <f>D14++D18+D21+D24</f>
        <v>9007086889</v>
      </c>
      <c r="E25" s="231">
        <f>D25/C25*100</f>
        <v>38.587203964843013</v>
      </c>
      <c r="F25" s="232">
        <f>C25-D25</f>
        <v>14335073111</v>
      </c>
      <c r="G25" s="328">
        <f>F25/C25*100</f>
        <v>61.412796035156994</v>
      </c>
    </row>
    <row r="26" spans="1:10" x14ac:dyDescent="0.3">
      <c r="A26" s="449" t="s">
        <v>4656</v>
      </c>
      <c r="B26" s="449"/>
      <c r="C26" s="449"/>
      <c r="D26" s="232">
        <f>D25</f>
        <v>9007086889</v>
      </c>
      <c r="E26" s="231">
        <f>D26/C25*100</f>
        <v>38.587203964843013</v>
      </c>
      <c r="F26" s="232">
        <f>C25-D26</f>
        <v>14335073111</v>
      </c>
      <c r="G26" s="328">
        <f>F26/C25*100</f>
        <v>61.412796035156994</v>
      </c>
    </row>
    <row r="28" spans="1:10" x14ac:dyDescent="0.3">
      <c r="A28" s="260" t="s">
        <v>5176</v>
      </c>
    </row>
    <row r="29" spans="1:10" x14ac:dyDescent="0.3">
      <c r="A29" s="455" t="s">
        <v>4807</v>
      </c>
      <c r="B29" s="455" t="s">
        <v>4808</v>
      </c>
      <c r="C29" s="455" t="s">
        <v>4809</v>
      </c>
      <c r="D29" s="459" t="s">
        <v>4647</v>
      </c>
      <c r="E29" s="459"/>
      <c r="F29" s="459" t="s">
        <v>4810</v>
      </c>
      <c r="G29" s="459"/>
    </row>
    <row r="30" spans="1:10" x14ac:dyDescent="0.3">
      <c r="A30" s="456"/>
      <c r="B30" s="456"/>
      <c r="C30" s="456"/>
      <c r="D30" s="271" t="s">
        <v>4811</v>
      </c>
      <c r="E30" s="342" t="s">
        <v>4648</v>
      </c>
      <c r="F30" s="271" t="s">
        <v>4811</v>
      </c>
      <c r="G30" s="271" t="s">
        <v>4648</v>
      </c>
    </row>
    <row r="31" spans="1:10" x14ac:dyDescent="0.3">
      <c r="A31" s="261">
        <v>1</v>
      </c>
      <c r="B31" s="262" t="s">
        <v>4812</v>
      </c>
      <c r="C31" s="263">
        <f>SUM(C32:C34)</f>
        <v>16207230000</v>
      </c>
      <c r="D31" s="263">
        <f>SUM(D32:D34)</f>
        <v>5413122932</v>
      </c>
      <c r="E31" s="264">
        <f>D31/C31*100</f>
        <v>33.399433043154197</v>
      </c>
      <c r="F31" s="265">
        <f>C31-D31</f>
        <v>10794107068</v>
      </c>
      <c r="G31" s="264">
        <f>F31/C31*100</f>
        <v>66.60056695684581</v>
      </c>
      <c r="J31" s="225">
        <f>'SP2D ON'!O8</f>
        <v>5413122932</v>
      </c>
    </row>
    <row r="32" spans="1:10" x14ac:dyDescent="0.3">
      <c r="A32" s="270"/>
      <c r="B32" s="266" t="s">
        <v>4813</v>
      </c>
      <c r="C32" s="267">
        <v>2095658000</v>
      </c>
      <c r="D32" s="267">
        <f>D8</f>
        <v>663321641</v>
      </c>
      <c r="E32" s="268">
        <f>D32/C32*100</f>
        <v>31.652189479390241</v>
      </c>
      <c r="F32" s="269">
        <f>C32-D32</f>
        <v>1432336359</v>
      </c>
      <c r="G32" s="268">
        <f>F32/C32*100</f>
        <v>68.347810520609755</v>
      </c>
      <c r="J32" s="412">
        <f>D31</f>
        <v>5413122932</v>
      </c>
    </row>
    <row r="33" spans="1:13" x14ac:dyDescent="0.3">
      <c r="A33" s="270"/>
      <c r="B33" s="266" t="s">
        <v>4818</v>
      </c>
      <c r="C33" s="267">
        <v>100000000</v>
      </c>
      <c r="D33" s="267">
        <f>D9</f>
        <v>0</v>
      </c>
      <c r="E33" s="268">
        <f>D33/C33*100</f>
        <v>0</v>
      </c>
      <c r="F33" s="269">
        <f>C33-D33</f>
        <v>100000000</v>
      </c>
      <c r="G33" s="268">
        <f>F33/C33*100</f>
        <v>100</v>
      </c>
      <c r="J33" s="413">
        <f>J31-J32</f>
        <v>0</v>
      </c>
    </row>
    <row r="34" spans="1:13" x14ac:dyDescent="0.3">
      <c r="A34" s="270"/>
      <c r="B34" s="266" t="s">
        <v>4819</v>
      </c>
      <c r="C34" s="267">
        <v>14011572000</v>
      </c>
      <c r="D34" s="267">
        <f>D11+D15+D16+D17+D19+D20+D22+D23+D7</f>
        <v>4749801291</v>
      </c>
      <c r="E34" s="268">
        <f>D34/C34*100</f>
        <v>33.899132024586535</v>
      </c>
      <c r="F34" s="269">
        <f>C34-D34</f>
        <v>9261770709</v>
      </c>
      <c r="G34" s="268">
        <f>F34/C34*100</f>
        <v>66.100867975413465</v>
      </c>
      <c r="J34" s="225">
        <f>'SP2D ON'!O7</f>
        <v>2939763957</v>
      </c>
      <c r="K34" s="274"/>
      <c r="L34" s="276"/>
    </row>
    <row r="35" spans="1:13" x14ac:dyDescent="0.3">
      <c r="A35" s="270">
        <v>2</v>
      </c>
      <c r="B35" s="346" t="s">
        <v>5028</v>
      </c>
      <c r="C35" s="263">
        <f>SUM(C36:C37)</f>
        <v>6478996000</v>
      </c>
      <c r="D35" s="263">
        <f>SUM(D36:D37)</f>
        <v>2939763957</v>
      </c>
      <c r="E35" s="264">
        <f t="shared" ref="E35:E37" si="6">D35/C35*100</f>
        <v>45.373757863101012</v>
      </c>
      <c r="F35" s="265">
        <f t="shared" ref="F35:F37" si="7">C35-D35</f>
        <v>3539232043</v>
      </c>
      <c r="G35" s="264">
        <f t="shared" ref="G35:G37" si="8">F35/C35*100</f>
        <v>54.626242136898981</v>
      </c>
      <c r="J35" s="225">
        <f>D35</f>
        <v>2939763957</v>
      </c>
      <c r="K35" s="276"/>
      <c r="L35" s="276"/>
      <c r="M35" s="274"/>
    </row>
    <row r="36" spans="1:13" x14ac:dyDescent="0.3">
      <c r="A36" s="270"/>
      <c r="B36" s="266" t="s">
        <v>5029</v>
      </c>
      <c r="C36" s="267">
        <f>C12</f>
        <v>6155047000</v>
      </c>
      <c r="D36" s="267">
        <f>D12</f>
        <v>2939763957</v>
      </c>
      <c r="E36" s="268">
        <f t="shared" si="6"/>
        <v>47.761844174382425</v>
      </c>
      <c r="F36" s="269">
        <f t="shared" si="7"/>
        <v>3215283043</v>
      </c>
      <c r="G36" s="268">
        <f t="shared" si="8"/>
        <v>52.238155825617582</v>
      </c>
      <c r="J36" s="413">
        <f>J34-J35</f>
        <v>0</v>
      </c>
      <c r="M36" s="276"/>
    </row>
    <row r="37" spans="1:13" x14ac:dyDescent="0.3">
      <c r="A37" s="270"/>
      <c r="B37" s="266" t="s">
        <v>5030</v>
      </c>
      <c r="C37" s="267">
        <f>C13</f>
        <v>323949000</v>
      </c>
      <c r="D37" s="267"/>
      <c r="E37" s="268">
        <f t="shared" si="6"/>
        <v>0</v>
      </c>
      <c r="F37" s="269">
        <f t="shared" si="7"/>
        <v>323949000</v>
      </c>
      <c r="G37" s="268">
        <f t="shared" si="8"/>
        <v>100</v>
      </c>
      <c r="J37" s="225">
        <f>'SP2D ON'!O9</f>
        <v>654200000</v>
      </c>
    </row>
    <row r="38" spans="1:13" x14ac:dyDescent="0.3">
      <c r="A38" s="261">
        <v>2</v>
      </c>
      <c r="B38" s="262" t="s">
        <v>4814</v>
      </c>
      <c r="C38" s="263">
        <v>655934000</v>
      </c>
      <c r="D38" s="263">
        <f>D10</f>
        <v>654200000</v>
      </c>
      <c r="E38" s="264">
        <f>IFERROR(D38/C38*100,0)</f>
        <v>99.735644134928208</v>
      </c>
      <c r="F38" s="265">
        <f>C38-D38</f>
        <v>1734000</v>
      </c>
      <c r="G38" s="264">
        <f>IFERROR(F38/C38*100,0)</f>
        <v>0.26435586507179076</v>
      </c>
      <c r="J38" s="412">
        <f>D38</f>
        <v>654200000</v>
      </c>
    </row>
    <row r="39" spans="1:13" x14ac:dyDescent="0.3">
      <c r="A39" s="261"/>
      <c r="B39" s="262"/>
      <c r="C39" s="263"/>
      <c r="D39" s="263"/>
      <c r="E39" s="264"/>
      <c r="F39" s="265"/>
      <c r="G39" s="264"/>
      <c r="J39" s="413">
        <f>J37-J38</f>
        <v>0</v>
      </c>
    </row>
    <row r="40" spans="1:13" x14ac:dyDescent="0.3">
      <c r="A40" s="457" t="s">
        <v>611</v>
      </c>
      <c r="B40" s="458"/>
      <c r="C40" s="272">
        <f>SUM(C31,C38,C35)</f>
        <v>23342160000</v>
      </c>
      <c r="D40" s="272">
        <f>SUM(D31,D38,D35)</f>
        <v>9007086889</v>
      </c>
      <c r="E40" s="273">
        <f>D40/C40*100</f>
        <v>38.587203964843013</v>
      </c>
      <c r="F40" s="272">
        <f>SUM(F31,F38)</f>
        <v>10795841068</v>
      </c>
      <c r="G40" s="273">
        <f>F40/C40*100</f>
        <v>46.250394427936406</v>
      </c>
    </row>
    <row r="41" spans="1:13" x14ac:dyDescent="0.3">
      <c r="A41" s="457" t="s">
        <v>4815</v>
      </c>
      <c r="B41" s="458"/>
      <c r="C41" s="272"/>
      <c r="D41" s="272"/>
      <c r="E41" s="273"/>
      <c r="F41" s="272"/>
      <c r="G41" s="273"/>
      <c r="J41" s="276"/>
    </row>
    <row r="42" spans="1:13" x14ac:dyDescent="0.3">
      <c r="A42" s="457" t="s">
        <v>4816</v>
      </c>
      <c r="B42" s="458"/>
      <c r="C42" s="272">
        <f>C40</f>
        <v>23342160000</v>
      </c>
      <c r="D42" s="272">
        <f>D40-D41</f>
        <v>9007086889</v>
      </c>
      <c r="E42" s="273">
        <f>D42/C42*100</f>
        <v>38.587203964843013</v>
      </c>
      <c r="F42" s="272">
        <f>C42-D42</f>
        <v>14335073111</v>
      </c>
      <c r="G42" s="273">
        <f>F42/C42*100</f>
        <v>61.412796035156994</v>
      </c>
      <c r="J42" s="396"/>
    </row>
    <row r="43" spans="1:13" x14ac:dyDescent="0.3">
      <c r="J43" s="276"/>
    </row>
    <row r="44" spans="1:13" x14ac:dyDescent="0.3">
      <c r="A44" s="280" t="s">
        <v>4838</v>
      </c>
    </row>
    <row r="45" spans="1:13" x14ac:dyDescent="0.3">
      <c r="A45" s="252" t="s">
        <v>592</v>
      </c>
      <c r="B45" s="252" t="s">
        <v>500</v>
      </c>
      <c r="C45" s="252" t="s">
        <v>4650</v>
      </c>
      <c r="D45" s="252" t="s">
        <v>4651</v>
      </c>
      <c r="E45" s="252" t="s">
        <v>4648</v>
      </c>
      <c r="F45" s="252" t="s">
        <v>4652</v>
      </c>
      <c r="G45" s="252" t="s">
        <v>4648</v>
      </c>
    </row>
    <row r="46" spans="1:13" x14ac:dyDescent="0.3">
      <c r="A46" s="450" t="s">
        <v>576</v>
      </c>
      <c r="B46" s="220" t="s">
        <v>560</v>
      </c>
      <c r="C46" s="225">
        <f>SUM('PER BULAN'!F84+'PER BULAN'!F97+'PER BULAN'!F99)</f>
        <v>297880000</v>
      </c>
      <c r="D46" s="225">
        <f>SUM('PER BULAN'!AQ84+'PER BULAN'!AQ97+'PER BULAN'!AQ99)</f>
        <v>73441280</v>
      </c>
      <c r="E46" s="283">
        <f>D46/C46*100</f>
        <v>24.654652880354504</v>
      </c>
      <c r="F46" s="225">
        <f t="shared" ref="F46:F58" si="9">C46-D46</f>
        <v>224438720</v>
      </c>
      <c r="G46" s="326">
        <f>F46/C46*100</f>
        <v>75.345347119645496</v>
      </c>
      <c r="J46" s="396"/>
    </row>
    <row r="47" spans="1:13" x14ac:dyDescent="0.3">
      <c r="A47" s="450"/>
      <c r="B47" s="220" t="s">
        <v>546</v>
      </c>
      <c r="C47" s="225">
        <v>0</v>
      </c>
      <c r="D47" s="225">
        <v>0</v>
      </c>
      <c r="E47" s="283">
        <f>IFERROR(D47/C47*100,0)</f>
        <v>0</v>
      </c>
      <c r="F47" s="225">
        <f t="shared" si="9"/>
        <v>0</v>
      </c>
      <c r="G47" s="329">
        <v>0</v>
      </c>
    </row>
    <row r="48" spans="1:13" x14ac:dyDescent="0.3">
      <c r="A48" s="450"/>
      <c r="B48" s="247" t="s">
        <v>4653</v>
      </c>
      <c r="C48" s="250">
        <f>SUM(C46:C47)</f>
        <v>297880000</v>
      </c>
      <c r="D48" s="250">
        <f>SUM(D46:D47)</f>
        <v>73441280</v>
      </c>
      <c r="E48" s="284">
        <f>D48/C48*100</f>
        <v>24.654652880354504</v>
      </c>
      <c r="F48" s="250">
        <f t="shared" si="9"/>
        <v>224438720</v>
      </c>
      <c r="G48" s="327">
        <f>F48/C48*100</f>
        <v>75.345347119645496</v>
      </c>
    </row>
    <row r="49" spans="1:7" x14ac:dyDescent="0.3">
      <c r="A49" s="450" t="s">
        <v>542</v>
      </c>
      <c r="B49" s="220" t="s">
        <v>543</v>
      </c>
      <c r="C49" s="225">
        <f>SUM('PER BULAN'!F226)</f>
        <v>30000000</v>
      </c>
      <c r="D49" s="225">
        <v>0</v>
      </c>
      <c r="E49" s="283">
        <f>D49/C49*100</f>
        <v>0</v>
      </c>
      <c r="F49" s="225">
        <f t="shared" si="9"/>
        <v>30000000</v>
      </c>
      <c r="G49" s="329">
        <v>0</v>
      </c>
    </row>
    <row r="50" spans="1:7" x14ac:dyDescent="0.3">
      <c r="A50" s="450"/>
      <c r="B50" s="220" t="s">
        <v>591</v>
      </c>
      <c r="C50" s="225">
        <v>0</v>
      </c>
      <c r="D50" s="225">
        <v>0</v>
      </c>
      <c r="E50" s="283">
        <f>IFERROR(D50/C50*100,0)</f>
        <v>0</v>
      </c>
      <c r="F50" s="225">
        <f t="shared" si="9"/>
        <v>0</v>
      </c>
      <c r="G50" s="329">
        <v>0</v>
      </c>
    </row>
    <row r="51" spans="1:7" x14ac:dyDescent="0.3">
      <c r="A51" s="450"/>
      <c r="B51" s="247" t="s">
        <v>4657</v>
      </c>
      <c r="C51" s="250">
        <f>SUM(C49:C50)</f>
        <v>30000000</v>
      </c>
      <c r="D51" s="250">
        <f>SUM(D49:D50)</f>
        <v>0</v>
      </c>
      <c r="E51" s="285">
        <f>D51/C51*100</f>
        <v>0</v>
      </c>
      <c r="F51" s="250">
        <f t="shared" si="9"/>
        <v>30000000</v>
      </c>
      <c r="G51" s="327">
        <f>F51/C51*100</f>
        <v>100</v>
      </c>
    </row>
    <row r="52" spans="1:7" x14ac:dyDescent="0.3">
      <c r="A52" s="450" t="s">
        <v>531</v>
      </c>
      <c r="B52" s="220" t="s">
        <v>532</v>
      </c>
      <c r="C52" s="253">
        <v>0</v>
      </c>
      <c r="D52" s="225">
        <v>0</v>
      </c>
      <c r="E52" s="283">
        <f>IFERROR(D52/C52*100,0)</f>
        <v>0</v>
      </c>
      <c r="F52" s="225">
        <f t="shared" si="9"/>
        <v>0</v>
      </c>
      <c r="G52" s="329">
        <f>IFERROR(F52/C52*100,0)</f>
        <v>0</v>
      </c>
    </row>
    <row r="53" spans="1:7" x14ac:dyDescent="0.3">
      <c r="A53" s="450"/>
      <c r="B53" s="220" t="s">
        <v>534</v>
      </c>
      <c r="C53" s="225">
        <v>0</v>
      </c>
      <c r="D53" s="225">
        <v>0</v>
      </c>
      <c r="E53" s="283">
        <f>IFERROR(D53/C53*100,0)</f>
        <v>0</v>
      </c>
      <c r="F53" s="225">
        <f t="shared" si="9"/>
        <v>0</v>
      </c>
      <c r="G53" s="329">
        <f>IFERROR(F53/C53*100,0)</f>
        <v>0</v>
      </c>
    </row>
    <row r="54" spans="1:7" x14ac:dyDescent="0.3">
      <c r="A54" s="450"/>
      <c r="B54" s="247" t="s">
        <v>4658</v>
      </c>
      <c r="C54" s="250">
        <f>SUM(C52:C53)</f>
        <v>0</v>
      </c>
      <c r="D54" s="250">
        <f>SUM(D52:D53)</f>
        <v>0</v>
      </c>
      <c r="E54" s="284">
        <v>0</v>
      </c>
      <c r="F54" s="250">
        <f t="shared" si="9"/>
        <v>0</v>
      </c>
      <c r="G54" s="330">
        <f>IFERROR(F54/C54*100,0)</f>
        <v>0</v>
      </c>
    </row>
    <row r="55" spans="1:7" x14ac:dyDescent="0.3">
      <c r="A55" s="450" t="s">
        <v>535</v>
      </c>
      <c r="B55" s="220" t="s">
        <v>536</v>
      </c>
      <c r="C55" s="225">
        <f>SUM('PER BULAN'!F38+'PER BULAN'!F46)</f>
        <v>8000000</v>
      </c>
      <c r="D55" s="225">
        <v>0</v>
      </c>
      <c r="E55" s="283">
        <f>D55/C55*100</f>
        <v>0</v>
      </c>
      <c r="F55" s="225">
        <f t="shared" si="9"/>
        <v>8000000</v>
      </c>
      <c r="G55" s="326">
        <f>F55/C55*100</f>
        <v>100</v>
      </c>
    </row>
    <row r="56" spans="1:7" x14ac:dyDescent="0.3">
      <c r="A56" s="450"/>
      <c r="B56" s="220" t="s">
        <v>538</v>
      </c>
      <c r="C56" s="225">
        <f>SUM('PER BULAN'!F58+'PER BULAN'!F106)</f>
        <v>13000000</v>
      </c>
      <c r="D56" s="225">
        <v>0</v>
      </c>
      <c r="E56" s="283">
        <f>D56/C56*100</f>
        <v>0</v>
      </c>
      <c r="F56" s="225">
        <f t="shared" si="9"/>
        <v>13000000</v>
      </c>
      <c r="G56" s="326">
        <f>F56/C56*100</f>
        <v>100</v>
      </c>
    </row>
    <row r="57" spans="1:7" x14ac:dyDescent="0.3">
      <c r="A57" s="450"/>
      <c r="B57" s="247" t="s">
        <v>4659</v>
      </c>
      <c r="C57" s="250">
        <f>SUM(C55:C56)</f>
        <v>21000000</v>
      </c>
      <c r="D57" s="250">
        <f>SUM(D55:D56)</f>
        <v>0</v>
      </c>
      <c r="E57" s="285">
        <f>D57/C57*100</f>
        <v>0</v>
      </c>
      <c r="F57" s="250">
        <f t="shared" si="9"/>
        <v>21000000</v>
      </c>
      <c r="G57" s="327">
        <f>F57/C57*100</f>
        <v>100</v>
      </c>
    </row>
    <row r="58" spans="1:7" x14ac:dyDescent="0.3">
      <c r="A58" s="449" t="s">
        <v>4655</v>
      </c>
      <c r="B58" s="449"/>
      <c r="C58" s="232">
        <f>C48+C51+C54+C57</f>
        <v>348880000</v>
      </c>
      <c r="D58" s="232">
        <f>D48+D51+D54+D57</f>
        <v>73441280</v>
      </c>
      <c r="E58" s="286">
        <f>D58/C58*100</f>
        <v>21.050584728273332</v>
      </c>
      <c r="F58" s="232">
        <f t="shared" si="9"/>
        <v>275438720</v>
      </c>
      <c r="G58" s="328">
        <f>F58/C58*100</f>
        <v>78.949415271726664</v>
      </c>
    </row>
    <row r="59" spans="1:7" x14ac:dyDescent="0.3">
      <c r="A59" s="449" t="s">
        <v>4656</v>
      </c>
      <c r="B59" s="449"/>
      <c r="C59" s="449"/>
      <c r="D59" s="232">
        <f>D58</f>
        <v>73441280</v>
      </c>
      <c r="E59" s="286">
        <f>E58</f>
        <v>21.050584728273332</v>
      </c>
      <c r="F59" s="232">
        <f>F58</f>
        <v>275438720</v>
      </c>
      <c r="G59" s="328">
        <f>G58</f>
        <v>78.949415271726664</v>
      </c>
    </row>
  </sheetData>
  <mergeCells count="24">
    <mergeCell ref="A49:A51"/>
    <mergeCell ref="A52:A54"/>
    <mergeCell ref="A55:A57"/>
    <mergeCell ref="A58:B58"/>
    <mergeCell ref="A59:C59"/>
    <mergeCell ref="D29:E29"/>
    <mergeCell ref="F29:G29"/>
    <mergeCell ref="A40:B40"/>
    <mergeCell ref="A41:B41"/>
    <mergeCell ref="A42:B42"/>
    <mergeCell ref="A46:A48"/>
    <mergeCell ref="A22:A24"/>
    <mergeCell ref="A25:B25"/>
    <mergeCell ref="A26:C26"/>
    <mergeCell ref="A29:A30"/>
    <mergeCell ref="B29:B30"/>
    <mergeCell ref="C29:C30"/>
    <mergeCell ref="A19:A21"/>
    <mergeCell ref="A1:G1"/>
    <mergeCell ref="A2:G2"/>
    <mergeCell ref="A3:G3"/>
    <mergeCell ref="A7:A14"/>
    <mergeCell ref="A15:A18"/>
    <mergeCell ref="A4:G4"/>
  </mergeCells>
  <pageMargins left="0.7" right="0.7" top="0.75" bottom="0.75" header="0.3" footer="0.3"/>
  <pageSetup paperSize="9" scale="62" fitToHeight="0" orientation="portrait" horizontalDpi="0" verticalDpi="0" r:id="rId1"/>
  <ignoredErrors>
    <ignoredError sqref="E47:E51" formula="1"/>
  </ignoredError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A1"/>
  <sheetViews>
    <sheetView showGridLines="0" view="pageBreakPreview" zoomScaleNormal="100" zoomScaleSheetLayoutView="100" workbookViewId="0">
      <selection activeCell="U18" sqref="U18"/>
    </sheetView>
  </sheetViews>
  <sheetFormatPr defaultRowHeight="14.4" x14ac:dyDescent="0.3"/>
  <cols>
    <col min="16" max="16" width="7" customWidth="1"/>
    <col min="17" max="17" width="5.5546875" customWidth="1"/>
  </cols>
  <sheetData/>
  <pageMargins left="0.7" right="0.7" top="0.75" bottom="0.75" header="0.3" footer="0.3"/>
  <pageSetup paperSize="9" scale="68" fitToHeight="0" orientation="portrait" horizontalDpi="0"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63</vt:i4>
      </vt:variant>
    </vt:vector>
  </HeadingPairs>
  <TitlesOfParts>
    <vt:vector size="79" baseType="lpstr">
      <vt:lpstr>DIPA4_PUSDIK (2)</vt:lpstr>
      <vt:lpstr>GAJI</vt:lpstr>
      <vt:lpstr>non 51</vt:lpstr>
      <vt:lpstr>Cetak_Pusdik (2)</vt:lpstr>
      <vt:lpstr>626402</vt:lpstr>
      <vt:lpstr>Cetak_Pusdik</vt:lpstr>
      <vt:lpstr>Eselon2</vt:lpstr>
      <vt:lpstr>SP2D ON</vt:lpstr>
      <vt:lpstr>PERAKUN</vt:lpstr>
      <vt:lpstr>GUP TUP</vt:lpstr>
      <vt:lpstr>SP2D</vt:lpstr>
      <vt:lpstr>PER BULAN</vt:lpstr>
      <vt:lpstr>PERSUBBID</vt:lpstr>
      <vt:lpstr>TANPA GAJI</vt:lpstr>
      <vt:lpstr>PERSUBBID GAJI</vt:lpstr>
      <vt:lpstr>DENGAN GAJI</vt:lpstr>
      <vt:lpstr>'626402'!cAkun</vt:lpstr>
      <vt:lpstr>'DIPA4_PUSDIK (2)'!cAkun</vt:lpstr>
      <vt:lpstr>'626402'!chkAkun</vt:lpstr>
      <vt:lpstr>'DIPA4_PUSDIK (2)'!chkAkun</vt:lpstr>
      <vt:lpstr>'626402'!chkKegiatan</vt:lpstr>
      <vt:lpstr>'DIPA4_PUSDIK (2)'!chkKegiatan</vt:lpstr>
      <vt:lpstr>'626402'!chkKomponen</vt:lpstr>
      <vt:lpstr>'DIPA4_PUSDIK (2)'!chkKomponen</vt:lpstr>
      <vt:lpstr>'626402'!chkKRO</vt:lpstr>
      <vt:lpstr>'DIPA4_PUSDIK (2)'!chkKRO</vt:lpstr>
      <vt:lpstr>'626402'!chkProgram</vt:lpstr>
      <vt:lpstr>'DIPA4_PUSDIK (2)'!chkProgram</vt:lpstr>
      <vt:lpstr>'626402'!chkRO</vt:lpstr>
      <vt:lpstr>'DIPA4_PUSDIK (2)'!chkRO</vt:lpstr>
      <vt:lpstr>'626402'!chksKomponen</vt:lpstr>
      <vt:lpstr>'DIPA4_PUSDIK (2)'!chksKomponen</vt:lpstr>
      <vt:lpstr>'626402'!cKegiatan</vt:lpstr>
      <vt:lpstr>'DIPA4_PUSDIK (2)'!cKegiatan</vt:lpstr>
      <vt:lpstr>'626402'!cKomponen</vt:lpstr>
      <vt:lpstr>'DIPA4_PUSDIK (2)'!cKomponen</vt:lpstr>
      <vt:lpstr>'626402'!cKRO</vt:lpstr>
      <vt:lpstr>'DIPA4_PUSDIK (2)'!cKRO</vt:lpstr>
      <vt:lpstr>'626402'!cProgram</vt:lpstr>
      <vt:lpstr>'DIPA4_PUSDIK (2)'!cProgram</vt:lpstr>
      <vt:lpstr>'626402'!cRO</vt:lpstr>
      <vt:lpstr>'DIPA4_PUSDIK (2)'!cRO</vt:lpstr>
      <vt:lpstr>'626402'!cSKomponen</vt:lpstr>
      <vt:lpstr>'DIPA4_PUSDIK (2)'!cSKomponen</vt:lpstr>
      <vt:lpstr>'626402'!Entri_Es2</vt:lpstr>
      <vt:lpstr>'626402'!Entri_Es3</vt:lpstr>
      <vt:lpstr>'626402'!Entri_Es4</vt:lpstr>
      <vt:lpstr>'626402'!kegiatan</vt:lpstr>
      <vt:lpstr>'626402'!Print_Area</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PERSUBBID!Print_Area</vt:lpstr>
      <vt:lpstr>'PERSUBBID GAJI'!Print_Area</vt:lpstr>
      <vt:lpstr>'TANPA GAJI'!Print_Area</vt:lpstr>
      <vt:lpstr>'626402'!Print_Titles</vt:lpstr>
      <vt:lpstr>Cetak_Pusdik!Print_Titles</vt:lpstr>
      <vt:lpstr>'Cetak_Pusdik (2)'!Print_Titles</vt:lpstr>
      <vt:lpstr>'DIPA4_PUSDIK (2)'!Print_Titles</vt:lpstr>
      <vt:lpstr>GAJI!Print_Titles</vt:lpstr>
      <vt:lpstr>'non 51'!Print_Titles</vt:lpstr>
      <vt:lpstr>'PER BULAN'!Print_Titles</vt:lpstr>
      <vt:lpstr>PERAKUN!Print_Titles</vt:lpstr>
      <vt:lpstr>'626402'!rowEselon2</vt:lpstr>
      <vt:lpstr>'626402'!rowKoord</vt:lpstr>
      <vt:lpstr>'626402'!rowSelect</vt:lpstr>
      <vt:lpstr>'626402'!rowSubKoord</vt:lpstr>
      <vt:lpstr>'626402'!Start_Jadi</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2022-06-15T02:21:43Z</cp:lastPrinted>
  <dcterms:created xsi:type="dcterms:W3CDTF">2021-07-27T04:05:22Z</dcterms:created>
  <dcterms:modified xsi:type="dcterms:W3CDTF">2022-06-15T02:59:30Z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